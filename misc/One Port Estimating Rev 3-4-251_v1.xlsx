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hidePivotFieldList="1"/>
  <mc:AlternateContent xmlns:mc="http://schemas.openxmlformats.org/markup-compatibility/2006">
    <mc:Choice Requires="x15">
      <x15ac:absPath xmlns:x15ac="http://schemas.microsoft.com/office/spreadsheetml/2010/11/ac" url="/Users/hogan/BTA 525 Capstone/PDX_BID_TABS_COMPLETE/misc/"/>
    </mc:Choice>
  </mc:AlternateContent>
  <xr:revisionPtr revIDLastSave="0" documentId="8_{336481D5-33BA-D145-B9DA-09BD02671E58}" xr6:coauthVersionLast="47" xr6:coauthVersionMax="47" xr10:uidLastSave="{00000000-0000-0000-0000-000000000000}"/>
  <bookViews>
    <workbookView xWindow="0" yWindow="620" windowWidth="29040" windowHeight="16000" tabRatio="928" activeTab="4" xr2:uid="{00000000-000D-0000-FFFF-FFFF00000000}"/>
  </bookViews>
  <sheets>
    <sheet name="Summary" sheetId="240" r:id="rId1"/>
    <sheet name="Hard Cost Estimate Form" sheetId="228" r:id="rId2"/>
    <sheet name="Soft Cost Estimating Form" sheetId="234" r:id="rId3"/>
    <sheet name="Optional - Sch &amp; Resource Form" sheetId="241" r:id="rId4"/>
    <sheet name="Dashboard" sheetId="223" r:id="rId5"/>
    <sheet name="DivisionCostCodeLookup" sheetId="211" state="hidden" r:id="rId6"/>
    <sheet name="Soft Cost Codes" sheetId="213" state="hidden" r:id="rId7"/>
    <sheet name="Cost Codes" sheetId="224" state="hidden" r:id="rId8"/>
    <sheet name="UoM" sheetId="219" state="hidden" r:id="rId9"/>
    <sheet name="SoftCostUom" sheetId="225" state="hidden" r:id="rId10"/>
    <sheet name="Scope and Risk" sheetId="220" state="hidden" r:id="rId11"/>
  </sheets>
  <definedNames>
    <definedName name="_____d2" localSheetId="4" hidden="1">{#N/A,#N/A,FALSE,"mgtsum.XLS";#N/A,#N/A,FALSE,"CAPONE";#N/A,#N/A,FALSE,"CAPTWO";#N/A,#N/A,FALSE,"CAPTHREE"}</definedName>
    <definedName name="_____d2" localSheetId="3" hidden="1">{#N/A,#N/A,FALSE,"mgtsum.XLS";#N/A,#N/A,FALSE,"CAPONE";#N/A,#N/A,FALSE,"CAPTWO";#N/A,#N/A,FALSE,"CAPTHREE"}</definedName>
    <definedName name="_____d2" hidden="1">{#N/A,#N/A,FALSE,"mgtsum.XLS";#N/A,#N/A,FALSE,"CAPONE";#N/A,#N/A,FALSE,"CAPTWO";#N/A,#N/A,FALSE,"CAPTHREE"}</definedName>
    <definedName name="____d2" localSheetId="4" hidden="1">{#N/A,#N/A,FALSE,"mgtsum.XLS";#N/A,#N/A,FALSE,"CAPONE";#N/A,#N/A,FALSE,"CAPTWO";#N/A,#N/A,FALSE,"CAPTHREE"}</definedName>
    <definedName name="____d2" localSheetId="3" hidden="1">{#N/A,#N/A,FALSE,"mgtsum.XLS";#N/A,#N/A,FALSE,"CAPONE";#N/A,#N/A,FALSE,"CAPTWO";#N/A,#N/A,FALSE,"CAPTHREE"}</definedName>
    <definedName name="____d2" hidden="1">{#N/A,#N/A,FALSE,"mgtsum.XLS";#N/A,#N/A,FALSE,"CAPONE";#N/A,#N/A,FALSE,"CAPTWO";#N/A,#N/A,FALSE,"CAPTHREE"}</definedName>
    <definedName name="___d2" localSheetId="4" hidden="1">{#N/A,#N/A,FALSE,"mgtsum.XLS";#N/A,#N/A,FALSE,"CAPONE";#N/A,#N/A,FALSE,"CAPTWO";#N/A,#N/A,FALSE,"CAPTHREE"}</definedName>
    <definedName name="___d2" localSheetId="3" hidden="1">{#N/A,#N/A,FALSE,"mgtsum.XLS";#N/A,#N/A,FALSE,"CAPONE";#N/A,#N/A,FALSE,"CAPTWO";#N/A,#N/A,FALSE,"CAPTHREE"}</definedName>
    <definedName name="___d2" hidden="1">{#N/A,#N/A,FALSE,"mgtsum.XLS";#N/A,#N/A,FALSE,"CAPONE";#N/A,#N/A,FALSE,"CAPTWO";#N/A,#N/A,FALSE,"CAPTHREE"}</definedName>
    <definedName name="__d2" localSheetId="4" hidden="1">{#N/A,#N/A,FALSE,"mgtsum.XLS";#N/A,#N/A,FALSE,"CAPONE";#N/A,#N/A,FALSE,"CAPTWO";#N/A,#N/A,FALSE,"CAPTHREE"}</definedName>
    <definedName name="__d2" localSheetId="3" hidden="1">{#N/A,#N/A,FALSE,"mgtsum.XLS";#N/A,#N/A,FALSE,"CAPONE";#N/A,#N/A,FALSE,"CAPTWO";#N/A,#N/A,FALSE,"CAPTHREE"}</definedName>
    <definedName name="__d2" hidden="1">{#N/A,#N/A,FALSE,"mgtsum.XLS";#N/A,#N/A,FALSE,"CAPONE";#N/A,#N/A,FALSE,"CAPTWO";#N/A,#N/A,FALSE,"CAPTHREE"}</definedName>
    <definedName name="_d1" localSheetId="4" hidden="1">{#N/A,#N/A,FALSE,"mgtsum.XLS";#N/A,#N/A,FALSE,"CAPONE";#N/A,#N/A,FALSE,"CAPTWO";#N/A,#N/A,FALSE,"CAPTHREE"}</definedName>
    <definedName name="_d1" localSheetId="3" hidden="1">{#N/A,#N/A,FALSE,"mgtsum.XLS";#N/A,#N/A,FALSE,"CAPONE";#N/A,#N/A,FALSE,"CAPTWO";#N/A,#N/A,FALSE,"CAPTHREE"}</definedName>
    <definedName name="_d1" hidden="1">{#N/A,#N/A,FALSE,"mgtsum.XLS";#N/A,#N/A,FALSE,"CAPONE";#N/A,#N/A,FALSE,"CAPTWO";#N/A,#N/A,FALSE,"CAPTHREE"}</definedName>
    <definedName name="_d2" localSheetId="4" hidden="1">{#N/A,#N/A,FALSE,"mgtsum.XLS";#N/A,#N/A,FALSE,"CAPONE";#N/A,#N/A,FALSE,"CAPTWO";#N/A,#N/A,FALSE,"CAPTHREE"}</definedName>
    <definedName name="_d2" localSheetId="3" hidden="1">{#N/A,#N/A,FALSE,"mgtsum.XLS";#N/A,#N/A,FALSE,"CAPONE";#N/A,#N/A,FALSE,"CAPTWO";#N/A,#N/A,FALSE,"CAPTHREE"}</definedName>
    <definedName name="_d2" hidden="1">{#N/A,#N/A,FALSE,"mgtsum.XLS";#N/A,#N/A,FALSE,"CAPONE";#N/A,#N/A,FALSE,"CAPTWO";#N/A,#N/A,FALSE,"CAPTHREE"}</definedName>
    <definedName name="_Fill" localSheetId="3" hidden="1">#REF!</definedName>
    <definedName name="_Fill" localSheetId="2" hidden="1">#REF!</definedName>
    <definedName name="_Fill" localSheetId="9" hidden="1">#REF!</definedName>
    <definedName name="_Fill" hidden="1">#REF!</definedName>
    <definedName name="_Fill2" localSheetId="3" hidden="1">#REF!</definedName>
    <definedName name="_Fill2" localSheetId="2" hidden="1">#REF!</definedName>
    <definedName name="_Fill2" hidden="1">#REF!</definedName>
    <definedName name="_Fill5" hidden="1">#REF!</definedName>
    <definedName name="_xlnm._FilterDatabase" localSheetId="1" hidden="1">'Hard Cost Estimate Form'!$A$7:$H$7</definedName>
    <definedName name="_xlnm._FilterDatabase" localSheetId="6" hidden="1">'Soft Cost Codes'!$A$1:$I$1091</definedName>
    <definedName name="_xlnm._FilterDatabase" localSheetId="2" hidden="1">'Soft Cost Estimating Form'!$B$7:$L$710</definedName>
    <definedName name="_Order1" hidden="1">255</definedName>
    <definedName name="_Order2" hidden="1">255</definedName>
    <definedName name="aakdf" localSheetId="4" hidden="1">{#N/A,#N/A,FALSE,"mgtsum.XLS";#N/A,#N/A,FALSE,"CAPONE";#N/A,#N/A,FALSE,"CAPTWO";#N/A,#N/A,FALSE,"CAPTHREE"}</definedName>
    <definedName name="aakdf" localSheetId="3" hidden="1">{#N/A,#N/A,FALSE,"mgtsum.XLS";#N/A,#N/A,FALSE,"CAPONE";#N/A,#N/A,FALSE,"CAPTWO";#N/A,#N/A,FALSE,"CAPTHREE"}</definedName>
    <definedName name="aakdf" hidden="1">{#N/A,#N/A,FALSE,"mgtsum.XLS";#N/A,#N/A,FALSE,"CAPONE";#N/A,#N/A,FALSE,"CAPTWO";#N/A,#N/A,FALSE,"CAPTHREE"}</definedName>
    <definedName name="abcdefg" localSheetId="4" hidden="1">{#N/A,#N/A,FALSE,"mgtsum.XLS";#N/A,#N/A,FALSE,"CAPONE";#N/A,#N/A,FALSE,"CAPTWO";#N/A,#N/A,FALSE,"CAPTHREE"}</definedName>
    <definedName name="abcdefg" localSheetId="3" hidden="1">{#N/A,#N/A,FALSE,"mgtsum.XLS";#N/A,#N/A,FALSE,"CAPONE";#N/A,#N/A,FALSE,"CAPTWO";#N/A,#N/A,FALSE,"CAPTHREE"}</definedName>
    <definedName name="abcdefg" hidden="1">{#N/A,#N/A,FALSE,"mgtsum.XLS";#N/A,#N/A,FALSE,"CAPONE";#N/A,#N/A,FALSE,"CAPTWO";#N/A,#N/A,FALSE,"CAPTHREE"}</definedName>
    <definedName name="abcxyz" localSheetId="4" hidden="1">{#N/A,#N/A,FALSE,"mgtsum.XLS";#N/A,#N/A,FALSE,"CAPONE";#N/A,#N/A,FALSE,"CAPTWO";#N/A,#N/A,FALSE,"CAPTHREE"}</definedName>
    <definedName name="abcxyz" localSheetId="3" hidden="1">{#N/A,#N/A,FALSE,"mgtsum.XLS";#N/A,#N/A,FALSE,"CAPONE";#N/A,#N/A,FALSE,"CAPTWO";#N/A,#N/A,FALSE,"CAPTHREE"}</definedName>
    <definedName name="abcxyz" hidden="1">{#N/A,#N/A,FALSE,"mgtsum.XLS";#N/A,#N/A,FALSE,"CAPONE";#N/A,#N/A,FALSE,"CAPTWO";#N/A,#N/A,FALSE,"CAPTHREE"}</definedName>
    <definedName name="AccessDatabase" hidden="1">"C:\WINDOWS\Desktop\Byron's Dox\POchecklist.mdb"</definedName>
    <definedName name="Description">Summary!$B$15</definedName>
    <definedName name="Div01_General_Requirements">DivisionCostCodeLookup!$F$2:$F$22</definedName>
    <definedName name="Div02_Existing_Conditions">DivisionCostCodeLookup!$F$23:$F$36</definedName>
    <definedName name="Div03_Concrete">DivisionCostCodeLookup!$F$37:$F$44</definedName>
    <definedName name="Div04_Masonry">DivisionCostCodeLookup!$F$45:$F$51</definedName>
    <definedName name="Div05_Metals">DivisionCostCodeLookup!$F$52:$F$65</definedName>
    <definedName name="Div06_Wood_Plastics_And_Composites">DivisionCostCodeLookup!$F$66:$F$79</definedName>
    <definedName name="Div07_Thermaland_Moisture_Protection">DivisionCostCodeLookup!$F$80:$F$104</definedName>
    <definedName name="Div08_Openings">DivisionCostCodeLookup!$F$105:$F$125</definedName>
    <definedName name="Div09_Finishes">DivisionCostCodeLookup!$F$126:$F$157</definedName>
    <definedName name="Div10_Specialties">DivisionCostCodeLookup!$F$158:$F$173</definedName>
    <definedName name="Div11_Equipment">DivisionCostCodeLookup!$F$174:$F$182</definedName>
    <definedName name="Div12_Furnishings">DivisionCostCodeLookup!$F$183:$F$193</definedName>
    <definedName name="Div13_Special_Construction">DivisionCostCodeLookup!$F$194:$F$197</definedName>
    <definedName name="Div14_Conveying_Equipment">DivisionCostCodeLookup!$F$198:$F$204</definedName>
    <definedName name="Div21_Fire_Suppression">DivisionCostCodeLookup!$F$205:$F$219</definedName>
    <definedName name="Div22_Plumbing">DivisionCostCodeLookup!$F$220:$F$236</definedName>
    <definedName name="Div23_Heating_Ventilating_And_Air_Conditioning">DivisionCostCodeLookup!$F$237:$F$278</definedName>
    <definedName name="Div26_Electrical">DivisionCostCodeLookup!$F$279:$F$308</definedName>
    <definedName name="Div27_Communications">DivisionCostCodeLookup!$F$309:$F$328</definedName>
    <definedName name="Div28_Electronic_Safety_And_Security">DivisionCostCodeLookup!$F$329:$F$339</definedName>
    <definedName name="Div31_Earthwork">DivisionCostCodeLookup!$F$340:$F$353</definedName>
    <definedName name="Div32_Exterior_Improvements">DivisionCostCodeLookup!$F$354:$F$383</definedName>
    <definedName name="Div33_Utilities">DivisionCostCodeLookup!$F$384:$F$391</definedName>
    <definedName name="Div34_Transportation">DivisionCostCodeLookup!$F$392:$F$409</definedName>
    <definedName name="Div35_Waterway_And_Marine">DivisionCostCodeLookup!$F$410:$F$423</definedName>
    <definedName name="Div41_Material_Proc_And_Handling_Eq.">DivisionCostCodeLookup!$F$424:$F$426</definedName>
    <definedName name="Div51_Earthwork_FAA">DivisionCostCodeLookup!$F$428:$F$438</definedName>
    <definedName name="Div52_Flexible_Base_Courses_FAA">DivisionCostCodeLookup!$F$439:$F$447</definedName>
    <definedName name="Div53_Rigid_Base_Courses_FAA">DivisionCostCodeLookup!$F$448:$F$452</definedName>
    <definedName name="Div54_Flexible_Surface_Courses_FAA">DivisionCostCodeLookup!$F$453:$F$457</definedName>
    <definedName name="Div55_Rigid_Pavement_FAA">DivisionCostCodeLookup!$F$458:$F$460</definedName>
    <definedName name="Div56_Miscellaneous_FAA">DivisionCostCodeLookup!$F$461:$F$474</definedName>
    <definedName name="Div57_Fencing_FAA">DivisionCostCodeLookup!$F$475:$F$480</definedName>
    <definedName name="Div58_Drainage_FAA">DivisionCostCodeLookup!$F$481:$F$488</definedName>
    <definedName name="Div59_Turfing_FAA">DivisionCostCodeLookup!$F$489:$F$496</definedName>
    <definedName name="Div60_Lighting_Installation_FAA">DivisionCostCodeLookup!$F$497:$F$507</definedName>
    <definedName name="DivisionDescription">DivisionCostCodeLookup!$A$2:$A$37</definedName>
    <definedName name="DivisionSummaryList">DivisionCostCodeLookup!$L$2:$L$12</definedName>
    <definedName name="EstimateTotal">Summary!$C$34</definedName>
    <definedName name="fsd" localSheetId="4" hidden="1">{#N/A,#N/A,FALSE,"mgtsum.XLS";#N/A,#N/A,FALSE,"CAPONE";#N/A,#N/A,FALSE,"CAPTWO";#N/A,#N/A,FALSE,"CAPTHREE"}</definedName>
    <definedName name="fsd" localSheetId="3" hidden="1">{#N/A,#N/A,FALSE,"mgtsum.XLS";#N/A,#N/A,FALSE,"CAPONE";#N/A,#N/A,FALSE,"CAPTWO";#N/A,#N/A,FALSE,"CAPTHREE"}</definedName>
    <definedName name="fsd" hidden="1">{#N/A,#N/A,FALSE,"mgtsum.XLS";#N/A,#N/A,FALSE,"CAPONE";#N/A,#N/A,FALSE,"CAPTWO";#N/A,#N/A,FALSE,"CAPTHREE"}</definedName>
    <definedName name="fsds" localSheetId="4" hidden="1">{#N/A,#N/A,FALSE,"mgtsum.XLS";#N/A,#N/A,FALSE,"CAPONE";#N/A,#N/A,FALSE,"CAPTWO";#N/A,#N/A,FALSE,"CAPTHREE"}</definedName>
    <definedName name="fsds" localSheetId="3" hidden="1">{#N/A,#N/A,FALSE,"mgtsum.XLS";#N/A,#N/A,FALSE,"CAPONE";#N/A,#N/A,FALSE,"CAPTWO";#N/A,#N/A,FALSE,"CAPTHREE"}</definedName>
    <definedName name="fsds" hidden="1">{#N/A,#N/A,FALSE,"mgtsum.XLS";#N/A,#N/A,FALSE,"CAPONE";#N/A,#N/A,FALSE,"CAPTWO";#N/A,#N/A,FALSE,"CAPTHREE"}</definedName>
    <definedName name="HardCostSubTotal">Summary!$C$21</definedName>
    <definedName name="HCostForm">'Hard Cost Estimate Form'!$H$5</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lk" localSheetId="4" hidden="1">{#N/A,#N/A,FALSE,"mgtsum.XLS";#N/A,#N/A,FALSE,"CAPONE";#N/A,#N/A,FALSE,"CAPTWO";#N/A,#N/A,FALSE,"CAPTHREE"}</definedName>
    <definedName name="lk" localSheetId="3" hidden="1">{#N/A,#N/A,FALSE,"mgtsum.XLS";#N/A,#N/A,FALSE,"CAPONE";#N/A,#N/A,FALSE,"CAPTWO";#N/A,#N/A,FALSE,"CAPTHREE"}</definedName>
    <definedName name="lk" hidden="1">{#N/A,#N/A,FALSE,"mgtsum.XLS";#N/A,#N/A,FALSE,"CAPONE";#N/A,#N/A,FALSE,"CAPTWO";#N/A,#N/A,FALSE,"CAPTHREE"}</definedName>
    <definedName name="okay" localSheetId="4" hidden="1">{#N/A,#N/A,FALSE,"mgtsum.XLS";#N/A,#N/A,FALSE,"CAPONE";#N/A,#N/A,FALSE,"CAPTWO";#N/A,#N/A,FALSE,"CAPTHREE"}</definedName>
    <definedName name="okay" localSheetId="3" hidden="1">{#N/A,#N/A,FALSE,"mgtsum.XLS";#N/A,#N/A,FALSE,"CAPONE";#N/A,#N/A,FALSE,"CAPTWO";#N/A,#N/A,FALSE,"CAPTHREE"}</definedName>
    <definedName name="okay" hidden="1">{#N/A,#N/A,FALSE,"mgtsum.XLS";#N/A,#N/A,FALSE,"CAPONE";#N/A,#N/A,FALSE,"CAPTWO";#N/A,#N/A,FALSE,"CAPTHREE"}</definedName>
    <definedName name="_xlnm.Print_Area" localSheetId="4">Dashboard!$A$1:$K$47</definedName>
    <definedName name="_xlnm.Print_Area" localSheetId="1">'Hard Cost Estimate Form'!$A$1:$H$8</definedName>
    <definedName name="_xlnm.Print_Area" localSheetId="3">'Optional - Sch &amp; Resource Form'!$A$1:$G$6</definedName>
    <definedName name="_xlnm.Print_Area" localSheetId="2">'Soft Cost Estimating Form'!$A$1:$L$61</definedName>
    <definedName name="_xlnm.Print_Area" localSheetId="0">Summary!$A$1:$D$136</definedName>
    <definedName name="projectStage">Summary!$B$12</definedName>
    <definedName name="Regional" localSheetId="4" hidden="1">{#N/A,#N/A,FALSE,"mgtsum.XLS";#N/A,#N/A,FALSE,"CAPONE";#N/A,#N/A,FALSE,"CAPTWO";#N/A,#N/A,FALSE,"CAPTHREE"}</definedName>
    <definedName name="Regional" localSheetId="3" hidden="1">{#N/A,#N/A,FALSE,"mgtsum.XLS";#N/A,#N/A,FALSE,"CAPONE";#N/A,#N/A,FALSE,"CAPTWO";#N/A,#N/A,FALSE,"CAPTHREE"}</definedName>
    <definedName name="Regional" hidden="1">{#N/A,#N/A,FALSE,"mgtsum.XLS";#N/A,#N/A,FALSE,"CAPONE";#N/A,#N/A,FALSE,"CAPTWO";#N/A,#N/A,FALSE,"CAPTHREE"}</definedName>
    <definedName name="reuse" localSheetId="4" hidden="1">{#N/A,#N/A,FALSE,"mgtsum.XLS";#N/A,#N/A,FALSE,"CAPONE";#N/A,#N/A,FALSE,"CAPTWO";#N/A,#N/A,FALSE,"CAPTHREE"}</definedName>
    <definedName name="reuse" localSheetId="3" hidden="1">{#N/A,#N/A,FALSE,"mgtsum.XLS";#N/A,#N/A,FALSE,"CAPONE";#N/A,#N/A,FALSE,"CAPTWO";#N/A,#N/A,FALSE,"CAPTHREE"}</definedName>
    <definedName name="reuse" hidden="1">{#N/A,#N/A,FALSE,"mgtsum.XLS";#N/A,#N/A,FALSE,"CAPONE";#N/A,#N/A,FALSE,"CAPTWO";#N/A,#N/A,FALSE,"CAPTHREE"}</definedName>
    <definedName name="RevNotes">Summary!$B$19</definedName>
    <definedName name="Scope">Summary!$B$17</definedName>
    <definedName name="ScopeAccuracy">'Scope and Risk'!$C$3:$C$5</definedName>
    <definedName name="SCostForm" localSheetId="3">'Optional - Sch &amp; Resource Form'!$G$5</definedName>
    <definedName name="SCostForm">'Soft Cost Estimating Form'!$L$5</definedName>
    <definedName name="sdf" localSheetId="4" hidden="1">{#N/A,#N/A,FALSE,"mgtsum.XLS";#N/A,#N/A,FALSE,"CAPONE";#N/A,#N/A,FALSE,"CAPTWO";#N/A,#N/A,FALSE,"CAPTHREE"}</definedName>
    <definedName name="sdf" localSheetId="3" hidden="1">{#N/A,#N/A,FALSE,"mgtsum.XLS";#N/A,#N/A,FALSE,"CAPONE";#N/A,#N/A,FALSE,"CAPTWO";#N/A,#N/A,FALSE,"CAPTHREE"}</definedName>
    <definedName name="sdf" hidden="1">{#N/A,#N/A,FALSE,"mgtsum.XLS";#N/A,#N/A,FALSE,"CAPONE";#N/A,#N/A,FALSE,"CAPTWO";#N/A,#N/A,FALSE,"CAPTHREE"}</definedName>
    <definedName name="SoftCostSubtotal">Summary!$C$23</definedName>
    <definedName name="SoftCostUoM" localSheetId="9">SoftCostUom!$G$2:$G$7</definedName>
    <definedName name="SoftCostUoM">SoftCostUom!$G$2:$G$8</definedName>
    <definedName name="UoM" localSheetId="9">SoftCostUom!$C$2:$C$15</definedName>
    <definedName name="UoM">UoM!$C$2:$C$16</definedName>
    <definedName name="wqd" localSheetId="4" hidden="1">{#N/A,#N/A,FALSE,"mgtsum.XLS";#N/A,#N/A,FALSE,"CAPONE";#N/A,#N/A,FALSE,"CAPTWO";#N/A,#N/A,FALSE,"CAPTHREE"}</definedName>
    <definedName name="wqd" localSheetId="3" hidden="1">{#N/A,#N/A,FALSE,"mgtsum.XLS";#N/A,#N/A,FALSE,"CAPONE";#N/A,#N/A,FALSE,"CAPTWO";#N/A,#N/A,FALSE,"CAPTHREE"}</definedName>
    <definedName name="wqd" hidden="1">{#N/A,#N/A,FALSE,"mgtsum.XLS";#N/A,#N/A,FALSE,"CAPONE";#N/A,#N/A,FALSE,"CAPTWO";#N/A,#N/A,FALSE,"CAPTHREE"}</definedName>
    <definedName name="wrn.ALL." localSheetId="4" hidden="1">{#N/A,#N/A,FALSE,"Engr Data";#N/A,#N/A,FALSE,"Engr Cur";#N/A,#N/A,FALSE,"DsnDraft";#N/A,#N/A,FALSE,"DsnDftCur";#N/A,#N/A,FALSE,"Supports";#N/A,#N/A,FALSE,"SptCur";#N/A,#N/A,FALSE,"Total";#N/A,#N/A,FALSE,"TotCur";#N/A,#N/A,FALSE,"Client";#N/A,#N/A,FALSE,"Instructions"}</definedName>
    <definedName name="wrn.ALL." localSheetId="3"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clntrpt." localSheetId="4" hidden="1">{#N/A,#N/A,FALSE,"CLIENT HOPSR";#N/A,#N/A,FALSE,"JEG GRAPH";#N/A,#N/A,FALSE,"PROCESS";#N/A,#N/A,FALSE,"CIVIL";#N/A,#N/A,FALSE,"ELECTRICAL";#N/A,#N/A,FALSE,"CNTRL SYS";#N/A,#N/A,FALSE,"MECH";#N/A,#N/A,FALSE,"PIPE"}</definedName>
    <definedName name="wrn.clntrpt." localSheetId="3"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Detail." localSheetId="4" hidden="1">{"Detail",#N/A,FALSE,"Assump";"Detail",#N/A,FALSE,"Muni";"Detail",#N/A,FALSE,"Proj";"Detail",#N/A,FALSE,"Calc";"Present",#N/A,FALSE,"Cover"}</definedName>
    <definedName name="wrn.Detail." localSheetId="3" hidden="1">{"Detail",#N/A,FALSE,"Assump";"Detail",#N/A,FALSE,"Muni";"Detail",#N/A,FALSE,"Proj";"Detail",#N/A,FALSE,"Calc";"Present",#N/A,FALSE,"Cover"}</definedName>
    <definedName name="wrn.Detail." hidden="1">{"Detail",#N/A,FALSE,"Assump";"Detail",#N/A,FALSE,"Muni";"Detail",#N/A,FALSE,"Proj";"Detail",#N/A,FALSE,"Calc";"Present",#N/A,FALSE,"Cover"}</definedName>
    <definedName name="wrn.GENSERV." localSheetId="4" hidden="1">{#N/A,#N/A,FALSE,"VISTAF"}</definedName>
    <definedName name="wrn.GENSERV." localSheetId="3" hidden="1">{#N/A,#N/A,FALSE,"VISTAF"}</definedName>
    <definedName name="wrn.GENSERV." hidden="1">{#N/A,#N/A,FALSE,"VISTAF"}</definedName>
    <definedName name="wrn.jegrpt." localSheetId="4" hidden="1">{#N/A,#N/A,FALSE,"PJT STATUS RVW";#N/A,#N/A,FALSE,"MAPS CKLIST";#N/A,#N/A,FALSE,"HOPSR-BASE-IHOCS";#N/A,#N/A,FALSE,"HOPSR-BASE FOR REPORT";#N/A,#N/A,FALSE,"GEN SERVICES";#N/A,#N/A,FALSE,"FINANCIAL";#N/A,#N/A,FALSE,"CONTRACT CURVES";#N/A,#N/A,FALSE,"JEG GRAPH";#N/A,#N/A,FALSE,"JEG GRAPH (2)"}</definedName>
    <definedName name="wrn.jegrpt." localSheetId="3"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MARGIN." localSheetId="4" hidden="1">{#N/A,#N/A,FALSE,"VISTAF"}</definedName>
    <definedName name="wrn.MARGIN." localSheetId="3" hidden="1">{#N/A,#N/A,FALSE,"VISTAF"}</definedName>
    <definedName name="wrn.MARGIN." hidden="1">{#N/A,#N/A,FALSE,"VISTAF"}</definedName>
    <definedName name="wrn.mhrfcst." localSheetId="4" hidden="1">{#N/A,#N/A,FALSE,"MANHR FCST-BASE"}</definedName>
    <definedName name="wrn.mhrfcst." localSheetId="3" hidden="1">{#N/A,#N/A,FALSE,"MANHR FCST-BASE"}</definedName>
    <definedName name="wrn.mhrfcst." hidden="1">{#N/A,#N/A,FALSE,"MANHR FCST-BASE"}</definedName>
    <definedName name="wrn.P854._.ADDENDUM." localSheetId="4" hidden="1">{#N/A,#N/A,FALSE,"mgtsum.XLS";#N/A,#N/A,FALSE,"CAPONE";#N/A,#N/A,FALSE,"CAPTWO";#N/A,#N/A,FALSE,"CAPTHREE"}</definedName>
    <definedName name="wrn.P854._.ADDENDUM." localSheetId="3" hidden="1">{#N/A,#N/A,FALSE,"mgtsum.XLS";#N/A,#N/A,FALSE,"CAPONE";#N/A,#N/A,FALSE,"CAPTWO";#N/A,#N/A,FALSE,"CAPTHREE"}</definedName>
    <definedName name="wrn.P854._.ADDENDUM." hidden="1">{#N/A,#N/A,FALSE,"mgtsum.XLS";#N/A,#N/A,FALSE,"CAPONE";#N/A,#N/A,FALSE,"CAPTWO";#N/A,#N/A,FALSE,"CAPTHREE"}</definedName>
    <definedName name="wrn.p854._.addendum2" localSheetId="4" hidden="1">{#N/A,#N/A,FALSE,"mgtsum.XLS";#N/A,#N/A,FALSE,"CAPONE";#N/A,#N/A,FALSE,"CAPTWO";#N/A,#N/A,FALSE,"CAPTHREE"}</definedName>
    <definedName name="wrn.p854._.addendum2" localSheetId="3" hidden="1">{#N/A,#N/A,FALSE,"mgtsum.XLS";#N/A,#N/A,FALSE,"CAPONE";#N/A,#N/A,FALSE,"CAPTWO";#N/A,#N/A,FALSE,"CAPTHREE"}</definedName>
    <definedName name="wrn.p854._.addendum2" hidden="1">{#N/A,#N/A,FALSE,"mgtsum.XLS";#N/A,#N/A,FALSE,"CAPONE";#N/A,#N/A,FALSE,"CAPTWO";#N/A,#N/A,FALSE,"CAPTHREE"}</definedName>
    <definedName name="wrn.p854._.addendum3" localSheetId="4" hidden="1">{#N/A,#N/A,FALSE,"mgtsum.XLS";#N/A,#N/A,FALSE,"CAPONE";#N/A,#N/A,FALSE,"CAPTWO";#N/A,#N/A,FALSE,"CAPTHREE"}</definedName>
    <definedName name="wrn.p854._.addendum3" localSheetId="3" hidden="1">{#N/A,#N/A,FALSE,"mgtsum.XLS";#N/A,#N/A,FALSE,"CAPONE";#N/A,#N/A,FALSE,"CAPTWO";#N/A,#N/A,FALSE,"CAPTHREE"}</definedName>
    <definedName name="wrn.p854._.addendum3" hidden="1">{#N/A,#N/A,FALSE,"mgtsum.XLS";#N/A,#N/A,FALSE,"CAPONE";#N/A,#N/A,FALSE,"CAPTWO";#N/A,#N/A,FALSE,"CAPTHREE"}</definedName>
    <definedName name="wrn.Present." localSheetId="4" hidden="1">{"Present",#N/A,FALSE,"Assump";"Present",#N/A,FALSE,"Calc";"Present",#N/A,FALSE,"Cover"}</definedName>
    <definedName name="wrn.Present." localSheetId="3" hidden="1">{"Present",#N/A,FALSE,"Assump";"Present",#N/A,FALSE,"Calc";"Present",#N/A,FALSE,"Cover"}</definedName>
    <definedName name="wrn.Present." hidden="1">{"Present",#N/A,FALSE,"Assump";"Present",#N/A,FALSE,"Calc";"Present",#N/A,FALSE,"Cover"}</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41" l="1"/>
  <c r="D12" i="241"/>
  <c r="D11" i="241"/>
  <c r="D10" i="241"/>
  <c r="D9" i="241"/>
  <c r="B5" i="241" l="1"/>
  <c r="B4" i="241"/>
  <c r="B3" i="241"/>
  <c r="B2" i="241"/>
  <c r="C83" i="241"/>
  <c r="C84" i="241" s="1"/>
  <c r="J34" i="234" s="1"/>
  <c r="C54" i="241"/>
  <c r="C22" i="241"/>
  <c r="C23" i="241" s="1"/>
  <c r="J13" i="234" s="1"/>
  <c r="C17" i="241"/>
  <c r="J8" i="234" s="1"/>
  <c r="C25" i="241" l="1"/>
  <c r="C40" i="241"/>
  <c r="C73" i="241"/>
  <c r="C26" i="241"/>
  <c r="C58" i="241"/>
  <c r="C59" i="241" s="1"/>
  <c r="J25" i="234" s="1"/>
  <c r="C74" i="241"/>
  <c r="C39" i="241"/>
  <c r="C55" i="241"/>
  <c r="C56" i="241" s="1"/>
  <c r="J24" i="234" s="1"/>
  <c r="C72" i="241"/>
  <c r="C61" i="241"/>
  <c r="C77" i="241"/>
  <c r="C78" i="241" s="1"/>
  <c r="J32" i="234" s="1"/>
  <c r="C30" i="241"/>
  <c r="C46" i="241"/>
  <c r="C47" i="241" s="1"/>
  <c r="J21" i="234" s="1"/>
  <c r="C62" i="241"/>
  <c r="C31" i="241"/>
  <c r="C63" i="241"/>
  <c r="C80" i="241"/>
  <c r="C81" i="241" s="1"/>
  <c r="J33" i="234" s="1"/>
  <c r="C27" i="241"/>
  <c r="C43" i="241"/>
  <c r="C44" i="241" s="1"/>
  <c r="J18" i="234" s="1"/>
  <c r="C49" i="241"/>
  <c r="C34" i="241"/>
  <c r="C50" i="241"/>
  <c r="C66" i="241"/>
  <c r="C67" i="241" s="1"/>
  <c r="J28" i="234" s="1"/>
  <c r="C19" i="241"/>
  <c r="C20" i="241" s="1"/>
  <c r="J12" i="234" s="1"/>
  <c r="C35" i="241"/>
  <c r="C51" i="241"/>
  <c r="C36" i="241"/>
  <c r="C69" i="241"/>
  <c r="C70" i="241" s="1"/>
  <c r="J29" i="234" s="1"/>
  <c r="C64" i="241" l="1"/>
  <c r="J26" i="234" s="1"/>
  <c r="C75" i="241"/>
  <c r="J31" i="234" s="1"/>
  <c r="C37" i="241"/>
  <c r="J16" i="234" s="1"/>
  <c r="C41" i="241"/>
  <c r="J17" i="234" s="1"/>
  <c r="C52" i="241"/>
  <c r="J22" i="234" s="1"/>
  <c r="C28" i="241"/>
  <c r="J14" i="234" s="1"/>
  <c r="C32" i="241"/>
  <c r="J15" i="234" s="1"/>
  <c r="C86" i="241" l="1"/>
  <c r="C87" i="241" s="1"/>
  <c r="J36" i="234" l="1"/>
  <c r="C89" i="241"/>
  <c r="AA1" i="234" l="1"/>
  <c r="E712" i="234" l="1"/>
  <c r="C73" i="240" l="1"/>
  <c r="C40" i="240"/>
  <c r="C42" i="240"/>
  <c r="C43" i="240"/>
  <c r="C44" i="240"/>
  <c r="C45" i="240"/>
  <c r="C46" i="240"/>
  <c r="C47" i="240"/>
  <c r="C48" i="240"/>
  <c r="C49" i="240"/>
  <c r="C50" i="240"/>
  <c r="C51" i="240"/>
  <c r="C52" i="240"/>
  <c r="C53" i="240"/>
  <c r="C54" i="240"/>
  <c r="C56" i="240"/>
  <c r="C57" i="240"/>
  <c r="C58" i="240"/>
  <c r="C59" i="240"/>
  <c r="C60" i="240"/>
  <c r="C61" i="240"/>
  <c r="C62" i="240"/>
  <c r="C63" i="240"/>
  <c r="C64" i="240"/>
  <c r="C65" i="240"/>
  <c r="C66" i="240"/>
  <c r="C67" i="240"/>
  <c r="C68" i="240"/>
  <c r="C69" i="240"/>
  <c r="C70" i="240"/>
  <c r="C71" i="240"/>
  <c r="C72" i="240"/>
  <c r="C38" i="240"/>
  <c r="H1000" i="228" l="1"/>
  <c r="C1000" i="228"/>
  <c r="H999" i="228"/>
  <c r="C999" i="228"/>
  <c r="H998" i="228"/>
  <c r="C998" i="228"/>
  <c r="H997" i="228"/>
  <c r="C997" i="228"/>
  <c r="H996" i="228"/>
  <c r="C996" i="228"/>
  <c r="H995" i="228"/>
  <c r="C995" i="228"/>
  <c r="H994" i="228"/>
  <c r="C994" i="228"/>
  <c r="H993" i="228"/>
  <c r="C993" i="228"/>
  <c r="H992" i="228"/>
  <c r="C992" i="228"/>
  <c r="H991" i="228"/>
  <c r="C991" i="228"/>
  <c r="H990" i="228"/>
  <c r="C990" i="228"/>
  <c r="H989" i="228"/>
  <c r="C989" i="228"/>
  <c r="H988" i="228"/>
  <c r="C988" i="228"/>
  <c r="H987" i="228"/>
  <c r="C987" i="228"/>
  <c r="H986" i="228"/>
  <c r="C986" i="228"/>
  <c r="H985" i="228"/>
  <c r="C985" i="228"/>
  <c r="H984" i="228"/>
  <c r="C984" i="228"/>
  <c r="H983" i="228"/>
  <c r="C983" i="228"/>
  <c r="H982" i="228"/>
  <c r="C982" i="228"/>
  <c r="H981" i="228"/>
  <c r="C981" i="228"/>
  <c r="H980" i="228"/>
  <c r="C980" i="228"/>
  <c r="H979" i="228"/>
  <c r="C979" i="228"/>
  <c r="H978" i="228"/>
  <c r="C978" i="228"/>
  <c r="H977" i="228"/>
  <c r="C977" i="228"/>
  <c r="H976" i="228"/>
  <c r="C976" i="228"/>
  <c r="H975" i="228"/>
  <c r="C975" i="228"/>
  <c r="H974" i="228"/>
  <c r="C974" i="228"/>
  <c r="H973" i="228"/>
  <c r="C973" i="228"/>
  <c r="H972" i="228"/>
  <c r="C972" i="228"/>
  <c r="H971" i="228"/>
  <c r="C971" i="228"/>
  <c r="H970" i="228"/>
  <c r="C970" i="228"/>
  <c r="H969" i="228"/>
  <c r="C969" i="228"/>
  <c r="H968" i="228"/>
  <c r="C968" i="228"/>
  <c r="H967" i="228"/>
  <c r="C967" i="228"/>
  <c r="H966" i="228"/>
  <c r="C966" i="228"/>
  <c r="H965" i="228"/>
  <c r="C965" i="228"/>
  <c r="H964" i="228"/>
  <c r="C964" i="228"/>
  <c r="H963" i="228"/>
  <c r="C963" i="228"/>
  <c r="H962" i="228"/>
  <c r="C962" i="228"/>
  <c r="H961" i="228"/>
  <c r="C961" i="228"/>
  <c r="H960" i="228"/>
  <c r="C960" i="228"/>
  <c r="H959" i="228"/>
  <c r="C959" i="228"/>
  <c r="H958" i="228"/>
  <c r="C958" i="228"/>
  <c r="H957" i="228"/>
  <c r="C957" i="228"/>
  <c r="H956" i="228"/>
  <c r="C956" i="228"/>
  <c r="H955" i="228"/>
  <c r="C955" i="228"/>
  <c r="H954" i="228"/>
  <c r="C954" i="228"/>
  <c r="H953" i="228"/>
  <c r="C953" i="228"/>
  <c r="H952" i="228"/>
  <c r="C952" i="228"/>
  <c r="H951" i="228"/>
  <c r="C951" i="228"/>
  <c r="H950" i="228"/>
  <c r="C950" i="228"/>
  <c r="H949" i="228"/>
  <c r="C949" i="228"/>
  <c r="H948" i="228"/>
  <c r="C948" i="228"/>
  <c r="H947" i="228"/>
  <c r="C947" i="228"/>
  <c r="H946" i="228"/>
  <c r="C946" i="228"/>
  <c r="H945" i="228"/>
  <c r="C945" i="228"/>
  <c r="H944" i="228"/>
  <c r="C944" i="228"/>
  <c r="H943" i="228"/>
  <c r="C943" i="228"/>
  <c r="H942" i="228"/>
  <c r="C942" i="228"/>
  <c r="H941" i="228"/>
  <c r="C941" i="228"/>
  <c r="H940" i="228"/>
  <c r="C940" i="228"/>
  <c r="H939" i="228"/>
  <c r="C939" i="228"/>
  <c r="H938" i="228"/>
  <c r="C938" i="228"/>
  <c r="H937" i="228"/>
  <c r="C937" i="228"/>
  <c r="H936" i="228"/>
  <c r="C936" i="228"/>
  <c r="H935" i="228"/>
  <c r="C935" i="228"/>
  <c r="H934" i="228"/>
  <c r="C934" i="228"/>
  <c r="H933" i="228"/>
  <c r="C933" i="228"/>
  <c r="H932" i="228"/>
  <c r="C932" i="228"/>
  <c r="H931" i="228"/>
  <c r="C931" i="228"/>
  <c r="H930" i="228"/>
  <c r="C930" i="228"/>
  <c r="H929" i="228"/>
  <c r="C929" i="228"/>
  <c r="H928" i="228"/>
  <c r="C928" i="228"/>
  <c r="H927" i="228"/>
  <c r="C927" i="228"/>
  <c r="H926" i="228"/>
  <c r="C926" i="228"/>
  <c r="H925" i="228"/>
  <c r="C925" i="228"/>
  <c r="H924" i="228"/>
  <c r="C924" i="228"/>
  <c r="H923" i="228"/>
  <c r="C923" i="228"/>
  <c r="H922" i="228"/>
  <c r="C922" i="228"/>
  <c r="H921" i="228"/>
  <c r="C921" i="228"/>
  <c r="H920" i="228"/>
  <c r="C920" i="228"/>
  <c r="H919" i="228"/>
  <c r="C919" i="228"/>
  <c r="H918" i="228"/>
  <c r="C918" i="228"/>
  <c r="H917" i="228"/>
  <c r="C917" i="228"/>
  <c r="H916" i="228"/>
  <c r="C916" i="228"/>
  <c r="H915" i="228"/>
  <c r="C915" i="228"/>
  <c r="H914" i="228"/>
  <c r="C914" i="228"/>
  <c r="H913" i="228"/>
  <c r="C913" i="228"/>
  <c r="H912" i="228"/>
  <c r="C912" i="228"/>
  <c r="H911" i="228"/>
  <c r="C911" i="228"/>
  <c r="H910" i="228"/>
  <c r="C910" i="228"/>
  <c r="H909" i="228"/>
  <c r="C909" i="228"/>
  <c r="H908" i="228"/>
  <c r="C908" i="228"/>
  <c r="H907" i="228"/>
  <c r="C907" i="228"/>
  <c r="H906" i="228"/>
  <c r="C906" i="228"/>
  <c r="H905" i="228"/>
  <c r="C905" i="228"/>
  <c r="H904" i="228"/>
  <c r="C904" i="228"/>
  <c r="H903" i="228"/>
  <c r="C903" i="228"/>
  <c r="H902" i="228"/>
  <c r="C902" i="228"/>
  <c r="H901" i="228"/>
  <c r="C901" i="228"/>
  <c r="H900" i="228"/>
  <c r="C900" i="228"/>
  <c r="H899" i="228"/>
  <c r="C899" i="228"/>
  <c r="H898" i="228"/>
  <c r="C898" i="228"/>
  <c r="H897" i="228"/>
  <c r="C897" i="228"/>
  <c r="H896" i="228"/>
  <c r="C896" i="228"/>
  <c r="H895" i="228"/>
  <c r="C895" i="228"/>
  <c r="H894" i="228"/>
  <c r="C894" i="228"/>
  <c r="H893" i="228"/>
  <c r="C893" i="228"/>
  <c r="H892" i="228"/>
  <c r="C892" i="228"/>
  <c r="H891" i="228"/>
  <c r="C891" i="228"/>
  <c r="H890" i="228"/>
  <c r="C890" i="228"/>
  <c r="H889" i="228"/>
  <c r="C889" i="228"/>
  <c r="H888" i="228"/>
  <c r="C888" i="228"/>
  <c r="H887" i="228"/>
  <c r="C887" i="228"/>
  <c r="H886" i="228"/>
  <c r="C886" i="228"/>
  <c r="H885" i="228"/>
  <c r="C885" i="228"/>
  <c r="H884" i="228"/>
  <c r="C884" i="228"/>
  <c r="H883" i="228"/>
  <c r="C883" i="228"/>
  <c r="H882" i="228"/>
  <c r="C882" i="228"/>
  <c r="H881" i="228"/>
  <c r="C881" i="228"/>
  <c r="H880" i="228"/>
  <c r="C880" i="228"/>
  <c r="H879" i="228"/>
  <c r="C879" i="228"/>
  <c r="H878" i="228"/>
  <c r="C878" i="228"/>
  <c r="H877" i="228"/>
  <c r="C877" i="228"/>
  <c r="H876" i="228"/>
  <c r="C876" i="228"/>
  <c r="H875" i="228"/>
  <c r="C875" i="228"/>
  <c r="H874" i="228"/>
  <c r="C874" i="228"/>
  <c r="H873" i="228"/>
  <c r="C873" i="228"/>
  <c r="H872" i="228"/>
  <c r="C872" i="228"/>
  <c r="H871" i="228"/>
  <c r="C871" i="228"/>
  <c r="H870" i="228"/>
  <c r="C870" i="228"/>
  <c r="H869" i="228"/>
  <c r="C869" i="228"/>
  <c r="H868" i="228"/>
  <c r="C868" i="228"/>
  <c r="H867" i="228"/>
  <c r="C867" i="228"/>
  <c r="H866" i="228"/>
  <c r="C866" i="228"/>
  <c r="H865" i="228"/>
  <c r="C865" i="228"/>
  <c r="H864" i="228"/>
  <c r="C864" i="228"/>
  <c r="H863" i="228"/>
  <c r="C863" i="228"/>
  <c r="H862" i="228"/>
  <c r="C862" i="228"/>
  <c r="H861" i="228"/>
  <c r="C861" i="228"/>
  <c r="H860" i="228"/>
  <c r="C860" i="228"/>
  <c r="H859" i="228"/>
  <c r="C859" i="228"/>
  <c r="H858" i="228"/>
  <c r="C858" i="228"/>
  <c r="H857" i="228"/>
  <c r="C857" i="228"/>
  <c r="H856" i="228"/>
  <c r="C856" i="228"/>
  <c r="H855" i="228"/>
  <c r="C855" i="228"/>
  <c r="H854" i="228"/>
  <c r="C854" i="228"/>
  <c r="H853" i="228"/>
  <c r="C853" i="228"/>
  <c r="H852" i="228"/>
  <c r="C852" i="228"/>
  <c r="H851" i="228"/>
  <c r="C851" i="228"/>
  <c r="H850" i="228"/>
  <c r="C850" i="228"/>
  <c r="H849" i="228"/>
  <c r="C849" i="228"/>
  <c r="H848" i="228"/>
  <c r="C848" i="228"/>
  <c r="H847" i="228"/>
  <c r="C847" i="228"/>
  <c r="H846" i="228"/>
  <c r="C846" i="228"/>
  <c r="H845" i="228"/>
  <c r="C845" i="228"/>
  <c r="H844" i="228"/>
  <c r="C844" i="228"/>
  <c r="H843" i="228"/>
  <c r="C843" i="228"/>
  <c r="H842" i="228"/>
  <c r="C842" i="228"/>
  <c r="H841" i="228"/>
  <c r="C841" i="228"/>
  <c r="H840" i="228"/>
  <c r="C840" i="228"/>
  <c r="H839" i="228"/>
  <c r="C839" i="228"/>
  <c r="H838" i="228"/>
  <c r="C838" i="228"/>
  <c r="H837" i="228"/>
  <c r="C837" i="228"/>
  <c r="H836" i="228"/>
  <c r="C836" i="228"/>
  <c r="H835" i="228"/>
  <c r="C835" i="228"/>
  <c r="H834" i="228"/>
  <c r="C834" i="228"/>
  <c r="H833" i="228"/>
  <c r="C833" i="228"/>
  <c r="H832" i="228"/>
  <c r="C832" i="228"/>
  <c r="H831" i="228"/>
  <c r="C831" i="228"/>
  <c r="H830" i="228"/>
  <c r="C830" i="228"/>
  <c r="H829" i="228"/>
  <c r="C829" i="228"/>
  <c r="H828" i="228"/>
  <c r="C828" i="228"/>
  <c r="H827" i="228"/>
  <c r="C827" i="228"/>
  <c r="H826" i="228"/>
  <c r="C826" i="228"/>
  <c r="H825" i="228"/>
  <c r="C825" i="228"/>
  <c r="H824" i="228"/>
  <c r="C824" i="228"/>
  <c r="H823" i="228"/>
  <c r="C823" i="228"/>
  <c r="H822" i="228"/>
  <c r="C822" i="228"/>
  <c r="H821" i="228"/>
  <c r="C821" i="228"/>
  <c r="H820" i="228"/>
  <c r="C820" i="228"/>
  <c r="H819" i="228"/>
  <c r="C819" i="228"/>
  <c r="H818" i="228"/>
  <c r="C818" i="228"/>
  <c r="H817" i="228"/>
  <c r="C817" i="228"/>
  <c r="H816" i="228"/>
  <c r="C816" i="228"/>
  <c r="H815" i="228"/>
  <c r="C815" i="228"/>
  <c r="H814" i="228"/>
  <c r="C814" i="228"/>
  <c r="H813" i="228"/>
  <c r="C813" i="228"/>
  <c r="H812" i="228"/>
  <c r="C812" i="228"/>
  <c r="H811" i="228"/>
  <c r="C811" i="228"/>
  <c r="H810" i="228"/>
  <c r="C810" i="228"/>
  <c r="H809" i="228"/>
  <c r="C809" i="228"/>
  <c r="H808" i="228"/>
  <c r="C808" i="228"/>
  <c r="H807" i="228"/>
  <c r="C807" i="228"/>
  <c r="H806" i="228"/>
  <c r="C806" i="228"/>
  <c r="H805" i="228"/>
  <c r="C805" i="228"/>
  <c r="H804" i="228"/>
  <c r="C804" i="228"/>
  <c r="H803" i="228"/>
  <c r="C803" i="228"/>
  <c r="H802" i="228"/>
  <c r="C802" i="228"/>
  <c r="H801" i="228"/>
  <c r="C801" i="228"/>
  <c r="H800" i="228"/>
  <c r="C800" i="228"/>
  <c r="H799" i="228"/>
  <c r="C799" i="228"/>
  <c r="H798" i="228"/>
  <c r="C798" i="228"/>
  <c r="H797" i="228"/>
  <c r="C797" i="228"/>
  <c r="H796" i="228"/>
  <c r="C796" i="228"/>
  <c r="H795" i="228"/>
  <c r="C795" i="228"/>
  <c r="H794" i="228"/>
  <c r="C794" i="228"/>
  <c r="H793" i="228"/>
  <c r="C793" i="228"/>
  <c r="H792" i="228"/>
  <c r="C792" i="228"/>
  <c r="H791" i="228"/>
  <c r="C791" i="228"/>
  <c r="H790" i="228"/>
  <c r="C790" i="228"/>
  <c r="H789" i="228"/>
  <c r="C789" i="228"/>
  <c r="H788" i="228"/>
  <c r="C788" i="228"/>
  <c r="H787" i="228"/>
  <c r="C787" i="228"/>
  <c r="H786" i="228"/>
  <c r="C786" i="228"/>
  <c r="H785" i="228"/>
  <c r="C785" i="228"/>
  <c r="H784" i="228"/>
  <c r="C784" i="228"/>
  <c r="H783" i="228"/>
  <c r="C783" i="228"/>
  <c r="H782" i="228"/>
  <c r="C782" i="228"/>
  <c r="H781" i="228"/>
  <c r="C781" i="228"/>
  <c r="H780" i="228"/>
  <c r="C780" i="228"/>
  <c r="H779" i="228"/>
  <c r="C779" i="228"/>
  <c r="H778" i="228"/>
  <c r="C778" i="228"/>
  <c r="H777" i="228"/>
  <c r="C777" i="228"/>
  <c r="H776" i="228"/>
  <c r="C776" i="228"/>
  <c r="H775" i="228"/>
  <c r="C775" i="228"/>
  <c r="H774" i="228"/>
  <c r="C774" i="228"/>
  <c r="H773" i="228"/>
  <c r="C773" i="228"/>
  <c r="H772" i="228"/>
  <c r="C772" i="228"/>
  <c r="H771" i="228"/>
  <c r="C771" i="228"/>
  <c r="H770" i="228"/>
  <c r="C770" i="228"/>
  <c r="H769" i="228"/>
  <c r="C769" i="228"/>
  <c r="H768" i="228"/>
  <c r="C768" i="228"/>
  <c r="H767" i="228"/>
  <c r="C767" i="228"/>
  <c r="H766" i="228"/>
  <c r="C766" i="228"/>
  <c r="H765" i="228"/>
  <c r="C765" i="228"/>
  <c r="H764" i="228"/>
  <c r="C764" i="228"/>
  <c r="H763" i="228"/>
  <c r="C763" i="228"/>
  <c r="H762" i="228"/>
  <c r="C762" i="228"/>
  <c r="H761" i="228"/>
  <c r="C761" i="228"/>
  <c r="H760" i="228"/>
  <c r="C760" i="228"/>
  <c r="H759" i="228"/>
  <c r="C759" i="228"/>
  <c r="H758" i="228"/>
  <c r="C758" i="228"/>
  <c r="H757" i="228"/>
  <c r="C757" i="228"/>
  <c r="H756" i="228"/>
  <c r="C756" i="228"/>
  <c r="H755" i="228"/>
  <c r="C755" i="228"/>
  <c r="H754" i="228"/>
  <c r="C754" i="228"/>
  <c r="H753" i="228"/>
  <c r="C753" i="228"/>
  <c r="H752" i="228"/>
  <c r="C752" i="228"/>
  <c r="H751" i="228"/>
  <c r="C751" i="228"/>
  <c r="H750" i="228"/>
  <c r="C750" i="228"/>
  <c r="H749" i="228"/>
  <c r="C749" i="228"/>
  <c r="H748" i="228"/>
  <c r="C748" i="228"/>
  <c r="H747" i="228"/>
  <c r="C747" i="228"/>
  <c r="H746" i="228"/>
  <c r="C746" i="228"/>
  <c r="H745" i="228"/>
  <c r="C745" i="228"/>
  <c r="H744" i="228"/>
  <c r="C744" i="228"/>
  <c r="H743" i="228"/>
  <c r="C743" i="228"/>
  <c r="H742" i="228"/>
  <c r="C742" i="228"/>
  <c r="H741" i="228"/>
  <c r="C741" i="228"/>
  <c r="H740" i="228"/>
  <c r="C740" i="228"/>
  <c r="H739" i="228"/>
  <c r="C739" i="228"/>
  <c r="H738" i="228"/>
  <c r="C738" i="228"/>
  <c r="H737" i="228"/>
  <c r="C737" i="228"/>
  <c r="H736" i="228"/>
  <c r="C736" i="228"/>
  <c r="H735" i="228"/>
  <c r="C735" i="228"/>
  <c r="H734" i="228"/>
  <c r="C734" i="228"/>
  <c r="H733" i="228"/>
  <c r="C733" i="228"/>
  <c r="H732" i="228"/>
  <c r="C732" i="228"/>
  <c r="H731" i="228"/>
  <c r="C731" i="228"/>
  <c r="H730" i="228"/>
  <c r="C730" i="228"/>
  <c r="H729" i="228"/>
  <c r="C729" i="228"/>
  <c r="H728" i="228"/>
  <c r="C728" i="228"/>
  <c r="H727" i="228"/>
  <c r="C727" i="228"/>
  <c r="H726" i="228"/>
  <c r="C726" i="228"/>
  <c r="H725" i="228"/>
  <c r="C725" i="228"/>
  <c r="H724" i="228"/>
  <c r="C724" i="228"/>
  <c r="H723" i="228"/>
  <c r="C723" i="228"/>
  <c r="H722" i="228"/>
  <c r="C722" i="228"/>
  <c r="H721" i="228"/>
  <c r="C721" i="228"/>
  <c r="H720" i="228"/>
  <c r="C720" i="228"/>
  <c r="H719" i="228"/>
  <c r="C719" i="228"/>
  <c r="H718" i="228"/>
  <c r="C718" i="228"/>
  <c r="H717" i="228"/>
  <c r="C717" i="228"/>
  <c r="H716" i="228"/>
  <c r="C716" i="228"/>
  <c r="H715" i="228"/>
  <c r="C715" i="228"/>
  <c r="H714" i="228"/>
  <c r="C714" i="228"/>
  <c r="H713" i="228"/>
  <c r="C713" i="228"/>
  <c r="H712" i="228"/>
  <c r="C712" i="228"/>
  <c r="H711" i="228"/>
  <c r="C711" i="228"/>
  <c r="H710" i="228"/>
  <c r="C710" i="228"/>
  <c r="H709" i="228"/>
  <c r="C709" i="228"/>
  <c r="H708" i="228"/>
  <c r="C708" i="228"/>
  <c r="H707" i="228"/>
  <c r="C707" i="228"/>
  <c r="H706" i="228"/>
  <c r="C706" i="228"/>
  <c r="H705" i="228"/>
  <c r="C705" i="228"/>
  <c r="H704" i="228"/>
  <c r="C704" i="228"/>
  <c r="H703" i="228"/>
  <c r="C703" i="228"/>
  <c r="H702" i="228"/>
  <c r="C702" i="228"/>
  <c r="H701" i="228"/>
  <c r="C701" i="228"/>
  <c r="H700" i="228"/>
  <c r="C700" i="228"/>
  <c r="H699" i="228"/>
  <c r="C699" i="228"/>
  <c r="H698" i="228"/>
  <c r="C698" i="228"/>
  <c r="H697" i="228"/>
  <c r="C697" i="228"/>
  <c r="H696" i="228"/>
  <c r="C696" i="228"/>
  <c r="H695" i="228"/>
  <c r="C695" i="228"/>
  <c r="H694" i="228"/>
  <c r="C694" i="228"/>
  <c r="H693" i="228"/>
  <c r="C693" i="228"/>
  <c r="H692" i="228"/>
  <c r="C692" i="228"/>
  <c r="H691" i="228"/>
  <c r="C691" i="228"/>
  <c r="H690" i="228"/>
  <c r="C690" i="228"/>
  <c r="H689" i="228"/>
  <c r="C689" i="228"/>
  <c r="H688" i="228"/>
  <c r="C688" i="228"/>
  <c r="H687" i="228"/>
  <c r="C687" i="228"/>
  <c r="H686" i="228"/>
  <c r="C686" i="228"/>
  <c r="H685" i="228"/>
  <c r="C685" i="228"/>
  <c r="H684" i="228"/>
  <c r="C684" i="228"/>
  <c r="H683" i="228"/>
  <c r="C683" i="228"/>
  <c r="H682" i="228"/>
  <c r="C682" i="228"/>
  <c r="H681" i="228"/>
  <c r="C681" i="228"/>
  <c r="H680" i="228"/>
  <c r="C680" i="228"/>
  <c r="H679" i="228"/>
  <c r="C679" i="228"/>
  <c r="H678" i="228"/>
  <c r="C678" i="228"/>
  <c r="H677" i="228"/>
  <c r="C677" i="228"/>
  <c r="H676" i="228"/>
  <c r="C676" i="228"/>
  <c r="H675" i="228"/>
  <c r="C675" i="228"/>
  <c r="H674" i="228"/>
  <c r="C674" i="228"/>
  <c r="H673" i="228"/>
  <c r="C673" i="228"/>
  <c r="H672" i="228"/>
  <c r="C672" i="228"/>
  <c r="H671" i="228"/>
  <c r="C671" i="228"/>
  <c r="H670" i="228"/>
  <c r="C670" i="228"/>
  <c r="H669" i="228"/>
  <c r="C669" i="228"/>
  <c r="H668" i="228"/>
  <c r="C668" i="228"/>
  <c r="H667" i="228"/>
  <c r="C667" i="228"/>
  <c r="H666" i="228"/>
  <c r="C666" i="228"/>
  <c r="H665" i="228"/>
  <c r="C665" i="228"/>
  <c r="H664" i="228"/>
  <c r="C664" i="228"/>
  <c r="H663" i="228"/>
  <c r="C663" i="228"/>
  <c r="H662" i="228"/>
  <c r="C662" i="228"/>
  <c r="H661" i="228"/>
  <c r="C661" i="228"/>
  <c r="H660" i="228"/>
  <c r="C660" i="228"/>
  <c r="H659" i="228"/>
  <c r="C659" i="228"/>
  <c r="H658" i="228"/>
  <c r="C658" i="228"/>
  <c r="H657" i="228"/>
  <c r="C657" i="228"/>
  <c r="H656" i="228"/>
  <c r="C656" i="228"/>
  <c r="H655" i="228"/>
  <c r="C655" i="228"/>
  <c r="H654" i="228"/>
  <c r="C654" i="228"/>
  <c r="H653" i="228"/>
  <c r="C653" i="228"/>
  <c r="H652" i="228"/>
  <c r="C652" i="228"/>
  <c r="H651" i="228"/>
  <c r="C651" i="228"/>
  <c r="H650" i="228"/>
  <c r="C650" i="228"/>
  <c r="H649" i="228"/>
  <c r="C649" i="228"/>
  <c r="H648" i="228"/>
  <c r="C648" i="228"/>
  <c r="H647" i="228"/>
  <c r="C647" i="228"/>
  <c r="H646" i="228"/>
  <c r="C646" i="228"/>
  <c r="H645" i="228"/>
  <c r="C645" i="228"/>
  <c r="H644" i="228"/>
  <c r="C644" i="228"/>
  <c r="H643" i="228"/>
  <c r="C643" i="228"/>
  <c r="H642" i="228"/>
  <c r="C642" i="228"/>
  <c r="H641" i="228"/>
  <c r="C641" i="228"/>
  <c r="H640" i="228"/>
  <c r="C640" i="228"/>
  <c r="H639" i="228"/>
  <c r="C639" i="228"/>
  <c r="H638" i="228"/>
  <c r="C638" i="228"/>
  <c r="H637" i="228"/>
  <c r="C637" i="228"/>
  <c r="H636" i="228"/>
  <c r="C636" i="228"/>
  <c r="H635" i="228"/>
  <c r="C635" i="228"/>
  <c r="H634" i="228"/>
  <c r="C634" i="228"/>
  <c r="H633" i="228"/>
  <c r="C633" i="228"/>
  <c r="H632" i="228"/>
  <c r="C632" i="228"/>
  <c r="H631" i="228"/>
  <c r="C631" i="228"/>
  <c r="H630" i="228"/>
  <c r="C630" i="228"/>
  <c r="H629" i="228"/>
  <c r="C629" i="228"/>
  <c r="H628" i="228"/>
  <c r="C628" i="228"/>
  <c r="H627" i="228"/>
  <c r="C627" i="228"/>
  <c r="H626" i="228"/>
  <c r="C626" i="228"/>
  <c r="H625" i="228"/>
  <c r="C625" i="228"/>
  <c r="H624" i="228"/>
  <c r="C624" i="228"/>
  <c r="H623" i="228"/>
  <c r="C623" i="228"/>
  <c r="H622" i="228"/>
  <c r="C622" i="228"/>
  <c r="H621" i="228"/>
  <c r="C621" i="228"/>
  <c r="H620" i="228"/>
  <c r="C620" i="228"/>
  <c r="H619" i="228"/>
  <c r="C619" i="228"/>
  <c r="H618" i="228"/>
  <c r="C618" i="228"/>
  <c r="H617" i="228"/>
  <c r="C617" i="228"/>
  <c r="H616" i="228"/>
  <c r="C616" i="228"/>
  <c r="H615" i="228"/>
  <c r="C615" i="228"/>
  <c r="H614" i="228"/>
  <c r="C614" i="228"/>
  <c r="H613" i="228"/>
  <c r="C613" i="228"/>
  <c r="H612" i="228"/>
  <c r="C612" i="228"/>
  <c r="H611" i="228"/>
  <c r="C611" i="228"/>
  <c r="H610" i="228"/>
  <c r="C610" i="228"/>
  <c r="H609" i="228"/>
  <c r="C609" i="228"/>
  <c r="H608" i="228"/>
  <c r="C608" i="228"/>
  <c r="H607" i="228"/>
  <c r="C607" i="228"/>
  <c r="H606" i="228"/>
  <c r="C606" i="228"/>
  <c r="H605" i="228"/>
  <c r="C605" i="228"/>
  <c r="H604" i="228"/>
  <c r="C604" i="228"/>
  <c r="H603" i="228"/>
  <c r="C603" i="228"/>
  <c r="H602" i="228"/>
  <c r="C602" i="228"/>
  <c r="H601" i="228"/>
  <c r="C601" i="228"/>
  <c r="H600" i="228"/>
  <c r="C600" i="228"/>
  <c r="H599" i="228"/>
  <c r="C599" i="228"/>
  <c r="H598" i="228"/>
  <c r="C598" i="228"/>
  <c r="H597" i="228"/>
  <c r="C597" i="228"/>
  <c r="H596" i="228"/>
  <c r="C596" i="228"/>
  <c r="H595" i="228"/>
  <c r="C595" i="228"/>
  <c r="H594" i="228"/>
  <c r="C594" i="228"/>
  <c r="H593" i="228"/>
  <c r="C593" i="228"/>
  <c r="H592" i="228"/>
  <c r="C592" i="228"/>
  <c r="H591" i="228"/>
  <c r="C591" i="228"/>
  <c r="H590" i="228"/>
  <c r="C590" i="228"/>
  <c r="H589" i="228"/>
  <c r="C589" i="228"/>
  <c r="H588" i="228"/>
  <c r="C588" i="228"/>
  <c r="H587" i="228"/>
  <c r="C587" i="228"/>
  <c r="H586" i="228"/>
  <c r="C586" i="228"/>
  <c r="H585" i="228"/>
  <c r="C585" i="228"/>
  <c r="H584" i="228"/>
  <c r="C584" i="228"/>
  <c r="H583" i="228"/>
  <c r="C583" i="228"/>
  <c r="H582" i="228"/>
  <c r="C582" i="228"/>
  <c r="H581" i="228"/>
  <c r="C581" i="228"/>
  <c r="H580" i="228"/>
  <c r="C580" i="228"/>
  <c r="H579" i="228"/>
  <c r="C579" i="228"/>
  <c r="H578" i="228"/>
  <c r="C578" i="228"/>
  <c r="H577" i="228"/>
  <c r="C577" i="228"/>
  <c r="H576" i="228"/>
  <c r="C576" i="228"/>
  <c r="H575" i="228"/>
  <c r="C575" i="228"/>
  <c r="H574" i="228"/>
  <c r="C574" i="228"/>
  <c r="H573" i="228"/>
  <c r="C573" i="228"/>
  <c r="H572" i="228"/>
  <c r="C572" i="228"/>
  <c r="H571" i="228"/>
  <c r="C571" i="228"/>
  <c r="H570" i="228"/>
  <c r="C570" i="228"/>
  <c r="H569" i="228"/>
  <c r="C569" i="228"/>
  <c r="H568" i="228"/>
  <c r="C568" i="228"/>
  <c r="H567" i="228"/>
  <c r="C567" i="228"/>
  <c r="H566" i="228"/>
  <c r="C566" i="228"/>
  <c r="H565" i="228"/>
  <c r="C565" i="228"/>
  <c r="H564" i="228"/>
  <c r="C564" i="228"/>
  <c r="H563" i="228"/>
  <c r="C563" i="228"/>
  <c r="H562" i="228"/>
  <c r="C562" i="228"/>
  <c r="H561" i="228"/>
  <c r="C561" i="228"/>
  <c r="H560" i="228"/>
  <c r="C560" i="228"/>
  <c r="H559" i="228"/>
  <c r="C559" i="228"/>
  <c r="H558" i="228"/>
  <c r="C558" i="228"/>
  <c r="H557" i="228"/>
  <c r="C557" i="228"/>
  <c r="H556" i="228"/>
  <c r="C556" i="228"/>
  <c r="H555" i="228"/>
  <c r="C555" i="228"/>
  <c r="H554" i="228"/>
  <c r="C554" i="228"/>
  <c r="H553" i="228"/>
  <c r="C553" i="228"/>
  <c r="H552" i="228"/>
  <c r="C552" i="228"/>
  <c r="H551" i="228"/>
  <c r="C551" i="228"/>
  <c r="H550" i="228"/>
  <c r="C550" i="228"/>
  <c r="H549" i="228"/>
  <c r="C549" i="228"/>
  <c r="H548" i="228"/>
  <c r="C548" i="228"/>
  <c r="H547" i="228"/>
  <c r="C547" i="228"/>
  <c r="H546" i="228"/>
  <c r="C546" i="228"/>
  <c r="H545" i="228"/>
  <c r="C545" i="228"/>
  <c r="H544" i="228"/>
  <c r="C544" i="228"/>
  <c r="H543" i="228"/>
  <c r="C543" i="228"/>
  <c r="H542" i="228"/>
  <c r="C542" i="228"/>
  <c r="H541" i="228"/>
  <c r="C541" i="228"/>
  <c r="H540" i="228"/>
  <c r="C540" i="228"/>
  <c r="H539" i="228"/>
  <c r="C539" i="228"/>
  <c r="H538" i="228"/>
  <c r="C538" i="228"/>
  <c r="H537" i="228"/>
  <c r="C537" i="228"/>
  <c r="H536" i="228"/>
  <c r="C536" i="228"/>
  <c r="H535" i="228"/>
  <c r="C535" i="228"/>
  <c r="H534" i="228"/>
  <c r="C534" i="228"/>
  <c r="H533" i="228"/>
  <c r="C533" i="228"/>
  <c r="H532" i="228"/>
  <c r="C532" i="228"/>
  <c r="H531" i="228"/>
  <c r="C531" i="228"/>
  <c r="H530" i="228"/>
  <c r="C530" i="228"/>
  <c r="H529" i="228"/>
  <c r="C529" i="228"/>
  <c r="H528" i="228"/>
  <c r="C528" i="228"/>
  <c r="H527" i="228"/>
  <c r="C527" i="228"/>
  <c r="H526" i="228"/>
  <c r="C526" i="228"/>
  <c r="H525" i="228"/>
  <c r="C525" i="228"/>
  <c r="H524" i="228"/>
  <c r="C524" i="228"/>
  <c r="H523" i="228"/>
  <c r="C523" i="228"/>
  <c r="H522" i="228"/>
  <c r="C522" i="228"/>
  <c r="H521" i="228"/>
  <c r="C521" i="228"/>
  <c r="H520" i="228"/>
  <c r="C520" i="228"/>
  <c r="H519" i="228"/>
  <c r="C519" i="228"/>
  <c r="H518" i="228"/>
  <c r="C518" i="228"/>
  <c r="H517" i="228"/>
  <c r="C517" i="228"/>
  <c r="H516" i="228"/>
  <c r="C516" i="228"/>
  <c r="H515" i="228"/>
  <c r="C515" i="228"/>
  <c r="H514" i="228"/>
  <c r="C514" i="228"/>
  <c r="H513" i="228"/>
  <c r="C513" i="228"/>
  <c r="H512" i="228"/>
  <c r="C512" i="228"/>
  <c r="H511" i="228"/>
  <c r="C511" i="228"/>
  <c r="H510" i="228"/>
  <c r="C510" i="228"/>
  <c r="H509" i="228"/>
  <c r="C509" i="228"/>
  <c r="H508" i="228"/>
  <c r="C508" i="228"/>
  <c r="H507" i="228"/>
  <c r="C507" i="228"/>
  <c r="H506" i="228"/>
  <c r="C506" i="228"/>
  <c r="H505" i="228"/>
  <c r="C505" i="228"/>
  <c r="H504" i="228"/>
  <c r="C504" i="228"/>
  <c r="H503" i="228"/>
  <c r="C503" i="228"/>
  <c r="H502" i="228"/>
  <c r="C502" i="228"/>
  <c r="H501" i="228"/>
  <c r="C501" i="228"/>
  <c r="H500" i="228"/>
  <c r="C500" i="228"/>
  <c r="H499" i="228"/>
  <c r="C499" i="228"/>
  <c r="H498" i="228"/>
  <c r="C498" i="228"/>
  <c r="H497" i="228"/>
  <c r="C497" i="228"/>
  <c r="H496" i="228"/>
  <c r="C496" i="228"/>
  <c r="H495" i="228"/>
  <c r="C495" i="228"/>
  <c r="H494" i="228"/>
  <c r="C494" i="228"/>
  <c r="H493" i="228"/>
  <c r="C493" i="228"/>
  <c r="H492" i="228"/>
  <c r="C492" i="228"/>
  <c r="H491" i="228"/>
  <c r="C491" i="228"/>
  <c r="H490" i="228"/>
  <c r="C490" i="228"/>
  <c r="H489" i="228"/>
  <c r="C489" i="228"/>
  <c r="H488" i="228"/>
  <c r="C488" i="228"/>
  <c r="H487" i="228"/>
  <c r="C487" i="228"/>
  <c r="H486" i="228"/>
  <c r="C486" i="228"/>
  <c r="H485" i="228"/>
  <c r="C485" i="228"/>
  <c r="H484" i="228"/>
  <c r="C484" i="228"/>
  <c r="H483" i="228"/>
  <c r="C483" i="228"/>
  <c r="H482" i="228"/>
  <c r="C482" i="228"/>
  <c r="H481" i="228"/>
  <c r="C481" i="228"/>
  <c r="H480" i="228"/>
  <c r="C480" i="228"/>
  <c r="H479" i="228"/>
  <c r="C479" i="228"/>
  <c r="H478" i="228"/>
  <c r="C478" i="228"/>
  <c r="H477" i="228"/>
  <c r="C477" i="228"/>
  <c r="H476" i="228"/>
  <c r="C476" i="228"/>
  <c r="H475" i="228"/>
  <c r="C475" i="228"/>
  <c r="H474" i="228"/>
  <c r="C474" i="228"/>
  <c r="H473" i="228"/>
  <c r="C473" i="228"/>
  <c r="H472" i="228"/>
  <c r="C472" i="228"/>
  <c r="H471" i="228"/>
  <c r="C471" i="228"/>
  <c r="H470" i="228"/>
  <c r="C470" i="228"/>
  <c r="H469" i="228"/>
  <c r="C469" i="228"/>
  <c r="H468" i="228"/>
  <c r="C468" i="228"/>
  <c r="H467" i="228"/>
  <c r="C467" i="228"/>
  <c r="H466" i="228"/>
  <c r="C466" i="228"/>
  <c r="H465" i="228"/>
  <c r="C465" i="228"/>
  <c r="H464" i="228"/>
  <c r="C464" i="228"/>
  <c r="H463" i="228"/>
  <c r="C463" i="228"/>
  <c r="H462" i="228"/>
  <c r="C462" i="228"/>
  <c r="H461" i="228"/>
  <c r="C461" i="228"/>
  <c r="H460" i="228"/>
  <c r="C460" i="228"/>
  <c r="H459" i="228"/>
  <c r="C459" i="228"/>
  <c r="H458" i="228"/>
  <c r="C458" i="228"/>
  <c r="H457" i="228"/>
  <c r="C457" i="228"/>
  <c r="H456" i="228"/>
  <c r="C456" i="228"/>
  <c r="H455" i="228"/>
  <c r="C455" i="228"/>
  <c r="H454" i="228"/>
  <c r="C454" i="228"/>
  <c r="H453" i="228"/>
  <c r="C453" i="228"/>
  <c r="H452" i="228"/>
  <c r="C452" i="228"/>
  <c r="H451" i="228"/>
  <c r="C451" i="228"/>
  <c r="H450" i="228"/>
  <c r="C450" i="228"/>
  <c r="H449" i="228"/>
  <c r="C449" i="228"/>
  <c r="H448" i="228"/>
  <c r="C448" i="228"/>
  <c r="H447" i="228"/>
  <c r="C447" i="228"/>
  <c r="H446" i="228"/>
  <c r="C446" i="228"/>
  <c r="H445" i="228"/>
  <c r="C445" i="228"/>
  <c r="H444" i="228"/>
  <c r="C444" i="228"/>
  <c r="H443" i="228"/>
  <c r="C443" i="228"/>
  <c r="H442" i="228"/>
  <c r="C442" i="228"/>
  <c r="H441" i="228"/>
  <c r="C441" i="228"/>
  <c r="H440" i="228"/>
  <c r="C440" i="228"/>
  <c r="H439" i="228"/>
  <c r="C439" i="228"/>
  <c r="H438" i="228"/>
  <c r="C438" i="228"/>
  <c r="H437" i="228"/>
  <c r="C437" i="228"/>
  <c r="H436" i="228"/>
  <c r="C436" i="228"/>
  <c r="H435" i="228"/>
  <c r="C435" i="228"/>
  <c r="H434" i="228"/>
  <c r="C434" i="228"/>
  <c r="H433" i="228"/>
  <c r="C433" i="228"/>
  <c r="H432" i="228"/>
  <c r="C432" i="228"/>
  <c r="H431" i="228"/>
  <c r="C431" i="228"/>
  <c r="H430" i="228"/>
  <c r="C430" i="228"/>
  <c r="H429" i="228"/>
  <c r="C429" i="228"/>
  <c r="H428" i="228"/>
  <c r="C428" i="228"/>
  <c r="H427" i="228"/>
  <c r="C427" i="228"/>
  <c r="H426" i="228"/>
  <c r="C426" i="228"/>
  <c r="H425" i="228"/>
  <c r="C425" i="228"/>
  <c r="H424" i="228"/>
  <c r="C424" i="228"/>
  <c r="H423" i="228"/>
  <c r="C423" i="228"/>
  <c r="H422" i="228"/>
  <c r="C422" i="228"/>
  <c r="H421" i="228"/>
  <c r="C421" i="228"/>
  <c r="H420" i="228"/>
  <c r="C420" i="228"/>
  <c r="H419" i="228"/>
  <c r="C419" i="228"/>
  <c r="H418" i="228"/>
  <c r="C418" i="228"/>
  <c r="H417" i="228"/>
  <c r="C417" i="228"/>
  <c r="H416" i="228"/>
  <c r="C416" i="228"/>
  <c r="H415" i="228"/>
  <c r="C415" i="228"/>
  <c r="H414" i="228"/>
  <c r="C414" i="228"/>
  <c r="H413" i="228"/>
  <c r="C413" i="228"/>
  <c r="H412" i="228"/>
  <c r="C412" i="228"/>
  <c r="H411" i="228"/>
  <c r="C411" i="228"/>
  <c r="H410" i="228"/>
  <c r="C410" i="228"/>
  <c r="H409" i="228"/>
  <c r="C409" i="228"/>
  <c r="H408" i="228"/>
  <c r="C408" i="228"/>
  <c r="H407" i="228"/>
  <c r="C407" i="228"/>
  <c r="H406" i="228"/>
  <c r="C406" i="228"/>
  <c r="H405" i="228"/>
  <c r="C405" i="228"/>
  <c r="H404" i="228"/>
  <c r="C404" i="228"/>
  <c r="H403" i="228"/>
  <c r="C403" i="228"/>
  <c r="H402" i="228"/>
  <c r="C402" i="228"/>
  <c r="H401" i="228"/>
  <c r="C401" i="228"/>
  <c r="H400" i="228"/>
  <c r="C400" i="228"/>
  <c r="H399" i="228"/>
  <c r="C399" i="228"/>
  <c r="H398" i="228"/>
  <c r="C398" i="228"/>
  <c r="H397" i="228"/>
  <c r="C397" i="228"/>
  <c r="H396" i="228"/>
  <c r="C396" i="228"/>
  <c r="H395" i="228"/>
  <c r="C395" i="228"/>
  <c r="H394" i="228"/>
  <c r="C394" i="228"/>
  <c r="H393" i="228"/>
  <c r="C393" i="228"/>
  <c r="H392" i="228"/>
  <c r="C392" i="228"/>
  <c r="H391" i="228"/>
  <c r="C391" i="228"/>
  <c r="H390" i="228"/>
  <c r="C390" i="228"/>
  <c r="H389" i="228"/>
  <c r="C389" i="228"/>
  <c r="H388" i="228"/>
  <c r="C388" i="228"/>
  <c r="H387" i="228"/>
  <c r="C387" i="228"/>
  <c r="H386" i="228"/>
  <c r="C386" i="228"/>
  <c r="H385" i="228"/>
  <c r="C385" i="228"/>
  <c r="H384" i="228"/>
  <c r="C384" i="228"/>
  <c r="H383" i="228"/>
  <c r="C383" i="228"/>
  <c r="H382" i="228"/>
  <c r="C382" i="228"/>
  <c r="H381" i="228"/>
  <c r="C381" i="228"/>
  <c r="H380" i="228"/>
  <c r="C380" i="228"/>
  <c r="H379" i="228"/>
  <c r="C379" i="228"/>
  <c r="H378" i="228"/>
  <c r="C378" i="228"/>
  <c r="H377" i="228"/>
  <c r="C377" i="228"/>
  <c r="H376" i="228"/>
  <c r="C376" i="228"/>
  <c r="H375" i="228"/>
  <c r="C375" i="228"/>
  <c r="H374" i="228"/>
  <c r="C374" i="228"/>
  <c r="H373" i="228"/>
  <c r="C373" i="228"/>
  <c r="H372" i="228"/>
  <c r="C372" i="228"/>
  <c r="H371" i="228"/>
  <c r="C371" i="228"/>
  <c r="H370" i="228"/>
  <c r="C370" i="228"/>
  <c r="H369" i="228"/>
  <c r="C369" i="228"/>
  <c r="H368" i="228"/>
  <c r="C368" i="228"/>
  <c r="H367" i="228"/>
  <c r="C367" i="228"/>
  <c r="H366" i="228"/>
  <c r="C366" i="228"/>
  <c r="H365" i="228"/>
  <c r="C365" i="228"/>
  <c r="H364" i="228"/>
  <c r="C364" i="228"/>
  <c r="H363" i="228"/>
  <c r="C363" i="228"/>
  <c r="H362" i="228"/>
  <c r="C362" i="228"/>
  <c r="H361" i="228"/>
  <c r="C361" i="228"/>
  <c r="H360" i="228"/>
  <c r="C360" i="228"/>
  <c r="H359" i="228"/>
  <c r="C359" i="228"/>
  <c r="H358" i="228"/>
  <c r="C358" i="228"/>
  <c r="H357" i="228"/>
  <c r="C357" i="228"/>
  <c r="H356" i="228"/>
  <c r="C356" i="228"/>
  <c r="H355" i="228"/>
  <c r="C355" i="228"/>
  <c r="H354" i="228"/>
  <c r="C354" i="228"/>
  <c r="H353" i="228"/>
  <c r="C353" i="228"/>
  <c r="H352" i="228"/>
  <c r="C352" i="228"/>
  <c r="H351" i="228"/>
  <c r="C351" i="228"/>
  <c r="H350" i="228"/>
  <c r="C350" i="228"/>
  <c r="H349" i="228"/>
  <c r="C349" i="228"/>
  <c r="H348" i="228"/>
  <c r="C348" i="228"/>
  <c r="H347" i="228"/>
  <c r="C347" i="228"/>
  <c r="H346" i="228"/>
  <c r="C346" i="228"/>
  <c r="H345" i="228"/>
  <c r="C345" i="228"/>
  <c r="H344" i="228"/>
  <c r="C344" i="228"/>
  <c r="H343" i="228"/>
  <c r="C343" i="228"/>
  <c r="H342" i="228"/>
  <c r="C342" i="228"/>
  <c r="H341" i="228"/>
  <c r="C341" i="228"/>
  <c r="H340" i="228"/>
  <c r="C340" i="228"/>
  <c r="H339" i="228"/>
  <c r="C339" i="228"/>
  <c r="H338" i="228"/>
  <c r="C338" i="228"/>
  <c r="H337" i="228"/>
  <c r="C337" i="228"/>
  <c r="H336" i="228"/>
  <c r="C336" i="228"/>
  <c r="H335" i="228"/>
  <c r="C335" i="228"/>
  <c r="H334" i="228"/>
  <c r="C334" i="228"/>
  <c r="H333" i="228"/>
  <c r="C333" i="228"/>
  <c r="H332" i="228"/>
  <c r="C332" i="228"/>
  <c r="H331" i="228"/>
  <c r="C331" i="228"/>
  <c r="H330" i="228"/>
  <c r="C330" i="228"/>
  <c r="H329" i="228"/>
  <c r="C329" i="228"/>
  <c r="H328" i="228"/>
  <c r="C328" i="228"/>
  <c r="H327" i="228"/>
  <c r="C327" i="228"/>
  <c r="H326" i="228"/>
  <c r="C326" i="228"/>
  <c r="H325" i="228"/>
  <c r="C325" i="228"/>
  <c r="H324" i="228"/>
  <c r="C324" i="228"/>
  <c r="H323" i="228"/>
  <c r="C323" i="228"/>
  <c r="H322" i="228"/>
  <c r="C322" i="228"/>
  <c r="H321" i="228"/>
  <c r="C321" i="228"/>
  <c r="H320" i="228"/>
  <c r="C320" i="228"/>
  <c r="H319" i="228"/>
  <c r="C319" i="228"/>
  <c r="H318" i="228"/>
  <c r="C318" i="228"/>
  <c r="H317" i="228"/>
  <c r="C317" i="228"/>
  <c r="H316" i="228"/>
  <c r="C316" i="228"/>
  <c r="H315" i="228"/>
  <c r="C315" i="228"/>
  <c r="H314" i="228"/>
  <c r="C314" i="228"/>
  <c r="H313" i="228"/>
  <c r="C313" i="228"/>
  <c r="H312" i="228"/>
  <c r="C312" i="228"/>
  <c r="H311" i="228"/>
  <c r="C311" i="228"/>
  <c r="H310" i="228"/>
  <c r="C310" i="228"/>
  <c r="H309" i="228"/>
  <c r="C309" i="228"/>
  <c r="H308" i="228"/>
  <c r="C308" i="228"/>
  <c r="H307" i="228"/>
  <c r="C307" i="228"/>
  <c r="H306" i="228"/>
  <c r="C306" i="228"/>
  <c r="H305" i="228"/>
  <c r="C305" i="228"/>
  <c r="H304" i="228"/>
  <c r="C304" i="228"/>
  <c r="H303" i="228"/>
  <c r="C303" i="228"/>
  <c r="H302" i="228"/>
  <c r="C302" i="228"/>
  <c r="H301" i="228"/>
  <c r="C301" i="228"/>
  <c r="H300" i="228"/>
  <c r="C300" i="228"/>
  <c r="H299" i="228"/>
  <c r="C299" i="228"/>
  <c r="H298" i="228"/>
  <c r="C298" i="228"/>
  <c r="H297" i="228"/>
  <c r="C297" i="228"/>
  <c r="H296" i="228"/>
  <c r="C296" i="228"/>
  <c r="H295" i="228"/>
  <c r="C295" i="228"/>
  <c r="H294" i="228"/>
  <c r="C294" i="228"/>
  <c r="H293" i="228"/>
  <c r="C293" i="228"/>
  <c r="H292" i="228"/>
  <c r="C292" i="228"/>
  <c r="H291" i="228"/>
  <c r="C291" i="228"/>
  <c r="H290" i="228"/>
  <c r="C290" i="228"/>
  <c r="H289" i="228"/>
  <c r="C289" i="228"/>
  <c r="H288" i="228"/>
  <c r="C288" i="228"/>
  <c r="H287" i="228"/>
  <c r="C287" i="228"/>
  <c r="H286" i="228"/>
  <c r="C286" i="228"/>
  <c r="H285" i="228"/>
  <c r="C285" i="228"/>
  <c r="H284" i="228"/>
  <c r="C284" i="228"/>
  <c r="H283" i="228"/>
  <c r="C283" i="228"/>
  <c r="H282" i="228"/>
  <c r="C282" i="228"/>
  <c r="H281" i="228"/>
  <c r="C281" i="228"/>
  <c r="H280" i="228"/>
  <c r="C280" i="228"/>
  <c r="H279" i="228"/>
  <c r="C279" i="228"/>
  <c r="H278" i="228"/>
  <c r="C278" i="228"/>
  <c r="H277" i="228"/>
  <c r="C277" i="228"/>
  <c r="H276" i="228"/>
  <c r="C276" i="228"/>
  <c r="H275" i="228"/>
  <c r="C275" i="228"/>
  <c r="H274" i="228"/>
  <c r="C274" i="228"/>
  <c r="H273" i="228"/>
  <c r="C273" i="228"/>
  <c r="H272" i="228"/>
  <c r="C272" i="228"/>
  <c r="H271" i="228"/>
  <c r="C271" i="228"/>
  <c r="H270" i="228"/>
  <c r="C270" i="228"/>
  <c r="H269" i="228"/>
  <c r="C269" i="228"/>
  <c r="H268" i="228"/>
  <c r="C268" i="228"/>
  <c r="H267" i="228"/>
  <c r="C267" i="228"/>
  <c r="H266" i="228"/>
  <c r="C266" i="228"/>
  <c r="H265" i="228"/>
  <c r="C265" i="228"/>
  <c r="H264" i="228"/>
  <c r="C264" i="228"/>
  <c r="H263" i="228"/>
  <c r="C263" i="228"/>
  <c r="H262" i="228"/>
  <c r="C262" i="228"/>
  <c r="H261" i="228"/>
  <c r="C261" i="228"/>
  <c r="H260" i="228"/>
  <c r="C260" i="228"/>
  <c r="H259" i="228"/>
  <c r="C259" i="228"/>
  <c r="H258" i="228"/>
  <c r="C258" i="228"/>
  <c r="H257" i="228"/>
  <c r="C257" i="228"/>
  <c r="H256" i="228"/>
  <c r="C256" i="228"/>
  <c r="H255" i="228"/>
  <c r="C255" i="228"/>
  <c r="H254" i="228"/>
  <c r="C254" i="228"/>
  <c r="H253" i="228"/>
  <c r="C253" i="228"/>
  <c r="H252" i="228"/>
  <c r="C252" i="228"/>
  <c r="H251" i="228"/>
  <c r="C251" i="228"/>
  <c r="H250" i="228"/>
  <c r="C250" i="228"/>
  <c r="H249" i="228"/>
  <c r="C249" i="228"/>
  <c r="H248" i="228"/>
  <c r="C248" i="228"/>
  <c r="H247" i="228"/>
  <c r="C247" i="228"/>
  <c r="H246" i="228"/>
  <c r="C246" i="228"/>
  <c r="H245" i="228"/>
  <c r="C245" i="228"/>
  <c r="H244" i="228"/>
  <c r="C244" i="228"/>
  <c r="H243" i="228"/>
  <c r="C243" i="228"/>
  <c r="H242" i="228"/>
  <c r="C242" i="228"/>
  <c r="H241" i="228"/>
  <c r="C241" i="228"/>
  <c r="H240" i="228"/>
  <c r="C240" i="228"/>
  <c r="H239" i="228"/>
  <c r="C239" i="228"/>
  <c r="H238" i="228"/>
  <c r="C238" i="228"/>
  <c r="H237" i="228"/>
  <c r="C237" i="228"/>
  <c r="H236" i="228"/>
  <c r="C236" i="228"/>
  <c r="H235" i="228"/>
  <c r="C235" i="228"/>
  <c r="H234" i="228"/>
  <c r="C234" i="228"/>
  <c r="H233" i="228"/>
  <c r="C233" i="228"/>
  <c r="H232" i="228"/>
  <c r="C232" i="228"/>
  <c r="H231" i="228"/>
  <c r="C231" i="228"/>
  <c r="H230" i="228"/>
  <c r="C230" i="228"/>
  <c r="H229" i="228"/>
  <c r="C229" i="228"/>
  <c r="H228" i="228"/>
  <c r="C228" i="228"/>
  <c r="H227" i="228"/>
  <c r="C227" i="228"/>
  <c r="H226" i="228"/>
  <c r="C226" i="228"/>
  <c r="H225" i="228"/>
  <c r="C225" i="228"/>
  <c r="H224" i="228"/>
  <c r="C224" i="228"/>
  <c r="H223" i="228"/>
  <c r="C223" i="228"/>
  <c r="H222" i="228"/>
  <c r="C222" i="228"/>
  <c r="H221" i="228"/>
  <c r="C221" i="228"/>
  <c r="H220" i="228"/>
  <c r="C220" i="228"/>
  <c r="H219" i="228"/>
  <c r="C219" i="228"/>
  <c r="H218" i="228"/>
  <c r="C218" i="228"/>
  <c r="H217" i="228"/>
  <c r="C217" i="228"/>
  <c r="H216" i="228"/>
  <c r="C216" i="228"/>
  <c r="H215" i="228"/>
  <c r="C215" i="228"/>
  <c r="H214" i="228"/>
  <c r="C214" i="228"/>
  <c r="H213" i="228"/>
  <c r="C213" i="228"/>
  <c r="H212" i="228"/>
  <c r="C212" i="228"/>
  <c r="H211" i="228"/>
  <c r="C211" i="228"/>
  <c r="H210" i="228"/>
  <c r="C210" i="228"/>
  <c r="H209" i="228"/>
  <c r="C209" i="228"/>
  <c r="H208" i="228"/>
  <c r="C208" i="228"/>
  <c r="H207" i="228"/>
  <c r="C207" i="228"/>
  <c r="H206" i="228"/>
  <c r="C206" i="228"/>
  <c r="H205" i="228"/>
  <c r="C205" i="228"/>
  <c r="H204" i="228"/>
  <c r="C204" i="228"/>
  <c r="H203" i="228"/>
  <c r="C203" i="228"/>
  <c r="H202" i="228"/>
  <c r="C202" i="228"/>
  <c r="H201" i="228"/>
  <c r="C201" i="228"/>
  <c r="H200" i="228"/>
  <c r="C200" i="228"/>
  <c r="H199" i="228"/>
  <c r="C199" i="228"/>
  <c r="H198" i="228"/>
  <c r="C198" i="228"/>
  <c r="H197" i="228"/>
  <c r="C197" i="228"/>
  <c r="H196" i="228"/>
  <c r="C196" i="228"/>
  <c r="H195" i="228"/>
  <c r="C195" i="228"/>
  <c r="H194" i="228"/>
  <c r="C194" i="228"/>
  <c r="H193" i="228"/>
  <c r="C193" i="228"/>
  <c r="H192" i="228"/>
  <c r="C192" i="228"/>
  <c r="H191" i="228"/>
  <c r="C191" i="228"/>
  <c r="H190" i="228"/>
  <c r="C190" i="228"/>
  <c r="H189" i="228"/>
  <c r="C189" i="228"/>
  <c r="H188" i="228"/>
  <c r="C188" i="228"/>
  <c r="H187" i="228"/>
  <c r="C187" i="228"/>
  <c r="H186" i="228"/>
  <c r="C186" i="228"/>
  <c r="H185" i="228"/>
  <c r="C185" i="228"/>
  <c r="H184" i="228"/>
  <c r="C184" i="228"/>
  <c r="H183" i="228"/>
  <c r="C183" i="228"/>
  <c r="H182" i="228"/>
  <c r="C182" i="228"/>
  <c r="H181" i="228"/>
  <c r="C181" i="228"/>
  <c r="H180" i="228"/>
  <c r="C180" i="228"/>
  <c r="H179" i="228"/>
  <c r="C179" i="228"/>
  <c r="H178" i="228"/>
  <c r="C178" i="228"/>
  <c r="H177" i="228"/>
  <c r="C177" i="228"/>
  <c r="H176" i="228"/>
  <c r="C176" i="228"/>
  <c r="H175" i="228"/>
  <c r="C175" i="228"/>
  <c r="H174" i="228"/>
  <c r="C174" i="228"/>
  <c r="H173" i="228"/>
  <c r="C173" i="228"/>
  <c r="H172" i="228"/>
  <c r="C172" i="228"/>
  <c r="H171" i="228"/>
  <c r="C171" i="228"/>
  <c r="H170" i="228"/>
  <c r="C170" i="228"/>
  <c r="H169" i="228"/>
  <c r="C169" i="228"/>
  <c r="H168" i="228"/>
  <c r="C168" i="228"/>
  <c r="H167" i="228"/>
  <c r="C167" i="228"/>
  <c r="H166" i="228"/>
  <c r="C166" i="228"/>
  <c r="H165" i="228"/>
  <c r="C165" i="228"/>
  <c r="H164" i="228"/>
  <c r="C164" i="228"/>
  <c r="H163" i="228"/>
  <c r="C163" i="228"/>
  <c r="H162" i="228"/>
  <c r="C162" i="228"/>
  <c r="H161" i="228"/>
  <c r="C161" i="228"/>
  <c r="H160" i="228"/>
  <c r="C160" i="228"/>
  <c r="H159" i="228"/>
  <c r="C159" i="228"/>
  <c r="H158" i="228"/>
  <c r="C158" i="228"/>
  <c r="H157" i="228"/>
  <c r="C157" i="228"/>
  <c r="H156" i="228"/>
  <c r="C156" i="228"/>
  <c r="H155" i="228"/>
  <c r="C155" i="228"/>
  <c r="H154" i="228"/>
  <c r="C154" i="228"/>
  <c r="H153" i="228"/>
  <c r="C153" i="228"/>
  <c r="H152" i="228"/>
  <c r="C152" i="228"/>
  <c r="H151" i="228"/>
  <c r="C151" i="228"/>
  <c r="H150" i="228"/>
  <c r="C150" i="228"/>
  <c r="H149" i="228"/>
  <c r="C149" i="228"/>
  <c r="H148" i="228"/>
  <c r="C148" i="228"/>
  <c r="H147" i="228"/>
  <c r="C147" i="228"/>
  <c r="H146" i="228"/>
  <c r="C146" i="228"/>
  <c r="H145" i="228"/>
  <c r="C145" i="228"/>
  <c r="H144" i="228"/>
  <c r="C144" i="228"/>
  <c r="H143" i="228"/>
  <c r="C143" i="228"/>
  <c r="H142" i="228"/>
  <c r="C142" i="228"/>
  <c r="H141" i="228"/>
  <c r="C141" i="228"/>
  <c r="H140" i="228"/>
  <c r="C140" i="228"/>
  <c r="H139" i="228"/>
  <c r="C139" i="228"/>
  <c r="H138" i="228"/>
  <c r="C138" i="228"/>
  <c r="H137" i="228"/>
  <c r="C137" i="228"/>
  <c r="H136" i="228"/>
  <c r="C136" i="228"/>
  <c r="H135" i="228"/>
  <c r="C135" i="228"/>
  <c r="H134" i="228"/>
  <c r="C134" i="228"/>
  <c r="H133" i="228"/>
  <c r="C133" i="228"/>
  <c r="H132" i="228"/>
  <c r="C132" i="228"/>
  <c r="H131" i="228"/>
  <c r="C131" i="228"/>
  <c r="H130" i="228"/>
  <c r="C130" i="228"/>
  <c r="H129" i="228"/>
  <c r="C129" i="228"/>
  <c r="H128" i="228"/>
  <c r="C128" i="228"/>
  <c r="H127" i="228"/>
  <c r="C127" i="228"/>
  <c r="H126" i="228"/>
  <c r="C126" i="228"/>
  <c r="H125" i="228"/>
  <c r="C125" i="228"/>
  <c r="H124" i="228"/>
  <c r="C124" i="228"/>
  <c r="H123" i="228"/>
  <c r="C123" i="228"/>
  <c r="H122" i="228"/>
  <c r="C122" i="228"/>
  <c r="H121" i="228"/>
  <c r="C121" i="228"/>
  <c r="H120" i="228"/>
  <c r="C120" i="228"/>
  <c r="H119" i="228"/>
  <c r="C119" i="228"/>
  <c r="H118" i="228"/>
  <c r="C118" i="228"/>
  <c r="H117" i="228"/>
  <c r="C117" i="228"/>
  <c r="H116" i="228"/>
  <c r="C116" i="228"/>
  <c r="H115" i="228"/>
  <c r="C115" i="228"/>
  <c r="H114" i="228"/>
  <c r="C114" i="228"/>
  <c r="H113" i="228"/>
  <c r="C113" i="228"/>
  <c r="H112" i="228"/>
  <c r="C112" i="228"/>
  <c r="H111" i="228"/>
  <c r="C111" i="228"/>
  <c r="H110" i="228"/>
  <c r="C110" i="228"/>
  <c r="H109" i="228"/>
  <c r="C109" i="228"/>
  <c r="H108" i="228"/>
  <c r="C108" i="228"/>
  <c r="H107" i="228"/>
  <c r="C107" i="228"/>
  <c r="H106" i="228"/>
  <c r="C106" i="228"/>
  <c r="H105" i="228"/>
  <c r="C105" i="228"/>
  <c r="H104" i="228"/>
  <c r="C104" i="228"/>
  <c r="H103" i="228"/>
  <c r="C103" i="228"/>
  <c r="H102" i="228"/>
  <c r="C102" i="228"/>
  <c r="H101" i="228"/>
  <c r="C101" i="228"/>
  <c r="H100" i="228"/>
  <c r="C100" i="228"/>
  <c r="H99" i="228"/>
  <c r="C99" i="228"/>
  <c r="H98" i="228"/>
  <c r="C98" i="228"/>
  <c r="H97" i="228"/>
  <c r="C97" i="228"/>
  <c r="H96" i="228"/>
  <c r="C96" i="228"/>
  <c r="H95" i="228"/>
  <c r="C95" i="228"/>
  <c r="H94" i="228"/>
  <c r="C94" i="228"/>
  <c r="H93" i="228"/>
  <c r="C93" i="228"/>
  <c r="H92" i="228"/>
  <c r="C92" i="228"/>
  <c r="H91" i="228"/>
  <c r="C91" i="228"/>
  <c r="H90" i="228"/>
  <c r="C90" i="228"/>
  <c r="H89" i="228"/>
  <c r="C89" i="228"/>
  <c r="H88" i="228"/>
  <c r="C88" i="228"/>
  <c r="H87" i="228"/>
  <c r="C87" i="228"/>
  <c r="H86" i="228"/>
  <c r="C86" i="228"/>
  <c r="H85" i="228"/>
  <c r="C85" i="228"/>
  <c r="H84" i="228"/>
  <c r="C84" i="228"/>
  <c r="H83" i="228"/>
  <c r="C83" i="228"/>
  <c r="H82" i="228"/>
  <c r="C82" i="228"/>
  <c r="H81" i="228"/>
  <c r="C81" i="228"/>
  <c r="H80" i="228"/>
  <c r="C80" i="228"/>
  <c r="H79" i="228"/>
  <c r="C79" i="228"/>
  <c r="H78" i="228"/>
  <c r="C78" i="228"/>
  <c r="H77" i="228"/>
  <c r="C77" i="228"/>
  <c r="H76" i="228"/>
  <c r="C76" i="228"/>
  <c r="H75" i="228"/>
  <c r="C75" i="228"/>
  <c r="H74" i="228"/>
  <c r="C74" i="228"/>
  <c r="H73" i="228"/>
  <c r="C73" i="228"/>
  <c r="H72" i="228"/>
  <c r="C72" i="228"/>
  <c r="H71" i="228"/>
  <c r="C71" i="228"/>
  <c r="H70" i="228"/>
  <c r="C70" i="228"/>
  <c r="H69" i="228"/>
  <c r="C69" i="228"/>
  <c r="H68" i="228"/>
  <c r="C68" i="228"/>
  <c r="H67" i="228"/>
  <c r="C67" i="228"/>
  <c r="H66" i="228"/>
  <c r="C66" i="228"/>
  <c r="H65" i="228"/>
  <c r="C65" i="228"/>
  <c r="H64" i="228"/>
  <c r="C64" i="228"/>
  <c r="H63" i="228"/>
  <c r="C63" i="228"/>
  <c r="H62" i="228"/>
  <c r="C62" i="228"/>
  <c r="H61" i="228"/>
  <c r="C61" i="228"/>
  <c r="H60" i="228"/>
  <c r="C60" i="228"/>
  <c r="H59" i="228"/>
  <c r="C59" i="228"/>
  <c r="H58" i="228"/>
  <c r="C58" i="228"/>
  <c r="H57" i="228"/>
  <c r="C57" i="228"/>
  <c r="H56" i="228"/>
  <c r="C56" i="228"/>
  <c r="H55" i="228"/>
  <c r="C55" i="228"/>
  <c r="H54" i="228"/>
  <c r="C54" i="228"/>
  <c r="H53" i="228"/>
  <c r="C53" i="228"/>
  <c r="H52" i="228"/>
  <c r="C52" i="228"/>
  <c r="H51" i="228"/>
  <c r="C51" i="228"/>
  <c r="H50" i="228"/>
  <c r="C50" i="228"/>
  <c r="H49" i="228"/>
  <c r="C49" i="228"/>
  <c r="H48" i="228"/>
  <c r="C48" i="228"/>
  <c r="H47" i="228"/>
  <c r="C39" i="240" s="1"/>
  <c r="C47" i="228"/>
  <c r="H46" i="228"/>
  <c r="C46" i="228"/>
  <c r="H45" i="228"/>
  <c r="C45" i="228"/>
  <c r="H44" i="228"/>
  <c r="C44" i="228"/>
  <c r="H43" i="228"/>
  <c r="C43" i="228"/>
  <c r="H42" i="228"/>
  <c r="C42" i="228"/>
  <c r="H41" i="228"/>
  <c r="C41" i="228"/>
  <c r="H40" i="228"/>
  <c r="C40" i="228"/>
  <c r="H39" i="228"/>
  <c r="C39" i="228"/>
  <c r="H38" i="228"/>
  <c r="C38" i="228"/>
  <c r="H37" i="228"/>
  <c r="C37" i="228"/>
  <c r="H36" i="228"/>
  <c r="C36" i="228"/>
  <c r="H35" i="228"/>
  <c r="C35" i="228"/>
  <c r="H34" i="228"/>
  <c r="C34" i="228"/>
  <c r="H33" i="228"/>
  <c r="C33" i="228"/>
  <c r="H32" i="228"/>
  <c r="C32" i="228"/>
  <c r="H31" i="228"/>
  <c r="C31" i="228"/>
  <c r="H30" i="228"/>
  <c r="C30" i="228"/>
  <c r="H29" i="228"/>
  <c r="C29" i="228"/>
  <c r="H28" i="228"/>
  <c r="C28" i="228"/>
  <c r="H27" i="228"/>
  <c r="C27" i="228"/>
  <c r="H26" i="228"/>
  <c r="C26" i="228"/>
  <c r="H25" i="228"/>
  <c r="C25" i="228"/>
  <c r="H24" i="228"/>
  <c r="C24" i="228"/>
  <c r="H23" i="228"/>
  <c r="C23" i="228"/>
  <c r="H22" i="228"/>
  <c r="C22" i="228"/>
  <c r="H21" i="228"/>
  <c r="C21" i="228"/>
  <c r="H20" i="228"/>
  <c r="C20" i="228"/>
  <c r="H19" i="228"/>
  <c r="C19" i="228"/>
  <c r="H18" i="228"/>
  <c r="C18" i="228"/>
  <c r="H17" i="228"/>
  <c r="C17" i="228"/>
  <c r="H16" i="228"/>
  <c r="C16" i="228"/>
  <c r="H15" i="228"/>
  <c r="C15" i="228"/>
  <c r="H14" i="228"/>
  <c r="C14" i="228"/>
  <c r="H13" i="228"/>
  <c r="C13" i="228"/>
  <c r="H12" i="228"/>
  <c r="C12" i="228"/>
  <c r="H11" i="228"/>
  <c r="C11" i="228"/>
  <c r="H10" i="228"/>
  <c r="C10" i="228"/>
  <c r="H9" i="228"/>
  <c r="C55" i="240" s="1"/>
  <c r="C9" i="228"/>
  <c r="H8" i="228"/>
  <c r="C41" i="240" s="1"/>
  <c r="C8" i="228"/>
  <c r="C74" i="240" l="1"/>
  <c r="H5" i="228"/>
  <c r="C21" i="240" s="1"/>
  <c r="L5" i="234" s="1"/>
  <c r="D3" i="234"/>
  <c r="C121" i="240" l="1"/>
  <c r="L13" i="234" l="1"/>
  <c r="C85" i="240" s="1"/>
  <c r="E9" i="223"/>
  <c r="E8" i="223"/>
  <c r="D5" i="234"/>
  <c r="D4" i="234"/>
  <c r="B5" i="228"/>
  <c r="B4" i="228"/>
  <c r="B2" i="228" l="1"/>
  <c r="B3" i="228"/>
  <c r="D2" i="234"/>
  <c r="E7" i="223"/>
  <c r="E6" i="223"/>
  <c r="C123" i="240" l="1"/>
  <c r="C125" i="240" s="1"/>
  <c r="C131" i="240"/>
  <c r="B2" i="240"/>
  <c r="C133" i="240" l="1"/>
  <c r="C135" i="240" s="1"/>
  <c r="C132" i="240"/>
  <c r="C127" i="240"/>
  <c r="C124" i="240"/>
  <c r="C25" i="240"/>
  <c r="C32" i="240" l="1"/>
  <c r="C129" i="240"/>
  <c r="C128" i="240"/>
  <c r="C18" i="234"/>
  <c r="C19" i="234"/>
  <c r="C20" i="234"/>
  <c r="C21" i="234"/>
  <c r="C22" i="234"/>
  <c r="C23" i="234"/>
  <c r="C24" i="234"/>
  <c r="C25" i="234"/>
  <c r="C26" i="234"/>
  <c r="C27" i="234"/>
  <c r="C28" i="234"/>
  <c r="C29" i="234"/>
  <c r="C30" i="234"/>
  <c r="C31" i="234"/>
  <c r="C32" i="234"/>
  <c r="C33" i="234"/>
  <c r="C34" i="234"/>
  <c r="C35" i="234"/>
  <c r="C36" i="234"/>
  <c r="C37" i="234"/>
  <c r="C38" i="234"/>
  <c r="C39" i="234"/>
  <c r="C40" i="234"/>
  <c r="C41" i="234"/>
  <c r="C42" i="234"/>
  <c r="C43" i="234"/>
  <c r="C44" i="234"/>
  <c r="C45" i="234"/>
  <c r="C46" i="234"/>
  <c r="C47" i="234"/>
  <c r="C48" i="234"/>
  <c r="C49" i="234"/>
  <c r="C50" i="234"/>
  <c r="C51" i="234"/>
  <c r="C52" i="234"/>
  <c r="C53" i="234"/>
  <c r="C54" i="234"/>
  <c r="C55" i="234"/>
  <c r="C56" i="234"/>
  <c r="C57" i="234"/>
  <c r="C58" i="234"/>
  <c r="C59" i="234"/>
  <c r="C60" i="234"/>
  <c r="C61" i="234"/>
  <c r="C62" i="234"/>
  <c r="C63" i="234"/>
  <c r="C64" i="234"/>
  <c r="C65" i="234"/>
  <c r="C66" i="234"/>
  <c r="C67" i="234"/>
  <c r="C68" i="234"/>
  <c r="C69" i="234"/>
  <c r="C70" i="234"/>
  <c r="C71" i="234"/>
  <c r="C72" i="234"/>
  <c r="C73" i="234"/>
  <c r="C74" i="234"/>
  <c r="C75" i="234"/>
  <c r="C76" i="234"/>
  <c r="C77" i="234"/>
  <c r="C78" i="234"/>
  <c r="C79" i="234"/>
  <c r="C80" i="234"/>
  <c r="C81" i="234"/>
  <c r="C82" i="234"/>
  <c r="C83" i="234"/>
  <c r="C84" i="234"/>
  <c r="C85" i="234"/>
  <c r="C86" i="234"/>
  <c r="C87" i="234"/>
  <c r="C88" i="234"/>
  <c r="C89" i="234"/>
  <c r="C90" i="234"/>
  <c r="C91" i="234"/>
  <c r="C92" i="234"/>
  <c r="C93" i="234"/>
  <c r="C94" i="234"/>
  <c r="C95" i="234"/>
  <c r="C96" i="234"/>
  <c r="C97" i="234"/>
  <c r="C98" i="234"/>
  <c r="C99" i="234"/>
  <c r="C100" i="234"/>
  <c r="C101" i="234"/>
  <c r="C102" i="234"/>
  <c r="C103" i="234"/>
  <c r="C104" i="234"/>
  <c r="C105" i="234"/>
  <c r="C106" i="234"/>
  <c r="C107" i="234"/>
  <c r="C108" i="234"/>
  <c r="C109" i="234"/>
  <c r="C110" i="234"/>
  <c r="C111" i="234"/>
  <c r="C112" i="234"/>
  <c r="C113" i="234"/>
  <c r="C114" i="234"/>
  <c r="C115" i="234"/>
  <c r="C116" i="234"/>
  <c r="C117" i="234"/>
  <c r="C118" i="234"/>
  <c r="C119" i="234"/>
  <c r="C120" i="234"/>
  <c r="C121" i="234"/>
  <c r="C122" i="234"/>
  <c r="C123" i="234"/>
  <c r="C124" i="234"/>
  <c r="C125" i="234"/>
  <c r="C126" i="234"/>
  <c r="C127" i="234"/>
  <c r="C128" i="234"/>
  <c r="C129" i="234"/>
  <c r="C130" i="234"/>
  <c r="C131" i="234"/>
  <c r="C132" i="234"/>
  <c r="C133" i="234"/>
  <c r="C134" i="234"/>
  <c r="C135" i="234"/>
  <c r="C136" i="234"/>
  <c r="C137" i="234"/>
  <c r="C138" i="234"/>
  <c r="C139" i="234"/>
  <c r="C140" i="234"/>
  <c r="C141" i="234"/>
  <c r="C142" i="234"/>
  <c r="C143" i="234"/>
  <c r="C144" i="234"/>
  <c r="C145" i="234"/>
  <c r="C146" i="234"/>
  <c r="C147" i="234"/>
  <c r="C148" i="234"/>
  <c r="C149" i="234"/>
  <c r="C150" i="234"/>
  <c r="C151" i="234"/>
  <c r="C152" i="234"/>
  <c r="C153" i="234"/>
  <c r="C154" i="234"/>
  <c r="C155" i="234"/>
  <c r="C156" i="234"/>
  <c r="C157" i="234"/>
  <c r="C158" i="234"/>
  <c r="C159" i="234"/>
  <c r="C160" i="234"/>
  <c r="C161" i="234"/>
  <c r="C162" i="234"/>
  <c r="C163" i="234"/>
  <c r="C164" i="234"/>
  <c r="C165" i="234"/>
  <c r="C166" i="234"/>
  <c r="C167" i="234"/>
  <c r="C168" i="234"/>
  <c r="C169" i="234"/>
  <c r="C170" i="234"/>
  <c r="C171" i="234"/>
  <c r="C172" i="234"/>
  <c r="C173" i="234"/>
  <c r="C174" i="234"/>
  <c r="C175" i="234"/>
  <c r="C176" i="234"/>
  <c r="C177" i="234"/>
  <c r="C178" i="234"/>
  <c r="C179" i="234"/>
  <c r="C180" i="234"/>
  <c r="C181" i="234"/>
  <c r="C182" i="234"/>
  <c r="C183" i="234"/>
  <c r="C184" i="234"/>
  <c r="C185" i="234"/>
  <c r="C186" i="234"/>
  <c r="C187" i="234"/>
  <c r="C188" i="234"/>
  <c r="C189" i="234"/>
  <c r="C190" i="234"/>
  <c r="C191" i="234"/>
  <c r="C192" i="234"/>
  <c r="C193" i="234"/>
  <c r="C194" i="234"/>
  <c r="C195" i="234"/>
  <c r="C196" i="234"/>
  <c r="C197" i="234"/>
  <c r="C198" i="234"/>
  <c r="C199" i="234"/>
  <c r="C200" i="234"/>
  <c r="C201" i="234"/>
  <c r="C202" i="234"/>
  <c r="C203" i="234"/>
  <c r="C204" i="234"/>
  <c r="C205" i="234"/>
  <c r="C206" i="234"/>
  <c r="C207" i="234"/>
  <c r="C208" i="234"/>
  <c r="C209" i="234"/>
  <c r="C210" i="234"/>
  <c r="C211" i="234"/>
  <c r="C212" i="234"/>
  <c r="C213" i="234"/>
  <c r="C214" i="234"/>
  <c r="C215" i="234"/>
  <c r="C216" i="234"/>
  <c r="C217" i="234"/>
  <c r="C218" i="234"/>
  <c r="C219" i="234"/>
  <c r="C220" i="234"/>
  <c r="C221" i="234"/>
  <c r="C222" i="234"/>
  <c r="C223" i="234"/>
  <c r="C224" i="234"/>
  <c r="C225" i="234"/>
  <c r="C226" i="234"/>
  <c r="C227" i="234"/>
  <c r="C228" i="234"/>
  <c r="C229" i="234"/>
  <c r="C230" i="234"/>
  <c r="C231" i="234"/>
  <c r="C232" i="234"/>
  <c r="C233" i="234"/>
  <c r="C234" i="234"/>
  <c r="C235" i="234"/>
  <c r="C236" i="234"/>
  <c r="C237" i="234"/>
  <c r="C238" i="234"/>
  <c r="C239" i="234"/>
  <c r="C240" i="234"/>
  <c r="C241" i="234"/>
  <c r="C242" i="234"/>
  <c r="C243" i="234"/>
  <c r="C244" i="234"/>
  <c r="C245" i="234"/>
  <c r="C246" i="234"/>
  <c r="C247" i="234"/>
  <c r="C248" i="234"/>
  <c r="C249" i="234"/>
  <c r="C250" i="234"/>
  <c r="C251" i="234"/>
  <c r="C252" i="234"/>
  <c r="C253" i="234"/>
  <c r="C254" i="234"/>
  <c r="C255" i="234"/>
  <c r="C256" i="234"/>
  <c r="C257" i="234"/>
  <c r="C258" i="234"/>
  <c r="C259" i="234"/>
  <c r="C260" i="234"/>
  <c r="C261" i="234"/>
  <c r="C262" i="234"/>
  <c r="C263" i="234"/>
  <c r="C264" i="234"/>
  <c r="C265" i="234"/>
  <c r="C266" i="234"/>
  <c r="C267" i="234"/>
  <c r="C268" i="234"/>
  <c r="C269" i="234"/>
  <c r="C270" i="234"/>
  <c r="C271" i="234"/>
  <c r="C272" i="234"/>
  <c r="C273" i="234"/>
  <c r="C274" i="234"/>
  <c r="C275" i="234"/>
  <c r="C276" i="234"/>
  <c r="C277" i="234"/>
  <c r="C278" i="234"/>
  <c r="C279" i="234"/>
  <c r="C280" i="234"/>
  <c r="C281" i="234"/>
  <c r="C282" i="234"/>
  <c r="C283" i="234"/>
  <c r="C284" i="234"/>
  <c r="C285" i="234"/>
  <c r="C286" i="234"/>
  <c r="C287" i="234"/>
  <c r="C288" i="234"/>
  <c r="C289" i="234"/>
  <c r="C290" i="234"/>
  <c r="C291" i="234"/>
  <c r="C292" i="234"/>
  <c r="C293" i="234"/>
  <c r="C294" i="234"/>
  <c r="C295" i="234"/>
  <c r="C296" i="234"/>
  <c r="C297" i="234"/>
  <c r="C298" i="234"/>
  <c r="C299" i="234"/>
  <c r="C300" i="234"/>
  <c r="C301" i="234"/>
  <c r="C302" i="234"/>
  <c r="C303" i="234"/>
  <c r="C304" i="234"/>
  <c r="C305" i="234"/>
  <c r="C306" i="234"/>
  <c r="C307" i="234"/>
  <c r="C308" i="234"/>
  <c r="C309" i="234"/>
  <c r="C310" i="234"/>
  <c r="C311" i="234"/>
  <c r="C312" i="234"/>
  <c r="C313" i="234"/>
  <c r="C314" i="234"/>
  <c r="C315" i="234"/>
  <c r="C316" i="234"/>
  <c r="C317" i="234"/>
  <c r="C318" i="234"/>
  <c r="C319" i="234"/>
  <c r="C320" i="234"/>
  <c r="C321" i="234"/>
  <c r="C322" i="234"/>
  <c r="C323" i="234"/>
  <c r="C324" i="234"/>
  <c r="C325" i="234"/>
  <c r="C326" i="234"/>
  <c r="C327" i="234"/>
  <c r="C328" i="234"/>
  <c r="C329" i="234"/>
  <c r="C330" i="234"/>
  <c r="C331" i="234"/>
  <c r="C332" i="234"/>
  <c r="C333" i="234"/>
  <c r="C334" i="234"/>
  <c r="C335" i="234"/>
  <c r="C336" i="234"/>
  <c r="C337" i="234"/>
  <c r="C338" i="234"/>
  <c r="C339" i="234"/>
  <c r="C340" i="234"/>
  <c r="C341" i="234"/>
  <c r="C342" i="234"/>
  <c r="C343" i="234"/>
  <c r="C344" i="234"/>
  <c r="C345" i="234"/>
  <c r="C346" i="234"/>
  <c r="C347" i="234"/>
  <c r="C348" i="234"/>
  <c r="C349" i="234"/>
  <c r="C350" i="234"/>
  <c r="C351" i="234"/>
  <c r="C352" i="234"/>
  <c r="C353" i="234"/>
  <c r="C354" i="234"/>
  <c r="C355" i="234"/>
  <c r="C356" i="234"/>
  <c r="C357" i="234"/>
  <c r="C358" i="234"/>
  <c r="C359" i="234"/>
  <c r="C360" i="234"/>
  <c r="C361" i="234"/>
  <c r="C362" i="234"/>
  <c r="C363" i="234"/>
  <c r="C364" i="234"/>
  <c r="C365" i="234"/>
  <c r="C366" i="234"/>
  <c r="C367" i="234"/>
  <c r="C368" i="234"/>
  <c r="C369" i="234"/>
  <c r="C370" i="234"/>
  <c r="C371" i="234"/>
  <c r="C372" i="234"/>
  <c r="C373" i="234"/>
  <c r="C374" i="234"/>
  <c r="C375" i="234"/>
  <c r="C376" i="234"/>
  <c r="C377" i="234"/>
  <c r="C378" i="234"/>
  <c r="C379" i="234"/>
  <c r="C380" i="234"/>
  <c r="C381" i="234"/>
  <c r="C382" i="234"/>
  <c r="C383" i="234"/>
  <c r="C384" i="234"/>
  <c r="C385" i="234"/>
  <c r="C386" i="234"/>
  <c r="C387" i="234"/>
  <c r="C388" i="234"/>
  <c r="C389" i="234"/>
  <c r="C390" i="234"/>
  <c r="C391" i="234"/>
  <c r="C392" i="234"/>
  <c r="C393" i="234"/>
  <c r="C394" i="234"/>
  <c r="C395" i="234"/>
  <c r="C396" i="234"/>
  <c r="C397" i="234"/>
  <c r="C398" i="234"/>
  <c r="C399" i="234"/>
  <c r="C400" i="234"/>
  <c r="C401" i="234"/>
  <c r="C402" i="234"/>
  <c r="C403" i="234"/>
  <c r="C404" i="234"/>
  <c r="C405" i="234"/>
  <c r="C406" i="234"/>
  <c r="C407" i="234"/>
  <c r="C408" i="234"/>
  <c r="C409" i="234"/>
  <c r="C410" i="234"/>
  <c r="C411" i="234"/>
  <c r="C412" i="234"/>
  <c r="C413" i="234"/>
  <c r="C414" i="234"/>
  <c r="C415" i="234"/>
  <c r="C416" i="234"/>
  <c r="C417" i="234"/>
  <c r="C418" i="234"/>
  <c r="C419" i="234"/>
  <c r="C420" i="234"/>
  <c r="C421" i="234"/>
  <c r="C422" i="234"/>
  <c r="C423" i="234"/>
  <c r="C424" i="234"/>
  <c r="C425" i="234"/>
  <c r="C426" i="234"/>
  <c r="C427" i="234"/>
  <c r="C428" i="234"/>
  <c r="C429" i="234"/>
  <c r="C430" i="234"/>
  <c r="C431" i="234"/>
  <c r="C432" i="234"/>
  <c r="C433" i="234"/>
  <c r="C434" i="234"/>
  <c r="C435" i="234"/>
  <c r="C436" i="234"/>
  <c r="C437" i="234"/>
  <c r="C438" i="234"/>
  <c r="C439" i="234"/>
  <c r="C440" i="234"/>
  <c r="C441" i="234"/>
  <c r="C442" i="234"/>
  <c r="C443" i="234"/>
  <c r="C444" i="234"/>
  <c r="C445" i="234"/>
  <c r="C446" i="234"/>
  <c r="C447" i="234"/>
  <c r="C448" i="234"/>
  <c r="C449" i="234"/>
  <c r="C450" i="234"/>
  <c r="C451" i="234"/>
  <c r="C452" i="234"/>
  <c r="C453" i="234"/>
  <c r="C454" i="234"/>
  <c r="C455" i="234"/>
  <c r="C456" i="234"/>
  <c r="C457" i="234"/>
  <c r="C458" i="234"/>
  <c r="C459" i="234"/>
  <c r="C460" i="234"/>
  <c r="C461" i="234"/>
  <c r="C462" i="234"/>
  <c r="C463" i="234"/>
  <c r="C464" i="234"/>
  <c r="C465" i="234"/>
  <c r="C466" i="234"/>
  <c r="C467" i="234"/>
  <c r="C468" i="234"/>
  <c r="C469" i="234"/>
  <c r="C470" i="234"/>
  <c r="C471" i="234"/>
  <c r="C472" i="234"/>
  <c r="C473" i="234"/>
  <c r="C474" i="234"/>
  <c r="C475" i="234"/>
  <c r="C476" i="234"/>
  <c r="C477" i="234"/>
  <c r="C478" i="234"/>
  <c r="C479" i="234"/>
  <c r="C480" i="234"/>
  <c r="C481" i="234"/>
  <c r="C482" i="234"/>
  <c r="C483" i="234"/>
  <c r="C484" i="234"/>
  <c r="C485" i="234"/>
  <c r="C486" i="234"/>
  <c r="C487" i="234"/>
  <c r="C488" i="234"/>
  <c r="C489" i="234"/>
  <c r="C490" i="234"/>
  <c r="C491" i="234"/>
  <c r="C492" i="234"/>
  <c r="C493" i="234"/>
  <c r="C494" i="234"/>
  <c r="C495" i="234"/>
  <c r="C496" i="234"/>
  <c r="C497" i="234"/>
  <c r="C498" i="234"/>
  <c r="C499" i="234"/>
  <c r="C500" i="234"/>
  <c r="C501" i="234"/>
  <c r="C502" i="234"/>
  <c r="C503" i="234"/>
  <c r="C504" i="234"/>
  <c r="C505" i="234"/>
  <c r="C506" i="234"/>
  <c r="C507" i="234"/>
  <c r="C508" i="234"/>
  <c r="C509" i="234"/>
  <c r="C510" i="234"/>
  <c r="C511" i="234"/>
  <c r="C512" i="234"/>
  <c r="C513" i="234"/>
  <c r="C514" i="234"/>
  <c r="C515" i="234"/>
  <c r="C516" i="234"/>
  <c r="C517" i="234"/>
  <c r="C518" i="234"/>
  <c r="C519" i="234"/>
  <c r="C520" i="234"/>
  <c r="C521" i="234"/>
  <c r="C522" i="234"/>
  <c r="C523" i="234"/>
  <c r="C524" i="234"/>
  <c r="C525" i="234"/>
  <c r="C526" i="234"/>
  <c r="C527" i="234"/>
  <c r="C528" i="234"/>
  <c r="C529" i="234"/>
  <c r="C530" i="234"/>
  <c r="C531" i="234"/>
  <c r="C532" i="234"/>
  <c r="C533" i="234"/>
  <c r="C534" i="234"/>
  <c r="C535" i="234"/>
  <c r="C536" i="234"/>
  <c r="C537" i="234"/>
  <c r="C538" i="234"/>
  <c r="C539" i="234"/>
  <c r="C540" i="234"/>
  <c r="C541" i="234"/>
  <c r="C542" i="234"/>
  <c r="C543" i="234"/>
  <c r="C544" i="234"/>
  <c r="C545" i="234"/>
  <c r="C546" i="234"/>
  <c r="C547" i="234"/>
  <c r="C548" i="234"/>
  <c r="C549" i="234"/>
  <c r="C550" i="234"/>
  <c r="C551" i="234"/>
  <c r="C552" i="234"/>
  <c r="C553" i="234"/>
  <c r="C554" i="234"/>
  <c r="C555" i="234"/>
  <c r="C556" i="234"/>
  <c r="C557" i="234"/>
  <c r="C558" i="234"/>
  <c r="C559" i="234"/>
  <c r="C560" i="234"/>
  <c r="C561" i="234"/>
  <c r="C562" i="234"/>
  <c r="C563" i="234"/>
  <c r="C564" i="234"/>
  <c r="C565" i="234"/>
  <c r="C566" i="234"/>
  <c r="C567" i="234"/>
  <c r="C568" i="234"/>
  <c r="C569" i="234"/>
  <c r="C570" i="234"/>
  <c r="C571" i="234"/>
  <c r="C572" i="234"/>
  <c r="C573" i="234"/>
  <c r="C574" i="234"/>
  <c r="C575" i="234"/>
  <c r="C576" i="234"/>
  <c r="C577" i="234"/>
  <c r="C578" i="234"/>
  <c r="C579" i="234"/>
  <c r="C580" i="234"/>
  <c r="C581" i="234"/>
  <c r="C582" i="234"/>
  <c r="C583" i="234"/>
  <c r="C584" i="234"/>
  <c r="C585" i="234"/>
  <c r="C586" i="234"/>
  <c r="C587" i="234"/>
  <c r="C588" i="234"/>
  <c r="C589" i="234"/>
  <c r="C590" i="234"/>
  <c r="C591" i="234"/>
  <c r="C592" i="234"/>
  <c r="C593" i="234"/>
  <c r="C594" i="234"/>
  <c r="C595" i="234"/>
  <c r="C596" i="234"/>
  <c r="C597" i="234"/>
  <c r="C598" i="234"/>
  <c r="C599" i="234"/>
  <c r="C600" i="234"/>
  <c r="C601" i="234"/>
  <c r="C602" i="234"/>
  <c r="C603" i="234"/>
  <c r="C604" i="234"/>
  <c r="C605" i="234"/>
  <c r="C606" i="234"/>
  <c r="C607" i="234"/>
  <c r="C608" i="234"/>
  <c r="C609" i="234"/>
  <c r="C610" i="234"/>
  <c r="C611" i="234"/>
  <c r="C612" i="234"/>
  <c r="C613" i="234"/>
  <c r="C614" i="234"/>
  <c r="C615" i="234"/>
  <c r="C616" i="234"/>
  <c r="C617" i="234"/>
  <c r="C618" i="234"/>
  <c r="C619" i="234"/>
  <c r="C620" i="234"/>
  <c r="C621" i="234"/>
  <c r="C622" i="234"/>
  <c r="C623" i="234"/>
  <c r="C624" i="234"/>
  <c r="C625" i="234"/>
  <c r="C626" i="234"/>
  <c r="C627" i="234"/>
  <c r="C628" i="234"/>
  <c r="C629" i="234"/>
  <c r="C630" i="234"/>
  <c r="C631" i="234"/>
  <c r="C632" i="234"/>
  <c r="C633" i="234"/>
  <c r="C634" i="234"/>
  <c r="C635" i="234"/>
  <c r="C636" i="234"/>
  <c r="C637" i="234"/>
  <c r="C638" i="234"/>
  <c r="C639" i="234"/>
  <c r="C640" i="234"/>
  <c r="C641" i="234"/>
  <c r="C642" i="234"/>
  <c r="C643" i="234"/>
  <c r="C644" i="234"/>
  <c r="C645" i="234"/>
  <c r="C646" i="234"/>
  <c r="C647" i="234"/>
  <c r="C648" i="234"/>
  <c r="C649" i="234"/>
  <c r="C650" i="234"/>
  <c r="C651" i="234"/>
  <c r="C652" i="234"/>
  <c r="C653" i="234"/>
  <c r="C654" i="234"/>
  <c r="C655" i="234"/>
  <c r="C656" i="234"/>
  <c r="C657" i="234"/>
  <c r="C658" i="234"/>
  <c r="C659" i="234"/>
  <c r="C660" i="234"/>
  <c r="C661" i="234"/>
  <c r="C662" i="234"/>
  <c r="C663" i="234"/>
  <c r="C664" i="234"/>
  <c r="C665" i="234"/>
  <c r="C666" i="234"/>
  <c r="C667" i="234"/>
  <c r="C668" i="234"/>
  <c r="C669" i="234"/>
  <c r="C670" i="234"/>
  <c r="C671" i="234"/>
  <c r="C672" i="234"/>
  <c r="C673" i="234"/>
  <c r="C674" i="234"/>
  <c r="C675" i="234"/>
  <c r="C676" i="234"/>
  <c r="C677" i="234"/>
  <c r="C678" i="234"/>
  <c r="C679" i="234"/>
  <c r="C680" i="234"/>
  <c r="C681" i="234"/>
  <c r="C682" i="234"/>
  <c r="C683" i="234"/>
  <c r="C684" i="234"/>
  <c r="C685" i="234"/>
  <c r="C686" i="234"/>
  <c r="C687" i="234"/>
  <c r="C688" i="234"/>
  <c r="C689" i="234"/>
  <c r="C690" i="234"/>
  <c r="C691" i="234"/>
  <c r="C692" i="234"/>
  <c r="C693" i="234"/>
  <c r="C694" i="234"/>
  <c r="C695" i="234"/>
  <c r="C696" i="234"/>
  <c r="C697" i="234"/>
  <c r="C698" i="234"/>
  <c r="C699" i="234"/>
  <c r="C700" i="234"/>
  <c r="C701" i="234"/>
  <c r="C702" i="234"/>
  <c r="C703" i="234"/>
  <c r="C704" i="234"/>
  <c r="C705" i="234"/>
  <c r="C706" i="234"/>
  <c r="C707" i="234"/>
  <c r="C8" i="234"/>
  <c r="C9" i="234"/>
  <c r="C10" i="234"/>
  <c r="C11" i="234"/>
  <c r="C12" i="234"/>
  <c r="C13" i="234"/>
  <c r="C14" i="234"/>
  <c r="C15" i="234"/>
  <c r="C16" i="234"/>
  <c r="C17" i="234"/>
  <c r="L8" i="234"/>
  <c r="L9" i="234"/>
  <c r="C81" i="240" s="1"/>
  <c r="L10" i="234"/>
  <c r="C82" i="240" s="1"/>
  <c r="L11" i="234"/>
  <c r="C83" i="240" s="1"/>
  <c r="L12" i="234"/>
  <c r="C84" i="240" s="1"/>
  <c r="L14" i="234"/>
  <c r="C86" i="240" s="1"/>
  <c r="L15" i="234"/>
  <c r="C87" i="240" s="1"/>
  <c r="L16" i="234"/>
  <c r="C88" i="240" s="1"/>
  <c r="L17" i="234"/>
  <c r="C89" i="240" s="1"/>
  <c r="L18" i="234"/>
  <c r="C90" i="240" s="1"/>
  <c r="L19" i="234"/>
  <c r="C91" i="240" s="1"/>
  <c r="L20" i="234"/>
  <c r="C92" i="240" s="1"/>
  <c r="L21" i="234"/>
  <c r="C93" i="240" s="1"/>
  <c r="L22" i="234"/>
  <c r="C94" i="240" s="1"/>
  <c r="L23" i="234"/>
  <c r="C95" i="240" s="1"/>
  <c r="L24" i="234"/>
  <c r="C96" i="240" s="1"/>
  <c r="L25" i="234"/>
  <c r="C97" i="240" s="1"/>
  <c r="L26" i="234"/>
  <c r="C98" i="240" s="1"/>
  <c r="L27" i="234"/>
  <c r="C99" i="240" s="1"/>
  <c r="L28" i="234"/>
  <c r="C100" i="240" s="1"/>
  <c r="L29" i="234"/>
  <c r="C101" i="240" s="1"/>
  <c r="L30" i="234"/>
  <c r="C102" i="240" s="1"/>
  <c r="L31" i="234"/>
  <c r="C103" i="240" s="1"/>
  <c r="L32" i="234"/>
  <c r="C104" i="240" s="1"/>
  <c r="L33" i="234"/>
  <c r="C105" i="240" s="1"/>
  <c r="L34" i="234"/>
  <c r="C106" i="240" s="1"/>
  <c r="L35" i="234"/>
  <c r="C107" i="240" s="1"/>
  <c r="L36" i="234"/>
  <c r="C108" i="240" s="1"/>
  <c r="L37" i="234"/>
  <c r="L38" i="234"/>
  <c r="L39" i="234"/>
  <c r="L40" i="234"/>
  <c r="L41" i="234"/>
  <c r="L42" i="234"/>
  <c r="L43" i="234"/>
  <c r="L44" i="234"/>
  <c r="L45" i="234"/>
  <c r="L46" i="234"/>
  <c r="L47" i="234"/>
  <c r="L48" i="234"/>
  <c r="L49" i="234"/>
  <c r="L50" i="234"/>
  <c r="L51" i="234"/>
  <c r="L52" i="234"/>
  <c r="L53" i="234"/>
  <c r="L54" i="234"/>
  <c r="L55" i="234"/>
  <c r="L56" i="234"/>
  <c r="L57" i="234"/>
  <c r="L58" i="234"/>
  <c r="L59" i="234"/>
  <c r="L60" i="234"/>
  <c r="L61" i="234"/>
  <c r="L62" i="234"/>
  <c r="L63" i="234"/>
  <c r="L64" i="234"/>
  <c r="L65" i="234"/>
  <c r="L66" i="234"/>
  <c r="L67" i="234"/>
  <c r="L68" i="234"/>
  <c r="L69" i="234"/>
  <c r="L70" i="234"/>
  <c r="L71" i="234"/>
  <c r="L72" i="234"/>
  <c r="L73" i="234"/>
  <c r="L74" i="234"/>
  <c r="L75" i="234"/>
  <c r="L76" i="234"/>
  <c r="L77" i="234"/>
  <c r="L78" i="234"/>
  <c r="L79" i="234"/>
  <c r="L80" i="234"/>
  <c r="L81" i="234"/>
  <c r="L82" i="234"/>
  <c r="L83" i="234"/>
  <c r="L84" i="234"/>
  <c r="L85" i="234"/>
  <c r="L86" i="234"/>
  <c r="L87" i="234"/>
  <c r="L88" i="234"/>
  <c r="L89" i="234"/>
  <c r="L90" i="234"/>
  <c r="L91" i="234"/>
  <c r="L92" i="234"/>
  <c r="L93" i="234"/>
  <c r="L94" i="234"/>
  <c r="L95" i="234"/>
  <c r="L96" i="234"/>
  <c r="L97" i="234"/>
  <c r="L98" i="234"/>
  <c r="L99" i="234"/>
  <c r="L100" i="234"/>
  <c r="L101" i="234"/>
  <c r="L102" i="234"/>
  <c r="L103" i="234"/>
  <c r="L104" i="234"/>
  <c r="L105" i="234"/>
  <c r="L106" i="234"/>
  <c r="L107" i="234"/>
  <c r="L108" i="234"/>
  <c r="L109" i="234"/>
  <c r="L110" i="234"/>
  <c r="L111" i="234"/>
  <c r="L112" i="234"/>
  <c r="L113" i="234"/>
  <c r="L114" i="234"/>
  <c r="L115" i="234"/>
  <c r="L116" i="234"/>
  <c r="L117" i="234"/>
  <c r="L118" i="234"/>
  <c r="L119" i="234"/>
  <c r="L120" i="234"/>
  <c r="L121" i="234"/>
  <c r="L122" i="234"/>
  <c r="L123" i="234"/>
  <c r="L124" i="234"/>
  <c r="L125" i="234"/>
  <c r="L126" i="234"/>
  <c r="L127" i="234"/>
  <c r="L128" i="234"/>
  <c r="L129" i="234"/>
  <c r="L130" i="234"/>
  <c r="L131" i="234"/>
  <c r="L132" i="234"/>
  <c r="L133" i="234"/>
  <c r="L134" i="234"/>
  <c r="L135" i="234"/>
  <c r="L136" i="234"/>
  <c r="L137" i="234"/>
  <c r="L138" i="234"/>
  <c r="L139" i="234"/>
  <c r="L140" i="234"/>
  <c r="L141" i="234"/>
  <c r="L142" i="234"/>
  <c r="L143" i="234"/>
  <c r="L144" i="234"/>
  <c r="L145" i="234"/>
  <c r="L146" i="234"/>
  <c r="L147" i="234"/>
  <c r="L148" i="234"/>
  <c r="L149" i="234"/>
  <c r="L150" i="234"/>
  <c r="L151" i="234"/>
  <c r="L152" i="234"/>
  <c r="L153" i="234"/>
  <c r="L154" i="234"/>
  <c r="L155" i="234"/>
  <c r="L156" i="234"/>
  <c r="L157" i="234"/>
  <c r="L158" i="234"/>
  <c r="L159" i="234"/>
  <c r="L160" i="234"/>
  <c r="L161" i="234"/>
  <c r="L162" i="234"/>
  <c r="L163" i="234"/>
  <c r="L164" i="234"/>
  <c r="L165" i="234"/>
  <c r="L166" i="234"/>
  <c r="L167" i="234"/>
  <c r="L168" i="234"/>
  <c r="L169" i="234"/>
  <c r="L170" i="234"/>
  <c r="L171" i="234"/>
  <c r="L172" i="234"/>
  <c r="L173" i="234"/>
  <c r="L174" i="234"/>
  <c r="L175" i="234"/>
  <c r="L176" i="234"/>
  <c r="L177" i="234"/>
  <c r="L178" i="234"/>
  <c r="L179" i="234"/>
  <c r="L180" i="234"/>
  <c r="L181" i="234"/>
  <c r="L182" i="234"/>
  <c r="L183" i="234"/>
  <c r="L184" i="234"/>
  <c r="L185" i="234"/>
  <c r="L186" i="234"/>
  <c r="L187" i="234"/>
  <c r="L188" i="234"/>
  <c r="L189" i="234"/>
  <c r="L190" i="234"/>
  <c r="L191" i="234"/>
  <c r="L192" i="234"/>
  <c r="L193" i="234"/>
  <c r="L194" i="234"/>
  <c r="L195" i="234"/>
  <c r="L196" i="234"/>
  <c r="L197" i="234"/>
  <c r="L198" i="234"/>
  <c r="L199" i="234"/>
  <c r="L200" i="234"/>
  <c r="L201" i="234"/>
  <c r="L202" i="234"/>
  <c r="L203" i="234"/>
  <c r="L204" i="234"/>
  <c r="L205" i="234"/>
  <c r="L206" i="234"/>
  <c r="L207" i="234"/>
  <c r="L208" i="234"/>
  <c r="L209" i="234"/>
  <c r="L210" i="234"/>
  <c r="L211" i="234"/>
  <c r="L212" i="234"/>
  <c r="L213" i="234"/>
  <c r="L214" i="234"/>
  <c r="L215" i="234"/>
  <c r="L216" i="234"/>
  <c r="L217" i="234"/>
  <c r="L218" i="234"/>
  <c r="L219" i="234"/>
  <c r="L220" i="234"/>
  <c r="L221" i="234"/>
  <c r="L222" i="234"/>
  <c r="L223" i="234"/>
  <c r="L224" i="234"/>
  <c r="L225" i="234"/>
  <c r="L226" i="234"/>
  <c r="L227" i="234"/>
  <c r="L228" i="234"/>
  <c r="L229" i="234"/>
  <c r="L230" i="234"/>
  <c r="L231" i="234"/>
  <c r="L232" i="234"/>
  <c r="L233" i="234"/>
  <c r="L234" i="234"/>
  <c r="L235" i="234"/>
  <c r="L236" i="234"/>
  <c r="L237" i="234"/>
  <c r="L238" i="234"/>
  <c r="L239" i="234"/>
  <c r="L240" i="234"/>
  <c r="L241" i="234"/>
  <c r="L242" i="234"/>
  <c r="L243" i="234"/>
  <c r="L244" i="234"/>
  <c r="L245" i="234"/>
  <c r="L246" i="234"/>
  <c r="L247" i="234"/>
  <c r="L248" i="234"/>
  <c r="L249" i="234"/>
  <c r="L250" i="234"/>
  <c r="L251" i="234"/>
  <c r="L252" i="234"/>
  <c r="L253" i="234"/>
  <c r="L254" i="234"/>
  <c r="L255" i="234"/>
  <c r="L256" i="234"/>
  <c r="L257" i="234"/>
  <c r="L258" i="234"/>
  <c r="L259" i="234"/>
  <c r="L260" i="234"/>
  <c r="L261" i="234"/>
  <c r="L262" i="234"/>
  <c r="L263" i="234"/>
  <c r="L264" i="234"/>
  <c r="L265" i="234"/>
  <c r="L266" i="234"/>
  <c r="L267" i="234"/>
  <c r="L268" i="234"/>
  <c r="L269" i="234"/>
  <c r="L270" i="234"/>
  <c r="L271" i="234"/>
  <c r="L272" i="234"/>
  <c r="L273" i="234"/>
  <c r="L274" i="234"/>
  <c r="L275" i="234"/>
  <c r="L276" i="234"/>
  <c r="L277" i="234"/>
  <c r="L278" i="234"/>
  <c r="L279" i="234"/>
  <c r="L280" i="234"/>
  <c r="L281" i="234"/>
  <c r="L282" i="234"/>
  <c r="L283" i="234"/>
  <c r="L284" i="234"/>
  <c r="L285" i="234"/>
  <c r="L286" i="234"/>
  <c r="L287" i="234"/>
  <c r="L288" i="234"/>
  <c r="L289" i="234"/>
  <c r="L290" i="234"/>
  <c r="L291" i="234"/>
  <c r="L292" i="234"/>
  <c r="L293" i="234"/>
  <c r="L294" i="234"/>
  <c r="L295" i="234"/>
  <c r="L296" i="234"/>
  <c r="L297" i="234"/>
  <c r="L298" i="234"/>
  <c r="L299" i="234"/>
  <c r="L300" i="234"/>
  <c r="L301" i="234"/>
  <c r="L302" i="234"/>
  <c r="L303" i="234"/>
  <c r="L304" i="234"/>
  <c r="L305" i="234"/>
  <c r="L306" i="234"/>
  <c r="L307" i="234"/>
  <c r="L308" i="234"/>
  <c r="L309" i="234"/>
  <c r="L310" i="234"/>
  <c r="L311" i="234"/>
  <c r="L312" i="234"/>
  <c r="L313" i="234"/>
  <c r="L314" i="234"/>
  <c r="L315" i="234"/>
  <c r="L316" i="234"/>
  <c r="L317" i="234"/>
  <c r="L318" i="234"/>
  <c r="L319" i="234"/>
  <c r="L320" i="234"/>
  <c r="L321" i="234"/>
  <c r="L322" i="234"/>
  <c r="L323" i="234"/>
  <c r="L324" i="234"/>
  <c r="L325" i="234"/>
  <c r="L326" i="234"/>
  <c r="L327" i="234"/>
  <c r="L328" i="234"/>
  <c r="L329" i="234"/>
  <c r="L330" i="234"/>
  <c r="L331" i="234"/>
  <c r="L332" i="234"/>
  <c r="L333" i="234"/>
  <c r="L334" i="234"/>
  <c r="L335" i="234"/>
  <c r="L336" i="234"/>
  <c r="L337" i="234"/>
  <c r="L338" i="234"/>
  <c r="L339" i="234"/>
  <c r="L340" i="234"/>
  <c r="L341" i="234"/>
  <c r="L342" i="234"/>
  <c r="L343" i="234"/>
  <c r="L344" i="234"/>
  <c r="L345" i="234"/>
  <c r="L346" i="234"/>
  <c r="L347" i="234"/>
  <c r="L348" i="234"/>
  <c r="L349" i="234"/>
  <c r="L350" i="234"/>
  <c r="L351" i="234"/>
  <c r="L352" i="234"/>
  <c r="L353" i="234"/>
  <c r="L354" i="234"/>
  <c r="L355" i="234"/>
  <c r="L356" i="234"/>
  <c r="L357" i="234"/>
  <c r="L358" i="234"/>
  <c r="L359" i="234"/>
  <c r="L360" i="234"/>
  <c r="L361" i="234"/>
  <c r="L362" i="234"/>
  <c r="L363" i="234"/>
  <c r="L364" i="234"/>
  <c r="L365" i="234"/>
  <c r="L366" i="234"/>
  <c r="L367" i="234"/>
  <c r="L368" i="234"/>
  <c r="L369" i="234"/>
  <c r="L370" i="234"/>
  <c r="L371" i="234"/>
  <c r="L372" i="234"/>
  <c r="L373" i="234"/>
  <c r="L374" i="234"/>
  <c r="L375" i="234"/>
  <c r="L376" i="234"/>
  <c r="L377" i="234"/>
  <c r="L378" i="234"/>
  <c r="L379" i="234"/>
  <c r="L380" i="234"/>
  <c r="L381" i="234"/>
  <c r="L382" i="234"/>
  <c r="L383" i="234"/>
  <c r="L384" i="234"/>
  <c r="L385" i="234"/>
  <c r="L386" i="234"/>
  <c r="L387" i="234"/>
  <c r="L388" i="234"/>
  <c r="L389" i="234"/>
  <c r="L390" i="234"/>
  <c r="L391" i="234"/>
  <c r="L392" i="234"/>
  <c r="L393" i="234"/>
  <c r="L394" i="234"/>
  <c r="L395" i="234"/>
  <c r="L396" i="234"/>
  <c r="L397" i="234"/>
  <c r="L398" i="234"/>
  <c r="L399" i="234"/>
  <c r="L400" i="234"/>
  <c r="L401" i="234"/>
  <c r="L402" i="234"/>
  <c r="L403" i="234"/>
  <c r="L404" i="234"/>
  <c r="L405" i="234"/>
  <c r="L406" i="234"/>
  <c r="L407" i="234"/>
  <c r="L408" i="234"/>
  <c r="L409" i="234"/>
  <c r="L410" i="234"/>
  <c r="L411" i="234"/>
  <c r="L412" i="234"/>
  <c r="L413" i="234"/>
  <c r="L414" i="234"/>
  <c r="L415" i="234"/>
  <c r="L416" i="234"/>
  <c r="L417" i="234"/>
  <c r="L418" i="234"/>
  <c r="L419" i="234"/>
  <c r="L420" i="234"/>
  <c r="L421" i="234"/>
  <c r="L422" i="234"/>
  <c r="L423" i="234"/>
  <c r="L424" i="234"/>
  <c r="L425" i="234"/>
  <c r="L426" i="234"/>
  <c r="L427" i="234"/>
  <c r="L428" i="234"/>
  <c r="L429" i="234"/>
  <c r="L430" i="234"/>
  <c r="L431" i="234"/>
  <c r="L432" i="234"/>
  <c r="L433" i="234"/>
  <c r="L434" i="234"/>
  <c r="L435" i="234"/>
  <c r="L436" i="234"/>
  <c r="L437" i="234"/>
  <c r="L438" i="234"/>
  <c r="L439" i="234"/>
  <c r="L440" i="234"/>
  <c r="L441" i="234"/>
  <c r="L442" i="234"/>
  <c r="L443" i="234"/>
  <c r="L444" i="234"/>
  <c r="L445" i="234"/>
  <c r="L446" i="234"/>
  <c r="L447" i="234"/>
  <c r="L448" i="234"/>
  <c r="L449" i="234"/>
  <c r="L450" i="234"/>
  <c r="L451" i="234"/>
  <c r="L452" i="234"/>
  <c r="L453" i="234"/>
  <c r="L454" i="234"/>
  <c r="L455" i="234"/>
  <c r="L456" i="234"/>
  <c r="L457" i="234"/>
  <c r="L458" i="234"/>
  <c r="L459" i="234"/>
  <c r="L460" i="234"/>
  <c r="L461" i="234"/>
  <c r="L462" i="234"/>
  <c r="L463" i="234"/>
  <c r="L464" i="234"/>
  <c r="L465" i="234"/>
  <c r="L466" i="234"/>
  <c r="L467" i="234"/>
  <c r="L468" i="234"/>
  <c r="L469" i="234"/>
  <c r="L470" i="234"/>
  <c r="L471" i="234"/>
  <c r="L472" i="234"/>
  <c r="L473" i="234"/>
  <c r="L474" i="234"/>
  <c r="L475" i="234"/>
  <c r="L476" i="234"/>
  <c r="L477" i="234"/>
  <c r="L478" i="234"/>
  <c r="L479" i="234"/>
  <c r="L480" i="234"/>
  <c r="L481" i="234"/>
  <c r="L482" i="234"/>
  <c r="L483" i="234"/>
  <c r="L484" i="234"/>
  <c r="L485" i="234"/>
  <c r="L486" i="234"/>
  <c r="L487" i="234"/>
  <c r="L488" i="234"/>
  <c r="L489" i="234"/>
  <c r="L490" i="234"/>
  <c r="L491" i="234"/>
  <c r="L492" i="234"/>
  <c r="L493" i="234"/>
  <c r="L494" i="234"/>
  <c r="L495" i="234"/>
  <c r="L496" i="234"/>
  <c r="L497" i="234"/>
  <c r="L498" i="234"/>
  <c r="L499" i="234"/>
  <c r="L500" i="234"/>
  <c r="L501" i="234"/>
  <c r="L502" i="234"/>
  <c r="L503" i="234"/>
  <c r="L504" i="234"/>
  <c r="L505" i="234"/>
  <c r="L506" i="234"/>
  <c r="L507" i="234"/>
  <c r="L508" i="234"/>
  <c r="L509" i="234"/>
  <c r="L510" i="234"/>
  <c r="L511" i="234"/>
  <c r="L512" i="234"/>
  <c r="L513" i="234"/>
  <c r="L514" i="234"/>
  <c r="L515" i="234"/>
  <c r="L516" i="234"/>
  <c r="L517" i="234"/>
  <c r="L518" i="234"/>
  <c r="L519" i="234"/>
  <c r="L520" i="234"/>
  <c r="L521" i="234"/>
  <c r="L522" i="234"/>
  <c r="L523" i="234"/>
  <c r="L524" i="234"/>
  <c r="L525" i="234"/>
  <c r="L526" i="234"/>
  <c r="L527" i="234"/>
  <c r="L528" i="234"/>
  <c r="L529" i="234"/>
  <c r="L530" i="234"/>
  <c r="L531" i="234"/>
  <c r="L532" i="234"/>
  <c r="L533" i="234"/>
  <c r="L534" i="234"/>
  <c r="L535" i="234"/>
  <c r="L536" i="234"/>
  <c r="L537" i="234"/>
  <c r="L538" i="234"/>
  <c r="L539" i="234"/>
  <c r="L540" i="234"/>
  <c r="L541" i="234"/>
  <c r="L542" i="234"/>
  <c r="L543" i="234"/>
  <c r="L544" i="234"/>
  <c r="L545" i="234"/>
  <c r="L546" i="234"/>
  <c r="L547" i="234"/>
  <c r="L548" i="234"/>
  <c r="L549" i="234"/>
  <c r="L550" i="234"/>
  <c r="L551" i="234"/>
  <c r="L552" i="234"/>
  <c r="L553" i="234"/>
  <c r="L554" i="234"/>
  <c r="L555" i="234"/>
  <c r="L556" i="234"/>
  <c r="L557" i="234"/>
  <c r="L558" i="234"/>
  <c r="L559" i="234"/>
  <c r="L560" i="234"/>
  <c r="L561" i="234"/>
  <c r="L562" i="234"/>
  <c r="L563" i="234"/>
  <c r="L564" i="234"/>
  <c r="L565" i="234"/>
  <c r="L566" i="234"/>
  <c r="L567" i="234"/>
  <c r="L568" i="234"/>
  <c r="L569" i="234"/>
  <c r="L570" i="234"/>
  <c r="L571" i="234"/>
  <c r="L572" i="234"/>
  <c r="L573" i="234"/>
  <c r="L574" i="234"/>
  <c r="L575" i="234"/>
  <c r="L576" i="234"/>
  <c r="L577" i="234"/>
  <c r="L578" i="234"/>
  <c r="L579" i="234"/>
  <c r="L580" i="234"/>
  <c r="L581" i="234"/>
  <c r="L582" i="234"/>
  <c r="L583" i="234"/>
  <c r="L584" i="234"/>
  <c r="L585" i="234"/>
  <c r="L586" i="234"/>
  <c r="L587" i="234"/>
  <c r="L588" i="234"/>
  <c r="L589" i="234"/>
  <c r="L590" i="234"/>
  <c r="L591" i="234"/>
  <c r="L592" i="234"/>
  <c r="L593" i="234"/>
  <c r="L594" i="234"/>
  <c r="L595" i="234"/>
  <c r="L596" i="234"/>
  <c r="L597" i="234"/>
  <c r="L598" i="234"/>
  <c r="L599" i="234"/>
  <c r="L600" i="234"/>
  <c r="L601" i="234"/>
  <c r="L602" i="234"/>
  <c r="L603" i="234"/>
  <c r="L604" i="234"/>
  <c r="L605" i="234"/>
  <c r="L606" i="234"/>
  <c r="L607" i="234"/>
  <c r="L608" i="234"/>
  <c r="L609" i="234"/>
  <c r="L610" i="234"/>
  <c r="L611" i="234"/>
  <c r="L612" i="234"/>
  <c r="L613" i="234"/>
  <c r="L614" i="234"/>
  <c r="L615" i="234"/>
  <c r="L616" i="234"/>
  <c r="L617" i="234"/>
  <c r="L618" i="234"/>
  <c r="L619" i="234"/>
  <c r="L620" i="234"/>
  <c r="L621" i="234"/>
  <c r="L622" i="234"/>
  <c r="L623" i="234"/>
  <c r="L624" i="234"/>
  <c r="L625" i="234"/>
  <c r="L626" i="234"/>
  <c r="L627" i="234"/>
  <c r="L628" i="234"/>
  <c r="L629" i="234"/>
  <c r="L630" i="234"/>
  <c r="L631" i="234"/>
  <c r="L632" i="234"/>
  <c r="L633" i="234"/>
  <c r="L634" i="234"/>
  <c r="L635" i="234"/>
  <c r="L636" i="234"/>
  <c r="L637" i="234"/>
  <c r="L638" i="234"/>
  <c r="L639" i="234"/>
  <c r="L640" i="234"/>
  <c r="L641" i="234"/>
  <c r="L642" i="234"/>
  <c r="L643" i="234"/>
  <c r="L644" i="234"/>
  <c r="L645" i="234"/>
  <c r="L646" i="234"/>
  <c r="L647" i="234"/>
  <c r="L648" i="234"/>
  <c r="L649" i="234"/>
  <c r="L650" i="234"/>
  <c r="L651" i="234"/>
  <c r="L652" i="234"/>
  <c r="L653" i="234"/>
  <c r="L654" i="234"/>
  <c r="L655" i="234"/>
  <c r="L656" i="234"/>
  <c r="L657" i="234"/>
  <c r="L658" i="234"/>
  <c r="L659" i="234"/>
  <c r="L660" i="234"/>
  <c r="L661" i="234"/>
  <c r="L662" i="234"/>
  <c r="L663" i="234"/>
  <c r="L664" i="234"/>
  <c r="L665" i="234"/>
  <c r="L666" i="234"/>
  <c r="L667" i="234"/>
  <c r="L668" i="234"/>
  <c r="L669" i="234"/>
  <c r="L670" i="234"/>
  <c r="L671" i="234"/>
  <c r="L672" i="234"/>
  <c r="L673" i="234"/>
  <c r="L674" i="234"/>
  <c r="L675" i="234"/>
  <c r="L676" i="234"/>
  <c r="L677" i="234"/>
  <c r="L678" i="234"/>
  <c r="L679" i="234"/>
  <c r="L680" i="234"/>
  <c r="L681" i="234"/>
  <c r="L682" i="234"/>
  <c r="L683" i="234"/>
  <c r="L684" i="234"/>
  <c r="L685" i="234"/>
  <c r="L686" i="234"/>
  <c r="L687" i="234"/>
  <c r="L688" i="234"/>
  <c r="L689" i="234"/>
  <c r="L690" i="234"/>
  <c r="L691" i="234"/>
  <c r="L692" i="234"/>
  <c r="L693" i="234"/>
  <c r="L694" i="234"/>
  <c r="L695" i="234"/>
  <c r="L696" i="234"/>
  <c r="L697" i="234"/>
  <c r="L698" i="234"/>
  <c r="L699" i="234"/>
  <c r="L700" i="234"/>
  <c r="L701" i="234"/>
  <c r="L702" i="234"/>
  <c r="L703" i="234"/>
  <c r="L704" i="234"/>
  <c r="L705" i="234"/>
  <c r="L706" i="234"/>
  <c r="L707" i="234"/>
  <c r="C80" i="240" l="1"/>
  <c r="C109" i="240" s="1"/>
  <c r="C23" i="240"/>
  <c r="C28" i="240" l="1"/>
  <c r="C31" i="240" s="1"/>
  <c r="C34" i="240" l="1"/>
</calcChain>
</file>

<file path=xl/sharedStrings.xml><?xml version="1.0" encoding="utf-8"?>
<sst xmlns="http://schemas.openxmlformats.org/spreadsheetml/2006/main" count="12190" uniqueCount="2261">
  <si>
    <t xml:space="preserve"> : Project Title</t>
  </si>
  <si>
    <t xml:space="preserve"> : Project Number</t>
  </si>
  <si>
    <t xml:space="preserve"> : Originator</t>
  </si>
  <si>
    <t xml:space="preserve"> : Project Manager (If Assigned)</t>
  </si>
  <si>
    <t xml:space="preserve"> : Reviewer/Approver</t>
  </si>
  <si>
    <t xml:space="preserve"> : Date (Last Revised)</t>
  </si>
  <si>
    <t xml:space="preserve"> : Revision#</t>
  </si>
  <si>
    <t xml:space="preserve"> : Scope Accuracy</t>
  </si>
  <si>
    <t xml:space="preserve"> : Engineering Effort</t>
  </si>
  <si>
    <t xml:space="preserve"> : Project Stage</t>
  </si>
  <si>
    <r>
      <t>SCOPE DESCRIPTION:</t>
    </r>
    <r>
      <rPr>
        <sz val="12"/>
        <rFont val="Arial"/>
        <family val="2"/>
      </rPr>
      <t xml:space="preserve"> </t>
    </r>
  </si>
  <si>
    <r>
      <t>SCOPE ASSUMPTIONS AND CLARIFICATIONS:</t>
    </r>
    <r>
      <rPr>
        <sz val="12"/>
        <rFont val="Arial"/>
        <family val="2"/>
      </rPr>
      <t xml:space="preserve"> </t>
    </r>
  </si>
  <si>
    <t>REVISION NOTES:</t>
  </si>
  <si>
    <t>HARD COST SUBTOTAL</t>
  </si>
  <si>
    <t>SOFT COST SUBTOTAL</t>
  </si>
  <si>
    <t>HARD COST CONTINGENCY</t>
  </si>
  <si>
    <t xml:space="preserve">(Enter % of Hard Cost): </t>
  </si>
  <si>
    <t>SOFT COST CONTINGENCY</t>
  </si>
  <si>
    <t xml:space="preserve">(Enter % of Soft Cost): </t>
  </si>
  <si>
    <t>ESCALATION</t>
  </si>
  <si>
    <t>Based on Calculations Below Under "Escalation Calculator" :</t>
  </si>
  <si>
    <t>TOTAL PROJECT ESTIMATE</t>
  </si>
  <si>
    <t>Hard Cost Summary</t>
  </si>
  <si>
    <t>HARD COST DESCRIPTION</t>
  </si>
  <si>
    <t>TOTAL</t>
  </si>
  <si>
    <t>01 General Requirements</t>
  </si>
  <si>
    <t>02 Existing Conditions</t>
  </si>
  <si>
    <t>03 Concrete</t>
  </si>
  <si>
    <t>04 Masonry</t>
  </si>
  <si>
    <t>05 Metals</t>
  </si>
  <si>
    <t>06 Wood Plastics And Composites</t>
  </si>
  <si>
    <t>07 Thermaland Moisture Protection</t>
  </si>
  <si>
    <t>08 Openings</t>
  </si>
  <si>
    <t>09 Finishes</t>
  </si>
  <si>
    <t>10 Specialties</t>
  </si>
  <si>
    <t>11 Equipment</t>
  </si>
  <si>
    <t>12 Furnishings</t>
  </si>
  <si>
    <t>13 Special Construction</t>
  </si>
  <si>
    <t>14 Conveying Equipment</t>
  </si>
  <si>
    <t>21 Fire Suppression</t>
  </si>
  <si>
    <t>22 Plumbing</t>
  </si>
  <si>
    <t>23 Heating Ventilating And Air Conditioning</t>
  </si>
  <si>
    <t>26 Electrical</t>
  </si>
  <si>
    <t>27 Communications</t>
  </si>
  <si>
    <t>28 Electronic Safety And Security</t>
  </si>
  <si>
    <t>31 Earthwork</t>
  </si>
  <si>
    <t>32 Exterior Improvements</t>
  </si>
  <si>
    <t>33 Utilities</t>
  </si>
  <si>
    <t>34 Transportation</t>
  </si>
  <si>
    <t>35 Waterway And Marine</t>
  </si>
  <si>
    <t>41 Material Proc And Handling Eq.</t>
  </si>
  <si>
    <t>51 Earthwork FAA</t>
  </si>
  <si>
    <t>52 Flexible Base Courses FAA</t>
  </si>
  <si>
    <t>53 Rigid Base Courses FAA</t>
  </si>
  <si>
    <t>54 Flexible Surface Courses FAA</t>
  </si>
  <si>
    <t>55 Rigid Pavement FAA</t>
  </si>
  <si>
    <t>56 Miscellaneous FAA</t>
  </si>
  <si>
    <t>57 Fencing FAA</t>
  </si>
  <si>
    <t>58 Drainage FAA</t>
  </si>
  <si>
    <t>59 Turfing FAA</t>
  </si>
  <si>
    <t>60 Lighting Installation FAA</t>
  </si>
  <si>
    <t>Misc - Not Listed</t>
  </si>
  <si>
    <t>Soft Cost Summary</t>
  </si>
  <si>
    <t>101000 - Project Admin &amp; Mgmt-General</t>
  </si>
  <si>
    <t>101400 - Project Admin &amp; Mgmt-Design</t>
  </si>
  <si>
    <t>101500 - Project Admin &amp; Mgmt-Construction</t>
  </si>
  <si>
    <t>141010 - Design-Outside Design Services</t>
  </si>
  <si>
    <t>141100 - Design-Specification Development</t>
  </si>
  <si>
    <t>141600 - Design-Environmental</t>
  </si>
  <si>
    <t>141700 - Design-PE Design</t>
  </si>
  <si>
    <t>141800 - Design-Survey</t>
  </si>
  <si>
    <t>141900 - Design-Drawing and Development</t>
  </si>
  <si>
    <t>142100 - Design-Construction/Inspection Suppor</t>
  </si>
  <si>
    <t>142600 - Design-IT Design Support</t>
  </si>
  <si>
    <t>171500 - Development-Conceptual Design</t>
  </si>
  <si>
    <t>191100 - Construction-Equipment Contracts</t>
  </si>
  <si>
    <t>191200 - Construction-Management</t>
  </si>
  <si>
    <t>191300 - Construction-Inspection</t>
  </si>
  <si>
    <t>191400 - Construction-Testing</t>
  </si>
  <si>
    <t>191500 - Construction-Survey</t>
  </si>
  <si>
    <t>191600 - Construction-Environmental</t>
  </si>
  <si>
    <t>191800 - Construction-Engineering Support</t>
  </si>
  <si>
    <t>191810 - Construction-Outside Construction Services</t>
  </si>
  <si>
    <t>191900 - Construction-Maintenance</t>
  </si>
  <si>
    <t>192000 - Construction-IT</t>
  </si>
  <si>
    <t>201400 - Permitting-City</t>
  </si>
  <si>
    <t>781100 - Project Close Out-As Builts</t>
  </si>
  <si>
    <t>781200 - Project Close Out-Survey</t>
  </si>
  <si>
    <t>781300 - Project Close Out-Technical Reference Center</t>
  </si>
  <si>
    <t>781400 - Project Close Out-Geographic Information System</t>
  </si>
  <si>
    <t>908550 - Capitalized Alloc Sup Svs-Annual Engineering Adjustment</t>
  </si>
  <si>
    <t>909000 - Capitalized Alloc Sup Svs-Capitalized Allocated Supp Svs</t>
  </si>
  <si>
    <t>Escalation Calculator</t>
  </si>
  <si>
    <t xml:space="preserve">Base Escalation Rate  (Yearly): </t>
  </si>
  <si>
    <t xml:space="preserve">Date of Estimate: </t>
  </si>
  <si>
    <t xml:space="preserve">Construction Start: </t>
  </si>
  <si>
    <t xml:space="preserve">Construction Finish: </t>
  </si>
  <si>
    <t xml:space="preserve">Construction Midpoint: </t>
  </si>
  <si>
    <t xml:space="preserve">Est. Date to Const. Start: </t>
  </si>
  <si>
    <t xml:space="preserve">Const. Start to Midpoint: </t>
  </si>
  <si>
    <t xml:space="preserve">Estimate Date to Midpoint: </t>
  </si>
  <si>
    <t xml:space="preserve">Escalation: </t>
  </si>
  <si>
    <t>Hard Cost Estimating Form (Details)</t>
  </si>
  <si>
    <t>Project Title:</t>
  </si>
  <si>
    <t>Instructions:</t>
  </si>
  <si>
    <t>Project #:</t>
  </si>
  <si>
    <t>Step 1: Select Division from Dropdown in Column A to Populate Options in Column B</t>
  </si>
  <si>
    <t>Rev #:</t>
  </si>
  <si>
    <t>Step 2: Select Associated Cost Code Description from Dropdown in Column B [Optional]</t>
  </si>
  <si>
    <t>Rev # Date:</t>
  </si>
  <si>
    <t>Step 3: Fill in Estimating Table in Columns (D to G)</t>
  </si>
  <si>
    <t>Hard Cost Total:</t>
  </si>
  <si>
    <t>Division</t>
  </si>
  <si>
    <t>Cost Code Description</t>
  </si>
  <si>
    <t>Cost Code</t>
  </si>
  <si>
    <t>Item Description</t>
  </si>
  <si>
    <t>QTY</t>
  </si>
  <si>
    <t>Unit</t>
  </si>
  <si>
    <t>Unit Rate</t>
  </si>
  <si>
    <t>Total</t>
  </si>
  <si>
    <t>AsbestosAbatement</t>
  </si>
  <si>
    <t>Soft Cost Estimating Form (Details)</t>
  </si>
  <si>
    <t>Estimating Method</t>
  </si>
  <si>
    <t>Percentage Based</t>
  </si>
  <si>
    <t>Soft Cost %</t>
  </si>
  <si>
    <t>Soft Cost Total:</t>
  </si>
  <si>
    <t>Chart Type</t>
  </si>
  <si>
    <t>Chart Name</t>
  </si>
  <si>
    <t>Description</t>
  </si>
  <si>
    <t>Container</t>
  </si>
  <si>
    <t>Container Description</t>
  </si>
  <si>
    <t>Interdepartmental Labor</t>
  </si>
  <si>
    <t>Total Unit Rate</t>
  </si>
  <si>
    <t>Qty</t>
  </si>
  <si>
    <t>M01</t>
  </si>
  <si>
    <t>Engineering Standard</t>
  </si>
  <si>
    <t>Project Admin &amp; Mgmt-General</t>
  </si>
  <si>
    <t>M02</t>
  </si>
  <si>
    <t>General Administration</t>
  </si>
  <si>
    <t>LBR</t>
  </si>
  <si>
    <t>Hr</t>
  </si>
  <si>
    <t>Project Admin &amp; Mgmt-Design</t>
  </si>
  <si>
    <t>Project Admin &amp; Mgmt-Construction</t>
  </si>
  <si>
    <t>Design-Outside Design Services</t>
  </si>
  <si>
    <t>M03</t>
  </si>
  <si>
    <t>Design</t>
  </si>
  <si>
    <t>Design-Specification Development</t>
  </si>
  <si>
    <t>Design-Environmental</t>
  </si>
  <si>
    <t>Design-PE Design</t>
  </si>
  <si>
    <t>Design-Survey</t>
  </si>
  <si>
    <t>Design-Drawing and Development</t>
  </si>
  <si>
    <t>Design-Construction/Inspection Suppor</t>
  </si>
  <si>
    <t>Design-IT Design Support</t>
  </si>
  <si>
    <t>Development-Conceptual Design</t>
  </si>
  <si>
    <t>Construction-Equipment Contracts</t>
  </si>
  <si>
    <t>M04</t>
  </si>
  <si>
    <t>Execute/Build</t>
  </si>
  <si>
    <t>Construction-Management</t>
  </si>
  <si>
    <t>Construction-Inspection</t>
  </si>
  <si>
    <t>Construction-Testing</t>
  </si>
  <si>
    <t>Construction-Survey</t>
  </si>
  <si>
    <t>Construction-Environmental</t>
  </si>
  <si>
    <t>Construction-Engineering Support</t>
  </si>
  <si>
    <t>Construction-Outside Construction Services</t>
  </si>
  <si>
    <t>Construction-Maintenance</t>
  </si>
  <si>
    <t>Construction-IT</t>
  </si>
  <si>
    <t>Permitting-City</t>
  </si>
  <si>
    <t>Project Close Out-As Builts</t>
  </si>
  <si>
    <t>M05</t>
  </si>
  <si>
    <t>Close-out</t>
  </si>
  <si>
    <t>Project Close Out-Survey</t>
  </si>
  <si>
    <t>Project Close Out-Technical Reference Center</t>
  </si>
  <si>
    <t>Project Close Out-Geographic Information System</t>
  </si>
  <si>
    <t>Capitalized Alloc Sup Svs-Annual Engineering Adjustment</t>
  </si>
  <si>
    <t>Capitalized Alloc Sup Svs-Capitalized Allocated Supp Svs</t>
  </si>
  <si>
    <t>IT Standard</t>
  </si>
  <si>
    <t>Project Admin &amp; Mgmt-Project  Mgmt</t>
  </si>
  <si>
    <t>Analysis &amp; Requirements Defin.-General</t>
  </si>
  <si>
    <t>Project Planning</t>
  </si>
  <si>
    <t>Analysis &amp; Requirements Defin.-Select Vendor</t>
  </si>
  <si>
    <t>Security-General</t>
  </si>
  <si>
    <t>Design-General</t>
  </si>
  <si>
    <t>Acquisition-Contract</t>
  </si>
  <si>
    <t>Acquisition-Procurement</t>
  </si>
  <si>
    <t>Development-Database  Administration</t>
  </si>
  <si>
    <t>Development-Software Develop. &amp; Config.</t>
  </si>
  <si>
    <t>Development-Outside Design Services</t>
  </si>
  <si>
    <t>Implementation-Hardware Installation</t>
  </si>
  <si>
    <t>Implementation-Software Installation</t>
  </si>
  <si>
    <t>Implementation-IT Conversion</t>
  </si>
  <si>
    <t>Documentation-Technical Documentation</t>
  </si>
  <si>
    <t>Documentation-Training Materials</t>
  </si>
  <si>
    <t>Testing-General</t>
  </si>
  <si>
    <t>Training-Core User Training</t>
  </si>
  <si>
    <t>Training-Support Team Training</t>
  </si>
  <si>
    <t>Project Close Out-General</t>
  </si>
  <si>
    <t>Upland Control Sites</t>
  </si>
  <si>
    <t>Design-Remedial Design</t>
  </si>
  <si>
    <t>Design-Maintenance Design Support</t>
  </si>
  <si>
    <t>Planning-Assessment/Planning</t>
  </si>
  <si>
    <t>Planning-Preliminary Assessment</t>
  </si>
  <si>
    <t>Planning-Site Investigation</t>
  </si>
  <si>
    <t>Planning-Remedial Investigation</t>
  </si>
  <si>
    <t>Planning-Cargill OU1</t>
  </si>
  <si>
    <t>Planning-OU2</t>
  </si>
  <si>
    <t>Planning-Feasibility Study</t>
  </si>
  <si>
    <t>Implementation-Remedial Action</t>
  </si>
  <si>
    <t>Implementation-O&amp;M-Systems</t>
  </si>
  <si>
    <t>Implementation-O&amp;M-Monitoring</t>
  </si>
  <si>
    <t>Legal/Regulatory-Pre-Litigation Preparation</t>
  </si>
  <si>
    <t>Legal/Regulatory-Litigation Defense</t>
  </si>
  <si>
    <t>Legal/Regulatory-Closure Report/NFA</t>
  </si>
  <si>
    <t>Legal/Regulatory-Action Memo</t>
  </si>
  <si>
    <t>Public Records Request-General</t>
  </si>
  <si>
    <t>Outreach-General</t>
  </si>
  <si>
    <t>Outreach-Community Relations</t>
  </si>
  <si>
    <t>Cost Recovery-PRP Pursuit</t>
  </si>
  <si>
    <t>Payments-Group Payments</t>
  </si>
  <si>
    <t>Payments-Oversight Costs</t>
  </si>
  <si>
    <t>Payments-Oversight Costs-EPA</t>
  </si>
  <si>
    <t>Payments-Oversight Costs-DEQ</t>
  </si>
  <si>
    <t>Payments-Oversight Costs-Tribes</t>
  </si>
  <si>
    <t>Payments-Oversight Costs-Trustees</t>
  </si>
  <si>
    <t>Contingency-Contingency</t>
  </si>
  <si>
    <t>Natural Resource Damages</t>
  </si>
  <si>
    <t>Design-Restoration</t>
  </si>
  <si>
    <t>Design-Restore. Plan &amp; Dev, incl. Des</t>
  </si>
  <si>
    <t>Planning-Strategy/Planning</t>
  </si>
  <si>
    <t>Planning-Injury Assessment</t>
  </si>
  <si>
    <t>Implementation-Restoration</t>
  </si>
  <si>
    <t>Implementation-Restoration Implementation</t>
  </si>
  <si>
    <t>Legal/Regulatory-Design</t>
  </si>
  <si>
    <t>Legal/Regulatory-Negotiations</t>
  </si>
  <si>
    <t>Legal/Regulatory-Trustee Negotiations</t>
  </si>
  <si>
    <t>LW Programmatic</t>
  </si>
  <si>
    <t>Project Admin &amp; Mgmt-Upland Source Cont. Program Co</t>
  </si>
  <si>
    <t>Project Admin &amp; Mgmt-Program Management</t>
  </si>
  <si>
    <t>Planning-General Storm Water Pipes</t>
  </si>
  <si>
    <t>Planning-Technical Support</t>
  </si>
  <si>
    <t>Records Management-General</t>
  </si>
  <si>
    <t>Records Management-Coding/Scanning</t>
  </si>
  <si>
    <t>Records Management-Hardware/Software</t>
  </si>
  <si>
    <t>Cost Recovery-Insurance Cost Recovery</t>
  </si>
  <si>
    <t>M06</t>
  </si>
  <si>
    <t>LW Project</t>
  </si>
  <si>
    <t>Permitting-General</t>
  </si>
  <si>
    <t>Legal/Regulatory-Compliance</t>
  </si>
  <si>
    <t>Legal/Regulatory-WRDA</t>
  </si>
  <si>
    <t>Legal/Regulatory-AOC Negotiations</t>
  </si>
  <si>
    <t>Payments-LWG Group Payments</t>
  </si>
  <si>
    <t>M07</t>
  </si>
  <si>
    <t>Early Action Sites</t>
  </si>
  <si>
    <t>Planning-EE(Site Characterization)</t>
  </si>
  <si>
    <t>Implementation-NRD Restoration/Settlement</t>
  </si>
  <si>
    <t>Legal/Regulatory-CD/AO/UO Negotiations</t>
  </si>
  <si>
    <t>Legal/Regulatory-NRD Negotiations</t>
  </si>
  <si>
    <t>M08</t>
  </si>
  <si>
    <t>Navigation</t>
  </si>
  <si>
    <t>Dredge Production-Dredge Labor</t>
  </si>
  <si>
    <t>Dredge Production-Dredge Survey</t>
  </si>
  <si>
    <t>Dredge Production-Shore Labor</t>
  </si>
  <si>
    <t>Dredge Production-Services</t>
  </si>
  <si>
    <t>Dredge Production-Materials &amp; Supplies</t>
  </si>
  <si>
    <t>Dredge Production-Fuel, Lube, Oil</t>
  </si>
  <si>
    <t>Dredge Production-Port Equipment Rented to Corps</t>
  </si>
  <si>
    <t>Dredge Production-Out of Town</t>
  </si>
  <si>
    <t>Major Maintenance-Dredge Labor</t>
  </si>
  <si>
    <t>Major Maintenance-Dredge Survey</t>
  </si>
  <si>
    <t>Major Maintenance-Shore Labor</t>
  </si>
  <si>
    <t>Major Maintenance-Services</t>
  </si>
  <si>
    <t>Major Maintenance-Materials &amp; Supplies</t>
  </si>
  <si>
    <t>Major Maintenance-Fuel, Lube, Oil</t>
  </si>
  <si>
    <t>Major Maintenance-Out of Town</t>
  </si>
  <si>
    <t>Major Maintenance-Port Equipment Rented to Corps</t>
  </si>
  <si>
    <t>Mob/Demob-Dredge Labor</t>
  </si>
  <si>
    <t>Mob/Demob-Dredge Survey</t>
  </si>
  <si>
    <t>Mob/Demob-Shore Labor</t>
  </si>
  <si>
    <t>Mob/Demob-Services</t>
  </si>
  <si>
    <t>Mob/Demob-Materials &amp; Supplies</t>
  </si>
  <si>
    <t>Mob/Demob-Fuel, Lube, Oil</t>
  </si>
  <si>
    <t>Mob/Demob-Out of Town</t>
  </si>
  <si>
    <t>Mob/Demob-Port Equipment Rented to Corps</t>
  </si>
  <si>
    <t>Standby-Dredge Labor</t>
  </si>
  <si>
    <t>Standby-Dredge Survey</t>
  </si>
  <si>
    <t>Standby-Shore Labor</t>
  </si>
  <si>
    <t>Standby-Services</t>
  </si>
  <si>
    <t>Standby-Materials &amp; Supplies</t>
  </si>
  <si>
    <t>Standby-Fuel, Lube, Oil</t>
  </si>
  <si>
    <t>Standby-Out of Town</t>
  </si>
  <si>
    <t>Standby-Port Equipment Rented to Corps</t>
  </si>
  <si>
    <t>Standby Full Crew-Dredge Labor</t>
  </si>
  <si>
    <t>Standby Full Crew-Dredge Survey</t>
  </si>
  <si>
    <t>Standby Full Crew-Shore Labor</t>
  </si>
  <si>
    <t>Standby Full Crew-Services</t>
  </si>
  <si>
    <t>Standby Full Crew-Materials &amp; Supplies</t>
  </si>
  <si>
    <t>Standby Full Crew-Fuel, Lube, Oil</t>
  </si>
  <si>
    <t>Standby Full Crew-Out of Town</t>
  </si>
  <si>
    <t>Standby Full Crew-Port Equipment Rented to Corps</t>
  </si>
  <si>
    <t>Nav Office Operations-Staff Labor</t>
  </si>
  <si>
    <t>Nav Office Operations-Materials &amp; Supplies</t>
  </si>
  <si>
    <t>Nav Office Operations-Services</t>
  </si>
  <si>
    <t>Nav Office Operations-Utilities</t>
  </si>
  <si>
    <t>Nav Office Operations-Cost Offsets</t>
  </si>
  <si>
    <t>Nav Office Operations-Out of Town</t>
  </si>
  <si>
    <t>Nav Div Overhead-Depreciation</t>
  </si>
  <si>
    <t>Nav Div Overhead-Property/Liability Claims</t>
  </si>
  <si>
    <t>Nav Div Overhead-Operating Engr Trust 701 Local</t>
  </si>
  <si>
    <t>Nav Div Overhead-Unemployment</t>
  </si>
  <si>
    <t>Nav Div Overhead-Workers Comp Fees/Claims</t>
  </si>
  <si>
    <t>Nav Div Overhead-Pensions</t>
  </si>
  <si>
    <t>Nav Div Overhead-Safety Incentive Program</t>
  </si>
  <si>
    <t>Interdepartment Support-Engineering Support</t>
  </si>
  <si>
    <t>Interdepartment Support-Projects Support</t>
  </si>
  <si>
    <t>Interdepartment Support-Financial Support</t>
  </si>
  <si>
    <t>Interdepartment Support-Marine Support</t>
  </si>
  <si>
    <t>General &amp; Admin (G&amp;A) 15%-Allocated Support Services</t>
  </si>
  <si>
    <t>General &amp; Admin (G&amp;A) 15%-Cost of Money Rate</t>
  </si>
  <si>
    <t>Other Reimbursements-COE Dredge Operations</t>
  </si>
  <si>
    <t>M09</t>
  </si>
  <si>
    <t>Equipment Standard</t>
  </si>
  <si>
    <t>Acquisition-Delivery</t>
  </si>
  <si>
    <t>Implementation-Equipment Installation</t>
  </si>
  <si>
    <t>M10</t>
  </si>
  <si>
    <t>Emergency</t>
  </si>
  <si>
    <t>Insurance/FEMA Tracking-Preservation/Prevention</t>
  </si>
  <si>
    <t>Insurance/FEMA Tracking-Clean-Up (Removal of Debris)</t>
  </si>
  <si>
    <t>Insurance/FEMA Tracking-Damages (Cost To Repair Dam</t>
  </si>
  <si>
    <t>Insurance/FEMA Tracking-EOC 1. Extra Expense to Supp</t>
  </si>
  <si>
    <t>M11</t>
  </si>
  <si>
    <t>Reimbursements</t>
  </si>
  <si>
    <t>Other Reimbursements-Environ. Remediation - PRP</t>
  </si>
  <si>
    <t>Other Reimbursements-Insurance Reimbursements</t>
  </si>
  <si>
    <t>Other Reimbursements-Third Party Shared Costs</t>
  </si>
  <si>
    <t>Other Reimbursements-Business Development</t>
  </si>
  <si>
    <t>Other Reimbursements-TSA Agreements</t>
  </si>
  <si>
    <t>Other Reimbursements-Business Energy Tax Credit</t>
  </si>
  <si>
    <t>Other Reimbursements-SEP Program</t>
  </si>
  <si>
    <t>Other Reimbursements-Intergovernmental Agreemen</t>
  </si>
  <si>
    <t>Other Reimbursements-Port of Kalama Reimbursement</t>
  </si>
  <si>
    <t>Other Reimbursements-Port of Longview Reimbursement</t>
  </si>
  <si>
    <t>Other Reimbursements-Port of Vancouver Reimbursemen</t>
  </si>
  <si>
    <t>Other Reimbursements-Port of Woodland Reimbursement</t>
  </si>
  <si>
    <t>Other Reimbursements-Port of St. Helens Reimburseme</t>
  </si>
  <si>
    <t>Other Reimbursements-State of Oregon Reimbursement</t>
  </si>
  <si>
    <t>Other Reimbursements-OECDD - $27.7M</t>
  </si>
  <si>
    <t>Other Reimbursements-ICTSI Estimated Reimbursement</t>
  </si>
  <si>
    <t>Other Reimbursements-ICTSI Lease Reimbursements</t>
  </si>
  <si>
    <t>Other Reimbursements-Equitable Sharing-Treasury Dep</t>
  </si>
  <si>
    <t>Other Reimbursements-Equitable Sharing-Justice Dept</t>
  </si>
  <si>
    <t>M12</t>
  </si>
  <si>
    <t>Channel Deepening</t>
  </si>
  <si>
    <t>Construction-Contract</t>
  </si>
  <si>
    <t>Construction-Tenant Access</t>
  </si>
  <si>
    <t>Construction-Operating Dept Support</t>
  </si>
  <si>
    <t>Survey-Engineering Support</t>
  </si>
  <si>
    <t>Maintenance-Environmental</t>
  </si>
  <si>
    <t>Maintenance-Monitoring</t>
  </si>
  <si>
    <t>M13</t>
  </si>
  <si>
    <t>Properties</t>
  </si>
  <si>
    <t>Acquisition-General</t>
  </si>
  <si>
    <t>Acquisition-Payments to WA Ports</t>
  </si>
  <si>
    <t>Acquisition-Demolition</t>
  </si>
  <si>
    <t>Acquisition-Relocation Assistance</t>
  </si>
  <si>
    <t>Acquisition-Appraisals</t>
  </si>
  <si>
    <t>Acquisition-Environmental Assessments</t>
  </si>
  <si>
    <t>Acquisition-Inspection</t>
  </si>
  <si>
    <t>Acquisition-Survey</t>
  </si>
  <si>
    <t>Maintenance-General</t>
  </si>
  <si>
    <t>M14</t>
  </si>
  <si>
    <t>Master Planning</t>
  </si>
  <si>
    <t>Planning-General</t>
  </si>
  <si>
    <t>Planning-Forecasts</t>
  </si>
  <si>
    <t>Planning-Alternatives Definition</t>
  </si>
  <si>
    <t>Survey-Analysis</t>
  </si>
  <si>
    <t>M15</t>
  </si>
  <si>
    <t>Business Case Planning</t>
  </si>
  <si>
    <t>M99</t>
  </si>
  <si>
    <t>MW Master Chart April 2016</t>
  </si>
  <si>
    <t>Project Admin &amp; Mgmt-Meetings</t>
  </si>
  <si>
    <t>Project Admin &amp; Mgmt-Development</t>
  </si>
  <si>
    <t>Project Admin &amp; Mgmt-Land Acquisition</t>
  </si>
  <si>
    <t>Project Admin &amp; Mgmt-Financial Support</t>
  </si>
  <si>
    <t>Analysis &amp; Requirements Defin.-Develop &amp; Issue RFP</t>
  </si>
  <si>
    <t>Design-R&amp;D</t>
  </si>
  <si>
    <t>Design-Public Affairs</t>
  </si>
  <si>
    <t>Design-Identity Development</t>
  </si>
  <si>
    <t>Planning-Capacity Analysis</t>
  </si>
  <si>
    <t>Planning-Environ. Assess/Action Plan</t>
  </si>
  <si>
    <t>Planning-Cargo</t>
  </si>
  <si>
    <t>Planning-Future Technology</t>
  </si>
  <si>
    <t>Planning-Facility</t>
  </si>
  <si>
    <t>Planning-Master Plan</t>
  </si>
  <si>
    <t>Planning-Transportation Improvement</t>
  </si>
  <si>
    <t>Planning-Transportation Analysis</t>
  </si>
  <si>
    <t>Planning-Event</t>
  </si>
  <si>
    <t>Planning-Multimedia Presentations</t>
  </si>
  <si>
    <t>Development-Integration Development</t>
  </si>
  <si>
    <t>Development-Interface Development</t>
  </si>
  <si>
    <t>Development-Conversion Development</t>
  </si>
  <si>
    <t>Development-PE Design/Support</t>
  </si>
  <si>
    <t>Development-Survey</t>
  </si>
  <si>
    <t>Development-Contracts/Drawing</t>
  </si>
  <si>
    <t>Development-Environmental</t>
  </si>
  <si>
    <t>Development-Action Plan</t>
  </si>
  <si>
    <t>Development-Planning</t>
  </si>
  <si>
    <t>Development-Maintenance</t>
  </si>
  <si>
    <t>Development-IT</t>
  </si>
  <si>
    <t>Development-Construction/Inspection Suppor</t>
  </si>
  <si>
    <t>Implementation-Database Installation</t>
  </si>
  <si>
    <t>Construction-Public Affairs</t>
  </si>
  <si>
    <t>Construction-Premium-Workers' Compensation</t>
  </si>
  <si>
    <t>Construction-Premium-General Liability</t>
  </si>
  <si>
    <t>Construction-Premium-Excess Liability</t>
  </si>
  <si>
    <t>Construction-Premium-Contractors' Poll Liab</t>
  </si>
  <si>
    <t>Construction-Premium-Builders' Risk</t>
  </si>
  <si>
    <t>Construction-Premium-Broker/Admin Fee</t>
  </si>
  <si>
    <t>Construction-Insurance Claims</t>
  </si>
  <si>
    <t>Construction-Claims-Workers' Compensation</t>
  </si>
  <si>
    <t>Construction-Claims-General Liability</t>
  </si>
  <si>
    <t>Construction-Claims-Excess Liability</t>
  </si>
  <si>
    <t>Construction-Claims-Contractors' Poll Liab</t>
  </si>
  <si>
    <t>Construction-Claims-Builders' Risk</t>
  </si>
  <si>
    <t>Construction-Workers' Compensation</t>
  </si>
  <si>
    <t>Permitting-Corps</t>
  </si>
  <si>
    <t>Permitting-Federal</t>
  </si>
  <si>
    <t>Permitting-State</t>
  </si>
  <si>
    <t>Survey-Transportation Condition</t>
  </si>
  <si>
    <t>Survey-Environmental Condition</t>
  </si>
  <si>
    <t>Survey-Facility Condition</t>
  </si>
  <si>
    <t>Survey-Update Harbor History</t>
  </si>
  <si>
    <t>Legal/Regulatory-Litigate</t>
  </si>
  <si>
    <t>Legal/Regulatory-WRDA-Internal Cost Tracking</t>
  </si>
  <si>
    <t>Legal/Regulatory-Identity Development</t>
  </si>
  <si>
    <t>Legal/Regulatory-Print Media</t>
  </si>
  <si>
    <t>Training-End User Training</t>
  </si>
  <si>
    <t>Training-Event</t>
  </si>
  <si>
    <t>Cost Recovery-PRP Search</t>
  </si>
  <si>
    <t>Operations-Level Green/Yellow</t>
  </si>
  <si>
    <t>Operations-Level Orange</t>
  </si>
  <si>
    <t>Operations-Kenneling &amp; Care</t>
  </si>
  <si>
    <t>Operations-Veterinary Care</t>
  </si>
  <si>
    <t>Operations-Misc K9 Costs</t>
  </si>
  <si>
    <t>Prop Mgmt Revenues-Taxes</t>
  </si>
  <si>
    <t>Prop Mgmt Revenues-Lease Rental Income</t>
  </si>
  <si>
    <t>Prop Mgmt Revenues-Sand Sales Income</t>
  </si>
  <si>
    <t>Prop Mgmt Expenses-General</t>
  </si>
  <si>
    <t>Sand Sales Expenses-Management</t>
  </si>
  <si>
    <t>Sand Sales Expenses-Royalty Payments to DSL</t>
  </si>
  <si>
    <t>Payments-EPA Investigation</t>
  </si>
  <si>
    <t>Payments-EPA Cleanup</t>
  </si>
  <si>
    <t>Payments-DEQ Investigation</t>
  </si>
  <si>
    <t>Identity Development-Print</t>
  </si>
  <si>
    <t>Identity Development-Copy Writing</t>
  </si>
  <si>
    <t>Print Media-Print</t>
  </si>
  <si>
    <t>Event-Special Promotion</t>
  </si>
  <si>
    <t>Multimedia Presentations-Advertising</t>
  </si>
  <si>
    <t>ICTSI Reimbursable-Cranes</t>
  </si>
  <si>
    <t>ICTSI Reimbursable-Gate</t>
  </si>
  <si>
    <t>ICTSI Reimbursable-Container Yard (604-606)</t>
  </si>
  <si>
    <t>ICTSI Reimbursable-Breakbulk Yard (603)</t>
  </si>
  <si>
    <t>ICTSI Reimbursable-Berths 603-605 Dock</t>
  </si>
  <si>
    <t>ICTSI Reimbursable-Intermodal Rail Yard</t>
  </si>
  <si>
    <t>ICTSI Reimbursable-Maintenance/Administrative</t>
  </si>
  <si>
    <t>ICTSI Reimbursable-Security Allocation</t>
  </si>
  <si>
    <t>ICTSI Reimbursable-MFM Allocation</t>
  </si>
  <si>
    <t>ICTSI Reimbursable-Electrical Allocation</t>
  </si>
  <si>
    <t>ICTSI Reimbursable-Gearlocker Allocation</t>
  </si>
  <si>
    <t>ICTSI Reimbursable-Corporate Overhead</t>
  </si>
  <si>
    <t>ICTSI Reimbursable-Marine Overhead</t>
  </si>
  <si>
    <t>Schedule &amp; Resource Estimate Form</t>
  </si>
  <si>
    <t>Estimated Schedule</t>
  </si>
  <si>
    <t>Phase</t>
  </si>
  <si>
    <t>Start Date</t>
  </si>
  <si>
    <t>End Date</t>
  </si>
  <si>
    <t>Duration (Wks)</t>
  </si>
  <si>
    <t xml:space="preserve">    Project Administration</t>
  </si>
  <si>
    <t xml:space="preserve">    Design</t>
  </si>
  <si>
    <t xml:space="preserve">    Execute/Build</t>
  </si>
  <si>
    <t xml:space="preserve">    Close-Out</t>
  </si>
  <si>
    <t>Estimated Resources</t>
  </si>
  <si>
    <t>Role</t>
  </si>
  <si>
    <t>Avg. Hrs/Wk</t>
  </si>
  <si>
    <t>Total Hours</t>
  </si>
  <si>
    <t>Project Manager</t>
  </si>
  <si>
    <t>Spec Writer</t>
  </si>
  <si>
    <t>Environmental Planner</t>
  </si>
  <si>
    <t>Project Engineer</t>
  </si>
  <si>
    <t>Electrical Engineer</t>
  </si>
  <si>
    <t>Facility Engineer</t>
  </si>
  <si>
    <t>Surveyor</t>
  </si>
  <si>
    <t>Locates</t>
  </si>
  <si>
    <t>CAD Tech</t>
  </si>
  <si>
    <t>BIM Tech</t>
  </si>
  <si>
    <t>TRC Tech</t>
  </si>
  <si>
    <t>Construction Manager</t>
  </si>
  <si>
    <t>Inspector</t>
  </si>
  <si>
    <t>142100 - Design-Construction/Inspection Support</t>
  </si>
  <si>
    <t>IT Resource</t>
  </si>
  <si>
    <t>Civil Inspector</t>
  </si>
  <si>
    <t>Electrical Inspector</t>
  </si>
  <si>
    <t>Mechanical Inspector</t>
  </si>
  <si>
    <t>Environmental Specialist</t>
  </si>
  <si>
    <t>Maintenance Personnel</t>
  </si>
  <si>
    <t>GIS Analyst</t>
  </si>
  <si>
    <t>CASS</t>
  </si>
  <si>
    <t>ESTIMATE DASHBOARD</t>
  </si>
  <si>
    <t>Rev #</t>
  </si>
  <si>
    <t>Rev # Date</t>
  </si>
  <si>
    <t>Project Estimate Chart</t>
  </si>
  <si>
    <t>Chart is auto-populated from 'Project Estimate' table below</t>
  </si>
  <si>
    <t>Project Estimate</t>
  </si>
  <si>
    <t>Risk = Contingency + Escalation</t>
  </si>
  <si>
    <t>Performance Metric</t>
  </si>
  <si>
    <t>Hard ($)</t>
  </si>
  <si>
    <t>Soft ($)</t>
  </si>
  <si>
    <t>Contingency ($)</t>
  </si>
  <si>
    <t>Escalation ($)</t>
  </si>
  <si>
    <t>Estimate ($)</t>
  </si>
  <si>
    <t>Low Range ($)</t>
  </si>
  <si>
    <t>High Range ($)</t>
  </si>
  <si>
    <t>Project Charter</t>
  </si>
  <si>
    <t>Business Case - Gate 1</t>
  </si>
  <si>
    <t>Preliminary Design - Gate 2</t>
  </si>
  <si>
    <t>100% Design/ Pre-Bid - Gate 3</t>
  </si>
  <si>
    <t>Bid Acceptance - Gate 4</t>
  </si>
  <si>
    <t>Project Closeout - Gate 5</t>
  </si>
  <si>
    <t>CostCode</t>
  </si>
  <si>
    <t>Division Number</t>
  </si>
  <si>
    <t>DivisionLookup</t>
  </si>
  <si>
    <t>CostCodeSeg 2</t>
  </si>
  <si>
    <t>CostCodeSeg 3</t>
  </si>
  <si>
    <t>Costcode</t>
  </si>
  <si>
    <t>SUBGROUP:  GENERAL REQUIREMENTS</t>
  </si>
  <si>
    <t>1</t>
  </si>
  <si>
    <t>Division01</t>
  </si>
  <si>
    <t>00</t>
  </si>
  <si>
    <t>PROJECT MANAGEMENT</t>
  </si>
  <si>
    <t>Division  01 - General Requirements</t>
  </si>
  <si>
    <t>2</t>
  </si>
  <si>
    <t>Division02</t>
  </si>
  <si>
    <t>Contractor'sManagementandCoordination</t>
  </si>
  <si>
    <t>DESIGN</t>
  </si>
  <si>
    <t>Contractor's Management and Coordination</t>
  </si>
  <si>
    <t>3</t>
  </si>
  <si>
    <t>Division03</t>
  </si>
  <si>
    <t>SubmittalProcedures</t>
  </si>
  <si>
    <t>DEVELOPMENT</t>
  </si>
  <si>
    <t>Submittal Procedures</t>
  </si>
  <si>
    <t>4</t>
  </si>
  <si>
    <t>Division04</t>
  </si>
  <si>
    <t>SecurityControl</t>
  </si>
  <si>
    <t>CONSTRUCTION</t>
  </si>
  <si>
    <t>Security Control</t>
  </si>
  <si>
    <t>5</t>
  </si>
  <si>
    <t>Division05</t>
  </si>
  <si>
    <t>Escort</t>
  </si>
  <si>
    <t>PERMITTING</t>
  </si>
  <si>
    <t>6</t>
  </si>
  <si>
    <t>Division06</t>
  </si>
  <si>
    <t>Permits</t>
  </si>
  <si>
    <t>7</t>
  </si>
  <si>
    <t>Division07</t>
  </si>
  <si>
    <t>MobilizationandDemobilization</t>
  </si>
  <si>
    <t>PROJECT CLOSE-OUT</t>
  </si>
  <si>
    <t>Mobilization and Demobilization</t>
  </si>
  <si>
    <t>8</t>
  </si>
  <si>
    <t>Division08</t>
  </si>
  <si>
    <t>TrafficControl</t>
  </si>
  <si>
    <t>CONTINGENCY</t>
  </si>
  <si>
    <t>Traffic Control</t>
  </si>
  <si>
    <t>9</t>
  </si>
  <si>
    <t>Division09</t>
  </si>
  <si>
    <t>Sweeping</t>
  </si>
  <si>
    <t>10</t>
  </si>
  <si>
    <t>Division10</t>
  </si>
  <si>
    <t>TemporaryHeating,CoolingandVentilating</t>
  </si>
  <si>
    <t>CONVERSION</t>
  </si>
  <si>
    <t>Temporary Heating, Cooling and Ventilating</t>
  </si>
  <si>
    <t>11</t>
  </si>
  <si>
    <t>Division11</t>
  </si>
  <si>
    <t>TemporaryRamps</t>
  </si>
  <si>
    <t>Temporary Ramps</t>
  </si>
  <si>
    <t>12</t>
  </si>
  <si>
    <t>Division12</t>
  </si>
  <si>
    <t>ConstructionAids</t>
  </si>
  <si>
    <t>Construction Aids</t>
  </si>
  <si>
    <t>13</t>
  </si>
  <si>
    <t>Division13</t>
  </si>
  <si>
    <t>VehicularAccessandParking</t>
  </si>
  <si>
    <t>Vehicular Access and Parking</t>
  </si>
  <si>
    <t>14</t>
  </si>
  <si>
    <t>Division14</t>
  </si>
  <si>
    <t>TemporaryBarriersandEnclosures</t>
  </si>
  <si>
    <t>Temporary Barriers and Enclosures</t>
  </si>
  <si>
    <t>21</t>
  </si>
  <si>
    <t>Division21</t>
  </si>
  <si>
    <t>TemporaryErosion,Sediment,andPollutionControl</t>
  </si>
  <si>
    <t>Temporary Erosion, Sediment, and Pollution Control</t>
  </si>
  <si>
    <t>22</t>
  </si>
  <si>
    <t>Division22</t>
  </si>
  <si>
    <t>ProductStorageandHandlingRequirements</t>
  </si>
  <si>
    <t>Product Storage and Handling Requirements</t>
  </si>
  <si>
    <t>23</t>
  </si>
  <si>
    <t>Division23</t>
  </si>
  <si>
    <t>CuttingandPatching</t>
  </si>
  <si>
    <t>Cutting and Patching</t>
  </si>
  <si>
    <t>26</t>
  </si>
  <si>
    <t>Division26</t>
  </si>
  <si>
    <t>CleaningandWasteManagement</t>
  </si>
  <si>
    <t>Cleaning and Waste Management</t>
  </si>
  <si>
    <t>27</t>
  </si>
  <si>
    <t>Division27</t>
  </si>
  <si>
    <t>ConstructionWasteRecycling</t>
  </si>
  <si>
    <t>Construction Waste Recycling</t>
  </si>
  <si>
    <t>Division28</t>
  </si>
  <si>
    <t>Commissioning</t>
  </si>
  <si>
    <t>Division31</t>
  </si>
  <si>
    <t>SUBGROUP:  FACILITY CONSTRUCTION</t>
  </si>
  <si>
    <t>Division32</t>
  </si>
  <si>
    <t>Division  02 - Existing Conditions</t>
  </si>
  <si>
    <t>Divsion33</t>
  </si>
  <si>
    <t>CommonWorkResultsforExistingConditions</t>
  </si>
  <si>
    <t>05</t>
  </si>
  <si>
    <t>Common Work Results for Existing Conditions</t>
  </si>
  <si>
    <t>Division34</t>
  </si>
  <si>
    <t>SiteDemolition</t>
  </si>
  <si>
    <t>41</t>
  </si>
  <si>
    <t>Site Demolition</t>
  </si>
  <si>
    <t>Division35</t>
  </si>
  <si>
    <t>SelectiveInteriorDemolition</t>
  </si>
  <si>
    <t>19</t>
  </si>
  <si>
    <t>Selective Interior Demolition</t>
  </si>
  <si>
    <t>Divsion41</t>
  </si>
  <si>
    <t>SiteRemediation</t>
  </si>
  <si>
    <t>Site Remediation</t>
  </si>
  <si>
    <t>Division51</t>
  </si>
  <si>
    <t>RemovalandDisposalofContaminatedSoils</t>
  </si>
  <si>
    <t>61</t>
  </si>
  <si>
    <t>Removal and Disposal of Contaminated Soils</t>
  </si>
  <si>
    <t>Division52</t>
  </si>
  <si>
    <t>UndergroundStorageTankRemoval</t>
  </si>
  <si>
    <t>65</t>
  </si>
  <si>
    <t>Underground Storage Tank Removal</t>
  </si>
  <si>
    <t>Division53</t>
  </si>
  <si>
    <t>GroundwaterTreatment</t>
  </si>
  <si>
    <t>Groundwater Treatment</t>
  </si>
  <si>
    <t>Division54</t>
  </si>
  <si>
    <t>82</t>
  </si>
  <si>
    <t>Asbestos Abatement</t>
  </si>
  <si>
    <t>Division55</t>
  </si>
  <si>
    <t>AsbestosManagement</t>
  </si>
  <si>
    <t>16</t>
  </si>
  <si>
    <t>Asbestos Management</t>
  </si>
  <si>
    <t>Division56</t>
  </si>
  <si>
    <t>Lead_BasedPaintManagement</t>
  </si>
  <si>
    <t>83</t>
  </si>
  <si>
    <t>Lead-Based Paint Management</t>
  </si>
  <si>
    <t>Division57</t>
  </si>
  <si>
    <t>Lead_BasedPaintAbatement</t>
  </si>
  <si>
    <t>Lead-Based Paint Abatement</t>
  </si>
  <si>
    <t>Division58</t>
  </si>
  <si>
    <t>PCBRemediation</t>
  </si>
  <si>
    <t>84</t>
  </si>
  <si>
    <t>PCB Remediation</t>
  </si>
  <si>
    <t>Division59</t>
  </si>
  <si>
    <t>Division60</t>
  </si>
  <si>
    <t>Division  03 - Concrete</t>
  </si>
  <si>
    <t>CommonWorkResultsforConcrete</t>
  </si>
  <si>
    <t>Common Work Results for Concrete</t>
  </si>
  <si>
    <t>ConcreteFormwork</t>
  </si>
  <si>
    <t>Concrete Formwork</t>
  </si>
  <si>
    <t>ConcreteAccessories</t>
  </si>
  <si>
    <t>15</t>
  </si>
  <si>
    <t>Concrete Accessories</t>
  </si>
  <si>
    <t>ConcreteReinforcing</t>
  </si>
  <si>
    <t>20</t>
  </si>
  <si>
    <t>Concrete Reinforcing</t>
  </si>
  <si>
    <t>Cast_In_PlaceConcrete</t>
  </si>
  <si>
    <t>30</t>
  </si>
  <si>
    <t>Cast-In-Place Concrete</t>
  </si>
  <si>
    <t>ConcreteGrouting</t>
  </si>
  <si>
    <t>60</t>
  </si>
  <si>
    <t>Concrete Grouting</t>
  </si>
  <si>
    <t>Division 04 - Masonry</t>
  </si>
  <si>
    <t>CommonWorkResultsforMasonry</t>
  </si>
  <si>
    <t>Common Work Results for Masonry</t>
  </si>
  <si>
    <t>MasonryMortarandGrout</t>
  </si>
  <si>
    <t>Masonry Mortar and Grout</t>
  </si>
  <si>
    <t>MasonryAccessories</t>
  </si>
  <si>
    <t>Masonry Accessories</t>
  </si>
  <si>
    <t>BrickMasonry</t>
  </si>
  <si>
    <t>Brick Masonry</t>
  </si>
  <si>
    <t>ConcreteUnitMasonry</t>
  </si>
  <si>
    <t>Concrete Unit Masonry</t>
  </si>
  <si>
    <t>Division  05 - Metals</t>
  </si>
  <si>
    <t>CommonWorkResultsforMetals</t>
  </si>
  <si>
    <t>Common Work Results for Metals</t>
  </si>
  <si>
    <t>GalvanicCoatings</t>
  </si>
  <si>
    <t>Galvanic Coatings</t>
  </si>
  <si>
    <t>StructuralSteelFraming</t>
  </si>
  <si>
    <t>Structural Steel Framing</t>
  </si>
  <si>
    <t>ArchitecturallyExposedStructuralSteelFraming</t>
  </si>
  <si>
    <t>Architecturally Exposed Structural Steel Framing</t>
  </si>
  <si>
    <t>SteelJoistFraming</t>
  </si>
  <si>
    <t>Steel Joist Framing</t>
  </si>
  <si>
    <t>SteelDecking</t>
  </si>
  <si>
    <t>31</t>
  </si>
  <si>
    <t>Steel Decking</t>
  </si>
  <si>
    <t>Cold_FormedMetalFraming</t>
  </si>
  <si>
    <t>40</t>
  </si>
  <si>
    <t>Cold-Formed Metal Framing</t>
  </si>
  <si>
    <t>MetalFabrications</t>
  </si>
  <si>
    <t>50</t>
  </si>
  <si>
    <t>Metal Fabrications</t>
  </si>
  <si>
    <t>MetalRailings</t>
  </si>
  <si>
    <t>52</t>
  </si>
  <si>
    <t>Metal Railings</t>
  </si>
  <si>
    <t>StainlessSteelFabrications</t>
  </si>
  <si>
    <t>70</t>
  </si>
  <si>
    <t>Stainless Steel Fabrications</t>
  </si>
  <si>
    <t>GlazedDecorativeMetalRailings</t>
  </si>
  <si>
    <t>73</t>
  </si>
  <si>
    <t>Glazed Decorative Metal Railings</t>
  </si>
  <si>
    <t>DecorativeFormedMetal</t>
  </si>
  <si>
    <t>75</t>
  </si>
  <si>
    <t>Decorative Formed Metal</t>
  </si>
  <si>
    <t>Division  06 - Wood, Plastics &amp; Composites</t>
  </si>
  <si>
    <t>CommonWorkResultsforWood.Plastics&amp;Composites</t>
  </si>
  <si>
    <t>Common Work Results for Wood, Plastics &amp; Composites</t>
  </si>
  <si>
    <t>MaintenanceofWood.Plastics.andComposites</t>
  </si>
  <si>
    <t>01</t>
  </si>
  <si>
    <t>Maintenance of Wood, Plastics, and Composites</t>
  </si>
  <si>
    <t>RoughCarpentry</t>
  </si>
  <si>
    <t>Rough Carpentry</t>
  </si>
  <si>
    <t>FramingandSheathing</t>
  </si>
  <si>
    <t>Framing and Sheathing</t>
  </si>
  <si>
    <t>TreatedWoodforRoofRepairs</t>
  </si>
  <si>
    <t>Treated Wood for Roof Repairs</t>
  </si>
  <si>
    <t>FinishCarpentry</t>
  </si>
  <si>
    <t>Finish Carpentry</t>
  </si>
  <si>
    <t>ArchitecturalWoodwork</t>
  </si>
  <si>
    <t>Architectural Woodwork</t>
  </si>
  <si>
    <t>CustomCabinets</t>
  </si>
  <si>
    <t>Custom Cabinets</t>
  </si>
  <si>
    <t>WoodPaneling</t>
  </si>
  <si>
    <t>42</t>
  </si>
  <si>
    <t>Wood Paneling</t>
  </si>
  <si>
    <t>CustomCasework</t>
  </si>
  <si>
    <t>46</t>
  </si>
  <si>
    <t>Custom Casework</t>
  </si>
  <si>
    <t>PlasticStructuralLumber</t>
  </si>
  <si>
    <t>51</t>
  </si>
  <si>
    <t>Plastic Structural Lumber</t>
  </si>
  <si>
    <t>PlasticFabrications</t>
  </si>
  <si>
    <t>Plastic Fabrications</t>
  </si>
  <si>
    <t>Division  07 - Thermal and Moisture Protection</t>
  </si>
  <si>
    <t>CommonWorkResultsforThermalandMoistureProtection</t>
  </si>
  <si>
    <t>Common Work Results for Thermal and Moisture Protection</t>
  </si>
  <si>
    <t>ModifiedBituminousSheetRoofingSystemRepairs</t>
  </si>
  <si>
    <t>Modified Bituminous Sheet Roofing System Repairs</t>
  </si>
  <si>
    <t>ElastomericSheetRoofingSystemRepairs</t>
  </si>
  <si>
    <t>53</t>
  </si>
  <si>
    <t>Elastomeric Sheet Roofing System Repairs</t>
  </si>
  <si>
    <t>Waterproofing</t>
  </si>
  <si>
    <t>Dampproofing</t>
  </si>
  <si>
    <t>Damp proofing</t>
  </si>
  <si>
    <t>TrafficCoatings</t>
  </si>
  <si>
    <t>18</t>
  </si>
  <si>
    <t>Traffic Coatings</t>
  </si>
  <si>
    <t>ThermalInsulation</t>
  </si>
  <si>
    <t>Thermal Insulation</t>
  </si>
  <si>
    <t>VaporRetarders</t>
  </si>
  <si>
    <t>Vapor Retarders</t>
  </si>
  <si>
    <t>AirBarriers</t>
  </si>
  <si>
    <t>Air Barriers</t>
  </si>
  <si>
    <t>RoofPanels</t>
  </si>
  <si>
    <t>Roof Panels</t>
  </si>
  <si>
    <t>WallPanels</t>
  </si>
  <si>
    <t>Wall Panels</t>
  </si>
  <si>
    <t>MembraneRoofing</t>
  </si>
  <si>
    <t>Membrane Roofing</t>
  </si>
  <si>
    <t>Built_UpBituminousRoofing</t>
  </si>
  <si>
    <t>Built-Up Bituminous Roofing</t>
  </si>
  <si>
    <t>ModifiedBituminousSheetRoofingSystem</t>
  </si>
  <si>
    <t>Modified Bituminous Sheet Roofing System</t>
  </si>
  <si>
    <t>ElastomericSheetRoofingSystem</t>
  </si>
  <si>
    <t>Elastomeric Sheet Roofing System</t>
  </si>
  <si>
    <t>SheetMetalRoofing</t>
  </si>
  <si>
    <t>Sheet Metal Roofing</t>
  </si>
  <si>
    <t>SheetMetalFlashingandTrim</t>
  </si>
  <si>
    <t>62</t>
  </si>
  <si>
    <t>Sheet Metal Flashing and Trim</t>
  </si>
  <si>
    <t>ManufacturedGuttersandDownspouts</t>
  </si>
  <si>
    <t>71</t>
  </si>
  <si>
    <t>Manufactured Gutters and Downspouts</t>
  </si>
  <si>
    <t>RoofAccessories</t>
  </si>
  <si>
    <t>72</t>
  </si>
  <si>
    <t>Roof Accessories</t>
  </si>
  <si>
    <t>AppliedFireproofing</t>
  </si>
  <si>
    <t>81</t>
  </si>
  <si>
    <t>Applied Fireproofing</t>
  </si>
  <si>
    <t>Firestopping</t>
  </si>
  <si>
    <t>Fire stopping</t>
  </si>
  <si>
    <t>JointSealants</t>
  </si>
  <si>
    <t>92</t>
  </si>
  <si>
    <t>Joint Sealants</t>
  </si>
  <si>
    <t>ExpansionControl</t>
  </si>
  <si>
    <t>95</t>
  </si>
  <si>
    <t>Expansion Control</t>
  </si>
  <si>
    <t>Division  08 - Openings</t>
  </si>
  <si>
    <t>CommonWorkResultsforOpenings</t>
  </si>
  <si>
    <t>Common Work Results for Openings</t>
  </si>
  <si>
    <t>Door/WindowSchedule</t>
  </si>
  <si>
    <t>06</t>
  </si>
  <si>
    <t>Door/Window Schedule</t>
  </si>
  <si>
    <t>MetalDoorsandFrames</t>
  </si>
  <si>
    <t>Metal Doors and Frames</t>
  </si>
  <si>
    <t>WoodDoors</t>
  </si>
  <si>
    <t>Wood Doors</t>
  </si>
  <si>
    <t>AccessDoorsandPanels</t>
  </si>
  <si>
    <t>Access Doors and Panels</t>
  </si>
  <si>
    <t>CoilingDoorsandGrilles</t>
  </si>
  <si>
    <t>33</t>
  </si>
  <si>
    <t>Coiling Doors and Grilles</t>
  </si>
  <si>
    <t>PanelDoors</t>
  </si>
  <si>
    <t>36</t>
  </si>
  <si>
    <t>Panel Doors</t>
  </si>
  <si>
    <t>AluminumEntrancesandStorefronts</t>
  </si>
  <si>
    <t>Aluminum Entrances and Storefronts</t>
  </si>
  <si>
    <t>All_GlassEntrancesandStorefronts</t>
  </si>
  <si>
    <t>All-Glass Entrances and Storefronts</t>
  </si>
  <si>
    <t>EntranceDoorSystems</t>
  </si>
  <si>
    <t>Entrance Door Systems</t>
  </si>
  <si>
    <t>GlazedCurtainWalls</t>
  </si>
  <si>
    <t>44</t>
  </si>
  <si>
    <t>Glazed Curtain Walls</t>
  </si>
  <si>
    <t>Windows</t>
  </si>
  <si>
    <t>MetalWindows</t>
  </si>
  <si>
    <t>Metal Windows</t>
  </si>
  <si>
    <t>SpecialFunctionWindows</t>
  </si>
  <si>
    <t>56</t>
  </si>
  <si>
    <t>Special Function Windows</t>
  </si>
  <si>
    <t>Skylights</t>
  </si>
  <si>
    <t>FinishHardware</t>
  </si>
  <si>
    <t>Finish Hardware</t>
  </si>
  <si>
    <t>DoorHardware</t>
  </si>
  <si>
    <t>Door Hardware</t>
  </si>
  <si>
    <t>Glazing</t>
  </si>
  <si>
    <t>80</t>
  </si>
  <si>
    <t>LouversandVents</t>
  </si>
  <si>
    <t>90</t>
  </si>
  <si>
    <t>Louvers and Vents</t>
  </si>
  <si>
    <t>Division  09 - Finishes</t>
  </si>
  <si>
    <t>CommonWorkResultsforFinishes</t>
  </si>
  <si>
    <t>Common Work Results for Finishes</t>
  </si>
  <si>
    <t>RoomMaterialandFinishSchedule</t>
  </si>
  <si>
    <t>Room Material and Finish Schedule</t>
  </si>
  <si>
    <t>PlasterandGypsumBoardAssemblies</t>
  </si>
  <si>
    <t>Plaster and Gypsum Board Assemblies</t>
  </si>
  <si>
    <t>SupportsforPlasterandGypsumBoard</t>
  </si>
  <si>
    <t>Supports for Plaster and Gypsum Board</t>
  </si>
  <si>
    <t>Non_StructuralMetalStudFraming</t>
  </si>
  <si>
    <t>Non-Structural Metal Stud Framing</t>
  </si>
  <si>
    <t>LathandPlaster</t>
  </si>
  <si>
    <t>Lath and Plaster</t>
  </si>
  <si>
    <t>VeneerPlaster</t>
  </si>
  <si>
    <t>Veneer Plaster</t>
  </si>
  <si>
    <t>Glass_Fiber_ReinforcedPlasterFabrications</t>
  </si>
  <si>
    <t>Glass-Fiber-Reinforced Plaster Fabrications</t>
  </si>
  <si>
    <t>GypsumBoard</t>
  </si>
  <si>
    <t>29</t>
  </si>
  <si>
    <t>Gypsum Board</t>
  </si>
  <si>
    <t>Tile</t>
  </si>
  <si>
    <t>CeramicTile</t>
  </si>
  <si>
    <t>Ceramic Tile</t>
  </si>
  <si>
    <t>CeramicTileFloorFinish</t>
  </si>
  <si>
    <t>Ceramic Tile Floor Finish</t>
  </si>
  <si>
    <t>AcousticalCeilings</t>
  </si>
  <si>
    <t>Acoustical Ceilings</t>
  </si>
  <si>
    <t>SpecialtyCeilings(linearmetalceilings.etc.)</t>
  </si>
  <si>
    <t>54</t>
  </si>
  <si>
    <t>Specialty Ceilings (linear metal ceilings, etc.)</t>
  </si>
  <si>
    <t>FloorTreatment</t>
  </si>
  <si>
    <t>Floor Treatment</t>
  </si>
  <si>
    <t>SpecialtyFlooring</t>
  </si>
  <si>
    <t>Specialty Flooring</t>
  </si>
  <si>
    <t>MasonryFlooring</t>
  </si>
  <si>
    <t>63</t>
  </si>
  <si>
    <t>Masonry Flooring</t>
  </si>
  <si>
    <t>StoneFlooring</t>
  </si>
  <si>
    <t>Stone Flooring</t>
  </si>
  <si>
    <t>WoodFlooring</t>
  </si>
  <si>
    <t>64</t>
  </si>
  <si>
    <t>Wood Flooring</t>
  </si>
  <si>
    <t>ResilientFlooring</t>
  </si>
  <si>
    <t>Resilient Flooring</t>
  </si>
  <si>
    <t>ResilientTileFlooring</t>
  </si>
  <si>
    <t>Resilient Tile Flooring</t>
  </si>
  <si>
    <t>TerrazzoFlooring</t>
  </si>
  <si>
    <t>66</t>
  </si>
  <si>
    <t>Terrazzo Flooring</t>
  </si>
  <si>
    <t>Carpeting</t>
  </si>
  <si>
    <t>68</t>
  </si>
  <si>
    <t>AccessFlooring</t>
  </si>
  <si>
    <t>69</t>
  </si>
  <si>
    <t>Access Flooring</t>
  </si>
  <si>
    <t>WallCoverings</t>
  </si>
  <si>
    <t>Wall Coverings</t>
  </si>
  <si>
    <t>StoneFacing</t>
  </si>
  <si>
    <t>Stone Facing</t>
  </si>
  <si>
    <t>SpecialWallSurfaces</t>
  </si>
  <si>
    <t>77</t>
  </si>
  <si>
    <t>Special Wall Surfaces</t>
  </si>
  <si>
    <t>AcousticRoomComponents(AcousticPanels)</t>
  </si>
  <si>
    <t>Acoustic Room Components (Acoustic Panels)</t>
  </si>
  <si>
    <t>Painting(forinteriorAndexteriorarchitecturalpainting)</t>
  </si>
  <si>
    <t>91</t>
  </si>
  <si>
    <t>Painting   (for interior &amp; exterior architectural painting)</t>
  </si>
  <si>
    <t>SpecialCoatings(forpaintingconcrete.masonry.steel.etc.)</t>
  </si>
  <si>
    <t>97</t>
  </si>
  <si>
    <t>Special Coatings (for painting concrete, masonry, steel, etc.)</t>
  </si>
  <si>
    <t>Division  10 - Specialties</t>
  </si>
  <si>
    <t>CommonWorkResultsforSpecialties</t>
  </si>
  <si>
    <t>Common Work Results for Specialties</t>
  </si>
  <si>
    <t>VisualDisplaySurfaces</t>
  </si>
  <si>
    <t>Visual Display Surfaces</t>
  </si>
  <si>
    <t>IdentifyingDevices(identityAndwayfindingsignage)</t>
  </si>
  <si>
    <t>Identifying Devices  (identity &amp; way finding signage)</t>
  </si>
  <si>
    <t>TrafficSignage</t>
  </si>
  <si>
    <t>Traffic Signage</t>
  </si>
  <si>
    <t>BaggageInformationDisplaySystem</t>
  </si>
  <si>
    <t>Baggage Information Display System</t>
  </si>
  <si>
    <t>ToiletCompartments</t>
  </si>
  <si>
    <t>Toilet Compartments</t>
  </si>
  <si>
    <t>OperablePartitions</t>
  </si>
  <si>
    <t>Operable Partitions</t>
  </si>
  <si>
    <t>ServiceWalls</t>
  </si>
  <si>
    <t>25</t>
  </si>
  <si>
    <t>Service Walls</t>
  </si>
  <si>
    <t>WallandDoorProtection</t>
  </si>
  <si>
    <t>Wall and Door Protection</t>
  </si>
  <si>
    <t>ToiletandBathAccessories</t>
  </si>
  <si>
    <t>28</t>
  </si>
  <si>
    <t>Toilet and Bath Accessories</t>
  </si>
  <si>
    <t>FireProtectionSpecialties</t>
  </si>
  <si>
    <t>Fire Protection Specialties</t>
  </si>
  <si>
    <t>Lockers</t>
  </si>
  <si>
    <t>BusStopShelters</t>
  </si>
  <si>
    <t>43</t>
  </si>
  <si>
    <t>Bus Stop Shelters</t>
  </si>
  <si>
    <t>Flagpoles</t>
  </si>
  <si>
    <t>Division  11 - Equipment</t>
  </si>
  <si>
    <t>CommonWorkResultsforEquipment</t>
  </si>
  <si>
    <t>Common Work Results for Equipment</t>
  </si>
  <si>
    <t>VehicleServiceEquipment</t>
  </si>
  <si>
    <t>Vehicle Service Equipment</t>
  </si>
  <si>
    <t>ParkingControlEquipment</t>
  </si>
  <si>
    <t>Parking Control Equipment</t>
  </si>
  <si>
    <t>LoadingDockEquipment</t>
  </si>
  <si>
    <t>Loading Dock Equipment</t>
  </si>
  <si>
    <t>FoodServiceEquipment</t>
  </si>
  <si>
    <t>Food Service Equipment</t>
  </si>
  <si>
    <t>ProjectionScreens</t>
  </si>
  <si>
    <t>Projection Screens</t>
  </si>
  <si>
    <t>SolidWasteHandlingEquipment</t>
  </si>
  <si>
    <t>Solid Waste Handling Equipment</t>
  </si>
  <si>
    <t>Division  12 - Furnishings</t>
  </si>
  <si>
    <t>CommonWorkResultsforFurnishings</t>
  </si>
  <si>
    <t>Common Work Results for Furnishings</t>
  </si>
  <si>
    <t>Art</t>
  </si>
  <si>
    <t>WindowTreatments</t>
  </si>
  <si>
    <t>Window Treatments</t>
  </si>
  <si>
    <t>FurnishingsandAccessories</t>
  </si>
  <si>
    <t>Furnishings and Accessories</t>
  </si>
  <si>
    <t>Clocks</t>
  </si>
  <si>
    <t>FloorMats</t>
  </si>
  <si>
    <t>48</t>
  </si>
  <si>
    <t>Floor Mats</t>
  </si>
  <si>
    <t>Furniture</t>
  </si>
  <si>
    <t>MultipleSeating</t>
  </si>
  <si>
    <t>Multiple Seating</t>
  </si>
  <si>
    <t>InteriorPlantsandPlanters</t>
  </si>
  <si>
    <t>Interior Plants and Planters</t>
  </si>
  <si>
    <t>Division  13 - Special Construction</t>
  </si>
  <si>
    <t>CommonWorkResultsforSpecialConstruction</t>
  </si>
  <si>
    <t>Common Work Results for Special Construction</t>
  </si>
  <si>
    <t>Pre_EngineeredBuildings</t>
  </si>
  <si>
    <t>34</t>
  </si>
  <si>
    <t>Pre-Engineered Buildings</t>
  </si>
  <si>
    <t>Division  14 - Conveying Equipment</t>
  </si>
  <si>
    <t>CommonWorkResultsforConveyingEquipment</t>
  </si>
  <si>
    <t>Common Work Results for Conveying Equipment</t>
  </si>
  <si>
    <t>Elevators</t>
  </si>
  <si>
    <t>Escalators</t>
  </si>
  <si>
    <t>MovingWalks</t>
  </si>
  <si>
    <t>32</t>
  </si>
  <si>
    <t>Moving Walks</t>
  </si>
  <si>
    <t>Lifts</t>
  </si>
  <si>
    <t>Division  21 - Fire Suppression</t>
  </si>
  <si>
    <t>CommonWorkResultsforFireSuppression</t>
  </si>
  <si>
    <t>Common Work Results for Fire Suppression</t>
  </si>
  <si>
    <t>GaugesforFireSuppressionSystems</t>
  </si>
  <si>
    <t>Gauges for Fire Suppression Systems</t>
  </si>
  <si>
    <t>PipingSpecialtiesforWater_BasedFireSuppressionPiping</t>
  </si>
  <si>
    <t>Piping Specialties for Water-Based Fire Suppression Piping</t>
  </si>
  <si>
    <t>GeneralDutyValvesforWater_BasedFireSuppressionPiping</t>
  </si>
  <si>
    <t>General Duty Valves for Water-Based Fire Suppression Piping</t>
  </si>
  <si>
    <t>HangersAndSupportsforFireSuppressionPipingandEquipment</t>
  </si>
  <si>
    <t>Hangers &amp; Supports for Fire Suppression Piping and Equipment</t>
  </si>
  <si>
    <t>VibrationandSeismicControlsforFireSuppressionPipingandEquipment</t>
  </si>
  <si>
    <t>Vibration and Seismic Controls for Fire Suppression Piping and Equipment</t>
  </si>
  <si>
    <t>IdentificationforFireSuppressionPipingAndEquipment</t>
  </si>
  <si>
    <t>Identification for Fire Suppression Piping &amp; Equipment</t>
  </si>
  <si>
    <t>PressureTestingofFireSuppressionSystems</t>
  </si>
  <si>
    <t>Pressure Testing of Fire Suppression Systems</t>
  </si>
  <si>
    <t>FireSuppressionSystemsInsulation</t>
  </si>
  <si>
    <t>07</t>
  </si>
  <si>
    <t>Fire Suppression Systems Insulation</t>
  </si>
  <si>
    <t>FireSuppressionPiping</t>
  </si>
  <si>
    <t>Fire Suppression Piping</t>
  </si>
  <si>
    <t>FireSuppressionPumps</t>
  </si>
  <si>
    <t>Fire Suppression Pumps</t>
  </si>
  <si>
    <t>FireSuppressionSystems</t>
  </si>
  <si>
    <t>Fire Suppression Systems</t>
  </si>
  <si>
    <t>FireDetection/InergenSuppressionSystem</t>
  </si>
  <si>
    <t>Fire Detection/Inergen Suppression System</t>
  </si>
  <si>
    <t>Division  22 - Plumbing</t>
  </si>
  <si>
    <t>CommonWorkResultsforPlumbing</t>
  </si>
  <si>
    <t>Common Work Results for Plumbing</t>
  </si>
  <si>
    <t>MetersandGaugesforPlumbingPiping</t>
  </si>
  <si>
    <t>Meters and Gauges for Plumbing Piping</t>
  </si>
  <si>
    <t>PipingSpecialtiesforPlumbingPiping</t>
  </si>
  <si>
    <t>Piping Specialties for Plumbing Piping</t>
  </si>
  <si>
    <t>GeneralDutyValvesforPlumbingPiping</t>
  </si>
  <si>
    <t>General Duty Valves for Plumbing Piping</t>
  </si>
  <si>
    <t>HangersAndSupportsforPlumbingPipingAndEquip.</t>
  </si>
  <si>
    <t>Hangers &amp; Supports for Plumbing Piping &amp; Equip.</t>
  </si>
  <si>
    <t>SeismicRestraintsforPlumbingPipingandEquipment</t>
  </si>
  <si>
    <t>45</t>
  </si>
  <si>
    <t>Seismic Restraints for Plumbing Piping and Equipment</t>
  </si>
  <si>
    <t>VibrationAndSeismicControlsforPlumbingPipingAndEquipment</t>
  </si>
  <si>
    <t>Vibration &amp; Seismic Controls for Plumbing  Piping &amp; Equipment</t>
  </si>
  <si>
    <t>IdentificationforPlumbingPipingandEquipment</t>
  </si>
  <si>
    <t>Identification for Plumbing Piping and Equipment</t>
  </si>
  <si>
    <t>PressureTestingofPlumbingSystems</t>
  </si>
  <si>
    <t>Pressure Testing of Plumbing Systems</t>
  </si>
  <si>
    <t>PlumbingInsulation</t>
  </si>
  <si>
    <t>Plumbing Insulation</t>
  </si>
  <si>
    <t>PlumbingPiping</t>
  </si>
  <si>
    <t>Plumbing Piping</t>
  </si>
  <si>
    <t>PlumbingPumps</t>
  </si>
  <si>
    <t>Plumbing Pumps</t>
  </si>
  <si>
    <t>LiquidGreaseCollectionSystem</t>
  </si>
  <si>
    <t>Liquid Grease Collection System</t>
  </si>
  <si>
    <t>PlumbingEquipment</t>
  </si>
  <si>
    <t>Plumbing Equipment</t>
  </si>
  <si>
    <t>PlumbingFixtures</t>
  </si>
  <si>
    <t>Plumbing Fixtures</t>
  </si>
  <si>
    <t>Division  23 - Heating Ventilating &amp; Air Conditioning</t>
  </si>
  <si>
    <t>CommonWorkResultsforHVAC</t>
  </si>
  <si>
    <t>Common Work Results for HVAC</t>
  </si>
  <si>
    <t>ExpansionCompensation</t>
  </si>
  <si>
    <t>Expansion Compensation</t>
  </si>
  <si>
    <t>MetersandGaugesforHVACPiping</t>
  </si>
  <si>
    <t>Meters and Gauges for HVAC Piping</t>
  </si>
  <si>
    <t>PipingSpecialtiesforHVACPiping</t>
  </si>
  <si>
    <t>Piping Specialties for HVAC Piping</t>
  </si>
  <si>
    <t>GeneralDutyValvesforHVACPiping</t>
  </si>
  <si>
    <t>General Duty Valves for HVAC Piping</t>
  </si>
  <si>
    <t>HangersAndSupportsforHVACPipingandEquipment</t>
  </si>
  <si>
    <t>Hangers &amp; Supports for HVAC Piping and Equipment</t>
  </si>
  <si>
    <t>SeismicRestraintsforHVACPipingAndEquipment</t>
  </si>
  <si>
    <t>Seismic Restraints for HVAC Piping &amp; Equipment</t>
  </si>
  <si>
    <t>VibrationAndSeismicControlsforHVACPipingAndEquip</t>
  </si>
  <si>
    <t>Vibration &amp; Seismic Controls for HVAC Piping &amp; Equip</t>
  </si>
  <si>
    <t>IdentificationforHVACPipingandEquipment</t>
  </si>
  <si>
    <t>Identification for HVAC Piping and Equipment</t>
  </si>
  <si>
    <t>PressureTestingofHVACSystems</t>
  </si>
  <si>
    <t>Pressure Testing of HVAC Systems</t>
  </si>
  <si>
    <t>Testing.Adjusting.andBalancing</t>
  </si>
  <si>
    <t>93</t>
  </si>
  <si>
    <t>Testing, Adjusting, and Balancing</t>
  </si>
  <si>
    <t>HVACInsulation</t>
  </si>
  <si>
    <t>HVAC Insulation</t>
  </si>
  <si>
    <t>InstrumentationandControlsforHVAC</t>
  </si>
  <si>
    <t>09</t>
  </si>
  <si>
    <t>Instrumentation and Controls for HVAC</t>
  </si>
  <si>
    <t>GasolineDispensingPumps</t>
  </si>
  <si>
    <t>Gasoline Dispensing Pumps</t>
  </si>
  <si>
    <t>HVACPiping</t>
  </si>
  <si>
    <t>HVAC Piping</t>
  </si>
  <si>
    <t>SteamandCondensateSpecialties</t>
  </si>
  <si>
    <t>Steam and Condensate Specialties</t>
  </si>
  <si>
    <t>HVACPumps</t>
  </si>
  <si>
    <t>HVAC Pumps</t>
  </si>
  <si>
    <t>PrefabricatedPipingSystems</t>
  </si>
  <si>
    <t>24</t>
  </si>
  <si>
    <t>Prefabricated Piping Systems</t>
  </si>
  <si>
    <t>HVACWaterTreatment</t>
  </si>
  <si>
    <t>HVAC Water Treatment</t>
  </si>
  <si>
    <t>Variable_FrequencyDrives</t>
  </si>
  <si>
    <t>Variable-Frequency Drives</t>
  </si>
  <si>
    <t>LowPressureDuctwork</t>
  </si>
  <si>
    <t>Low Pressure Ductwork</t>
  </si>
  <si>
    <t>MediumPressureDuctwork</t>
  </si>
  <si>
    <t>Medium Pressure Ductwork</t>
  </si>
  <si>
    <t>HighPressureDuctwork</t>
  </si>
  <si>
    <t>High Pressure Ductwork</t>
  </si>
  <si>
    <t>AirDuctAccessories</t>
  </si>
  <si>
    <t>Air Duct Accessories</t>
  </si>
  <si>
    <t>SoundAttenuators</t>
  </si>
  <si>
    <t>Sound Attenuators</t>
  </si>
  <si>
    <t>HVACFans</t>
  </si>
  <si>
    <t>HVAC Fans</t>
  </si>
  <si>
    <t>VehicleExhaustExtractionSystem</t>
  </si>
  <si>
    <t>Vehicle Exhaust Extraction System</t>
  </si>
  <si>
    <t>AirTerminalUnits</t>
  </si>
  <si>
    <t>Air Terminal Units</t>
  </si>
  <si>
    <t>AirOutletsandInlets</t>
  </si>
  <si>
    <t>37</t>
  </si>
  <si>
    <t>Air Outlets and Inlets</t>
  </si>
  <si>
    <t>HVACAirCleaningDevices</t>
  </si>
  <si>
    <t>HVAC Air Cleaning Devices</t>
  </si>
  <si>
    <t>Breechings.Chimneys.andStacks</t>
  </si>
  <si>
    <t>Breechings, Chimneys, and Stacks</t>
  </si>
  <si>
    <t>HeatingBoilersandAccessories</t>
  </si>
  <si>
    <t>Heating Boilers and Accessories</t>
  </si>
  <si>
    <t>Fuel_FiredHeaters</t>
  </si>
  <si>
    <t>55</t>
  </si>
  <si>
    <t>Fuel-Fired Heaters</t>
  </si>
  <si>
    <t>Gas_FiredRadiantHeater</t>
  </si>
  <si>
    <t>Gas-Fired Radiant Heater</t>
  </si>
  <si>
    <t>HeatExchangersforHVAC</t>
  </si>
  <si>
    <t>57</t>
  </si>
  <si>
    <t>Heat Exchangers for HVAC</t>
  </si>
  <si>
    <t>PackagedWaterChillers</t>
  </si>
  <si>
    <t>Packaged Water Chillers</t>
  </si>
  <si>
    <t>CentralHVACEquipment</t>
  </si>
  <si>
    <t>Central HVAC Equipment</t>
  </si>
  <si>
    <t>DecentralizedUnitaryHVACEquipment</t>
  </si>
  <si>
    <t>Decentralized Unitary HVAC Equipment</t>
  </si>
  <si>
    <t>ComputerRoomAirConditioners</t>
  </si>
  <si>
    <t>Computer Room Air Conditioners</t>
  </si>
  <si>
    <t>ConvectionHeatingandCoolingUnits</t>
  </si>
  <si>
    <t>Convection Heating and Cooling Units</t>
  </si>
  <si>
    <t>Division  26 - Electrical</t>
  </si>
  <si>
    <t>CommonWorkResultsforElectrical</t>
  </si>
  <si>
    <t>Common Work Results for Electrical</t>
  </si>
  <si>
    <t>Medium_VoltageCables</t>
  </si>
  <si>
    <t>Medium-Voltage Cables</t>
  </si>
  <si>
    <t>Low_VoltageElectricalPowerConductorsandCables</t>
  </si>
  <si>
    <t>Low-Voltage Electrical Power Conductors and Cables</t>
  </si>
  <si>
    <t>GroundingandBondingforElectricalSystems</t>
  </si>
  <si>
    <t>Grounding and Bonding for Electrical Systems</t>
  </si>
  <si>
    <t>HangersandSupportsforElectricalSystems</t>
  </si>
  <si>
    <t>Hangers and Supports for Electrical Systems</t>
  </si>
  <si>
    <t>RacewayandBoxesforElectricalSystems</t>
  </si>
  <si>
    <t>Raceway and Boxes for Electrical Systems</t>
  </si>
  <si>
    <t>CableTraysforElectricalSystems</t>
  </si>
  <si>
    <t>Cable Trays for Electrical Systems</t>
  </si>
  <si>
    <t>UndergroundDuctsandRacewaysforElectricalSystems</t>
  </si>
  <si>
    <t>Underground Ducts and Raceways for Electrical Systems</t>
  </si>
  <si>
    <t>IdentificationforElectricalSystems</t>
  </si>
  <si>
    <t>Identification for Electrical Systems</t>
  </si>
  <si>
    <t>ElectricalSystemsAnalysis</t>
  </si>
  <si>
    <t>Electrical Systems Analysis</t>
  </si>
  <si>
    <t>AcceptanceTesting</t>
  </si>
  <si>
    <t>08</t>
  </si>
  <si>
    <t>Acceptance Testing</t>
  </si>
  <si>
    <t>ElectricalPowerMonitoringandControl</t>
  </si>
  <si>
    <t>Electrical Power Monitoring and Control</t>
  </si>
  <si>
    <t>NetworkLightingControls</t>
  </si>
  <si>
    <t>Network Lighting Controls</t>
  </si>
  <si>
    <t>Substations</t>
  </si>
  <si>
    <t>CastCoilSubstationTransformers</t>
  </si>
  <si>
    <t>Cast Coil Substation Transformers</t>
  </si>
  <si>
    <t>Low_VoltageTransformers</t>
  </si>
  <si>
    <t>Low-Voltage Transformers</t>
  </si>
  <si>
    <t>Low_VoltageDraw_OutMetal_EnclosedSwitchgear</t>
  </si>
  <si>
    <t>Low-Voltage Draw-Out Metal-Enclosed Switchgear</t>
  </si>
  <si>
    <t>SwitchboardsandPanelboards</t>
  </si>
  <si>
    <t>Switchboards and Panel boards</t>
  </si>
  <si>
    <t>EnclosedBusAssemblies</t>
  </si>
  <si>
    <t>Enclosed Bus Assemblies</t>
  </si>
  <si>
    <t>WiringDevices</t>
  </si>
  <si>
    <t>Wiring Devices</t>
  </si>
  <si>
    <t>EnclosedSwitchesandCircuitBreakers</t>
  </si>
  <si>
    <t>Enclosed Switches and Circuit Breakers</t>
  </si>
  <si>
    <t>MotorControllers</t>
  </si>
  <si>
    <t>Motor Controllers</t>
  </si>
  <si>
    <t>PackagedGeneratorAssembliesforEmergencyPower</t>
  </si>
  <si>
    <t>Packaged Generator Assemblies for Emergency Power</t>
  </si>
  <si>
    <t>StaticUninterruptiblePowerSupply</t>
  </si>
  <si>
    <t>Static Uninterruptible Power Supply</t>
  </si>
  <si>
    <t>TransferSwitches</t>
  </si>
  <si>
    <t>Transfer Switches</t>
  </si>
  <si>
    <t>Lighting</t>
  </si>
  <si>
    <t>RoadwayLighting</t>
  </si>
  <si>
    <t>Roadway Lighting</t>
  </si>
  <si>
    <t>ApronLighting</t>
  </si>
  <si>
    <t>Apron Lighting</t>
  </si>
  <si>
    <t>Division  27 - Communications</t>
  </si>
  <si>
    <t>CommonWorkResultsforCommunications</t>
  </si>
  <si>
    <t>Common Work Results for Communications</t>
  </si>
  <si>
    <t>IdentificationforTelecommunicationSystems</t>
  </si>
  <si>
    <t>Identification for Telecommunication Systems</t>
  </si>
  <si>
    <t>StructuredCabling</t>
  </si>
  <si>
    <t>Structured Cabling</t>
  </si>
  <si>
    <t>NetworkEquipment</t>
  </si>
  <si>
    <t>Network Equipment</t>
  </si>
  <si>
    <t>WirelessAccessPoints</t>
  </si>
  <si>
    <t>Wireless Access Points</t>
  </si>
  <si>
    <t>IT_Hardware</t>
  </si>
  <si>
    <t>IT Hardware</t>
  </si>
  <si>
    <t>Servers</t>
  </si>
  <si>
    <t>Desktops</t>
  </si>
  <si>
    <t>Laptops</t>
  </si>
  <si>
    <t>Monitors_(desktop)</t>
  </si>
  <si>
    <t>Monitors (desktop)</t>
  </si>
  <si>
    <t>Monitors_(large screen)</t>
  </si>
  <si>
    <t>Monitors (large screen)</t>
  </si>
  <si>
    <t>Radios,Repeaters_and_Antennas</t>
  </si>
  <si>
    <t>Radios, Repeaters and Antennas</t>
  </si>
  <si>
    <t>Printers</t>
  </si>
  <si>
    <t>SoftwareAcquisition_and_Licensing</t>
  </si>
  <si>
    <t>Software Acquisition and Licensing</t>
  </si>
  <si>
    <t>PhoneCommunications</t>
  </si>
  <si>
    <t>Phone Communications</t>
  </si>
  <si>
    <t>Audio_VideoSystems</t>
  </si>
  <si>
    <t>Audio-Video Systems</t>
  </si>
  <si>
    <t>PublicAddressandMassNotificationSystems</t>
  </si>
  <si>
    <t>Public Address and Mass Notification Systems</t>
  </si>
  <si>
    <t>InternalCellular,Paging_and_AntennaSystems</t>
  </si>
  <si>
    <t>Internal Cellular, Paging and Antenna Systems</t>
  </si>
  <si>
    <t>Division  28 - Electronic Safety &amp; Security</t>
  </si>
  <si>
    <t>CommonWorkResultsforElectronicSafetyandSecurity</t>
  </si>
  <si>
    <t>Common Work Results for Electronic Safety and Security</t>
  </si>
  <si>
    <t>ConductorsandCablesforElectronicSafetyandSecurity</t>
  </si>
  <si>
    <t>Conductors and Cables for Electronic Safety and Security</t>
  </si>
  <si>
    <t>SecurityAccessControlSystem</t>
  </si>
  <si>
    <t>Security Access Control System</t>
  </si>
  <si>
    <t>VideoSurveillance(CCTVSystem)</t>
  </si>
  <si>
    <t>Video Surveillance (CCTV System)</t>
  </si>
  <si>
    <t>LicensesforMonitoringinterfaces</t>
  </si>
  <si>
    <t>Licenses for Monitoring interfaces</t>
  </si>
  <si>
    <t>Recorders</t>
  </si>
  <si>
    <t>CamerasandSensors</t>
  </si>
  <si>
    <t>Cameras and Sensors</t>
  </si>
  <si>
    <t>RemoteCardreaders</t>
  </si>
  <si>
    <t>Remote Card readers</t>
  </si>
  <si>
    <t>FireDetectionandAlarm</t>
  </si>
  <si>
    <t>Fire Detection and Alarm</t>
  </si>
  <si>
    <t>SUBGROUP:  SITE AND INFRASTRUCTURE</t>
  </si>
  <si>
    <t>Division  31 - Earthwork</t>
  </si>
  <si>
    <t>CommonWorkResultsforEarthwork</t>
  </si>
  <si>
    <t>Common Work Results for Earthwork</t>
  </si>
  <si>
    <t>SiteClearingandEarthwork</t>
  </si>
  <si>
    <t>Site Clearing and Earthwork</t>
  </si>
  <si>
    <t>Trenching,Backfilling,andCompacting</t>
  </si>
  <si>
    <t>Trenching, Backfilling, and Compacting</t>
  </si>
  <si>
    <t>Dewatering</t>
  </si>
  <si>
    <t>SoilStabilization</t>
  </si>
  <si>
    <t>Soil Stabilization</t>
  </si>
  <si>
    <t>Riprap(land)</t>
  </si>
  <si>
    <t xml:space="preserve">Riprap (land) </t>
  </si>
  <si>
    <t>ConcretePiles(land)</t>
  </si>
  <si>
    <t xml:space="preserve">Concrete Piles (land) </t>
  </si>
  <si>
    <t>Precast,PrestressedConcretePiles(land)</t>
  </si>
  <si>
    <t>Precast, Prestressed Concrete Piles (land)</t>
  </si>
  <si>
    <t>SteelPiles(land)</t>
  </si>
  <si>
    <t xml:space="preserve">Steel Piles (land) </t>
  </si>
  <si>
    <t>SteelSheetPiles(land)</t>
  </si>
  <si>
    <t>Steel Sheet Piles (land)</t>
  </si>
  <si>
    <t>BoredPiles(land)</t>
  </si>
  <si>
    <t>Bored Piles (land)</t>
  </si>
  <si>
    <t>LightPoleBasePiles</t>
  </si>
  <si>
    <t>Light Pole Base Piles</t>
  </si>
  <si>
    <t>Division  32 - Exterior Improvements</t>
  </si>
  <si>
    <t>CommonWorkResultsforExteriorImprovements</t>
  </si>
  <si>
    <t>Common Work Results for Exterior Improvements</t>
  </si>
  <si>
    <t>PavementRepair</t>
  </si>
  <si>
    <t>17</t>
  </si>
  <si>
    <t>Pavement Repair</t>
  </si>
  <si>
    <t>CrackSealinginFlexiblePavements</t>
  </si>
  <si>
    <t>Crack Sealing in Flexible Pavements</t>
  </si>
  <si>
    <t>SealingCracksAndRepairingSurfaceImperfectionsinRigidPavements</t>
  </si>
  <si>
    <t>Sealing Cracks &amp; Repairing Surface Imperfections in Rigid Pavements</t>
  </si>
  <si>
    <t>AggregateBaseCourse</t>
  </si>
  <si>
    <t>Aggregate Base Course</t>
  </si>
  <si>
    <t>Cement_TreatedBaseCourse</t>
  </si>
  <si>
    <t>Cement-Treated Base Course</t>
  </si>
  <si>
    <t>AsphaltConcretePaving</t>
  </si>
  <si>
    <t>Asphalt Concrete Paving</t>
  </si>
  <si>
    <t>BituminousFogSealCoat</t>
  </si>
  <si>
    <t>Bituminous Fog Seal Coat</t>
  </si>
  <si>
    <t>CapeSeal</t>
  </si>
  <si>
    <t>38</t>
  </si>
  <si>
    <t>Cape Seal</t>
  </si>
  <si>
    <t>AsphaltPavementJointSealant</t>
  </si>
  <si>
    <t>Asphalt Pavement Joint Sealant</t>
  </si>
  <si>
    <t>PortlandCementConcretePaving</t>
  </si>
  <si>
    <t>Portland Cement Concrete Paving</t>
  </si>
  <si>
    <t>CompressionJointSealantsforRigidPavement</t>
  </si>
  <si>
    <t>Compression Joint Sealants for Rigid Pavement</t>
  </si>
  <si>
    <t>BrickUnitPaving</t>
  </si>
  <si>
    <t>Brick Unit Paving</t>
  </si>
  <si>
    <t>ConcreteCurbsandDriveways</t>
  </si>
  <si>
    <t>Concrete Curbs and Driveways</t>
  </si>
  <si>
    <t>ConcreteMowStripandControllerBase</t>
  </si>
  <si>
    <t>Concrete Mow Strip and Controller Base</t>
  </si>
  <si>
    <t>ConcreteSidewalk</t>
  </si>
  <si>
    <t>Concrete Sidewalk</t>
  </si>
  <si>
    <t>PavementMarkings</t>
  </si>
  <si>
    <t>Pavement Markings</t>
  </si>
  <si>
    <t>Chain_LinkFencesandGates</t>
  </si>
  <si>
    <t>Chain-Link Fences and Gates</t>
  </si>
  <si>
    <t>AutomaticGateOperatorandControl</t>
  </si>
  <si>
    <t>Automatic Gate Operator and Control</t>
  </si>
  <si>
    <t>PlantingIrrigation</t>
  </si>
  <si>
    <t>Planting Irrigation</t>
  </si>
  <si>
    <t>LandscapeMaintenance(forPDXprojects)</t>
  </si>
  <si>
    <t>Landscape Maintenance (for PDX projects)</t>
  </si>
  <si>
    <t>SoilPreparation</t>
  </si>
  <si>
    <t>Soil Preparation</t>
  </si>
  <si>
    <t>LandscapeGrading</t>
  </si>
  <si>
    <t>Landscape Grading</t>
  </si>
  <si>
    <t>ClearingandSeeding</t>
  </si>
  <si>
    <t>Clearing and Seeding</t>
  </si>
  <si>
    <t>Seeding</t>
  </si>
  <si>
    <t>Seeding(Airfield)</t>
  </si>
  <si>
    <t>Seeding (Airfield)</t>
  </si>
  <si>
    <t>Sodding</t>
  </si>
  <si>
    <t>Trees.Shrubs.andGroundCovers</t>
  </si>
  <si>
    <t>Trees, Shrubs, and Ground Covers</t>
  </si>
  <si>
    <t>Division  33 - Utilities</t>
  </si>
  <si>
    <t>CommonWorkResultsforUtilities</t>
  </si>
  <si>
    <t>Common Work Results for Utilities</t>
  </si>
  <si>
    <t>UtilityStructures</t>
  </si>
  <si>
    <t>Utility Structures</t>
  </si>
  <si>
    <t>SiteWaterUtilityDistributionPlumbing</t>
  </si>
  <si>
    <t>Site Water Utility Distribution Plumbing</t>
  </si>
  <si>
    <t>SanitaryUtilitySeweragePiping</t>
  </si>
  <si>
    <t>Sanitary Utility Sewerage Piping</t>
  </si>
  <si>
    <t>SanitarySewerPumpStation</t>
  </si>
  <si>
    <t>Sanitary Sewer Pump Station</t>
  </si>
  <si>
    <t>StormUtilityDrainagePiping</t>
  </si>
  <si>
    <t>Storm Utility Drainage Piping</t>
  </si>
  <si>
    <t>Division  34 - Transportation</t>
  </si>
  <si>
    <t>CommonWorkResultsforRailways</t>
  </si>
  <si>
    <t>Common Work Results for Railways</t>
  </si>
  <si>
    <t>RailTurnouts</t>
  </si>
  <si>
    <t>Rail Turnouts</t>
  </si>
  <si>
    <t>RailWalkways</t>
  </si>
  <si>
    <t>Rail Walkways</t>
  </si>
  <si>
    <t>TrackRails</t>
  </si>
  <si>
    <t>Track Rails</t>
  </si>
  <si>
    <t>WeldedTrackRails</t>
  </si>
  <si>
    <t>Welded Track Rails</t>
  </si>
  <si>
    <t>TrackRailBallast</t>
  </si>
  <si>
    <t>Track Rail Ballast</t>
  </si>
  <si>
    <t>TrackAppurtenancesandAccessories</t>
  </si>
  <si>
    <t>Track Appurtenances and Accessories</t>
  </si>
  <si>
    <t>TrafficSignals</t>
  </si>
  <si>
    <t>Traffic Signals</t>
  </si>
  <si>
    <t>RailwaySignals</t>
  </si>
  <si>
    <t>Railway Signals</t>
  </si>
  <si>
    <t>AirfieldLighting</t>
  </si>
  <si>
    <t>Airfield Lighting</t>
  </si>
  <si>
    <t>AircraftGuidanceSignage</t>
  </si>
  <si>
    <t>Aircraft Guidance Signage</t>
  </si>
  <si>
    <t>GuardPosts</t>
  </si>
  <si>
    <t>Guard Posts</t>
  </si>
  <si>
    <t>RailwayEquipment</t>
  </si>
  <si>
    <t>Railway Equipment</t>
  </si>
  <si>
    <t>RoadwayCrossingControlEquipment</t>
  </si>
  <si>
    <t>Roadway Crossing Control Equipment</t>
  </si>
  <si>
    <t>PassengerLoadingBridges</t>
  </si>
  <si>
    <t>Passenger Loading Bridges</t>
  </si>
  <si>
    <t>BaggageConveyors</t>
  </si>
  <si>
    <t>Baggage Conveyors</t>
  </si>
  <si>
    <t>35</t>
  </si>
  <si>
    <t>Division  35 - Waterway &amp; Marine</t>
  </si>
  <si>
    <t>CommonWorkResultsforWaterway&amp;MarineConstruction</t>
  </si>
  <si>
    <t>Common Work Results for Waterway &amp; Marine Construction</t>
  </si>
  <si>
    <t>Dredging</t>
  </si>
  <si>
    <t>Woody Debris Structures</t>
  </si>
  <si>
    <t>WoodyDebrisStructures</t>
  </si>
  <si>
    <t>Waterway Construction</t>
  </si>
  <si>
    <t>WaterwayConstruction</t>
  </si>
  <si>
    <t>Riprap Bank Protection (marine)</t>
  </si>
  <si>
    <t>RiprapBankProtection(marine)</t>
  </si>
  <si>
    <t>Heavy Timber Pier Construction</t>
  </si>
  <si>
    <t>HeavyTimberPierConstruction</t>
  </si>
  <si>
    <t>59</t>
  </si>
  <si>
    <t>Timber Fender Piles</t>
  </si>
  <si>
    <t>TimberFenderPiles</t>
  </si>
  <si>
    <t>Marine Fenders</t>
  </si>
  <si>
    <t>MarineFenders</t>
  </si>
  <si>
    <t>Concrete Piles (marine)</t>
  </si>
  <si>
    <t>ConcretePiles(marine)</t>
  </si>
  <si>
    <t>Precast, Prestressed Concrete Piles (marine)</t>
  </si>
  <si>
    <t>Precast.PrestressedConcretePiles(marine)</t>
  </si>
  <si>
    <t xml:space="preserve">Steel Pipe Piles (marine) </t>
  </si>
  <si>
    <t>SteelPipePiles(marine)</t>
  </si>
  <si>
    <t>Steel Sheet Piles (marine)</t>
  </si>
  <si>
    <t>SteelSheetPiles(marine)</t>
  </si>
  <si>
    <t>SUBGROUP:  PROCESS EQUIPMENT</t>
  </si>
  <si>
    <t>Division  41 - Material Proc. &amp; Handling Equip.</t>
  </si>
  <si>
    <t>Cranes</t>
  </si>
  <si>
    <t>CraneRail</t>
  </si>
  <si>
    <t>Crane Rail</t>
  </si>
  <si>
    <t>SUBGROUP:  FAA CONSTRUCTION</t>
  </si>
  <si>
    <t>Division  51 - Earthwork</t>
  </si>
  <si>
    <t>Surface Preparation (P-101)</t>
  </si>
  <si>
    <t>Clearing and Grubbing (P-151)</t>
  </si>
  <si>
    <t>Excavation and Embankment (P-152)</t>
  </si>
  <si>
    <t>Controlled Low-Strength Material  (P-153)</t>
  </si>
  <si>
    <t>Subbase Course (P-154)</t>
  </si>
  <si>
    <t>Sub base Course (P-154)</t>
  </si>
  <si>
    <t>Lime-Treated Subgrade (P-155)</t>
  </si>
  <si>
    <t>Lime-Treated Sub grade (P-155)</t>
  </si>
  <si>
    <t>Temporary Air &amp; Water Pollution, Soil Erosion, &amp; Siltation Control (P-156)</t>
  </si>
  <si>
    <t>Fly Ash Treated Subgrade (P-158)</t>
  </si>
  <si>
    <t>Fly Ash Treated Sub grade (P-158)</t>
  </si>
  <si>
    <t>Geotextile (P-161)</t>
  </si>
  <si>
    <t>Division  52 - Flexible Base  Courses</t>
  </si>
  <si>
    <t>Aggregate Base Course (P-208)</t>
  </si>
  <si>
    <t>Crushed Aggregate Base Course (P-209)</t>
  </si>
  <si>
    <t>Caliche Base Course (P-210)</t>
  </si>
  <si>
    <t>Lime Rock Base Course (P-211)</t>
  </si>
  <si>
    <t>Shell Base Course (P-212)</t>
  </si>
  <si>
    <t>Sand-Clay Base Course (P-213)</t>
  </si>
  <si>
    <t>Aggregate-Turf Pavement (P-217)</t>
  </si>
  <si>
    <t>Division  53 - Rigid Base  Courses</t>
  </si>
  <si>
    <t>Soil Cement Base Course (P-301)</t>
  </si>
  <si>
    <t>Cement Treated Base Course (P-304)</t>
  </si>
  <si>
    <t>Econocrete Subbase Course (P-306)</t>
  </si>
  <si>
    <t>Econocrete Sub base Course (P-306)</t>
  </si>
  <si>
    <t>Division  54 - Flexible Surface Courses</t>
  </si>
  <si>
    <t>(Superpave™) Plant Mix Bituminous Pavements (P-401sp)</t>
  </si>
  <si>
    <t>Porous Friction Course (P-402)</t>
  </si>
  <si>
    <t>(Superpave™) Plant Mix Bituminous Bases (P-403sp)</t>
  </si>
  <si>
    <t>Division  55 - Rigid Pavement</t>
  </si>
  <si>
    <t>Portland Cement Concrete Pavement (P-501)</t>
  </si>
  <si>
    <t>Division  56 - Miscellaneous</t>
  </si>
  <si>
    <t>Bituminous Prime Coat (P-602)</t>
  </si>
  <si>
    <t>Bituminous Tack Coat (P-603)</t>
  </si>
  <si>
    <t>Compression Joint Seals for Concrete Pavements (Regional) (P-604)</t>
  </si>
  <si>
    <t>Joint Sealing Filler (P-605)</t>
  </si>
  <si>
    <t>Adhesive Compounds (P-606)</t>
  </si>
  <si>
    <t>[ Polymerized ]  Bituminous Fog Seal Coat (P-609)</t>
  </si>
  <si>
    <t>Structural Portland Cement Concrete (P-610)</t>
  </si>
  <si>
    <t>Runway and Taxiway Painting (P-620)</t>
  </si>
  <si>
    <t>Saw-Cut Grooves (P-621)</t>
  </si>
  <si>
    <t>Coal-Tar Pitch Emulsion Sealcoat (P-625)</t>
  </si>
  <si>
    <t>Emulsified Asphalt Slurry Seal Surface Treatment (P-626)</t>
  </si>
  <si>
    <t>Refined Coal Tar Emulsion s/Additives, Slurry Seal Surface Treatment (P-631)</t>
  </si>
  <si>
    <t>Division  57 - Fencing</t>
  </si>
  <si>
    <t>Wire Fence with Wood Posts (F-160)</t>
  </si>
  <si>
    <t>Wire Fence with Steel Posts (F-161)</t>
  </si>
  <si>
    <t>Chain Link Fences (F-162)</t>
  </si>
  <si>
    <t>Wild-Life Deterrent Fence (F-163)</t>
  </si>
  <si>
    <t>Division  58 - Drainage</t>
  </si>
  <si>
    <t>Pipe for Storm Drains and Culverts (D-701)</t>
  </si>
  <si>
    <t>Slotted Drains (D-702)</t>
  </si>
  <si>
    <t>Pipe Underdrains for Airports (D-705)</t>
  </si>
  <si>
    <t>Pipe Under drains for Airports (D-705)</t>
  </si>
  <si>
    <t>Manholes, Catch Basins, Inlets, and Inspection Holes (D-751)</t>
  </si>
  <si>
    <t>Concrete Culverts, Headwalls, &amp; Misc. Drainage Structures (D-752)</t>
  </si>
  <si>
    <t>Concrete Paved Gutters, Ditches, and Flumes (D-754)</t>
  </si>
  <si>
    <t>Division  59 - Turfing</t>
  </si>
  <si>
    <t>Seeding (T-901)</t>
  </si>
  <si>
    <t>Sprigging (T-903)</t>
  </si>
  <si>
    <t>Sodding (T-904)</t>
  </si>
  <si>
    <t>Topsoiling (T-905)</t>
  </si>
  <si>
    <t>Tilling (T-907)</t>
  </si>
  <si>
    <t>Mulching (T-908)</t>
  </si>
  <si>
    <t>Division  60 - Lighting Installation</t>
  </si>
  <si>
    <t>Airport Rotating Beacon (L-101)</t>
  </si>
  <si>
    <t>Airport Hazard Beacon (L-102)</t>
  </si>
  <si>
    <t>Airport Beacon Towers (L-103)</t>
  </si>
  <si>
    <t>Airport Wind Cones (L-107)</t>
  </si>
  <si>
    <t>Airport Underground Cable (L-108)</t>
  </si>
  <si>
    <t>Airport Transformer Vault and Equipment (L-109)</t>
  </si>
  <si>
    <t>Airport Underground Electrical Duct (L-110)</t>
  </si>
  <si>
    <t>Electrical Manholes and Junction Structures (L-115)</t>
  </si>
  <si>
    <t>Airport Obstruction Lights (L-119)</t>
  </si>
  <si>
    <t xml:space="preserve"> </t>
  </si>
  <si>
    <t>Shrt</t>
  </si>
  <si>
    <t xml:space="preserve">Division  </t>
  </si>
  <si>
    <t>Lookup</t>
  </si>
  <si>
    <t>SubType</t>
  </si>
  <si>
    <t>Seg1</t>
  </si>
  <si>
    <t>Seg2</t>
  </si>
  <si>
    <t>Seg3</t>
  </si>
  <si>
    <t>SIT</t>
  </si>
  <si>
    <t>Division 1</t>
  </si>
  <si>
    <t>Channel_Deepening_Site_Channel_Deepening</t>
  </si>
  <si>
    <t>Channel_Deepening_Site_Channel_Deepening_Acquisition</t>
  </si>
  <si>
    <t>Acquisition</t>
  </si>
  <si>
    <t>ProjectAdminMgmt</t>
  </si>
  <si>
    <t>General</t>
  </si>
  <si>
    <t>Demolition</t>
  </si>
  <si>
    <t>ProjectAdminandMgmt</t>
  </si>
  <si>
    <t>RelocationAssistance</t>
  </si>
  <si>
    <t>LandAcquisition</t>
  </si>
  <si>
    <t>Appraisals</t>
  </si>
  <si>
    <t>FinancialSupport</t>
  </si>
  <si>
    <t>EnvironmentalAssessments</t>
  </si>
  <si>
    <t>LegislativeFunding</t>
  </si>
  <si>
    <t>Condemnation</t>
  </si>
  <si>
    <t>Agreements</t>
  </si>
  <si>
    <t>Inspection</t>
  </si>
  <si>
    <t>ProjectMgmt</t>
  </si>
  <si>
    <t>TitleWork</t>
  </si>
  <si>
    <t>UplandSourceControlProgramCoordination</t>
  </si>
  <si>
    <t>Survey</t>
  </si>
  <si>
    <t>ProgramManagement</t>
  </si>
  <si>
    <t>Channel_Deepening_Site_Channel_Deepening_Permitting</t>
  </si>
  <si>
    <t>Permitting</t>
  </si>
  <si>
    <t>Meetings</t>
  </si>
  <si>
    <t>Development</t>
  </si>
  <si>
    <t>Channel_Deepening_Site_Channel_Deepening_Contingency</t>
  </si>
  <si>
    <t>Contingency</t>
  </si>
  <si>
    <t>UPL</t>
  </si>
  <si>
    <t>Upland_Control_Sites_Lower_Willamette</t>
  </si>
  <si>
    <t>Upland_Control_Sites_Lower_Willamette_ProjectAdminMgmt</t>
  </si>
  <si>
    <t>Construction</t>
  </si>
  <si>
    <t>Develop</t>
  </si>
  <si>
    <t>Upland_Control_Sites_Lower_Willamette_Design</t>
  </si>
  <si>
    <t>BusinessContinuity</t>
  </si>
  <si>
    <t>OutsideDesignServices</t>
  </si>
  <si>
    <t>TreatabilityStudy_PilotTesting</t>
  </si>
  <si>
    <t>AnalysisandRequirementsDefinition</t>
  </si>
  <si>
    <t>RemedialDesign</t>
  </si>
  <si>
    <t>Enviornmental</t>
  </si>
  <si>
    <t>DevelopandIssueRFP</t>
  </si>
  <si>
    <t>PEDesign</t>
  </si>
  <si>
    <t>SelectVendor</t>
  </si>
  <si>
    <t>ITDesignSupport</t>
  </si>
  <si>
    <t>Security</t>
  </si>
  <si>
    <t>MaintenanceDesignSupport</t>
  </si>
  <si>
    <t>Upland_Control_Sites_Lower_Willamette_Planning</t>
  </si>
  <si>
    <t>Planning</t>
  </si>
  <si>
    <t>AssessmentPlanning</t>
  </si>
  <si>
    <t>PreliminaryAssessment</t>
  </si>
  <si>
    <t>SiteInvestigation</t>
  </si>
  <si>
    <t>RemedialInvestigation</t>
  </si>
  <si>
    <t>CargillOU1</t>
  </si>
  <si>
    <t>OU2</t>
  </si>
  <si>
    <t>FeasibilityStudy</t>
  </si>
  <si>
    <t>CulturalResources</t>
  </si>
  <si>
    <t>Environmental</t>
  </si>
  <si>
    <t>Upland_Control_Sites_Lower_Willamette_Development</t>
  </si>
  <si>
    <t>CAD</t>
  </si>
  <si>
    <t>Upland_Control_Sites_Lower_Willamette_Implementation</t>
  </si>
  <si>
    <t>Implementation</t>
  </si>
  <si>
    <t>BidPackage</t>
  </si>
  <si>
    <t>RemedialAction</t>
  </si>
  <si>
    <t>OandM_Systems</t>
  </si>
  <si>
    <t>ESAReconsulation</t>
  </si>
  <si>
    <t>OandM_Monitoring</t>
  </si>
  <si>
    <t>UtilityRelocations</t>
  </si>
  <si>
    <t>Upland_Control_Sites_Lower_Willamette_Construction</t>
  </si>
  <si>
    <t>Restoration</t>
  </si>
  <si>
    <t>OutsideConstructionService</t>
  </si>
  <si>
    <t>RestorationPlanandDev,includingDesign</t>
  </si>
  <si>
    <t>Upland_Control_Sites_Lower_Willamette_Legal_Regulatory</t>
  </si>
  <si>
    <t>Legal_Regulatory</t>
  </si>
  <si>
    <t>IdentityDevelopment</t>
  </si>
  <si>
    <t>Pre_LitigationPreparation</t>
  </si>
  <si>
    <t>PrintMedia</t>
  </si>
  <si>
    <t>LitigationDefense</t>
  </si>
  <si>
    <t>Event</t>
  </si>
  <si>
    <t>ClosureReplort_NFA</t>
  </si>
  <si>
    <t>Website</t>
  </si>
  <si>
    <t>EnforcementDocuments</t>
  </si>
  <si>
    <t>Photography</t>
  </si>
  <si>
    <t>FiveYearReview</t>
  </si>
  <si>
    <t>MultimediaPresentations</t>
  </si>
  <si>
    <t>TenantCleanupOversight</t>
  </si>
  <si>
    <t>SpecificationDevelopment</t>
  </si>
  <si>
    <t>Upland_Control_Sites_Lower_Willamette_PublicRecordsRequest</t>
  </si>
  <si>
    <t>PublicRecordsRequest</t>
  </si>
  <si>
    <t>RandD</t>
  </si>
  <si>
    <t>DrawingandDevelopment</t>
  </si>
  <si>
    <t>Upland_Control_Sites_Lower_Willamette_Outreach</t>
  </si>
  <si>
    <t>Outreach</t>
  </si>
  <si>
    <t>PublicAffairs</t>
  </si>
  <si>
    <t>Construction_InspectionSupport</t>
  </si>
  <si>
    <t>CommunityRelations</t>
  </si>
  <si>
    <t>ITDesignSupportContract</t>
  </si>
  <si>
    <t>Upland_Control_Sites_Lower_Willamette_CostRecovery</t>
  </si>
  <si>
    <t>CostRecovery</t>
  </si>
  <si>
    <t>Restore.PlanandDev,Incl.Des.</t>
  </si>
  <si>
    <t>PRPPursuit</t>
  </si>
  <si>
    <t>Upland_Control_Sites_Lower_Willamette_Payments</t>
  </si>
  <si>
    <t>Payments</t>
  </si>
  <si>
    <t>PRPGroupPayments</t>
  </si>
  <si>
    <t>OversightCosts</t>
  </si>
  <si>
    <t>EPA</t>
  </si>
  <si>
    <t>DEQ</t>
  </si>
  <si>
    <t>Tribes</t>
  </si>
  <si>
    <t>Trustees</t>
  </si>
  <si>
    <t>Upland_Control_Sites_Lower_Willamette_Contingency</t>
  </si>
  <si>
    <t>Strategy_Planning</t>
  </si>
  <si>
    <t>WIK</t>
  </si>
  <si>
    <t>Work_in_Kind_Channel_Deepening</t>
  </si>
  <si>
    <t>Work_in_Kind_Channel_Deepening_ProjectAdminandMgmt</t>
  </si>
  <si>
    <t>InjuryAssessment</t>
  </si>
  <si>
    <t>Work_in_Kind_Channel_Deepening_Design</t>
  </si>
  <si>
    <t>CapacityAnalysis</t>
  </si>
  <si>
    <t>EnvironmentalAssessment_ActionPlan</t>
  </si>
  <si>
    <t>Forecasts</t>
  </si>
  <si>
    <t>Cargo</t>
  </si>
  <si>
    <t>FutureTechnology</t>
  </si>
  <si>
    <t>Work_in_Kind_Channel_Deepening_Construction</t>
  </si>
  <si>
    <t>Capital</t>
  </si>
  <si>
    <t>Contract</t>
  </si>
  <si>
    <t>AlternativesDefinition</t>
  </si>
  <si>
    <t>EquipmentContracts</t>
  </si>
  <si>
    <t>Facility</t>
  </si>
  <si>
    <t>Management</t>
  </si>
  <si>
    <t>MasterPlan</t>
  </si>
  <si>
    <t>TransportationImprovement</t>
  </si>
  <si>
    <t>Testing</t>
  </si>
  <si>
    <t>EngineeringSupport</t>
  </si>
  <si>
    <t>NavigationSupport</t>
  </si>
  <si>
    <t>TenantAccess</t>
  </si>
  <si>
    <t>OperatingDeptSupport</t>
  </si>
  <si>
    <t>Work_in_Kind_Channel_Deepening_Permitting</t>
  </si>
  <si>
    <t>GeneralStormWaterPipes</t>
  </si>
  <si>
    <t>TechnicalSupport</t>
  </si>
  <si>
    <t>Work_in_Kind_Channel_Deepening_Survey</t>
  </si>
  <si>
    <t>EE(SiteCharacterization)</t>
  </si>
  <si>
    <t>Reconnaissance</t>
  </si>
  <si>
    <t>EE_CAWorkPlan</t>
  </si>
  <si>
    <t>EE_CAPreparation</t>
  </si>
  <si>
    <t>Assessment_Planning</t>
  </si>
  <si>
    <t>Environ.Assess_ActionPlan</t>
  </si>
  <si>
    <t>TransportationAnalysis</t>
  </si>
  <si>
    <t>Work_in_Kind_Channel_Deepening_Maintenance</t>
  </si>
  <si>
    <t>Maintenance</t>
  </si>
  <si>
    <t>Monitoring</t>
  </si>
  <si>
    <t>Work_in_Kind_Channel_Deepening_ProjectCloseOut</t>
  </si>
  <si>
    <t>ProjectCloseOut</t>
  </si>
  <si>
    <t>Work_in_Kind_Channel_Deepening_Contingency</t>
  </si>
  <si>
    <t>Work_in_Kind_Channel_Deepening_DredgeProduction</t>
  </si>
  <si>
    <t>DredgeProduction</t>
  </si>
  <si>
    <t>Equalization</t>
  </si>
  <si>
    <t>DredgeLabor</t>
  </si>
  <si>
    <t>PaymentstoWAPorts</t>
  </si>
  <si>
    <t>DredgeSurvey</t>
  </si>
  <si>
    <t>ShoreLabor</t>
  </si>
  <si>
    <t>Procurement</t>
  </si>
  <si>
    <t>DredgeServices</t>
  </si>
  <si>
    <t>Delivery</t>
  </si>
  <si>
    <t>DredgeMaterialsandSupplies</t>
  </si>
  <si>
    <t>ShoreMaterialsandSupplies</t>
  </si>
  <si>
    <t>DredgeFuel,Lube,Oil</t>
  </si>
  <si>
    <t>DatabaseAdministration</t>
  </si>
  <si>
    <t>ShoreFuel,Lube,Oil</t>
  </si>
  <si>
    <t>SoftwareDevelopmentandConfiguration</t>
  </si>
  <si>
    <t>DredgePortEquipRenttoCOE</t>
  </si>
  <si>
    <t>IntegrationDevelopment</t>
  </si>
  <si>
    <t>ShorePortEquipRentedtoCOE</t>
  </si>
  <si>
    <t>InterfaceDevelopment</t>
  </si>
  <si>
    <t>DredgeOutofTown</t>
  </si>
  <si>
    <t>ConversionDevelopment</t>
  </si>
  <si>
    <t>ShoreOutofTown</t>
  </si>
  <si>
    <t>ConceptualDesign</t>
  </si>
  <si>
    <t>Work_in_Kind_Channel_Deepening_MajorMaintenance</t>
  </si>
  <si>
    <t>MajorMaintenance</t>
  </si>
  <si>
    <t>PEDesign_Support</t>
  </si>
  <si>
    <t>Contract_Drawings</t>
  </si>
  <si>
    <t>ActionPlan</t>
  </si>
  <si>
    <t>ShoreServices</t>
  </si>
  <si>
    <t>IT</t>
  </si>
  <si>
    <t>PE_DesignSupport</t>
  </si>
  <si>
    <t>Work_in_Kind_Channel_Deepening_Mob_Demob</t>
  </si>
  <si>
    <t>Mob_Demob</t>
  </si>
  <si>
    <t>RestorationImplementation</t>
  </si>
  <si>
    <t>HardwareInstallation</t>
  </si>
  <si>
    <t>DatabaseInstallation</t>
  </si>
  <si>
    <t>SoftwareInstallation</t>
  </si>
  <si>
    <t>ITConversion</t>
  </si>
  <si>
    <t>EquipmentInstallation</t>
  </si>
  <si>
    <t>NRDRestoration_Settlement</t>
  </si>
  <si>
    <t>Work_in_Kind_Channel_Deepening_Standby</t>
  </si>
  <si>
    <t>Standby</t>
  </si>
  <si>
    <t>OutsideConstructionServices</t>
  </si>
  <si>
    <t>InsurancePremiums</t>
  </si>
  <si>
    <t>Workers'Compensation</t>
  </si>
  <si>
    <t>Work_in_Kind_Channel_Deepening_NavOfficeOperations</t>
  </si>
  <si>
    <t>NavOfficeOperations</t>
  </si>
  <si>
    <t>GeneralLiability</t>
  </si>
  <si>
    <t>StaffLabor</t>
  </si>
  <si>
    <t>ExcessLiability</t>
  </si>
  <si>
    <t>MaterialsandSupplies</t>
  </si>
  <si>
    <t>Contractors'PollutionLiability</t>
  </si>
  <si>
    <t>Services</t>
  </si>
  <si>
    <t>Builders'Risk</t>
  </si>
  <si>
    <t>Utilities</t>
  </si>
  <si>
    <t>Broker_AdminFee</t>
  </si>
  <si>
    <t>CostOffsets</t>
  </si>
  <si>
    <t>InsuranceClaims</t>
  </si>
  <si>
    <t>Work_in_Kind_Channel_Deepening_OtherReimbursements</t>
  </si>
  <si>
    <t>OtherReimbursements</t>
  </si>
  <si>
    <t>WAPortsReimbursement</t>
  </si>
  <si>
    <t>PortofKalamaReimbursement</t>
  </si>
  <si>
    <t>PortofLongviewReimbursement</t>
  </si>
  <si>
    <t>PortofVancouverReimbursement</t>
  </si>
  <si>
    <t>PortofWoodlandReimbursement</t>
  </si>
  <si>
    <t>InsuranceCollateral</t>
  </si>
  <si>
    <t>PortofSt.HelensReimbursement</t>
  </si>
  <si>
    <t>StateofOregonReimbursement</t>
  </si>
  <si>
    <t>SandSales</t>
  </si>
  <si>
    <t>PRM</t>
  </si>
  <si>
    <t>Property_Mgmt_Costs_Channel_Deepening</t>
  </si>
  <si>
    <t>Property_Mgmt_Costs_Channel_Deepening_Permitting</t>
  </si>
  <si>
    <t>Property_Mgmt_Costs_Channel_Deepening_Maintenance</t>
  </si>
  <si>
    <t>Corps</t>
  </si>
  <si>
    <t>Repairs</t>
  </si>
  <si>
    <t>Federal</t>
  </si>
  <si>
    <t>Property_Mgmt_Costs_Channel_Deepening_Operations</t>
  </si>
  <si>
    <t>Operations</t>
  </si>
  <si>
    <t>State</t>
  </si>
  <si>
    <t>PropMgmtRevenues</t>
  </si>
  <si>
    <t>City</t>
  </si>
  <si>
    <t>Taxes</t>
  </si>
  <si>
    <t>Local</t>
  </si>
  <si>
    <t>LeaseRentalIncome</t>
  </si>
  <si>
    <t>SandSalesIncome</t>
  </si>
  <si>
    <t>PropMgmtExpenses</t>
  </si>
  <si>
    <t>SandSalesExpenses</t>
  </si>
  <si>
    <t>RoyaltyPaymentstoDSL</t>
  </si>
  <si>
    <t>Property_Mgmt_Costs_Channel_Deepening_Contingency</t>
  </si>
  <si>
    <t>Analysis</t>
  </si>
  <si>
    <t>PRG</t>
  </si>
  <si>
    <t>Programmatic_Channel_Deepening</t>
  </si>
  <si>
    <t>Programmatic_Channel_Deepening_ProjectAdminandMgmt</t>
  </si>
  <si>
    <t>TransportationCondition</t>
  </si>
  <si>
    <t>EnvironmentalCondition</t>
  </si>
  <si>
    <t>FacilityCondition</t>
  </si>
  <si>
    <t>UpdateHarborHistory</t>
  </si>
  <si>
    <t>Programmatic_Channel_Deepening_Design</t>
  </si>
  <si>
    <t>Programmatic_Channel_Deepening_Acquisition</t>
  </si>
  <si>
    <t>Programmatic_Channel_Deepening_Permitting</t>
  </si>
  <si>
    <t>Programmatic_Channel_Deepening_Legal_Regulatory</t>
  </si>
  <si>
    <t>Litigate</t>
  </si>
  <si>
    <t>Programmatic_Channel_Deepening_Outreach</t>
  </si>
  <si>
    <t>ClosureReport_NFA</t>
  </si>
  <si>
    <t>Negotiations</t>
  </si>
  <si>
    <t>Programmatic_Channel_Deepening_Contingency</t>
  </si>
  <si>
    <t>TrusteeNegotiations</t>
  </si>
  <si>
    <t>PMP</t>
  </si>
  <si>
    <t>Property_Mgmt_Costs_Programmatic_Chart_Channel_Deepening</t>
  </si>
  <si>
    <t>Property_Mgmt_Costs_Programmatic_Chart_Channel_Deepening_Acquisition</t>
  </si>
  <si>
    <t>Property_Mgmt_Costs_Programmatic_Chart_Channel_Deepening_Operations</t>
  </si>
  <si>
    <t>Property_Mgmt_Costs_Programmatic_Chart_Channel_Deepening_Contingency</t>
  </si>
  <si>
    <t>Property_Mgmt_Costs_Programmatic_Chart_Channel_Deepening_OtherReimbursements</t>
  </si>
  <si>
    <t>Compliance</t>
  </si>
  <si>
    <t>WRDA</t>
  </si>
  <si>
    <t>AOCNegotiation</t>
  </si>
  <si>
    <t>StateofofOregonReimbursement</t>
  </si>
  <si>
    <t>ActionMemo</t>
  </si>
  <si>
    <t>NRD</t>
  </si>
  <si>
    <t>Natural_Resource_Damages_Lower_Willamette</t>
  </si>
  <si>
    <t>Natural_Resource_Damages_Lower_Willamette_ProjectAdminandMgmt</t>
  </si>
  <si>
    <t>AOCNegotiations</t>
  </si>
  <si>
    <t>CD_AU_UONegotiations</t>
  </si>
  <si>
    <t>Natural_Resource_Damages_Lower_Willamette_Design</t>
  </si>
  <si>
    <t>NRDNegotiations</t>
  </si>
  <si>
    <t>FiveYearrevuew</t>
  </si>
  <si>
    <t>CD_AO_UONegotiations</t>
  </si>
  <si>
    <t>Natural_Resource_Damages_Lower_Willamette_Planning</t>
  </si>
  <si>
    <t>Natural_Resource_Damages_Lower_Willamette_Implementation</t>
  </si>
  <si>
    <t>EvaluationProcess</t>
  </si>
  <si>
    <t>Documentation</t>
  </si>
  <si>
    <t>TechnicalDocumentation</t>
  </si>
  <si>
    <t>Natural_Resource_Damages_Lower_Willamette_Legal_Regulatory</t>
  </si>
  <si>
    <t>EndUserDocumentation</t>
  </si>
  <si>
    <t>MaintenanceDocumentation</t>
  </si>
  <si>
    <t>SupportDocumentation</t>
  </si>
  <si>
    <t>TrainingMaterials</t>
  </si>
  <si>
    <t>RecordsManagement</t>
  </si>
  <si>
    <t>Coding_Scanning</t>
  </si>
  <si>
    <t>Natural_Resource_Damages_Lower_Willamette_PublicRecordsRequest</t>
  </si>
  <si>
    <t>Hardware_Software</t>
  </si>
  <si>
    <t>Natural_Resource_Damages_Lower_Willamette_Outreach</t>
  </si>
  <si>
    <t>Coding_Scaning</t>
  </si>
  <si>
    <t>Natural_Resource_Damages_Lower_Willamette_CostRecovery</t>
  </si>
  <si>
    <t>Training</t>
  </si>
  <si>
    <t>Natural_Resource_Damages_Lower_Willamette_Payments</t>
  </si>
  <si>
    <t>GroupPayments</t>
  </si>
  <si>
    <t>CoreUserTraining</t>
  </si>
  <si>
    <t>EndUserTraining</t>
  </si>
  <si>
    <t>Natural_Resource_Damages_Lower_Willamette_Contingency</t>
  </si>
  <si>
    <t>SupportTeamTraining</t>
  </si>
  <si>
    <t>MSP</t>
  </si>
  <si>
    <t>Master_Planning</t>
  </si>
  <si>
    <t>Master_Planning_ProjectAdminandMgmt</t>
  </si>
  <si>
    <t>InsuranceCostRecovery</t>
  </si>
  <si>
    <t>PRPNegotiations</t>
  </si>
  <si>
    <t>Master_Planning_Planning</t>
  </si>
  <si>
    <t>PRP_DoD</t>
  </si>
  <si>
    <t>LevelGreen_Yellow</t>
  </si>
  <si>
    <t>LevelOrange</t>
  </si>
  <si>
    <t>Master_Planning_Survey</t>
  </si>
  <si>
    <t>LevelRed</t>
  </si>
  <si>
    <t>KennelingandCare</t>
  </si>
  <si>
    <t>VehicleMgmt</t>
  </si>
  <si>
    <t>VeternaryCare</t>
  </si>
  <si>
    <t>Communications</t>
  </si>
  <si>
    <t>MiscK9Costs</t>
  </si>
  <si>
    <t>Master_Planning_Outreach</t>
  </si>
  <si>
    <t>Master_Planning_ProjectCloseOut</t>
  </si>
  <si>
    <t>Master_Planning_Contingency</t>
  </si>
  <si>
    <t>MKT</t>
  </si>
  <si>
    <t>Marketing</t>
  </si>
  <si>
    <t>Marketing_Design</t>
  </si>
  <si>
    <t>LWGGroupPayments</t>
  </si>
  <si>
    <t>Print</t>
  </si>
  <si>
    <t>CopyWriting</t>
  </si>
  <si>
    <t>Marketing_Planning</t>
  </si>
  <si>
    <t>Advertising</t>
  </si>
  <si>
    <t>Distribution</t>
  </si>
  <si>
    <t>SpecialPromotion</t>
  </si>
  <si>
    <t>Travel</t>
  </si>
  <si>
    <t>Marketing_Legal_Regulatory</t>
  </si>
  <si>
    <t>Marketing_Training</t>
  </si>
  <si>
    <t>Marketing_IdentityDevelopment</t>
  </si>
  <si>
    <t>Marketing_PrintMedia</t>
  </si>
  <si>
    <t>PhotoShooting</t>
  </si>
  <si>
    <t>Marketing_Event</t>
  </si>
  <si>
    <t>Insurance_FEMATracking</t>
  </si>
  <si>
    <t>Marketing_Website</t>
  </si>
  <si>
    <t>Preservation_Prevention</t>
  </si>
  <si>
    <t>Clean_Up</t>
  </si>
  <si>
    <t>Damages</t>
  </si>
  <si>
    <t>EOC</t>
  </si>
  <si>
    <t>AsBuilts</t>
  </si>
  <si>
    <t>Marketing_Photography</t>
  </si>
  <si>
    <t>TechnicalReferenceCenter</t>
  </si>
  <si>
    <t>GeographicInformationSystem</t>
  </si>
  <si>
    <t>Marketing_MultimediaPresentations</t>
  </si>
  <si>
    <t>Marketing_Contingency</t>
  </si>
  <si>
    <t>MIT</t>
  </si>
  <si>
    <t>Mitigation</t>
  </si>
  <si>
    <t>Mitigation_Maintenance</t>
  </si>
  <si>
    <t>Mitigation_Contingency</t>
  </si>
  <si>
    <t>LWP</t>
  </si>
  <si>
    <t>Programmatic_Lower_Willamette</t>
  </si>
  <si>
    <t>Programmatic_Lower_Willamette_ProjectAdminandMgmt</t>
  </si>
  <si>
    <t>Programmatic_Lower_Willamette_Planning</t>
  </si>
  <si>
    <t>Programmatic_Lower_Willamette_Legal_Regulatory</t>
  </si>
  <si>
    <t>Programmatic_Lower_Willamette_PublicRecordsRequest</t>
  </si>
  <si>
    <t>Programmatic_Lower_Willamette_Outreach</t>
  </si>
  <si>
    <t>Programmatic_Lower_Willamette_RecordsManagement</t>
  </si>
  <si>
    <t>Programmatic_Lower_Willamette_CostRecovery</t>
  </si>
  <si>
    <t>Programmatic_Lower_Willamette_Contingency</t>
  </si>
  <si>
    <t>LWJ</t>
  </si>
  <si>
    <t>Lower_Willamette_Project_Lower_Willamette</t>
  </si>
  <si>
    <t>Lower_Willamette_Project_Lower_Willamette_ProjectAdminandMgmt</t>
  </si>
  <si>
    <t>Lower_Willamette_Project_Lower_Willamette_Design</t>
  </si>
  <si>
    <t>Lower_Willamette_Project_Lower_Willamette_Planning</t>
  </si>
  <si>
    <t>Lower_Willamette_Project_Lower_Willamette_Implementation</t>
  </si>
  <si>
    <t>Lower_Willamette_Project_Lower_Willamette_Permitting</t>
  </si>
  <si>
    <t>Lower_Willamette_Project_Lower_Willamette_Legal_Regulatory</t>
  </si>
  <si>
    <t>Lower_Willamette_Project_Lower_Willamette_PublicRecordsRequest</t>
  </si>
  <si>
    <t>Lower_Willamette_Project_Lower_Willamette_Outreach</t>
  </si>
  <si>
    <t>Lower_Willamette_Project_Lower_Willamette_CostRecovery</t>
  </si>
  <si>
    <t>Lower_Willamette_Project_Lower_Willamette_Payments</t>
  </si>
  <si>
    <t>TSAAgreements</t>
  </si>
  <si>
    <t>Environ.Remediation_PR</t>
  </si>
  <si>
    <t>InsuranceReimbursements</t>
  </si>
  <si>
    <t>ThirdPartySharedCosts</t>
  </si>
  <si>
    <t>BusinessDevelopment</t>
  </si>
  <si>
    <t>COEDredgeOperations</t>
  </si>
  <si>
    <t>BusinessEnergyTaxCredi</t>
  </si>
  <si>
    <t>Lower_Willamette_Project_Lower_Willamette_Contingency</t>
  </si>
  <si>
    <t>SEPProgram</t>
  </si>
  <si>
    <t>IntergovernmentalAgreeme</t>
  </si>
  <si>
    <t>LND</t>
  </si>
  <si>
    <t>Land_Acquisition</t>
  </si>
  <si>
    <t>Land_Acquisition_Acquisition</t>
  </si>
  <si>
    <t>PortofKalamaReimburse</t>
  </si>
  <si>
    <t>PortofLongviewReimbur</t>
  </si>
  <si>
    <t>PortofVancouverReimbu</t>
  </si>
  <si>
    <t>PortofWoodlandReimbur</t>
  </si>
  <si>
    <t>PortofSt.HelensReimbu</t>
  </si>
  <si>
    <t>StateofOregonReimburse</t>
  </si>
  <si>
    <t>OECDD_$27.7M</t>
  </si>
  <si>
    <t>Land_Acquisition_Contingency</t>
  </si>
  <si>
    <t>K9</t>
  </si>
  <si>
    <t>K9_Program</t>
  </si>
  <si>
    <t>K9_Program_ProjectAdminandMgmt</t>
  </si>
  <si>
    <t>K9_Program_Training</t>
  </si>
  <si>
    <t>K9_Program_Operations</t>
  </si>
  <si>
    <t>K9_Program_Contingency</t>
  </si>
  <si>
    <t>K9_Program_OtherReimbursements</t>
  </si>
  <si>
    <t>IT_ProjectAdminandMgmt</t>
  </si>
  <si>
    <t>IT_BusinessContinuity</t>
  </si>
  <si>
    <t>IT_AnalysisandRequirementsDefinition</t>
  </si>
  <si>
    <t>IT_Security</t>
  </si>
  <si>
    <t>IT_Design</t>
  </si>
  <si>
    <t>IT_Acquisition</t>
  </si>
  <si>
    <t>IT_Development</t>
  </si>
  <si>
    <t>IT_Implementation</t>
  </si>
  <si>
    <t>IT_Construction</t>
  </si>
  <si>
    <t>IT_Documentation</t>
  </si>
  <si>
    <t>IT_Testing</t>
  </si>
  <si>
    <t>IT_Training</t>
  </si>
  <si>
    <t>IT_ProjectCloseOut</t>
  </si>
  <si>
    <t>IT_Contingency</t>
  </si>
  <si>
    <t>EMR</t>
  </si>
  <si>
    <t>Emergency_Insurance_FEMATracking</t>
  </si>
  <si>
    <t>Emergency_Contingency</t>
  </si>
  <si>
    <t>FIN</t>
  </si>
  <si>
    <t>Financing</t>
  </si>
  <si>
    <t>Financing_ProjectAdminandMgmt</t>
  </si>
  <si>
    <t>Financing_Contingency</t>
  </si>
  <si>
    <t>IMP</t>
  </si>
  <si>
    <t>Improve_River_Miles_Channel_Deepening</t>
  </si>
  <si>
    <t>Improve_River_Miles_Channel_Deepening_ProjectAdminandMgmt</t>
  </si>
  <si>
    <t>Improve_River_Miles_Channel_Deepening_Construction</t>
  </si>
  <si>
    <t>Improve_River_Miles_Channel_Deepening_Contingency</t>
  </si>
  <si>
    <t>EQP</t>
  </si>
  <si>
    <t>Equipment_Purchases</t>
  </si>
  <si>
    <t>Equipment_Purchases_ProjectAdminandMgmt</t>
  </si>
  <si>
    <t>Equipment_Purchases_AnalysisandRequirementsDefinition</t>
  </si>
  <si>
    <t>Equipment_Purchases_Design</t>
  </si>
  <si>
    <t>Equipment_Purchases_Acquisition</t>
  </si>
  <si>
    <t>Equipment_Purchases_Development</t>
  </si>
  <si>
    <t>Equipment_Purchases_Implementation</t>
  </si>
  <si>
    <t>Equipment_Purchases_Construction</t>
  </si>
  <si>
    <t>Equipment_Purchases_Outreach</t>
  </si>
  <si>
    <t>Equipment_Purchases_Testing</t>
  </si>
  <si>
    <t>Equipment_Purchases_Training</t>
  </si>
  <si>
    <t>Equipment_Purchases_ProjectCloseOut</t>
  </si>
  <si>
    <t>Equipment_Purchases_Contingency</t>
  </si>
  <si>
    <t>ENG</t>
  </si>
  <si>
    <t>Engineering_Master</t>
  </si>
  <si>
    <t>Engineering_Master_ProjectAdminandMgmt</t>
  </si>
  <si>
    <t>Engineering_Master_Design</t>
  </si>
  <si>
    <t>Engineering_Master_Development</t>
  </si>
  <si>
    <t>Engineering_Master_Construction</t>
  </si>
  <si>
    <t>Engineering_Master_Permitting</t>
  </si>
  <si>
    <t>Engineering_Master_Legal_Regulatory</t>
  </si>
  <si>
    <t>Engineering_Master_ProjectCloseOut</t>
  </si>
  <si>
    <t>Engineering_Master_Contingency</t>
  </si>
  <si>
    <t>REM</t>
  </si>
  <si>
    <t>Reimbursements_OtherReimbursements</t>
  </si>
  <si>
    <t>EN4</t>
  </si>
  <si>
    <t>Engineering_-_Small_Project</t>
  </si>
  <si>
    <t>Engineering_-_Small_Project_ProjectAdminandMgmt</t>
  </si>
  <si>
    <t>Engineering_-_Small_Project_Design</t>
  </si>
  <si>
    <t>Engineering_-_Small_Project_Acquisition</t>
  </si>
  <si>
    <t>Engineering_-_Small_Project_Development</t>
  </si>
  <si>
    <t>Engineering_-_Small_Project_Construction</t>
  </si>
  <si>
    <t>Engineering_-_Small_Project_ProjectCloseOut</t>
  </si>
  <si>
    <t>Engineering_-_Small_Project_Contingency</t>
  </si>
  <si>
    <t>EN3</t>
  </si>
  <si>
    <t>Engineering_with_Environmental</t>
  </si>
  <si>
    <t>Engineering_with_Environmental_ProjectAdminandMgmt</t>
  </si>
  <si>
    <t>Engineering_with_Environmental_Design</t>
  </si>
  <si>
    <t>Engineering_with_Environmental_Development</t>
  </si>
  <si>
    <t>Engineering_with_Environmental_Construction</t>
  </si>
  <si>
    <t>Engineering_with_Environmental_Permitting</t>
  </si>
  <si>
    <t>Engineering_with_Environmental_ProjectCloseOut</t>
  </si>
  <si>
    <t>Engineering_with_Environmental_Contingency</t>
  </si>
  <si>
    <t>EN2</t>
  </si>
  <si>
    <t>Engineering_with_RFP</t>
  </si>
  <si>
    <t>Engineering_with_RFP_ProjectAdminandMgmt</t>
  </si>
  <si>
    <t>Engineering_with_RFP_AnalysisandRequirementsDefinition</t>
  </si>
  <si>
    <t>Engineering_with_RFP_Design</t>
  </si>
  <si>
    <t>Engineering_with_RFP_Acquisition</t>
  </si>
  <si>
    <t>Engineering_with_RFP_Development</t>
  </si>
  <si>
    <t>Engineering_with_RFP_Construction</t>
  </si>
  <si>
    <t>Engineering_with_RFP_Permitting</t>
  </si>
  <si>
    <t>Engineering_with_RFP_ProjectCloseOut</t>
  </si>
  <si>
    <t>Engineering_with_RFP_Contingency</t>
  </si>
  <si>
    <t>EN1</t>
  </si>
  <si>
    <t>Engineering_Standard</t>
  </si>
  <si>
    <t>Engineering_Standard_ProjectAdminandMgmt</t>
  </si>
  <si>
    <t>Engineering_Standard_Design</t>
  </si>
  <si>
    <t>Engineering_Standard_Acquisition</t>
  </si>
  <si>
    <t>Engineering_Standard_Development</t>
  </si>
  <si>
    <t>Engineering_Standard_Construction</t>
  </si>
  <si>
    <t>Engineering_Standard_Permitting</t>
  </si>
  <si>
    <t>Engineering_Standard_ProjectCloseout</t>
  </si>
  <si>
    <t>ProjectCloseout</t>
  </si>
  <si>
    <t>Engineering_Standard_Contingency</t>
  </si>
  <si>
    <t>EAS</t>
  </si>
  <si>
    <t>Early_Action_Sites_Lower_Willamette</t>
  </si>
  <si>
    <t>Early_Action_Sites_Lower_Willamette_ProjectAdminandMgmt</t>
  </si>
  <si>
    <t>Early_Action_Sites_Lower_Willamette_Design</t>
  </si>
  <si>
    <t>Early_Action_Sites_Lower_Willamette_Planning</t>
  </si>
  <si>
    <t>Early_Action_Sites_Lower_Willamette_Development</t>
  </si>
  <si>
    <t>Early_Action_Sites_Lower_Willamette_Implementation</t>
  </si>
  <si>
    <t>Early_Action_Sites_Lower_Willamette_Construction</t>
  </si>
  <si>
    <t>Early_Action_Sites_Lower_Willamette_Legal_Regulatory</t>
  </si>
  <si>
    <t>Early_Action_Sites_Lower_Willamette_PublicRecordsRequest</t>
  </si>
  <si>
    <t>Early_Action_Sites_Lower_Willamette_Outreach</t>
  </si>
  <si>
    <t>Early_Action_Sites_Lower_Willamette_CostRecovery</t>
  </si>
  <si>
    <t>Early_Action_Sites_Lower_Willamette_Payments</t>
  </si>
  <si>
    <t>Early_Action_Sites_Lower_Willamette_Contingency</t>
  </si>
  <si>
    <t>CON</t>
  </si>
  <si>
    <t>Construction_Site_Channel_Deepening</t>
  </si>
  <si>
    <t>Construction_Site_Channel_Deepening_ProjectAdminandMgmt</t>
  </si>
  <si>
    <t>Construction_Site_Channel_Deepening_Design</t>
  </si>
  <si>
    <t>Construction_Site_Channel_Deepening_Acquisition</t>
  </si>
  <si>
    <t>Construction_Site_Channel_Deepening_Development</t>
  </si>
  <si>
    <t>Construction_Site_Channel_Deepening_Construction</t>
  </si>
  <si>
    <t>Construction_Site_Channel_Deepening_Permitting</t>
  </si>
  <si>
    <t>Construction_Site_Channel_Deepening_Legal_Regulatory</t>
  </si>
  <si>
    <t>Construction_Site_Channel_Deepening_ProjectCloseOut</t>
  </si>
  <si>
    <t>Construction_Site_Channel_Deepening_Contingency</t>
  </si>
  <si>
    <t>BND</t>
  </si>
  <si>
    <t>Business_Development</t>
  </si>
  <si>
    <t>Business_Development_ProjectAdminandMgmt</t>
  </si>
  <si>
    <t>Business_Development_Design</t>
  </si>
  <si>
    <t>Business_Development_Planning</t>
  </si>
  <si>
    <t>Business_Development_Acquisition</t>
  </si>
  <si>
    <t>Business_Development_Development</t>
  </si>
  <si>
    <t>Business_Development_Implementation</t>
  </si>
  <si>
    <t>Business_Development_Construction</t>
  </si>
  <si>
    <t>Business_Development_Permitting</t>
  </si>
  <si>
    <t>Business_Development_Maintenance</t>
  </si>
  <si>
    <t>Business_Development_Legal_Regulatory</t>
  </si>
  <si>
    <t>Business_Development_RecordsManagement</t>
  </si>
  <si>
    <t>Business_Development_CostRecovery</t>
  </si>
  <si>
    <t>Business_Development_ProjectCloseOut</t>
  </si>
  <si>
    <t>Business_Development_Contingency</t>
  </si>
  <si>
    <t>BER</t>
  </si>
  <si>
    <t>Berth_Deepening_Channel_Deepening</t>
  </si>
  <si>
    <t>Berth_Deepening_Channel_Deepening_ProjectAdminandMgmt</t>
  </si>
  <si>
    <t>Berth_Deepening_Channel_Deepening_Design</t>
  </si>
  <si>
    <t>Berth_Deepening_Channel_Deepening_Construction</t>
  </si>
  <si>
    <t>Berth_Deepening_Channel_Deepening_Permitting</t>
  </si>
  <si>
    <t>Berth_Deepening_Channel_Deepening_Survey</t>
  </si>
  <si>
    <t>Berth_Deepening_Channel_Deepening_Maintenance</t>
  </si>
  <si>
    <t>Berth_Deepening_Channel_Deepening_ProjectCloseOut</t>
  </si>
  <si>
    <t>Berth_Deepening_Channel_Deepening_Contingency</t>
  </si>
  <si>
    <t>Hard Cost</t>
  </si>
  <si>
    <t>UoM</t>
  </si>
  <si>
    <t>%</t>
  </si>
  <si>
    <t>Standard View</t>
  </si>
  <si>
    <t>Acre</t>
  </si>
  <si>
    <t>Engineering Planning View</t>
  </si>
  <si>
    <t>CY</t>
  </si>
  <si>
    <t>Day</t>
  </si>
  <si>
    <t>Ea</t>
  </si>
  <si>
    <t>Gal</t>
  </si>
  <si>
    <t>Lb</t>
  </si>
  <si>
    <t>LF</t>
  </si>
  <si>
    <t>LS</t>
  </si>
  <si>
    <t>SF</t>
  </si>
  <si>
    <t>SY</t>
  </si>
  <si>
    <t>Ton</t>
  </si>
  <si>
    <t>Week</t>
  </si>
  <si>
    <t>Job</t>
  </si>
  <si>
    <t>Soft Cost</t>
  </si>
  <si>
    <t>Risk Breakdown Structure</t>
  </si>
  <si>
    <t>Code</t>
  </si>
  <si>
    <t>People</t>
  </si>
  <si>
    <t>P</t>
  </si>
  <si>
    <t>Scope Accuracy:</t>
  </si>
  <si>
    <r>
      <rPr>
        <b/>
        <sz val="9"/>
        <color theme="1"/>
        <rFont val="Arial"/>
        <family val="2"/>
      </rPr>
      <t>Level 1:</t>
    </r>
    <r>
      <rPr>
        <b/>
        <sz val="9"/>
        <rFont val="Arial"/>
        <family val="2"/>
      </rPr>
      <t xml:space="preserve"> </t>
    </r>
    <r>
      <rPr>
        <sz val="9"/>
        <rFont val="Arial"/>
        <family val="2"/>
      </rPr>
      <t>Project scope well understood and well defined</t>
    </r>
  </si>
  <si>
    <t>PEOPLE: Unavailable resources - Engineering (P1)</t>
  </si>
  <si>
    <t>P1</t>
  </si>
  <si>
    <r>
      <rPr>
        <b/>
        <sz val="9"/>
        <color theme="1"/>
        <rFont val="Arial"/>
        <family val="2"/>
      </rPr>
      <t>Level 2:</t>
    </r>
    <r>
      <rPr>
        <sz val="9"/>
        <rFont val="Arial"/>
        <family val="2"/>
      </rPr>
      <t xml:space="preserve"> Project scope conceptual</t>
    </r>
  </si>
  <si>
    <t>PEOPLE: Unavailable resources - IT (P2)</t>
  </si>
  <si>
    <t>P2</t>
  </si>
  <si>
    <r>
      <rPr>
        <b/>
        <sz val="9"/>
        <color theme="1"/>
        <rFont val="Arial"/>
        <family val="2"/>
      </rPr>
      <t>Level 3:</t>
    </r>
    <r>
      <rPr>
        <sz val="9"/>
        <rFont val="Arial"/>
        <family val="2"/>
      </rPr>
      <t xml:space="preserve"> Project scope is a "vision" with limited detail</t>
    </r>
  </si>
  <si>
    <t>PEOPLE: Unavailable resources - Project (P3)</t>
  </si>
  <si>
    <t>P3</t>
  </si>
  <si>
    <t>PEOPLE: Unavailable resources - Business (P4)</t>
  </si>
  <si>
    <t>P4</t>
  </si>
  <si>
    <t>PEOPLE: Unavailable resources - Sponsor (P5)</t>
  </si>
  <si>
    <t>P5</t>
  </si>
  <si>
    <t>Engineering Effort:</t>
  </si>
  <si>
    <r>
      <t>Level A:</t>
    </r>
    <r>
      <rPr>
        <sz val="9"/>
        <rFont val="Arial"/>
        <family val="2"/>
      </rPr>
      <t xml:space="preserve"> Preliminary engineering performed</t>
    </r>
  </si>
  <si>
    <t>PEOPLE: Difficulty staffing resources (P6)</t>
  </si>
  <si>
    <t>P6</t>
  </si>
  <si>
    <r>
      <t>Level B:</t>
    </r>
    <r>
      <rPr>
        <sz val="9"/>
        <rFont val="Arial"/>
        <family val="2"/>
      </rPr>
      <t xml:space="preserve"> Conceptual engineering performed</t>
    </r>
  </si>
  <si>
    <t>PEOPLE: Loss of key people -  Engineering (P7)</t>
  </si>
  <si>
    <t>P7</t>
  </si>
  <si>
    <r>
      <t>Level C:</t>
    </r>
    <r>
      <rPr>
        <sz val="9"/>
        <rFont val="Arial"/>
        <family val="2"/>
      </rPr>
      <t xml:space="preserve"> No engineering performed</t>
    </r>
  </si>
  <si>
    <t>PEOPLE: Loss of key people -  IT (P8)</t>
  </si>
  <si>
    <t>P8</t>
  </si>
  <si>
    <t>PEOPLE: Loss of key people -  Business (P9)</t>
  </si>
  <si>
    <t>P9</t>
  </si>
  <si>
    <t>PEOPLE: Conflicts interfere with progress (P10)</t>
  </si>
  <si>
    <t>P10</t>
  </si>
  <si>
    <t>PEOPLE: Resources lack required skills, experience, fit - Engineering (P11)</t>
  </si>
  <si>
    <t>P11</t>
  </si>
  <si>
    <t>PEOPLE: Resources lack required skills, experience, fit - IT (P12)</t>
  </si>
  <si>
    <t>P12</t>
  </si>
  <si>
    <t>PEOPLE: Resources lack required skills, experience, fit - Business (P13)</t>
  </si>
  <si>
    <t>P13</t>
  </si>
  <si>
    <t>PEOPLE: Insufficient onboarding of new project staff (P14)</t>
  </si>
  <si>
    <t>P14</t>
  </si>
  <si>
    <t>PEOPLE: Human error (P15)</t>
  </si>
  <si>
    <t>P15</t>
  </si>
  <si>
    <t>PEOPLE: Project teams lacked sufficient understanding of new technology (P16)</t>
  </si>
  <si>
    <t>P16</t>
  </si>
  <si>
    <t>PEOPLE: Inability to scale specialty skills (P17)</t>
  </si>
  <si>
    <t>P17</t>
  </si>
  <si>
    <t>Requirements</t>
  </si>
  <si>
    <t>R</t>
  </si>
  <si>
    <t>REQUIREMENTS: Project outcomes or scope unclear (R1)</t>
  </si>
  <si>
    <t>R1</t>
  </si>
  <si>
    <t>REQUIREMENTS: Stakeholders not well understood (R2)</t>
  </si>
  <si>
    <t>R2</t>
  </si>
  <si>
    <t>Stage Gate 1 - Project Charter: +/-50%</t>
  </si>
  <si>
    <t>REQUIREMENTS: Error or omissions in requirements (R3)</t>
  </si>
  <si>
    <t>R3</t>
  </si>
  <si>
    <t>Stage Gate 2 - Business Case: +/-30%</t>
  </si>
  <si>
    <t>REQUIREMENTS: Significant learning, new ground (R4)</t>
  </si>
  <si>
    <t>R4</t>
  </si>
  <si>
    <t>Stage Gate 3 - Preliminary Planning: +/-25%</t>
  </si>
  <si>
    <t>REQUIREMENTS: Shifting business timelines, priorities (R5)</t>
  </si>
  <si>
    <t>R5</t>
  </si>
  <si>
    <t>Stage Gate 4a - 30% Design: -15% to +20%</t>
  </si>
  <si>
    <t>REQUIREMENTS: Inability to accurately translate business requirements into infrastructure scope (R6)</t>
  </si>
  <si>
    <t>R6</t>
  </si>
  <si>
    <t>Stage Gate 4a - 60% Design: -10% to +15%</t>
  </si>
  <si>
    <t>REQUIREMENTS: Unforeseen complexity or understanding of infrastructure (R7)</t>
  </si>
  <si>
    <t>R7</t>
  </si>
  <si>
    <t>Stage Gate 4a - 90% Design: +/-10%</t>
  </si>
  <si>
    <t>REQUIREMENTS: Mismatch of expectations between customers, sponsors, vendors (R8)</t>
  </si>
  <si>
    <t>R8</t>
  </si>
  <si>
    <t>Stage Gate 4b - CD Design: +/-5%</t>
  </si>
  <si>
    <t>Process</t>
  </si>
  <si>
    <t>PRC</t>
  </si>
  <si>
    <t>PROCESS: Poor work breakdown or estimating (PRC1)</t>
  </si>
  <si>
    <t>PRC1</t>
  </si>
  <si>
    <t>PROCESS: Operational processes not well understood (PRC2)</t>
  </si>
  <si>
    <t>PRC2</t>
  </si>
  <si>
    <t>Hourly Estimate</t>
  </si>
  <si>
    <t>PROCESS: Insufficient understanding of environmental complexity, dependencies (PRC3)</t>
  </si>
  <si>
    <t>PRC3</t>
  </si>
  <si>
    <t>PROCESS: Delays in reviews, approvals, decision-making problems (PRC4)</t>
  </si>
  <si>
    <t>PRC4</t>
  </si>
  <si>
    <t>PROCESS: Management or escalation problems (PRC5)</t>
  </si>
  <si>
    <t>PRC5</t>
  </si>
  <si>
    <t>PROCESS: Sliced work or unclear hand-offs (PRC6)</t>
  </si>
  <si>
    <t>PRC6</t>
  </si>
  <si>
    <t>PROCESS: Delivery methodology not well applied (PRC7)</t>
  </si>
  <si>
    <t>PRC7</t>
  </si>
  <si>
    <t>PROCESS: Unclear roles and responsibilities (PRC8)</t>
  </si>
  <si>
    <t>PRC8</t>
  </si>
  <si>
    <t>PROCESS: Gatekeepers or assessors lack skill, knowledge to make gate assessments/decisions (PRC9)</t>
  </si>
  <si>
    <t>PRC9</t>
  </si>
  <si>
    <t>PROCESS: Skill or accountability gap on complex end-to-end architecture/engineering solutions versus product solution (PRC10)</t>
  </si>
  <si>
    <t>PRC10</t>
  </si>
  <si>
    <t>PROCESS: Insufficient engagement to prepare estimates (PRC11)</t>
  </si>
  <si>
    <t>PRC11</t>
  </si>
  <si>
    <t>PROCESS: Project staff lacked sufficient understanding of Port processes (PRC12)</t>
  </si>
  <si>
    <t>PRC12</t>
  </si>
  <si>
    <t>PROCESS: Stakeholders responsibilities not well understood (PRC13)</t>
  </si>
  <si>
    <t>PRC13</t>
  </si>
  <si>
    <t>PROCESS: Changing process (PRC14)</t>
  </si>
  <si>
    <t>PRC14</t>
  </si>
  <si>
    <t>PROCESS: Insufficient of unclear process (PRC15)</t>
  </si>
  <si>
    <t>PRC15</t>
  </si>
  <si>
    <t>PROCESS: Insufficient technology piloting (PRC16)</t>
  </si>
  <si>
    <t>PRC16</t>
  </si>
  <si>
    <t>PROCESS: Permitting delays (PRC17)</t>
  </si>
  <si>
    <t>PRC17</t>
  </si>
  <si>
    <t>Data</t>
  </si>
  <si>
    <t>D</t>
  </si>
  <si>
    <t>DATA: Development quality or production inconsistencies (D1)</t>
  </si>
  <si>
    <t>D1</t>
  </si>
  <si>
    <t>DATA: Data quality problems (D2)</t>
  </si>
  <si>
    <t>D2</t>
  </si>
  <si>
    <t>DATA: Date management problems (D3)</t>
  </si>
  <si>
    <t>D3</t>
  </si>
  <si>
    <t>DATA: Limited access to data (D4)</t>
  </si>
  <si>
    <t>D4</t>
  </si>
  <si>
    <t>Vendor</t>
  </si>
  <si>
    <t>V</t>
  </si>
  <si>
    <t>VENDOR: Resources lack sufficient depth of skills, experience, fit - Services vendor (V1)</t>
  </si>
  <si>
    <t>V1</t>
  </si>
  <si>
    <t>VENDOR: Unavailable resources - Services vendor (V2)</t>
  </si>
  <si>
    <t>V2</t>
  </si>
  <si>
    <t>VENDOR: Quality of goods not sufficient - Product vendor (V3)</t>
  </si>
  <si>
    <t>V3</t>
  </si>
  <si>
    <t>VENDOR: Procurement or contract problems (V4)</t>
  </si>
  <si>
    <t>V4</t>
  </si>
  <si>
    <t>Quality</t>
  </si>
  <si>
    <t>Q</t>
  </si>
  <si>
    <t>QUALITY: Quality metrics not well understood (Q1)</t>
  </si>
  <si>
    <t>Q1</t>
  </si>
  <si>
    <t>QUALITY: Inappropriate test plans (Q2)</t>
  </si>
  <si>
    <t>Q2</t>
  </si>
  <si>
    <t>QUALITY: Insufficient testing (Q3)</t>
  </si>
  <si>
    <t>Q3</t>
  </si>
  <si>
    <t>QUALITY: New, complex problems discovered (Q4)</t>
  </si>
  <si>
    <t>Q4</t>
  </si>
  <si>
    <t>QUALITY: insufficient quality management expertise (Q5)</t>
  </si>
  <si>
    <t>Q5</t>
  </si>
  <si>
    <t>QUALITY: Inconsistent use of quality tools (Q6)</t>
  </si>
  <si>
    <t>Q6</t>
  </si>
  <si>
    <t>QUALITY: Inadequate design (Q7)</t>
  </si>
  <si>
    <t>Q7</t>
  </si>
  <si>
    <t>Technical</t>
  </si>
  <si>
    <t>TEC</t>
  </si>
  <si>
    <t>TECHNICAL: Infrastructure not available (TEC1)</t>
  </si>
  <si>
    <t>TEC1</t>
  </si>
  <si>
    <t>TECHNICAL: Complex physical infrastructure (TEC2)</t>
  </si>
  <si>
    <t>TEC2</t>
  </si>
  <si>
    <t>TECHNICAL: Complex software infrastructure (TEC3)</t>
  </si>
  <si>
    <t>TEC3</t>
  </si>
  <si>
    <t>TECHNICAL: Nonstandard Port tools, components, frameworks (TEC4)</t>
  </si>
  <si>
    <t>TEC4</t>
  </si>
  <si>
    <t>TECHNICAL: Poor infrastructure performance (TEC5)</t>
  </si>
  <si>
    <t>TEC5</t>
  </si>
  <si>
    <t>TECHNICAL: Complex interfaces with other systems (TEC6)</t>
  </si>
  <si>
    <t>TEC6</t>
  </si>
  <si>
    <t>Turnover</t>
  </si>
  <si>
    <t>TO</t>
  </si>
  <si>
    <t>TURNOVER: Client acceptance process is not clear or not approved (TO1)</t>
  </si>
  <si>
    <t>TO1</t>
  </si>
  <si>
    <t>TURNOVER: Required skill in people not ready (TO2)</t>
  </si>
  <si>
    <t>TO2</t>
  </si>
  <si>
    <t>TURNOVER: More support required than expected (TO3)</t>
  </si>
  <si>
    <t>TO3</t>
  </si>
  <si>
    <t>TURNOVER: Business turnover problems (TO4)</t>
  </si>
  <si>
    <t>TO4</t>
  </si>
  <si>
    <t>TURNOVER: IT support turnover problems (TO5)</t>
  </si>
  <si>
    <t>TO5</t>
  </si>
  <si>
    <t>Product</t>
  </si>
  <si>
    <t>PRO</t>
  </si>
  <si>
    <t>PRODUCT: Complex large design/development (PRO1)</t>
  </si>
  <si>
    <t>PRO1</t>
  </si>
  <si>
    <t>PRODUCT: Product quality problems (PRO2)</t>
  </si>
  <si>
    <t>PRO2</t>
  </si>
  <si>
    <t>Uncategorized</t>
  </si>
  <si>
    <t>U</t>
  </si>
  <si>
    <t>UNCATEGORIZED: Uncategorized risk - description required (U1)</t>
  </si>
  <si>
    <t>U1</t>
  </si>
  <si>
    <t>CONSTRUCTION: Potential survey error e.g. incorrect grades, locational error etc (C1)</t>
  </si>
  <si>
    <t>C1</t>
  </si>
  <si>
    <t>CONSTRUCTION: Potential delay resulting from the Private Utilities being tardy in relocating utilities (C2)</t>
  </si>
  <si>
    <t>C2</t>
  </si>
  <si>
    <t>CONSTRUCTION: Unforeseen site conditions (utilities, environmental etc) during construction (C3)</t>
  </si>
  <si>
    <t>C3</t>
  </si>
  <si>
    <t>CONSTRUCTION: Differential settlement to properties due to work; impacts to design and construction (C4)</t>
  </si>
  <si>
    <t>C4</t>
  </si>
  <si>
    <t>CONSTRUCTION: Cost escalation (of materials/equipment) during construction period (C5)</t>
  </si>
  <si>
    <t>C5</t>
  </si>
  <si>
    <t>CONSTRUCTION: Risk that price of steel may increase prior to order by contractor (C6)</t>
  </si>
  <si>
    <t>C6</t>
  </si>
  <si>
    <t>CONSTRUCTION: Additional streetscape or stormwater requirements (C7)</t>
  </si>
  <si>
    <t>C7</t>
  </si>
  <si>
    <t>C8</t>
  </si>
  <si>
    <t>C9</t>
  </si>
  <si>
    <t>C10</t>
  </si>
  <si>
    <t>C11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</si>
</sst>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_)"/>
    <numFmt numFmtId="165" formatCode="#,##0.000_);\(#,##0.000\)"/>
    <numFmt numFmtId="166" formatCode="0.0"/>
    <numFmt numFmtId="167" formatCode="_-&quot;£&quot;* #,##0_-;\-&quot;£&quot;* #,##0_-;_-&quot;£&quot;* &quot;-&quot;_-;_-@_-"/>
    <numFmt numFmtId="168" formatCode="0.00_)"/>
    <numFmt numFmtId="169" formatCode="[$€]#,##0.00_);[Red]\([$€]#,##0.00\)"/>
    <numFmt numFmtId="170" formatCode="0.0#"/>
    <numFmt numFmtId="171" formatCode="0.00_);[Red]\(0.00\)"/>
    <numFmt numFmtId="172" formatCode="0.0_);[Red]\(0.0\)"/>
    <numFmt numFmtId="173" formatCode="#,##0.00\ &quot;F&quot;;[Red]\-#,##0.00\ &quot;F&quot;"/>
    <numFmt numFmtId="174" formatCode="#,##0&quot; F&quot;_);\(#,##0&quot; F&quot;\)"/>
    <numFmt numFmtId="175" formatCode="#,##0\ &quot;F&quot;;[Red]\-#,##0\ &quot;F&quot;"/>
    <numFmt numFmtId="176" formatCode="&quot;$&quot;#,##0.0"/>
    <numFmt numFmtId="177" formatCode="#,##0,"/>
    <numFmt numFmtId="178" formatCode="0.0,,&quot;M&quot;"/>
    <numFmt numFmtId="179" formatCode="0.0,&quot;K&quot;"/>
    <numFmt numFmtId="180" formatCode="#,##0.0,,"/>
    <numFmt numFmtId="181" formatCode="&quot;$&quot;#,##0\ ;\(&quot;$&quot;#,##0\)"/>
    <numFmt numFmtId="182" formatCode="0;0;0;&quot;MAY&quot;"/>
    <numFmt numFmtId="183" formatCode="0;0;0;&quot;MAR&quot;"/>
    <numFmt numFmtId="184" formatCode="&quot;£&quot;#,##0.00;[Red]\-&quot;£&quot;#,##0.00"/>
    <numFmt numFmtId="185" formatCode="&quot;£&quot;#,##0;[Red]\-&quot;£&quot;#,##0"/>
    <numFmt numFmtId="186" formatCode="000000"/>
    <numFmt numFmtId="187" formatCode="_(&quot;$&quot;* #,##0_);_(&quot;$&quot;* \(#,##0\);_(&quot;$&quot;* &quot;-&quot;??_);_(@_)"/>
    <numFmt numFmtId="188" formatCode="00"/>
    <numFmt numFmtId="189" formatCode="0.00\ &quot;Days&quot;"/>
    <numFmt numFmtId="190" formatCode="0.00\ &quot;Months&quot;"/>
    <numFmt numFmtId="191" formatCode="0.00\ &quot;Years&quot;"/>
  </numFmts>
  <fonts count="99">
    <font>
      <sz val="10"/>
      <name val="Times New Roman"/>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sz val="10"/>
      <name val="Times New Roman"/>
      <family val="1"/>
    </font>
    <font>
      <sz val="12"/>
      <name val="Times New Roman"/>
      <family val="1"/>
    </font>
    <font>
      <sz val="10"/>
      <color indexed="8"/>
      <name val="Times New Roman"/>
      <family val="1"/>
    </font>
    <font>
      <b/>
      <sz val="10"/>
      <name val="Times New Roman"/>
      <family val="1"/>
    </font>
    <font>
      <sz val="10"/>
      <name val="Arial"/>
      <family val="2"/>
    </font>
    <font>
      <sz val="8"/>
      <name val="Arial"/>
      <family val="2"/>
    </font>
    <font>
      <sz val="10"/>
      <color indexed="12"/>
      <name val="Arial"/>
      <family val="2"/>
    </font>
    <font>
      <b/>
      <sz val="10"/>
      <name val="Arial"/>
      <family val="2"/>
    </font>
    <font>
      <sz val="10"/>
      <name val="Arial"/>
      <family val="2"/>
    </font>
    <font>
      <sz val="10"/>
      <color indexed="8"/>
      <name val="Arial"/>
      <family val="2"/>
    </font>
    <font>
      <b/>
      <sz val="12"/>
      <name val="Arial"/>
      <family val="2"/>
    </font>
    <font>
      <sz val="12"/>
      <name val="Arial"/>
      <family val="2"/>
    </font>
    <font>
      <b/>
      <sz val="10"/>
      <color indexed="9"/>
      <name val="Arial"/>
      <family val="2"/>
    </font>
    <font>
      <sz val="8"/>
      <name val="Times New Roman"/>
      <family val="1"/>
    </font>
    <font>
      <sz val="10"/>
      <name val="MS Sans Serif"/>
      <family val="2"/>
    </font>
    <font>
      <sz val="10"/>
      <name val="MS Sans Serif"/>
      <family val="2"/>
    </font>
    <font>
      <sz val="12"/>
      <name val="Osaka"/>
      <charset val="128"/>
    </font>
    <font>
      <sz val="12"/>
      <name val="¹ÙÅÁÃ¼"/>
      <family val="1"/>
      <charset val="129"/>
    </font>
    <font>
      <b/>
      <sz val="11"/>
      <color indexed="18"/>
      <name val="Times New Roman"/>
      <family val="1"/>
    </font>
    <font>
      <sz val="12"/>
      <name val="±¼¸²Ã¼"/>
      <family val="3"/>
      <charset val="129"/>
    </font>
    <font>
      <sz val="10"/>
      <name val="MS Serif"/>
      <family val="1"/>
    </font>
    <font>
      <sz val="7"/>
      <name val="Small Fonts"/>
      <family val="2"/>
    </font>
    <font>
      <b/>
      <i/>
      <sz val="16"/>
      <name val="Helv"/>
    </font>
    <font>
      <sz val="10"/>
      <name val="Helv"/>
      <family val="2"/>
    </font>
    <font>
      <sz val="11"/>
      <name val="–¾’©"/>
      <family val="2"/>
      <charset val="128"/>
    </font>
    <font>
      <sz val="12"/>
      <name val="MS Sans Serif"/>
      <family val="2"/>
    </font>
    <font>
      <sz val="8"/>
      <name val="MS Sans Serif"/>
      <family val="2"/>
    </font>
    <font>
      <b/>
      <sz val="10"/>
      <name val="MS Sans Serif"/>
      <family val="2"/>
    </font>
    <font>
      <b/>
      <sz val="8"/>
      <name val="MS Sans Serif"/>
      <family val="2"/>
    </font>
    <font>
      <sz val="10"/>
      <name val="TMS RMN"/>
      <family val="1"/>
    </font>
    <font>
      <sz val="10"/>
      <color indexed="16"/>
      <name val="MS Serif"/>
      <family val="1"/>
    </font>
    <font>
      <sz val="10"/>
      <color indexed="14"/>
      <name val="Arial"/>
      <family val="2"/>
    </font>
    <font>
      <b/>
      <sz val="8.5"/>
      <name val="MS Sans Serif"/>
      <family val="2"/>
    </font>
    <font>
      <sz val="10"/>
      <color indexed="10"/>
      <name val="Arial"/>
      <family val="2"/>
    </font>
    <font>
      <sz val="8"/>
      <name val="Wingdings"/>
      <charset val="2"/>
    </font>
    <font>
      <b/>
      <sz val="8.25"/>
      <name val="Helv"/>
      <family val="2"/>
    </font>
    <font>
      <b/>
      <sz val="8"/>
      <color indexed="8"/>
      <name val="Helv"/>
      <family val="2"/>
    </font>
    <font>
      <b/>
      <sz val="8"/>
      <name val="Times New Roman"/>
      <family val="1"/>
    </font>
    <font>
      <b/>
      <sz val="14"/>
      <color indexed="18"/>
      <name val="Times New Roman"/>
      <family val="1"/>
    </font>
    <font>
      <b/>
      <sz val="12"/>
      <name val="MS Sans Serif"/>
      <family val="2"/>
    </font>
    <font>
      <b/>
      <sz val="12"/>
      <color indexed="8"/>
      <name val="Arial"/>
      <family val="2"/>
    </font>
    <font>
      <sz val="9"/>
      <name val="Arial"/>
      <family val="2"/>
    </font>
    <font>
      <b/>
      <sz val="11"/>
      <color indexed="16"/>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Times New Roman"/>
      <family val="1"/>
    </font>
    <font>
      <sz val="10"/>
      <color indexed="8"/>
      <name val="MS Sans Serif"/>
      <family val="2"/>
    </font>
    <font>
      <b/>
      <i/>
      <sz val="16"/>
      <color theme="0"/>
      <name val="Arial"/>
      <family val="2"/>
    </font>
    <font>
      <b/>
      <sz val="12"/>
      <color theme="0"/>
      <name val="Arial"/>
      <family val="2"/>
    </font>
    <font>
      <sz val="11"/>
      <name val="Arial"/>
      <family val="2"/>
    </font>
    <font>
      <b/>
      <sz val="11"/>
      <name val="Arial"/>
      <family val="2"/>
    </font>
    <font>
      <sz val="6"/>
      <name val="Helv"/>
    </font>
    <font>
      <sz val="9"/>
      <name val="Helv"/>
    </font>
    <font>
      <b/>
      <sz val="9"/>
      <name val="Arial"/>
      <family val="2"/>
    </font>
    <font>
      <b/>
      <sz val="22"/>
      <color theme="0"/>
      <name val="Arial"/>
      <family val="2"/>
    </font>
    <font>
      <b/>
      <sz val="11"/>
      <color theme="1"/>
      <name val="Calibri"/>
      <family val="2"/>
      <scheme val="minor"/>
    </font>
    <font>
      <sz val="11"/>
      <color rgb="FFFF0000"/>
      <name val="Calibri"/>
      <family val="2"/>
      <scheme val="minor"/>
    </font>
    <font>
      <sz val="9"/>
      <color theme="1"/>
      <name val="Arial"/>
      <family val="2"/>
    </font>
    <font>
      <b/>
      <sz val="9"/>
      <color theme="1"/>
      <name val="Arial"/>
      <family val="2"/>
    </font>
    <font>
      <b/>
      <sz val="20"/>
      <name val="Arial"/>
      <family val="2"/>
    </font>
    <font>
      <b/>
      <sz val="14"/>
      <name val="Arial"/>
      <family val="2"/>
    </font>
    <font>
      <sz val="14"/>
      <name val="Arial"/>
      <family val="2"/>
    </font>
    <font>
      <sz val="11"/>
      <name val="Calibri"/>
      <family val="2"/>
      <scheme val="minor"/>
    </font>
    <font>
      <sz val="11"/>
      <name val="Calibri"/>
      <family val="2"/>
    </font>
    <font>
      <sz val="10"/>
      <name val="Calibri"/>
      <family val="2"/>
      <scheme val="minor"/>
    </font>
    <font>
      <sz val="10"/>
      <color theme="1"/>
      <name val="Calibri"/>
      <family val="2"/>
      <scheme val="minor"/>
    </font>
    <font>
      <sz val="12"/>
      <color rgb="FFFF0000"/>
      <name val="Arial"/>
      <family val="2"/>
    </font>
    <font>
      <b/>
      <sz val="10"/>
      <color theme="0"/>
      <name val="Arial"/>
      <family val="2"/>
    </font>
    <font>
      <sz val="10"/>
      <color rgb="FFFF0000"/>
      <name val="Arial"/>
      <family val="2"/>
    </font>
    <font>
      <sz val="10"/>
      <color theme="3" tint="0.59999389629810485"/>
      <name val="Times New Roman"/>
      <family val="1"/>
    </font>
    <font>
      <b/>
      <sz val="11"/>
      <color theme="0"/>
      <name val="Arial"/>
      <family val="2"/>
    </font>
    <font>
      <b/>
      <sz val="12"/>
      <color theme="1"/>
      <name val="Arial"/>
      <family val="2"/>
    </font>
  </fonts>
  <fills count="4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8"/>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patternFill>
    </fill>
    <fill>
      <patternFill patternType="darkVertical"/>
    </fill>
    <fill>
      <patternFill patternType="darkGray">
        <fgColor indexed="15"/>
      </patternFill>
    </fill>
    <fill>
      <patternFill patternType="solid">
        <fgColor indexed="43"/>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rgb="FF00669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auto="1"/>
        <bgColor auto="1"/>
      </patternFill>
    </fill>
    <fill>
      <patternFill patternType="solid">
        <fgColor theme="6" tint="0.79998168889431442"/>
        <bgColor indexed="64"/>
      </patternFill>
    </fill>
    <fill>
      <patternFill patternType="solid">
        <fgColor rgb="FF003399"/>
        <bgColor indexed="64"/>
      </patternFill>
    </fill>
    <fill>
      <patternFill patternType="solid">
        <fgColor theme="4" tint="0.59999389629810485"/>
        <bgColor indexed="64"/>
      </patternFill>
    </fill>
    <fill>
      <patternFill patternType="solid">
        <fgColor theme="4" tint="0.39997558519241921"/>
        <bgColor indexed="64"/>
      </patternFill>
    </fill>
    <fill>
      <patternFill patternType="lightUp"/>
    </fill>
  </fills>
  <borders count="6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top style="thick">
        <color indexed="17"/>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double">
        <color indexed="64"/>
      </left>
      <right style="double">
        <color indexed="64"/>
      </right>
      <top/>
      <bottom style="double">
        <color indexed="64"/>
      </bottom>
      <diagonal/>
    </border>
    <border>
      <left style="thin">
        <color indexed="63"/>
      </left>
      <right style="thin">
        <color indexed="63"/>
      </right>
      <top style="thin">
        <color indexed="63"/>
      </top>
      <bottom style="thin">
        <color indexed="63"/>
      </bottom>
      <diagonal/>
    </border>
    <border>
      <left/>
      <right/>
      <top/>
      <bottom style="double">
        <color indexed="64"/>
      </bottom>
      <diagonal/>
    </border>
    <border>
      <left/>
      <right/>
      <top style="thin">
        <color indexed="62"/>
      </top>
      <bottom style="double">
        <color indexed="62"/>
      </bottom>
      <diagonal/>
    </border>
    <border>
      <left style="medium">
        <color indexed="64"/>
      </left>
      <right/>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medium">
        <color indexed="64"/>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s>
  <cellStyleXfs count="314">
    <xf numFmtId="0" fontId="0" fillId="0" borderId="0"/>
    <xf numFmtId="6" fontId="2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0" fontId="35" fillId="0" borderId="0"/>
    <xf numFmtId="0" fontId="35" fillId="0" borderId="0"/>
    <xf numFmtId="0" fontId="13" fillId="0" borderId="0"/>
    <xf numFmtId="0" fontId="13" fillId="0" borderId="0"/>
    <xf numFmtId="0" fontId="35" fillId="0" borderId="0"/>
    <xf numFmtId="0" fontId="35" fillId="0" borderId="0"/>
    <xf numFmtId="6" fontId="26" fillId="0" borderId="0" applyFont="0" applyFill="0" applyBorder="0" applyAlignment="0" applyProtection="0"/>
    <xf numFmtId="0" fontId="35" fillId="0" borderId="0"/>
    <xf numFmtId="0" fontId="35" fillId="0" borderId="0"/>
    <xf numFmtId="0" fontId="1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3" fontId="53" fillId="0" borderId="0"/>
    <xf numFmtId="0" fontId="35" fillId="0" borderId="0"/>
    <xf numFmtId="6" fontId="26" fillId="0" borderId="0" applyFont="0" applyFill="0" applyBorder="0" applyAlignment="0" applyProtection="0"/>
    <xf numFmtId="6" fontId="27" fillId="0" borderId="0" applyFont="0" applyFill="0" applyBorder="0" applyAlignment="0" applyProtection="0"/>
    <xf numFmtId="6" fontId="27" fillId="0" borderId="0" applyFont="0" applyFill="0" applyBorder="0" applyAlignment="0" applyProtection="0"/>
    <xf numFmtId="0" fontId="35" fillId="0" borderId="0"/>
    <xf numFmtId="0" fontId="35" fillId="0" borderId="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0" fontId="35" fillId="0" borderId="0"/>
    <xf numFmtId="0" fontId="13" fillId="0" borderId="0"/>
    <xf numFmtId="0" fontId="35" fillId="0" borderId="0"/>
    <xf numFmtId="0" fontId="35" fillId="0" borderId="0"/>
    <xf numFmtId="0" fontId="35" fillId="0" borderId="0"/>
    <xf numFmtId="6" fontId="27" fillId="0" borderId="0" applyFont="0" applyFill="0" applyBorder="0" applyAlignment="0" applyProtection="0"/>
    <xf numFmtId="0" fontId="35" fillId="0" borderId="0"/>
    <xf numFmtId="0" fontId="35" fillId="0" borderId="0"/>
    <xf numFmtId="0" fontId="35" fillId="0" borderId="0"/>
    <xf numFmtId="6" fontId="27" fillId="0" borderId="0" applyFont="0" applyFill="0" applyBorder="0" applyAlignment="0" applyProtection="0"/>
    <xf numFmtId="167" fontId="16"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3" fontId="53" fillId="0" borderId="0"/>
    <xf numFmtId="0" fontId="35" fillId="0" borderId="0"/>
    <xf numFmtId="0" fontId="13" fillId="0" borderId="0"/>
    <xf numFmtId="0" fontId="35" fillId="0" borderId="0"/>
    <xf numFmtId="0" fontId="35" fillId="0" borderId="0"/>
    <xf numFmtId="0" fontId="35" fillId="0" borderId="0"/>
    <xf numFmtId="0" fontId="35" fillId="0" borderId="0"/>
    <xf numFmtId="0" fontId="35" fillId="0" borderId="0"/>
    <xf numFmtId="0" fontId="35" fillId="0" borderId="0"/>
    <xf numFmtId="0" fontId="13" fillId="0" borderId="0"/>
    <xf numFmtId="6" fontId="26" fillId="0" borderId="0" applyFont="0" applyFill="0" applyBorder="0" applyAlignment="0" applyProtection="0"/>
    <xf numFmtId="6" fontId="27" fillId="0" borderId="0" applyFont="0" applyFill="0" applyBorder="0" applyAlignment="0" applyProtection="0"/>
    <xf numFmtId="0" fontId="35" fillId="0" borderId="0"/>
    <xf numFmtId="44" fontId="16" fillId="0" borderId="0" applyFont="0" applyFill="0" applyBorder="0" applyAlignment="0" applyProtection="0"/>
    <xf numFmtId="42" fontId="16" fillId="0" borderId="0" applyFont="0" applyFill="0" applyBorder="0" applyAlignment="0" applyProtection="0"/>
    <xf numFmtId="0" fontId="27" fillId="0" borderId="0"/>
    <xf numFmtId="0" fontId="28" fillId="0" borderId="0"/>
    <xf numFmtId="9" fontId="29" fillId="0" borderId="0" applyFont="0" applyFill="0" applyBorder="0" applyAlignment="0" applyProtection="0"/>
    <xf numFmtId="0" fontId="55" fillId="2" borderId="0" applyNumberFormat="0" applyBorder="0" applyAlignment="0" applyProtection="0"/>
    <xf numFmtId="0" fontId="55" fillId="3" borderId="0" applyNumberFormat="0" applyBorder="0" applyAlignment="0" applyProtection="0"/>
    <xf numFmtId="0" fontId="55" fillId="4" borderId="0" applyNumberFormat="0" applyBorder="0" applyAlignment="0" applyProtection="0"/>
    <xf numFmtId="0" fontId="55" fillId="5" borderId="0" applyNumberFormat="0" applyBorder="0" applyAlignment="0" applyProtection="0"/>
    <xf numFmtId="0" fontId="55" fillId="6" borderId="0" applyNumberFormat="0" applyBorder="0" applyAlignment="0" applyProtection="0"/>
    <xf numFmtId="0" fontId="55" fillId="7" borderId="0" applyNumberFormat="0" applyBorder="0" applyAlignment="0" applyProtection="0"/>
    <xf numFmtId="0" fontId="55" fillId="8" borderId="0" applyNumberFormat="0" applyBorder="0" applyAlignment="0" applyProtection="0"/>
    <xf numFmtId="0" fontId="55" fillId="9" borderId="0" applyNumberFormat="0" applyBorder="0" applyAlignment="0" applyProtection="0"/>
    <xf numFmtId="0" fontId="55" fillId="10" borderId="0" applyNumberFormat="0" applyBorder="0" applyAlignment="0" applyProtection="0"/>
    <xf numFmtId="0" fontId="55" fillId="5" borderId="0" applyNumberFormat="0" applyBorder="0" applyAlignment="0" applyProtection="0"/>
    <xf numFmtId="0" fontId="55" fillId="8" borderId="0" applyNumberFormat="0" applyBorder="0" applyAlignment="0" applyProtection="0"/>
    <xf numFmtId="0" fontId="55" fillId="11" borderId="0" applyNumberFormat="0" applyBorder="0" applyAlignment="0" applyProtection="0"/>
    <xf numFmtId="0" fontId="56" fillId="12" borderId="0" applyNumberFormat="0" applyBorder="0" applyAlignment="0" applyProtection="0"/>
    <xf numFmtId="0" fontId="56" fillId="9" borderId="0" applyNumberFormat="0" applyBorder="0" applyAlignment="0" applyProtection="0"/>
    <xf numFmtId="0" fontId="56" fillId="10"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15" borderId="0" applyNumberFormat="0" applyBorder="0" applyAlignment="0" applyProtection="0"/>
    <xf numFmtId="0" fontId="56" fillId="16" borderId="0" applyNumberFormat="0" applyBorder="0" applyAlignment="0" applyProtection="0"/>
    <xf numFmtId="0" fontId="56" fillId="17" borderId="0" applyNumberFormat="0" applyBorder="0" applyAlignment="0" applyProtection="0"/>
    <xf numFmtId="0" fontId="56" fillId="18"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19" borderId="0" applyNumberFormat="0" applyBorder="0" applyAlignment="0" applyProtection="0"/>
    <xf numFmtId="0" fontId="17" fillId="0" borderId="0" applyNumberFormat="0" applyAlignment="0"/>
    <xf numFmtId="22" fontId="16" fillId="0" borderId="0" applyFont="0" applyFill="0" applyBorder="0" applyAlignment="0" applyProtection="0"/>
    <xf numFmtId="171" fontId="16" fillId="0" borderId="0" applyFont="0" applyFill="0" applyBorder="0" applyAlignment="0" applyProtection="0"/>
    <xf numFmtId="0" fontId="25" fillId="0" borderId="0">
      <alignment horizontal="center" wrapText="1"/>
      <protection locked="0"/>
    </xf>
    <xf numFmtId="174" fontId="16" fillId="0" borderId="0" applyFont="0" applyFill="0" applyBorder="0" applyAlignment="0" applyProtection="0"/>
    <xf numFmtId="172" fontId="16" fillId="0" borderId="0" applyFont="0" applyFill="0" applyBorder="0" applyAlignment="0" applyProtection="0"/>
    <xf numFmtId="0" fontId="57" fillId="3" borderId="0" applyNumberFormat="0" applyBorder="0" applyAlignment="0" applyProtection="0"/>
    <xf numFmtId="0" fontId="24" fillId="20" borderId="0" applyNumberFormat="0" applyBorder="0" applyAlignment="0"/>
    <xf numFmtId="0" fontId="30" fillId="0" borderId="0"/>
    <xf numFmtId="0" fontId="50" fillId="0" borderId="0"/>
    <xf numFmtId="0" fontId="15" fillId="0" borderId="0"/>
    <xf numFmtId="0" fontId="31" fillId="0" borderId="0"/>
    <xf numFmtId="0" fontId="21" fillId="0" borderId="0" applyFill="0" applyBorder="0" applyAlignment="0"/>
    <xf numFmtId="0" fontId="21" fillId="0" borderId="0" applyFill="0" applyBorder="0" applyAlignment="0"/>
    <xf numFmtId="0" fontId="16" fillId="0" borderId="0" applyFill="0" applyBorder="0" applyAlignment="0"/>
    <xf numFmtId="0" fontId="16" fillId="0" borderId="0" applyFill="0" applyBorder="0" applyAlignment="0"/>
    <xf numFmtId="0" fontId="16" fillId="0" borderId="0" applyFill="0" applyBorder="0" applyAlignment="0"/>
    <xf numFmtId="0" fontId="21" fillId="0" borderId="0" applyFill="0" applyBorder="0" applyAlignment="0"/>
    <xf numFmtId="0" fontId="16" fillId="0" borderId="0" applyFill="0" applyBorder="0" applyAlignment="0"/>
    <xf numFmtId="0" fontId="21" fillId="0" borderId="0" applyFill="0" applyBorder="0" applyAlignment="0"/>
    <xf numFmtId="0" fontId="58" fillId="21" borderId="1" applyNumberFormat="0" applyAlignment="0" applyProtection="0"/>
    <xf numFmtId="38" fontId="37" fillId="0" borderId="0" applyFill="0">
      <protection locked="0"/>
    </xf>
    <xf numFmtId="0" fontId="59" fillId="22" borderId="2" applyNumberFormat="0" applyAlignment="0" applyProtection="0"/>
    <xf numFmtId="43" fontId="11" fillId="0" borderId="0" applyFont="0" applyFill="0" applyBorder="0" applyAlignment="0" applyProtection="0"/>
    <xf numFmtId="0" fontId="20" fillId="0" borderId="0" applyFont="0" applyFill="0" applyBorder="0" applyAlignment="0" applyProtection="0"/>
    <xf numFmtId="43" fontId="72" fillId="0" borderId="0" applyFont="0" applyFill="0" applyBorder="0" applyAlignment="0" applyProtection="0"/>
    <xf numFmtId="43" fontId="11" fillId="0" borderId="0" applyFont="0" applyFill="0" applyBorder="0" applyAlignment="0" applyProtection="0"/>
    <xf numFmtId="43" fontId="12"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0" fontId="14" fillId="0" borderId="3" applyProtection="0">
      <alignment horizontal="center" vertical="top" wrapText="1"/>
      <protection hidden="1"/>
    </xf>
    <xf numFmtId="0" fontId="32" fillId="0" borderId="0" applyNumberFormat="0" applyAlignment="0">
      <alignment horizontal="left"/>
    </xf>
    <xf numFmtId="44" fontId="11" fillId="0" borderId="0" applyFont="0" applyFill="0" applyBorder="0" applyAlignment="0" applyProtection="0"/>
    <xf numFmtId="0" fontId="20" fillId="0" borderId="0" applyFont="0" applyFill="0" applyBorder="0" applyAlignment="0" applyProtection="0"/>
    <xf numFmtId="44" fontId="72"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170" fontId="16" fillId="23" borderId="0" applyFont="0" applyBorder="0"/>
    <xf numFmtId="0" fontId="41" fillId="0" borderId="0" applyNumberFormat="0" applyAlignment="0" applyProtection="0"/>
    <xf numFmtId="0" fontId="51" fillId="0" borderId="0" applyNumberFormat="0" applyAlignment="0">
      <alignment horizontal="left" wrapText="1"/>
    </xf>
    <xf numFmtId="14" fontId="21" fillId="0" borderId="0" applyFill="0" applyBorder="0" applyAlignment="0"/>
    <xf numFmtId="179" fontId="27" fillId="0" borderId="0" applyFont="0" applyFill="0" applyBorder="0" applyAlignment="0" applyProtection="0"/>
    <xf numFmtId="178" fontId="27" fillId="0" borderId="0" applyFont="0" applyFill="0" applyBorder="0" applyAlignment="0" applyProtection="0"/>
    <xf numFmtId="0" fontId="18" fillId="0" borderId="0" applyFill="0" applyBorder="0" applyAlignment="0"/>
    <xf numFmtId="0" fontId="18" fillId="0" borderId="0" applyFill="0" applyBorder="0" applyAlignment="0"/>
    <xf numFmtId="0" fontId="18" fillId="0" borderId="0" applyFill="0" applyBorder="0" applyAlignment="0"/>
    <xf numFmtId="0" fontId="20" fillId="0" borderId="0" applyFill="0" applyBorder="0" applyAlignment="0"/>
    <xf numFmtId="0" fontId="18" fillId="0" borderId="0" applyFill="0" applyBorder="0" applyAlignment="0"/>
    <xf numFmtId="0" fontId="42" fillId="0" borderId="0" applyNumberFormat="0" applyAlignment="0">
      <alignment horizontal="left"/>
    </xf>
    <xf numFmtId="0" fontId="12" fillId="0" borderId="3" applyProtection="0"/>
    <xf numFmtId="169" fontId="26" fillId="0" borderId="0" applyFont="0" applyFill="0" applyBorder="0" applyAlignment="0" applyProtection="0"/>
    <xf numFmtId="0" fontId="60" fillId="0" borderId="0" applyNumberFormat="0" applyFill="0" applyBorder="0" applyAlignment="0" applyProtection="0"/>
    <xf numFmtId="0" fontId="20" fillId="0" borderId="0" applyNumberFormat="0" applyFont="0" applyFill="0" applyBorder="0" applyAlignment="0"/>
    <xf numFmtId="182" fontId="20" fillId="0" borderId="0" applyFont="0" applyFill="0" applyBorder="0" applyAlignment="0" applyProtection="0"/>
    <xf numFmtId="183" fontId="20" fillId="0" borderId="0" applyFont="0" applyFill="0" applyBorder="0" applyAlignment="0" applyProtection="0"/>
    <xf numFmtId="9" fontId="36" fillId="0" borderId="0" applyFont="0" applyFill="0" applyBorder="0" applyAlignment="0" applyProtection="0"/>
    <xf numFmtId="0" fontId="52" fillId="24" borderId="4" applyFont="0" applyBorder="0"/>
    <xf numFmtId="0" fontId="61" fillId="4" borderId="0" applyNumberFormat="0" applyBorder="0" applyAlignment="0" applyProtection="0"/>
    <xf numFmtId="38" fontId="17" fillId="23" borderId="0" applyNumberFormat="0" applyBorder="0" applyAlignment="0" applyProtection="0"/>
    <xf numFmtId="0" fontId="22" fillId="0" borderId="5" applyNumberFormat="0" applyAlignment="0" applyProtection="0">
      <alignment horizontal="left" vertical="center"/>
    </xf>
    <xf numFmtId="0" fontId="22" fillId="0" borderId="6">
      <alignment horizontal="left" vertical="center"/>
    </xf>
    <xf numFmtId="0" fontId="62" fillId="0" borderId="7" applyNumberFormat="0" applyFill="0" applyAlignment="0" applyProtection="0"/>
    <xf numFmtId="0" fontId="63" fillId="0" borderId="8" applyNumberFormat="0" applyFill="0" applyAlignment="0" applyProtection="0"/>
    <xf numFmtId="0" fontId="64" fillId="0" borderId="9" applyNumberFormat="0" applyFill="0" applyAlignment="0" applyProtection="0"/>
    <xf numFmtId="0" fontId="64" fillId="0" borderId="0" applyNumberFormat="0" applyFill="0" applyBorder="0" applyAlignment="0" applyProtection="0"/>
    <xf numFmtId="0" fontId="40" fillId="0" borderId="10">
      <alignment horizontal="center"/>
    </xf>
    <xf numFmtId="0" fontId="40" fillId="0" borderId="0">
      <alignment horizontal="center"/>
    </xf>
    <xf numFmtId="0" fontId="65" fillId="7" borderId="1" applyNumberFormat="0" applyAlignment="0" applyProtection="0"/>
    <xf numFmtId="10" fontId="17" fillId="25" borderId="3" applyNumberFormat="0" applyBorder="0" applyAlignment="0" applyProtection="0"/>
    <xf numFmtId="0" fontId="43" fillId="0" borderId="0" applyFill="0" applyBorder="0" applyAlignment="0"/>
    <xf numFmtId="0" fontId="43" fillId="0" borderId="0" applyFill="0" applyBorder="0" applyAlignment="0"/>
    <xf numFmtId="0" fontId="43" fillId="0" borderId="0" applyFill="0" applyBorder="0" applyAlignment="0"/>
    <xf numFmtId="0" fontId="20" fillId="0" borderId="0" applyFill="0" applyBorder="0" applyAlignment="0"/>
    <xf numFmtId="0" fontId="43" fillId="0" borderId="0" applyFill="0" applyBorder="0" applyAlignment="0"/>
    <xf numFmtId="0" fontId="66" fillId="0" borderId="11" applyNumberFormat="0" applyFill="0" applyAlignment="0" applyProtection="0"/>
    <xf numFmtId="38" fontId="27" fillId="0" borderId="0" applyFont="0" applyFill="0" applyBorder="0" applyAlignment="0" applyProtection="0"/>
    <xf numFmtId="40" fontId="27" fillId="0" borderId="0" applyFont="0" applyFill="0" applyBorder="0" applyAlignment="0" applyProtection="0"/>
    <xf numFmtId="180" fontId="20" fillId="0" borderId="0">
      <alignment horizontal="right"/>
    </xf>
    <xf numFmtId="175" fontId="27" fillId="0" borderId="0" applyFont="0" applyFill="0" applyBorder="0" applyAlignment="0" applyProtection="0"/>
    <xf numFmtId="175" fontId="27" fillId="0" borderId="0" applyFont="0" applyFill="0" applyBorder="0" applyAlignment="0" applyProtection="0"/>
    <xf numFmtId="173" fontId="27" fillId="0" borderId="0" applyFont="0" applyFill="0" applyBorder="0" applyAlignment="0" applyProtection="0"/>
    <xf numFmtId="173" fontId="27" fillId="0" borderId="0" applyFont="0" applyFill="0" applyBorder="0" applyAlignment="0" applyProtection="0"/>
    <xf numFmtId="0" fontId="67" fillId="26" borderId="0" applyNumberFormat="0" applyBorder="0" applyAlignment="0" applyProtection="0"/>
    <xf numFmtId="37" fontId="33" fillId="0" borderId="0"/>
    <xf numFmtId="168" fontId="34" fillId="0" borderId="0"/>
    <xf numFmtId="0" fontId="16" fillId="0" borderId="0"/>
    <xf numFmtId="0" fontId="20" fillId="0" borderId="0"/>
    <xf numFmtId="0" fontId="12" fillId="0" borderId="0"/>
    <xf numFmtId="0" fontId="11" fillId="0" borderId="0"/>
    <xf numFmtId="3" fontId="73" fillId="0" borderId="0"/>
    <xf numFmtId="3" fontId="73" fillId="0" borderId="0"/>
    <xf numFmtId="3" fontId="73" fillId="0" borderId="0"/>
    <xf numFmtId="0" fontId="13" fillId="0" borderId="0"/>
    <xf numFmtId="0" fontId="55" fillId="27" borderId="12" applyNumberFormat="0" applyFont="0" applyAlignment="0" applyProtection="0"/>
    <xf numFmtId="38" fontId="44" fillId="0" borderId="13" applyFont="0" applyFill="0" applyBorder="0" applyAlignment="0">
      <alignment horizontal="center"/>
    </xf>
    <xf numFmtId="0" fontId="20" fillId="0" borderId="0" applyFont="0" applyFill="0" applyBorder="0" applyAlignment="0" applyProtection="0"/>
    <xf numFmtId="0" fontId="20" fillId="0" borderId="0" applyFont="0" applyFill="0" applyBorder="0" applyAlignment="0" applyProtection="0"/>
    <xf numFmtId="0" fontId="68" fillId="21" borderId="14" applyNumberFormat="0" applyAlignment="0" applyProtection="0"/>
    <xf numFmtId="14" fontId="25" fillId="0" borderId="0">
      <alignment horizontal="center" wrapText="1"/>
      <protection locked="0"/>
    </xf>
    <xf numFmtId="9" fontId="11" fillId="0" borderId="0" applyFont="0" applyFill="0" applyBorder="0" applyAlignment="0" applyProtection="0"/>
    <xf numFmtId="0" fontId="20" fillId="0" borderId="0" applyFont="0" applyFill="0" applyBorder="0" applyAlignment="0" applyProtection="0"/>
    <xf numFmtId="181" fontId="20" fillId="0" borderId="0" applyFont="0" applyFill="0" applyBorder="0" applyAlignment="0" applyProtection="0"/>
    <xf numFmtId="10" fontId="16" fillId="0" borderId="0" applyFont="0" applyFill="0" applyBorder="0" applyAlignment="0" applyProtection="0"/>
    <xf numFmtId="9" fontId="72" fillId="0" borderId="0" applyFont="0" applyFill="0" applyBorder="0" applyAlignment="0" applyProtection="0"/>
    <xf numFmtId="9" fontId="11" fillId="0" borderId="0" applyFont="0" applyFill="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20" fillId="0" borderId="0" applyFill="0" applyBorder="0" applyAlignment="0"/>
    <xf numFmtId="0" fontId="45" fillId="0" borderId="0" applyFill="0" applyBorder="0" applyAlignment="0"/>
    <xf numFmtId="176" fontId="20" fillId="0" borderId="0"/>
    <xf numFmtId="0" fontId="27" fillId="0" borderId="0" applyNumberFormat="0" applyFont="0" applyFill="0" applyBorder="0" applyAlignment="0" applyProtection="0">
      <alignment horizontal="left"/>
    </xf>
    <xf numFmtId="15" fontId="27" fillId="0" borderId="0" applyFont="0" applyFill="0" applyBorder="0" applyAlignment="0" applyProtection="0"/>
    <xf numFmtId="4" fontId="27" fillId="0" borderId="0" applyFont="0" applyFill="0" applyBorder="0" applyAlignment="0" applyProtection="0"/>
    <xf numFmtId="0" fontId="39" fillId="0" borderId="10">
      <alignment horizontal="center"/>
    </xf>
    <xf numFmtId="3" fontId="27" fillId="0" borderId="0" applyFont="0" applyFill="0" applyBorder="0" applyAlignment="0" applyProtection="0"/>
    <xf numFmtId="0" fontId="27" fillId="28" borderId="0" applyNumberFormat="0" applyFont="0" applyBorder="0" applyAlignment="0" applyProtection="0"/>
    <xf numFmtId="0" fontId="53" fillId="0" borderId="0" applyNumberFormat="0" applyFont="0" applyFill="0" applyBorder="0" applyAlignment="0"/>
    <xf numFmtId="0" fontId="54" fillId="0" borderId="0"/>
    <xf numFmtId="0" fontId="46" fillId="29" borderId="0" applyNumberFormat="0" applyFont="0" applyBorder="0" applyAlignment="0">
      <alignment horizontal="center"/>
    </xf>
    <xf numFmtId="165" fontId="20" fillId="0" borderId="0" applyNumberFormat="0" applyFill="0" applyBorder="0" applyAlignment="0" applyProtection="0">
      <alignment horizontal="left"/>
    </xf>
    <xf numFmtId="0" fontId="12"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2"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11" fillId="0" borderId="3" applyNumberFormat="0" applyAlignment="0"/>
    <xf numFmtId="0" fontId="47" fillId="30" borderId="15"/>
    <xf numFmtId="0" fontId="46" fillId="1" borderId="6" applyNumberFormat="0" applyFont="0" applyAlignment="0">
      <alignment horizontal="center"/>
    </xf>
    <xf numFmtId="0" fontId="38" fillId="0" borderId="0" applyNumberFormat="0" applyFill="0" applyBorder="0" applyAlignment="0">
      <alignment horizontal="center"/>
    </xf>
    <xf numFmtId="173" fontId="26" fillId="0" borderId="0">
      <alignment horizontal="center"/>
    </xf>
    <xf numFmtId="6" fontId="26" fillId="0" borderId="0" applyFont="0" applyFill="0" applyBorder="0" applyAlignment="0" applyProtection="0"/>
    <xf numFmtId="40" fontId="48" fillId="0" borderId="0" applyBorder="0">
      <alignment horizontal="right"/>
    </xf>
    <xf numFmtId="0" fontId="49" fillId="0" borderId="0"/>
    <xf numFmtId="49" fontId="21" fillId="0" borderId="0" applyFill="0" applyBorder="0" applyAlignment="0"/>
    <xf numFmtId="0" fontId="20" fillId="0" borderId="0" applyFill="0" applyBorder="0" applyAlignment="0"/>
    <xf numFmtId="0" fontId="20" fillId="0" borderId="0" applyFill="0" applyBorder="0" applyAlignment="0"/>
    <xf numFmtId="177" fontId="20" fillId="0" borderId="0">
      <alignment horizontal="right"/>
    </xf>
    <xf numFmtId="0" fontId="69" fillId="0" borderId="0" applyNumberFormat="0" applyFill="0" applyBorder="0" applyAlignment="0" applyProtection="0"/>
    <xf numFmtId="0" fontId="70" fillId="0" borderId="16" applyNumberFormat="0" applyFill="0" applyAlignment="0" applyProtection="0"/>
    <xf numFmtId="9" fontId="18" fillId="0" borderId="0" applyFill="0" applyBorder="0" applyAlignment="0" applyProtection="0"/>
    <xf numFmtId="0" fontId="71" fillId="0" borderId="0" applyNumberFormat="0" applyFill="0" applyBorder="0" applyAlignment="0" applyProtection="0"/>
    <xf numFmtId="1" fontId="12" fillId="31" borderId="17" applyNumberFormat="0" applyBorder="0" applyAlignment="0"/>
    <xf numFmtId="0" fontId="20" fillId="0" borderId="0"/>
    <xf numFmtId="41" fontId="20" fillId="0" borderId="0" applyFont="0" applyFill="0" applyBorder="0" applyAlignment="0" applyProtection="0"/>
    <xf numFmtId="0" fontId="20" fillId="0" borderId="0"/>
    <xf numFmtId="164" fontId="78" fillId="0" borderId="0"/>
    <xf numFmtId="0" fontId="10" fillId="0" borderId="0"/>
    <xf numFmtId="0" fontId="9" fillId="0" borderId="0"/>
    <xf numFmtId="0" fontId="8" fillId="0" borderId="0"/>
    <xf numFmtId="0" fontId="7" fillId="0" borderId="0"/>
    <xf numFmtId="44" fontId="11" fillId="0" borderId="0" applyFont="0" applyFill="0" applyBorder="0" applyAlignment="0" applyProtection="0"/>
    <xf numFmtId="0" fontId="6" fillId="0" borderId="0"/>
    <xf numFmtId="0" fontId="6"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4" fillId="0" borderId="0"/>
    <xf numFmtId="0" fontId="3" fillId="0" borderId="0"/>
    <xf numFmtId="0" fontId="11" fillId="0" borderId="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6" fontId="26" fillId="0" borderId="0" applyFont="0" applyFill="0" applyBorder="0" applyAlignment="0" applyProtection="0"/>
    <xf numFmtId="0" fontId="16" fillId="0" borderId="0" applyFont="0" applyFill="0" applyBorder="0" applyAlignment="0" applyProtection="0"/>
    <xf numFmtId="43" fontId="11" fillId="0" borderId="0" applyFont="0" applyFill="0" applyBorder="0" applyAlignment="0" applyProtection="0"/>
    <xf numFmtId="0" fontId="16" fillId="0" borderId="0" applyFont="0" applyFill="0" applyBorder="0" applyAlignment="0" applyProtection="0"/>
    <xf numFmtId="179" fontId="26" fillId="0" borderId="0" applyFont="0" applyFill="0" applyBorder="0" applyAlignment="0" applyProtection="0"/>
    <xf numFmtId="178" fontId="26" fillId="0" borderId="0" applyFont="0" applyFill="0" applyBorder="0" applyAlignment="0" applyProtection="0"/>
    <xf numFmtId="0" fontId="16" fillId="0" borderId="0" applyFill="0" applyBorder="0" applyAlignment="0"/>
    <xf numFmtId="0" fontId="11" fillId="0" borderId="3" applyProtection="0"/>
    <xf numFmtId="0" fontId="16" fillId="0" borderId="0" applyNumberFormat="0" applyFont="0" applyFill="0" applyBorder="0" applyAlignment="0"/>
    <xf numFmtId="0" fontId="16" fillId="0" borderId="0" applyFill="0" applyBorder="0" applyAlignment="0"/>
    <xf numFmtId="180" fontId="16" fillId="0" borderId="0">
      <alignment horizontal="right"/>
    </xf>
    <xf numFmtId="175" fontId="26" fillId="0" borderId="0" applyFont="0" applyFill="0" applyBorder="0" applyAlignment="0" applyProtection="0"/>
    <xf numFmtId="175" fontId="26" fillId="0" borderId="0" applyFont="0" applyFill="0" applyBorder="0" applyAlignment="0" applyProtection="0"/>
    <xf numFmtId="173" fontId="26" fillId="0" borderId="0" applyFont="0" applyFill="0" applyBorder="0" applyAlignment="0" applyProtection="0"/>
    <xf numFmtId="173" fontId="26" fillId="0" borderId="0" applyFont="0" applyFill="0" applyBorder="0" applyAlignment="0" applyProtection="0"/>
    <xf numFmtId="0" fontId="16" fillId="0" borderId="0"/>
    <xf numFmtId="0" fontId="16" fillId="0" borderId="0" applyFont="0" applyFill="0" applyBorder="0" applyAlignment="0" applyProtection="0"/>
    <xf numFmtId="181" fontId="16" fillId="0" borderId="0" applyFont="0" applyFill="0" applyBorder="0" applyAlignment="0" applyProtection="0"/>
    <xf numFmtId="9" fontId="11" fillId="0" borderId="0" applyFont="0" applyFill="0" applyBorder="0" applyAlignment="0" applyProtection="0"/>
    <xf numFmtId="0" fontId="16" fillId="0" borderId="0" applyFill="0" applyBorder="0" applyAlignment="0"/>
    <xf numFmtId="176" fontId="16" fillId="0" borderId="0"/>
    <xf numFmtId="0" fontId="26" fillId="0" borderId="0" applyNumberFormat="0" applyFont="0" applyFill="0" applyBorder="0" applyAlignment="0" applyProtection="0">
      <alignment horizontal="left"/>
    </xf>
    <xf numFmtId="15" fontId="26" fillId="0" borderId="0" applyFont="0" applyFill="0" applyBorder="0" applyAlignment="0" applyProtection="0"/>
    <xf numFmtId="4" fontId="26" fillId="0" borderId="0" applyFont="0" applyFill="0" applyBorder="0" applyAlignment="0" applyProtection="0"/>
    <xf numFmtId="3" fontId="26" fillId="0" borderId="0" applyFont="0" applyFill="0" applyBorder="0" applyAlignment="0" applyProtection="0"/>
    <xf numFmtId="0" fontId="26" fillId="28" borderId="0" applyNumberFormat="0" applyFont="0" applyBorder="0" applyAlignment="0" applyProtection="0"/>
    <xf numFmtId="165" fontId="16" fillId="0" borderId="0" applyNumberFormat="0" applyFill="0" applyBorder="0" applyAlignment="0" applyProtection="0">
      <alignment horizontal="left"/>
    </xf>
    <xf numFmtId="0" fontId="11" fillId="0" borderId="3" applyNumberFormat="0" applyAlignment="0"/>
    <xf numFmtId="0" fontId="11" fillId="0" borderId="3" applyNumberFormat="0" applyAlignment="0"/>
    <xf numFmtId="0" fontId="16" fillId="0" borderId="0" applyFill="0" applyBorder="0" applyAlignment="0"/>
    <xf numFmtId="0" fontId="16" fillId="0" borderId="0" applyFill="0" applyBorder="0" applyAlignment="0"/>
    <xf numFmtId="177" fontId="16" fillId="0" borderId="0">
      <alignment horizontal="right"/>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 fillId="0" borderId="0"/>
  </cellStyleXfs>
  <cellXfs count="352">
    <xf numFmtId="0" fontId="0" fillId="0" borderId="0" xfId="0"/>
    <xf numFmtId="0" fontId="16" fillId="0" borderId="0" xfId="0" applyFont="1"/>
    <xf numFmtId="0" fontId="0" fillId="0" borderId="0" xfId="0" applyAlignment="1">
      <alignment horizontal="left"/>
    </xf>
    <xf numFmtId="0" fontId="6" fillId="0" borderId="0" xfId="258"/>
    <xf numFmtId="0" fontId="6" fillId="0" borderId="0" xfId="258" applyAlignment="1">
      <alignment horizontal="left"/>
    </xf>
    <xf numFmtId="0" fontId="6" fillId="0" borderId="0" xfId="258" applyAlignment="1">
      <alignment horizontal="right"/>
    </xf>
    <xf numFmtId="0" fontId="6" fillId="0" borderId="0" xfId="259"/>
    <xf numFmtId="0" fontId="6" fillId="0" borderId="0" xfId="259" applyAlignment="1">
      <alignment horizontal="left"/>
    </xf>
    <xf numFmtId="0" fontId="16" fillId="0" borderId="0" xfId="0" applyFont="1" applyAlignment="1">
      <alignment horizontal="center"/>
    </xf>
    <xf numFmtId="0" fontId="84" fillId="0" borderId="0" xfId="259" applyFont="1" applyAlignment="1">
      <alignment horizontal="left"/>
    </xf>
    <xf numFmtId="0" fontId="53" fillId="0" borderId="0" xfId="0" applyFont="1"/>
    <xf numFmtId="0" fontId="0" fillId="32" borderId="0" xfId="0" applyFill="1"/>
    <xf numFmtId="0" fontId="16" fillId="0" borderId="0" xfId="183" applyFont="1" applyProtection="1">
      <protection locked="0"/>
    </xf>
    <xf numFmtId="0" fontId="16" fillId="33" borderId="0" xfId="183" applyFont="1" applyFill="1"/>
    <xf numFmtId="0" fontId="16" fillId="0" borderId="0" xfId="183" applyFont="1"/>
    <xf numFmtId="0" fontId="86" fillId="33" borderId="0" xfId="183" applyFont="1" applyFill="1" applyAlignment="1">
      <alignment vertical="center"/>
    </xf>
    <xf numFmtId="0" fontId="86" fillId="33" borderId="0" xfId="183" applyFont="1" applyFill="1" applyAlignment="1">
      <alignment horizontal="center"/>
    </xf>
    <xf numFmtId="0" fontId="16" fillId="39" borderId="0" xfId="183" applyFont="1" applyFill="1" applyProtection="1">
      <protection locked="0"/>
    </xf>
    <xf numFmtId="0" fontId="87" fillId="33" borderId="0" xfId="183" applyFont="1" applyFill="1" applyAlignment="1">
      <alignment vertical="center"/>
    </xf>
    <xf numFmtId="0" fontId="19" fillId="33" borderId="0" xfId="183" applyFont="1" applyFill="1"/>
    <xf numFmtId="0" fontId="19" fillId="0" borderId="0" xfId="183" applyFont="1" applyProtection="1">
      <protection locked="0"/>
    </xf>
    <xf numFmtId="0" fontId="23" fillId="33" borderId="0" xfId="183" applyFont="1" applyFill="1" applyAlignment="1">
      <alignment vertical="center"/>
    </xf>
    <xf numFmtId="0" fontId="76" fillId="33" borderId="0" xfId="183" applyFont="1" applyFill="1"/>
    <xf numFmtId="0" fontId="76" fillId="0" borderId="0" xfId="183" applyFont="1" applyProtection="1">
      <protection locked="0"/>
    </xf>
    <xf numFmtId="0" fontId="19" fillId="33" borderId="0" xfId="183" applyFont="1" applyFill="1" applyAlignment="1">
      <alignment horizontal="center"/>
    </xf>
    <xf numFmtId="44" fontId="16" fillId="33" borderId="0" xfId="124" applyFont="1" applyFill="1" applyBorder="1" applyProtection="1"/>
    <xf numFmtId="44" fontId="19" fillId="33" borderId="0" xfId="124" applyFont="1" applyFill="1" applyBorder="1" applyProtection="1"/>
    <xf numFmtId="0" fontId="87" fillId="33" borderId="0" xfId="183" applyFont="1" applyFill="1" applyAlignment="1">
      <alignment horizontal="left"/>
    </xf>
    <xf numFmtId="0" fontId="82" fillId="0" borderId="0" xfId="264" applyFont="1"/>
    <xf numFmtId="0" fontId="3" fillId="0" borderId="0" xfId="264"/>
    <xf numFmtId="0" fontId="82" fillId="37" borderId="0" xfId="264" applyFont="1" applyFill="1"/>
    <xf numFmtId="186" fontId="3" fillId="0" borderId="0" xfId="264" applyNumberFormat="1"/>
    <xf numFmtId="0" fontId="3" fillId="0" borderId="0" xfId="264" applyAlignment="1">
      <alignment horizontal="left"/>
    </xf>
    <xf numFmtId="0" fontId="83" fillId="0" borderId="0" xfId="264" applyFont="1"/>
    <xf numFmtId="0" fontId="3" fillId="37" borderId="0" xfId="264" applyFill="1"/>
    <xf numFmtId="0" fontId="3" fillId="0" borderId="0" xfId="264" applyAlignment="1">
      <alignment horizontal="right"/>
    </xf>
    <xf numFmtId="0" fontId="90" fillId="0" borderId="0" xfId="0" applyFont="1" applyAlignment="1">
      <alignment horizontal="left"/>
    </xf>
    <xf numFmtId="188" fontId="6" fillId="0" borderId="0" xfId="258" applyNumberFormat="1" applyAlignment="1">
      <alignment horizontal="left"/>
    </xf>
    <xf numFmtId="186" fontId="89" fillId="0" borderId="0" xfId="258" applyNumberFormat="1" applyFont="1" applyAlignment="1">
      <alignment horizontal="right"/>
    </xf>
    <xf numFmtId="0" fontId="89" fillId="0" borderId="0" xfId="258" applyFont="1" applyAlignment="1">
      <alignment horizontal="left"/>
    </xf>
    <xf numFmtId="0" fontId="91" fillId="0" borderId="0" xfId="0" applyFont="1"/>
    <xf numFmtId="0" fontId="91" fillId="0" borderId="0" xfId="0" applyFont="1" applyAlignment="1">
      <alignment horizontal="left"/>
    </xf>
    <xf numFmtId="0" fontId="92" fillId="0" borderId="0" xfId="258" applyFont="1" applyAlignment="1">
      <alignment horizontal="left"/>
    </xf>
    <xf numFmtId="0" fontId="92" fillId="0" borderId="0" xfId="258" applyFont="1" applyAlignment="1">
      <alignment horizontal="right"/>
    </xf>
    <xf numFmtId="0" fontId="92" fillId="0" borderId="0" xfId="258" applyFont="1"/>
    <xf numFmtId="0" fontId="23" fillId="33" borderId="28" xfId="187" applyFont="1" applyFill="1" applyBorder="1" applyAlignment="1">
      <alignment vertical="center"/>
    </xf>
    <xf numFmtId="0" fontId="23" fillId="33" borderId="19" xfId="187" applyFont="1" applyFill="1" applyBorder="1" applyAlignment="1">
      <alignment vertical="center"/>
    </xf>
    <xf numFmtId="0" fontId="23" fillId="33" borderId="0" xfId="187" applyFont="1" applyFill="1" applyAlignment="1">
      <alignment vertical="center"/>
    </xf>
    <xf numFmtId="49" fontId="78" fillId="33" borderId="20" xfId="252" applyNumberFormat="1" applyFill="1" applyBorder="1" applyAlignment="1">
      <alignment horizontal="center" vertical="center"/>
    </xf>
    <xf numFmtId="0" fontId="23" fillId="33" borderId="19" xfId="187" applyFont="1" applyFill="1" applyBorder="1" applyAlignment="1" applyProtection="1">
      <alignment vertical="center"/>
      <protection locked="0"/>
    </xf>
    <xf numFmtId="164" fontId="79" fillId="33" borderId="19" xfId="252" applyFont="1" applyFill="1" applyBorder="1"/>
    <xf numFmtId="14" fontId="77" fillId="32" borderId="3" xfId="0" applyNumberFormat="1" applyFont="1" applyFill="1" applyBorder="1" applyAlignment="1">
      <alignment horizontal="center" vertical="center"/>
    </xf>
    <xf numFmtId="0" fontId="93" fillId="32" borderId="0" xfId="0" applyFont="1" applyFill="1"/>
    <xf numFmtId="9" fontId="77" fillId="32" borderId="3" xfId="194" applyFont="1" applyFill="1" applyBorder="1" applyAlignment="1">
      <alignment horizontal="center" vertical="center"/>
    </xf>
    <xf numFmtId="0" fontId="23" fillId="32" borderId="18" xfId="0" applyFont="1" applyFill="1" applyBorder="1"/>
    <xf numFmtId="0" fontId="76" fillId="33" borderId="0" xfId="183" applyFont="1" applyFill="1" applyAlignment="1">
      <alignment horizontal="center"/>
    </xf>
    <xf numFmtId="0" fontId="23" fillId="32" borderId="18" xfId="0" applyFont="1" applyFill="1" applyBorder="1" applyAlignment="1">
      <alignment horizontal="center"/>
    </xf>
    <xf numFmtId="0" fontId="22" fillId="38" borderId="0" xfId="0" applyFont="1" applyFill="1" applyAlignment="1">
      <alignment horizontal="right"/>
    </xf>
    <xf numFmtId="0" fontId="23" fillId="38" borderId="23" xfId="0" applyFont="1" applyFill="1" applyBorder="1"/>
    <xf numFmtId="0" fontId="22" fillId="38" borderId="24" xfId="0" applyFont="1" applyFill="1" applyBorder="1" applyAlignment="1">
      <alignment horizontal="right"/>
    </xf>
    <xf numFmtId="0" fontId="23" fillId="38" borderId="21" xfId="0" applyFont="1" applyFill="1" applyBorder="1"/>
    <xf numFmtId="42" fontId="23" fillId="38" borderId="3" xfId="124" applyNumberFormat="1" applyFont="1" applyFill="1" applyBorder="1"/>
    <xf numFmtId="44" fontId="22" fillId="38" borderId="3" xfId="124" applyFont="1" applyFill="1" applyBorder="1" applyAlignment="1" applyProtection="1">
      <alignment horizontal="center" vertical="center"/>
    </xf>
    <xf numFmtId="49" fontId="22" fillId="38" borderId="33" xfId="187" applyNumberFormat="1" applyFont="1" applyFill="1" applyBorder="1" applyAlignment="1">
      <alignment horizontal="right" vertical="center"/>
    </xf>
    <xf numFmtId="0" fontId="93" fillId="0" borderId="0" xfId="0" applyFont="1"/>
    <xf numFmtId="0" fontId="23" fillId="38" borderId="3" xfId="0" applyFont="1" applyFill="1" applyBorder="1"/>
    <xf numFmtId="42" fontId="23" fillId="40" borderId="3" xfId="124" applyNumberFormat="1" applyFont="1" applyFill="1" applyBorder="1"/>
    <xf numFmtId="0" fontId="0" fillId="38" borderId="3" xfId="0" applyFill="1" applyBorder="1"/>
    <xf numFmtId="0" fontId="93" fillId="38" borderId="25" xfId="0" applyFont="1" applyFill="1" applyBorder="1"/>
    <xf numFmtId="0" fontId="23" fillId="38" borderId="37" xfId="0" applyFont="1" applyFill="1" applyBorder="1"/>
    <xf numFmtId="0" fontId="75" fillId="41" borderId="37" xfId="0" applyFont="1" applyFill="1" applyBorder="1" applyAlignment="1">
      <alignment horizontal="center"/>
    </xf>
    <xf numFmtId="42" fontId="75" fillId="41" borderId="37" xfId="124" applyNumberFormat="1" applyFont="1" applyFill="1" applyBorder="1" applyAlignment="1">
      <alignment horizontal="center"/>
    </xf>
    <xf numFmtId="1" fontId="23" fillId="32" borderId="0" xfId="0" applyNumberFormat="1" applyFont="1" applyFill="1" applyAlignment="1">
      <alignment horizontal="center"/>
    </xf>
    <xf numFmtId="187" fontId="23" fillId="32" borderId="0" xfId="124" applyNumberFormat="1" applyFont="1" applyFill="1" applyBorder="1" applyAlignment="1">
      <alignment horizontal="center"/>
    </xf>
    <xf numFmtId="0" fontId="93" fillId="32" borderId="27" xfId="0" applyFont="1" applyFill="1" applyBorder="1"/>
    <xf numFmtId="44" fontId="75" fillId="41" borderId="37" xfId="124" applyFont="1" applyFill="1" applyBorder="1" applyAlignment="1">
      <alignment horizontal="center"/>
    </xf>
    <xf numFmtId="44" fontId="23" fillId="0" borderId="3" xfId="124" applyFont="1" applyFill="1" applyBorder="1" applyAlignment="1">
      <alignment horizontal="center"/>
    </xf>
    <xf numFmtId="0" fontId="75" fillId="41" borderId="37" xfId="124" applyNumberFormat="1" applyFont="1" applyFill="1" applyBorder="1" applyAlignment="1">
      <alignment horizontal="center"/>
    </xf>
    <xf numFmtId="0" fontId="93" fillId="38" borderId="24" xfId="124" applyNumberFormat="1" applyFont="1" applyFill="1" applyBorder="1" applyAlignment="1">
      <alignment horizontal="center"/>
    </xf>
    <xf numFmtId="0" fontId="93" fillId="38" borderId="0" xfId="124" applyNumberFormat="1" applyFont="1" applyFill="1" applyBorder="1" applyAlignment="1">
      <alignment horizontal="center"/>
    </xf>
    <xf numFmtId="0" fontId="93" fillId="38" borderId="18" xfId="124" applyNumberFormat="1" applyFont="1" applyFill="1" applyBorder="1" applyAlignment="1">
      <alignment horizontal="center"/>
    </xf>
    <xf numFmtId="0" fontId="93" fillId="32" borderId="18" xfId="124" applyNumberFormat="1" applyFont="1" applyFill="1" applyBorder="1" applyAlignment="1">
      <alignment horizontal="center"/>
    </xf>
    <xf numFmtId="0" fontId="23" fillId="0" borderId="3" xfId="124" applyNumberFormat="1" applyFont="1" applyFill="1" applyBorder="1" applyAlignment="1">
      <alignment horizontal="center"/>
    </xf>
    <xf numFmtId="1" fontId="23" fillId="32" borderId="0" xfId="0" applyNumberFormat="1" applyFont="1" applyFill="1" applyAlignment="1">
      <alignment horizontal="left"/>
    </xf>
    <xf numFmtId="0" fontId="23" fillId="33" borderId="0" xfId="187" applyFont="1" applyFill="1" applyAlignment="1">
      <alignment horizontal="center" vertical="center"/>
    </xf>
    <xf numFmtId="44" fontId="23" fillId="33" borderId="0" xfId="124" applyFont="1" applyFill="1" applyBorder="1" applyAlignment="1" applyProtection="1">
      <alignment horizontal="center" vertical="center"/>
    </xf>
    <xf numFmtId="0" fontId="95" fillId="32" borderId="0" xfId="0" applyFont="1" applyFill="1"/>
    <xf numFmtId="0" fontId="19" fillId="38" borderId="24" xfId="0" applyFont="1" applyFill="1" applyBorder="1" applyAlignment="1">
      <alignment horizontal="right"/>
    </xf>
    <xf numFmtId="0" fontId="16" fillId="38" borderId="24" xfId="0" applyFont="1" applyFill="1" applyBorder="1"/>
    <xf numFmtId="0" fontId="19" fillId="38" borderId="0" xfId="0" applyFont="1" applyFill="1" applyAlignment="1">
      <alignment horizontal="right"/>
    </xf>
    <xf numFmtId="0" fontId="16" fillId="38" borderId="0" xfId="0" applyFont="1" applyFill="1"/>
    <xf numFmtId="0" fontId="19" fillId="38" borderId="18" xfId="0" applyFont="1" applyFill="1" applyBorder="1" applyAlignment="1">
      <alignment horizontal="right"/>
    </xf>
    <xf numFmtId="0" fontId="16" fillId="40" borderId="3" xfId="0" applyFont="1" applyFill="1" applyBorder="1"/>
    <xf numFmtId="0" fontId="16" fillId="38" borderId="3" xfId="0" applyFont="1" applyFill="1" applyBorder="1" applyAlignment="1">
      <alignment horizontal="center"/>
    </xf>
    <xf numFmtId="0" fontId="16" fillId="0" borderId="3" xfId="0" applyFont="1" applyBorder="1"/>
    <xf numFmtId="0" fontId="16" fillId="0" borderId="3" xfId="0" applyFont="1" applyBorder="1" applyAlignment="1">
      <alignment horizontal="center"/>
    </xf>
    <xf numFmtId="0" fontId="16" fillId="40" borderId="3" xfId="0" applyFont="1" applyFill="1" applyBorder="1" applyAlignment="1">
      <alignment horizontal="center"/>
    </xf>
    <xf numFmtId="42" fontId="16" fillId="38" borderId="3" xfId="124" applyNumberFormat="1" applyFont="1" applyFill="1" applyBorder="1"/>
    <xf numFmtId="49" fontId="17" fillId="33" borderId="0" xfId="187" applyNumberFormat="1" applyFont="1" applyFill="1" applyAlignment="1">
      <alignment horizontal="right" vertical="center"/>
    </xf>
    <xf numFmtId="9" fontId="23" fillId="32" borderId="3" xfId="194" applyFont="1" applyFill="1" applyBorder="1" applyAlignment="1" applyProtection="1">
      <alignment horizontal="right" vertical="center"/>
    </xf>
    <xf numFmtId="0" fontId="16" fillId="34" borderId="23" xfId="0" applyFont="1" applyFill="1" applyBorder="1" applyAlignment="1">
      <alignment horizontal="right"/>
    </xf>
    <xf numFmtId="0" fontId="16" fillId="34" borderId="25" xfId="0" applyFont="1" applyFill="1" applyBorder="1"/>
    <xf numFmtId="0" fontId="77" fillId="34" borderId="21" xfId="0" applyFont="1" applyFill="1" applyBorder="1" applyAlignment="1">
      <alignment horizontal="right" vertical="top"/>
    </xf>
    <xf numFmtId="0" fontId="76" fillId="34" borderId="21" xfId="0" applyFont="1" applyFill="1" applyBorder="1" applyAlignment="1">
      <alignment horizontal="right" vertical="top"/>
    </xf>
    <xf numFmtId="0" fontId="77" fillId="34" borderId="22" xfId="0" applyFont="1" applyFill="1" applyBorder="1" applyAlignment="1">
      <alignment vertical="center"/>
    </xf>
    <xf numFmtId="0" fontId="76" fillId="34" borderId="21" xfId="0" applyFont="1" applyFill="1" applyBorder="1" applyAlignment="1">
      <alignment horizontal="right"/>
    </xf>
    <xf numFmtId="14" fontId="77" fillId="34" borderId="22" xfId="0" applyNumberFormat="1" applyFont="1" applyFill="1" applyBorder="1" applyAlignment="1">
      <alignment vertical="center"/>
    </xf>
    <xf numFmtId="14" fontId="77" fillId="34" borderId="22" xfId="0" applyNumberFormat="1" applyFont="1" applyFill="1" applyBorder="1" applyAlignment="1">
      <alignment horizontal="center" vertical="center"/>
    </xf>
    <xf numFmtId="0" fontId="77" fillId="34" borderId="21" xfId="0" applyFont="1" applyFill="1" applyBorder="1" applyAlignment="1">
      <alignment horizontal="right"/>
    </xf>
    <xf numFmtId="0" fontId="76" fillId="34" borderId="21" xfId="0" applyFont="1" applyFill="1" applyBorder="1" applyAlignment="1">
      <alignment horizontal="right" vertical="center"/>
    </xf>
    <xf numFmtId="0" fontId="77" fillId="34" borderId="26" xfId="0" applyFont="1" applyFill="1" applyBorder="1" applyAlignment="1">
      <alignment horizontal="right" vertical="center"/>
    </xf>
    <xf numFmtId="189" fontId="77" fillId="38" borderId="3" xfId="0" applyNumberFormat="1" applyFont="1" applyFill="1" applyBorder="1" applyAlignment="1">
      <alignment horizontal="center" vertical="center"/>
    </xf>
    <xf numFmtId="190" fontId="77" fillId="38" borderId="3" xfId="0" applyNumberFormat="1" applyFont="1" applyFill="1" applyBorder="1" applyAlignment="1">
      <alignment horizontal="center" vertical="center"/>
    </xf>
    <xf numFmtId="191" fontId="77" fillId="38" borderId="3" xfId="0" applyNumberFormat="1" applyFont="1" applyFill="1" applyBorder="1" applyAlignment="1">
      <alignment horizontal="center" vertical="center"/>
    </xf>
    <xf numFmtId="0" fontId="77" fillId="34" borderId="22" xfId="0" applyFont="1" applyFill="1" applyBorder="1" applyAlignment="1">
      <alignment horizontal="center" vertical="center"/>
    </xf>
    <xf numFmtId="0" fontId="76" fillId="34" borderId="22" xfId="0" applyFont="1" applyFill="1" applyBorder="1" applyAlignment="1">
      <alignment horizontal="center" vertical="center"/>
    </xf>
    <xf numFmtId="0" fontId="0" fillId="33" borderId="29" xfId="0" applyFill="1" applyBorder="1"/>
    <xf numFmtId="0" fontId="0" fillId="33" borderId="30" xfId="0" applyFill="1" applyBorder="1"/>
    <xf numFmtId="0" fontId="0" fillId="33" borderId="20" xfId="0" applyFill="1" applyBorder="1"/>
    <xf numFmtId="0" fontId="0" fillId="33" borderId="0" xfId="0" applyFill="1"/>
    <xf numFmtId="0" fontId="74" fillId="33" borderId="20" xfId="187" applyFont="1" applyFill="1" applyBorder="1" applyAlignment="1">
      <alignment horizontal="center" vertical="center"/>
    </xf>
    <xf numFmtId="0" fontId="0" fillId="33" borderId="19" xfId="0" applyFill="1" applyBorder="1"/>
    <xf numFmtId="0" fontId="96" fillId="33" borderId="19" xfId="0" applyFont="1" applyFill="1" applyBorder="1"/>
    <xf numFmtId="0" fontId="96" fillId="33" borderId="0" xfId="0" applyFont="1" applyFill="1"/>
    <xf numFmtId="0" fontId="96" fillId="33" borderId="20" xfId="0" applyFont="1" applyFill="1" applyBorder="1"/>
    <xf numFmtId="0" fontId="13" fillId="33" borderId="0" xfId="0" applyFont="1" applyFill="1"/>
    <xf numFmtId="0" fontId="0" fillId="33" borderId="31" xfId="0" applyFill="1" applyBorder="1"/>
    <xf numFmtId="0" fontId="0" fillId="33" borderId="10" xfId="0" applyFill="1" applyBorder="1"/>
    <xf numFmtId="0" fontId="0" fillId="33" borderId="32" xfId="0" applyFill="1" applyBorder="1"/>
    <xf numFmtId="0" fontId="22" fillId="38" borderId="36" xfId="187" applyFont="1" applyFill="1" applyBorder="1" applyAlignment="1">
      <alignment horizontal="left" vertical="center"/>
    </xf>
    <xf numFmtId="0" fontId="22" fillId="38" borderId="35" xfId="187" applyFont="1" applyFill="1" applyBorder="1" applyAlignment="1">
      <alignment horizontal="left" vertical="center"/>
    </xf>
    <xf numFmtId="0" fontId="22" fillId="38" borderId="37" xfId="187" applyFont="1" applyFill="1" applyBorder="1" applyAlignment="1">
      <alignment horizontal="left" vertical="center"/>
    </xf>
    <xf numFmtId="0" fontId="17" fillId="33" borderId="0" xfId="187" applyFont="1" applyFill="1" applyAlignment="1">
      <alignment horizontal="right" vertical="center"/>
    </xf>
    <xf numFmtId="10" fontId="23" fillId="38" borderId="3" xfId="194" applyNumberFormat="1" applyFont="1" applyFill="1" applyBorder="1" applyAlignment="1" applyProtection="1">
      <alignment horizontal="right" vertical="center"/>
    </xf>
    <xf numFmtId="0" fontId="23" fillId="38" borderId="18" xfId="0" applyFont="1" applyFill="1" applyBorder="1" applyAlignment="1">
      <alignment horizontal="right"/>
    </xf>
    <xf numFmtId="42" fontId="23" fillId="38" borderId="27" xfId="0" applyNumberFormat="1" applyFont="1" applyFill="1" applyBorder="1"/>
    <xf numFmtId="0" fontId="16" fillId="32" borderId="0" xfId="0" applyFont="1" applyFill="1"/>
    <xf numFmtId="0" fontId="16" fillId="32" borderId="0" xfId="0" applyFont="1" applyFill="1" applyAlignment="1">
      <alignment horizontal="center"/>
    </xf>
    <xf numFmtId="0" fontId="16" fillId="38" borderId="25" xfId="0" applyFont="1" applyFill="1" applyBorder="1"/>
    <xf numFmtId="0" fontId="16" fillId="38" borderId="22" xfId="0" applyFont="1" applyFill="1" applyBorder="1"/>
    <xf numFmtId="0" fontId="19" fillId="38" borderId="23" xfId="0" applyFont="1" applyFill="1" applyBorder="1" applyAlignment="1">
      <alignment horizontal="right"/>
    </xf>
    <xf numFmtId="0" fontId="19" fillId="38" borderId="21" xfId="0" applyFont="1" applyFill="1" applyBorder="1" applyAlignment="1">
      <alignment horizontal="right"/>
    </xf>
    <xf numFmtId="0" fontId="19" fillId="38" borderId="26" xfId="0" applyFont="1" applyFill="1" applyBorder="1" applyAlignment="1">
      <alignment horizontal="right"/>
    </xf>
    <xf numFmtId="0" fontId="94" fillId="41" borderId="37" xfId="0" applyFont="1" applyFill="1" applyBorder="1" applyAlignment="1">
      <alignment horizontal="center"/>
    </xf>
    <xf numFmtId="42" fontId="94" fillId="41" borderId="37" xfId="124" applyNumberFormat="1" applyFont="1" applyFill="1" applyBorder="1" applyAlignment="1">
      <alignment horizontal="center"/>
    </xf>
    <xf numFmtId="0" fontId="19" fillId="38" borderId="24" xfId="0" applyFont="1" applyFill="1" applyBorder="1" applyAlignment="1">
      <alignment horizontal="left"/>
    </xf>
    <xf numFmtId="0" fontId="16" fillId="38" borderId="18" xfId="0" applyFont="1" applyFill="1" applyBorder="1" applyAlignment="1">
      <alignment horizontal="left"/>
    </xf>
    <xf numFmtId="14" fontId="16" fillId="38" borderId="18" xfId="0" applyNumberFormat="1" applyFont="1" applyFill="1" applyBorder="1"/>
    <xf numFmtId="42" fontId="16" fillId="38" borderId="27" xfId="0" applyNumberFormat="1" applyFont="1" applyFill="1" applyBorder="1"/>
    <xf numFmtId="0" fontId="77" fillId="38" borderId="3" xfId="183" applyFont="1" applyFill="1" applyBorder="1" applyAlignment="1">
      <alignment horizontal="center" vertical="center"/>
    </xf>
    <xf numFmtId="0" fontId="77" fillId="38" borderId="34" xfId="183" applyFont="1" applyFill="1" applyBorder="1" applyAlignment="1">
      <alignment horizontal="center" vertical="center"/>
    </xf>
    <xf numFmtId="0" fontId="76" fillId="38" borderId="33" xfId="183" applyFont="1" applyFill="1" applyBorder="1" applyAlignment="1">
      <alignment vertical="center"/>
    </xf>
    <xf numFmtId="0" fontId="76" fillId="38" borderId="34" xfId="183" applyFont="1" applyFill="1" applyBorder="1" applyAlignment="1">
      <alignment vertical="center"/>
    </xf>
    <xf numFmtId="0" fontId="77" fillId="38" borderId="34" xfId="183" applyFont="1" applyFill="1" applyBorder="1" applyAlignment="1">
      <alignment horizontal="left" vertical="center"/>
    </xf>
    <xf numFmtId="0" fontId="23" fillId="32" borderId="3" xfId="187" applyFont="1" applyFill="1" applyBorder="1" applyAlignment="1">
      <alignment horizontal="right" vertical="center"/>
    </xf>
    <xf numFmtId="14" fontId="23" fillId="32" borderId="3" xfId="187" applyNumberFormat="1" applyFont="1" applyFill="1" applyBorder="1" applyAlignment="1">
      <alignment horizontal="right" vertical="center"/>
    </xf>
    <xf numFmtId="2" fontId="23" fillId="32" borderId="3" xfId="187" applyNumberFormat="1" applyFont="1" applyFill="1" applyBorder="1" applyAlignment="1">
      <alignment horizontal="right" vertical="center"/>
    </xf>
    <xf numFmtId="166" fontId="23" fillId="40" borderId="3" xfId="187" applyNumberFormat="1" applyFont="1" applyFill="1" applyBorder="1" applyAlignment="1">
      <alignment horizontal="right" vertical="center"/>
    </xf>
    <xf numFmtId="14" fontId="77" fillId="38" borderId="3" xfId="0" applyNumberFormat="1" applyFont="1" applyFill="1" applyBorder="1" applyAlignment="1">
      <alignment horizontal="center" vertical="center"/>
    </xf>
    <xf numFmtId="44" fontId="16" fillId="38" borderId="24" xfId="124" applyFont="1" applyFill="1" applyBorder="1" applyAlignment="1"/>
    <xf numFmtId="44" fontId="16" fillId="38" borderId="0" xfId="124" applyFont="1" applyFill="1" applyBorder="1" applyAlignment="1"/>
    <xf numFmtId="44" fontId="16" fillId="38" borderId="18" xfId="124" applyFont="1" applyFill="1" applyBorder="1" applyAlignment="1">
      <alignment horizontal="right"/>
    </xf>
    <xf numFmtId="44" fontId="16" fillId="32" borderId="0" xfId="124" applyFont="1" applyFill="1" applyBorder="1" applyAlignment="1">
      <alignment horizontal="center"/>
    </xf>
    <xf numFmtId="44" fontId="94" fillId="41" borderId="37" xfId="124" applyFont="1" applyFill="1" applyBorder="1" applyAlignment="1">
      <alignment horizontal="center"/>
    </xf>
    <xf numFmtId="44" fontId="16" fillId="0" borderId="3" xfId="124" applyFont="1" applyBorder="1"/>
    <xf numFmtId="0" fontId="16" fillId="33" borderId="23" xfId="183" applyFont="1" applyFill="1" applyBorder="1"/>
    <xf numFmtId="0" fontId="16" fillId="33" borderId="24" xfId="183" applyFont="1" applyFill="1" applyBorder="1"/>
    <xf numFmtId="0" fontId="16" fillId="33" borderId="25" xfId="183" applyFont="1" applyFill="1" applyBorder="1"/>
    <xf numFmtId="0" fontId="16" fillId="33" borderId="21" xfId="183" applyFont="1" applyFill="1" applyBorder="1"/>
    <xf numFmtId="0" fontId="16" fillId="33" borderId="22" xfId="183" applyFont="1" applyFill="1" applyBorder="1"/>
    <xf numFmtId="0" fontId="86" fillId="33" borderId="21" xfId="183" applyFont="1" applyFill="1" applyBorder="1" applyAlignment="1">
      <alignment vertical="center"/>
    </xf>
    <xf numFmtId="0" fontId="86" fillId="33" borderId="22" xfId="183" applyFont="1" applyFill="1" applyBorder="1" applyAlignment="1">
      <alignment vertical="center"/>
    </xf>
    <xf numFmtId="0" fontId="19" fillId="33" borderId="21" xfId="183" applyFont="1" applyFill="1" applyBorder="1"/>
    <xf numFmtId="0" fontId="19" fillId="33" borderId="22" xfId="183" applyFont="1" applyFill="1" applyBorder="1"/>
    <xf numFmtId="0" fontId="76" fillId="33" borderId="21" xfId="183" applyFont="1" applyFill="1" applyBorder="1"/>
    <xf numFmtId="0" fontId="76" fillId="33" borderId="22" xfId="183" applyFont="1" applyFill="1" applyBorder="1"/>
    <xf numFmtId="0" fontId="16" fillId="33" borderId="26" xfId="183" applyFont="1" applyFill="1" applyBorder="1"/>
    <xf numFmtId="0" fontId="23" fillId="33" borderId="18" xfId="183" applyFont="1" applyFill="1" applyBorder="1" applyAlignment="1">
      <alignment vertical="center"/>
    </xf>
    <xf numFmtId="0" fontId="16" fillId="33" borderId="18" xfId="183" applyFont="1" applyFill="1" applyBorder="1"/>
    <xf numFmtId="0" fontId="16" fillId="33" borderId="27" xfId="183" applyFont="1" applyFill="1" applyBorder="1"/>
    <xf numFmtId="0" fontId="93" fillId="38" borderId="24" xfId="0" applyFont="1" applyFill="1" applyBorder="1" applyAlignment="1">
      <alignment horizontal="center"/>
    </xf>
    <xf numFmtId="187" fontId="93" fillId="32" borderId="18" xfId="124" applyNumberFormat="1" applyFont="1" applyFill="1" applyBorder="1" applyAlignment="1">
      <alignment horizontal="center"/>
    </xf>
    <xf numFmtId="42" fontId="23" fillId="40" borderId="3" xfId="124" applyNumberFormat="1" applyFont="1" applyFill="1" applyBorder="1" applyAlignment="1">
      <alignment horizontal="center"/>
    </xf>
    <xf numFmtId="164" fontId="79" fillId="33" borderId="19" xfId="252" applyFont="1" applyFill="1" applyBorder="1" applyAlignment="1">
      <alignment wrapText="1"/>
    </xf>
    <xf numFmtId="0" fontId="0" fillId="33" borderId="20" xfId="0" applyFill="1" applyBorder="1" applyAlignment="1">
      <alignment wrapText="1"/>
    </xf>
    <xf numFmtId="0" fontId="0" fillId="32" borderId="0" xfId="0" applyFill="1" applyAlignment="1">
      <alignment wrapText="1"/>
    </xf>
    <xf numFmtId="0" fontId="0" fillId="0" borderId="0" xfId="0" applyAlignment="1">
      <alignment wrapText="1"/>
    </xf>
    <xf numFmtId="44" fontId="93" fillId="38" borderId="24" xfId="124" applyFont="1" applyFill="1" applyBorder="1" applyAlignment="1">
      <alignment horizontal="left"/>
    </xf>
    <xf numFmtId="44" fontId="93" fillId="38" borderId="0" xfId="124" applyFont="1" applyFill="1" applyBorder="1" applyAlignment="1">
      <alignment horizontal="left"/>
    </xf>
    <xf numFmtId="44" fontId="93" fillId="38" borderId="18" xfId="124" applyFont="1" applyFill="1" applyBorder="1" applyAlignment="1">
      <alignment horizontal="left"/>
    </xf>
    <xf numFmtId="44" fontId="23" fillId="32" borderId="18" xfId="124" applyFont="1" applyFill="1" applyBorder="1" applyAlignment="1">
      <alignment horizontal="left"/>
    </xf>
    <xf numFmtId="44" fontId="23" fillId="0" borderId="3" xfId="124" applyFont="1" applyFill="1" applyBorder="1" applyAlignment="1">
      <alignment horizontal="left"/>
    </xf>
    <xf numFmtId="10" fontId="77" fillId="38" borderId="3" xfId="194" applyNumberFormat="1" applyFont="1" applyFill="1" applyBorder="1" applyAlignment="1">
      <alignment horizontal="center" vertical="center"/>
    </xf>
    <xf numFmtId="0" fontId="23" fillId="38" borderId="3" xfId="0" applyFont="1" applyFill="1" applyBorder="1" applyAlignment="1">
      <alignment horizontal="left"/>
    </xf>
    <xf numFmtId="0" fontId="98" fillId="42" borderId="3" xfId="0" applyFont="1" applyFill="1" applyBorder="1" applyAlignment="1">
      <alignment horizontal="center"/>
    </xf>
    <xf numFmtId="187" fontId="98" fillId="42" borderId="3" xfId="0" applyNumberFormat="1" applyFont="1" applyFill="1" applyBorder="1" applyAlignment="1">
      <alignment horizontal="center"/>
    </xf>
    <xf numFmtId="44" fontId="23" fillId="38" borderId="3" xfId="124" applyFont="1" applyFill="1" applyBorder="1" applyAlignment="1">
      <alignment horizontal="left"/>
    </xf>
    <xf numFmtId="44" fontId="0" fillId="32" borderId="0" xfId="0" applyNumberFormat="1" applyFill="1"/>
    <xf numFmtId="44" fontId="76" fillId="38" borderId="34" xfId="124" applyFont="1" applyFill="1" applyBorder="1" applyAlignment="1" applyProtection="1">
      <alignment vertical="center"/>
      <protection locked="0"/>
    </xf>
    <xf numFmtId="0" fontId="93" fillId="32" borderId="0" xfId="265" applyFont="1" applyFill="1"/>
    <xf numFmtId="0" fontId="22" fillId="38" borderId="46" xfId="265" applyFont="1" applyFill="1" applyBorder="1" applyAlignment="1">
      <alignment horizontal="right"/>
    </xf>
    <xf numFmtId="0" fontId="22" fillId="38" borderId="19" xfId="265" applyFont="1" applyFill="1" applyBorder="1" applyAlignment="1">
      <alignment horizontal="right"/>
    </xf>
    <xf numFmtId="0" fontId="93" fillId="38" borderId="20" xfId="265" applyFont="1" applyFill="1" applyBorder="1"/>
    <xf numFmtId="0" fontId="23" fillId="38" borderId="18" xfId="265" applyFont="1" applyFill="1" applyBorder="1" applyAlignment="1">
      <alignment horizontal="right"/>
    </xf>
    <xf numFmtId="42" fontId="23" fillId="38" borderId="47" xfId="265" applyNumberFormat="1" applyFont="1" applyFill="1" applyBorder="1"/>
    <xf numFmtId="0" fontId="11" fillId="0" borderId="19" xfId="265" applyBorder="1"/>
    <xf numFmtId="44" fontId="23" fillId="32" borderId="0" xfId="124" applyFont="1" applyFill="1" applyBorder="1" applyAlignment="1">
      <alignment horizontal="left"/>
    </xf>
    <xf numFmtId="0" fontId="93" fillId="32" borderId="0" xfId="124" applyNumberFormat="1" applyFont="1" applyFill="1" applyBorder="1" applyAlignment="1">
      <alignment horizontal="center"/>
    </xf>
    <xf numFmtId="187" fontId="93" fillId="32" borderId="0" xfId="124" applyNumberFormat="1" applyFont="1" applyFill="1" applyBorder="1" applyAlignment="1">
      <alignment horizontal="center"/>
    </xf>
    <xf numFmtId="0" fontId="93" fillId="32" borderId="20" xfId="265" applyFont="1" applyFill="1" applyBorder="1"/>
    <xf numFmtId="0" fontId="23" fillId="0" borderId="0" xfId="265" applyFont="1"/>
    <xf numFmtId="0" fontId="23" fillId="0" borderId="20" xfId="265" applyFont="1" applyBorder="1"/>
    <xf numFmtId="187" fontId="23" fillId="0" borderId="0" xfId="124" applyNumberFormat="1" applyFont="1" applyFill="1" applyBorder="1" applyAlignment="1">
      <alignment horizontal="center"/>
    </xf>
    <xf numFmtId="0" fontId="22" fillId="43" borderId="42" xfId="265" applyFont="1" applyFill="1" applyBorder="1" applyAlignment="1">
      <alignment horizontal="left"/>
    </xf>
    <xf numFmtId="0" fontId="22" fillId="43" borderId="3" xfId="265" applyFont="1" applyFill="1" applyBorder="1" applyAlignment="1">
      <alignment horizontal="center"/>
    </xf>
    <xf numFmtId="44" fontId="22" fillId="43" borderId="51" xfId="124" applyFont="1" applyFill="1" applyBorder="1" applyAlignment="1">
      <alignment horizontal="center"/>
    </xf>
    <xf numFmtId="0" fontId="23" fillId="0" borderId="0" xfId="124" applyNumberFormat="1" applyFont="1" applyFill="1" applyBorder="1" applyAlignment="1">
      <alignment horizontal="center"/>
    </xf>
    <xf numFmtId="42" fontId="23" fillId="0" borderId="0" xfId="124" applyNumberFormat="1" applyFont="1" applyFill="1" applyBorder="1" applyAlignment="1">
      <alignment horizontal="center"/>
    </xf>
    <xf numFmtId="42" fontId="23" fillId="0" borderId="20" xfId="124" applyNumberFormat="1" applyFont="1" applyFill="1" applyBorder="1"/>
    <xf numFmtId="0" fontId="23" fillId="43" borderId="42" xfId="265" quotePrefix="1" applyFont="1" applyFill="1" applyBorder="1" applyAlignment="1">
      <alignment horizontal="left"/>
    </xf>
    <xf numFmtId="14" fontId="23" fillId="0" borderId="3" xfId="265" applyNumberFormat="1" applyFont="1" applyBorder="1" applyAlignment="1">
      <alignment horizontal="center"/>
    </xf>
    <xf numFmtId="2" fontId="23" fillId="38" borderId="51" xfId="124" applyNumberFormat="1" applyFont="1" applyFill="1" applyBorder="1" applyAlignment="1">
      <alignment horizontal="center"/>
    </xf>
    <xf numFmtId="0" fontId="23" fillId="43" borderId="52" xfId="265" quotePrefix="1" applyFont="1" applyFill="1" applyBorder="1" applyAlignment="1">
      <alignment horizontal="left"/>
    </xf>
    <xf numFmtId="14" fontId="23" fillId="0" borderId="53" xfId="265" applyNumberFormat="1" applyFont="1" applyBorder="1" applyAlignment="1">
      <alignment horizontal="center"/>
    </xf>
    <xf numFmtId="2" fontId="23" fillId="38" borderId="54" xfId="124" applyNumberFormat="1" applyFont="1" applyFill="1" applyBorder="1" applyAlignment="1">
      <alignment horizontal="center"/>
    </xf>
    <xf numFmtId="2" fontId="23" fillId="0" borderId="0" xfId="124" applyNumberFormat="1" applyFont="1" applyFill="1" applyBorder="1" applyAlignment="1">
      <alignment horizontal="center"/>
    </xf>
    <xf numFmtId="0" fontId="23" fillId="0" borderId="19" xfId="265" applyFont="1" applyBorder="1"/>
    <xf numFmtId="44" fontId="23" fillId="0" borderId="0" xfId="124" applyFont="1" applyFill="1" applyBorder="1" applyAlignment="1">
      <alignment horizontal="left"/>
    </xf>
    <xf numFmtId="0" fontId="22" fillId="43" borderId="57" xfId="265" applyFont="1" applyFill="1" applyBorder="1" applyAlignment="1">
      <alignment horizontal="center"/>
    </xf>
    <xf numFmtId="0" fontId="22" fillId="43" borderId="37" xfId="265" applyFont="1" applyFill="1" applyBorder="1" applyAlignment="1">
      <alignment horizontal="center"/>
    </xf>
    <xf numFmtId="0" fontId="22" fillId="43" borderId="58" xfId="265" applyFont="1" applyFill="1" applyBorder="1" applyAlignment="1">
      <alignment horizontal="center"/>
    </xf>
    <xf numFmtId="0" fontId="23" fillId="43" borderId="44" xfId="265" quotePrefix="1" applyFont="1" applyFill="1" applyBorder="1" applyAlignment="1">
      <alignment horizontal="left"/>
    </xf>
    <xf numFmtId="0" fontId="23" fillId="0" borderId="59" xfId="265" applyFont="1" applyBorder="1" applyAlignment="1">
      <alignment horizontal="center"/>
    </xf>
    <xf numFmtId="1" fontId="23" fillId="38" borderId="45" xfId="124" applyNumberFormat="1" applyFont="1" applyFill="1" applyBorder="1" applyAlignment="1">
      <alignment horizontal="center"/>
    </xf>
    <xf numFmtId="0" fontId="22" fillId="33" borderId="31" xfId="265" applyFont="1" applyFill="1" applyBorder="1" applyAlignment="1">
      <alignment horizontal="center"/>
    </xf>
    <xf numFmtId="1" fontId="22" fillId="33" borderId="10" xfId="265" applyNumberFormat="1" applyFont="1" applyFill="1" applyBorder="1" applyAlignment="1">
      <alignment horizontal="center"/>
    </xf>
    <xf numFmtId="0" fontId="23" fillId="43" borderId="38" xfId="265" quotePrefix="1" applyFont="1" applyFill="1" applyBorder="1" applyAlignment="1">
      <alignment horizontal="left"/>
    </xf>
    <xf numFmtId="0" fontId="23" fillId="0" borderId="60" xfId="265" applyFont="1" applyBorder="1" applyAlignment="1">
      <alignment horizontal="center"/>
    </xf>
    <xf numFmtId="1" fontId="23" fillId="38" borderId="39" xfId="124" applyNumberFormat="1" applyFont="1" applyFill="1" applyBorder="1" applyAlignment="1">
      <alignment horizontal="center"/>
    </xf>
    <xf numFmtId="0" fontId="23" fillId="43" borderId="40" xfId="265" quotePrefix="1" applyFont="1" applyFill="1" applyBorder="1" applyAlignment="1">
      <alignment horizontal="left"/>
    </xf>
    <xf numFmtId="0" fontId="23" fillId="0" borderId="61" xfId="265" applyFont="1" applyBorder="1" applyAlignment="1">
      <alignment horizontal="center"/>
    </xf>
    <xf numFmtId="1" fontId="23" fillId="38" borderId="41" xfId="124" applyNumberFormat="1" applyFont="1" applyFill="1" applyBorder="1" applyAlignment="1">
      <alignment horizontal="center"/>
    </xf>
    <xf numFmtId="0" fontId="23" fillId="0" borderId="3" xfId="265" applyFont="1" applyBorder="1" applyAlignment="1">
      <alignment horizontal="center"/>
    </xf>
    <xf numFmtId="1" fontId="23" fillId="38" borderId="43" xfId="124" applyNumberFormat="1" applyFont="1" applyFill="1" applyBorder="1" applyAlignment="1">
      <alignment horizontal="center"/>
    </xf>
    <xf numFmtId="0" fontId="93" fillId="0" borderId="0" xfId="265" applyFont="1"/>
    <xf numFmtId="0" fontId="23" fillId="44" borderId="60" xfId="265" applyFont="1" applyFill="1" applyBorder="1" applyAlignment="1">
      <alignment horizontal="center"/>
    </xf>
    <xf numFmtId="0" fontId="23" fillId="0" borderId="31" xfId="265" applyFont="1" applyBorder="1"/>
    <xf numFmtId="42" fontId="23" fillId="0" borderId="0" xfId="124" applyNumberFormat="1" applyFont="1" applyFill="1" applyBorder="1"/>
    <xf numFmtId="0" fontId="11" fillId="0" borderId="0" xfId="265"/>
    <xf numFmtId="1" fontId="23" fillId="0" borderId="3" xfId="124" applyNumberFormat="1" applyFont="1" applyFill="1" applyBorder="1" applyAlignment="1">
      <alignment horizontal="center"/>
    </xf>
    <xf numFmtId="1" fontId="93" fillId="0" borderId="0" xfId="265" applyNumberFormat="1" applyFont="1"/>
    <xf numFmtId="1" fontId="23" fillId="0" borderId="0" xfId="265" applyNumberFormat="1" applyFont="1"/>
    <xf numFmtId="187" fontId="93" fillId="32" borderId="0" xfId="124" applyNumberFormat="1" applyFont="1" applyFill="1" applyBorder="1" applyAlignment="1">
      <alignment horizontal="left"/>
    </xf>
    <xf numFmtId="0" fontId="23" fillId="32" borderId="0" xfId="124" applyNumberFormat="1" applyFont="1" applyFill="1" applyBorder="1" applyAlignment="1">
      <alignment horizontal="center"/>
    </xf>
    <xf numFmtId="1" fontId="23" fillId="32" borderId="0" xfId="124" applyNumberFormat="1" applyFont="1" applyFill="1" applyBorder="1" applyAlignment="1">
      <alignment horizontal="center"/>
    </xf>
    <xf numFmtId="0" fontId="93" fillId="38" borderId="3" xfId="0" applyFont="1" applyFill="1" applyBorder="1"/>
    <xf numFmtId="0" fontId="23" fillId="32" borderId="26" xfId="0" applyFont="1" applyFill="1" applyBorder="1"/>
    <xf numFmtId="14" fontId="23" fillId="40" borderId="3" xfId="0" applyNumberFormat="1" applyFont="1" applyFill="1" applyBorder="1" applyAlignment="1">
      <alignment horizontal="left"/>
    </xf>
    <xf numFmtId="0" fontId="93" fillId="38" borderId="0" xfId="0" applyFont="1" applyFill="1"/>
    <xf numFmtId="0" fontId="23" fillId="38" borderId="26" xfId="0" applyFont="1" applyFill="1" applyBorder="1"/>
    <xf numFmtId="0" fontId="22" fillId="38" borderId="18" xfId="0" applyFont="1" applyFill="1" applyBorder="1" applyAlignment="1">
      <alignment horizontal="right"/>
    </xf>
    <xf numFmtId="9" fontId="23" fillId="32" borderId="3" xfId="194" applyFont="1" applyFill="1" applyBorder="1" applyAlignment="1">
      <alignment horizontal="left"/>
    </xf>
    <xf numFmtId="0" fontId="0" fillId="38" borderId="33" xfId="0" applyFill="1" applyBorder="1"/>
    <xf numFmtId="0" fontId="0" fillId="38" borderId="6" xfId="0" applyFill="1" applyBorder="1"/>
    <xf numFmtId="0" fontId="0" fillId="38" borderId="34" xfId="0" applyFill="1" applyBorder="1"/>
    <xf numFmtId="0" fontId="0" fillId="38" borderId="36" xfId="0" applyFill="1" applyBorder="1"/>
    <xf numFmtId="44" fontId="23" fillId="0" borderId="36" xfId="124" applyFont="1" applyFill="1" applyBorder="1" applyAlignment="1">
      <alignment horizontal="left"/>
    </xf>
    <xf numFmtId="0" fontId="23" fillId="0" borderId="36" xfId="124" applyNumberFormat="1" applyFont="1" applyFill="1" applyBorder="1" applyAlignment="1">
      <alignment horizontal="center"/>
    </xf>
    <xf numFmtId="42" fontId="23" fillId="40" borderId="36" xfId="124" applyNumberFormat="1" applyFont="1" applyFill="1" applyBorder="1" applyAlignment="1">
      <alignment horizontal="center"/>
    </xf>
    <xf numFmtId="42" fontId="23" fillId="38" borderId="36" xfId="124" applyNumberFormat="1" applyFont="1" applyFill="1" applyBorder="1"/>
    <xf numFmtId="42" fontId="23" fillId="32" borderId="0" xfId="124" applyNumberFormat="1" applyFont="1" applyFill="1" applyBorder="1" applyAlignment="1">
      <alignment horizontal="center"/>
    </xf>
    <xf numFmtId="42" fontId="23" fillId="32" borderId="0" xfId="124" applyNumberFormat="1" applyFont="1" applyFill="1" applyBorder="1"/>
    <xf numFmtId="0" fontId="93" fillId="38" borderId="0" xfId="265" applyFont="1" applyFill="1" applyAlignment="1">
      <alignment horizontal="center"/>
    </xf>
    <xf numFmtId="0" fontId="22" fillId="38" borderId="17" xfId="265" applyFont="1" applyFill="1" applyBorder="1" applyAlignment="1">
      <alignment horizontal="right"/>
    </xf>
    <xf numFmtId="0" fontId="23" fillId="32" borderId="0" xfId="265" applyFont="1" applyFill="1" applyAlignment="1">
      <alignment horizontal="center"/>
    </xf>
    <xf numFmtId="0" fontId="23" fillId="0" borderId="0" xfId="265" applyFont="1" applyAlignment="1">
      <alignment horizontal="center"/>
    </xf>
    <xf numFmtId="1" fontId="23" fillId="0" borderId="0" xfId="265" applyNumberFormat="1" applyFont="1" applyAlignment="1">
      <alignment horizontal="center"/>
    </xf>
    <xf numFmtId="0" fontId="23" fillId="0" borderId="3" xfId="0" applyFont="1" applyBorder="1"/>
    <xf numFmtId="0" fontId="1" fillId="0" borderId="0" xfId="258" applyFont="1" applyAlignment="1">
      <alignment horizontal="left"/>
    </xf>
    <xf numFmtId="0" fontId="1" fillId="0" borderId="0" xfId="258" applyFont="1" applyAlignment="1">
      <alignment horizontal="right"/>
    </xf>
    <xf numFmtId="0" fontId="1" fillId="0" borderId="0" xfId="253" applyFont="1"/>
    <xf numFmtId="186" fontId="1" fillId="0" borderId="0" xfId="258" applyNumberFormat="1" applyFont="1" applyAlignment="1">
      <alignment horizontal="right"/>
    </xf>
    <xf numFmtId="186" fontId="1" fillId="0" borderId="0" xfId="253" applyNumberFormat="1" applyFont="1"/>
    <xf numFmtId="0" fontId="1" fillId="0" borderId="0" xfId="264" applyFont="1"/>
    <xf numFmtId="0" fontId="1" fillId="0" borderId="0" xfId="264" applyFont="1" applyAlignment="1">
      <alignment horizontal="left"/>
    </xf>
    <xf numFmtId="0" fontId="1" fillId="0" borderId="0" xfId="264" applyFont="1" applyAlignment="1">
      <alignment vertical="center"/>
    </xf>
    <xf numFmtId="0" fontId="1" fillId="0" borderId="0" xfId="259" applyFont="1" applyAlignment="1">
      <alignment horizontal="left"/>
    </xf>
    <xf numFmtId="0" fontId="16" fillId="38" borderId="0" xfId="0" applyFont="1" applyFill="1" applyAlignment="1">
      <alignment horizontal="left"/>
    </xf>
    <xf numFmtId="0" fontId="22" fillId="38" borderId="3" xfId="252" applyNumberFormat="1" applyFont="1" applyFill="1" applyBorder="1" applyAlignment="1">
      <alignment horizontal="left" vertical="center" wrapText="1"/>
    </xf>
    <xf numFmtId="0" fontId="16" fillId="32" borderId="3" xfId="113" applyNumberFormat="1" applyFont="1" applyFill="1" applyBorder="1" applyAlignment="1" applyProtection="1">
      <alignment horizontal="left" vertical="top" wrapText="1"/>
      <protection locked="0"/>
    </xf>
    <xf numFmtId="0" fontId="23" fillId="0" borderId="3" xfId="0" applyFont="1" applyBorder="1"/>
    <xf numFmtId="0" fontId="23" fillId="40" borderId="3" xfId="0" applyFont="1" applyFill="1" applyBorder="1"/>
    <xf numFmtId="0" fontId="74" fillId="35" borderId="3" xfId="187" applyFont="1" applyFill="1" applyBorder="1" applyAlignment="1">
      <alignment horizontal="center" vertical="center"/>
    </xf>
    <xf numFmtId="166" fontId="81" fillId="36" borderId="33" xfId="252" applyNumberFormat="1" applyFont="1" applyFill="1" applyBorder="1" applyAlignment="1">
      <alignment horizontal="center" vertical="center"/>
    </xf>
    <xf numFmtId="166" fontId="81" fillId="36" borderId="6" xfId="252" applyNumberFormat="1" applyFont="1" applyFill="1" applyBorder="1" applyAlignment="1">
      <alignment horizontal="center" vertical="center"/>
    </xf>
    <xf numFmtId="0" fontId="16" fillId="32" borderId="3" xfId="113" applyNumberFormat="1" applyFont="1" applyFill="1" applyBorder="1" applyAlignment="1" applyProtection="1">
      <alignment horizontal="left" vertical="top" wrapText="1"/>
    </xf>
    <xf numFmtId="0" fontId="16" fillId="32" borderId="33" xfId="113" applyNumberFormat="1" applyFont="1" applyFill="1" applyBorder="1" applyAlignment="1" applyProtection="1">
      <alignment horizontal="left" vertical="top" wrapText="1"/>
      <protection locked="0"/>
    </xf>
    <xf numFmtId="0" fontId="16" fillId="32" borderId="34" xfId="113" applyNumberFormat="1" applyFont="1" applyFill="1" applyBorder="1" applyAlignment="1" applyProtection="1">
      <alignment horizontal="left" vertical="top" wrapText="1"/>
      <protection locked="0"/>
    </xf>
    <xf numFmtId="0" fontId="74" fillId="35" borderId="36" xfId="187" applyFont="1" applyFill="1" applyBorder="1" applyAlignment="1">
      <alignment horizontal="center" vertical="center"/>
    </xf>
    <xf numFmtId="0" fontId="16" fillId="32" borderId="0" xfId="0" applyFont="1" applyFill="1" applyAlignment="1">
      <alignment horizontal="left"/>
    </xf>
    <xf numFmtId="0" fontId="94" fillId="41" borderId="23" xfId="0" applyFont="1" applyFill="1" applyBorder="1" applyAlignment="1">
      <alignment horizontal="center"/>
    </xf>
    <xf numFmtId="0" fontId="94" fillId="41" borderId="24" xfId="0" applyFont="1" applyFill="1" applyBorder="1" applyAlignment="1">
      <alignment horizontal="center"/>
    </xf>
    <xf numFmtId="0" fontId="94" fillId="41" borderId="6" xfId="0" applyFont="1" applyFill="1" applyBorder="1" applyAlignment="1">
      <alignment horizontal="center"/>
    </xf>
    <xf numFmtId="0" fontId="94" fillId="41" borderId="34" xfId="0" applyFont="1" applyFill="1" applyBorder="1" applyAlignment="1">
      <alignment horizontal="center"/>
    </xf>
    <xf numFmtId="0" fontId="16" fillId="38" borderId="24" xfId="0" applyFont="1" applyFill="1" applyBorder="1" applyAlignment="1">
      <alignment horizontal="left"/>
    </xf>
    <xf numFmtId="0" fontId="16" fillId="38" borderId="25" xfId="0" applyFont="1" applyFill="1" applyBorder="1" applyAlignment="1">
      <alignment horizontal="left"/>
    </xf>
    <xf numFmtId="0" fontId="16" fillId="38" borderId="0" xfId="0" applyFont="1" applyFill="1" applyAlignment="1">
      <alignment horizontal="left"/>
    </xf>
    <xf numFmtId="0" fontId="16" fillId="38" borderId="22" xfId="0" applyFont="1" applyFill="1" applyBorder="1" applyAlignment="1">
      <alignment horizontal="left"/>
    </xf>
    <xf numFmtId="2" fontId="16" fillId="38" borderId="0" xfId="0" applyNumberFormat="1" applyFont="1" applyFill="1" applyAlignment="1">
      <alignment horizontal="left"/>
    </xf>
    <xf numFmtId="2" fontId="16" fillId="38" borderId="22" xfId="0" applyNumberFormat="1" applyFont="1" applyFill="1" applyBorder="1" applyAlignment="1">
      <alignment horizontal="left"/>
    </xf>
    <xf numFmtId="14" fontId="16" fillId="38" borderId="18" xfId="0" applyNumberFormat="1" applyFont="1" applyFill="1" applyBorder="1" applyAlignment="1">
      <alignment horizontal="left"/>
    </xf>
    <xf numFmtId="14" fontId="16" fillId="38" borderId="27" xfId="0" applyNumberFormat="1" applyFont="1" applyFill="1" applyBorder="1" applyAlignment="1">
      <alignment horizontal="left"/>
    </xf>
    <xf numFmtId="0" fontId="23" fillId="38" borderId="0" xfId="0" applyFont="1" applyFill="1" applyAlignment="1">
      <alignment horizontal="left"/>
    </xf>
    <xf numFmtId="14" fontId="23" fillId="38" borderId="18" xfId="0" applyNumberFormat="1" applyFont="1" applyFill="1" applyBorder="1" applyAlignment="1">
      <alignment horizontal="left"/>
    </xf>
    <xf numFmtId="0" fontId="75" fillId="41" borderId="33" xfId="0" applyFont="1" applyFill="1" applyBorder="1" applyAlignment="1">
      <alignment horizontal="center"/>
    </xf>
    <xf numFmtId="0" fontId="75" fillId="41" borderId="6" xfId="0" applyFont="1" applyFill="1" applyBorder="1" applyAlignment="1">
      <alignment horizontal="center"/>
    </xf>
    <xf numFmtId="0" fontId="75" fillId="41" borderId="24" xfId="0" applyFont="1" applyFill="1" applyBorder="1" applyAlignment="1">
      <alignment horizontal="center"/>
    </xf>
    <xf numFmtId="0" fontId="75" fillId="41" borderId="24" xfId="0" applyFont="1" applyFill="1" applyBorder="1" applyAlignment="1">
      <alignment horizontal="left"/>
    </xf>
    <xf numFmtId="0" fontId="75" fillId="41" borderId="25" xfId="0" applyFont="1" applyFill="1" applyBorder="1" applyAlignment="1">
      <alignment horizontal="center"/>
    </xf>
    <xf numFmtId="0" fontId="23" fillId="38" borderId="21" xfId="0" applyFont="1" applyFill="1" applyBorder="1" applyAlignment="1">
      <alignment horizontal="left"/>
    </xf>
    <xf numFmtId="2" fontId="23" fillId="38" borderId="21" xfId="0" applyNumberFormat="1" applyFont="1" applyFill="1" applyBorder="1" applyAlignment="1">
      <alignment horizontal="left"/>
    </xf>
    <xf numFmtId="2" fontId="23" fillId="38" borderId="0" xfId="0" applyNumberFormat="1" applyFont="1" applyFill="1" applyAlignment="1">
      <alignment horizontal="left"/>
    </xf>
    <xf numFmtId="14" fontId="23" fillId="38" borderId="26" xfId="0" applyNumberFormat="1" applyFont="1" applyFill="1" applyBorder="1" applyAlignment="1">
      <alignment horizontal="left"/>
    </xf>
    <xf numFmtId="0" fontId="23" fillId="38" borderId="24" xfId="0" applyFont="1" applyFill="1" applyBorder="1" applyAlignment="1">
      <alignment horizontal="left"/>
    </xf>
    <xf numFmtId="0" fontId="75" fillId="41" borderId="48" xfId="265" applyFont="1" applyFill="1" applyBorder="1" applyAlignment="1">
      <alignment horizontal="center"/>
    </xf>
    <xf numFmtId="0" fontId="75" fillId="41" borderId="49" xfId="265" applyFont="1" applyFill="1" applyBorder="1" applyAlignment="1">
      <alignment horizontal="center"/>
    </xf>
    <xf numFmtId="0" fontId="75" fillId="41" borderId="50" xfId="265" applyFont="1" applyFill="1" applyBorder="1" applyAlignment="1">
      <alignment horizontal="center"/>
    </xf>
    <xf numFmtId="0" fontId="23" fillId="38" borderId="21" xfId="265" applyFont="1" applyFill="1" applyBorder="1" applyAlignment="1">
      <alignment horizontal="left"/>
    </xf>
    <xf numFmtId="0" fontId="23" fillId="38" borderId="0" xfId="265" applyFont="1" applyFill="1" applyAlignment="1">
      <alignment horizontal="left"/>
    </xf>
    <xf numFmtId="0" fontId="23" fillId="38" borderId="20" xfId="265" applyFont="1" applyFill="1" applyBorder="1" applyAlignment="1">
      <alignment horizontal="left"/>
    </xf>
    <xf numFmtId="0" fontId="75" fillId="41" borderId="28" xfId="265" applyFont="1" applyFill="1" applyBorder="1" applyAlignment="1">
      <alignment horizontal="center"/>
    </xf>
    <xf numFmtId="0" fontId="75" fillId="41" borderId="29" xfId="265" applyFont="1" applyFill="1" applyBorder="1" applyAlignment="1">
      <alignment horizontal="center"/>
    </xf>
    <xf numFmtId="0" fontId="75" fillId="41" borderId="30" xfId="265" applyFont="1" applyFill="1" applyBorder="1" applyAlignment="1">
      <alignment horizontal="center"/>
    </xf>
    <xf numFmtId="2" fontId="23" fillId="38" borderId="21" xfId="265" applyNumberFormat="1" applyFont="1" applyFill="1" applyBorder="1" applyAlignment="1">
      <alignment horizontal="left"/>
    </xf>
    <xf numFmtId="2" fontId="23" fillId="38" borderId="0" xfId="265" applyNumberFormat="1" applyFont="1" applyFill="1" applyAlignment="1">
      <alignment horizontal="left"/>
    </xf>
    <xf numFmtId="14" fontId="23" fillId="38" borderId="26" xfId="265" applyNumberFormat="1" applyFont="1" applyFill="1" applyBorder="1" applyAlignment="1">
      <alignment horizontal="left"/>
    </xf>
    <xf numFmtId="14" fontId="23" fillId="38" borderId="18" xfId="265" applyNumberFormat="1" applyFont="1" applyFill="1" applyBorder="1" applyAlignment="1">
      <alignment horizontal="left"/>
    </xf>
    <xf numFmtId="44" fontId="22" fillId="33" borderId="5" xfId="124" applyFont="1" applyFill="1" applyBorder="1" applyAlignment="1">
      <alignment horizontal="left"/>
    </xf>
    <xf numFmtId="44" fontId="22" fillId="33" borderId="56" xfId="124" applyFont="1" applyFill="1" applyBorder="1" applyAlignment="1">
      <alignment horizontal="left"/>
    </xf>
    <xf numFmtId="0" fontId="75" fillId="41" borderId="55" xfId="265" applyFont="1" applyFill="1" applyBorder="1" applyAlignment="1">
      <alignment horizontal="center"/>
    </xf>
    <xf numFmtId="0" fontId="75" fillId="41" borderId="5" xfId="265" applyFont="1" applyFill="1" applyBorder="1" applyAlignment="1">
      <alignment horizontal="center"/>
    </xf>
    <xf numFmtId="0" fontId="75" fillId="41" borderId="56" xfId="265" applyFont="1" applyFill="1" applyBorder="1" applyAlignment="1">
      <alignment horizontal="center"/>
    </xf>
    <xf numFmtId="44" fontId="23" fillId="0" borderId="0" xfId="124" applyFont="1" applyFill="1" applyBorder="1" applyAlignment="1">
      <alignment horizontal="center"/>
    </xf>
    <xf numFmtId="44" fontId="23" fillId="0" borderId="20" xfId="124" applyFont="1" applyFill="1" applyBorder="1" applyAlignment="1">
      <alignment horizontal="center"/>
    </xf>
    <xf numFmtId="0" fontId="87" fillId="38" borderId="3" xfId="183" applyFont="1" applyFill="1" applyBorder="1" applyAlignment="1">
      <alignment horizontal="center" vertical="center"/>
    </xf>
    <xf numFmtId="14" fontId="88" fillId="0" borderId="3" xfId="183" applyNumberFormat="1" applyFont="1" applyBorder="1" applyAlignment="1">
      <alignment horizontal="center" vertical="center"/>
    </xf>
    <xf numFmtId="14" fontId="11" fillId="0" borderId="3" xfId="183" applyNumberFormat="1" applyBorder="1"/>
    <xf numFmtId="0" fontId="97" fillId="41" borderId="3" xfId="183" applyFont="1" applyFill="1" applyBorder="1" applyAlignment="1">
      <alignment horizontal="center" vertical="center"/>
    </xf>
    <xf numFmtId="0" fontId="88" fillId="0" borderId="3" xfId="183" applyFont="1" applyBorder="1" applyAlignment="1">
      <alignment horizontal="center" vertical="center"/>
    </xf>
    <xf numFmtId="0" fontId="11" fillId="0" borderId="3" xfId="183" applyBorder="1"/>
    <xf numFmtId="2" fontId="88" fillId="0" borderId="3" xfId="183" applyNumberFormat="1" applyFont="1" applyBorder="1" applyAlignment="1">
      <alignment horizontal="center" vertical="center"/>
    </xf>
    <xf numFmtId="2" fontId="11" fillId="0" borderId="3" xfId="183" applyNumberFormat="1" applyBorder="1"/>
  </cellXfs>
  <cellStyles count="314">
    <cellStyle name=" 1" xfId="1" xr:uid="{00000000-0005-0000-0000-000000000000}"/>
    <cellStyle name="_02 D1D 1268 Dec '07 CPA Roll Up Rev 2" xfId="4" xr:uid="{00000000-0005-0000-0000-000003000000}"/>
    <cellStyle name="_02 D1D 1268 July '08 CPA_Roll Up Rev 1" xfId="5" xr:uid="{00000000-0005-0000-0000-000004000000}"/>
    <cellStyle name="_05_Artemis_95% Estimate_Rev 00_Issued 12_08_05" xfId="6" xr:uid="{00000000-0005-0000-0000-000005000000}"/>
    <cellStyle name="_05_Artemis_95% Estimate_Rev 00_Issued 12_08_05_FM" xfId="7" xr:uid="{00000000-0005-0000-0000-000006000000}"/>
    <cellStyle name="_100% Benchmark Report Apollo_vs_ProjX" xfId="8" xr:uid="{00000000-0005-0000-0000-000007000000}"/>
    <cellStyle name="_1268 Indirects Worksheet" xfId="9" xr:uid="{00000000-0005-0000-0000-000008000000}"/>
    <cellStyle name="_A-1099 D1D 1268 AWN Hydraulic Capacity Upgrade Est_Rev 2" xfId="10" xr:uid="{00000000-0005-0000-0000-000009000000}"/>
    <cellStyle name="_A-770 CWS Capacity Upgrade Est Rev 4" xfId="11" xr:uid="{00000000-0005-0000-0000-00000A000000}"/>
    <cellStyle name="_A9 Indirect Cost Summary" xfId="12" xr:uid="{00000000-0005-0000-0000-00000B000000}"/>
    <cellStyle name="_A9T9_Should_Cost_Artemis_90%" xfId="13" xr:uid="{00000000-0005-0000-0000-00000C000000}"/>
    <cellStyle name="_A9T9_Should_Cost_Rev1_16_12_2005" xfId="14" xr:uid="{00000000-0005-0000-0000-00000D000000}"/>
    <cellStyle name="_AFC Workbook" xfId="15" xr:uid="{00000000-0005-0000-0000-00000E000000}"/>
    <cellStyle name="_AFC-AFU Template" xfId="16" xr:uid="{00000000-0005-0000-0000-00000F000000}"/>
    <cellStyle name="_AFO Dec CPA Roll Up Rev 0" xfId="17" xr:uid="{00000000-0005-0000-0000-000010000000}"/>
    <cellStyle name="_AFO Sept CPA Roll Up Rev 1" xfId="18" xr:uid="{00000000-0005-0000-0000-000011000000}"/>
    <cellStyle name="_AFU - AFC Master Template" xfId="19" xr:uid="{00000000-0005-0000-0000-000012000000}"/>
    <cellStyle name="_Apollo Normalization Details" xfId="20" xr:uid="{00000000-0005-0000-0000-000013000000}"/>
    <cellStyle name="_CB EG2 Trailer Move Est_Rev Final PAL 2 Rev1" xfId="21" xr:uid="{00000000-0005-0000-0000-000014000000}"/>
    <cellStyle name="_Chemicals" xfId="22" xr:uid="{00000000-0005-0000-0000-000015000000}"/>
    <cellStyle name="_Co Escalation" xfId="23" xr:uid="{00000000-0005-0000-0000-000016000000}"/>
    <cellStyle name="_CPA Indirects" xfId="24" xr:uid="{00000000-0005-0000-0000-000017000000}"/>
    <cellStyle name="_CR SMP-FSP WIF - Rev3" xfId="25" xr:uid="{00000000-0005-0000-0000-000018000000}"/>
    <cellStyle name="_CR SMP-FSP WIF - Rev3 2" xfId="266" xr:uid="{00000000-0005-0000-0000-000019000000}"/>
    <cellStyle name="_CR SMP-FSP WIF - Rev3 CRESD Final" xfId="26" xr:uid="{00000000-0005-0000-0000-00001A000000}"/>
    <cellStyle name="_CR SMP-FSP WIF - Rev3 CRESD Final 2" xfId="267" xr:uid="{00000000-0005-0000-0000-00001B000000}"/>
    <cellStyle name="_CRU1 Building 7A Rev  4 With Comments" xfId="27" xr:uid="{00000000-0005-0000-0000-00001C000000}"/>
    <cellStyle name="_CRU1 Building 7A Rev  7A Final" xfId="28" xr:uid="{00000000-0005-0000-0000-00001D000000}"/>
    <cellStyle name="_D1D 1268 Dec '07 Indirects BUE Rev 0" xfId="29" xr:uid="{00000000-0005-0000-0000-00001E000000}"/>
    <cellStyle name="_D1D 1268 June 2007_CM &amp; Intel Indirect Costs" xfId="30" xr:uid="{00000000-0005-0000-0000-00001F000000}"/>
    <cellStyle name="_D1D June 2006 FLEX CPA Est_Rev 2" xfId="31" xr:uid="{00000000-0005-0000-0000-000020000000}"/>
    <cellStyle name="_D1D P1266 CHMW Est_Rev 1" xfId="32" xr:uid="{00000000-0005-0000-0000-000021000000}"/>
    <cellStyle name="_Deisgn Gap Vaulations_FM_Rev 0" xfId="33" xr:uid="{00000000-0005-0000-0000-000022000000}"/>
    <cellStyle name="_Esc Multple Data Points as of 12-25-2005" xfId="34" xr:uid="{00000000-0005-0000-0000-000023000000}"/>
    <cellStyle name="_F11sM1-4 and F11x_OoM Est_1268 HVM1_Rev 4-1" xfId="35" xr:uid="{00000000-0005-0000-0000-000024000000}"/>
    <cellStyle name="_F12c Final-1- rev1" xfId="36" xr:uid="{00000000-0005-0000-0000-000025000000}"/>
    <cellStyle name="_F29_May,12'06_Est._Fluor&amp;FJP" xfId="37" xr:uid="{00000000-0005-0000-0000-000026000000}"/>
    <cellStyle name="_F29_May,12'06_Est._Fluor&amp;FJP 2" xfId="268" xr:uid="{00000000-0005-0000-0000-000027000000}"/>
    <cellStyle name="_File Server Storage Area Rev 3 3-22-06 Submittal" xfId="38" xr:uid="{00000000-0005-0000-0000-000028000000}"/>
    <cellStyle name="_FinalNEWdec" xfId="39" xr:uid="{00000000-0005-0000-0000-000029000000}"/>
    <cellStyle name="_FJP Est Walk A9 Rev 5-3" xfId="40" xr:uid="{00000000-0005-0000-0000-00002A000000}"/>
    <cellStyle name="_Fluor&amp;FJP_F29Est_5-12-06_Adj'd for Detail Only" xfId="41" xr:uid="{00000000-0005-0000-0000-00002B000000}"/>
    <cellStyle name="_Fluor&amp;FJP_F29Est_5-12-06_Adj'd for Detail Only 2" xfId="269" xr:uid="{00000000-0005-0000-0000-00002C000000}"/>
    <cellStyle name="_Good Unit_Correlation_512 (2)" xfId="42" xr:uid="{00000000-0005-0000-0000-00002D000000}"/>
    <cellStyle name="_HF1 Steelcase Furniture Conversion_ Est_Rev 3.1" xfId="43" xr:uid="{00000000-0005-0000-0000-00002E000000}"/>
    <cellStyle name="_HPXELM CVB Addition" xfId="44" xr:uid="{00000000-0005-0000-0000-00002F000000}"/>
    <cellStyle name="_March CPA Summary_rev 1" xfId="45" xr:uid="{00000000-0005-0000-0000-000030000000}"/>
    <cellStyle name="_May'06 F29 Est. Preso Back Up_R1" xfId="46" xr:uid="{00000000-0005-0000-0000-000031000000}"/>
    <cellStyle name="_Mech _ Est_Rev 3" xfId="47" xr:uid="{00000000-0005-0000-0000-000032000000}"/>
    <cellStyle name="_Mechanical" xfId="48" xr:uid="{00000000-0005-0000-0000-000033000000}"/>
    <cellStyle name="_Mock Template Est_Rev 0_Indirects" xfId="49" xr:uid="{00000000-0005-0000-0000-000034000000}"/>
    <cellStyle name="_Normalization Apollo GPB 3rd Sty Fitout" xfId="50" xr:uid="{00000000-0005-0000-0000-000035000000}"/>
    <cellStyle name="_Normalization Apollo PhB 90% Cost" xfId="51" xr:uid="{00000000-0005-0000-0000-000036000000}"/>
    <cellStyle name="_P601 DC Recommendation Master File 1-18-06" xfId="52" xr:uid="{00000000-0005-0000-0000-000037000000}"/>
    <cellStyle name="_Problems with Using CPI 12-25-2005" xfId="53" xr:uid="{00000000-0005-0000-0000-000038000000}"/>
    <cellStyle name="_RA3 GPB" xfId="54" xr:uid="{00000000-0005-0000-0000-000039000000}"/>
    <cellStyle name="_Reional Modifiers - China R0" xfId="55" xr:uid="{00000000-0005-0000-0000-00003A000000}"/>
    <cellStyle name="_South Carolina WIF Estimate Rev 1" xfId="56" xr:uid="{00000000-0005-0000-0000-00003B000000}"/>
    <cellStyle name="_temp Artemis" xfId="57" xr:uid="{00000000-0005-0000-0000-00003C000000}"/>
    <cellStyle name="_Tool Power Monitoring Est_Rev2" xfId="58" xr:uid="{00000000-0005-0000-0000-00003D000000}"/>
    <cellStyle name="_UPW Final Filters NM Rev0 6-15-05 e-mail" xfId="59" xr:uid="{00000000-0005-0000-0000-00003E000000}"/>
    <cellStyle name="_UPW Final Filters NM Rev0 6-15-05 e-mail 2" xfId="270" xr:uid="{00000000-0005-0000-0000-00003F000000}"/>
    <cellStyle name="_VN Escalation Study 1" xfId="60" xr:uid="{00000000-0005-0000-0000-000040000000}"/>
    <cellStyle name="?‹æØ‚è [0.00]_Region Orders (2)" xfId="2" xr:uid="{00000000-0005-0000-0000-000001000000}"/>
    <cellStyle name="?‹æØ‚è_Region Orders (2)" xfId="3" xr:uid="{00000000-0005-0000-0000-000002000000}"/>
    <cellStyle name="’Ê‰Ý [0.00]_Region Orders (2)" xfId="61" xr:uid="{00000000-0005-0000-0000-000041000000}"/>
    <cellStyle name="’Ê‰Ý_Region Orders (2)" xfId="62" xr:uid="{00000000-0005-0000-0000-000042000000}"/>
    <cellStyle name="•W_‹ó—“" xfId="64" xr:uid="{00000000-0005-0000-0000-000044000000}"/>
    <cellStyle name="•W?_Pacific Region P&amp;L" xfId="63" xr:uid="{00000000-0005-0000-0000-000043000000}"/>
    <cellStyle name="¹éºÐÀ²_±âÅ¸" xfId="65" xr:uid="{00000000-0005-0000-0000-000047000000}"/>
    <cellStyle name="20% - Accent1" xfId="66" builtinId="30" customBuiltin="1"/>
    <cellStyle name="20% - Accent2" xfId="67" builtinId="34" customBuiltin="1"/>
    <cellStyle name="20% - Accent3" xfId="68" builtinId="38" customBuiltin="1"/>
    <cellStyle name="20% - Accent4" xfId="69" builtinId="42" customBuiltin="1"/>
    <cellStyle name="20% - Accent5" xfId="70" builtinId="46" customBuiltin="1"/>
    <cellStyle name="20% - Accent6" xfId="71" builtinId="50" customBuiltin="1"/>
    <cellStyle name="40% - Accent1" xfId="72" builtinId="31" customBuiltin="1"/>
    <cellStyle name="40% - Accent2" xfId="73" builtinId="35" customBuiltin="1"/>
    <cellStyle name="40% - Accent3" xfId="74" builtinId="39" customBuiltin="1"/>
    <cellStyle name="40% - Accent4" xfId="75" builtinId="43" customBuiltin="1"/>
    <cellStyle name="40% - Accent5" xfId="76" builtinId="47" customBuiltin="1"/>
    <cellStyle name="40% - Accent6" xfId="77" builtinId="51" customBuiltin="1"/>
    <cellStyle name="60% - Accent1" xfId="78" builtinId="32" customBuiltin="1"/>
    <cellStyle name="60% - Accent2" xfId="79" builtinId="36" customBuiltin="1"/>
    <cellStyle name="60% - Accent3" xfId="80" builtinId="40" customBuiltin="1"/>
    <cellStyle name="60% - Accent4" xfId="81" builtinId="44" customBuiltin="1"/>
    <cellStyle name="60% - Accent5" xfId="82" builtinId="48" customBuiltin="1"/>
    <cellStyle name="60% - Accent6" xfId="83" builtinId="52" customBuiltin="1"/>
    <cellStyle name="Accent1" xfId="84" builtinId="29" customBuiltin="1"/>
    <cellStyle name="Accent2" xfId="85" builtinId="33" customBuiltin="1"/>
    <cellStyle name="Accent3" xfId="86" builtinId="37" customBuiltin="1"/>
    <cellStyle name="Accent4" xfId="87" builtinId="41" customBuiltin="1"/>
    <cellStyle name="Accent5" xfId="88" builtinId="45" customBuiltin="1"/>
    <cellStyle name="Accent6" xfId="89" builtinId="49" customBuiltin="1"/>
    <cellStyle name="active" xfId="90" xr:uid="{00000000-0005-0000-0000-000060000000}"/>
    <cellStyle name="ÅëÈ­ [0]_±âÅ¸" xfId="91" xr:uid="{00000000-0005-0000-0000-000061000000}"/>
    <cellStyle name="ÅëÈ­_±âÅ¸" xfId="92" xr:uid="{00000000-0005-0000-0000-000062000000}"/>
    <cellStyle name="args.style" xfId="93" xr:uid="{00000000-0005-0000-0000-000063000000}"/>
    <cellStyle name="ÄÞ¸¶ [0]_±âÅ¸" xfId="94" xr:uid="{00000000-0005-0000-0000-000064000000}"/>
    <cellStyle name="ÄÞ¸¶_±âÅ¸" xfId="95" xr:uid="{00000000-0005-0000-0000-000065000000}"/>
    <cellStyle name="Bad" xfId="96" builtinId="27" customBuiltin="1"/>
    <cellStyle name="black bar" xfId="97" xr:uid="{00000000-0005-0000-0000-000067000000}"/>
    <cellStyle name="Blue,Bold,12pt" xfId="98" xr:uid="{00000000-0005-0000-0000-000068000000}"/>
    <cellStyle name="Blue,Bold,14pt" xfId="99" xr:uid="{00000000-0005-0000-0000-000069000000}"/>
    <cellStyle name="Bold,10pt" xfId="100" xr:uid="{00000000-0005-0000-0000-00006A000000}"/>
    <cellStyle name="Ç¥ÁØ_¿ù°£¿ä¾àº¸°í" xfId="101" xr:uid="{00000000-0005-0000-0000-00006B000000}"/>
    <cellStyle name="Calc Currency (0)" xfId="102" xr:uid="{00000000-0005-0000-0000-00006C000000}"/>
    <cellStyle name="Calc Currency (2)" xfId="103" xr:uid="{00000000-0005-0000-0000-00006D000000}"/>
    <cellStyle name="Calc Percent (0)" xfId="104" xr:uid="{00000000-0005-0000-0000-00006E000000}"/>
    <cellStyle name="Calc Percent (1)" xfId="105" xr:uid="{00000000-0005-0000-0000-00006F000000}"/>
    <cellStyle name="Calc Percent (2)" xfId="106" xr:uid="{00000000-0005-0000-0000-000070000000}"/>
    <cellStyle name="Calc Units (0)" xfId="107" xr:uid="{00000000-0005-0000-0000-000071000000}"/>
    <cellStyle name="Calc Units (1)" xfId="108" xr:uid="{00000000-0005-0000-0000-000072000000}"/>
    <cellStyle name="Calc Units (2)" xfId="109" xr:uid="{00000000-0005-0000-0000-000073000000}"/>
    <cellStyle name="Calculation" xfId="110" builtinId="22" customBuiltin="1"/>
    <cellStyle name="carl" xfId="111" xr:uid="{00000000-0005-0000-0000-000075000000}"/>
    <cellStyle name="Check Cell" xfId="112" builtinId="23" customBuiltin="1"/>
    <cellStyle name="Comma" xfId="113" builtinId="3"/>
    <cellStyle name="Comma [00]" xfId="114" xr:uid="{00000000-0005-0000-0000-000078000000}"/>
    <cellStyle name="Comma [00] 2" xfId="271" xr:uid="{00000000-0005-0000-0000-000079000000}"/>
    <cellStyle name="Comma 2" xfId="115" xr:uid="{00000000-0005-0000-0000-00007A000000}"/>
    <cellStyle name="Comma 2 2" xfId="116" xr:uid="{00000000-0005-0000-0000-00007B000000}"/>
    <cellStyle name="Comma 3" xfId="117" xr:uid="{00000000-0005-0000-0000-00007C000000}"/>
    <cellStyle name="Comma 3 2" xfId="272" xr:uid="{00000000-0005-0000-0000-00007D000000}"/>
    <cellStyle name="Comma 4" xfId="118" xr:uid="{00000000-0005-0000-0000-00007E000000}"/>
    <cellStyle name="Comma 5" xfId="119" xr:uid="{00000000-0005-0000-0000-00007F000000}"/>
    <cellStyle name="Comma 6" xfId="120" xr:uid="{00000000-0005-0000-0000-000080000000}"/>
    <cellStyle name="Comma 7" xfId="121" xr:uid="{00000000-0005-0000-0000-000081000000}"/>
    <cellStyle name="Component" xfId="122" xr:uid="{00000000-0005-0000-0000-000082000000}"/>
    <cellStyle name="Copied" xfId="123" xr:uid="{00000000-0005-0000-0000-000083000000}"/>
    <cellStyle name="Currency" xfId="124" builtinId="4"/>
    <cellStyle name="Currency [00]" xfId="125" xr:uid="{00000000-0005-0000-0000-000085000000}"/>
    <cellStyle name="Currency [00] 2" xfId="273" xr:uid="{00000000-0005-0000-0000-000086000000}"/>
    <cellStyle name="Currency 2" xfId="126" xr:uid="{00000000-0005-0000-0000-000087000000}"/>
    <cellStyle name="Currency 2 2" xfId="257" xr:uid="{00000000-0005-0000-0000-000088000000}"/>
    <cellStyle name="Currency 3" xfId="127" xr:uid="{00000000-0005-0000-0000-000089000000}"/>
    <cellStyle name="Currency 4" xfId="128" xr:uid="{00000000-0005-0000-0000-00008A000000}"/>
    <cellStyle name="Currency 5" xfId="129" xr:uid="{00000000-0005-0000-0000-00008B000000}"/>
    <cellStyle name="Currency 6" xfId="130" xr:uid="{00000000-0005-0000-0000-00008C000000}"/>
    <cellStyle name="Currency 7" xfId="131" xr:uid="{00000000-0005-0000-0000-00008D000000}"/>
    <cellStyle name="Currency 8" xfId="261" xr:uid="{00000000-0005-0000-0000-00008E000000}"/>
    <cellStyle name="Currency 8 2" xfId="309" xr:uid="{00000000-0005-0000-0000-00008F000000}"/>
    <cellStyle name="custom" xfId="132" xr:uid="{00000000-0005-0000-0000-000090000000}"/>
    <cellStyle name="Daedalus" xfId="133" xr:uid="{00000000-0005-0000-0000-000091000000}"/>
    <cellStyle name="dan1" xfId="134" xr:uid="{00000000-0005-0000-0000-000092000000}"/>
    <cellStyle name="Date Short" xfId="135" xr:uid="{00000000-0005-0000-0000-000093000000}"/>
    <cellStyle name="Dollars - K" xfId="136" xr:uid="{00000000-0005-0000-0000-000094000000}"/>
    <cellStyle name="Dollars - K 2" xfId="274" xr:uid="{00000000-0005-0000-0000-000095000000}"/>
    <cellStyle name="Dollars - M" xfId="137" xr:uid="{00000000-0005-0000-0000-000096000000}"/>
    <cellStyle name="Dollars - M 2" xfId="275" xr:uid="{00000000-0005-0000-0000-000097000000}"/>
    <cellStyle name="Enter Currency (0)" xfId="138" xr:uid="{00000000-0005-0000-0000-000098000000}"/>
    <cellStyle name="Enter Currency (2)" xfId="139" xr:uid="{00000000-0005-0000-0000-000099000000}"/>
    <cellStyle name="Enter Units (0)" xfId="140" xr:uid="{00000000-0005-0000-0000-00009A000000}"/>
    <cellStyle name="Enter Units (1)" xfId="141" xr:uid="{00000000-0005-0000-0000-00009B000000}"/>
    <cellStyle name="Enter Units (1) 2" xfId="276" xr:uid="{00000000-0005-0000-0000-00009C000000}"/>
    <cellStyle name="Enter Units (2)" xfId="142" xr:uid="{00000000-0005-0000-0000-00009D000000}"/>
    <cellStyle name="Entered" xfId="143" xr:uid="{00000000-0005-0000-0000-00009E000000}"/>
    <cellStyle name="estimate" xfId="144" xr:uid="{00000000-0005-0000-0000-00009F000000}"/>
    <cellStyle name="estimate 2" xfId="277" xr:uid="{00000000-0005-0000-0000-0000A0000000}"/>
    <cellStyle name="Euro" xfId="145" xr:uid="{00000000-0005-0000-0000-0000A1000000}"/>
    <cellStyle name="Explanatory Text" xfId="146" builtinId="53" customBuiltin="1"/>
    <cellStyle name="f12 conversion" xfId="147" xr:uid="{00000000-0005-0000-0000-0000A3000000}"/>
    <cellStyle name="f12 conversion 2" xfId="278" xr:uid="{00000000-0005-0000-0000-0000A4000000}"/>
    <cellStyle name="fEñY [0.00]_pldt" xfId="148" xr:uid="{00000000-0005-0000-0000-000045000000}"/>
    <cellStyle name="fEñY_pldt" xfId="149" xr:uid="{00000000-0005-0000-0000-000046000000}"/>
    <cellStyle name="ƒp[ƒZƒ“ƒg_pldt" xfId="150" xr:uid="{00000000-0005-0000-0000-0000A5000000}"/>
    <cellStyle name="General text fixed" xfId="151" xr:uid="{00000000-0005-0000-0000-0000A6000000}"/>
    <cellStyle name="Good" xfId="152" builtinId="26" customBuiltin="1"/>
    <cellStyle name="Grey" xfId="153" xr:uid="{00000000-0005-0000-0000-0000A8000000}"/>
    <cellStyle name="Header1" xfId="154" xr:uid="{00000000-0005-0000-0000-0000A9000000}"/>
    <cellStyle name="Header2" xfId="155" xr:uid="{00000000-0005-0000-0000-0000AA000000}"/>
    <cellStyle name="Heading 1" xfId="156" builtinId="16" customBuiltin="1"/>
    <cellStyle name="Heading 2" xfId="157" builtinId="17" customBuiltin="1"/>
    <cellStyle name="Heading 3" xfId="158" builtinId="18" customBuiltin="1"/>
    <cellStyle name="Heading 4" xfId="159" builtinId="19" customBuiltin="1"/>
    <cellStyle name="HEADINGS" xfId="160" xr:uid="{00000000-0005-0000-0000-0000AF000000}"/>
    <cellStyle name="HEADINGSTOP" xfId="161" xr:uid="{00000000-0005-0000-0000-0000B0000000}"/>
    <cellStyle name="Input" xfId="162" builtinId="20" customBuiltin="1"/>
    <cellStyle name="Input [yellow]" xfId="163" xr:uid="{00000000-0005-0000-0000-0000B2000000}"/>
    <cellStyle name="Link Currency (0)" xfId="164" xr:uid="{00000000-0005-0000-0000-0000B3000000}"/>
    <cellStyle name="Link Currency (2)" xfId="165" xr:uid="{00000000-0005-0000-0000-0000B4000000}"/>
    <cellStyle name="Link Units (0)" xfId="166" xr:uid="{00000000-0005-0000-0000-0000B5000000}"/>
    <cellStyle name="Link Units (1)" xfId="167" xr:uid="{00000000-0005-0000-0000-0000B6000000}"/>
    <cellStyle name="Link Units (1) 2" xfId="279" xr:uid="{00000000-0005-0000-0000-0000B7000000}"/>
    <cellStyle name="Link Units (2)" xfId="168" xr:uid="{00000000-0005-0000-0000-0000B8000000}"/>
    <cellStyle name="Linked Cell" xfId="169" builtinId="24" customBuiltin="1"/>
    <cellStyle name="Milliers [0]_!!!GO" xfId="170" xr:uid="{00000000-0005-0000-0000-0000BA000000}"/>
    <cellStyle name="Milliers_!!!GO" xfId="171" xr:uid="{00000000-0005-0000-0000-0000BB000000}"/>
    <cellStyle name="millions" xfId="172" xr:uid="{00000000-0005-0000-0000-0000BC000000}"/>
    <cellStyle name="millions 2" xfId="280" xr:uid="{00000000-0005-0000-0000-0000BD000000}"/>
    <cellStyle name="Monetaire [0]_!!!GO" xfId="173" xr:uid="{00000000-0005-0000-0000-0000BE000000}"/>
    <cellStyle name="Monétaire [0]_!!!GO" xfId="174" xr:uid="{00000000-0005-0000-0000-0000BF000000}"/>
    <cellStyle name="Monetaire [0]_!!!GO 2" xfId="281" xr:uid="{00000000-0005-0000-0000-0000C0000000}"/>
    <cellStyle name="Monétaire [0]_!!!GO 2" xfId="282" xr:uid="{00000000-0005-0000-0000-0000C1000000}"/>
    <cellStyle name="Monetaire_!!!GO" xfId="175" xr:uid="{00000000-0005-0000-0000-0000C2000000}"/>
    <cellStyle name="Monétaire_!!!GO" xfId="176" xr:uid="{00000000-0005-0000-0000-0000C3000000}"/>
    <cellStyle name="Monetaire_!!!GO 2" xfId="283" xr:uid="{00000000-0005-0000-0000-0000C4000000}"/>
    <cellStyle name="Monétaire_!!!GO 2" xfId="284" xr:uid="{00000000-0005-0000-0000-0000C5000000}"/>
    <cellStyle name="Neutral" xfId="177" builtinId="28" customBuiltin="1"/>
    <cellStyle name="no dec" xfId="178" xr:uid="{00000000-0005-0000-0000-0000C7000000}"/>
    <cellStyle name="Normal" xfId="0" builtinId="0"/>
    <cellStyle name="Normal - Style1" xfId="179" xr:uid="{00000000-0005-0000-0000-0000C9000000}"/>
    <cellStyle name="Normal 10" xfId="255" xr:uid="{00000000-0005-0000-0000-0000CA000000}"/>
    <cellStyle name="Normal 10 2" xfId="304" xr:uid="{00000000-0005-0000-0000-0000CB000000}"/>
    <cellStyle name="Normal 11" xfId="256" xr:uid="{00000000-0005-0000-0000-0000CC000000}"/>
    <cellStyle name="Normal 11 2" xfId="259" xr:uid="{00000000-0005-0000-0000-0000CD000000}"/>
    <cellStyle name="Normal 11 2 2" xfId="307" xr:uid="{00000000-0005-0000-0000-0000CE000000}"/>
    <cellStyle name="Normal 11 3" xfId="305" xr:uid="{00000000-0005-0000-0000-0000CF000000}"/>
    <cellStyle name="Normal 12" xfId="260" xr:uid="{00000000-0005-0000-0000-0000D0000000}"/>
    <cellStyle name="Normal 12 2" xfId="308" xr:uid="{00000000-0005-0000-0000-0000D1000000}"/>
    <cellStyle name="Normal 13" xfId="263" xr:uid="{00000000-0005-0000-0000-0000D2000000}"/>
    <cellStyle name="Normal 13 2" xfId="311" xr:uid="{00000000-0005-0000-0000-0000D3000000}"/>
    <cellStyle name="Normal 14" xfId="264" xr:uid="{00000000-0005-0000-0000-0000D4000000}"/>
    <cellStyle name="Normal 14 2" xfId="312" xr:uid="{00000000-0005-0000-0000-0000D5000000}"/>
    <cellStyle name="Normal 15" xfId="265" xr:uid="{00000000-0005-0000-0000-0000D6000000}"/>
    <cellStyle name="Normal 16" xfId="313" xr:uid="{00000000-0005-0000-0000-0000D7000000}"/>
    <cellStyle name="Normal 2" xfId="180" xr:uid="{00000000-0005-0000-0000-0000D8000000}"/>
    <cellStyle name="Normal 2 2" xfId="181" xr:uid="{00000000-0005-0000-0000-0000D9000000}"/>
    <cellStyle name="Normal 2 2 2" xfId="285" xr:uid="{00000000-0005-0000-0000-0000DA000000}"/>
    <cellStyle name="Normal 2_Electrical" xfId="182" xr:uid="{00000000-0005-0000-0000-0000DB000000}"/>
    <cellStyle name="Normal 3" xfId="183" xr:uid="{00000000-0005-0000-0000-0000DC000000}"/>
    <cellStyle name="Normal 4" xfId="184" xr:uid="{00000000-0005-0000-0000-0000DD000000}"/>
    <cellStyle name="Normal 5" xfId="185" xr:uid="{00000000-0005-0000-0000-0000DE000000}"/>
    <cellStyle name="Normal 6" xfId="186" xr:uid="{00000000-0005-0000-0000-0000DF000000}"/>
    <cellStyle name="Normal 7" xfId="252" xr:uid="{00000000-0005-0000-0000-0000E0000000}"/>
    <cellStyle name="Normal 8" xfId="253" xr:uid="{00000000-0005-0000-0000-0000E1000000}"/>
    <cellStyle name="Normal 8 2" xfId="302" xr:uid="{00000000-0005-0000-0000-0000E2000000}"/>
    <cellStyle name="Normal 9" xfId="254" xr:uid="{00000000-0005-0000-0000-0000E3000000}"/>
    <cellStyle name="Normal 9 2" xfId="258" xr:uid="{00000000-0005-0000-0000-0000E4000000}"/>
    <cellStyle name="Normal 9 2 2" xfId="306" xr:uid="{00000000-0005-0000-0000-0000E5000000}"/>
    <cellStyle name="Normal 9 3" xfId="303" xr:uid="{00000000-0005-0000-0000-0000E6000000}"/>
    <cellStyle name="Normal_A_43_JF1_Est_Summary_rev_0 2" xfId="187" xr:uid="{00000000-0005-0000-0000-0000E7000000}"/>
    <cellStyle name="Note" xfId="188" builtinId="10" customBuiltin="1"/>
    <cellStyle name="number-red" xfId="189" xr:uid="{00000000-0005-0000-0000-0000E9000000}"/>
    <cellStyle name="Œ…‹æØ‚è [0.00]_laroux" xfId="190" xr:uid="{00000000-0005-0000-0000-0000EA000000}"/>
    <cellStyle name="Œ…‹æØ‚è_laroux" xfId="191" xr:uid="{00000000-0005-0000-0000-0000EB000000}"/>
    <cellStyle name="Output" xfId="192" builtinId="21" customBuiltin="1"/>
    <cellStyle name="per.style" xfId="193" xr:uid="{00000000-0005-0000-0000-0000ED000000}"/>
    <cellStyle name="Percent" xfId="194" builtinId="5"/>
    <cellStyle name="Percent [0]" xfId="195" xr:uid="{00000000-0005-0000-0000-0000EF000000}"/>
    <cellStyle name="Percent [0] 2" xfId="286" xr:uid="{00000000-0005-0000-0000-0000F0000000}"/>
    <cellStyle name="Percent [00]" xfId="196" xr:uid="{00000000-0005-0000-0000-0000F1000000}"/>
    <cellStyle name="Percent [00] 2" xfId="287" xr:uid="{00000000-0005-0000-0000-0000F2000000}"/>
    <cellStyle name="Percent [2]" xfId="197" xr:uid="{00000000-0005-0000-0000-0000F3000000}"/>
    <cellStyle name="Percent 2" xfId="198" xr:uid="{00000000-0005-0000-0000-0000F4000000}"/>
    <cellStyle name="Percent 2 2" xfId="288" xr:uid="{00000000-0005-0000-0000-0000F5000000}"/>
    <cellStyle name="Percent 3" xfId="199" xr:uid="{00000000-0005-0000-0000-0000F6000000}"/>
    <cellStyle name="Percent 4" xfId="262" xr:uid="{00000000-0005-0000-0000-0000F7000000}"/>
    <cellStyle name="Percent 4 2" xfId="310" xr:uid="{00000000-0005-0000-0000-0000F8000000}"/>
    <cellStyle name="PrePop Currency (0)" xfId="200" xr:uid="{00000000-0005-0000-0000-0000F9000000}"/>
    <cellStyle name="PrePop Currency (2)" xfId="201" xr:uid="{00000000-0005-0000-0000-0000FA000000}"/>
    <cellStyle name="PrePop Units (0)" xfId="202" xr:uid="{00000000-0005-0000-0000-0000FB000000}"/>
    <cellStyle name="PrePop Units (1)" xfId="203" xr:uid="{00000000-0005-0000-0000-0000FC000000}"/>
    <cellStyle name="PrePop Units (1) 2" xfId="289" xr:uid="{00000000-0005-0000-0000-0000FD000000}"/>
    <cellStyle name="PrePop Units (2)" xfId="204" xr:uid="{00000000-0005-0000-0000-0000FE000000}"/>
    <cellStyle name="pricing" xfId="205" xr:uid="{00000000-0005-0000-0000-0000FF000000}"/>
    <cellStyle name="pricing 2" xfId="290" xr:uid="{00000000-0005-0000-0000-000000010000}"/>
    <cellStyle name="PSChar" xfId="206" xr:uid="{00000000-0005-0000-0000-000001010000}"/>
    <cellStyle name="PSChar 2" xfId="291" xr:uid="{00000000-0005-0000-0000-000002010000}"/>
    <cellStyle name="PSDate" xfId="207" xr:uid="{00000000-0005-0000-0000-000003010000}"/>
    <cellStyle name="PSDate 2" xfId="292" xr:uid="{00000000-0005-0000-0000-000004010000}"/>
    <cellStyle name="PSDec" xfId="208" xr:uid="{00000000-0005-0000-0000-000005010000}"/>
    <cellStyle name="PSDec 2" xfId="293" xr:uid="{00000000-0005-0000-0000-000006010000}"/>
    <cellStyle name="PSHeading" xfId="209" xr:uid="{00000000-0005-0000-0000-000007010000}"/>
    <cellStyle name="PSInt" xfId="210" xr:uid="{00000000-0005-0000-0000-000008010000}"/>
    <cellStyle name="PSInt 2" xfId="294" xr:uid="{00000000-0005-0000-0000-000009010000}"/>
    <cellStyle name="PSSpacer" xfId="211" xr:uid="{00000000-0005-0000-0000-00000A010000}"/>
    <cellStyle name="PSSpacer 2" xfId="295" xr:uid="{00000000-0005-0000-0000-00000B010000}"/>
    <cellStyle name="QDF" xfId="212" xr:uid="{00000000-0005-0000-0000-00000C010000}"/>
    <cellStyle name="Red,Bold,12pt" xfId="213" xr:uid="{00000000-0005-0000-0000-00000D010000}"/>
    <cellStyle name="regstoresfromspecstores" xfId="214" xr:uid="{00000000-0005-0000-0000-00000E010000}"/>
    <cellStyle name="RevList" xfId="215" xr:uid="{00000000-0005-0000-0000-00000F010000}"/>
    <cellStyle name="RevList 2" xfId="296" xr:uid="{00000000-0005-0000-0000-000010010000}"/>
    <cellStyle name="s" xfId="216" xr:uid="{00000000-0005-0000-0000-000011010000}"/>
    <cellStyle name="s 2" xfId="297" xr:uid="{00000000-0005-0000-0000-000012010000}"/>
    <cellStyle name="s_A-1405_D1C1268_LOR4.1 Gap Analysis_Est Rev 2" xfId="217" xr:uid="{00000000-0005-0000-0000-000013010000}"/>
    <cellStyle name="s_A-1511_D1C1268_FCLWaste48_Est_Rev 0" xfId="218" xr:uid="{00000000-0005-0000-0000-000014010000}"/>
    <cellStyle name="s_A-1579 Solvent room dip tube exchange_Rev 0" xfId="219" xr:uid="{00000000-0005-0000-0000-000015010000}"/>
    <cellStyle name="s_A-XXXX_D1C1269_MAH Installation_Est Rev 0" xfId="220" xr:uid="{00000000-0005-0000-0000-000016010000}"/>
    <cellStyle name="s_CS-1327 D1E FFU vs RAH_Rev 0" xfId="221" xr:uid="{00000000-0005-0000-0000-000017010000}"/>
    <cellStyle name="s_Electrical" xfId="222" xr:uid="{00000000-0005-0000-0000-000018010000}"/>
    <cellStyle name="s_Electrical 2" xfId="298" xr:uid="{00000000-0005-0000-0000-000019010000}"/>
    <cellStyle name="s_Electrical_A-1405_D1C1268_LOR4.1 Gap Analysis_Est Rev 2" xfId="223" xr:uid="{00000000-0005-0000-0000-00001A010000}"/>
    <cellStyle name="s_Electrical_A-1511_D1C1268_FCLWaste48_Est_Rev 0" xfId="224" xr:uid="{00000000-0005-0000-0000-00001B010000}"/>
    <cellStyle name="s_Electrical_CS-1327 D1E FFU vs RAH_Rev 0" xfId="225" xr:uid="{00000000-0005-0000-0000-00001C010000}"/>
    <cellStyle name="s_Electrical_LOR4_0 B01_rev 0" xfId="226" xr:uid="{00000000-0005-0000-0000-00001D010000}"/>
    <cellStyle name="s_FCL A-1134_P01S_D1C1268_Programming Est_Rev 0" xfId="227" xr:uid="{00000000-0005-0000-0000-00001E010000}"/>
    <cellStyle name="s_IT" xfId="228" xr:uid="{00000000-0005-0000-0000-00001F010000}"/>
    <cellStyle name="s_IT_LOR4_0 B01_rev 0" xfId="229" xr:uid="{00000000-0005-0000-0000-000020010000}"/>
    <cellStyle name="s_LOR4_0 Rev 1 TBD_D1C1268_Programming Est_Rev 0" xfId="230" xr:uid="{00000000-0005-0000-0000-000021010000}"/>
    <cellStyle name="s_LR4-A-1129_D1C1268_C01A Package Est_Rev 0" xfId="231" xr:uid="{00000000-0005-0000-0000-000022010000}"/>
    <cellStyle name="s_Mechanical FFU" xfId="232" xr:uid="{00000000-0005-0000-0000-000023010000}"/>
    <cellStyle name="shade" xfId="233" xr:uid="{00000000-0005-0000-0000-000024010000}"/>
    <cellStyle name="SHADEDSTORES" xfId="234" xr:uid="{00000000-0005-0000-0000-000025010000}"/>
    <cellStyle name="specstores" xfId="235" xr:uid="{00000000-0005-0000-0000-000026010000}"/>
    <cellStyle name="STANDARD" xfId="236" xr:uid="{00000000-0005-0000-0000-000027010000}"/>
    <cellStyle name="Style 1" xfId="237" xr:uid="{00000000-0005-0000-0000-000028010000}"/>
    <cellStyle name="Subtotal" xfId="238" xr:uid="{00000000-0005-0000-0000-000029010000}"/>
    <cellStyle name="taples Plaza" xfId="239" xr:uid="{00000000-0005-0000-0000-00002A010000}"/>
    <cellStyle name="Text Indent A" xfId="240" xr:uid="{00000000-0005-0000-0000-00002B010000}"/>
    <cellStyle name="Text Indent B" xfId="241" xr:uid="{00000000-0005-0000-0000-00002C010000}"/>
    <cellStyle name="Text Indent B 2" xfId="299" xr:uid="{00000000-0005-0000-0000-00002D010000}"/>
    <cellStyle name="Text Indent C" xfId="242" xr:uid="{00000000-0005-0000-0000-00002E010000}"/>
    <cellStyle name="Text Indent C 2" xfId="300" xr:uid="{00000000-0005-0000-0000-00002F010000}"/>
    <cellStyle name="thousands" xfId="243" xr:uid="{00000000-0005-0000-0000-000030010000}"/>
    <cellStyle name="thousands 2" xfId="301" xr:uid="{00000000-0005-0000-0000-000031010000}"/>
    <cellStyle name="Title" xfId="244" builtinId="15" customBuiltin="1"/>
    <cellStyle name="Total" xfId="245" builtinId="25" customBuiltin="1"/>
    <cellStyle name="UPDATED%" xfId="246" xr:uid="{00000000-0005-0000-0000-000034010000}"/>
    <cellStyle name="Warning Text" xfId="247" builtinId="11" customBuiltin="1"/>
    <cellStyle name="yel_hlight" xfId="248" xr:uid="{00000000-0005-0000-0000-000036010000}"/>
    <cellStyle name="常规_90% design estimate sheet（改）1" xfId="249" xr:uid="{00000000-0005-0000-0000-000037010000}"/>
    <cellStyle name="桁区切り_Metal core CDA Equipment Inputs rev03 020418" xfId="250" xr:uid="{00000000-0005-0000-0000-000038010000}"/>
    <cellStyle name="標準_1262 SCM Metal core ﾊﾞｲﾌﾞﾙrev.01 011107" xfId="251" xr:uid="{00000000-0005-0000-0000-000039010000}"/>
  </cellStyles>
  <dxfs count="1">
    <dxf>
      <fill>
        <patternFill>
          <bgColor theme="1" tint="0.49998474074526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3399"/>
      <color rgb="FFB7DEE8"/>
      <color rgb="FF000099"/>
      <color rgb="FF3366CC"/>
      <color rgb="FF004494"/>
      <color rgb="FF0000FF"/>
      <color rgb="FF0091CF"/>
      <color rgb="FFBDEBFF"/>
      <color rgb="FF0066FF"/>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54234822968756E-2"/>
          <c:y val="3.8737749703838996E-2"/>
          <c:w val="0.8525683643669667"/>
          <c:h val="0.80912615469824545"/>
        </c:manualLayout>
      </c:layout>
      <c:lineChart>
        <c:grouping val="standard"/>
        <c:varyColors val="0"/>
        <c:ser>
          <c:idx val="5"/>
          <c:order val="0"/>
          <c:tx>
            <c:strRef>
              <c:f>Dashboard!$J$40</c:f>
              <c:strCache>
                <c:ptCount val="1"/>
                <c:pt idx="0">
                  <c:v>High Range ($)</c:v>
                </c:pt>
              </c:strCache>
            </c:strRef>
          </c:tx>
          <c:marker>
            <c:symbol val="none"/>
          </c:marker>
          <c:cat>
            <c:strRef>
              <c:f>Dashboard!$B$41:$B$46</c:f>
              <c:strCache>
                <c:ptCount val="6"/>
                <c:pt idx="0">
                  <c:v>Project Charter</c:v>
                </c:pt>
                <c:pt idx="1">
                  <c:v>Business Case - Gate 1</c:v>
                </c:pt>
                <c:pt idx="2">
                  <c:v>Preliminary Design - Gate 2</c:v>
                </c:pt>
                <c:pt idx="3">
                  <c:v>100% Design/ Pre-Bid - Gate 3</c:v>
                </c:pt>
                <c:pt idx="4">
                  <c:v>Bid Acceptance - Gate 4</c:v>
                </c:pt>
                <c:pt idx="5">
                  <c:v>Project Closeout - Gate 5</c:v>
                </c:pt>
              </c:strCache>
            </c:strRef>
          </c:cat>
          <c:val>
            <c:numRef>
              <c:f>Dashboard!$J$41:$J$46</c:f>
              <c:numCache>
                <c:formatCode>_("$"* #,##0.00_);_("$"* \(#,##0.00\);_("$"* "-"??_);_(@_)</c:formatCode>
                <c:ptCount val="6"/>
              </c:numCache>
            </c:numRef>
          </c:val>
          <c:smooth val="0"/>
          <c:extLst>
            <c:ext xmlns:c16="http://schemas.microsoft.com/office/drawing/2014/chart" uri="{C3380CC4-5D6E-409C-BE32-E72D297353CC}">
              <c16:uniqueId val="{00000000-6F2D-4108-8474-1FA1421BC1BC}"/>
            </c:ext>
          </c:extLst>
        </c:ser>
        <c:ser>
          <c:idx val="4"/>
          <c:order val="1"/>
          <c:tx>
            <c:strRef>
              <c:f>Dashboard!$I$40</c:f>
              <c:strCache>
                <c:ptCount val="1"/>
                <c:pt idx="0">
                  <c:v>Low Range ($)</c:v>
                </c:pt>
              </c:strCache>
            </c:strRef>
          </c:tx>
          <c:marker>
            <c:symbol val="none"/>
          </c:marker>
          <c:cat>
            <c:strRef>
              <c:f>Dashboard!$B$41:$B$46</c:f>
              <c:strCache>
                <c:ptCount val="6"/>
                <c:pt idx="0">
                  <c:v>Project Charter</c:v>
                </c:pt>
                <c:pt idx="1">
                  <c:v>Business Case - Gate 1</c:v>
                </c:pt>
                <c:pt idx="2">
                  <c:v>Preliminary Design - Gate 2</c:v>
                </c:pt>
                <c:pt idx="3">
                  <c:v>100% Design/ Pre-Bid - Gate 3</c:v>
                </c:pt>
                <c:pt idx="4">
                  <c:v>Bid Acceptance - Gate 4</c:v>
                </c:pt>
                <c:pt idx="5">
                  <c:v>Project Closeout - Gate 5</c:v>
                </c:pt>
              </c:strCache>
            </c:strRef>
          </c:cat>
          <c:val>
            <c:numRef>
              <c:f>Dashboard!$I$41:$I$46</c:f>
              <c:numCache>
                <c:formatCode>_("$"* #,##0.00_);_("$"* \(#,##0.00\);_("$"* "-"??_);_(@_)</c:formatCode>
                <c:ptCount val="6"/>
              </c:numCache>
            </c:numRef>
          </c:val>
          <c:smooth val="0"/>
          <c:extLst>
            <c:ext xmlns:c16="http://schemas.microsoft.com/office/drawing/2014/chart" uri="{C3380CC4-5D6E-409C-BE32-E72D297353CC}">
              <c16:uniqueId val="{00000001-6F2D-4108-8474-1FA1421BC1BC}"/>
            </c:ext>
          </c:extLst>
        </c:ser>
        <c:ser>
          <c:idx val="3"/>
          <c:order val="2"/>
          <c:tx>
            <c:strRef>
              <c:f>Dashboard!$H$40</c:f>
              <c:strCache>
                <c:ptCount val="1"/>
                <c:pt idx="0">
                  <c:v>Estimate ($)</c:v>
                </c:pt>
              </c:strCache>
            </c:strRef>
          </c:tx>
          <c:marker>
            <c:symbol val="none"/>
          </c:marker>
          <c:cat>
            <c:strRef>
              <c:f>Dashboard!$B$41:$B$46</c:f>
              <c:strCache>
                <c:ptCount val="6"/>
                <c:pt idx="0">
                  <c:v>Project Charter</c:v>
                </c:pt>
                <c:pt idx="1">
                  <c:v>Business Case - Gate 1</c:v>
                </c:pt>
                <c:pt idx="2">
                  <c:v>Preliminary Design - Gate 2</c:v>
                </c:pt>
                <c:pt idx="3">
                  <c:v>100% Design/ Pre-Bid - Gate 3</c:v>
                </c:pt>
                <c:pt idx="4">
                  <c:v>Bid Acceptance - Gate 4</c:v>
                </c:pt>
                <c:pt idx="5">
                  <c:v>Project Closeout - Gate 5</c:v>
                </c:pt>
              </c:strCache>
            </c:strRef>
          </c:cat>
          <c:val>
            <c:numRef>
              <c:f>Dashboard!$H$41:$H$46</c:f>
              <c:numCache>
                <c:formatCode>_("$"* #,##0.00_);_("$"* \(#,##0.00\);_("$"* "-"??_);_(@_)</c:formatCode>
                <c:ptCount val="6"/>
              </c:numCache>
            </c:numRef>
          </c:val>
          <c:smooth val="0"/>
          <c:extLst>
            <c:ext xmlns:c16="http://schemas.microsoft.com/office/drawing/2014/chart" uri="{C3380CC4-5D6E-409C-BE32-E72D297353CC}">
              <c16:uniqueId val="{00000002-6F2D-4108-8474-1FA1421BC1BC}"/>
            </c:ext>
          </c:extLst>
        </c:ser>
        <c:dLbls>
          <c:showLegendKey val="0"/>
          <c:showVal val="0"/>
          <c:showCatName val="0"/>
          <c:showSerName val="0"/>
          <c:showPercent val="0"/>
          <c:showBubbleSize val="0"/>
        </c:dLbls>
        <c:smooth val="0"/>
        <c:axId val="147866368"/>
        <c:axId val="147867904"/>
      </c:lineChart>
      <c:catAx>
        <c:axId val="147866368"/>
        <c:scaling>
          <c:orientation val="minMax"/>
        </c:scaling>
        <c:delete val="0"/>
        <c:axPos val="b"/>
        <c:numFmt formatCode="General" sourceLinked="1"/>
        <c:majorTickMark val="out"/>
        <c:minorTickMark val="none"/>
        <c:tickLblPos val="nextTo"/>
        <c:crossAx val="147867904"/>
        <c:crosses val="autoZero"/>
        <c:auto val="1"/>
        <c:lblAlgn val="ctr"/>
        <c:lblOffset val="100"/>
        <c:noMultiLvlLbl val="0"/>
      </c:catAx>
      <c:valAx>
        <c:axId val="147867904"/>
        <c:scaling>
          <c:orientation val="minMax"/>
        </c:scaling>
        <c:delete val="0"/>
        <c:axPos val="l"/>
        <c:majorGridlines/>
        <c:numFmt formatCode="_(&quot;$&quot;* #,##0.00_);_(&quot;$&quot;* \(#,##0.00\);_(&quot;$&quot;* &quot;-&quot;??_);_(@_)" sourceLinked="1"/>
        <c:majorTickMark val="out"/>
        <c:minorTickMark val="none"/>
        <c:tickLblPos val="nextTo"/>
        <c:crossAx val="147866368"/>
        <c:crosses val="autoZero"/>
        <c:crossBetween val="between"/>
      </c:valAx>
      <c:spPr>
        <a:solidFill>
          <a:srgbClr val="1F497D">
            <a:lumMod val="20000"/>
            <a:lumOff val="80000"/>
          </a:srgbClr>
        </a:solidFill>
      </c:spPr>
    </c:plotArea>
    <c:legend>
      <c:legendPos val="r"/>
      <c:layout>
        <c:manualLayout>
          <c:xMode val="edge"/>
          <c:yMode val="edge"/>
          <c:x val="0.91020494238727845"/>
          <c:y val="7.7349397457960545E-2"/>
          <c:w val="7.8897071792292855E-2"/>
          <c:h val="0.50002115435758065"/>
        </c:manualLayout>
      </c:layout>
      <c:overlay val="0"/>
    </c:legend>
    <c:plotVisOnly val="1"/>
    <c:dispBlanksAs val="zero"/>
    <c:showDLblsOverMax val="0"/>
  </c:chart>
  <c:spPr>
    <a:gradFill>
      <a:gsLst>
        <a:gs pos="0">
          <a:srgbClr val="4F81BD">
            <a:tint val="66000"/>
            <a:satMod val="160000"/>
          </a:srgbClr>
        </a:gs>
        <a:gs pos="50000">
          <a:srgbClr val="4F81BD">
            <a:tint val="44500"/>
            <a:satMod val="160000"/>
          </a:srgbClr>
        </a:gs>
        <a:gs pos="100000">
          <a:srgbClr val="4F81BD">
            <a:tint val="23500"/>
            <a:satMod val="160000"/>
          </a:srgbClr>
        </a:gs>
      </a:gsLst>
      <a:lin ang="2700000" scaled="1"/>
    </a:gradFill>
    <a:ln w="22225" cmpd="sng">
      <a:solidFill>
        <a:schemeClr val="tx1"/>
      </a:solidFill>
    </a:ln>
    <a:effectLst>
      <a:outerShdw blurRad="50800" dist="38100" dir="2700000" algn="tl" rotWithShape="0">
        <a:prstClr val="black">
          <a:alpha val="40000"/>
        </a:prstClr>
      </a:outerShdw>
    </a:effectLst>
    <a:scene3d>
      <a:camera prst="orthographicFront"/>
      <a:lightRig rig="threePt" dir="t"/>
    </a:scene3d>
    <a:sp3d>
      <a:bevelT/>
    </a:sp3d>
  </c:spPr>
  <c:printSettings>
    <c:headerFooter/>
    <c:pageMargins b="0.75000000000000711" l="0.70000000000000062" r="0.70000000000000062" t="0.7500000000000071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142240</xdr:colOff>
      <xdr:row>28</xdr:row>
      <xdr:rowOff>95885</xdr:rowOff>
    </xdr:from>
    <xdr:to>
      <xdr:col>10</xdr:col>
      <xdr:colOff>188325</xdr:colOff>
      <xdr:row>35</xdr:row>
      <xdr:rowOff>33831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8819515" y="5572760"/>
          <a:ext cx="3170285" cy="1071421"/>
        </a:xfrm>
        <a:prstGeom prst="rect">
          <a:avLst/>
        </a:prstGeom>
      </xdr:spPr>
    </xdr:pic>
    <xdr:clientData/>
  </xdr:twoCellAnchor>
  <xdr:twoCellAnchor editAs="absolute">
    <xdr:from>
      <xdr:col>4</xdr:col>
      <xdr:colOff>114300</xdr:colOff>
      <xdr:row>0</xdr:row>
      <xdr:rowOff>93345</xdr:rowOff>
    </xdr:from>
    <xdr:to>
      <xdr:col>14</xdr:col>
      <xdr:colOff>400050</xdr:colOff>
      <xdr:row>27</xdr:row>
      <xdr:rowOff>123825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8791575" y="93345"/>
          <a:ext cx="5429250" cy="530733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Instructions:</a:t>
          </a:r>
        </a:p>
        <a:p>
          <a:r>
            <a:rPr lang="en-US" sz="1200" baseline="0"/>
            <a:t>STEP 1: Fill in User Defined fields in white and green cells. Blue fields are auto-populated.</a:t>
          </a:r>
        </a:p>
        <a:p>
          <a:r>
            <a:rPr lang="en-US" sz="1200" baseline="0"/>
            <a:t>STEP 2: Fill out Hard/ Soft Cost Estimate forms (Optional Soft Cost Form Available)</a:t>
          </a:r>
        </a:p>
        <a:p>
          <a:r>
            <a:rPr lang="en-US" sz="1200" baseline="0"/>
            <a:t>STEP 3: Click on the Dashboard form and manually update dashboard.</a:t>
          </a:r>
        </a:p>
        <a:p>
          <a:endParaRPr lang="en-US" sz="1200" baseline="0"/>
        </a:p>
        <a:p>
          <a:r>
            <a:rPr lang="en-US" sz="1400" b="1" u="sng"/>
            <a:t>Scope Accuracy:</a:t>
          </a:r>
        </a:p>
        <a:p>
          <a:r>
            <a:rPr lang="en-US" sz="1200" b="1"/>
            <a:t>Level 1:</a:t>
          </a:r>
          <a:r>
            <a:rPr lang="en-US" sz="1200"/>
            <a:t> Project scope well understood and well defined. </a:t>
          </a:r>
        </a:p>
        <a:p>
          <a:pPr marL="0" indent="-457200"/>
          <a:r>
            <a:rPr lang="en-US" sz="1200" b="1"/>
            <a:t>Level 2:</a:t>
          </a:r>
          <a:r>
            <a:rPr lang="en-US" sz="1200"/>
            <a:t> Project scope conceptual.  Scope lacks detail due to potential permit requirements; </a:t>
          </a:r>
          <a:r>
            <a:rPr lang="en-US" sz="1200" baseline="0"/>
            <a:t> </a:t>
          </a:r>
          <a:r>
            <a:rPr lang="en-US" sz="1200"/>
            <a:t>Unknown project conditions; limited knowledge of external impacts.</a:t>
          </a:r>
        </a:p>
        <a:p>
          <a:r>
            <a:rPr lang="en-US" sz="1200" b="1"/>
            <a:t>Level 3:</a:t>
          </a:r>
          <a:r>
            <a:rPr lang="en-US" sz="1200"/>
            <a:t> Project scope is a "vision" with limited detail.</a:t>
          </a:r>
        </a:p>
        <a:p>
          <a:r>
            <a:rPr lang="en-US" sz="1200"/>
            <a:t> </a:t>
          </a:r>
        </a:p>
        <a:p>
          <a:r>
            <a:rPr lang="en-US" sz="1400" b="1" u="sng"/>
            <a:t>Engineering Effort:</a:t>
          </a:r>
        </a:p>
        <a:p>
          <a:r>
            <a:rPr lang="en-US" sz="1200" b="1"/>
            <a:t>Level A:</a:t>
          </a:r>
          <a:r>
            <a:rPr lang="en-US" sz="1200"/>
            <a:t> Preliminary engineering performed.  Technical is information available, engineering calculations have been performed; clear understanding of the materials size and quantities needed to execute job.  Schedule understood; staff and permitting is fairly clear, (however this element may still need refining.) Project Development &amp; Construction Contingencies ranges between 15%-20%.</a:t>
          </a:r>
        </a:p>
        <a:p>
          <a:r>
            <a:rPr lang="en-US" sz="1200" b="1"/>
            <a:t>Level B: </a:t>
          </a:r>
          <a:r>
            <a:rPr lang="en-US" sz="1200"/>
            <a:t>Conceptual engineering performed.  Technical information is available, rough engineering calculations may have been performed, or similar information from previous similar work is compared and used.  Project Development Contingencies ranges between 15% to 25% and Construction Contingencies ranges between 20% to 30%.</a:t>
          </a:r>
        </a:p>
        <a:p>
          <a:r>
            <a:rPr lang="en-US" sz="1200" b="1"/>
            <a:t>Level C: </a:t>
          </a:r>
          <a:r>
            <a:rPr lang="en-US" sz="1200"/>
            <a:t>No engineering performed.  Educated guesstimating.  Limited technical information available and/or analysis performed. Project Development and Construction Contingencies should be selected appropriately by Project Manager.  Contingency may range up to 50%.</a:t>
          </a:r>
        </a:p>
        <a:p>
          <a:endParaRPr lang="en-US" sz="1200"/>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8</xdr:col>
      <xdr:colOff>99855</xdr:colOff>
      <xdr:row>0</xdr:row>
      <xdr:rowOff>38100</xdr:rowOff>
    </xdr:from>
    <xdr:to>
      <xdr:col>12</xdr:col>
      <xdr:colOff>457090</xdr:colOff>
      <xdr:row>6</xdr:row>
      <xdr:rowOff>181151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1463180" y="38100"/>
          <a:ext cx="3186160" cy="1047926"/>
        </a:xfrm>
        <a:prstGeom prst="rect">
          <a:avLst/>
        </a:prstGeom>
      </xdr:spPr>
    </xdr:pic>
    <xdr:clientData fPrintsWithSheet="0"/>
  </xdr:twoCellAnchor>
</xdr:wsDr>
</file>

<file path=xl/drawings/drawing3.xml><?xml version="1.0" encoding="utf-8"?>
<xdr:wsDr xmlns:xdr="http://schemas.openxmlformats.org/drawingml/2006/spreadsheetDrawing" xmlns:a="http://schemas.openxmlformats.org/drawingml/2006/main">
  <xdr:twoCellAnchor editAs="oneCell">
    <xdr:from>
      <xdr:col>12</xdr:col>
      <xdr:colOff>79236</xdr:colOff>
      <xdr:row>0</xdr:row>
      <xdr:rowOff>67235</xdr:rowOff>
    </xdr:from>
    <xdr:to>
      <xdr:col>17</xdr:col>
      <xdr:colOff>272677</xdr:colOff>
      <xdr:row>6</xdr:row>
      <xdr:rowOff>144068</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1486824" y="67235"/>
          <a:ext cx="3106971" cy="1186215"/>
        </a:xfrm>
        <a:prstGeom prst="rect">
          <a:avLst/>
        </a:prstGeom>
      </xdr:spPr>
    </xdr:pic>
    <xdr:clientData/>
  </xdr:twoCellAnchor>
  <xdr:twoCellAnchor editAs="absolute">
    <xdr:from>
      <xdr:col>12</xdr:col>
      <xdr:colOff>145676</xdr:colOff>
      <xdr:row>7</xdr:row>
      <xdr:rowOff>156882</xdr:rowOff>
    </xdr:from>
    <xdr:to>
      <xdr:col>21</xdr:col>
      <xdr:colOff>509867</xdr:colOff>
      <xdr:row>20</xdr:row>
      <xdr:rowOff>145677</xdr:rowOff>
    </xdr:to>
    <xdr:sp macro="" textlink="">
      <xdr:nvSpPr>
        <xdr:cNvPr id="7" name="TextBox 6">
          <a:extLst>
            <a:ext uri="{FF2B5EF4-FFF2-40B4-BE49-F238E27FC236}">
              <a16:creationId xmlns:a16="http://schemas.microsoft.com/office/drawing/2014/main" id="{15C40A6C-8112-46AE-99F6-50E2FFF13337}"/>
            </a:ext>
          </a:extLst>
        </xdr:cNvPr>
        <xdr:cNvSpPr txBox="1"/>
      </xdr:nvSpPr>
      <xdr:spPr>
        <a:xfrm>
          <a:off x="11553264" y="1467970"/>
          <a:ext cx="5429250" cy="2465295"/>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Instructions:</a:t>
          </a:r>
        </a:p>
        <a:p>
          <a:endParaRPr lang="en-US" sz="1200" baseline="0"/>
        </a:p>
        <a:p>
          <a:r>
            <a:rPr lang="en-US" sz="1200" baseline="0"/>
            <a:t>Estimating Method (Percentage Based)</a:t>
          </a:r>
        </a:p>
        <a:p>
          <a:r>
            <a:rPr lang="en-US" sz="1200" baseline="0"/>
            <a:t>STEP 1:  Select "Percentage Based" under Estimating Method</a:t>
          </a:r>
        </a:p>
        <a:p>
          <a:r>
            <a:rPr lang="en-US" sz="1200" baseline="0"/>
            <a:t>STEP 2: Enter % Soft Cost (as percentage of Hard Cost)</a:t>
          </a:r>
        </a:p>
        <a:p>
          <a:endParaRPr lang="en-US" sz="1200" baseline="0"/>
        </a:p>
        <a:p>
          <a:r>
            <a:rPr lang="en-US" sz="1200" baseline="0"/>
            <a:t>Estimating Method (Hourly Estimate)</a:t>
          </a:r>
        </a:p>
        <a:p>
          <a:r>
            <a:rPr lang="en-US" sz="1200" baseline="0"/>
            <a:t>STEP 1: Select "Hourly Estimate" under Estimating Method</a:t>
          </a:r>
        </a:p>
        <a:p>
          <a:r>
            <a:rPr lang="en-US" sz="1200" baseline="0"/>
            <a:t>STEP 2: Fill in Unit Rates/ Quantities and Unit Fields, or as an option, utilize the schedule and resource form to calculate hours based on project schedule (Quantities reference the optional &amp; resource form, if the form is not utilized, the formulas can be overwritten by desired quantities).</a:t>
          </a:r>
          <a:endParaRPr lang="en-US" sz="1200"/>
        </a:p>
      </xdr:txBody>
    </xdr:sp>
    <xdr:clientData fPrintsWithSheet="0"/>
  </xdr:twoCellAnchor>
</xdr:wsDr>
</file>

<file path=xl/drawings/drawing4.xml><?xml version="1.0" encoding="utf-8"?>
<xdr:wsDr xmlns:xdr="http://schemas.openxmlformats.org/drawingml/2006/spreadsheetDrawing" xmlns:a="http://schemas.openxmlformats.org/drawingml/2006/main">
  <xdr:twoCellAnchor editAs="oneCell">
    <xdr:from>
      <xdr:col>7</xdr:col>
      <xdr:colOff>62753</xdr:colOff>
      <xdr:row>0</xdr:row>
      <xdr:rowOff>53788</xdr:rowOff>
    </xdr:from>
    <xdr:to>
      <xdr:col>13</xdr:col>
      <xdr:colOff>148550</xdr:colOff>
      <xdr:row>7</xdr:row>
      <xdr:rowOff>105149</xdr:rowOff>
    </xdr:to>
    <xdr:pic>
      <xdr:nvPicPr>
        <xdr:cNvPr id="3" name="Picture 2">
          <a:extLst>
            <a:ext uri="{FF2B5EF4-FFF2-40B4-BE49-F238E27FC236}">
              <a16:creationId xmlns:a16="http://schemas.microsoft.com/office/drawing/2014/main" id="{BB2E7A2F-E4A5-4933-8544-42705F4F8F80}"/>
            </a:ext>
          </a:extLst>
        </xdr:cNvPr>
        <xdr:cNvPicPr>
          <a:picLocks noChangeAspect="1"/>
        </xdr:cNvPicPr>
      </xdr:nvPicPr>
      <xdr:blipFill>
        <a:blip xmlns:r="http://schemas.openxmlformats.org/officeDocument/2006/relationships" r:embed="rId1"/>
        <a:stretch>
          <a:fillRect/>
        </a:stretch>
      </xdr:blipFill>
      <xdr:spPr>
        <a:xfrm>
          <a:off x="8940053" y="53788"/>
          <a:ext cx="3286197" cy="1499161"/>
        </a:xfrm>
        <a:prstGeom prst="rect">
          <a:avLst/>
        </a:prstGeom>
      </xdr:spPr>
    </xdr:pic>
    <xdr:clientData/>
  </xdr:twoCellAnchor>
  <xdr:twoCellAnchor editAs="absolute">
    <xdr:from>
      <xdr:col>7</xdr:col>
      <xdr:colOff>112058</xdr:colOff>
      <xdr:row>7</xdr:row>
      <xdr:rowOff>112060</xdr:rowOff>
    </xdr:from>
    <xdr:to>
      <xdr:col>18</xdr:col>
      <xdr:colOff>504264</xdr:colOff>
      <xdr:row>14</xdr:row>
      <xdr:rowOff>33619</xdr:rowOff>
    </xdr:to>
    <xdr:sp macro="" textlink="">
      <xdr:nvSpPr>
        <xdr:cNvPr id="5" name="TextBox 4">
          <a:extLst>
            <a:ext uri="{FF2B5EF4-FFF2-40B4-BE49-F238E27FC236}">
              <a16:creationId xmlns:a16="http://schemas.microsoft.com/office/drawing/2014/main" id="{CAEC13A5-9169-4D4D-8715-ACE40F89B673}"/>
            </a:ext>
          </a:extLst>
        </xdr:cNvPr>
        <xdr:cNvSpPr txBox="1"/>
      </xdr:nvSpPr>
      <xdr:spPr>
        <a:xfrm>
          <a:off x="8998323" y="1568825"/>
          <a:ext cx="6308912" cy="1322294"/>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t>Instructions:</a:t>
          </a:r>
        </a:p>
        <a:p>
          <a:endParaRPr lang="en-US" sz="1200" baseline="0"/>
        </a:p>
        <a:p>
          <a:r>
            <a:rPr lang="en-US" sz="1200" baseline="0"/>
            <a:t>1. Enter estimated start and end dates for different phases of project.</a:t>
          </a:r>
        </a:p>
        <a:p>
          <a:r>
            <a:rPr lang="en-US" sz="1200" baseline="0"/>
            <a:t>2. Enter in average hours/ week for each role for the duration of project (for all 4 phases listed)</a:t>
          </a:r>
        </a:p>
        <a:p>
          <a:r>
            <a:rPr lang="en-US" sz="1200" baseline="0"/>
            <a:t>3. Hours will populate to the soft cost estimating form if formulas have not been modified.</a:t>
          </a:r>
        </a:p>
        <a:p>
          <a:r>
            <a:rPr lang="en-US" sz="1200" baseline="0"/>
            <a:t>4. CASS is calculated based on the number of total hours</a:t>
          </a: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1</xdr:col>
      <xdr:colOff>19049</xdr:colOff>
      <xdr:row>12</xdr:row>
      <xdr:rowOff>77562</xdr:rowOff>
    </xdr:from>
    <xdr:to>
      <xdr:col>10</xdr:col>
      <xdr:colOff>0</xdr:colOff>
      <xdr:row>34</xdr:row>
      <xdr:rowOff>125188</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1114085</xdr:colOff>
      <xdr:row>0</xdr:row>
      <xdr:rowOff>27214</xdr:rowOff>
    </xdr:from>
    <xdr:to>
      <xdr:col>9</xdr:col>
      <xdr:colOff>2001139</xdr:colOff>
      <xdr:row>4</xdr:row>
      <xdr:rowOff>27214</xdr:rowOff>
    </xdr:to>
    <xdr:pic>
      <xdr:nvPicPr>
        <xdr:cNvPr id="4" name="Picture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2643871" y="27214"/>
          <a:ext cx="3318197" cy="607786"/>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AO429"/>
  <sheetViews>
    <sheetView topLeftCell="A114" zoomScaleNormal="100" workbookViewId="0">
      <selection activeCell="B3" sqref="B3"/>
    </sheetView>
  </sheetViews>
  <sheetFormatPr baseColWidth="10" defaultColWidth="8.796875" defaultRowHeight="13"/>
  <cols>
    <col min="1" max="1" width="2.19921875" customWidth="1"/>
    <col min="2" max="2" width="97.3984375" customWidth="1"/>
    <col min="3" max="3" width="49.19921875" customWidth="1"/>
    <col min="4" max="4" width="3" customWidth="1"/>
    <col min="5" max="5" width="8.796875" style="11"/>
    <col min="6" max="6" width="10.3984375" style="11" bestFit="1" customWidth="1"/>
    <col min="7" max="19" width="8.796875" style="11"/>
    <col min="20" max="20" width="145.796875" style="11" customWidth="1"/>
    <col min="21" max="26" width="8.796875" style="11"/>
    <col min="27" max="27" width="145.796875" style="11" hidden="1" customWidth="1"/>
    <col min="28" max="41" width="8.796875" style="11"/>
  </cols>
  <sheetData>
    <row r="1" spans="1:27" ht="16">
      <c r="A1" s="45"/>
      <c r="B1" s="116"/>
      <c r="C1" s="116"/>
      <c r="D1" s="117"/>
    </row>
    <row r="2" spans="1:27" ht="28">
      <c r="A2" s="46"/>
      <c r="B2" s="293" t="str">
        <f>IF(B12&lt;&gt;"", B12, "Estimate Summary")</f>
        <v>Estimate Summary</v>
      </c>
      <c r="C2" s="294"/>
      <c r="D2" s="48"/>
    </row>
    <row r="3" spans="1:27" ht="16">
      <c r="A3" s="46"/>
      <c r="B3" s="154"/>
      <c r="C3" s="129" t="s">
        <v>0</v>
      </c>
      <c r="D3" s="118"/>
    </row>
    <row r="4" spans="1:27" ht="16">
      <c r="A4" s="46"/>
      <c r="B4" s="154"/>
      <c r="C4" s="130" t="s">
        <v>1</v>
      </c>
      <c r="D4" s="118"/>
    </row>
    <row r="5" spans="1:27" ht="16">
      <c r="A5" s="46"/>
      <c r="B5" s="154"/>
      <c r="C5" s="130" t="s">
        <v>2</v>
      </c>
      <c r="D5" s="118"/>
    </row>
    <row r="6" spans="1:27" ht="16">
      <c r="A6" s="46"/>
      <c r="B6" s="154"/>
      <c r="C6" s="130" t="s">
        <v>3</v>
      </c>
      <c r="D6" s="118"/>
    </row>
    <row r="7" spans="1:27" ht="16">
      <c r="A7" s="46"/>
      <c r="B7" s="154"/>
      <c r="C7" s="130" t="s">
        <v>4</v>
      </c>
      <c r="D7" s="118"/>
    </row>
    <row r="8" spans="1:27" ht="16">
      <c r="A8" s="46"/>
      <c r="B8" s="155"/>
      <c r="C8" s="130" t="s">
        <v>5</v>
      </c>
      <c r="D8" s="118"/>
    </row>
    <row r="9" spans="1:27" ht="16">
      <c r="A9" s="46"/>
      <c r="B9" s="156"/>
      <c r="C9" s="130" t="s">
        <v>6</v>
      </c>
      <c r="D9" s="118"/>
    </row>
    <row r="10" spans="1:27" ht="16">
      <c r="A10" s="46"/>
      <c r="B10" s="157"/>
      <c r="C10" s="130" t="s">
        <v>7</v>
      </c>
      <c r="D10" s="118"/>
    </row>
    <row r="11" spans="1:27" ht="16">
      <c r="A11" s="46"/>
      <c r="B11" s="157"/>
      <c r="C11" s="130" t="s">
        <v>8</v>
      </c>
      <c r="D11" s="118"/>
    </row>
    <row r="12" spans="1:27" ht="16">
      <c r="A12" s="46"/>
      <c r="B12" s="157"/>
      <c r="C12" s="131" t="s">
        <v>9</v>
      </c>
      <c r="D12" s="118"/>
    </row>
    <row r="13" spans="1:27" ht="16">
      <c r="A13" s="46"/>
      <c r="B13" s="119"/>
      <c r="C13" s="119"/>
      <c r="D13" s="118"/>
    </row>
    <row r="14" spans="1:27" ht="15.5" customHeight="1">
      <c r="A14" s="46"/>
      <c r="B14" s="288" t="s">
        <v>10</v>
      </c>
      <c r="C14" s="288"/>
      <c r="D14" s="118"/>
    </row>
    <row r="15" spans="1:27" ht="16">
      <c r="A15" s="46"/>
      <c r="B15" s="295"/>
      <c r="C15" s="295"/>
      <c r="D15" s="118"/>
      <c r="AA15" s="185"/>
    </row>
    <row r="16" spans="1:27" ht="16">
      <c r="A16" s="50"/>
      <c r="B16" s="288" t="s">
        <v>11</v>
      </c>
      <c r="C16" s="288"/>
      <c r="D16" s="118"/>
    </row>
    <row r="17" spans="1:41" s="186" customFormat="1">
      <c r="A17" s="183"/>
      <c r="B17" s="296"/>
      <c r="C17" s="297"/>
      <c r="D17" s="184"/>
      <c r="E17" s="185"/>
      <c r="F17" s="185"/>
      <c r="G17" s="185"/>
      <c r="H17" s="185"/>
      <c r="I17" s="185"/>
      <c r="J17" s="185"/>
      <c r="K17" s="185"/>
      <c r="L17" s="185"/>
      <c r="M17" s="185"/>
      <c r="N17" s="185"/>
      <c r="O17" s="185"/>
      <c r="P17" s="185"/>
      <c r="Q17" s="185"/>
      <c r="R17" s="185"/>
      <c r="S17" s="185"/>
      <c r="T17" s="11"/>
      <c r="U17" s="185"/>
      <c r="V17" s="185"/>
      <c r="W17" s="185"/>
      <c r="X17" s="185"/>
      <c r="Y17" s="185"/>
      <c r="Z17" s="185"/>
      <c r="AA17" s="185"/>
      <c r="AB17" s="185"/>
      <c r="AC17" s="185"/>
      <c r="AD17" s="185"/>
      <c r="AE17" s="185"/>
      <c r="AF17" s="185"/>
      <c r="AG17" s="185"/>
      <c r="AH17" s="185"/>
      <c r="AI17" s="185"/>
      <c r="AJ17" s="185"/>
      <c r="AK17" s="185"/>
      <c r="AL17" s="185"/>
      <c r="AM17" s="185"/>
      <c r="AN17" s="185"/>
      <c r="AO17" s="185"/>
    </row>
    <row r="18" spans="1:41" ht="15.5" customHeight="1">
      <c r="A18" s="50"/>
      <c r="B18" s="288" t="s">
        <v>12</v>
      </c>
      <c r="C18" s="288"/>
      <c r="D18" s="118"/>
    </row>
    <row r="19" spans="1:41">
      <c r="A19" s="50"/>
      <c r="B19" s="289"/>
      <c r="C19" s="289"/>
      <c r="D19" s="118"/>
      <c r="AA19" s="185"/>
    </row>
    <row r="20" spans="1:41">
      <c r="A20" s="50"/>
      <c r="B20" s="119"/>
      <c r="C20" s="119"/>
      <c r="D20" s="118"/>
    </row>
    <row r="21" spans="1:41" ht="16">
      <c r="A21" s="50"/>
      <c r="B21" s="63" t="s">
        <v>13</v>
      </c>
      <c r="C21" s="62">
        <f>HCostForm</f>
        <v>0</v>
      </c>
      <c r="D21" s="118"/>
    </row>
    <row r="22" spans="1:41" ht="16">
      <c r="A22" s="50"/>
      <c r="B22" s="47"/>
      <c r="C22" s="85"/>
      <c r="D22" s="118"/>
    </row>
    <row r="23" spans="1:41" ht="16">
      <c r="A23" s="50"/>
      <c r="B23" s="63" t="s">
        <v>14</v>
      </c>
      <c r="C23" s="62">
        <f>SCostForm</f>
        <v>0</v>
      </c>
      <c r="D23" s="118"/>
    </row>
    <row r="24" spans="1:41" ht="16">
      <c r="A24" s="50"/>
      <c r="B24" s="84"/>
      <c r="C24" s="85"/>
      <c r="D24" s="118"/>
    </row>
    <row r="25" spans="1:41" ht="16">
      <c r="A25" s="50"/>
      <c r="B25" s="63" t="s">
        <v>15</v>
      </c>
      <c r="C25" s="62">
        <f>C26*C21</f>
        <v>0</v>
      </c>
      <c r="D25" s="118"/>
    </row>
    <row r="26" spans="1:41" ht="16">
      <c r="A26" s="50"/>
      <c r="B26" s="98" t="s">
        <v>16</v>
      </c>
      <c r="C26" s="99"/>
      <c r="D26" s="118"/>
    </row>
    <row r="27" spans="1:41" ht="9" customHeight="1">
      <c r="A27" s="50"/>
      <c r="B27" s="84"/>
      <c r="C27" s="85"/>
      <c r="D27" s="118"/>
    </row>
    <row r="28" spans="1:41" ht="16">
      <c r="A28" s="50"/>
      <c r="B28" s="63" t="s">
        <v>17</v>
      </c>
      <c r="C28" s="62">
        <f>C29*C23</f>
        <v>0</v>
      </c>
      <c r="D28" s="118"/>
    </row>
    <row r="29" spans="1:41" ht="16">
      <c r="A29" s="50"/>
      <c r="B29" s="98" t="s">
        <v>18</v>
      </c>
      <c r="C29" s="99"/>
      <c r="D29" s="118"/>
    </row>
    <row r="30" spans="1:41" ht="9" customHeight="1">
      <c r="A30" s="50"/>
      <c r="B30" s="47"/>
      <c r="C30" s="85"/>
      <c r="D30" s="118"/>
    </row>
    <row r="31" spans="1:41" ht="16">
      <c r="A31" s="50"/>
      <c r="B31" s="63" t="s">
        <v>19</v>
      </c>
      <c r="C31" s="62">
        <f>IFERROR((C21+C23+C25+C28)*C135,0)</f>
        <v>0</v>
      </c>
      <c r="D31" s="118"/>
    </row>
    <row r="32" spans="1:41" ht="16">
      <c r="A32" s="50"/>
      <c r="B32" s="132" t="s">
        <v>20</v>
      </c>
      <c r="C32" s="133" t="str">
        <f>C135</f>
        <v/>
      </c>
      <c r="D32" s="118"/>
    </row>
    <row r="33" spans="1:4" ht="6.5" customHeight="1">
      <c r="A33" s="50"/>
      <c r="B33" s="84"/>
      <c r="C33" s="85"/>
      <c r="D33" s="118"/>
    </row>
    <row r="34" spans="1:4" ht="16">
      <c r="A34" s="50"/>
      <c r="B34" s="63" t="s">
        <v>21</v>
      </c>
      <c r="C34" s="62">
        <f>C21+C23+C25+C28+C31</f>
        <v>0</v>
      </c>
      <c r="D34" s="118"/>
    </row>
    <row r="35" spans="1:4">
      <c r="A35" s="50"/>
      <c r="B35" s="119"/>
      <c r="C35" s="119"/>
      <c r="D35" s="118"/>
    </row>
    <row r="36" spans="1:4" ht="20">
      <c r="A36" s="46"/>
      <c r="B36" s="298" t="s">
        <v>22</v>
      </c>
      <c r="C36" s="298"/>
      <c r="D36" s="120"/>
    </row>
    <row r="37" spans="1:4" ht="16">
      <c r="A37" s="49"/>
      <c r="B37" s="194" t="s">
        <v>23</v>
      </c>
      <c r="C37" s="195" t="s">
        <v>24</v>
      </c>
      <c r="D37" s="118"/>
    </row>
    <row r="38" spans="1:4" ht="16">
      <c r="A38" s="49"/>
      <c r="B38" s="193" t="s">
        <v>25</v>
      </c>
      <c r="C38" s="196">
        <f>SUMIF('Hard Cost Estimate Form'!$A$8:$A$1000,B38,'Hard Cost Estimate Form'!$H$8:$H$1000)</f>
        <v>0</v>
      </c>
      <c r="D38" s="118"/>
    </row>
    <row r="39" spans="1:4" ht="16">
      <c r="A39" s="49"/>
      <c r="B39" s="193" t="s">
        <v>26</v>
      </c>
      <c r="C39" s="196">
        <f>SUMIF('Hard Cost Estimate Form'!$A$8:$A$1000,B39,'Hard Cost Estimate Form'!$H$8:$H$1000)</f>
        <v>0</v>
      </c>
      <c r="D39" s="118"/>
    </row>
    <row r="40" spans="1:4" ht="16">
      <c r="A40" s="49"/>
      <c r="B40" s="193" t="s">
        <v>27</v>
      </c>
      <c r="C40" s="196">
        <f>SUMIF('Hard Cost Estimate Form'!$A$8:$A$1000,B40,'Hard Cost Estimate Form'!$H$8:$H$1000)</f>
        <v>0</v>
      </c>
      <c r="D40" s="118"/>
    </row>
    <row r="41" spans="1:4" ht="16">
      <c r="A41" s="49"/>
      <c r="B41" s="193" t="s">
        <v>28</v>
      </c>
      <c r="C41" s="196">
        <f>SUMIF('Hard Cost Estimate Form'!$A$8:$A$1000,B41,'Hard Cost Estimate Form'!$H$8:$H$1000)</f>
        <v>0</v>
      </c>
      <c r="D41" s="118"/>
    </row>
    <row r="42" spans="1:4" ht="16">
      <c r="A42" s="49"/>
      <c r="B42" s="193" t="s">
        <v>29</v>
      </c>
      <c r="C42" s="196">
        <f>SUMIF('Hard Cost Estimate Form'!$A$8:$A$1000,B42,'Hard Cost Estimate Form'!$H$8:$H$1000)</f>
        <v>0</v>
      </c>
      <c r="D42" s="118"/>
    </row>
    <row r="43" spans="1:4" ht="16">
      <c r="A43" s="49"/>
      <c r="B43" s="193" t="s">
        <v>30</v>
      </c>
      <c r="C43" s="196">
        <f>SUMIF('Hard Cost Estimate Form'!$A$8:$A$1000,B43,'Hard Cost Estimate Form'!$H$8:$H$1000)</f>
        <v>0</v>
      </c>
      <c r="D43" s="118"/>
    </row>
    <row r="44" spans="1:4" ht="16">
      <c r="A44" s="49"/>
      <c r="B44" s="193" t="s">
        <v>31</v>
      </c>
      <c r="C44" s="196">
        <f>SUMIF('Hard Cost Estimate Form'!$A$8:$A$1000,B44,'Hard Cost Estimate Form'!$H$8:$H$1000)</f>
        <v>0</v>
      </c>
      <c r="D44" s="118"/>
    </row>
    <row r="45" spans="1:4" ht="16">
      <c r="A45" s="49"/>
      <c r="B45" s="193" t="s">
        <v>32</v>
      </c>
      <c r="C45" s="196">
        <f>SUMIF('Hard Cost Estimate Form'!$A$8:$A$1000,B45,'Hard Cost Estimate Form'!$H$8:$H$1000)</f>
        <v>0</v>
      </c>
      <c r="D45" s="118"/>
    </row>
    <row r="46" spans="1:4" ht="16">
      <c r="A46" s="121"/>
      <c r="B46" s="193" t="s">
        <v>33</v>
      </c>
      <c r="C46" s="196">
        <f>SUMIF('Hard Cost Estimate Form'!$A$8:$A$1000,B46,'Hard Cost Estimate Form'!$H$8:$H$1000)</f>
        <v>0</v>
      </c>
      <c r="D46" s="118"/>
    </row>
    <row r="47" spans="1:4" ht="16">
      <c r="A47" s="121"/>
      <c r="B47" s="193" t="s">
        <v>34</v>
      </c>
      <c r="C47" s="196">
        <f>SUMIF('Hard Cost Estimate Form'!$A$8:$A$1000,B47,'Hard Cost Estimate Form'!$H$8:$H$1000)</f>
        <v>0</v>
      </c>
      <c r="D47" s="118"/>
    </row>
    <row r="48" spans="1:4" ht="16">
      <c r="A48" s="121"/>
      <c r="B48" s="193" t="s">
        <v>35</v>
      </c>
      <c r="C48" s="196">
        <f>SUMIF('Hard Cost Estimate Form'!$A$8:$A$1000,B48,'Hard Cost Estimate Form'!$H$8:$H$1000)</f>
        <v>0</v>
      </c>
      <c r="D48" s="118"/>
    </row>
    <row r="49" spans="1:4" ht="16">
      <c r="A49" s="121"/>
      <c r="B49" s="193" t="s">
        <v>36</v>
      </c>
      <c r="C49" s="196">
        <f>SUMIF('Hard Cost Estimate Form'!$A$8:$A$1000,B49,'Hard Cost Estimate Form'!$H$8:$H$1000)</f>
        <v>0</v>
      </c>
      <c r="D49" s="118"/>
    </row>
    <row r="50" spans="1:4" ht="16">
      <c r="A50" s="121"/>
      <c r="B50" s="193" t="s">
        <v>37</v>
      </c>
      <c r="C50" s="196">
        <f>SUMIF('Hard Cost Estimate Form'!$A$8:$A$1000,B50,'Hard Cost Estimate Form'!$H$8:$H$1000)</f>
        <v>0</v>
      </c>
      <c r="D50" s="118"/>
    </row>
    <row r="51" spans="1:4" ht="16">
      <c r="A51" s="121"/>
      <c r="B51" s="193" t="s">
        <v>38</v>
      </c>
      <c r="C51" s="196">
        <f>SUMIF('Hard Cost Estimate Form'!$A$8:$A$1000,B51,'Hard Cost Estimate Form'!$H$8:$H$1000)</f>
        <v>0</v>
      </c>
      <c r="D51" s="118"/>
    </row>
    <row r="52" spans="1:4" ht="16">
      <c r="A52" s="121"/>
      <c r="B52" s="193" t="s">
        <v>39</v>
      </c>
      <c r="C52" s="196">
        <f>SUMIF('Hard Cost Estimate Form'!$A$8:$A$1000,B52,'Hard Cost Estimate Form'!$H$8:$H$1000)</f>
        <v>0</v>
      </c>
      <c r="D52" s="118"/>
    </row>
    <row r="53" spans="1:4" ht="16">
      <c r="A53" s="121"/>
      <c r="B53" s="193" t="s">
        <v>40</v>
      </c>
      <c r="C53" s="196">
        <f>SUMIF('Hard Cost Estimate Form'!$A$8:$A$1000,B53,'Hard Cost Estimate Form'!$H$8:$H$1000)</f>
        <v>0</v>
      </c>
      <c r="D53" s="118"/>
    </row>
    <row r="54" spans="1:4" ht="16">
      <c r="A54" s="121"/>
      <c r="B54" s="193" t="s">
        <v>41</v>
      </c>
      <c r="C54" s="196">
        <f>SUMIF('Hard Cost Estimate Form'!$A$8:$A$1000,B54,'Hard Cost Estimate Form'!$H$8:$H$1000)</f>
        <v>0</v>
      </c>
      <c r="D54" s="118"/>
    </row>
    <row r="55" spans="1:4" ht="16">
      <c r="A55" s="121"/>
      <c r="B55" s="193" t="s">
        <v>42</v>
      </c>
      <c r="C55" s="196">
        <f>SUMIF('Hard Cost Estimate Form'!$A$8:$A$1000,B55,'Hard Cost Estimate Form'!$H$8:$H$1000)</f>
        <v>0</v>
      </c>
      <c r="D55" s="118"/>
    </row>
    <row r="56" spans="1:4" ht="16">
      <c r="A56" s="121"/>
      <c r="B56" s="193" t="s">
        <v>43</v>
      </c>
      <c r="C56" s="196">
        <f>SUMIF('Hard Cost Estimate Form'!$A$8:$A$1000,B56,'Hard Cost Estimate Form'!$H$8:$H$1000)</f>
        <v>0</v>
      </c>
      <c r="D56" s="118"/>
    </row>
    <row r="57" spans="1:4" ht="16">
      <c r="A57" s="121"/>
      <c r="B57" s="193" t="s">
        <v>44</v>
      </c>
      <c r="C57" s="196">
        <f>SUMIF('Hard Cost Estimate Form'!$A$8:$A$1000,B57,'Hard Cost Estimate Form'!$H$8:$H$1000)</f>
        <v>0</v>
      </c>
      <c r="D57" s="118"/>
    </row>
    <row r="58" spans="1:4" ht="16">
      <c r="A58" s="121"/>
      <c r="B58" s="193" t="s">
        <v>45</v>
      </c>
      <c r="C58" s="196">
        <f>SUMIF('Hard Cost Estimate Form'!$A$8:$A$1000,B58,'Hard Cost Estimate Form'!$H$8:$H$1000)</f>
        <v>0</v>
      </c>
      <c r="D58" s="118"/>
    </row>
    <row r="59" spans="1:4" ht="16">
      <c r="A59" s="121"/>
      <c r="B59" s="193" t="s">
        <v>46</v>
      </c>
      <c r="C59" s="196">
        <f>SUMIF('Hard Cost Estimate Form'!$A$8:$A$1000,B59,'Hard Cost Estimate Form'!$H$8:$H$1000)</f>
        <v>0</v>
      </c>
      <c r="D59" s="118"/>
    </row>
    <row r="60" spans="1:4" ht="16">
      <c r="A60" s="121"/>
      <c r="B60" s="193" t="s">
        <v>47</v>
      </c>
      <c r="C60" s="196">
        <f>SUMIF('Hard Cost Estimate Form'!$A$8:$A$1000,B60,'Hard Cost Estimate Form'!$H$8:$H$1000)</f>
        <v>0</v>
      </c>
      <c r="D60" s="118"/>
    </row>
    <row r="61" spans="1:4" ht="16">
      <c r="A61" s="121"/>
      <c r="B61" s="193" t="s">
        <v>48</v>
      </c>
      <c r="C61" s="196">
        <f>SUMIF('Hard Cost Estimate Form'!$A$8:$A$1000,B61,'Hard Cost Estimate Form'!$H$8:$H$1000)</f>
        <v>0</v>
      </c>
      <c r="D61" s="118"/>
    </row>
    <row r="62" spans="1:4" ht="16">
      <c r="A62" s="121"/>
      <c r="B62" s="193" t="s">
        <v>49</v>
      </c>
      <c r="C62" s="196">
        <f>SUMIF('Hard Cost Estimate Form'!$A$8:$A$1000,B62,'Hard Cost Estimate Form'!$H$8:$H$1000)</f>
        <v>0</v>
      </c>
      <c r="D62" s="118"/>
    </row>
    <row r="63" spans="1:4" ht="16">
      <c r="A63" s="121"/>
      <c r="B63" s="193" t="s">
        <v>50</v>
      </c>
      <c r="C63" s="196">
        <f>SUMIF('Hard Cost Estimate Form'!$A$8:$A$1000,B63,'Hard Cost Estimate Form'!$H$8:$H$1000)</f>
        <v>0</v>
      </c>
      <c r="D63" s="118"/>
    </row>
    <row r="64" spans="1:4" ht="16">
      <c r="A64" s="121"/>
      <c r="B64" s="193" t="s">
        <v>51</v>
      </c>
      <c r="C64" s="196">
        <f>SUMIF('Hard Cost Estimate Form'!$A$8:$A$1000,B64,'Hard Cost Estimate Form'!$H$8:$H$1000)</f>
        <v>0</v>
      </c>
      <c r="D64" s="118"/>
    </row>
    <row r="65" spans="1:6" ht="16">
      <c r="A65" s="121"/>
      <c r="B65" s="193" t="s">
        <v>52</v>
      </c>
      <c r="C65" s="196">
        <f>SUMIF('Hard Cost Estimate Form'!$A$8:$A$1000,B65,'Hard Cost Estimate Form'!$H$8:$H$1000)</f>
        <v>0</v>
      </c>
      <c r="D65" s="118"/>
    </row>
    <row r="66" spans="1:6" ht="16">
      <c r="A66" s="121"/>
      <c r="B66" s="193" t="s">
        <v>53</v>
      </c>
      <c r="C66" s="196">
        <f>SUMIF('Hard Cost Estimate Form'!$A$8:$A$1000,B66,'Hard Cost Estimate Form'!$H$8:$H$1000)</f>
        <v>0</v>
      </c>
      <c r="D66" s="118"/>
    </row>
    <row r="67" spans="1:6" ht="16">
      <c r="A67" s="121"/>
      <c r="B67" s="193" t="s">
        <v>54</v>
      </c>
      <c r="C67" s="196">
        <f>SUMIF('Hard Cost Estimate Form'!$A$8:$A$1000,B67,'Hard Cost Estimate Form'!$H$8:$H$1000)</f>
        <v>0</v>
      </c>
      <c r="D67" s="118"/>
    </row>
    <row r="68" spans="1:6" ht="16">
      <c r="A68" s="121"/>
      <c r="B68" s="193" t="s">
        <v>55</v>
      </c>
      <c r="C68" s="196">
        <f>SUMIF('Hard Cost Estimate Form'!$A$8:$A$1000,B68,'Hard Cost Estimate Form'!$H$8:$H$1000)</f>
        <v>0</v>
      </c>
      <c r="D68" s="118"/>
    </row>
    <row r="69" spans="1:6" ht="16">
      <c r="A69" s="121"/>
      <c r="B69" s="193" t="s">
        <v>56</v>
      </c>
      <c r="C69" s="196">
        <f>SUMIF('Hard Cost Estimate Form'!$A$8:$A$1000,B69,'Hard Cost Estimate Form'!$H$8:$H$1000)</f>
        <v>0</v>
      </c>
      <c r="D69" s="118"/>
    </row>
    <row r="70" spans="1:6" ht="16">
      <c r="A70" s="121"/>
      <c r="B70" s="193" t="s">
        <v>57</v>
      </c>
      <c r="C70" s="196">
        <f>SUMIF('Hard Cost Estimate Form'!$A$8:$A$1000,B70,'Hard Cost Estimate Form'!$H$8:$H$1000)</f>
        <v>0</v>
      </c>
      <c r="D70" s="118"/>
    </row>
    <row r="71" spans="1:6" ht="16">
      <c r="A71" s="121"/>
      <c r="B71" s="193" t="s">
        <v>58</v>
      </c>
      <c r="C71" s="196">
        <f>SUMIF('Hard Cost Estimate Form'!$A$8:$A$1000,B71,'Hard Cost Estimate Form'!$H$8:$H$1000)</f>
        <v>0</v>
      </c>
      <c r="D71" s="118"/>
    </row>
    <row r="72" spans="1:6" ht="16">
      <c r="A72" s="121"/>
      <c r="B72" s="193" t="s">
        <v>59</v>
      </c>
      <c r="C72" s="196">
        <f>SUMIF('Hard Cost Estimate Form'!$A$8:$A$1000,B72,'Hard Cost Estimate Form'!$H$8:$H$1000)</f>
        <v>0</v>
      </c>
      <c r="D72" s="118"/>
    </row>
    <row r="73" spans="1:6" ht="16">
      <c r="A73" s="121"/>
      <c r="B73" s="193" t="s">
        <v>60</v>
      </c>
      <c r="C73" s="196">
        <f>SUMIF('Hard Cost Estimate Form'!$A$8:$A$1000,B73,'Hard Cost Estimate Form'!$H$8:$H$1000)</f>
        <v>0</v>
      </c>
      <c r="D73" s="118"/>
    </row>
    <row r="74" spans="1:6" ht="16">
      <c r="A74" s="121"/>
      <c r="B74" s="193" t="s">
        <v>61</v>
      </c>
      <c r="C74" s="196">
        <f>SUM('Hard Cost Estimate Form'!$H$8:$H$1000)-SUM(C38:C73)</f>
        <v>0</v>
      </c>
      <c r="D74" s="118"/>
      <c r="F74" s="197"/>
    </row>
    <row r="75" spans="1:6">
      <c r="A75" s="122"/>
      <c r="B75" s="123">
        <v>1</v>
      </c>
      <c r="C75" s="123">
        <v>1</v>
      </c>
      <c r="D75" s="124"/>
    </row>
    <row r="76" spans="1:6" ht="20" hidden="1">
      <c r="A76" s="46"/>
      <c r="B76" s="298" t="s">
        <v>62</v>
      </c>
      <c r="C76" s="298"/>
      <c r="D76" s="120"/>
    </row>
    <row r="77" spans="1:6" ht="21" hidden="1" thickBot="1">
      <c r="A77" s="46"/>
      <c r="B77" s="290"/>
      <c r="C77" s="291"/>
      <c r="D77" s="120"/>
    </row>
    <row r="78" spans="1:6" ht="17" hidden="1" thickBot="1">
      <c r="A78" s="121"/>
      <c r="B78" s="277"/>
      <c r="C78" s="277"/>
      <c r="D78" s="118"/>
    </row>
    <row r="79" spans="1:6" ht="16" hidden="1">
      <c r="A79" s="121"/>
      <c r="B79" s="125"/>
      <c r="C79" s="125"/>
      <c r="D79" s="118"/>
    </row>
    <row r="80" spans="1:6" ht="16" hidden="1">
      <c r="A80" s="121"/>
      <c r="B80" s="193" t="s">
        <v>63</v>
      </c>
      <c r="C80" s="196">
        <f>'Soft Cost Estimating Form'!L8</f>
        <v>0</v>
      </c>
      <c r="D80" s="118"/>
    </row>
    <row r="81" spans="1:4" ht="16" hidden="1">
      <c r="A81" s="121"/>
      <c r="B81" s="193" t="s">
        <v>64</v>
      </c>
      <c r="C81" s="196">
        <f>'Soft Cost Estimating Form'!L9</f>
        <v>0</v>
      </c>
      <c r="D81" s="118"/>
    </row>
    <row r="82" spans="1:4" ht="16" hidden="1">
      <c r="A82" s="121"/>
      <c r="B82" s="193" t="s">
        <v>65</v>
      </c>
      <c r="C82" s="196">
        <f>'Soft Cost Estimating Form'!L10</f>
        <v>0</v>
      </c>
      <c r="D82" s="118"/>
    </row>
    <row r="83" spans="1:4" ht="16" hidden="1">
      <c r="A83" s="121"/>
      <c r="B83" s="193" t="s">
        <v>66</v>
      </c>
      <c r="C83" s="196">
        <f>'Soft Cost Estimating Form'!L11</f>
        <v>0</v>
      </c>
      <c r="D83" s="118"/>
    </row>
    <row r="84" spans="1:4" ht="16" hidden="1">
      <c r="A84" s="121"/>
      <c r="B84" s="193" t="s">
        <v>67</v>
      </c>
      <c r="C84" s="196">
        <f>'Soft Cost Estimating Form'!L12</f>
        <v>0</v>
      </c>
      <c r="D84" s="118"/>
    </row>
    <row r="85" spans="1:4" ht="16" hidden="1">
      <c r="A85" s="121"/>
      <c r="B85" s="193" t="s">
        <v>68</v>
      </c>
      <c r="C85" s="196">
        <f>'Soft Cost Estimating Form'!L13</f>
        <v>0</v>
      </c>
      <c r="D85" s="118"/>
    </row>
    <row r="86" spans="1:4" ht="16" hidden="1">
      <c r="A86" s="121"/>
      <c r="B86" s="193" t="s">
        <v>69</v>
      </c>
      <c r="C86" s="196">
        <f>'Soft Cost Estimating Form'!L14</f>
        <v>0</v>
      </c>
      <c r="D86" s="118"/>
    </row>
    <row r="87" spans="1:4" ht="16" hidden="1">
      <c r="A87" s="121"/>
      <c r="B87" s="193" t="s">
        <v>70</v>
      </c>
      <c r="C87" s="196">
        <f>'Soft Cost Estimating Form'!L15</f>
        <v>0</v>
      </c>
      <c r="D87" s="118"/>
    </row>
    <row r="88" spans="1:4" ht="16" hidden="1">
      <c r="A88" s="121"/>
      <c r="B88" s="193" t="s">
        <v>71</v>
      </c>
      <c r="C88" s="196">
        <f>'Soft Cost Estimating Form'!L16</f>
        <v>0</v>
      </c>
      <c r="D88" s="118"/>
    </row>
    <row r="89" spans="1:4" ht="16" hidden="1">
      <c r="A89" s="121"/>
      <c r="B89" s="193" t="s">
        <v>72</v>
      </c>
      <c r="C89" s="196">
        <f>'Soft Cost Estimating Form'!L17</f>
        <v>0</v>
      </c>
      <c r="D89" s="118"/>
    </row>
    <row r="90" spans="1:4" ht="16" hidden="1">
      <c r="A90" s="121"/>
      <c r="B90" s="193" t="s">
        <v>73</v>
      </c>
      <c r="C90" s="196">
        <f>'Soft Cost Estimating Form'!L18</f>
        <v>0</v>
      </c>
      <c r="D90" s="118"/>
    </row>
    <row r="91" spans="1:4" ht="16" hidden="1">
      <c r="A91" s="121"/>
      <c r="B91" s="193" t="s">
        <v>74</v>
      </c>
      <c r="C91" s="196">
        <f>'Soft Cost Estimating Form'!L19</f>
        <v>0</v>
      </c>
      <c r="D91" s="118"/>
    </row>
    <row r="92" spans="1:4" ht="16" hidden="1">
      <c r="A92" s="121"/>
      <c r="B92" s="193" t="s">
        <v>75</v>
      </c>
      <c r="C92" s="196">
        <f>'Soft Cost Estimating Form'!L20</f>
        <v>0</v>
      </c>
      <c r="D92" s="118"/>
    </row>
    <row r="93" spans="1:4" ht="16" hidden="1">
      <c r="A93" s="121"/>
      <c r="B93" s="193" t="s">
        <v>76</v>
      </c>
      <c r="C93" s="196">
        <f>'Soft Cost Estimating Form'!L21</f>
        <v>0</v>
      </c>
      <c r="D93" s="118"/>
    </row>
    <row r="94" spans="1:4" ht="16" hidden="1">
      <c r="A94" s="121"/>
      <c r="B94" s="193" t="s">
        <v>77</v>
      </c>
      <c r="C94" s="196">
        <f>'Soft Cost Estimating Form'!L22</f>
        <v>0</v>
      </c>
      <c r="D94" s="118"/>
    </row>
    <row r="95" spans="1:4" ht="16" hidden="1">
      <c r="A95" s="121"/>
      <c r="B95" s="193" t="s">
        <v>78</v>
      </c>
      <c r="C95" s="196">
        <f>'Soft Cost Estimating Form'!L23</f>
        <v>0</v>
      </c>
      <c r="D95" s="118"/>
    </row>
    <row r="96" spans="1:4" ht="16" hidden="1">
      <c r="A96" s="121"/>
      <c r="B96" s="193" t="s">
        <v>79</v>
      </c>
      <c r="C96" s="196">
        <f>'Soft Cost Estimating Form'!L24</f>
        <v>0</v>
      </c>
      <c r="D96" s="118"/>
    </row>
    <row r="97" spans="1:4" ht="16" hidden="1">
      <c r="A97" s="121"/>
      <c r="B97" s="193" t="s">
        <v>80</v>
      </c>
      <c r="C97" s="196">
        <f>'Soft Cost Estimating Form'!L25</f>
        <v>0</v>
      </c>
      <c r="D97" s="118"/>
    </row>
    <row r="98" spans="1:4" ht="16" hidden="1">
      <c r="A98" s="121"/>
      <c r="B98" s="193" t="s">
        <v>81</v>
      </c>
      <c r="C98" s="196">
        <f>'Soft Cost Estimating Form'!L26</f>
        <v>0</v>
      </c>
      <c r="D98" s="118"/>
    </row>
    <row r="99" spans="1:4" ht="16" hidden="1">
      <c r="A99" s="121"/>
      <c r="B99" s="193" t="s">
        <v>82</v>
      </c>
      <c r="C99" s="196">
        <f>'Soft Cost Estimating Form'!L27</f>
        <v>0</v>
      </c>
      <c r="D99" s="118"/>
    </row>
    <row r="100" spans="1:4" ht="16" hidden="1">
      <c r="A100" s="121"/>
      <c r="B100" s="193" t="s">
        <v>83</v>
      </c>
      <c r="C100" s="196">
        <f>'Soft Cost Estimating Form'!L28</f>
        <v>0</v>
      </c>
      <c r="D100" s="118"/>
    </row>
    <row r="101" spans="1:4" ht="16" hidden="1">
      <c r="A101" s="121"/>
      <c r="B101" s="193" t="s">
        <v>84</v>
      </c>
      <c r="C101" s="196">
        <f>'Soft Cost Estimating Form'!L29</f>
        <v>0</v>
      </c>
      <c r="D101" s="118"/>
    </row>
    <row r="102" spans="1:4" ht="16" hidden="1">
      <c r="A102" s="121"/>
      <c r="B102" s="193" t="s">
        <v>85</v>
      </c>
      <c r="C102" s="196">
        <f>'Soft Cost Estimating Form'!L30</f>
        <v>0</v>
      </c>
      <c r="D102" s="118"/>
    </row>
    <row r="103" spans="1:4" ht="16" hidden="1">
      <c r="A103" s="121"/>
      <c r="B103" s="193" t="s">
        <v>86</v>
      </c>
      <c r="C103" s="196">
        <f>'Soft Cost Estimating Form'!L31</f>
        <v>0</v>
      </c>
      <c r="D103" s="118"/>
    </row>
    <row r="104" spans="1:4" ht="16" hidden="1">
      <c r="A104" s="121"/>
      <c r="B104" s="193" t="s">
        <v>87</v>
      </c>
      <c r="C104" s="196">
        <f>'Soft Cost Estimating Form'!L32</f>
        <v>0</v>
      </c>
      <c r="D104" s="118"/>
    </row>
    <row r="105" spans="1:4" ht="16" hidden="1">
      <c r="A105" s="121"/>
      <c r="B105" s="193" t="s">
        <v>88</v>
      </c>
      <c r="C105" s="196">
        <f>'Soft Cost Estimating Form'!L33</f>
        <v>0</v>
      </c>
      <c r="D105" s="118"/>
    </row>
    <row r="106" spans="1:4" ht="16" hidden="1">
      <c r="A106" s="121"/>
      <c r="B106" s="193" t="s">
        <v>89</v>
      </c>
      <c r="C106" s="196">
        <f>'Soft Cost Estimating Form'!L34</f>
        <v>0</v>
      </c>
      <c r="D106" s="118"/>
    </row>
    <row r="107" spans="1:4" ht="16" hidden="1">
      <c r="A107" s="121"/>
      <c r="B107" s="193" t="s">
        <v>90</v>
      </c>
      <c r="C107" s="196">
        <f>'Soft Cost Estimating Form'!L35</f>
        <v>0</v>
      </c>
      <c r="D107" s="118"/>
    </row>
    <row r="108" spans="1:4" ht="16" hidden="1">
      <c r="A108" s="121"/>
      <c r="B108" s="193" t="s">
        <v>91</v>
      </c>
      <c r="C108" s="196">
        <f>'Soft Cost Estimating Form'!L36</f>
        <v>0</v>
      </c>
      <c r="D108" s="118"/>
    </row>
    <row r="109" spans="1:4" ht="16" hidden="1">
      <c r="A109" s="121"/>
      <c r="B109" s="193" t="s">
        <v>61</v>
      </c>
      <c r="C109" s="196">
        <f>SUM('Soft Cost Estimating Form'!L8:L740)-SUM(C80:C108)</f>
        <v>0</v>
      </c>
      <c r="D109" s="118"/>
    </row>
    <row r="110" spans="1:4" hidden="1">
      <c r="A110" s="50"/>
      <c r="B110" s="119"/>
      <c r="C110" s="119"/>
      <c r="D110" s="118"/>
    </row>
    <row r="111" spans="1:4" ht="20">
      <c r="A111" s="46"/>
      <c r="B111" s="292" t="s">
        <v>92</v>
      </c>
      <c r="C111" s="292"/>
      <c r="D111" s="120"/>
    </row>
    <row r="112" spans="1:4">
      <c r="A112" s="121"/>
      <c r="B112" s="100"/>
      <c r="C112" s="101"/>
      <c r="D112" s="118"/>
    </row>
    <row r="113" spans="1:4" ht="14">
      <c r="A113" s="121"/>
      <c r="B113" s="102" t="s">
        <v>93</v>
      </c>
      <c r="C113" s="53"/>
      <c r="D113" s="118"/>
    </row>
    <row r="114" spans="1:4" ht="14">
      <c r="A114" s="121"/>
      <c r="B114" s="103"/>
      <c r="C114" s="104"/>
      <c r="D114" s="118"/>
    </row>
    <row r="115" spans="1:4" ht="14">
      <c r="A115" s="121"/>
      <c r="B115" s="105" t="s">
        <v>94</v>
      </c>
      <c r="C115" s="51"/>
      <c r="D115" s="118"/>
    </row>
    <row r="116" spans="1:4" ht="14">
      <c r="A116" s="121"/>
      <c r="B116" s="105"/>
      <c r="C116" s="106"/>
      <c r="D116" s="118"/>
    </row>
    <row r="117" spans="1:4" ht="14">
      <c r="A117" s="121"/>
      <c r="B117" s="105" t="s">
        <v>95</v>
      </c>
      <c r="C117" s="51"/>
      <c r="D117" s="118"/>
    </row>
    <row r="118" spans="1:4" ht="14">
      <c r="A118" s="121"/>
      <c r="B118" s="105"/>
      <c r="C118" s="106"/>
      <c r="D118" s="118"/>
    </row>
    <row r="119" spans="1:4" ht="14">
      <c r="A119" s="121"/>
      <c r="B119" s="105" t="s">
        <v>96</v>
      </c>
      <c r="C119" s="51"/>
      <c r="D119" s="118"/>
    </row>
    <row r="120" spans="1:4" ht="14">
      <c r="A120" s="121"/>
      <c r="B120" s="105"/>
      <c r="C120" s="107"/>
      <c r="D120" s="118"/>
    </row>
    <row r="121" spans="1:4" ht="14">
      <c r="A121" s="121"/>
      <c r="B121" s="108" t="s">
        <v>97</v>
      </c>
      <c r="C121" s="158" t="str">
        <f>IFERROR(MEDIAN(C117,C119),"")</f>
        <v/>
      </c>
      <c r="D121" s="118"/>
    </row>
    <row r="122" spans="1:4" ht="14">
      <c r="A122" s="121"/>
      <c r="B122" s="105"/>
      <c r="C122" s="104"/>
      <c r="D122" s="118"/>
    </row>
    <row r="123" spans="1:4" ht="14">
      <c r="A123" s="121"/>
      <c r="B123" s="109" t="s">
        <v>98</v>
      </c>
      <c r="C123" s="111">
        <f>IFERROR(C117-C115,"")</f>
        <v>0</v>
      </c>
      <c r="D123" s="118"/>
    </row>
    <row r="124" spans="1:4" ht="14">
      <c r="A124" s="121"/>
      <c r="B124" s="109"/>
      <c r="C124" s="112">
        <f>IFERROR(C123/30.4167,"")</f>
        <v>0</v>
      </c>
      <c r="D124" s="118"/>
    </row>
    <row r="125" spans="1:4" ht="14">
      <c r="A125" s="121"/>
      <c r="B125" s="109"/>
      <c r="C125" s="113">
        <f>IFERROR(C123/365,"")</f>
        <v>0</v>
      </c>
      <c r="D125" s="118"/>
    </row>
    <row r="126" spans="1:4" ht="14">
      <c r="A126" s="121"/>
      <c r="B126" s="105"/>
      <c r="C126" s="114"/>
      <c r="D126" s="118"/>
    </row>
    <row r="127" spans="1:4" ht="14">
      <c r="A127" s="121"/>
      <c r="B127" s="109" t="s">
        <v>99</v>
      </c>
      <c r="C127" s="111" t="str">
        <f>IFERROR(C121-C117,"")</f>
        <v/>
      </c>
      <c r="D127" s="118"/>
    </row>
    <row r="128" spans="1:4" ht="14">
      <c r="A128" s="121"/>
      <c r="B128" s="109"/>
      <c r="C128" s="112" t="str">
        <f>IFERROR(C127/30.4167,"")</f>
        <v/>
      </c>
      <c r="D128" s="118"/>
    </row>
    <row r="129" spans="1:4" ht="14">
      <c r="A129" s="121"/>
      <c r="B129" s="109"/>
      <c r="C129" s="113" t="str">
        <f>IFERROR(C127/365,"")</f>
        <v/>
      </c>
      <c r="D129" s="118"/>
    </row>
    <row r="130" spans="1:4" ht="14">
      <c r="A130" s="121"/>
      <c r="B130" s="105"/>
      <c r="C130" s="114"/>
      <c r="D130" s="118"/>
    </row>
    <row r="131" spans="1:4" ht="14">
      <c r="A131" s="121"/>
      <c r="B131" s="109" t="s">
        <v>100</v>
      </c>
      <c r="C131" s="111" t="str">
        <f>IFERROR(C121-C115,"")</f>
        <v/>
      </c>
      <c r="D131" s="118"/>
    </row>
    <row r="132" spans="1:4" ht="14">
      <c r="A132" s="121"/>
      <c r="B132" s="109"/>
      <c r="C132" s="112" t="str">
        <f>IFERROR(C131/30.4167,"")</f>
        <v/>
      </c>
      <c r="D132" s="118"/>
    </row>
    <row r="133" spans="1:4" ht="14">
      <c r="A133" s="121"/>
      <c r="B133" s="109"/>
      <c r="C133" s="113" t="str">
        <f>IFERROR(C131/365,"")</f>
        <v/>
      </c>
      <c r="D133" s="118"/>
    </row>
    <row r="134" spans="1:4" ht="14">
      <c r="A134" s="121"/>
      <c r="B134" s="109"/>
      <c r="C134" s="115"/>
      <c r="D134" s="118"/>
    </row>
    <row r="135" spans="1:4" ht="14">
      <c r="A135" s="121"/>
      <c r="B135" s="110" t="s">
        <v>101</v>
      </c>
      <c r="C135" s="192" t="str">
        <f>IFERROR(C113*C133,"")</f>
        <v/>
      </c>
      <c r="D135" s="118"/>
    </row>
    <row r="136" spans="1:4" ht="14" thickBot="1">
      <c r="A136" s="126"/>
      <c r="B136" s="127"/>
      <c r="C136" s="127"/>
      <c r="D136" s="128"/>
    </row>
    <row r="137" spans="1:4" s="11" customFormat="1"/>
    <row r="138" spans="1:4" s="11" customFormat="1"/>
    <row r="139" spans="1:4" s="11" customFormat="1"/>
    <row r="140" spans="1:4" s="11" customFormat="1"/>
    <row r="141" spans="1:4" s="11" customFormat="1"/>
    <row r="142" spans="1:4" s="11" customFormat="1"/>
    <row r="143" spans="1:4" s="11" customFormat="1"/>
    <row r="144" spans="1:4" s="11" customFormat="1"/>
    <row r="145" s="11" customFormat="1"/>
    <row r="146" s="11" customFormat="1"/>
    <row r="147" s="11" customFormat="1"/>
    <row r="148" s="11" customFormat="1"/>
    <row r="149" s="11" customFormat="1"/>
    <row r="150" s="11" customFormat="1"/>
    <row r="151" s="11" customFormat="1"/>
    <row r="152" s="11" customFormat="1"/>
    <row r="153" s="11" customFormat="1"/>
    <row r="154" s="11" customFormat="1"/>
    <row r="155" s="11" customFormat="1"/>
    <row r="156" s="11" customFormat="1"/>
    <row r="157" s="11" customFormat="1"/>
    <row r="158" s="11" customFormat="1"/>
    <row r="159" s="11" customFormat="1"/>
    <row r="160" s="11" customFormat="1"/>
    <row r="161" s="11" customFormat="1"/>
    <row r="162" s="11" customFormat="1"/>
    <row r="163" s="11" customFormat="1"/>
    <row r="164" s="11" customFormat="1"/>
    <row r="165" s="11" customFormat="1"/>
    <row r="166" s="11" customFormat="1"/>
    <row r="167" s="11" customFormat="1"/>
    <row r="168" s="11" customFormat="1"/>
    <row r="169" s="11" customFormat="1"/>
    <row r="170" s="11" customFormat="1"/>
    <row r="171" s="11" customFormat="1"/>
    <row r="172" s="11" customFormat="1"/>
    <row r="173" s="11" customFormat="1"/>
    <row r="174" s="11" customFormat="1"/>
    <row r="175" s="11" customFormat="1"/>
    <row r="176" s="11" customFormat="1"/>
    <row r="177" s="11" customFormat="1"/>
    <row r="178" s="11" customFormat="1"/>
    <row r="179" s="11" customFormat="1"/>
    <row r="180" s="11" customFormat="1"/>
    <row r="181" s="11" customFormat="1"/>
    <row r="182" s="11" customFormat="1"/>
    <row r="183" s="11" customFormat="1"/>
    <row r="184" s="11" customFormat="1"/>
    <row r="185" s="11" customFormat="1"/>
    <row r="186" s="11" customFormat="1"/>
    <row r="187" s="11" customFormat="1"/>
    <row r="188" s="11" customFormat="1"/>
    <row r="189" s="11" customFormat="1"/>
    <row r="190" s="11" customFormat="1"/>
    <row r="191" s="11" customFormat="1"/>
    <row r="192" s="11" customFormat="1"/>
    <row r="193" s="11" customFormat="1"/>
    <row r="194" s="11" customFormat="1"/>
    <row r="195" s="11" customFormat="1"/>
    <row r="196" s="11" customFormat="1"/>
    <row r="197" s="11" customFormat="1"/>
    <row r="198" s="11" customFormat="1"/>
    <row r="199" s="11" customFormat="1"/>
    <row r="200" s="11" customFormat="1"/>
    <row r="201" s="11" customFormat="1"/>
    <row r="202" s="11" customFormat="1"/>
    <row r="203" s="11" customFormat="1"/>
    <row r="204" s="11" customFormat="1"/>
    <row r="205" s="11" customFormat="1"/>
    <row r="206" s="11" customFormat="1"/>
    <row r="207" s="11" customFormat="1"/>
    <row r="208" s="11" customFormat="1"/>
    <row r="209" s="11" customFormat="1"/>
    <row r="210" s="11" customFormat="1"/>
    <row r="211" s="11" customFormat="1"/>
    <row r="212" s="11" customFormat="1"/>
    <row r="213" s="11" customFormat="1"/>
    <row r="214" s="11" customFormat="1"/>
    <row r="215" s="11" customFormat="1"/>
    <row r="216" s="11" customFormat="1"/>
    <row r="217" s="11" customFormat="1"/>
    <row r="218" s="11" customFormat="1"/>
    <row r="219" s="11" customFormat="1"/>
    <row r="220" s="11" customFormat="1"/>
    <row r="221" s="11" customFormat="1"/>
    <row r="222" s="11" customFormat="1"/>
    <row r="223" s="11" customFormat="1"/>
    <row r="224" s="11" customFormat="1"/>
    <row r="225" s="11" customFormat="1"/>
    <row r="226" s="11" customFormat="1"/>
    <row r="227" s="11" customFormat="1"/>
    <row r="228" s="11" customFormat="1"/>
    <row r="229" s="11" customFormat="1"/>
    <row r="230" s="11" customFormat="1"/>
    <row r="231" s="11" customFormat="1"/>
    <row r="232" s="11" customFormat="1"/>
    <row r="233" s="11" customFormat="1"/>
    <row r="234" s="11" customFormat="1"/>
    <row r="235" s="11" customFormat="1"/>
    <row r="236" s="11" customFormat="1"/>
    <row r="237" s="11" customFormat="1"/>
    <row r="238" s="11" customFormat="1"/>
    <row r="239" s="11" customFormat="1"/>
    <row r="240" s="11" customFormat="1"/>
    <row r="241" s="11" customFormat="1"/>
    <row r="242" s="11" customFormat="1"/>
    <row r="243" s="11" customFormat="1"/>
    <row r="244" s="11" customFormat="1"/>
    <row r="245" s="11" customFormat="1"/>
    <row r="246" s="11" customFormat="1"/>
    <row r="247" s="11" customFormat="1"/>
    <row r="248" s="11" customFormat="1"/>
    <row r="249" s="11" customFormat="1"/>
    <row r="250" s="11" customFormat="1"/>
    <row r="251" s="11" customFormat="1"/>
    <row r="252" s="11" customFormat="1"/>
    <row r="253" s="11" customFormat="1"/>
    <row r="254" s="11" customFormat="1"/>
    <row r="255" s="11" customFormat="1"/>
    <row r="256" s="11" customFormat="1"/>
    <row r="257" s="11" customFormat="1"/>
    <row r="258" s="11" customFormat="1"/>
    <row r="259" s="11" customFormat="1"/>
    <row r="260" s="11" customFormat="1"/>
    <row r="261" s="11" customFormat="1"/>
    <row r="262" s="11" customFormat="1"/>
    <row r="263" s="11" customFormat="1"/>
    <row r="264" s="11" customFormat="1"/>
    <row r="265" s="11" customFormat="1"/>
    <row r="266" s="11" customFormat="1"/>
    <row r="267" s="11" customFormat="1"/>
    <row r="268" s="11" customFormat="1"/>
    <row r="269" s="11" customFormat="1"/>
    <row r="270" s="11" customFormat="1"/>
    <row r="271" s="11" customFormat="1"/>
    <row r="272" s="11" customFormat="1"/>
    <row r="273" s="11" customFormat="1"/>
    <row r="274" s="11" customFormat="1"/>
    <row r="275" s="11" customFormat="1"/>
    <row r="276" s="11" customFormat="1"/>
    <row r="277" s="11" customFormat="1"/>
    <row r="278" s="11" customFormat="1"/>
    <row r="279" s="11" customFormat="1"/>
    <row r="280" s="11" customFormat="1"/>
    <row r="281" s="11" customFormat="1"/>
    <row r="282" s="11" customFormat="1"/>
    <row r="283" s="11" customFormat="1"/>
    <row r="284" s="11" customFormat="1"/>
    <row r="285" s="11" customFormat="1"/>
    <row r="286" s="11" customFormat="1"/>
    <row r="287" s="11" customFormat="1"/>
    <row r="288" s="11" customFormat="1"/>
    <row r="289" s="11" customFormat="1"/>
    <row r="290" s="11" customFormat="1"/>
    <row r="291" s="11" customFormat="1"/>
    <row r="292" s="11" customFormat="1"/>
    <row r="293" s="11" customFormat="1"/>
    <row r="294" s="11" customFormat="1"/>
    <row r="295" s="11" customFormat="1"/>
    <row r="296" s="11" customFormat="1"/>
    <row r="297" s="11" customFormat="1"/>
    <row r="298" s="11" customFormat="1"/>
    <row r="299" s="11" customFormat="1"/>
    <row r="300" s="11" customFormat="1"/>
    <row r="301" s="11" customFormat="1"/>
    <row r="302" s="11" customFormat="1"/>
    <row r="303" s="11" customFormat="1"/>
    <row r="304" s="11" customFormat="1"/>
    <row r="305" s="11" customFormat="1"/>
    <row r="306" s="11" customFormat="1"/>
    <row r="307" s="11" customFormat="1"/>
    <row r="308" s="11" customFormat="1"/>
    <row r="309" s="11" customFormat="1"/>
    <row r="310" s="11" customFormat="1"/>
    <row r="311" s="11" customFormat="1"/>
    <row r="312" s="11" customFormat="1"/>
    <row r="313" s="11" customFormat="1"/>
    <row r="314" s="11" customFormat="1"/>
    <row r="315" s="11" customFormat="1"/>
    <row r="316" s="11" customFormat="1"/>
    <row r="317" s="11" customFormat="1"/>
    <row r="318" s="11" customFormat="1"/>
    <row r="319" s="11" customFormat="1"/>
    <row r="320" s="11" customFormat="1"/>
    <row r="321" s="11" customFormat="1"/>
    <row r="322" s="11" customFormat="1"/>
    <row r="323" s="11" customFormat="1"/>
    <row r="324" s="11" customFormat="1"/>
    <row r="325" s="11" customFormat="1"/>
    <row r="326" s="11" customFormat="1"/>
    <row r="327" s="11" customFormat="1"/>
    <row r="328" s="11" customFormat="1"/>
    <row r="329" s="11" customFormat="1"/>
    <row r="330" s="11" customFormat="1"/>
    <row r="331" s="11" customFormat="1"/>
    <row r="332" s="11" customFormat="1"/>
    <row r="333" s="11" customFormat="1"/>
    <row r="334" s="11" customFormat="1"/>
    <row r="335" s="11" customFormat="1"/>
    <row r="336" s="11" customFormat="1"/>
    <row r="337" s="11" customFormat="1"/>
    <row r="338" s="11" customFormat="1"/>
    <row r="339" s="11" customFormat="1"/>
    <row r="340" s="11" customFormat="1"/>
    <row r="341" s="11" customFormat="1"/>
    <row r="342" s="11" customFormat="1"/>
    <row r="343" s="11" customFormat="1"/>
    <row r="344" s="11" customFormat="1"/>
    <row r="345" s="11" customFormat="1"/>
    <row r="346" s="11" customFormat="1"/>
    <row r="347" s="11" customFormat="1"/>
    <row r="348" s="11" customFormat="1"/>
    <row r="349" s="11" customFormat="1"/>
    <row r="350" s="11" customFormat="1"/>
    <row r="351" s="11" customFormat="1"/>
    <row r="352" s="11" customFormat="1"/>
    <row r="353" s="11" customFormat="1"/>
    <row r="354" s="11" customFormat="1"/>
    <row r="355" s="11" customFormat="1"/>
    <row r="356" s="11" customFormat="1"/>
    <row r="357" s="11" customFormat="1"/>
    <row r="358" s="11" customFormat="1"/>
    <row r="359" s="11" customFormat="1"/>
    <row r="360" s="11" customFormat="1"/>
    <row r="361" s="11" customFormat="1"/>
    <row r="362" s="11" customFormat="1"/>
    <row r="363" s="11" customFormat="1"/>
    <row r="364" s="11" customFormat="1"/>
    <row r="365" s="11" customFormat="1"/>
    <row r="366" s="11" customFormat="1"/>
    <row r="367" s="11" customFormat="1"/>
    <row r="368" s="11" customFormat="1"/>
    <row r="369" s="11" customFormat="1"/>
    <row r="370" s="11" customFormat="1"/>
    <row r="371" s="11" customFormat="1"/>
    <row r="372" s="11" customFormat="1"/>
    <row r="373" s="11" customFormat="1"/>
    <row r="374" s="11" customFormat="1"/>
    <row r="375" s="11" customFormat="1"/>
    <row r="376" s="11" customFormat="1"/>
    <row r="377" s="11" customFormat="1"/>
    <row r="378" s="11" customFormat="1"/>
    <row r="379" s="11" customFormat="1"/>
    <row r="380" s="11" customFormat="1"/>
    <row r="381" s="11" customFormat="1"/>
    <row r="382" s="11" customFormat="1"/>
    <row r="383" s="11" customFormat="1"/>
    <row r="384" s="11" customFormat="1"/>
    <row r="385" s="11" customFormat="1"/>
    <row r="386" s="11" customFormat="1"/>
    <row r="387" s="11" customFormat="1"/>
    <row r="388" s="11" customFormat="1"/>
    <row r="389" s="11" customFormat="1"/>
    <row r="390" s="11" customFormat="1"/>
    <row r="391" s="11" customFormat="1"/>
    <row r="392" s="11" customFormat="1"/>
    <row r="393" s="11" customFormat="1"/>
    <row r="394" s="11" customFormat="1"/>
    <row r="395" s="11" customFormat="1"/>
    <row r="396" s="11" customFormat="1"/>
    <row r="397" s="11" customFormat="1"/>
    <row r="398" s="11" customFormat="1"/>
    <row r="399" s="11" customFormat="1"/>
    <row r="400" s="11" customFormat="1"/>
    <row r="401" s="11" customFormat="1"/>
    <row r="402" s="11" customFormat="1"/>
    <row r="403" s="11" customFormat="1"/>
    <row r="404" s="11" customFormat="1"/>
    <row r="405" s="11" customFormat="1"/>
    <row r="406" s="11" customFormat="1"/>
    <row r="407" s="11" customFormat="1"/>
    <row r="408" s="11" customFormat="1"/>
    <row r="409" s="11" customFormat="1"/>
    <row r="410" s="11" customFormat="1"/>
    <row r="411" s="11" customFormat="1"/>
    <row r="412" s="11" customFormat="1"/>
    <row r="413" s="11" customFormat="1"/>
    <row r="414" s="11" customFormat="1"/>
    <row r="415" s="11" customFormat="1"/>
    <row r="416" s="11" customFormat="1"/>
    <row r="417" s="11" customFormat="1"/>
    <row r="418" s="11" customFormat="1"/>
    <row r="419" s="11" customFormat="1"/>
    <row r="420" s="11" customFormat="1"/>
    <row r="421" s="11" customFormat="1"/>
    <row r="422" s="11" customFormat="1"/>
    <row r="423" s="11" customFormat="1"/>
    <row r="424" s="11" customFormat="1"/>
    <row r="425" s="11" customFormat="1"/>
    <row r="426" s="11" customFormat="1"/>
    <row r="427" s="11" customFormat="1"/>
    <row r="428" s="11" customFormat="1"/>
    <row r="429" s="11" customFormat="1"/>
  </sheetData>
  <mergeCells count="11">
    <mergeCell ref="B18:C18"/>
    <mergeCell ref="B19:C19"/>
    <mergeCell ref="B77:C77"/>
    <mergeCell ref="B111:C111"/>
    <mergeCell ref="B2:C2"/>
    <mergeCell ref="B14:C14"/>
    <mergeCell ref="B15:C15"/>
    <mergeCell ref="B16:C16"/>
    <mergeCell ref="B17:C17"/>
    <mergeCell ref="B36:C36"/>
    <mergeCell ref="B76:C76"/>
  </mergeCells>
  <dataValidations xWindow="1423" yWindow="1219" count="8">
    <dataValidation type="whole" errorStyle="warning" allowBlank="1" showInputMessage="1" showErrorMessage="1" errorTitle="Warning" error="Would you like to override the existing formula?" sqref="C123" xr:uid="{00000000-0002-0000-0000-000000000000}">
      <formula1>999999</formula1>
      <formula2>1000000</formula2>
    </dataValidation>
    <dataValidation type="whole" errorStyle="warning" showInputMessage="1" showErrorMessage="1" errorTitle="Warning" error="Warning - Cell Contains Formula. Click &quot;Yes&quot; to Continue." sqref="C123:C135 C25 C28 C31:C32 C34 C22" xr:uid="{00000000-0002-0000-0000-000001000000}">
      <formula1>999999</formula1>
      <formula2>1000000</formula2>
    </dataValidation>
    <dataValidation type="whole" errorStyle="warning" showInputMessage="1" showErrorMessage="1" errorTitle="Warning" error="Warning - Cell Contains Formula. Click &quot;Yes&quot; to Continue." promptTitle="Instructions" prompt="Go to Hard Cost Estimate Form" sqref="C21" xr:uid="{00000000-0002-0000-0000-000002000000}">
      <formula1>999999</formula1>
      <formula2>1000000</formula2>
    </dataValidation>
    <dataValidation type="whole" errorStyle="warning" showInputMessage="1" showErrorMessage="1" errorTitle="Warning" error="Warning - Cell Contains Formula. Click &quot;Yes&quot; to Continue." promptTitle="Instructions" prompt="Go to Soft Cost Estimate Form" sqref="C23" xr:uid="{00000000-0002-0000-0000-000003000000}">
      <formula1>999999</formula1>
      <formula2>1000000</formula2>
    </dataValidation>
    <dataValidation type="whole" errorStyle="warning" allowBlank="1" showInputMessage="1" showErrorMessage="1" errorTitle="Change Predefined Cell?" error="Change Predefined Cell?" sqref="B14:C14 B16:C16 B18:C18 C3:C12" xr:uid="{00000000-0002-0000-0000-000004000000}">
      <formula1>-100001</formula1>
      <formula2>-100000</formula2>
    </dataValidation>
    <dataValidation allowBlank="1" showInputMessage="1" showErrorMessage="1" promptTitle="Hint" prompt="Press Alt + Enter for line break." sqref="B15:C15 B17:C17 B19:C19" xr:uid="{00000000-0002-0000-0000-000005000000}"/>
    <dataValidation allowBlank="1" showInputMessage="1" showErrorMessage="1" promptTitle="Hint" prompt="Typical Range: 3 to 5%, verify at completion." sqref="C113" xr:uid="{00000000-0002-0000-0000-000006000000}"/>
    <dataValidation allowBlank="1" showInputMessage="1" showErrorMessage="1" promptTitle="Example" prompt="Project #: 100XXX_x000a_Masterworks: 700XXX_x000a_EAN: 202XDXXX" sqref="B4" xr:uid="{00000000-0002-0000-0000-000007000000}"/>
  </dataValidations>
  <pageMargins left="0.25" right="0.25" top="0.25" bottom="0.25" header="0" footer="0"/>
  <pageSetup scale="75" fitToHeight="0" orientation="portrait" r:id="rId1"/>
  <rowBreaks count="1" manualBreakCount="1">
    <brk id="34" max="16383" man="1"/>
  </rowBreaks>
  <drawing r:id="rId2"/>
  <extLst>
    <ext xmlns:x14="http://schemas.microsoft.com/office/spreadsheetml/2009/9/main" uri="{CCE6A557-97BC-4b89-ADB6-D9C93CAAB3DF}">
      <x14:dataValidations xmlns:xm="http://schemas.microsoft.com/office/excel/2006/main" xWindow="1423" yWindow="1219" count="3">
        <x14:dataValidation type="list" allowBlank="1" showInputMessage="1" showErrorMessage="1" xr:uid="{00000000-0002-0000-0000-000008000000}">
          <x14:formula1>
            <xm:f>'Scope and Risk'!$C$8:$C$11</xm:f>
          </x14:formula1>
          <xm:sqref>B11</xm:sqref>
        </x14:dataValidation>
        <x14:dataValidation type="list" allowBlank="1" showInputMessage="1" showErrorMessage="1" xr:uid="{00000000-0002-0000-0000-000009000000}">
          <x14:formula1>
            <xm:f>'Scope and Risk'!$C$3:$C$6</xm:f>
          </x14:formula1>
          <xm:sqref>B10</xm:sqref>
        </x14:dataValidation>
        <x14:dataValidation type="list" allowBlank="1" showInputMessage="1" promptTitle="Project Stage" prompt="Select a Project Stage from the drop down menu, or type in a custom Project Stage." xr:uid="{00000000-0002-0000-0000-00000A000000}">
          <x14:formula1>
            <xm:f>'Scope and Risk'!$C$14:$C$20</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499984740745262"/>
    <pageSetUpPr fitToPage="1"/>
  </sheetPr>
  <dimension ref="A1:L1000"/>
  <sheetViews>
    <sheetView zoomScaleNormal="100" workbookViewId="0">
      <pane xSplit="8" ySplit="7" topLeftCell="I74" activePane="bottomRight" state="frozenSplit"/>
      <selection pane="topRight" activeCell="I1" sqref="I1"/>
      <selection pane="bottomLeft" activeCell="A22" sqref="A22"/>
      <selection pane="bottomRight" activeCell="D103" sqref="D103"/>
    </sheetView>
  </sheetViews>
  <sheetFormatPr baseColWidth="10" defaultColWidth="9.3984375" defaultRowHeight="13"/>
  <cols>
    <col min="1" max="1" width="35.796875" customWidth="1"/>
    <col min="2" max="2" width="33.3984375" customWidth="1"/>
    <col min="3" max="3" width="11.3984375" customWidth="1"/>
    <col min="4" max="4" width="60.3984375" customWidth="1"/>
    <col min="5" max="5" width="12.3984375" customWidth="1"/>
    <col min="6" max="6" width="9.59765625" bestFit="1" customWidth="1"/>
    <col min="7" max="8" width="17.796875" customWidth="1"/>
    <col min="9" max="9" width="14.59765625" customWidth="1"/>
    <col min="10" max="10" width="16.19921875" customWidth="1"/>
  </cols>
  <sheetData>
    <row r="1" spans="1:8" s="86" customFormat="1">
      <c r="A1" s="300" t="s">
        <v>102</v>
      </c>
      <c r="B1" s="301"/>
      <c r="C1" s="301"/>
      <c r="D1" s="302"/>
      <c r="E1" s="302"/>
      <c r="F1" s="302"/>
      <c r="G1" s="302"/>
      <c r="H1" s="303"/>
    </row>
    <row r="2" spans="1:8" s="86" customFormat="1">
      <c r="A2" s="140" t="s">
        <v>103</v>
      </c>
      <c r="B2" s="304" t="str">
        <f>IF(Summary!B3&lt;&gt;"",Summary!B3,"")</f>
        <v/>
      </c>
      <c r="C2" s="305"/>
      <c r="D2" s="145" t="s">
        <v>104</v>
      </c>
      <c r="E2" s="87"/>
      <c r="F2" s="88"/>
      <c r="G2" s="159"/>
      <c r="H2" s="138"/>
    </row>
    <row r="3" spans="1:8" s="86" customFormat="1">
      <c r="A3" s="141" t="s">
        <v>105</v>
      </c>
      <c r="B3" s="306" t="str">
        <f>IF(Summary!B4&lt;&gt;"",Summary!B4,"")</f>
        <v/>
      </c>
      <c r="C3" s="307"/>
      <c r="D3" s="287" t="s">
        <v>106</v>
      </c>
      <c r="E3" s="89"/>
      <c r="F3" s="90"/>
      <c r="G3" s="160"/>
      <c r="H3" s="139"/>
    </row>
    <row r="4" spans="1:8" s="86" customFormat="1">
      <c r="A4" s="141" t="s">
        <v>107</v>
      </c>
      <c r="B4" s="308" t="str">
        <f>IF(Summary!B9&lt;&gt;"",Summary!B9,"")</f>
        <v/>
      </c>
      <c r="C4" s="309"/>
      <c r="D4" s="287" t="s">
        <v>108</v>
      </c>
      <c r="E4" s="89"/>
      <c r="F4" s="90"/>
      <c r="G4" s="160"/>
      <c r="H4" s="139"/>
    </row>
    <row r="5" spans="1:8" s="86" customFormat="1">
      <c r="A5" s="142" t="s">
        <v>109</v>
      </c>
      <c r="B5" s="310" t="str">
        <f>IF(Summary!B8&lt;&gt;"",Summary!B8,"")</f>
        <v/>
      </c>
      <c r="C5" s="311"/>
      <c r="D5" s="146" t="s">
        <v>110</v>
      </c>
      <c r="E5" s="91"/>
      <c r="F5" s="147"/>
      <c r="G5" s="161" t="s">
        <v>111</v>
      </c>
      <c r="H5" s="148">
        <f>SUM(H8:H1048576)</f>
        <v>0</v>
      </c>
    </row>
    <row r="6" spans="1:8" s="86" customFormat="1" ht="7.5" customHeight="1">
      <c r="A6" s="137"/>
      <c r="B6" s="136"/>
      <c r="C6" s="136"/>
      <c r="D6" s="137"/>
      <c r="E6" s="137"/>
      <c r="F6" s="137"/>
      <c r="G6" s="162"/>
      <c r="H6" s="137"/>
    </row>
    <row r="7" spans="1:8" s="86" customFormat="1" ht="15" customHeight="1">
      <c r="A7" s="143" t="s">
        <v>112</v>
      </c>
      <c r="B7" s="143" t="s">
        <v>113</v>
      </c>
      <c r="C7" s="143" t="s">
        <v>114</v>
      </c>
      <c r="D7" s="143" t="s">
        <v>115</v>
      </c>
      <c r="E7" s="143" t="s">
        <v>116</v>
      </c>
      <c r="F7" s="143" t="s">
        <v>117</v>
      </c>
      <c r="G7" s="163" t="s">
        <v>118</v>
      </c>
      <c r="H7" s="144" t="s">
        <v>119</v>
      </c>
    </row>
    <row r="8" spans="1:8" s="86" customFormat="1">
      <c r="A8" s="92"/>
      <c r="B8" s="92"/>
      <c r="C8" s="93" t="str">
        <f>IF(A8&lt;&gt;"",IFERROR(VLOOKUP(B8,DivisionCostCodeLookup!$F$2:$G$426,2,FALSE),INT(LEFT(A8,2))&amp;"0000"),"")</f>
        <v/>
      </c>
      <c r="D8" s="94"/>
      <c r="E8" s="95"/>
      <c r="F8" s="96"/>
      <c r="G8" s="164"/>
      <c r="H8" s="97" t="str">
        <f t="shared" ref="H8:H71" si="0">IF(E8*G8&lt;&gt;0,E8*G8,"")</f>
        <v/>
      </c>
    </row>
    <row r="9" spans="1:8" s="86" customFormat="1">
      <c r="A9" s="92"/>
      <c r="B9" s="92"/>
      <c r="C9" s="93" t="str">
        <f>IF(A9&lt;&gt;"",IFERROR(VLOOKUP(B9,DivisionCostCodeLookup!$F$2:$G$426,2,FALSE),INT(LEFT(A9,2))&amp;"0000"),"")</f>
        <v/>
      </c>
      <c r="D9" s="94"/>
      <c r="E9" s="95"/>
      <c r="F9" s="96"/>
      <c r="G9" s="164"/>
      <c r="H9" s="97" t="str">
        <f t="shared" si="0"/>
        <v/>
      </c>
    </row>
    <row r="10" spans="1:8" s="86" customFormat="1">
      <c r="A10" s="92"/>
      <c r="B10" s="92"/>
      <c r="C10" s="93" t="str">
        <f>IF(A10&lt;&gt;"",IFERROR(VLOOKUP(B10,DivisionCostCodeLookup!$F$2:$G$426,2,FALSE),INT(LEFT(A10,2))&amp;"0000"),"")</f>
        <v/>
      </c>
      <c r="D10" s="94"/>
      <c r="E10" s="95"/>
      <c r="F10" s="96"/>
      <c r="G10" s="164"/>
      <c r="H10" s="97" t="str">
        <f t="shared" si="0"/>
        <v/>
      </c>
    </row>
    <row r="11" spans="1:8" s="86" customFormat="1">
      <c r="A11" s="92"/>
      <c r="B11" s="92"/>
      <c r="C11" s="93" t="str">
        <f>IF(A11&lt;&gt;"",IFERROR(VLOOKUP(B11,DivisionCostCodeLookup!$F$2:$G$426,2,FALSE),INT(LEFT(A11,2))&amp;"0000"),"")</f>
        <v/>
      </c>
      <c r="D11" s="94"/>
      <c r="E11" s="95"/>
      <c r="F11" s="96"/>
      <c r="G11" s="164"/>
      <c r="H11" s="97" t="str">
        <f t="shared" si="0"/>
        <v/>
      </c>
    </row>
    <row r="12" spans="1:8" s="86" customFormat="1">
      <c r="A12" s="92"/>
      <c r="B12" s="92"/>
      <c r="C12" s="93" t="str">
        <f>IF(A12&lt;&gt;"",IFERROR(VLOOKUP(B12,DivisionCostCodeLookup!$F$2:$G$426,2,FALSE),INT(LEFT(A12,2))&amp;"0000"),"")</f>
        <v/>
      </c>
      <c r="D12" s="94"/>
      <c r="E12" s="95"/>
      <c r="F12" s="96"/>
      <c r="G12" s="164"/>
      <c r="H12" s="97" t="str">
        <f t="shared" si="0"/>
        <v/>
      </c>
    </row>
    <row r="13" spans="1:8" s="86" customFormat="1">
      <c r="A13" s="92"/>
      <c r="B13" s="92"/>
      <c r="C13" s="93" t="str">
        <f>IF(A13&lt;&gt;"",IFERROR(VLOOKUP(B13,DivisionCostCodeLookup!$F$2:$G$426,2,FALSE),INT(LEFT(A13,2))&amp;"0000"),"")</f>
        <v/>
      </c>
      <c r="D13" s="94"/>
      <c r="E13" s="95"/>
      <c r="F13" s="96"/>
      <c r="G13" s="164"/>
      <c r="H13" s="97" t="str">
        <f t="shared" si="0"/>
        <v/>
      </c>
    </row>
    <row r="14" spans="1:8" s="86" customFormat="1">
      <c r="A14" s="92"/>
      <c r="B14" s="92"/>
      <c r="C14" s="93" t="str">
        <f>IF(A14&lt;&gt;"",IFERROR(VLOOKUP(B14,DivisionCostCodeLookup!$F$2:$G$426,2,FALSE),INT(LEFT(A14,2))&amp;"0000"),"")</f>
        <v/>
      </c>
      <c r="D14" s="94"/>
      <c r="E14" s="95"/>
      <c r="F14" s="96"/>
      <c r="G14" s="164"/>
      <c r="H14" s="97" t="str">
        <f t="shared" si="0"/>
        <v/>
      </c>
    </row>
    <row r="15" spans="1:8" s="86" customFormat="1">
      <c r="A15" s="92"/>
      <c r="B15" s="92"/>
      <c r="C15" s="93" t="str">
        <f>IF(A15&lt;&gt;"",IFERROR(VLOOKUP(B15,DivisionCostCodeLookup!$F$2:$G$426,2,FALSE),INT(LEFT(A15,2))&amp;"0000"),"")</f>
        <v/>
      </c>
      <c r="D15" s="94"/>
      <c r="E15" s="95"/>
      <c r="F15" s="96"/>
      <c r="G15" s="164"/>
      <c r="H15" s="97" t="str">
        <f t="shared" si="0"/>
        <v/>
      </c>
    </row>
    <row r="16" spans="1:8" s="86" customFormat="1">
      <c r="A16" s="92"/>
      <c r="B16" s="92"/>
      <c r="C16" s="93" t="str">
        <f>IF(A16&lt;&gt;"",IFERROR(VLOOKUP(B16,DivisionCostCodeLookup!$F$2:$G$426,2,FALSE),INT(LEFT(A16,2))&amp;"0000"),"")</f>
        <v/>
      </c>
      <c r="D16" s="94"/>
      <c r="E16" s="95"/>
      <c r="F16" s="96"/>
      <c r="G16" s="164"/>
      <c r="H16" s="97" t="str">
        <f t="shared" si="0"/>
        <v/>
      </c>
    </row>
    <row r="17" spans="1:12" s="86" customFormat="1">
      <c r="A17" s="92"/>
      <c r="B17" s="92"/>
      <c r="C17" s="93" t="str">
        <f>IF(A17&lt;&gt;"",IFERROR(VLOOKUP(B17,DivisionCostCodeLookup!$F$2:$G$426,2,FALSE),INT(LEFT(A17,2))&amp;"0000"),"")</f>
        <v/>
      </c>
      <c r="D17" s="94"/>
      <c r="E17" s="95"/>
      <c r="F17" s="96"/>
      <c r="G17" s="164"/>
      <c r="H17" s="97" t="str">
        <f t="shared" si="0"/>
        <v/>
      </c>
    </row>
    <row r="18" spans="1:12" s="86" customFormat="1">
      <c r="A18" s="92"/>
      <c r="B18" s="92"/>
      <c r="C18" s="93" t="str">
        <f>IF(A18&lt;&gt;"",IFERROR(VLOOKUP(B18,DivisionCostCodeLookup!$F$2:$G$426,2,FALSE),INT(LEFT(A18,2))&amp;"0000"),"")</f>
        <v/>
      </c>
      <c r="D18" s="94"/>
      <c r="E18" s="95"/>
      <c r="F18" s="96"/>
      <c r="G18" s="164"/>
      <c r="H18" s="97" t="str">
        <f t="shared" si="0"/>
        <v/>
      </c>
    </row>
    <row r="19" spans="1:12" s="86" customFormat="1">
      <c r="A19" s="92"/>
      <c r="B19" s="92"/>
      <c r="C19" s="93" t="str">
        <f>IF(A19&lt;&gt;"",IFERROR(VLOOKUP(B19,DivisionCostCodeLookup!$F$2:$G$426,2,FALSE),INT(LEFT(A19,2))&amp;"0000"),"")</f>
        <v/>
      </c>
      <c r="D19" s="94"/>
      <c r="E19" s="95"/>
      <c r="F19" s="96"/>
      <c r="G19" s="164"/>
      <c r="H19" s="97" t="str">
        <f t="shared" si="0"/>
        <v/>
      </c>
      <c r="J19" s="299"/>
      <c r="K19" s="299"/>
      <c r="L19" s="299"/>
    </row>
    <row r="20" spans="1:12" s="86" customFormat="1">
      <c r="A20" s="92"/>
      <c r="B20" s="92"/>
      <c r="C20" s="93" t="str">
        <f>IF(A20&lt;&gt;"",IFERROR(VLOOKUP(B20,DivisionCostCodeLookup!$F$2:$G$426,2,FALSE),INT(LEFT(A20,2))&amp;"0000"),"")</f>
        <v/>
      </c>
      <c r="D20" s="94"/>
      <c r="E20" s="95"/>
      <c r="F20" s="96"/>
      <c r="G20" s="164"/>
      <c r="H20" s="97" t="str">
        <f t="shared" si="0"/>
        <v/>
      </c>
      <c r="J20" s="299"/>
      <c r="K20" s="299"/>
      <c r="L20" s="299"/>
    </row>
    <row r="21" spans="1:12" s="86" customFormat="1">
      <c r="A21" s="92"/>
      <c r="B21" s="92"/>
      <c r="C21" s="93" t="str">
        <f>IF(A21&lt;&gt;"",IFERROR(VLOOKUP(B21,DivisionCostCodeLookup!$F$2:$G$426,2,FALSE),INT(LEFT(A21,2))&amp;"0000"),"")</f>
        <v/>
      </c>
      <c r="D21" s="94"/>
      <c r="E21" s="95"/>
      <c r="F21" s="96"/>
      <c r="G21" s="164"/>
      <c r="H21" s="97" t="str">
        <f t="shared" si="0"/>
        <v/>
      </c>
      <c r="J21" s="299"/>
      <c r="K21" s="299"/>
      <c r="L21" s="299"/>
    </row>
    <row r="22" spans="1:12" s="86" customFormat="1">
      <c r="A22" s="92"/>
      <c r="B22" s="92"/>
      <c r="C22" s="93" t="str">
        <f>IF(A22&lt;&gt;"",IFERROR(VLOOKUP(B22,DivisionCostCodeLookup!$F$2:$G$426,2,FALSE),INT(LEFT(A22,2))&amp;"0000"),"")</f>
        <v/>
      </c>
      <c r="D22" s="94"/>
      <c r="E22" s="95"/>
      <c r="F22" s="96"/>
      <c r="G22" s="164"/>
      <c r="H22" s="97" t="str">
        <f t="shared" si="0"/>
        <v/>
      </c>
    </row>
    <row r="23" spans="1:12" s="86" customFormat="1">
      <c r="A23" s="92"/>
      <c r="B23" s="92"/>
      <c r="C23" s="93" t="str">
        <f>IF(A23&lt;&gt;"",IFERROR(VLOOKUP(B23,DivisionCostCodeLookup!$F$2:$G$426,2,FALSE),INT(LEFT(A23,2))&amp;"0000"),"")</f>
        <v/>
      </c>
      <c r="D23" s="94"/>
      <c r="E23" s="95"/>
      <c r="F23" s="96"/>
      <c r="G23" s="164"/>
      <c r="H23" s="97" t="str">
        <f t="shared" si="0"/>
        <v/>
      </c>
    </row>
    <row r="24" spans="1:12" s="86" customFormat="1">
      <c r="A24" s="92"/>
      <c r="B24" s="92"/>
      <c r="C24" s="93" t="str">
        <f>IF(A24&lt;&gt;"",IFERROR(VLOOKUP(B24,DivisionCostCodeLookup!$F$2:$G$426,2,FALSE),INT(LEFT(A24,2))&amp;"0000"),"")</f>
        <v/>
      </c>
      <c r="D24" s="94"/>
      <c r="E24" s="95"/>
      <c r="F24" s="96"/>
      <c r="G24" s="164"/>
      <c r="H24" s="97" t="str">
        <f t="shared" si="0"/>
        <v/>
      </c>
    </row>
    <row r="25" spans="1:12" s="86" customFormat="1">
      <c r="A25" s="92"/>
      <c r="B25" s="92"/>
      <c r="C25" s="93" t="str">
        <f>IF(A25&lt;&gt;"",IFERROR(VLOOKUP(B25,DivisionCostCodeLookup!$F$2:$G$426,2,FALSE),INT(LEFT(A25,2))&amp;"0000"),"")</f>
        <v/>
      </c>
      <c r="D25" s="94"/>
      <c r="E25" s="95"/>
      <c r="F25" s="96"/>
      <c r="G25" s="164"/>
      <c r="H25" s="97" t="str">
        <f t="shared" si="0"/>
        <v/>
      </c>
    </row>
    <row r="26" spans="1:12" s="86" customFormat="1">
      <c r="A26" s="92"/>
      <c r="B26" s="92"/>
      <c r="C26" s="93" t="str">
        <f>IF(A26&lt;&gt;"",IFERROR(VLOOKUP(B26,DivisionCostCodeLookup!$F$2:$G$426,2,FALSE),INT(LEFT(A26,2))&amp;"0000"),"")</f>
        <v/>
      </c>
      <c r="D26" s="94"/>
      <c r="E26" s="95"/>
      <c r="F26" s="96"/>
      <c r="G26" s="164"/>
      <c r="H26" s="97" t="str">
        <f t="shared" si="0"/>
        <v/>
      </c>
    </row>
    <row r="27" spans="1:12" s="86" customFormat="1">
      <c r="A27" s="92"/>
      <c r="B27" s="92"/>
      <c r="C27" s="93" t="str">
        <f>IF(A27&lt;&gt;"",IFERROR(VLOOKUP(B27,DivisionCostCodeLookup!$F$2:$G$426,2,FALSE),INT(LEFT(A27,2))&amp;"0000"),"")</f>
        <v/>
      </c>
      <c r="D27" s="94"/>
      <c r="E27" s="95"/>
      <c r="F27" s="96"/>
      <c r="G27" s="164"/>
      <c r="H27" s="97" t="str">
        <f t="shared" si="0"/>
        <v/>
      </c>
    </row>
    <row r="28" spans="1:12" s="86" customFormat="1">
      <c r="A28" s="92"/>
      <c r="B28" s="92"/>
      <c r="C28" s="93" t="str">
        <f>IF(A28&lt;&gt;"",IFERROR(VLOOKUP(B28,DivisionCostCodeLookup!$F$2:$G$426,2,FALSE),INT(LEFT(A28,2))&amp;"0000"),"")</f>
        <v/>
      </c>
      <c r="D28" s="94"/>
      <c r="E28" s="95"/>
      <c r="F28" s="96"/>
      <c r="G28" s="164"/>
      <c r="H28" s="97" t="str">
        <f t="shared" si="0"/>
        <v/>
      </c>
    </row>
    <row r="29" spans="1:12" s="86" customFormat="1">
      <c r="A29" s="92"/>
      <c r="B29" s="92"/>
      <c r="C29" s="93" t="str">
        <f>IF(A29&lt;&gt;"",IFERROR(VLOOKUP(B29,DivisionCostCodeLookup!$F$2:$G$426,2,FALSE),INT(LEFT(A29,2))&amp;"0000"),"")</f>
        <v/>
      </c>
      <c r="D29" s="94"/>
      <c r="E29" s="95"/>
      <c r="F29" s="96"/>
      <c r="G29" s="164"/>
      <c r="H29" s="97" t="str">
        <f t="shared" si="0"/>
        <v/>
      </c>
    </row>
    <row r="30" spans="1:12" s="86" customFormat="1">
      <c r="A30" s="92"/>
      <c r="B30" s="92"/>
      <c r="C30" s="93" t="str">
        <f>IF(A30&lt;&gt;"",IFERROR(VLOOKUP(B30,DivisionCostCodeLookup!$F$2:$G$426,2,FALSE),INT(LEFT(A30,2))&amp;"0000"),"")</f>
        <v/>
      </c>
      <c r="D30" s="94"/>
      <c r="E30" s="95"/>
      <c r="F30" s="96"/>
      <c r="G30" s="164"/>
      <c r="H30" s="97" t="str">
        <f t="shared" si="0"/>
        <v/>
      </c>
    </row>
    <row r="31" spans="1:12" s="86" customFormat="1">
      <c r="A31" s="92"/>
      <c r="B31" s="92"/>
      <c r="C31" s="93" t="str">
        <f>IF(A31&lt;&gt;"",IFERROR(VLOOKUP(B31,DivisionCostCodeLookup!$F$2:$G$426,2,FALSE),INT(LEFT(A31,2))&amp;"0000"),"")</f>
        <v/>
      </c>
      <c r="D31" s="94"/>
      <c r="E31" s="95"/>
      <c r="F31" s="96"/>
      <c r="G31" s="164"/>
      <c r="H31" s="97" t="str">
        <f t="shared" si="0"/>
        <v/>
      </c>
    </row>
    <row r="32" spans="1:12" s="86" customFormat="1">
      <c r="A32" s="92"/>
      <c r="B32" s="92"/>
      <c r="C32" s="93" t="str">
        <f>IF(A32&lt;&gt;"",IFERROR(VLOOKUP(B32,DivisionCostCodeLookup!$F$2:$G$426,2,FALSE),INT(LEFT(A32,2))&amp;"0000"),"")</f>
        <v/>
      </c>
      <c r="D32" s="94"/>
      <c r="E32" s="95"/>
      <c r="F32" s="96"/>
      <c r="G32" s="164"/>
      <c r="H32" s="97" t="str">
        <f t="shared" si="0"/>
        <v/>
      </c>
    </row>
    <row r="33" spans="1:8" s="86" customFormat="1">
      <c r="A33" s="92"/>
      <c r="B33" s="92"/>
      <c r="C33" s="93" t="str">
        <f>IF(A33&lt;&gt;"",IFERROR(VLOOKUP(B33,DivisionCostCodeLookup!$F$2:$G$426,2,FALSE),INT(LEFT(A33,2))&amp;"0000"),"")</f>
        <v/>
      </c>
      <c r="D33" s="94"/>
      <c r="E33" s="95"/>
      <c r="F33" s="96"/>
      <c r="G33" s="164"/>
      <c r="H33" s="97" t="str">
        <f t="shared" si="0"/>
        <v/>
      </c>
    </row>
    <row r="34" spans="1:8" s="86" customFormat="1">
      <c r="A34" s="92"/>
      <c r="B34" s="92"/>
      <c r="C34" s="93" t="str">
        <f>IF(A34&lt;&gt;"",IFERROR(VLOOKUP(B34,DivisionCostCodeLookup!$F$2:$G$426,2,FALSE),INT(LEFT(A34,2))&amp;"0000"),"")</f>
        <v/>
      </c>
      <c r="D34" s="94"/>
      <c r="E34" s="95"/>
      <c r="F34" s="96"/>
      <c r="G34" s="164"/>
      <c r="H34" s="97" t="str">
        <f t="shared" si="0"/>
        <v/>
      </c>
    </row>
    <row r="35" spans="1:8" s="86" customFormat="1">
      <c r="A35" s="92"/>
      <c r="B35" s="92"/>
      <c r="C35" s="93" t="str">
        <f>IF(A35&lt;&gt;"",IFERROR(VLOOKUP(B35,DivisionCostCodeLookup!$F$2:$G$426,2,FALSE),INT(LEFT(A35,2))&amp;"0000"),"")</f>
        <v/>
      </c>
      <c r="D35" s="94"/>
      <c r="E35" s="95"/>
      <c r="F35" s="96"/>
      <c r="G35" s="164"/>
      <c r="H35" s="97" t="str">
        <f t="shared" si="0"/>
        <v/>
      </c>
    </row>
    <row r="36" spans="1:8" s="86" customFormat="1">
      <c r="A36" s="92"/>
      <c r="B36" s="92"/>
      <c r="C36" s="93" t="str">
        <f>IF(A36&lt;&gt;"",IFERROR(VLOOKUP(B36,DivisionCostCodeLookup!$F$2:$G$426,2,FALSE),INT(LEFT(A36,2))&amp;"0000"),"")</f>
        <v/>
      </c>
      <c r="D36" s="94"/>
      <c r="E36" s="95"/>
      <c r="F36" s="96"/>
      <c r="G36" s="164"/>
      <c r="H36" s="97" t="str">
        <f t="shared" si="0"/>
        <v/>
      </c>
    </row>
    <row r="37" spans="1:8" s="86" customFormat="1">
      <c r="A37" s="92"/>
      <c r="B37" s="92"/>
      <c r="C37" s="93" t="str">
        <f>IF(A37&lt;&gt;"",IFERROR(VLOOKUP(B37,DivisionCostCodeLookup!$F$2:$G$426,2,FALSE),INT(LEFT(A37,2))&amp;"0000"),"")</f>
        <v/>
      </c>
      <c r="D37" s="94"/>
      <c r="E37" s="95"/>
      <c r="F37" s="96"/>
      <c r="G37" s="164"/>
      <c r="H37" s="97" t="str">
        <f t="shared" si="0"/>
        <v/>
      </c>
    </row>
    <row r="38" spans="1:8" s="86" customFormat="1">
      <c r="A38" s="92"/>
      <c r="B38" s="92"/>
      <c r="C38" s="93" t="str">
        <f>IF(A38&lt;&gt;"",IFERROR(VLOOKUP(B38,DivisionCostCodeLookup!$F$2:$G$426,2,FALSE),INT(LEFT(A38,2))&amp;"0000"),"")</f>
        <v/>
      </c>
      <c r="D38" s="94"/>
      <c r="E38" s="95"/>
      <c r="F38" s="96"/>
      <c r="G38" s="164"/>
      <c r="H38" s="97" t="str">
        <f t="shared" si="0"/>
        <v/>
      </c>
    </row>
    <row r="39" spans="1:8" s="86" customFormat="1">
      <c r="A39" s="92"/>
      <c r="B39" s="92"/>
      <c r="C39" s="93" t="str">
        <f>IF(A39&lt;&gt;"",IFERROR(VLOOKUP(B39,DivisionCostCodeLookup!$F$2:$G$426,2,FALSE),INT(LEFT(A39,2))&amp;"0000"),"")</f>
        <v/>
      </c>
      <c r="D39" s="94"/>
      <c r="E39" s="95"/>
      <c r="F39" s="96"/>
      <c r="G39" s="164"/>
      <c r="H39" s="97" t="str">
        <f t="shared" si="0"/>
        <v/>
      </c>
    </row>
    <row r="40" spans="1:8" s="86" customFormat="1">
      <c r="A40" s="92"/>
      <c r="B40" s="92"/>
      <c r="C40" s="93" t="str">
        <f>IF(A40&lt;&gt;"",IFERROR(VLOOKUP(B40,DivisionCostCodeLookup!$F$2:$G$426,2,FALSE),INT(LEFT(A40,2))&amp;"0000"),"")</f>
        <v/>
      </c>
      <c r="D40" s="94"/>
      <c r="E40" s="95"/>
      <c r="F40" s="96"/>
      <c r="G40" s="164"/>
      <c r="H40" s="97" t="str">
        <f t="shared" si="0"/>
        <v/>
      </c>
    </row>
    <row r="41" spans="1:8" s="86" customFormat="1">
      <c r="A41" s="92"/>
      <c r="B41" s="92"/>
      <c r="C41" s="93" t="str">
        <f>IF(A41&lt;&gt;"",IFERROR(VLOOKUP(B41,DivisionCostCodeLookup!$F$2:$G$426,2,FALSE),INT(LEFT(A41,2))&amp;"0000"),"")</f>
        <v/>
      </c>
      <c r="D41" s="94"/>
      <c r="E41" s="95"/>
      <c r="F41" s="96"/>
      <c r="G41" s="164"/>
      <c r="H41" s="97" t="str">
        <f t="shared" si="0"/>
        <v/>
      </c>
    </row>
    <row r="42" spans="1:8" s="86" customFormat="1">
      <c r="A42" s="92"/>
      <c r="B42" s="92"/>
      <c r="C42" s="93" t="str">
        <f>IF(A42&lt;&gt;"",IFERROR(VLOOKUP(B42,DivisionCostCodeLookup!$F$2:$G$426,2,FALSE),INT(LEFT(A42,2))&amp;"0000"),"")</f>
        <v/>
      </c>
      <c r="D42" s="94"/>
      <c r="E42" s="95"/>
      <c r="F42" s="96"/>
      <c r="G42" s="164"/>
      <c r="H42" s="97" t="str">
        <f t="shared" si="0"/>
        <v/>
      </c>
    </row>
    <row r="43" spans="1:8" s="86" customFormat="1">
      <c r="A43" s="92"/>
      <c r="B43" s="92"/>
      <c r="C43" s="93" t="str">
        <f>IF(A43&lt;&gt;"",IFERROR(VLOOKUP(B43,DivisionCostCodeLookup!$F$2:$G$426,2,FALSE),INT(LEFT(A43,2))&amp;"0000"),"")</f>
        <v/>
      </c>
      <c r="D43" s="94"/>
      <c r="E43" s="95"/>
      <c r="F43" s="96"/>
      <c r="G43" s="164"/>
      <c r="H43" s="97" t="str">
        <f t="shared" si="0"/>
        <v/>
      </c>
    </row>
    <row r="44" spans="1:8" s="86" customFormat="1">
      <c r="A44" s="92"/>
      <c r="B44" s="92"/>
      <c r="C44" s="93" t="str">
        <f>IF(A44&lt;&gt;"",IFERROR(VLOOKUP(B44,DivisionCostCodeLookup!$F$2:$G$426,2,FALSE),INT(LEFT(A44,2))&amp;"0000"),"")</f>
        <v/>
      </c>
      <c r="D44" s="94"/>
      <c r="E44" s="95"/>
      <c r="F44" s="96"/>
      <c r="G44" s="164"/>
      <c r="H44" s="97" t="str">
        <f t="shared" si="0"/>
        <v/>
      </c>
    </row>
    <row r="45" spans="1:8" s="86" customFormat="1">
      <c r="A45" s="92"/>
      <c r="B45" s="92"/>
      <c r="C45" s="93" t="str">
        <f>IF(A45&lt;&gt;"",IFERROR(VLOOKUP(B45,DivisionCostCodeLookup!$F$2:$G$426,2,FALSE),INT(LEFT(A45,2))&amp;"0000"),"")</f>
        <v/>
      </c>
      <c r="D45" s="94"/>
      <c r="E45" s="95"/>
      <c r="F45" s="96"/>
      <c r="G45" s="164"/>
      <c r="H45" s="97" t="str">
        <f t="shared" si="0"/>
        <v/>
      </c>
    </row>
    <row r="46" spans="1:8" s="86" customFormat="1">
      <c r="A46" s="92"/>
      <c r="B46" s="92"/>
      <c r="C46" s="93" t="str">
        <f>IF(A46&lt;&gt;"",IFERROR(VLOOKUP(B46,DivisionCostCodeLookup!$F$2:$G$426,2,FALSE),INT(LEFT(A46,2))&amp;"0000"),"")</f>
        <v/>
      </c>
      <c r="D46" s="94"/>
      <c r="E46" s="95"/>
      <c r="F46" s="96"/>
      <c r="G46" s="164"/>
      <c r="H46" s="97" t="str">
        <f t="shared" si="0"/>
        <v/>
      </c>
    </row>
    <row r="47" spans="1:8" s="86" customFormat="1">
      <c r="A47" s="92"/>
      <c r="B47" s="92"/>
      <c r="C47" s="93" t="str">
        <f>IF(A47&lt;&gt;"",IFERROR(VLOOKUP(B47,DivisionCostCodeLookup!$F$2:$G$426,2,FALSE),INT(LEFT(A47,2))&amp;"0000"),"")</f>
        <v/>
      </c>
      <c r="D47" s="94"/>
      <c r="E47" s="95"/>
      <c r="F47" s="96"/>
      <c r="G47" s="164"/>
      <c r="H47" s="97" t="str">
        <f t="shared" si="0"/>
        <v/>
      </c>
    </row>
    <row r="48" spans="1:8" s="86" customFormat="1">
      <c r="A48" s="92"/>
      <c r="B48" s="92"/>
      <c r="C48" s="93" t="str">
        <f>IF(A48&lt;&gt;"",IFERROR(VLOOKUP(B48,DivisionCostCodeLookup!$F$2:$G$426,2,FALSE),INT(LEFT(A48,2))&amp;"0000"),"")</f>
        <v/>
      </c>
      <c r="D48" s="94"/>
      <c r="E48" s="95"/>
      <c r="F48" s="96"/>
      <c r="G48" s="164"/>
      <c r="H48" s="97" t="str">
        <f t="shared" si="0"/>
        <v/>
      </c>
    </row>
    <row r="49" spans="1:8" s="86" customFormat="1">
      <c r="A49" s="92"/>
      <c r="B49" s="92"/>
      <c r="C49" s="93" t="str">
        <f>IF(A49&lt;&gt;"",IFERROR(VLOOKUP(B49,DivisionCostCodeLookup!$F$2:$G$426,2,FALSE),INT(LEFT(A49,2))&amp;"0000"),"")</f>
        <v/>
      </c>
      <c r="D49" s="94"/>
      <c r="E49" s="95"/>
      <c r="F49" s="96"/>
      <c r="G49" s="164"/>
      <c r="H49" s="97" t="str">
        <f t="shared" si="0"/>
        <v/>
      </c>
    </row>
    <row r="50" spans="1:8" s="86" customFormat="1">
      <c r="A50" s="92"/>
      <c r="B50" s="92"/>
      <c r="C50" s="93" t="str">
        <f>IF(A50&lt;&gt;"",IFERROR(VLOOKUP(B50,DivisionCostCodeLookup!$F$2:$G$426,2,FALSE),INT(LEFT(A50,2))&amp;"0000"),"")</f>
        <v/>
      </c>
      <c r="D50" s="94"/>
      <c r="E50" s="95"/>
      <c r="F50" s="96"/>
      <c r="G50" s="164"/>
      <c r="H50" s="97" t="str">
        <f t="shared" si="0"/>
        <v/>
      </c>
    </row>
    <row r="51" spans="1:8" s="86" customFormat="1">
      <c r="A51" s="92"/>
      <c r="B51" s="92"/>
      <c r="C51" s="93" t="str">
        <f>IF(A51&lt;&gt;"",IFERROR(VLOOKUP(B51,DivisionCostCodeLookup!$F$2:$G$426,2,FALSE),INT(LEFT(A51,2))&amp;"0000"),"")</f>
        <v/>
      </c>
      <c r="D51" s="94"/>
      <c r="E51" s="95"/>
      <c r="F51" s="96"/>
      <c r="G51" s="164"/>
      <c r="H51" s="97" t="str">
        <f t="shared" si="0"/>
        <v/>
      </c>
    </row>
    <row r="52" spans="1:8" s="86" customFormat="1">
      <c r="A52" s="92"/>
      <c r="B52" s="92"/>
      <c r="C52" s="93" t="str">
        <f>IF(A52&lt;&gt;"",IFERROR(VLOOKUP(B52,DivisionCostCodeLookup!$F$2:$G$426,2,FALSE),INT(LEFT(A52,2))&amp;"0000"),"")</f>
        <v/>
      </c>
      <c r="D52" s="94"/>
      <c r="E52" s="95"/>
      <c r="F52" s="96"/>
      <c r="G52" s="164"/>
      <c r="H52" s="97" t="str">
        <f t="shared" si="0"/>
        <v/>
      </c>
    </row>
    <row r="53" spans="1:8" s="86" customFormat="1">
      <c r="A53" s="92"/>
      <c r="B53" s="92"/>
      <c r="C53" s="93" t="str">
        <f>IF(A53&lt;&gt;"",IFERROR(VLOOKUP(B53,DivisionCostCodeLookup!$F$2:$G$426,2,FALSE),INT(LEFT(A53,2))&amp;"0000"),"")</f>
        <v/>
      </c>
      <c r="D53" s="94"/>
      <c r="E53" s="95"/>
      <c r="F53" s="96"/>
      <c r="G53" s="164"/>
      <c r="H53" s="97" t="str">
        <f t="shared" si="0"/>
        <v/>
      </c>
    </row>
    <row r="54" spans="1:8" s="86" customFormat="1">
      <c r="A54" s="92"/>
      <c r="B54" s="92"/>
      <c r="C54" s="93" t="str">
        <f>IF(A54&lt;&gt;"",IFERROR(VLOOKUP(B54,DivisionCostCodeLookup!$F$2:$G$426,2,FALSE),INT(LEFT(A54,2))&amp;"0000"),"")</f>
        <v/>
      </c>
      <c r="D54" s="94"/>
      <c r="E54" s="95"/>
      <c r="F54" s="96"/>
      <c r="G54" s="164"/>
      <c r="H54" s="97" t="str">
        <f t="shared" si="0"/>
        <v/>
      </c>
    </row>
    <row r="55" spans="1:8" s="86" customFormat="1">
      <c r="A55" s="92"/>
      <c r="B55" s="92"/>
      <c r="C55" s="93" t="str">
        <f>IF(A55&lt;&gt;"",IFERROR(VLOOKUP(B55,DivisionCostCodeLookup!$F$2:$G$426,2,FALSE),INT(LEFT(A55,2))&amp;"0000"),"")</f>
        <v/>
      </c>
      <c r="D55" s="94"/>
      <c r="E55" s="95"/>
      <c r="F55" s="96"/>
      <c r="G55" s="164"/>
      <c r="H55" s="97" t="str">
        <f t="shared" si="0"/>
        <v/>
      </c>
    </row>
    <row r="56" spans="1:8" s="86" customFormat="1">
      <c r="A56" s="92"/>
      <c r="B56" s="92"/>
      <c r="C56" s="93" t="str">
        <f>IF(A56&lt;&gt;"",IFERROR(VLOOKUP(B56,DivisionCostCodeLookup!$F$2:$G$426,2,FALSE),INT(LEFT(A56,2))&amp;"0000"),"")</f>
        <v/>
      </c>
      <c r="D56" s="94"/>
      <c r="E56" s="95"/>
      <c r="F56" s="96"/>
      <c r="G56" s="164"/>
      <c r="H56" s="97" t="str">
        <f t="shared" si="0"/>
        <v/>
      </c>
    </row>
    <row r="57" spans="1:8" s="86" customFormat="1">
      <c r="A57" s="92"/>
      <c r="B57" s="92"/>
      <c r="C57" s="93" t="str">
        <f>IF(A57&lt;&gt;"",IFERROR(VLOOKUP(B57,DivisionCostCodeLookup!$F$2:$G$426,2,FALSE),INT(LEFT(A57,2))&amp;"0000"),"")</f>
        <v/>
      </c>
      <c r="D57" s="94"/>
      <c r="E57" s="95"/>
      <c r="F57" s="96"/>
      <c r="G57" s="164"/>
      <c r="H57" s="97" t="str">
        <f t="shared" si="0"/>
        <v/>
      </c>
    </row>
    <row r="58" spans="1:8" s="86" customFormat="1">
      <c r="A58" s="92"/>
      <c r="B58" s="92"/>
      <c r="C58" s="93" t="str">
        <f>IF(A58&lt;&gt;"",IFERROR(VLOOKUP(B58,DivisionCostCodeLookup!$F$2:$G$426,2,FALSE),INT(LEFT(A58,2))&amp;"0000"),"")</f>
        <v/>
      </c>
      <c r="D58" s="94"/>
      <c r="E58" s="95"/>
      <c r="F58" s="96"/>
      <c r="G58" s="164"/>
      <c r="H58" s="97" t="str">
        <f t="shared" si="0"/>
        <v/>
      </c>
    </row>
    <row r="59" spans="1:8" s="86" customFormat="1">
      <c r="A59" s="92"/>
      <c r="B59" s="92"/>
      <c r="C59" s="93" t="str">
        <f>IF(A59&lt;&gt;"",IFERROR(VLOOKUP(B59,DivisionCostCodeLookup!$F$2:$G$426,2,FALSE),INT(LEFT(A59,2))&amp;"0000"),"")</f>
        <v/>
      </c>
      <c r="D59" s="94"/>
      <c r="E59" s="95"/>
      <c r="F59" s="96"/>
      <c r="G59" s="164"/>
      <c r="H59" s="97" t="str">
        <f t="shared" si="0"/>
        <v/>
      </c>
    </row>
    <row r="60" spans="1:8" s="86" customFormat="1">
      <c r="A60" s="92"/>
      <c r="B60" s="92"/>
      <c r="C60" s="93" t="str">
        <f>IF(A60&lt;&gt;"",IFERROR(VLOOKUP(B60,DivisionCostCodeLookup!$F$2:$G$426,2,FALSE),INT(LEFT(A60,2))&amp;"0000"),"")</f>
        <v/>
      </c>
      <c r="D60" s="94"/>
      <c r="E60" s="95"/>
      <c r="F60" s="96"/>
      <c r="G60" s="164"/>
      <c r="H60" s="97" t="str">
        <f t="shared" si="0"/>
        <v/>
      </c>
    </row>
    <row r="61" spans="1:8" s="86" customFormat="1">
      <c r="A61" s="92"/>
      <c r="B61" s="92"/>
      <c r="C61" s="93" t="str">
        <f>IF(A61&lt;&gt;"",IFERROR(VLOOKUP(B61,DivisionCostCodeLookup!$F$2:$G$426,2,FALSE),INT(LEFT(A61,2))&amp;"0000"),"")</f>
        <v/>
      </c>
      <c r="D61" s="94"/>
      <c r="E61" s="95"/>
      <c r="F61" s="96"/>
      <c r="G61" s="164"/>
      <c r="H61" s="97" t="str">
        <f t="shared" si="0"/>
        <v/>
      </c>
    </row>
    <row r="62" spans="1:8" s="86" customFormat="1">
      <c r="A62" s="92"/>
      <c r="B62" s="92"/>
      <c r="C62" s="93" t="str">
        <f>IF(A62&lt;&gt;"",IFERROR(VLOOKUP(B62,DivisionCostCodeLookup!$F$2:$G$426,2,FALSE),INT(LEFT(A62,2))&amp;"0000"),"")</f>
        <v/>
      </c>
      <c r="D62" s="94"/>
      <c r="E62" s="95"/>
      <c r="F62" s="96"/>
      <c r="G62" s="164"/>
      <c r="H62" s="97" t="str">
        <f t="shared" si="0"/>
        <v/>
      </c>
    </row>
    <row r="63" spans="1:8" s="86" customFormat="1">
      <c r="A63" s="92"/>
      <c r="B63" s="92"/>
      <c r="C63" s="93" t="str">
        <f>IF(A63&lt;&gt;"",IFERROR(VLOOKUP(B63,DivisionCostCodeLookup!$F$2:$G$426,2,FALSE),INT(LEFT(A63,2))&amp;"0000"),"")</f>
        <v/>
      </c>
      <c r="D63" s="94"/>
      <c r="E63" s="95"/>
      <c r="F63" s="96"/>
      <c r="G63" s="164"/>
      <c r="H63" s="97" t="str">
        <f t="shared" si="0"/>
        <v/>
      </c>
    </row>
    <row r="64" spans="1:8" s="86" customFormat="1">
      <c r="A64" s="92"/>
      <c r="B64" s="92"/>
      <c r="C64" s="93" t="str">
        <f>IF(A64&lt;&gt;"",IFERROR(VLOOKUP(B64,DivisionCostCodeLookup!$F$2:$G$426,2,FALSE),INT(LEFT(A64,2))&amp;"0000"),"")</f>
        <v/>
      </c>
      <c r="D64" s="94"/>
      <c r="E64" s="95"/>
      <c r="F64" s="96"/>
      <c r="G64" s="164"/>
      <c r="H64" s="97" t="str">
        <f t="shared" si="0"/>
        <v/>
      </c>
    </row>
    <row r="65" spans="1:8" s="86" customFormat="1">
      <c r="A65" s="92"/>
      <c r="B65" s="92"/>
      <c r="C65" s="93" t="str">
        <f>IF(A65&lt;&gt;"",IFERROR(VLOOKUP(B65,DivisionCostCodeLookup!$F$2:$G$426,2,FALSE),INT(LEFT(A65,2))&amp;"0000"),"")</f>
        <v/>
      </c>
      <c r="D65" s="94"/>
      <c r="E65" s="95"/>
      <c r="F65" s="96"/>
      <c r="G65" s="164"/>
      <c r="H65" s="97" t="str">
        <f t="shared" si="0"/>
        <v/>
      </c>
    </row>
    <row r="66" spans="1:8" s="86" customFormat="1">
      <c r="A66" s="92"/>
      <c r="B66" s="92"/>
      <c r="C66" s="93" t="str">
        <f>IF(A66&lt;&gt;"",IFERROR(VLOOKUP(B66,DivisionCostCodeLookup!$F$2:$G$426,2,FALSE),INT(LEFT(A66,2))&amp;"0000"),"")</f>
        <v/>
      </c>
      <c r="D66" s="94"/>
      <c r="E66" s="95"/>
      <c r="F66" s="96"/>
      <c r="G66" s="164"/>
      <c r="H66" s="97" t="str">
        <f t="shared" si="0"/>
        <v/>
      </c>
    </row>
    <row r="67" spans="1:8" s="86" customFormat="1">
      <c r="A67" s="92"/>
      <c r="B67" s="92"/>
      <c r="C67" s="93" t="str">
        <f>IF(A67&lt;&gt;"",IFERROR(VLOOKUP(B67,DivisionCostCodeLookup!$F$2:$G$426,2,FALSE),INT(LEFT(A67,2))&amp;"0000"),"")</f>
        <v/>
      </c>
      <c r="D67" s="94"/>
      <c r="E67" s="95"/>
      <c r="F67" s="96"/>
      <c r="G67" s="164"/>
      <c r="H67" s="97" t="str">
        <f t="shared" si="0"/>
        <v/>
      </c>
    </row>
    <row r="68" spans="1:8" s="86" customFormat="1">
      <c r="A68" s="92"/>
      <c r="B68" s="92"/>
      <c r="C68" s="93" t="str">
        <f>IF(A68&lt;&gt;"",IFERROR(VLOOKUP(B68,DivisionCostCodeLookup!$F$2:$G$426,2,FALSE),INT(LEFT(A68,2))&amp;"0000"),"")</f>
        <v/>
      </c>
      <c r="D68" s="94"/>
      <c r="E68" s="95"/>
      <c r="F68" s="96"/>
      <c r="G68" s="164"/>
      <c r="H68" s="97" t="str">
        <f t="shared" si="0"/>
        <v/>
      </c>
    </row>
    <row r="69" spans="1:8" s="86" customFormat="1">
      <c r="A69" s="92"/>
      <c r="B69" s="92"/>
      <c r="C69" s="93" t="str">
        <f>IF(A69&lt;&gt;"",IFERROR(VLOOKUP(B69,DivisionCostCodeLookup!$F$2:$G$426,2,FALSE),INT(LEFT(A69,2))&amp;"0000"),"")</f>
        <v/>
      </c>
      <c r="D69" s="94"/>
      <c r="E69" s="95"/>
      <c r="F69" s="96"/>
      <c r="G69" s="164"/>
      <c r="H69" s="97" t="str">
        <f t="shared" si="0"/>
        <v/>
      </c>
    </row>
    <row r="70" spans="1:8" s="86" customFormat="1">
      <c r="A70" s="92"/>
      <c r="B70" s="92"/>
      <c r="C70" s="93" t="str">
        <f>IF(A70&lt;&gt;"",IFERROR(VLOOKUP(B70,DivisionCostCodeLookup!$F$2:$G$426,2,FALSE),INT(LEFT(A70,2))&amp;"0000"),"")</f>
        <v/>
      </c>
      <c r="D70" s="94"/>
      <c r="E70" s="95"/>
      <c r="F70" s="96"/>
      <c r="G70" s="164"/>
      <c r="H70" s="97" t="str">
        <f t="shared" si="0"/>
        <v/>
      </c>
    </row>
    <row r="71" spans="1:8" s="86" customFormat="1">
      <c r="A71" s="92"/>
      <c r="B71" s="92"/>
      <c r="C71" s="93" t="str">
        <f>IF(A71&lt;&gt;"",IFERROR(VLOOKUP(B71,DivisionCostCodeLookup!$F$2:$G$426,2,FALSE),INT(LEFT(A71,2))&amp;"0000"),"")</f>
        <v/>
      </c>
      <c r="D71" s="94"/>
      <c r="E71" s="95"/>
      <c r="F71" s="96"/>
      <c r="G71" s="164"/>
      <c r="H71" s="97" t="str">
        <f t="shared" si="0"/>
        <v/>
      </c>
    </row>
    <row r="72" spans="1:8" s="86" customFormat="1">
      <c r="A72" s="92"/>
      <c r="B72" s="92"/>
      <c r="C72" s="93" t="str">
        <f>IF(A72&lt;&gt;"",IFERROR(VLOOKUP(B72,DivisionCostCodeLookup!$F$2:$G$426,2,FALSE),INT(LEFT(A72,2))&amp;"0000"),"")</f>
        <v/>
      </c>
      <c r="D72" s="94"/>
      <c r="E72" s="95"/>
      <c r="F72" s="96"/>
      <c r="G72" s="164"/>
      <c r="H72" s="97" t="str">
        <f t="shared" ref="H72:H135" si="1">IF(E72*G72&lt;&gt;0,E72*G72,"")</f>
        <v/>
      </c>
    </row>
    <row r="73" spans="1:8" s="86" customFormat="1">
      <c r="A73" s="92"/>
      <c r="B73" s="92"/>
      <c r="C73" s="93" t="str">
        <f>IF(A73&lt;&gt;"",IFERROR(VLOOKUP(B73,DivisionCostCodeLookup!$F$2:$G$426,2,FALSE),INT(LEFT(A73,2))&amp;"0000"),"")</f>
        <v/>
      </c>
      <c r="D73" s="94"/>
      <c r="E73" s="95"/>
      <c r="F73" s="96"/>
      <c r="G73" s="164"/>
      <c r="H73" s="97" t="str">
        <f t="shared" si="1"/>
        <v/>
      </c>
    </row>
    <row r="74" spans="1:8" s="86" customFormat="1">
      <c r="A74" s="92"/>
      <c r="B74" s="92"/>
      <c r="C74" s="93" t="str">
        <f>IF(A74&lt;&gt;"",IFERROR(VLOOKUP(B74,DivisionCostCodeLookup!$F$2:$G$426,2,FALSE),INT(LEFT(A74,2))&amp;"0000"),"")</f>
        <v/>
      </c>
      <c r="D74" s="94"/>
      <c r="E74" s="95"/>
      <c r="F74" s="96"/>
      <c r="G74" s="164"/>
      <c r="H74" s="97" t="str">
        <f t="shared" si="1"/>
        <v/>
      </c>
    </row>
    <row r="75" spans="1:8" s="86" customFormat="1">
      <c r="A75" s="92" t="s">
        <v>26</v>
      </c>
      <c r="B75" s="92" t="s">
        <v>120</v>
      </c>
      <c r="C75" s="93">
        <f>IF(A75&lt;&gt;"",IFERROR(VLOOKUP(B75,DivisionCostCodeLookup!$F$2:$G$426,2,FALSE),INT(LEFT(A75,2))&amp;"0000"),"")</f>
        <v>28213</v>
      </c>
      <c r="D75" s="94"/>
      <c r="E75" s="95"/>
      <c r="F75" s="96"/>
      <c r="G75" s="164"/>
      <c r="H75" s="97" t="str">
        <f t="shared" si="1"/>
        <v/>
      </c>
    </row>
    <row r="76" spans="1:8" s="86" customFormat="1">
      <c r="A76" s="92"/>
      <c r="B76" s="92"/>
      <c r="C76" s="93" t="str">
        <f>IF(A76&lt;&gt;"",IFERROR(VLOOKUP(B76,DivisionCostCodeLookup!$F$2:$G$426,2,FALSE),INT(LEFT(A76,2))&amp;"0000"),"")</f>
        <v/>
      </c>
      <c r="D76" s="94"/>
      <c r="E76" s="95"/>
      <c r="F76" s="96"/>
      <c r="G76" s="164"/>
      <c r="H76" s="97" t="str">
        <f t="shared" si="1"/>
        <v/>
      </c>
    </row>
    <row r="77" spans="1:8" s="86" customFormat="1">
      <c r="A77" s="92"/>
      <c r="B77" s="92"/>
      <c r="C77" s="93" t="str">
        <f>IF(A77&lt;&gt;"",IFERROR(VLOOKUP(B77,DivisionCostCodeLookup!$F$2:$G$426,2,FALSE),INT(LEFT(A77,2))&amp;"0000"),"")</f>
        <v/>
      </c>
      <c r="D77" s="94"/>
      <c r="E77" s="95"/>
      <c r="F77" s="96"/>
      <c r="G77" s="164"/>
      <c r="H77" s="97" t="str">
        <f t="shared" si="1"/>
        <v/>
      </c>
    </row>
    <row r="78" spans="1:8" s="86" customFormat="1">
      <c r="A78" s="92"/>
      <c r="B78" s="92"/>
      <c r="C78" s="93" t="str">
        <f>IF(A78&lt;&gt;"",IFERROR(VLOOKUP(B78,DivisionCostCodeLookup!$F$2:$G$426,2,FALSE),INT(LEFT(A78,2))&amp;"0000"),"")</f>
        <v/>
      </c>
      <c r="D78" s="94"/>
      <c r="E78" s="95"/>
      <c r="F78" s="96"/>
      <c r="G78" s="164"/>
      <c r="H78" s="97" t="str">
        <f t="shared" si="1"/>
        <v/>
      </c>
    </row>
    <row r="79" spans="1:8" s="86" customFormat="1">
      <c r="A79" s="92"/>
      <c r="B79" s="92"/>
      <c r="C79" s="93" t="str">
        <f>IF(A79&lt;&gt;"",IFERROR(VLOOKUP(B79,DivisionCostCodeLookup!$F$2:$G$426,2,FALSE),INT(LEFT(A79,2))&amp;"0000"),"")</f>
        <v/>
      </c>
      <c r="D79" s="94"/>
      <c r="E79" s="95"/>
      <c r="F79" s="96"/>
      <c r="G79" s="164"/>
      <c r="H79" s="97" t="str">
        <f t="shared" si="1"/>
        <v/>
      </c>
    </row>
    <row r="80" spans="1:8" s="86" customFormat="1">
      <c r="A80" s="92"/>
      <c r="B80" s="92"/>
      <c r="C80" s="93" t="str">
        <f>IF(A80&lt;&gt;"",IFERROR(VLOOKUP(B80,DivisionCostCodeLookup!$F$2:$G$426,2,FALSE),INT(LEFT(A80,2))&amp;"0000"),"")</f>
        <v/>
      </c>
      <c r="D80" s="94"/>
      <c r="E80" s="95"/>
      <c r="F80" s="96"/>
      <c r="G80" s="164"/>
      <c r="H80" s="97" t="str">
        <f t="shared" si="1"/>
        <v/>
      </c>
    </row>
    <row r="81" spans="1:8" s="86" customFormat="1">
      <c r="A81" s="92"/>
      <c r="B81" s="92"/>
      <c r="C81" s="93" t="str">
        <f>IF(A81&lt;&gt;"",IFERROR(VLOOKUP(B81,DivisionCostCodeLookup!$F$2:$G$426,2,FALSE),INT(LEFT(A81,2))&amp;"0000"),"")</f>
        <v/>
      </c>
      <c r="D81" s="94"/>
      <c r="E81" s="95"/>
      <c r="F81" s="96"/>
      <c r="G81" s="164"/>
      <c r="H81" s="97" t="str">
        <f t="shared" si="1"/>
        <v/>
      </c>
    </row>
    <row r="82" spans="1:8" s="86" customFormat="1">
      <c r="A82" s="92"/>
      <c r="B82" s="92"/>
      <c r="C82" s="93" t="str">
        <f>IF(A82&lt;&gt;"",IFERROR(VLOOKUP(B82,DivisionCostCodeLookup!$F$2:$G$426,2,FALSE),INT(LEFT(A82,2))&amp;"0000"),"")</f>
        <v/>
      </c>
      <c r="D82" s="94"/>
      <c r="E82" s="95"/>
      <c r="F82" s="96"/>
      <c r="G82" s="164"/>
      <c r="H82" s="97" t="str">
        <f t="shared" si="1"/>
        <v/>
      </c>
    </row>
    <row r="83" spans="1:8" s="86" customFormat="1">
      <c r="A83" s="92"/>
      <c r="B83" s="92"/>
      <c r="C83" s="93" t="str">
        <f>IF(A83&lt;&gt;"",IFERROR(VLOOKUP(B83,DivisionCostCodeLookup!$F$2:$G$426,2,FALSE),INT(LEFT(A83,2))&amp;"0000"),"")</f>
        <v/>
      </c>
      <c r="D83" s="94"/>
      <c r="E83" s="95"/>
      <c r="F83" s="96"/>
      <c r="G83" s="164"/>
      <c r="H83" s="97" t="str">
        <f t="shared" si="1"/>
        <v/>
      </c>
    </row>
    <row r="84" spans="1:8" s="86" customFormat="1">
      <c r="A84" s="92"/>
      <c r="B84" s="92"/>
      <c r="C84" s="93" t="str">
        <f>IF(A84&lt;&gt;"",IFERROR(VLOOKUP(B84,DivisionCostCodeLookup!$F$2:$G$426,2,FALSE),INT(LEFT(A84,2))&amp;"0000"),"")</f>
        <v/>
      </c>
      <c r="D84" s="94"/>
      <c r="E84" s="95"/>
      <c r="F84" s="96"/>
      <c r="G84" s="164"/>
      <c r="H84" s="97" t="str">
        <f t="shared" si="1"/>
        <v/>
      </c>
    </row>
    <row r="85" spans="1:8" s="86" customFormat="1">
      <c r="A85" s="92"/>
      <c r="B85" s="92"/>
      <c r="C85" s="93" t="str">
        <f>IF(A85&lt;&gt;"",IFERROR(VLOOKUP(B85,DivisionCostCodeLookup!$F$2:$G$426,2,FALSE),INT(LEFT(A85,2))&amp;"0000"),"")</f>
        <v/>
      </c>
      <c r="D85" s="94"/>
      <c r="E85" s="95"/>
      <c r="F85" s="96"/>
      <c r="G85" s="164"/>
      <c r="H85" s="97" t="str">
        <f t="shared" si="1"/>
        <v/>
      </c>
    </row>
    <row r="86" spans="1:8" s="86" customFormat="1">
      <c r="A86" s="92"/>
      <c r="B86" s="92"/>
      <c r="C86" s="93" t="str">
        <f>IF(A86&lt;&gt;"",IFERROR(VLOOKUP(B86,DivisionCostCodeLookup!$F$2:$G$426,2,FALSE),INT(LEFT(A86,2))&amp;"0000"),"")</f>
        <v/>
      </c>
      <c r="D86" s="94"/>
      <c r="E86" s="95"/>
      <c r="F86" s="96"/>
      <c r="G86" s="164"/>
      <c r="H86" s="97" t="str">
        <f t="shared" si="1"/>
        <v/>
      </c>
    </row>
    <row r="87" spans="1:8" s="86" customFormat="1">
      <c r="A87" s="92"/>
      <c r="B87" s="92"/>
      <c r="C87" s="93" t="str">
        <f>IF(A87&lt;&gt;"",IFERROR(VLOOKUP(B87,DivisionCostCodeLookup!$F$2:$G$426,2,FALSE),INT(LEFT(A87,2))&amp;"0000"),"")</f>
        <v/>
      </c>
      <c r="D87" s="94"/>
      <c r="E87" s="95"/>
      <c r="F87" s="96"/>
      <c r="G87" s="164"/>
      <c r="H87" s="97" t="str">
        <f t="shared" si="1"/>
        <v/>
      </c>
    </row>
    <row r="88" spans="1:8" s="86" customFormat="1">
      <c r="A88" s="92"/>
      <c r="B88" s="92"/>
      <c r="C88" s="93" t="str">
        <f>IF(A88&lt;&gt;"",IFERROR(VLOOKUP(B88,DivisionCostCodeLookup!$F$2:$G$426,2,FALSE),INT(LEFT(A88,2))&amp;"0000"),"")</f>
        <v/>
      </c>
      <c r="D88" s="94"/>
      <c r="E88" s="95"/>
      <c r="F88" s="96"/>
      <c r="G88" s="164"/>
      <c r="H88" s="97" t="str">
        <f t="shared" si="1"/>
        <v/>
      </c>
    </row>
    <row r="89" spans="1:8" s="86" customFormat="1">
      <c r="A89" s="92"/>
      <c r="B89" s="92"/>
      <c r="C89" s="93" t="str">
        <f>IF(A89&lt;&gt;"",IFERROR(VLOOKUP(B89,DivisionCostCodeLookup!$F$2:$G$426,2,FALSE),INT(LEFT(A89,2))&amp;"0000"),"")</f>
        <v/>
      </c>
      <c r="D89" s="94"/>
      <c r="E89" s="95"/>
      <c r="F89" s="96"/>
      <c r="G89" s="164"/>
      <c r="H89" s="97" t="str">
        <f t="shared" si="1"/>
        <v/>
      </c>
    </row>
    <row r="90" spans="1:8" s="86" customFormat="1">
      <c r="A90" s="92"/>
      <c r="B90" s="92"/>
      <c r="C90" s="93" t="str">
        <f>IF(A90&lt;&gt;"",IFERROR(VLOOKUP(B90,DivisionCostCodeLookup!$F$2:$G$426,2,FALSE),INT(LEFT(A90,2))&amp;"0000"),"")</f>
        <v/>
      </c>
      <c r="D90" s="94"/>
      <c r="E90" s="95"/>
      <c r="F90" s="96"/>
      <c r="G90" s="164"/>
      <c r="H90" s="97" t="str">
        <f t="shared" si="1"/>
        <v/>
      </c>
    </row>
    <row r="91" spans="1:8" s="86" customFormat="1">
      <c r="A91" s="92"/>
      <c r="B91" s="92"/>
      <c r="C91" s="93" t="str">
        <f>IF(A91&lt;&gt;"",IFERROR(VLOOKUP(B91,DivisionCostCodeLookup!$F$2:$G$426,2,FALSE),INT(LEFT(A91,2))&amp;"0000"),"")</f>
        <v/>
      </c>
      <c r="D91" s="94"/>
      <c r="E91" s="95"/>
      <c r="F91" s="96"/>
      <c r="G91" s="164"/>
      <c r="H91" s="97" t="str">
        <f t="shared" si="1"/>
        <v/>
      </c>
    </row>
    <row r="92" spans="1:8" s="86" customFormat="1">
      <c r="A92" s="92"/>
      <c r="B92" s="92"/>
      <c r="C92" s="93" t="str">
        <f>IF(A92&lt;&gt;"",IFERROR(VLOOKUP(B92,DivisionCostCodeLookup!$F$2:$G$426,2,FALSE),INT(LEFT(A92,2))&amp;"0000"),"")</f>
        <v/>
      </c>
      <c r="D92" s="94"/>
      <c r="E92" s="95"/>
      <c r="F92" s="96"/>
      <c r="G92" s="164"/>
      <c r="H92" s="97" t="str">
        <f t="shared" si="1"/>
        <v/>
      </c>
    </row>
    <row r="93" spans="1:8" s="86" customFormat="1">
      <c r="A93" s="92"/>
      <c r="B93" s="92"/>
      <c r="C93" s="93" t="str">
        <f>IF(A93&lt;&gt;"",IFERROR(VLOOKUP(B93,DivisionCostCodeLookup!$F$2:$G$426,2,FALSE),INT(LEFT(A93,2))&amp;"0000"),"")</f>
        <v/>
      </c>
      <c r="D93" s="94"/>
      <c r="E93" s="95"/>
      <c r="F93" s="96"/>
      <c r="G93" s="164"/>
      <c r="H93" s="97" t="str">
        <f t="shared" si="1"/>
        <v/>
      </c>
    </row>
    <row r="94" spans="1:8" s="86" customFormat="1">
      <c r="A94" s="92"/>
      <c r="B94" s="92"/>
      <c r="C94" s="93" t="str">
        <f>IF(A94&lt;&gt;"",IFERROR(VLOOKUP(B94,DivisionCostCodeLookup!$F$2:$G$426,2,FALSE),INT(LEFT(A94,2))&amp;"0000"),"")</f>
        <v/>
      </c>
      <c r="D94" s="94"/>
      <c r="E94" s="95"/>
      <c r="F94" s="96"/>
      <c r="G94" s="164"/>
      <c r="H94" s="97" t="str">
        <f t="shared" si="1"/>
        <v/>
      </c>
    </row>
    <row r="95" spans="1:8" s="86" customFormat="1">
      <c r="A95" s="92"/>
      <c r="B95" s="92"/>
      <c r="C95" s="93" t="str">
        <f>IF(A95&lt;&gt;"",IFERROR(VLOOKUP(B95,DivisionCostCodeLookup!$F$2:$G$426,2,FALSE),INT(LEFT(A95,2))&amp;"0000"),"")</f>
        <v/>
      </c>
      <c r="D95" s="94"/>
      <c r="E95" s="95"/>
      <c r="F95" s="96"/>
      <c r="G95" s="164"/>
      <c r="H95" s="97" t="str">
        <f t="shared" si="1"/>
        <v/>
      </c>
    </row>
    <row r="96" spans="1:8" s="86" customFormat="1">
      <c r="A96" s="92"/>
      <c r="B96" s="92"/>
      <c r="C96" s="93" t="str">
        <f>IF(A96&lt;&gt;"",IFERROR(VLOOKUP(B96,DivisionCostCodeLookup!$F$2:$G$426,2,FALSE),INT(LEFT(A96,2))&amp;"0000"),"")</f>
        <v/>
      </c>
      <c r="D96" s="94"/>
      <c r="E96" s="95"/>
      <c r="F96" s="96"/>
      <c r="G96" s="164"/>
      <c r="H96" s="97" t="str">
        <f t="shared" si="1"/>
        <v/>
      </c>
    </row>
    <row r="97" spans="1:8" s="86" customFormat="1">
      <c r="A97" s="92"/>
      <c r="B97" s="92"/>
      <c r="C97" s="93" t="str">
        <f>IF(A97&lt;&gt;"",IFERROR(VLOOKUP(B97,DivisionCostCodeLookup!$F$2:$G$426,2,FALSE),INT(LEFT(A97,2))&amp;"0000"),"")</f>
        <v/>
      </c>
      <c r="D97" s="94"/>
      <c r="E97" s="95"/>
      <c r="F97" s="96"/>
      <c r="G97" s="164"/>
      <c r="H97" s="97" t="str">
        <f t="shared" si="1"/>
        <v/>
      </c>
    </row>
    <row r="98" spans="1:8" s="86" customFormat="1">
      <c r="A98" s="92"/>
      <c r="B98" s="92"/>
      <c r="C98" s="93" t="str">
        <f>IF(A98&lt;&gt;"",IFERROR(VLOOKUP(B98,DivisionCostCodeLookup!$F$2:$G$426,2,FALSE),INT(LEFT(A98,2))&amp;"0000"),"")</f>
        <v/>
      </c>
      <c r="D98" s="94"/>
      <c r="E98" s="95"/>
      <c r="F98" s="96"/>
      <c r="G98" s="164"/>
      <c r="H98" s="97" t="str">
        <f t="shared" si="1"/>
        <v/>
      </c>
    </row>
    <row r="99" spans="1:8" s="86" customFormat="1">
      <c r="A99" s="92"/>
      <c r="B99" s="92"/>
      <c r="C99" s="93" t="str">
        <f>IF(A99&lt;&gt;"",IFERROR(VLOOKUP(B99,DivisionCostCodeLookup!$F$2:$G$426,2,FALSE),INT(LEFT(A99,2))&amp;"0000"),"")</f>
        <v/>
      </c>
      <c r="D99" s="94"/>
      <c r="E99" s="95"/>
      <c r="F99" s="96"/>
      <c r="G99" s="164"/>
      <c r="H99" s="97" t="str">
        <f t="shared" si="1"/>
        <v/>
      </c>
    </row>
    <row r="100" spans="1:8" s="86" customFormat="1">
      <c r="A100" s="92"/>
      <c r="B100" s="92"/>
      <c r="C100" s="93" t="str">
        <f>IF(A100&lt;&gt;"",IFERROR(VLOOKUP(B100,DivisionCostCodeLookup!$F$2:$G$426,2,FALSE),INT(LEFT(A100,2))&amp;"0000"),"")</f>
        <v/>
      </c>
      <c r="D100" s="94"/>
      <c r="E100" s="95"/>
      <c r="F100" s="96"/>
      <c r="G100" s="164"/>
      <c r="H100" s="97" t="str">
        <f t="shared" si="1"/>
        <v/>
      </c>
    </row>
    <row r="101" spans="1:8" s="86" customFormat="1">
      <c r="A101" s="92"/>
      <c r="B101" s="92"/>
      <c r="C101" s="93" t="str">
        <f>IF(A101&lt;&gt;"",IFERROR(VLOOKUP(B101,DivisionCostCodeLookup!$F$2:$G$426,2,FALSE),INT(LEFT(A101,2))&amp;"0000"),"")</f>
        <v/>
      </c>
      <c r="D101" s="94"/>
      <c r="E101" s="95"/>
      <c r="F101" s="96"/>
      <c r="G101" s="164"/>
      <c r="H101" s="97" t="str">
        <f t="shared" si="1"/>
        <v/>
      </c>
    </row>
    <row r="102" spans="1:8" s="86" customFormat="1">
      <c r="A102" s="92"/>
      <c r="B102" s="92"/>
      <c r="C102" s="93" t="str">
        <f>IF(A102&lt;&gt;"",IFERROR(VLOOKUP(B102,DivisionCostCodeLookup!$F$2:$G$426,2,FALSE),INT(LEFT(A102,2))&amp;"0000"),"")</f>
        <v/>
      </c>
      <c r="D102" s="94"/>
      <c r="E102" s="95"/>
      <c r="F102" s="96"/>
      <c r="G102" s="164"/>
      <c r="H102" s="97" t="str">
        <f t="shared" si="1"/>
        <v/>
      </c>
    </row>
    <row r="103" spans="1:8" s="86" customFormat="1">
      <c r="A103" s="92"/>
      <c r="B103" s="92"/>
      <c r="C103" s="93" t="str">
        <f>IF(A103&lt;&gt;"",IFERROR(VLOOKUP(B103,DivisionCostCodeLookup!$F$2:$G$426,2,FALSE),INT(LEFT(A103,2))&amp;"0000"),"")</f>
        <v/>
      </c>
      <c r="D103" s="94"/>
      <c r="E103" s="95"/>
      <c r="F103" s="96"/>
      <c r="G103" s="164"/>
      <c r="H103" s="97" t="str">
        <f t="shared" si="1"/>
        <v/>
      </c>
    </row>
    <row r="104" spans="1:8" s="86" customFormat="1">
      <c r="A104" s="92"/>
      <c r="B104" s="92"/>
      <c r="C104" s="93" t="str">
        <f>IF(A104&lt;&gt;"",IFERROR(VLOOKUP(B104,DivisionCostCodeLookup!$F$2:$G$426,2,FALSE),INT(LEFT(A104,2))&amp;"0000"),"")</f>
        <v/>
      </c>
      <c r="D104" s="94"/>
      <c r="E104" s="95"/>
      <c r="F104" s="96"/>
      <c r="G104" s="164"/>
      <c r="H104" s="97" t="str">
        <f t="shared" si="1"/>
        <v/>
      </c>
    </row>
    <row r="105" spans="1:8" s="86" customFormat="1">
      <c r="A105" s="92"/>
      <c r="B105" s="92"/>
      <c r="C105" s="93" t="str">
        <f>IF(A105&lt;&gt;"",IFERROR(VLOOKUP(B105,DivisionCostCodeLookup!$F$2:$G$426,2,FALSE),INT(LEFT(A105,2))&amp;"0000"),"")</f>
        <v/>
      </c>
      <c r="D105" s="94"/>
      <c r="E105" s="95"/>
      <c r="F105" s="96"/>
      <c r="G105" s="164"/>
      <c r="H105" s="97" t="str">
        <f t="shared" si="1"/>
        <v/>
      </c>
    </row>
    <row r="106" spans="1:8" s="86" customFormat="1">
      <c r="A106" s="92"/>
      <c r="B106" s="92"/>
      <c r="C106" s="93" t="str">
        <f>IF(A106&lt;&gt;"",IFERROR(VLOOKUP(B106,DivisionCostCodeLookup!$F$2:$G$426,2,FALSE),INT(LEFT(A106,2))&amp;"0000"),"")</f>
        <v/>
      </c>
      <c r="D106" s="94"/>
      <c r="E106" s="95"/>
      <c r="F106" s="96"/>
      <c r="G106" s="164"/>
      <c r="H106" s="97" t="str">
        <f t="shared" si="1"/>
        <v/>
      </c>
    </row>
    <row r="107" spans="1:8" s="86" customFormat="1">
      <c r="A107" s="92"/>
      <c r="B107" s="92"/>
      <c r="C107" s="93" t="str">
        <f>IF(A107&lt;&gt;"",IFERROR(VLOOKUP(B107,DivisionCostCodeLookup!$F$2:$G$426,2,FALSE),INT(LEFT(A107,2))&amp;"0000"),"")</f>
        <v/>
      </c>
      <c r="D107" s="94"/>
      <c r="E107" s="95"/>
      <c r="F107" s="96"/>
      <c r="G107" s="164"/>
      <c r="H107" s="97" t="str">
        <f t="shared" si="1"/>
        <v/>
      </c>
    </row>
    <row r="108" spans="1:8" s="86" customFormat="1">
      <c r="A108" s="92"/>
      <c r="B108" s="92"/>
      <c r="C108" s="93" t="str">
        <f>IF(A108&lt;&gt;"",IFERROR(VLOOKUP(B108,DivisionCostCodeLookup!$F$2:$G$426,2,FALSE),INT(LEFT(A108,2))&amp;"0000"),"")</f>
        <v/>
      </c>
      <c r="D108" s="94"/>
      <c r="E108" s="95"/>
      <c r="F108" s="96"/>
      <c r="G108" s="164"/>
      <c r="H108" s="97" t="str">
        <f t="shared" si="1"/>
        <v/>
      </c>
    </row>
    <row r="109" spans="1:8" s="86" customFormat="1">
      <c r="A109" s="92"/>
      <c r="B109" s="92"/>
      <c r="C109" s="93" t="str">
        <f>IF(A109&lt;&gt;"",IFERROR(VLOOKUP(B109,DivisionCostCodeLookup!$F$2:$G$426,2,FALSE),INT(LEFT(A109,2))&amp;"0000"),"")</f>
        <v/>
      </c>
      <c r="D109" s="94"/>
      <c r="E109" s="95"/>
      <c r="F109" s="96"/>
      <c r="G109" s="164"/>
      <c r="H109" s="97" t="str">
        <f t="shared" si="1"/>
        <v/>
      </c>
    </row>
    <row r="110" spans="1:8" s="86" customFormat="1">
      <c r="A110" s="92"/>
      <c r="B110" s="92"/>
      <c r="C110" s="93" t="str">
        <f>IF(A110&lt;&gt;"",IFERROR(VLOOKUP(B110,DivisionCostCodeLookup!$F$2:$G$426,2,FALSE),INT(LEFT(A110,2))&amp;"0000"),"")</f>
        <v/>
      </c>
      <c r="D110" s="94"/>
      <c r="E110" s="95"/>
      <c r="F110" s="96"/>
      <c r="G110" s="164"/>
      <c r="H110" s="97" t="str">
        <f t="shared" si="1"/>
        <v/>
      </c>
    </row>
    <row r="111" spans="1:8" s="86" customFormat="1">
      <c r="A111" s="92"/>
      <c r="B111" s="92"/>
      <c r="C111" s="93" t="str">
        <f>IF(A111&lt;&gt;"",IFERROR(VLOOKUP(B111,DivisionCostCodeLookup!$F$2:$G$426,2,FALSE),INT(LEFT(A111,2))&amp;"0000"),"")</f>
        <v/>
      </c>
      <c r="D111" s="94"/>
      <c r="E111" s="95"/>
      <c r="F111" s="96"/>
      <c r="G111" s="164"/>
      <c r="H111" s="97" t="str">
        <f t="shared" si="1"/>
        <v/>
      </c>
    </row>
    <row r="112" spans="1:8" s="86" customFormat="1">
      <c r="A112" s="92"/>
      <c r="B112" s="92"/>
      <c r="C112" s="93" t="str">
        <f>IF(A112&lt;&gt;"",IFERROR(VLOOKUP(B112,DivisionCostCodeLookup!$F$2:$G$426,2,FALSE),INT(LEFT(A112,2))&amp;"0000"),"")</f>
        <v/>
      </c>
      <c r="D112" s="94"/>
      <c r="E112" s="95"/>
      <c r="F112" s="96"/>
      <c r="G112" s="164"/>
      <c r="H112" s="97" t="str">
        <f t="shared" si="1"/>
        <v/>
      </c>
    </row>
    <row r="113" spans="1:8" s="86" customFormat="1">
      <c r="A113" s="92"/>
      <c r="B113" s="92"/>
      <c r="C113" s="93" t="str">
        <f>IF(A113&lt;&gt;"",IFERROR(VLOOKUP(B113,DivisionCostCodeLookup!$F$2:$G$426,2,FALSE),INT(LEFT(A113,2))&amp;"0000"),"")</f>
        <v/>
      </c>
      <c r="D113" s="94"/>
      <c r="E113" s="95"/>
      <c r="F113" s="96"/>
      <c r="G113" s="164"/>
      <c r="H113" s="97" t="str">
        <f t="shared" si="1"/>
        <v/>
      </c>
    </row>
    <row r="114" spans="1:8" s="86" customFormat="1">
      <c r="A114" s="92"/>
      <c r="B114" s="92"/>
      <c r="C114" s="93" t="str">
        <f>IF(A114&lt;&gt;"",IFERROR(VLOOKUP(B114,DivisionCostCodeLookup!$F$2:$G$426,2,FALSE),INT(LEFT(A114,2))&amp;"0000"),"")</f>
        <v/>
      </c>
      <c r="D114" s="94"/>
      <c r="E114" s="95"/>
      <c r="F114" s="96"/>
      <c r="G114" s="164"/>
      <c r="H114" s="97" t="str">
        <f t="shared" si="1"/>
        <v/>
      </c>
    </row>
    <row r="115" spans="1:8" s="86" customFormat="1">
      <c r="A115" s="92"/>
      <c r="B115" s="92"/>
      <c r="C115" s="93" t="str">
        <f>IF(A115&lt;&gt;"",IFERROR(VLOOKUP(B115,DivisionCostCodeLookup!$F$2:$G$426,2,FALSE),INT(LEFT(A115,2))&amp;"0000"),"")</f>
        <v/>
      </c>
      <c r="D115" s="94"/>
      <c r="E115" s="95"/>
      <c r="F115" s="96"/>
      <c r="G115" s="164"/>
      <c r="H115" s="97" t="str">
        <f t="shared" si="1"/>
        <v/>
      </c>
    </row>
    <row r="116" spans="1:8" s="86" customFormat="1">
      <c r="A116" s="92"/>
      <c r="B116" s="92"/>
      <c r="C116" s="93" t="str">
        <f>IF(A116&lt;&gt;"",IFERROR(VLOOKUP(B116,DivisionCostCodeLookup!$F$2:$G$426,2,FALSE),INT(LEFT(A116,2))&amp;"0000"),"")</f>
        <v/>
      </c>
      <c r="D116" s="94"/>
      <c r="E116" s="95"/>
      <c r="F116" s="96"/>
      <c r="G116" s="164"/>
      <c r="H116" s="97" t="str">
        <f t="shared" si="1"/>
        <v/>
      </c>
    </row>
    <row r="117" spans="1:8" s="86" customFormat="1">
      <c r="A117" s="92"/>
      <c r="B117" s="92"/>
      <c r="C117" s="93" t="str">
        <f>IF(A117&lt;&gt;"",IFERROR(VLOOKUP(B117,DivisionCostCodeLookup!$F$2:$G$426,2,FALSE),INT(LEFT(A117,2))&amp;"0000"),"")</f>
        <v/>
      </c>
      <c r="D117" s="94"/>
      <c r="E117" s="95"/>
      <c r="F117" s="96"/>
      <c r="G117" s="164"/>
      <c r="H117" s="97" t="str">
        <f t="shared" si="1"/>
        <v/>
      </c>
    </row>
    <row r="118" spans="1:8" s="86" customFormat="1">
      <c r="A118" s="92"/>
      <c r="B118" s="92"/>
      <c r="C118" s="93" t="str">
        <f>IF(A118&lt;&gt;"",IFERROR(VLOOKUP(B118,DivisionCostCodeLookup!$F$2:$G$426,2,FALSE),INT(LEFT(A118,2))&amp;"0000"),"")</f>
        <v/>
      </c>
      <c r="D118" s="94"/>
      <c r="E118" s="95"/>
      <c r="F118" s="96"/>
      <c r="G118" s="164"/>
      <c r="H118" s="97" t="str">
        <f t="shared" si="1"/>
        <v/>
      </c>
    </row>
    <row r="119" spans="1:8" s="86" customFormat="1">
      <c r="A119" s="92"/>
      <c r="B119" s="92"/>
      <c r="C119" s="93" t="str">
        <f>IF(A119&lt;&gt;"",IFERROR(VLOOKUP(B119,DivisionCostCodeLookup!$F$2:$G$426,2,FALSE),INT(LEFT(A119,2))&amp;"0000"),"")</f>
        <v/>
      </c>
      <c r="D119" s="94"/>
      <c r="E119" s="95"/>
      <c r="F119" s="96"/>
      <c r="G119" s="164"/>
      <c r="H119" s="97" t="str">
        <f t="shared" si="1"/>
        <v/>
      </c>
    </row>
    <row r="120" spans="1:8" s="86" customFormat="1">
      <c r="A120" s="92"/>
      <c r="B120" s="92"/>
      <c r="C120" s="93" t="str">
        <f>IF(A120&lt;&gt;"",IFERROR(VLOOKUP(B120,DivisionCostCodeLookup!$F$2:$G$426,2,FALSE),INT(LEFT(A120,2))&amp;"0000"),"")</f>
        <v/>
      </c>
      <c r="D120" s="94"/>
      <c r="E120" s="95"/>
      <c r="F120" s="96"/>
      <c r="G120" s="164"/>
      <c r="H120" s="97" t="str">
        <f t="shared" si="1"/>
        <v/>
      </c>
    </row>
    <row r="121" spans="1:8" s="86" customFormat="1">
      <c r="A121" s="92"/>
      <c r="B121" s="92"/>
      <c r="C121" s="93" t="str">
        <f>IF(A121&lt;&gt;"",IFERROR(VLOOKUP(B121,DivisionCostCodeLookup!$F$2:$G$426,2,FALSE),INT(LEFT(A121,2))&amp;"0000"),"")</f>
        <v/>
      </c>
      <c r="D121" s="94"/>
      <c r="E121" s="95"/>
      <c r="F121" s="96"/>
      <c r="G121" s="164"/>
      <c r="H121" s="97" t="str">
        <f t="shared" si="1"/>
        <v/>
      </c>
    </row>
    <row r="122" spans="1:8" s="86" customFormat="1">
      <c r="A122" s="92"/>
      <c r="B122" s="92"/>
      <c r="C122" s="93" t="str">
        <f>IF(A122&lt;&gt;"",IFERROR(VLOOKUP(B122,DivisionCostCodeLookup!$F$2:$G$426,2,FALSE),INT(LEFT(A122,2))&amp;"0000"),"")</f>
        <v/>
      </c>
      <c r="D122" s="94"/>
      <c r="E122" s="95"/>
      <c r="F122" s="96"/>
      <c r="G122" s="164"/>
      <c r="H122" s="97" t="str">
        <f t="shared" si="1"/>
        <v/>
      </c>
    </row>
    <row r="123" spans="1:8" s="86" customFormat="1">
      <c r="A123" s="92"/>
      <c r="B123" s="92"/>
      <c r="C123" s="93" t="str">
        <f>IF(A123&lt;&gt;"",IFERROR(VLOOKUP(B123,DivisionCostCodeLookup!$F$2:$G$426,2,FALSE),INT(LEFT(A123,2))&amp;"0000"),"")</f>
        <v/>
      </c>
      <c r="D123" s="94"/>
      <c r="E123" s="95"/>
      <c r="F123" s="96"/>
      <c r="G123" s="164"/>
      <c r="H123" s="97" t="str">
        <f t="shared" si="1"/>
        <v/>
      </c>
    </row>
    <row r="124" spans="1:8" s="86" customFormat="1">
      <c r="A124" s="92"/>
      <c r="B124" s="92"/>
      <c r="C124" s="93" t="str">
        <f>IF(A124&lt;&gt;"",IFERROR(VLOOKUP(B124,DivisionCostCodeLookup!$F$2:$G$426,2,FALSE),INT(LEFT(A124,2))&amp;"0000"),"")</f>
        <v/>
      </c>
      <c r="D124" s="94"/>
      <c r="E124" s="95"/>
      <c r="F124" s="96"/>
      <c r="G124" s="164"/>
      <c r="H124" s="97" t="str">
        <f t="shared" si="1"/>
        <v/>
      </c>
    </row>
    <row r="125" spans="1:8" s="86" customFormat="1">
      <c r="A125" s="92"/>
      <c r="B125" s="92"/>
      <c r="C125" s="93" t="str">
        <f>IF(A125&lt;&gt;"",IFERROR(VLOOKUP(B125,DivisionCostCodeLookup!$F$2:$G$426,2,FALSE),INT(LEFT(A125,2))&amp;"0000"),"")</f>
        <v/>
      </c>
      <c r="D125" s="94"/>
      <c r="E125" s="95"/>
      <c r="F125" s="96"/>
      <c r="G125" s="164"/>
      <c r="H125" s="97" t="str">
        <f t="shared" si="1"/>
        <v/>
      </c>
    </row>
    <row r="126" spans="1:8" s="86" customFormat="1">
      <c r="A126" s="92"/>
      <c r="B126" s="92"/>
      <c r="C126" s="93" t="str">
        <f>IF(A126&lt;&gt;"",IFERROR(VLOOKUP(B126,DivisionCostCodeLookup!$F$2:$G$426,2,FALSE),INT(LEFT(A126,2))&amp;"0000"),"")</f>
        <v/>
      </c>
      <c r="D126" s="94"/>
      <c r="E126" s="95"/>
      <c r="F126" s="96"/>
      <c r="G126" s="164"/>
      <c r="H126" s="97" t="str">
        <f t="shared" si="1"/>
        <v/>
      </c>
    </row>
    <row r="127" spans="1:8" s="86" customFormat="1">
      <c r="A127" s="92"/>
      <c r="B127" s="92"/>
      <c r="C127" s="93" t="str">
        <f>IF(A127&lt;&gt;"",IFERROR(VLOOKUP(B127,DivisionCostCodeLookup!$F$2:$G$426,2,FALSE),INT(LEFT(A127,2))&amp;"0000"),"")</f>
        <v/>
      </c>
      <c r="D127" s="94"/>
      <c r="E127" s="95"/>
      <c r="F127" s="96"/>
      <c r="G127" s="164"/>
      <c r="H127" s="97" t="str">
        <f t="shared" si="1"/>
        <v/>
      </c>
    </row>
    <row r="128" spans="1:8" s="86" customFormat="1">
      <c r="A128" s="92"/>
      <c r="B128" s="92"/>
      <c r="C128" s="93" t="str">
        <f>IF(A128&lt;&gt;"",IFERROR(VLOOKUP(B128,DivisionCostCodeLookup!$F$2:$G$426,2,FALSE),INT(LEFT(A128,2))&amp;"0000"),"")</f>
        <v/>
      </c>
      <c r="D128" s="94"/>
      <c r="E128" s="95"/>
      <c r="F128" s="96"/>
      <c r="G128" s="164"/>
      <c r="H128" s="97" t="str">
        <f t="shared" si="1"/>
        <v/>
      </c>
    </row>
    <row r="129" spans="1:8" s="86" customFormat="1">
      <c r="A129" s="92"/>
      <c r="B129" s="92"/>
      <c r="C129" s="93" t="str">
        <f>IF(A129&lt;&gt;"",IFERROR(VLOOKUP(B129,DivisionCostCodeLookup!$F$2:$G$426,2,FALSE),INT(LEFT(A129,2))&amp;"0000"),"")</f>
        <v/>
      </c>
      <c r="D129" s="94"/>
      <c r="E129" s="95"/>
      <c r="F129" s="96"/>
      <c r="G129" s="164"/>
      <c r="H129" s="97" t="str">
        <f t="shared" si="1"/>
        <v/>
      </c>
    </row>
    <row r="130" spans="1:8" s="86" customFormat="1">
      <c r="A130" s="92"/>
      <c r="B130" s="92"/>
      <c r="C130" s="93" t="str">
        <f>IF(A130&lt;&gt;"",IFERROR(VLOOKUP(B130,DivisionCostCodeLookup!$F$2:$G$426,2,FALSE),INT(LEFT(A130,2))&amp;"0000"),"")</f>
        <v/>
      </c>
      <c r="D130" s="94"/>
      <c r="E130" s="95"/>
      <c r="F130" s="96"/>
      <c r="G130" s="164"/>
      <c r="H130" s="97" t="str">
        <f t="shared" si="1"/>
        <v/>
      </c>
    </row>
    <row r="131" spans="1:8" s="86" customFormat="1">
      <c r="A131" s="92"/>
      <c r="B131" s="92"/>
      <c r="C131" s="93" t="str">
        <f>IF(A131&lt;&gt;"",IFERROR(VLOOKUP(B131,DivisionCostCodeLookup!$F$2:$G$426,2,FALSE),INT(LEFT(A131,2))&amp;"0000"),"")</f>
        <v/>
      </c>
      <c r="D131" s="94"/>
      <c r="E131" s="95"/>
      <c r="F131" s="96"/>
      <c r="G131" s="164"/>
      <c r="H131" s="97" t="str">
        <f t="shared" si="1"/>
        <v/>
      </c>
    </row>
    <row r="132" spans="1:8" s="86" customFormat="1">
      <c r="A132" s="92"/>
      <c r="B132" s="92"/>
      <c r="C132" s="93" t="str">
        <f>IF(A132&lt;&gt;"",IFERROR(VLOOKUP(B132,DivisionCostCodeLookup!$F$2:$G$426,2,FALSE),INT(LEFT(A132,2))&amp;"0000"),"")</f>
        <v/>
      </c>
      <c r="D132" s="94"/>
      <c r="E132" s="95"/>
      <c r="F132" s="96"/>
      <c r="G132" s="164"/>
      <c r="H132" s="97" t="str">
        <f t="shared" si="1"/>
        <v/>
      </c>
    </row>
    <row r="133" spans="1:8" s="86" customFormat="1">
      <c r="A133" s="92"/>
      <c r="B133" s="92"/>
      <c r="C133" s="93" t="str">
        <f>IF(A133&lt;&gt;"",IFERROR(VLOOKUP(B133,DivisionCostCodeLookup!$F$2:$G$426,2,FALSE),INT(LEFT(A133,2))&amp;"0000"),"")</f>
        <v/>
      </c>
      <c r="D133" s="94"/>
      <c r="E133" s="95"/>
      <c r="F133" s="96"/>
      <c r="G133" s="164"/>
      <c r="H133" s="97" t="str">
        <f t="shared" si="1"/>
        <v/>
      </c>
    </row>
    <row r="134" spans="1:8" s="86" customFormat="1">
      <c r="A134" s="92"/>
      <c r="B134" s="92"/>
      <c r="C134" s="93" t="str">
        <f>IF(A134&lt;&gt;"",IFERROR(VLOOKUP(B134,DivisionCostCodeLookup!$F$2:$G$426,2,FALSE),INT(LEFT(A134,2))&amp;"0000"),"")</f>
        <v/>
      </c>
      <c r="D134" s="94"/>
      <c r="E134" s="95"/>
      <c r="F134" s="96"/>
      <c r="G134" s="164"/>
      <c r="H134" s="97" t="str">
        <f t="shared" si="1"/>
        <v/>
      </c>
    </row>
    <row r="135" spans="1:8" s="86" customFormat="1">
      <c r="A135" s="92"/>
      <c r="B135" s="92"/>
      <c r="C135" s="93" t="str">
        <f>IF(A135&lt;&gt;"",IFERROR(VLOOKUP(B135,DivisionCostCodeLookup!$F$2:$G$426,2,FALSE),INT(LEFT(A135,2))&amp;"0000"),"")</f>
        <v/>
      </c>
      <c r="D135" s="94"/>
      <c r="E135" s="95"/>
      <c r="F135" s="96"/>
      <c r="G135" s="164"/>
      <c r="H135" s="97" t="str">
        <f t="shared" si="1"/>
        <v/>
      </c>
    </row>
    <row r="136" spans="1:8" s="86" customFormat="1">
      <c r="A136" s="92"/>
      <c r="B136" s="92"/>
      <c r="C136" s="93" t="str">
        <f>IF(A136&lt;&gt;"",IFERROR(VLOOKUP(B136,DivisionCostCodeLookup!$F$2:$G$426,2,FALSE),INT(LEFT(A136,2))&amp;"0000"),"")</f>
        <v/>
      </c>
      <c r="D136" s="94"/>
      <c r="E136" s="95"/>
      <c r="F136" s="96"/>
      <c r="G136" s="164"/>
      <c r="H136" s="97" t="str">
        <f t="shared" ref="H136:H199" si="2">IF(E136*G136&lt;&gt;0,E136*G136,"")</f>
        <v/>
      </c>
    </row>
    <row r="137" spans="1:8" s="86" customFormat="1">
      <c r="A137" s="92"/>
      <c r="B137" s="92"/>
      <c r="C137" s="93" t="str">
        <f>IF(A137&lt;&gt;"",IFERROR(VLOOKUP(B137,DivisionCostCodeLookup!$F$2:$G$426,2,FALSE),INT(LEFT(A137,2))&amp;"0000"),"")</f>
        <v/>
      </c>
      <c r="D137" s="94"/>
      <c r="E137" s="95"/>
      <c r="F137" s="96"/>
      <c r="G137" s="164"/>
      <c r="H137" s="97" t="str">
        <f t="shared" si="2"/>
        <v/>
      </c>
    </row>
    <row r="138" spans="1:8" s="86" customFormat="1">
      <c r="A138" s="92"/>
      <c r="B138" s="92"/>
      <c r="C138" s="93" t="str">
        <f>IF(A138&lt;&gt;"",IFERROR(VLOOKUP(B138,DivisionCostCodeLookup!$F$2:$G$426,2,FALSE),INT(LEFT(A138,2))&amp;"0000"),"")</f>
        <v/>
      </c>
      <c r="D138" s="94"/>
      <c r="E138" s="95"/>
      <c r="F138" s="96"/>
      <c r="G138" s="164"/>
      <c r="H138" s="97" t="str">
        <f t="shared" si="2"/>
        <v/>
      </c>
    </row>
    <row r="139" spans="1:8" s="86" customFormat="1">
      <c r="A139" s="92"/>
      <c r="B139" s="92"/>
      <c r="C139" s="93" t="str">
        <f>IF(A139&lt;&gt;"",IFERROR(VLOOKUP(B139,DivisionCostCodeLookup!$F$2:$G$426,2,FALSE),INT(LEFT(A139,2))&amp;"0000"),"")</f>
        <v/>
      </c>
      <c r="D139" s="94"/>
      <c r="E139" s="95"/>
      <c r="F139" s="96"/>
      <c r="G139" s="164"/>
      <c r="H139" s="97" t="str">
        <f t="shared" si="2"/>
        <v/>
      </c>
    </row>
    <row r="140" spans="1:8" s="86" customFormat="1">
      <c r="A140" s="92"/>
      <c r="B140" s="92"/>
      <c r="C140" s="93" t="str">
        <f>IF(A140&lt;&gt;"",IFERROR(VLOOKUP(B140,DivisionCostCodeLookup!$F$2:$G$426,2,FALSE),INT(LEFT(A140,2))&amp;"0000"),"")</f>
        <v/>
      </c>
      <c r="D140" s="94"/>
      <c r="E140" s="95"/>
      <c r="F140" s="96"/>
      <c r="G140" s="164"/>
      <c r="H140" s="97" t="str">
        <f t="shared" si="2"/>
        <v/>
      </c>
    </row>
    <row r="141" spans="1:8" s="86" customFormat="1">
      <c r="A141" s="92"/>
      <c r="B141" s="92"/>
      <c r="C141" s="93" t="str">
        <f>IF(A141&lt;&gt;"",IFERROR(VLOOKUP(B141,DivisionCostCodeLookup!$F$2:$G$426,2,FALSE),INT(LEFT(A141,2))&amp;"0000"),"")</f>
        <v/>
      </c>
      <c r="D141" s="94"/>
      <c r="E141" s="95"/>
      <c r="F141" s="96"/>
      <c r="G141" s="164"/>
      <c r="H141" s="97" t="str">
        <f t="shared" si="2"/>
        <v/>
      </c>
    </row>
    <row r="142" spans="1:8" s="86" customFormat="1">
      <c r="A142" s="92"/>
      <c r="B142" s="92"/>
      <c r="C142" s="93" t="str">
        <f>IF(A142&lt;&gt;"",IFERROR(VLOOKUP(B142,DivisionCostCodeLookup!$F$2:$G$426,2,FALSE),INT(LEFT(A142,2))&amp;"0000"),"")</f>
        <v/>
      </c>
      <c r="D142" s="94"/>
      <c r="E142" s="95"/>
      <c r="F142" s="96"/>
      <c r="G142" s="164"/>
      <c r="H142" s="97" t="str">
        <f t="shared" si="2"/>
        <v/>
      </c>
    </row>
    <row r="143" spans="1:8" s="86" customFormat="1">
      <c r="A143" s="92"/>
      <c r="B143" s="92"/>
      <c r="C143" s="93" t="str">
        <f>IF(A143&lt;&gt;"",IFERROR(VLOOKUP(B143,DivisionCostCodeLookup!$F$2:$G$426,2,FALSE),INT(LEFT(A143,2))&amp;"0000"),"")</f>
        <v/>
      </c>
      <c r="D143" s="94"/>
      <c r="E143" s="95"/>
      <c r="F143" s="96"/>
      <c r="G143" s="164"/>
      <c r="H143" s="97" t="str">
        <f t="shared" si="2"/>
        <v/>
      </c>
    </row>
    <row r="144" spans="1:8" s="86" customFormat="1">
      <c r="A144" s="92"/>
      <c r="B144" s="92"/>
      <c r="C144" s="93" t="str">
        <f>IF(A144&lt;&gt;"",IFERROR(VLOOKUP(B144,DivisionCostCodeLookup!$F$2:$G$426,2,FALSE),INT(LEFT(A144,2))&amp;"0000"),"")</f>
        <v/>
      </c>
      <c r="D144" s="94"/>
      <c r="E144" s="95"/>
      <c r="F144" s="96"/>
      <c r="G144" s="164"/>
      <c r="H144" s="97" t="str">
        <f t="shared" si="2"/>
        <v/>
      </c>
    </row>
    <row r="145" spans="1:8" s="86" customFormat="1">
      <c r="A145" s="92"/>
      <c r="B145" s="92"/>
      <c r="C145" s="93" t="str">
        <f>IF(A145&lt;&gt;"",IFERROR(VLOOKUP(B145,DivisionCostCodeLookup!$F$2:$G$426,2,FALSE),INT(LEFT(A145,2))&amp;"0000"),"")</f>
        <v/>
      </c>
      <c r="D145" s="94"/>
      <c r="E145" s="95"/>
      <c r="F145" s="96"/>
      <c r="G145" s="164"/>
      <c r="H145" s="97" t="str">
        <f t="shared" si="2"/>
        <v/>
      </c>
    </row>
    <row r="146" spans="1:8" s="86" customFormat="1">
      <c r="A146" s="92"/>
      <c r="B146" s="92"/>
      <c r="C146" s="93" t="str">
        <f>IF(A146&lt;&gt;"",IFERROR(VLOOKUP(B146,DivisionCostCodeLookup!$F$2:$G$426,2,FALSE),INT(LEFT(A146,2))&amp;"0000"),"")</f>
        <v/>
      </c>
      <c r="D146" s="94"/>
      <c r="E146" s="95"/>
      <c r="F146" s="96"/>
      <c r="G146" s="164"/>
      <c r="H146" s="97" t="str">
        <f t="shared" si="2"/>
        <v/>
      </c>
    </row>
    <row r="147" spans="1:8" s="86" customFormat="1">
      <c r="A147" s="92"/>
      <c r="B147" s="92"/>
      <c r="C147" s="93" t="str">
        <f>IF(A147&lt;&gt;"",IFERROR(VLOOKUP(B147,DivisionCostCodeLookup!$F$2:$G$426,2,FALSE),INT(LEFT(A147,2))&amp;"0000"),"")</f>
        <v/>
      </c>
      <c r="D147" s="94"/>
      <c r="E147" s="95"/>
      <c r="F147" s="96"/>
      <c r="G147" s="164"/>
      <c r="H147" s="97" t="str">
        <f t="shared" si="2"/>
        <v/>
      </c>
    </row>
    <row r="148" spans="1:8" s="86" customFormat="1">
      <c r="A148" s="92"/>
      <c r="B148" s="92"/>
      <c r="C148" s="93" t="str">
        <f>IF(A148&lt;&gt;"",IFERROR(VLOOKUP(B148,DivisionCostCodeLookup!$F$2:$G$426,2,FALSE),INT(LEFT(A148,2))&amp;"0000"),"")</f>
        <v/>
      </c>
      <c r="D148" s="94"/>
      <c r="E148" s="95"/>
      <c r="F148" s="96"/>
      <c r="G148" s="164"/>
      <c r="H148" s="97" t="str">
        <f t="shared" si="2"/>
        <v/>
      </c>
    </row>
    <row r="149" spans="1:8" s="86" customFormat="1">
      <c r="A149" s="92"/>
      <c r="B149" s="92"/>
      <c r="C149" s="93" t="str">
        <f>IF(A149&lt;&gt;"",IFERROR(VLOOKUP(B149,DivisionCostCodeLookup!$F$2:$G$426,2,FALSE),INT(LEFT(A149,2))&amp;"0000"),"")</f>
        <v/>
      </c>
      <c r="D149" s="94"/>
      <c r="E149" s="95"/>
      <c r="F149" s="96"/>
      <c r="G149" s="164"/>
      <c r="H149" s="97" t="str">
        <f t="shared" si="2"/>
        <v/>
      </c>
    </row>
    <row r="150" spans="1:8" s="86" customFormat="1">
      <c r="A150" s="92"/>
      <c r="B150" s="92"/>
      <c r="C150" s="93" t="str">
        <f>IF(A150&lt;&gt;"",IFERROR(VLOOKUP(B150,DivisionCostCodeLookup!$F$2:$G$426,2,FALSE),INT(LEFT(A150,2))&amp;"0000"),"")</f>
        <v/>
      </c>
      <c r="D150" s="94"/>
      <c r="E150" s="95"/>
      <c r="F150" s="96"/>
      <c r="G150" s="164"/>
      <c r="H150" s="97" t="str">
        <f t="shared" si="2"/>
        <v/>
      </c>
    </row>
    <row r="151" spans="1:8" s="86" customFormat="1">
      <c r="A151" s="92"/>
      <c r="B151" s="92"/>
      <c r="C151" s="93" t="str">
        <f>IF(A151&lt;&gt;"",IFERROR(VLOOKUP(B151,DivisionCostCodeLookup!$F$2:$G$426,2,FALSE),INT(LEFT(A151,2))&amp;"0000"),"")</f>
        <v/>
      </c>
      <c r="D151" s="94"/>
      <c r="E151" s="95"/>
      <c r="F151" s="96"/>
      <c r="G151" s="164"/>
      <c r="H151" s="97" t="str">
        <f t="shared" si="2"/>
        <v/>
      </c>
    </row>
    <row r="152" spans="1:8" s="86" customFormat="1">
      <c r="A152" s="92"/>
      <c r="B152" s="92"/>
      <c r="C152" s="93" t="str">
        <f>IF(A152&lt;&gt;"",IFERROR(VLOOKUP(B152,DivisionCostCodeLookup!$F$2:$G$426,2,FALSE),INT(LEFT(A152,2))&amp;"0000"),"")</f>
        <v/>
      </c>
      <c r="D152" s="94"/>
      <c r="E152" s="95"/>
      <c r="F152" s="96"/>
      <c r="G152" s="164"/>
      <c r="H152" s="97" t="str">
        <f t="shared" si="2"/>
        <v/>
      </c>
    </row>
    <row r="153" spans="1:8" s="86" customFormat="1">
      <c r="A153" s="92"/>
      <c r="B153" s="92"/>
      <c r="C153" s="93" t="str">
        <f>IF(A153&lt;&gt;"",IFERROR(VLOOKUP(B153,DivisionCostCodeLookup!$F$2:$G$426,2,FALSE),INT(LEFT(A153,2))&amp;"0000"),"")</f>
        <v/>
      </c>
      <c r="D153" s="94"/>
      <c r="E153" s="95"/>
      <c r="F153" s="96"/>
      <c r="G153" s="164"/>
      <c r="H153" s="97" t="str">
        <f t="shared" si="2"/>
        <v/>
      </c>
    </row>
    <row r="154" spans="1:8" s="86" customFormat="1">
      <c r="A154" s="92"/>
      <c r="B154" s="92"/>
      <c r="C154" s="93" t="str">
        <f>IF(A154&lt;&gt;"",IFERROR(VLOOKUP(B154,DivisionCostCodeLookup!$F$2:$G$426,2,FALSE),INT(LEFT(A154,2))&amp;"0000"),"")</f>
        <v/>
      </c>
      <c r="D154" s="94"/>
      <c r="E154" s="95"/>
      <c r="F154" s="96"/>
      <c r="G154" s="164"/>
      <c r="H154" s="97" t="str">
        <f t="shared" si="2"/>
        <v/>
      </c>
    </row>
    <row r="155" spans="1:8" s="86" customFormat="1">
      <c r="A155" s="92"/>
      <c r="B155" s="92"/>
      <c r="C155" s="93" t="str">
        <f>IF(A155&lt;&gt;"",IFERROR(VLOOKUP(B155,DivisionCostCodeLookup!$F$2:$G$426,2,FALSE),INT(LEFT(A155,2))&amp;"0000"),"")</f>
        <v/>
      </c>
      <c r="D155" s="94"/>
      <c r="E155" s="95"/>
      <c r="F155" s="96"/>
      <c r="G155" s="164"/>
      <c r="H155" s="97" t="str">
        <f t="shared" si="2"/>
        <v/>
      </c>
    </row>
    <row r="156" spans="1:8" s="86" customFormat="1">
      <c r="A156" s="92"/>
      <c r="B156" s="92"/>
      <c r="C156" s="93" t="str">
        <f>IF(A156&lt;&gt;"",IFERROR(VLOOKUP(B156,DivisionCostCodeLookup!$F$2:$G$426,2,FALSE),INT(LEFT(A156,2))&amp;"0000"),"")</f>
        <v/>
      </c>
      <c r="D156" s="94"/>
      <c r="E156" s="95"/>
      <c r="F156" s="96"/>
      <c r="G156" s="164"/>
      <c r="H156" s="97" t="str">
        <f t="shared" si="2"/>
        <v/>
      </c>
    </row>
    <row r="157" spans="1:8" s="86" customFormat="1">
      <c r="A157" s="92"/>
      <c r="B157" s="92"/>
      <c r="C157" s="93" t="str">
        <f>IF(A157&lt;&gt;"",IFERROR(VLOOKUP(B157,DivisionCostCodeLookup!$F$2:$G$426,2,FALSE),INT(LEFT(A157,2))&amp;"0000"),"")</f>
        <v/>
      </c>
      <c r="D157" s="94"/>
      <c r="E157" s="95"/>
      <c r="F157" s="96"/>
      <c r="G157" s="164"/>
      <c r="H157" s="97" t="str">
        <f t="shared" si="2"/>
        <v/>
      </c>
    </row>
    <row r="158" spans="1:8" s="86" customFormat="1">
      <c r="A158" s="92"/>
      <c r="B158" s="92"/>
      <c r="C158" s="93" t="str">
        <f>IF(A158&lt;&gt;"",IFERROR(VLOOKUP(B158,DivisionCostCodeLookup!$F$2:$G$426,2,FALSE),INT(LEFT(A158,2))&amp;"0000"),"")</f>
        <v/>
      </c>
      <c r="D158" s="94"/>
      <c r="E158" s="95"/>
      <c r="F158" s="96"/>
      <c r="G158" s="164"/>
      <c r="H158" s="97" t="str">
        <f t="shared" si="2"/>
        <v/>
      </c>
    </row>
    <row r="159" spans="1:8" s="86" customFormat="1">
      <c r="A159" s="92"/>
      <c r="B159" s="92"/>
      <c r="C159" s="93" t="str">
        <f>IF(A159&lt;&gt;"",IFERROR(VLOOKUP(B159,DivisionCostCodeLookup!$F$2:$G$426,2,FALSE),INT(LEFT(A159,2))&amp;"0000"),"")</f>
        <v/>
      </c>
      <c r="D159" s="94"/>
      <c r="E159" s="95"/>
      <c r="F159" s="96"/>
      <c r="G159" s="164"/>
      <c r="H159" s="97" t="str">
        <f t="shared" si="2"/>
        <v/>
      </c>
    </row>
    <row r="160" spans="1:8" s="86" customFormat="1">
      <c r="A160" s="92"/>
      <c r="B160" s="92"/>
      <c r="C160" s="93" t="str">
        <f>IF(A160&lt;&gt;"",IFERROR(VLOOKUP(B160,DivisionCostCodeLookup!$F$2:$G$426,2,FALSE),INT(LEFT(A160,2))&amp;"0000"),"")</f>
        <v/>
      </c>
      <c r="D160" s="94"/>
      <c r="E160" s="95"/>
      <c r="F160" s="96"/>
      <c r="G160" s="164"/>
      <c r="H160" s="97" t="str">
        <f t="shared" si="2"/>
        <v/>
      </c>
    </row>
    <row r="161" spans="1:8" s="86" customFormat="1">
      <c r="A161" s="92"/>
      <c r="B161" s="92"/>
      <c r="C161" s="93" t="str">
        <f>IF(A161&lt;&gt;"",IFERROR(VLOOKUP(B161,DivisionCostCodeLookup!$F$2:$G$426,2,FALSE),INT(LEFT(A161,2))&amp;"0000"),"")</f>
        <v/>
      </c>
      <c r="D161" s="94"/>
      <c r="E161" s="95"/>
      <c r="F161" s="96"/>
      <c r="G161" s="164"/>
      <c r="H161" s="97" t="str">
        <f t="shared" si="2"/>
        <v/>
      </c>
    </row>
    <row r="162" spans="1:8" s="86" customFormat="1">
      <c r="A162" s="92"/>
      <c r="B162" s="92"/>
      <c r="C162" s="93" t="str">
        <f>IF(A162&lt;&gt;"",IFERROR(VLOOKUP(B162,DivisionCostCodeLookup!$F$2:$G$426,2,FALSE),INT(LEFT(A162,2))&amp;"0000"),"")</f>
        <v/>
      </c>
      <c r="D162" s="94"/>
      <c r="E162" s="95"/>
      <c r="F162" s="96"/>
      <c r="G162" s="164"/>
      <c r="H162" s="97" t="str">
        <f t="shared" si="2"/>
        <v/>
      </c>
    </row>
    <row r="163" spans="1:8" s="86" customFormat="1">
      <c r="A163" s="92"/>
      <c r="B163" s="92"/>
      <c r="C163" s="93" t="str">
        <f>IF(A163&lt;&gt;"",IFERROR(VLOOKUP(B163,DivisionCostCodeLookup!$F$2:$G$426,2,FALSE),INT(LEFT(A163,2))&amp;"0000"),"")</f>
        <v/>
      </c>
      <c r="D163" s="94"/>
      <c r="E163" s="95"/>
      <c r="F163" s="96"/>
      <c r="G163" s="164"/>
      <c r="H163" s="97" t="str">
        <f t="shared" si="2"/>
        <v/>
      </c>
    </row>
    <row r="164" spans="1:8" s="86" customFormat="1">
      <c r="A164" s="92"/>
      <c r="B164" s="92"/>
      <c r="C164" s="93" t="str">
        <f>IF(A164&lt;&gt;"",IFERROR(VLOOKUP(B164,DivisionCostCodeLookup!$F$2:$G$426,2,FALSE),INT(LEFT(A164,2))&amp;"0000"),"")</f>
        <v/>
      </c>
      <c r="D164" s="94"/>
      <c r="E164" s="95"/>
      <c r="F164" s="96"/>
      <c r="G164" s="164"/>
      <c r="H164" s="97" t="str">
        <f t="shared" si="2"/>
        <v/>
      </c>
    </row>
    <row r="165" spans="1:8" s="86" customFormat="1">
      <c r="A165" s="92"/>
      <c r="B165" s="92"/>
      <c r="C165" s="93" t="str">
        <f>IF(A165&lt;&gt;"",IFERROR(VLOOKUP(B165,DivisionCostCodeLookup!$F$2:$G$426,2,FALSE),INT(LEFT(A165,2))&amp;"0000"),"")</f>
        <v/>
      </c>
      <c r="D165" s="94"/>
      <c r="E165" s="95"/>
      <c r="F165" s="96"/>
      <c r="G165" s="164"/>
      <c r="H165" s="97" t="str">
        <f t="shared" si="2"/>
        <v/>
      </c>
    </row>
    <row r="166" spans="1:8" s="86" customFormat="1">
      <c r="A166" s="92"/>
      <c r="B166" s="92"/>
      <c r="C166" s="93" t="str">
        <f>IF(A166&lt;&gt;"",IFERROR(VLOOKUP(B166,DivisionCostCodeLookup!$F$2:$G$426,2,FALSE),INT(LEFT(A166,2))&amp;"0000"),"")</f>
        <v/>
      </c>
      <c r="D166" s="94"/>
      <c r="E166" s="95"/>
      <c r="F166" s="96"/>
      <c r="G166" s="164"/>
      <c r="H166" s="97" t="str">
        <f t="shared" si="2"/>
        <v/>
      </c>
    </row>
    <row r="167" spans="1:8" s="86" customFormat="1">
      <c r="A167" s="92"/>
      <c r="B167" s="92"/>
      <c r="C167" s="93" t="str">
        <f>IF(A167&lt;&gt;"",IFERROR(VLOOKUP(B167,DivisionCostCodeLookup!$F$2:$G$426,2,FALSE),INT(LEFT(A167,2))&amp;"0000"),"")</f>
        <v/>
      </c>
      <c r="D167" s="94"/>
      <c r="E167" s="95"/>
      <c r="F167" s="96"/>
      <c r="G167" s="164"/>
      <c r="H167" s="97" t="str">
        <f t="shared" si="2"/>
        <v/>
      </c>
    </row>
    <row r="168" spans="1:8" s="86" customFormat="1">
      <c r="A168" s="92"/>
      <c r="B168" s="92"/>
      <c r="C168" s="93" t="str">
        <f>IF(A168&lt;&gt;"",IFERROR(VLOOKUP(B168,DivisionCostCodeLookup!$F$2:$G$426,2,FALSE),INT(LEFT(A168,2))&amp;"0000"),"")</f>
        <v/>
      </c>
      <c r="D168" s="94"/>
      <c r="E168" s="95"/>
      <c r="F168" s="96"/>
      <c r="G168" s="164"/>
      <c r="H168" s="97" t="str">
        <f t="shared" si="2"/>
        <v/>
      </c>
    </row>
    <row r="169" spans="1:8" s="86" customFormat="1">
      <c r="A169" s="92"/>
      <c r="B169" s="92"/>
      <c r="C169" s="93" t="str">
        <f>IF(A169&lt;&gt;"",IFERROR(VLOOKUP(B169,DivisionCostCodeLookup!$F$2:$G$426,2,FALSE),INT(LEFT(A169,2))&amp;"0000"),"")</f>
        <v/>
      </c>
      <c r="D169" s="94"/>
      <c r="E169" s="95"/>
      <c r="F169" s="96"/>
      <c r="G169" s="164"/>
      <c r="H169" s="97" t="str">
        <f t="shared" si="2"/>
        <v/>
      </c>
    </row>
    <row r="170" spans="1:8" s="86" customFormat="1">
      <c r="A170" s="92"/>
      <c r="B170" s="92"/>
      <c r="C170" s="93" t="str">
        <f>IF(A170&lt;&gt;"",IFERROR(VLOOKUP(B170,DivisionCostCodeLookup!$F$2:$G$426,2,FALSE),INT(LEFT(A170,2))&amp;"0000"),"")</f>
        <v/>
      </c>
      <c r="D170" s="94"/>
      <c r="E170" s="95"/>
      <c r="F170" s="96"/>
      <c r="G170" s="164"/>
      <c r="H170" s="97" t="str">
        <f t="shared" si="2"/>
        <v/>
      </c>
    </row>
    <row r="171" spans="1:8" s="86" customFormat="1">
      <c r="A171" s="92"/>
      <c r="B171" s="92"/>
      <c r="C171" s="93" t="str">
        <f>IF(A171&lt;&gt;"",IFERROR(VLOOKUP(B171,DivisionCostCodeLookup!$F$2:$G$426,2,FALSE),INT(LEFT(A171,2))&amp;"0000"),"")</f>
        <v/>
      </c>
      <c r="D171" s="94"/>
      <c r="E171" s="95"/>
      <c r="F171" s="96"/>
      <c r="G171" s="164"/>
      <c r="H171" s="97" t="str">
        <f t="shared" si="2"/>
        <v/>
      </c>
    </row>
    <row r="172" spans="1:8" s="86" customFormat="1">
      <c r="A172" s="92"/>
      <c r="B172" s="92"/>
      <c r="C172" s="93" t="str">
        <f>IF(A172&lt;&gt;"",IFERROR(VLOOKUP(B172,DivisionCostCodeLookup!$F$2:$G$426,2,FALSE),INT(LEFT(A172,2))&amp;"0000"),"")</f>
        <v/>
      </c>
      <c r="D172" s="94"/>
      <c r="E172" s="95"/>
      <c r="F172" s="96"/>
      <c r="G172" s="164"/>
      <c r="H172" s="97" t="str">
        <f t="shared" si="2"/>
        <v/>
      </c>
    </row>
    <row r="173" spans="1:8" s="86" customFormat="1">
      <c r="A173" s="92"/>
      <c r="B173" s="92"/>
      <c r="C173" s="93" t="str">
        <f>IF(A173&lt;&gt;"",IFERROR(VLOOKUP(B173,DivisionCostCodeLookup!$F$2:$G$426,2,FALSE),INT(LEFT(A173,2))&amp;"0000"),"")</f>
        <v/>
      </c>
      <c r="D173" s="94"/>
      <c r="E173" s="95"/>
      <c r="F173" s="96"/>
      <c r="G173" s="164"/>
      <c r="H173" s="97" t="str">
        <f t="shared" si="2"/>
        <v/>
      </c>
    </row>
    <row r="174" spans="1:8" s="86" customFormat="1">
      <c r="A174" s="92"/>
      <c r="B174" s="92"/>
      <c r="C174" s="93" t="str">
        <f>IF(A174&lt;&gt;"",IFERROR(VLOOKUP(B174,DivisionCostCodeLookup!$F$2:$G$426,2,FALSE),INT(LEFT(A174,2))&amp;"0000"),"")</f>
        <v/>
      </c>
      <c r="D174" s="94"/>
      <c r="E174" s="95"/>
      <c r="F174" s="96"/>
      <c r="G174" s="164"/>
      <c r="H174" s="97" t="str">
        <f t="shared" si="2"/>
        <v/>
      </c>
    </row>
    <row r="175" spans="1:8" s="86" customFormat="1">
      <c r="A175" s="92"/>
      <c r="B175" s="92"/>
      <c r="C175" s="93" t="str">
        <f>IF(A175&lt;&gt;"",IFERROR(VLOOKUP(B175,DivisionCostCodeLookup!$F$2:$G$426,2,FALSE),INT(LEFT(A175,2))&amp;"0000"),"")</f>
        <v/>
      </c>
      <c r="D175" s="94"/>
      <c r="E175" s="95"/>
      <c r="F175" s="96"/>
      <c r="G175" s="164"/>
      <c r="H175" s="97" t="str">
        <f t="shared" si="2"/>
        <v/>
      </c>
    </row>
    <row r="176" spans="1:8" s="86" customFormat="1">
      <c r="A176" s="92"/>
      <c r="B176" s="92"/>
      <c r="C176" s="93" t="str">
        <f>IF(A176&lt;&gt;"",IFERROR(VLOOKUP(B176,DivisionCostCodeLookup!$F$2:$G$426,2,FALSE),INT(LEFT(A176,2))&amp;"0000"),"")</f>
        <v/>
      </c>
      <c r="D176" s="94"/>
      <c r="E176" s="95"/>
      <c r="F176" s="96"/>
      <c r="G176" s="164"/>
      <c r="H176" s="97" t="str">
        <f t="shared" si="2"/>
        <v/>
      </c>
    </row>
    <row r="177" spans="1:8" s="86" customFormat="1">
      <c r="A177" s="92"/>
      <c r="B177" s="92"/>
      <c r="C177" s="93" t="str">
        <f>IF(A177&lt;&gt;"",IFERROR(VLOOKUP(B177,DivisionCostCodeLookup!$F$2:$G$426,2,FALSE),INT(LEFT(A177,2))&amp;"0000"),"")</f>
        <v/>
      </c>
      <c r="D177" s="94"/>
      <c r="E177" s="95"/>
      <c r="F177" s="96"/>
      <c r="G177" s="164"/>
      <c r="H177" s="97" t="str">
        <f t="shared" si="2"/>
        <v/>
      </c>
    </row>
    <row r="178" spans="1:8" s="86" customFormat="1">
      <c r="A178" s="92"/>
      <c r="B178" s="92"/>
      <c r="C178" s="93" t="str">
        <f>IF(A178&lt;&gt;"",IFERROR(VLOOKUP(B178,DivisionCostCodeLookup!$F$2:$G$426,2,FALSE),INT(LEFT(A178,2))&amp;"0000"),"")</f>
        <v/>
      </c>
      <c r="D178" s="94"/>
      <c r="E178" s="95"/>
      <c r="F178" s="96"/>
      <c r="G178" s="164"/>
      <c r="H178" s="97" t="str">
        <f t="shared" si="2"/>
        <v/>
      </c>
    </row>
    <row r="179" spans="1:8" s="86" customFormat="1">
      <c r="A179" s="92"/>
      <c r="B179" s="92"/>
      <c r="C179" s="93" t="str">
        <f>IF(A179&lt;&gt;"",IFERROR(VLOOKUP(B179,DivisionCostCodeLookup!$F$2:$G$426,2,FALSE),INT(LEFT(A179,2))&amp;"0000"),"")</f>
        <v/>
      </c>
      <c r="D179" s="94"/>
      <c r="E179" s="95"/>
      <c r="F179" s="96"/>
      <c r="G179" s="164"/>
      <c r="H179" s="97" t="str">
        <f t="shared" si="2"/>
        <v/>
      </c>
    </row>
    <row r="180" spans="1:8" s="86" customFormat="1">
      <c r="A180" s="92"/>
      <c r="B180" s="92"/>
      <c r="C180" s="93" t="str">
        <f>IF(A180&lt;&gt;"",IFERROR(VLOOKUP(B180,DivisionCostCodeLookup!$F$2:$G$426,2,FALSE),INT(LEFT(A180,2))&amp;"0000"),"")</f>
        <v/>
      </c>
      <c r="D180" s="94"/>
      <c r="E180" s="95"/>
      <c r="F180" s="96"/>
      <c r="G180" s="164"/>
      <c r="H180" s="97" t="str">
        <f t="shared" si="2"/>
        <v/>
      </c>
    </row>
    <row r="181" spans="1:8" s="86" customFormat="1">
      <c r="A181" s="92"/>
      <c r="B181" s="92"/>
      <c r="C181" s="93" t="str">
        <f>IF(A181&lt;&gt;"",IFERROR(VLOOKUP(B181,DivisionCostCodeLookup!$F$2:$G$426,2,FALSE),INT(LEFT(A181,2))&amp;"0000"),"")</f>
        <v/>
      </c>
      <c r="D181" s="94"/>
      <c r="E181" s="95"/>
      <c r="F181" s="96"/>
      <c r="G181" s="164"/>
      <c r="H181" s="97" t="str">
        <f t="shared" si="2"/>
        <v/>
      </c>
    </row>
    <row r="182" spans="1:8" s="86" customFormat="1">
      <c r="A182" s="92"/>
      <c r="B182" s="92"/>
      <c r="C182" s="93" t="str">
        <f>IF(A182&lt;&gt;"",IFERROR(VLOOKUP(B182,DivisionCostCodeLookup!$F$2:$G$426,2,FALSE),INT(LEFT(A182,2))&amp;"0000"),"")</f>
        <v/>
      </c>
      <c r="D182" s="94"/>
      <c r="E182" s="95"/>
      <c r="F182" s="96"/>
      <c r="G182" s="164"/>
      <c r="H182" s="97" t="str">
        <f t="shared" si="2"/>
        <v/>
      </c>
    </row>
    <row r="183" spans="1:8" s="86" customFormat="1">
      <c r="A183" s="92"/>
      <c r="B183" s="92"/>
      <c r="C183" s="93" t="str">
        <f>IF(A183&lt;&gt;"",IFERROR(VLOOKUP(B183,DivisionCostCodeLookup!$F$2:$G$426,2,FALSE),INT(LEFT(A183,2))&amp;"0000"),"")</f>
        <v/>
      </c>
      <c r="D183" s="94"/>
      <c r="E183" s="95"/>
      <c r="F183" s="96"/>
      <c r="G183" s="164"/>
      <c r="H183" s="97" t="str">
        <f t="shared" si="2"/>
        <v/>
      </c>
    </row>
    <row r="184" spans="1:8" s="86" customFormat="1">
      <c r="A184" s="92"/>
      <c r="B184" s="92"/>
      <c r="C184" s="93" t="str">
        <f>IF(A184&lt;&gt;"",IFERROR(VLOOKUP(B184,DivisionCostCodeLookup!$F$2:$G$426,2,FALSE),INT(LEFT(A184,2))&amp;"0000"),"")</f>
        <v/>
      </c>
      <c r="D184" s="94"/>
      <c r="E184" s="95"/>
      <c r="F184" s="96"/>
      <c r="G184" s="164"/>
      <c r="H184" s="97" t="str">
        <f t="shared" si="2"/>
        <v/>
      </c>
    </row>
    <row r="185" spans="1:8" s="86" customFormat="1">
      <c r="A185" s="92"/>
      <c r="B185" s="92"/>
      <c r="C185" s="93" t="str">
        <f>IF(A185&lt;&gt;"",IFERROR(VLOOKUP(B185,DivisionCostCodeLookup!$F$2:$G$426,2,FALSE),INT(LEFT(A185,2))&amp;"0000"),"")</f>
        <v/>
      </c>
      <c r="D185" s="94"/>
      <c r="E185" s="95"/>
      <c r="F185" s="96"/>
      <c r="G185" s="164"/>
      <c r="H185" s="97" t="str">
        <f t="shared" si="2"/>
        <v/>
      </c>
    </row>
    <row r="186" spans="1:8" s="86" customFormat="1">
      <c r="A186" s="92"/>
      <c r="B186" s="92"/>
      <c r="C186" s="93" t="str">
        <f>IF(A186&lt;&gt;"",IFERROR(VLOOKUP(B186,DivisionCostCodeLookup!$F$2:$G$426,2,FALSE),INT(LEFT(A186,2))&amp;"0000"),"")</f>
        <v/>
      </c>
      <c r="D186" s="94"/>
      <c r="E186" s="95"/>
      <c r="F186" s="96"/>
      <c r="G186" s="164"/>
      <c r="H186" s="97" t="str">
        <f t="shared" si="2"/>
        <v/>
      </c>
    </row>
    <row r="187" spans="1:8" s="86" customFormat="1">
      <c r="A187" s="92"/>
      <c r="B187" s="92"/>
      <c r="C187" s="93" t="str">
        <f>IF(A187&lt;&gt;"",IFERROR(VLOOKUP(B187,DivisionCostCodeLookup!$F$2:$G$426,2,FALSE),INT(LEFT(A187,2))&amp;"0000"),"")</f>
        <v/>
      </c>
      <c r="D187" s="94"/>
      <c r="E187" s="95"/>
      <c r="F187" s="96"/>
      <c r="G187" s="164"/>
      <c r="H187" s="97" t="str">
        <f t="shared" si="2"/>
        <v/>
      </c>
    </row>
    <row r="188" spans="1:8" s="86" customFormat="1">
      <c r="A188" s="92"/>
      <c r="B188" s="92"/>
      <c r="C188" s="93" t="str">
        <f>IF(A188&lt;&gt;"",IFERROR(VLOOKUP(B188,DivisionCostCodeLookup!$F$2:$G$426,2,FALSE),INT(LEFT(A188,2))&amp;"0000"),"")</f>
        <v/>
      </c>
      <c r="D188" s="94"/>
      <c r="E188" s="95"/>
      <c r="F188" s="96"/>
      <c r="G188" s="164"/>
      <c r="H188" s="97" t="str">
        <f t="shared" si="2"/>
        <v/>
      </c>
    </row>
    <row r="189" spans="1:8" s="86" customFormat="1">
      <c r="A189" s="92"/>
      <c r="B189" s="92"/>
      <c r="C189" s="93" t="str">
        <f>IF(A189&lt;&gt;"",IFERROR(VLOOKUP(B189,DivisionCostCodeLookup!$F$2:$G$426,2,FALSE),INT(LEFT(A189,2))&amp;"0000"),"")</f>
        <v/>
      </c>
      <c r="D189" s="94"/>
      <c r="E189" s="95"/>
      <c r="F189" s="96"/>
      <c r="G189" s="164"/>
      <c r="H189" s="97" t="str">
        <f t="shared" si="2"/>
        <v/>
      </c>
    </row>
    <row r="190" spans="1:8" s="86" customFormat="1">
      <c r="A190" s="92"/>
      <c r="B190" s="92"/>
      <c r="C190" s="93" t="str">
        <f>IF(A190&lt;&gt;"",IFERROR(VLOOKUP(B190,DivisionCostCodeLookup!$F$2:$G$426,2,FALSE),INT(LEFT(A190,2))&amp;"0000"),"")</f>
        <v/>
      </c>
      <c r="D190" s="94"/>
      <c r="E190" s="95"/>
      <c r="F190" s="96"/>
      <c r="G190" s="164"/>
      <c r="H190" s="97" t="str">
        <f t="shared" si="2"/>
        <v/>
      </c>
    </row>
    <row r="191" spans="1:8" s="86" customFormat="1">
      <c r="A191" s="92"/>
      <c r="B191" s="92"/>
      <c r="C191" s="93" t="str">
        <f>IF(A191&lt;&gt;"",IFERROR(VLOOKUP(B191,DivisionCostCodeLookup!$F$2:$G$426,2,FALSE),INT(LEFT(A191,2))&amp;"0000"),"")</f>
        <v/>
      </c>
      <c r="D191" s="94"/>
      <c r="E191" s="95"/>
      <c r="F191" s="96"/>
      <c r="G191" s="164"/>
      <c r="H191" s="97" t="str">
        <f t="shared" si="2"/>
        <v/>
      </c>
    </row>
    <row r="192" spans="1:8" s="86" customFormat="1">
      <c r="A192" s="92"/>
      <c r="B192" s="92"/>
      <c r="C192" s="93" t="str">
        <f>IF(A192&lt;&gt;"",IFERROR(VLOOKUP(B192,DivisionCostCodeLookup!$F$2:$G$426,2,FALSE),INT(LEFT(A192,2))&amp;"0000"),"")</f>
        <v/>
      </c>
      <c r="D192" s="94"/>
      <c r="E192" s="95"/>
      <c r="F192" s="96"/>
      <c r="G192" s="164"/>
      <c r="H192" s="97" t="str">
        <f t="shared" si="2"/>
        <v/>
      </c>
    </row>
    <row r="193" spans="1:8" s="86" customFormat="1">
      <c r="A193" s="92"/>
      <c r="B193" s="92"/>
      <c r="C193" s="93" t="str">
        <f>IF(A193&lt;&gt;"",IFERROR(VLOOKUP(B193,DivisionCostCodeLookup!$F$2:$G$426,2,FALSE),INT(LEFT(A193,2))&amp;"0000"),"")</f>
        <v/>
      </c>
      <c r="D193" s="94"/>
      <c r="E193" s="95"/>
      <c r="F193" s="96"/>
      <c r="G193" s="164"/>
      <c r="H193" s="97" t="str">
        <f t="shared" si="2"/>
        <v/>
      </c>
    </row>
    <row r="194" spans="1:8" s="86" customFormat="1">
      <c r="A194" s="92"/>
      <c r="B194" s="92"/>
      <c r="C194" s="93" t="str">
        <f>IF(A194&lt;&gt;"",IFERROR(VLOOKUP(B194,DivisionCostCodeLookup!$F$2:$G$426,2,FALSE),INT(LEFT(A194,2))&amp;"0000"),"")</f>
        <v/>
      </c>
      <c r="D194" s="94"/>
      <c r="E194" s="95"/>
      <c r="F194" s="96"/>
      <c r="G194" s="164"/>
      <c r="H194" s="97" t="str">
        <f t="shared" si="2"/>
        <v/>
      </c>
    </row>
    <row r="195" spans="1:8" s="86" customFormat="1">
      <c r="A195" s="92"/>
      <c r="B195" s="92"/>
      <c r="C195" s="93" t="str">
        <f>IF(A195&lt;&gt;"",IFERROR(VLOOKUP(B195,DivisionCostCodeLookup!$F$2:$G$426,2,FALSE),INT(LEFT(A195,2))&amp;"0000"),"")</f>
        <v/>
      </c>
      <c r="D195" s="94"/>
      <c r="E195" s="95"/>
      <c r="F195" s="96"/>
      <c r="G195" s="164"/>
      <c r="H195" s="97" t="str">
        <f t="shared" si="2"/>
        <v/>
      </c>
    </row>
    <row r="196" spans="1:8" s="86" customFormat="1">
      <c r="A196" s="92"/>
      <c r="B196" s="92"/>
      <c r="C196" s="93" t="str">
        <f>IF(A196&lt;&gt;"",IFERROR(VLOOKUP(B196,DivisionCostCodeLookup!$F$2:$G$426,2,FALSE),INT(LEFT(A196,2))&amp;"0000"),"")</f>
        <v/>
      </c>
      <c r="D196" s="94"/>
      <c r="E196" s="95"/>
      <c r="F196" s="96"/>
      <c r="G196" s="164"/>
      <c r="H196" s="97" t="str">
        <f t="shared" si="2"/>
        <v/>
      </c>
    </row>
    <row r="197" spans="1:8" s="86" customFormat="1">
      <c r="A197" s="92"/>
      <c r="B197" s="92"/>
      <c r="C197" s="93" t="str">
        <f>IF(A197&lt;&gt;"",IFERROR(VLOOKUP(B197,DivisionCostCodeLookup!$F$2:$G$426,2,FALSE),INT(LEFT(A197,2))&amp;"0000"),"")</f>
        <v/>
      </c>
      <c r="D197" s="94"/>
      <c r="E197" s="95"/>
      <c r="F197" s="96"/>
      <c r="G197" s="164"/>
      <c r="H197" s="97" t="str">
        <f t="shared" si="2"/>
        <v/>
      </c>
    </row>
    <row r="198" spans="1:8" s="86" customFormat="1">
      <c r="A198" s="92"/>
      <c r="B198" s="92"/>
      <c r="C198" s="93" t="str">
        <f>IF(A198&lt;&gt;"",IFERROR(VLOOKUP(B198,DivisionCostCodeLookup!$F$2:$G$426,2,FALSE),INT(LEFT(A198,2))&amp;"0000"),"")</f>
        <v/>
      </c>
      <c r="D198" s="94"/>
      <c r="E198" s="95"/>
      <c r="F198" s="96"/>
      <c r="G198" s="164"/>
      <c r="H198" s="97" t="str">
        <f t="shared" si="2"/>
        <v/>
      </c>
    </row>
    <row r="199" spans="1:8" s="86" customFormat="1">
      <c r="A199" s="92"/>
      <c r="B199" s="92"/>
      <c r="C199" s="93" t="str">
        <f>IF(A199&lt;&gt;"",IFERROR(VLOOKUP(B199,DivisionCostCodeLookup!$F$2:$G$426,2,FALSE),INT(LEFT(A199,2))&amp;"0000"),"")</f>
        <v/>
      </c>
      <c r="D199" s="94"/>
      <c r="E199" s="95"/>
      <c r="F199" s="96"/>
      <c r="G199" s="164"/>
      <c r="H199" s="97" t="str">
        <f t="shared" si="2"/>
        <v/>
      </c>
    </row>
    <row r="200" spans="1:8" s="86" customFormat="1">
      <c r="A200" s="92"/>
      <c r="B200" s="92"/>
      <c r="C200" s="93" t="str">
        <f>IF(A200&lt;&gt;"",IFERROR(VLOOKUP(B200,DivisionCostCodeLookup!$F$2:$G$426,2,FALSE),INT(LEFT(A200,2))&amp;"0000"),"")</f>
        <v/>
      </c>
      <c r="D200" s="94"/>
      <c r="E200" s="95"/>
      <c r="F200" s="96"/>
      <c r="G200" s="164"/>
      <c r="H200" s="97" t="str">
        <f t="shared" ref="H200:H263" si="3">IF(E200*G200&lt;&gt;0,E200*G200,"")</f>
        <v/>
      </c>
    </row>
    <row r="201" spans="1:8" s="86" customFormat="1">
      <c r="A201" s="92"/>
      <c r="B201" s="92"/>
      <c r="C201" s="93" t="str">
        <f>IF(A201&lt;&gt;"",IFERROR(VLOOKUP(B201,DivisionCostCodeLookup!$F$2:$G$426,2,FALSE),INT(LEFT(A201,2))&amp;"0000"),"")</f>
        <v/>
      </c>
      <c r="D201" s="94"/>
      <c r="E201" s="95"/>
      <c r="F201" s="96"/>
      <c r="G201" s="164"/>
      <c r="H201" s="97" t="str">
        <f t="shared" si="3"/>
        <v/>
      </c>
    </row>
    <row r="202" spans="1:8" s="86" customFormat="1">
      <c r="A202" s="92"/>
      <c r="B202" s="92"/>
      <c r="C202" s="93" t="str">
        <f>IF(A202&lt;&gt;"",IFERROR(VLOOKUP(B202,DivisionCostCodeLookup!$F$2:$G$426,2,FALSE),INT(LEFT(A202,2))&amp;"0000"),"")</f>
        <v/>
      </c>
      <c r="D202" s="94"/>
      <c r="E202" s="95"/>
      <c r="F202" s="96"/>
      <c r="G202" s="164"/>
      <c r="H202" s="97" t="str">
        <f t="shared" si="3"/>
        <v/>
      </c>
    </row>
    <row r="203" spans="1:8" s="86" customFormat="1">
      <c r="A203" s="92"/>
      <c r="B203" s="92"/>
      <c r="C203" s="93" t="str">
        <f>IF(A203&lt;&gt;"",IFERROR(VLOOKUP(B203,DivisionCostCodeLookup!$F$2:$G$426,2,FALSE),INT(LEFT(A203,2))&amp;"0000"),"")</f>
        <v/>
      </c>
      <c r="D203" s="94"/>
      <c r="E203" s="95"/>
      <c r="F203" s="96"/>
      <c r="G203" s="164"/>
      <c r="H203" s="97" t="str">
        <f t="shared" si="3"/>
        <v/>
      </c>
    </row>
    <row r="204" spans="1:8" s="86" customFormat="1">
      <c r="A204" s="92"/>
      <c r="B204" s="92"/>
      <c r="C204" s="93" t="str">
        <f>IF(A204&lt;&gt;"",IFERROR(VLOOKUP(B204,DivisionCostCodeLookup!$F$2:$G$426,2,FALSE),INT(LEFT(A204,2))&amp;"0000"),"")</f>
        <v/>
      </c>
      <c r="D204" s="94"/>
      <c r="E204" s="95"/>
      <c r="F204" s="96"/>
      <c r="G204" s="164"/>
      <c r="H204" s="97" t="str">
        <f t="shared" si="3"/>
        <v/>
      </c>
    </row>
    <row r="205" spans="1:8" s="86" customFormat="1">
      <c r="A205" s="92"/>
      <c r="B205" s="92"/>
      <c r="C205" s="93" t="str">
        <f>IF(A205&lt;&gt;"",IFERROR(VLOOKUP(B205,DivisionCostCodeLookup!$F$2:$G$426,2,FALSE),INT(LEFT(A205,2))&amp;"0000"),"")</f>
        <v/>
      </c>
      <c r="D205" s="94"/>
      <c r="E205" s="95"/>
      <c r="F205" s="96"/>
      <c r="G205" s="164"/>
      <c r="H205" s="97" t="str">
        <f t="shared" si="3"/>
        <v/>
      </c>
    </row>
    <row r="206" spans="1:8" s="86" customFormat="1">
      <c r="A206" s="92"/>
      <c r="B206" s="92"/>
      <c r="C206" s="93" t="str">
        <f>IF(A206&lt;&gt;"",IFERROR(VLOOKUP(B206,DivisionCostCodeLookup!$F$2:$G$426,2,FALSE),INT(LEFT(A206,2))&amp;"0000"),"")</f>
        <v/>
      </c>
      <c r="D206" s="94"/>
      <c r="E206" s="95"/>
      <c r="F206" s="96"/>
      <c r="G206" s="164"/>
      <c r="H206" s="97" t="str">
        <f t="shared" si="3"/>
        <v/>
      </c>
    </row>
    <row r="207" spans="1:8" s="86" customFormat="1">
      <c r="A207" s="92"/>
      <c r="B207" s="92"/>
      <c r="C207" s="93" t="str">
        <f>IF(A207&lt;&gt;"",IFERROR(VLOOKUP(B207,DivisionCostCodeLookup!$F$2:$G$426,2,FALSE),INT(LEFT(A207,2))&amp;"0000"),"")</f>
        <v/>
      </c>
      <c r="D207" s="94"/>
      <c r="E207" s="95"/>
      <c r="F207" s="96"/>
      <c r="G207" s="164"/>
      <c r="H207" s="97" t="str">
        <f t="shared" si="3"/>
        <v/>
      </c>
    </row>
    <row r="208" spans="1:8" s="86" customFormat="1">
      <c r="A208" s="92"/>
      <c r="B208" s="92"/>
      <c r="C208" s="93" t="str">
        <f>IF(A208&lt;&gt;"",IFERROR(VLOOKUP(B208,DivisionCostCodeLookup!$F$2:$G$426,2,FALSE),INT(LEFT(A208,2))&amp;"0000"),"")</f>
        <v/>
      </c>
      <c r="D208" s="94"/>
      <c r="E208" s="95"/>
      <c r="F208" s="96"/>
      <c r="G208" s="164"/>
      <c r="H208" s="97" t="str">
        <f t="shared" si="3"/>
        <v/>
      </c>
    </row>
    <row r="209" spans="1:8" s="86" customFormat="1">
      <c r="A209" s="92"/>
      <c r="B209" s="92"/>
      <c r="C209" s="93" t="str">
        <f>IF(A209&lt;&gt;"",IFERROR(VLOOKUP(B209,DivisionCostCodeLookup!$F$2:$G$426,2,FALSE),INT(LEFT(A209,2))&amp;"0000"),"")</f>
        <v/>
      </c>
      <c r="D209" s="94"/>
      <c r="E209" s="95"/>
      <c r="F209" s="96"/>
      <c r="G209" s="164"/>
      <c r="H209" s="97" t="str">
        <f t="shared" si="3"/>
        <v/>
      </c>
    </row>
    <row r="210" spans="1:8" s="86" customFormat="1">
      <c r="A210" s="92"/>
      <c r="B210" s="92"/>
      <c r="C210" s="93" t="str">
        <f>IF(A210&lt;&gt;"",IFERROR(VLOOKUP(B210,DivisionCostCodeLookup!$F$2:$G$426,2,FALSE),INT(LEFT(A210,2))&amp;"0000"),"")</f>
        <v/>
      </c>
      <c r="D210" s="94"/>
      <c r="E210" s="95"/>
      <c r="F210" s="96"/>
      <c r="G210" s="164"/>
      <c r="H210" s="97" t="str">
        <f t="shared" si="3"/>
        <v/>
      </c>
    </row>
    <row r="211" spans="1:8" s="86" customFormat="1">
      <c r="A211" s="92"/>
      <c r="B211" s="92"/>
      <c r="C211" s="93" t="str">
        <f>IF(A211&lt;&gt;"",IFERROR(VLOOKUP(B211,DivisionCostCodeLookup!$F$2:$G$426,2,FALSE),INT(LEFT(A211,2))&amp;"0000"),"")</f>
        <v/>
      </c>
      <c r="D211" s="94"/>
      <c r="E211" s="95"/>
      <c r="F211" s="96"/>
      <c r="G211" s="164"/>
      <c r="H211" s="97" t="str">
        <f t="shared" si="3"/>
        <v/>
      </c>
    </row>
    <row r="212" spans="1:8" s="86" customFormat="1">
      <c r="A212" s="92"/>
      <c r="B212" s="92"/>
      <c r="C212" s="93" t="str">
        <f>IF(A212&lt;&gt;"",IFERROR(VLOOKUP(B212,DivisionCostCodeLookup!$F$2:$G$426,2,FALSE),INT(LEFT(A212,2))&amp;"0000"),"")</f>
        <v/>
      </c>
      <c r="D212" s="94"/>
      <c r="E212" s="95"/>
      <c r="F212" s="96"/>
      <c r="G212" s="164"/>
      <c r="H212" s="97" t="str">
        <f t="shared" si="3"/>
        <v/>
      </c>
    </row>
    <row r="213" spans="1:8" s="86" customFormat="1">
      <c r="A213" s="92"/>
      <c r="B213" s="92"/>
      <c r="C213" s="93" t="str">
        <f>IF(A213&lt;&gt;"",IFERROR(VLOOKUP(B213,DivisionCostCodeLookup!$F$2:$G$426,2,FALSE),INT(LEFT(A213,2))&amp;"0000"),"")</f>
        <v/>
      </c>
      <c r="D213" s="94"/>
      <c r="E213" s="95"/>
      <c r="F213" s="96"/>
      <c r="G213" s="164"/>
      <c r="H213" s="97" t="str">
        <f t="shared" si="3"/>
        <v/>
      </c>
    </row>
    <row r="214" spans="1:8" s="86" customFormat="1">
      <c r="A214" s="92"/>
      <c r="B214" s="92"/>
      <c r="C214" s="93" t="str">
        <f>IF(A214&lt;&gt;"",IFERROR(VLOOKUP(B214,DivisionCostCodeLookup!$F$2:$G$426,2,FALSE),INT(LEFT(A214,2))&amp;"0000"),"")</f>
        <v/>
      </c>
      <c r="D214" s="94"/>
      <c r="E214" s="95"/>
      <c r="F214" s="96"/>
      <c r="G214" s="164"/>
      <c r="H214" s="97" t="str">
        <f t="shared" si="3"/>
        <v/>
      </c>
    </row>
    <row r="215" spans="1:8" s="86" customFormat="1">
      <c r="A215" s="92"/>
      <c r="B215" s="92"/>
      <c r="C215" s="93" t="str">
        <f>IF(A215&lt;&gt;"",IFERROR(VLOOKUP(B215,DivisionCostCodeLookup!$F$2:$G$426,2,FALSE),INT(LEFT(A215,2))&amp;"0000"),"")</f>
        <v/>
      </c>
      <c r="D215" s="94"/>
      <c r="E215" s="95"/>
      <c r="F215" s="96"/>
      <c r="G215" s="164"/>
      <c r="H215" s="97" t="str">
        <f t="shared" si="3"/>
        <v/>
      </c>
    </row>
    <row r="216" spans="1:8" s="86" customFormat="1">
      <c r="A216" s="92"/>
      <c r="B216" s="92"/>
      <c r="C216" s="93" t="str">
        <f>IF(A216&lt;&gt;"",IFERROR(VLOOKUP(B216,DivisionCostCodeLookup!$F$2:$G$426,2,FALSE),INT(LEFT(A216,2))&amp;"0000"),"")</f>
        <v/>
      </c>
      <c r="D216" s="94"/>
      <c r="E216" s="95"/>
      <c r="F216" s="96"/>
      <c r="G216" s="164"/>
      <c r="H216" s="97" t="str">
        <f t="shared" si="3"/>
        <v/>
      </c>
    </row>
    <row r="217" spans="1:8" s="86" customFormat="1">
      <c r="A217" s="92"/>
      <c r="B217" s="92"/>
      <c r="C217" s="93" t="str">
        <f>IF(A217&lt;&gt;"",IFERROR(VLOOKUP(B217,DivisionCostCodeLookup!$F$2:$G$426,2,FALSE),INT(LEFT(A217,2))&amp;"0000"),"")</f>
        <v/>
      </c>
      <c r="D217" s="94"/>
      <c r="E217" s="95"/>
      <c r="F217" s="96"/>
      <c r="G217" s="164"/>
      <c r="H217" s="97" t="str">
        <f t="shared" si="3"/>
        <v/>
      </c>
    </row>
    <row r="218" spans="1:8" s="86" customFormat="1">
      <c r="A218" s="92"/>
      <c r="B218" s="92"/>
      <c r="C218" s="93" t="str">
        <f>IF(A218&lt;&gt;"",IFERROR(VLOOKUP(B218,DivisionCostCodeLookup!$F$2:$G$426,2,FALSE),INT(LEFT(A218,2))&amp;"0000"),"")</f>
        <v/>
      </c>
      <c r="D218" s="94"/>
      <c r="E218" s="95"/>
      <c r="F218" s="96"/>
      <c r="G218" s="164"/>
      <c r="H218" s="97" t="str">
        <f t="shared" si="3"/>
        <v/>
      </c>
    </row>
    <row r="219" spans="1:8" s="86" customFormat="1">
      <c r="A219" s="92"/>
      <c r="B219" s="92"/>
      <c r="C219" s="93" t="str">
        <f>IF(A219&lt;&gt;"",IFERROR(VLOOKUP(B219,DivisionCostCodeLookup!$F$2:$G$426,2,FALSE),INT(LEFT(A219,2))&amp;"0000"),"")</f>
        <v/>
      </c>
      <c r="D219" s="94"/>
      <c r="E219" s="95"/>
      <c r="F219" s="96"/>
      <c r="G219" s="164"/>
      <c r="H219" s="97" t="str">
        <f t="shared" si="3"/>
        <v/>
      </c>
    </row>
    <row r="220" spans="1:8" s="86" customFormat="1">
      <c r="A220" s="92"/>
      <c r="B220" s="92"/>
      <c r="C220" s="93" t="str">
        <f>IF(A220&lt;&gt;"",IFERROR(VLOOKUP(B220,DivisionCostCodeLookup!$F$2:$G$426,2,FALSE),INT(LEFT(A220,2))&amp;"0000"),"")</f>
        <v/>
      </c>
      <c r="D220" s="94"/>
      <c r="E220" s="95"/>
      <c r="F220" s="96"/>
      <c r="G220" s="164"/>
      <c r="H220" s="97" t="str">
        <f t="shared" si="3"/>
        <v/>
      </c>
    </row>
    <row r="221" spans="1:8" s="86" customFormat="1">
      <c r="A221" s="92"/>
      <c r="B221" s="92"/>
      <c r="C221" s="93" t="str">
        <f>IF(A221&lt;&gt;"",IFERROR(VLOOKUP(B221,DivisionCostCodeLookup!$F$2:$G$426,2,FALSE),INT(LEFT(A221,2))&amp;"0000"),"")</f>
        <v/>
      </c>
      <c r="D221" s="94"/>
      <c r="E221" s="95"/>
      <c r="F221" s="96"/>
      <c r="G221" s="164"/>
      <c r="H221" s="97" t="str">
        <f t="shared" si="3"/>
        <v/>
      </c>
    </row>
    <row r="222" spans="1:8" s="86" customFormat="1">
      <c r="A222" s="92"/>
      <c r="B222" s="92"/>
      <c r="C222" s="93" t="str">
        <f>IF(A222&lt;&gt;"",IFERROR(VLOOKUP(B222,DivisionCostCodeLookup!$F$2:$G$426,2,FALSE),INT(LEFT(A222,2))&amp;"0000"),"")</f>
        <v/>
      </c>
      <c r="D222" s="94"/>
      <c r="E222" s="95"/>
      <c r="F222" s="96"/>
      <c r="G222" s="164"/>
      <c r="H222" s="97" t="str">
        <f t="shared" si="3"/>
        <v/>
      </c>
    </row>
    <row r="223" spans="1:8" s="86" customFormat="1">
      <c r="A223" s="92"/>
      <c r="B223" s="92"/>
      <c r="C223" s="93" t="str">
        <f>IF(A223&lt;&gt;"",IFERROR(VLOOKUP(B223,DivisionCostCodeLookup!$F$2:$G$426,2,FALSE),INT(LEFT(A223,2))&amp;"0000"),"")</f>
        <v/>
      </c>
      <c r="D223" s="94"/>
      <c r="E223" s="95"/>
      <c r="F223" s="96"/>
      <c r="G223" s="164"/>
      <c r="H223" s="97" t="str">
        <f t="shared" si="3"/>
        <v/>
      </c>
    </row>
    <row r="224" spans="1:8" s="86" customFormat="1">
      <c r="A224" s="92"/>
      <c r="B224" s="92"/>
      <c r="C224" s="93" t="str">
        <f>IF(A224&lt;&gt;"",IFERROR(VLOOKUP(B224,DivisionCostCodeLookup!$F$2:$G$426,2,FALSE),INT(LEFT(A224,2))&amp;"0000"),"")</f>
        <v/>
      </c>
      <c r="D224" s="94"/>
      <c r="E224" s="95"/>
      <c r="F224" s="96"/>
      <c r="G224" s="164"/>
      <c r="H224" s="97" t="str">
        <f t="shared" si="3"/>
        <v/>
      </c>
    </row>
    <row r="225" spans="1:8" s="86" customFormat="1">
      <c r="A225" s="92"/>
      <c r="B225" s="92"/>
      <c r="C225" s="93" t="str">
        <f>IF(A225&lt;&gt;"",IFERROR(VLOOKUP(B225,DivisionCostCodeLookup!$F$2:$G$426,2,FALSE),INT(LEFT(A225,2))&amp;"0000"),"")</f>
        <v/>
      </c>
      <c r="D225" s="94"/>
      <c r="E225" s="95"/>
      <c r="F225" s="96"/>
      <c r="G225" s="164"/>
      <c r="H225" s="97" t="str">
        <f t="shared" si="3"/>
        <v/>
      </c>
    </row>
    <row r="226" spans="1:8" s="86" customFormat="1">
      <c r="A226" s="92"/>
      <c r="B226" s="92"/>
      <c r="C226" s="93" t="str">
        <f>IF(A226&lt;&gt;"",IFERROR(VLOOKUP(B226,DivisionCostCodeLookup!$F$2:$G$426,2,FALSE),INT(LEFT(A226,2))&amp;"0000"),"")</f>
        <v/>
      </c>
      <c r="D226" s="94"/>
      <c r="E226" s="95"/>
      <c r="F226" s="96"/>
      <c r="G226" s="164"/>
      <c r="H226" s="97" t="str">
        <f t="shared" si="3"/>
        <v/>
      </c>
    </row>
    <row r="227" spans="1:8" s="86" customFormat="1">
      <c r="A227" s="92"/>
      <c r="B227" s="92"/>
      <c r="C227" s="93" t="str">
        <f>IF(A227&lt;&gt;"",IFERROR(VLOOKUP(B227,DivisionCostCodeLookup!$F$2:$G$426,2,FALSE),INT(LEFT(A227,2))&amp;"0000"),"")</f>
        <v/>
      </c>
      <c r="D227" s="94"/>
      <c r="E227" s="95"/>
      <c r="F227" s="96"/>
      <c r="G227" s="164"/>
      <c r="H227" s="97" t="str">
        <f t="shared" si="3"/>
        <v/>
      </c>
    </row>
    <row r="228" spans="1:8" s="86" customFormat="1">
      <c r="A228" s="92"/>
      <c r="B228" s="92"/>
      <c r="C228" s="93" t="str">
        <f>IF(A228&lt;&gt;"",IFERROR(VLOOKUP(B228,DivisionCostCodeLookup!$F$2:$G$426,2,FALSE),INT(LEFT(A228,2))&amp;"0000"),"")</f>
        <v/>
      </c>
      <c r="D228" s="94"/>
      <c r="E228" s="95"/>
      <c r="F228" s="96"/>
      <c r="G228" s="164"/>
      <c r="H228" s="97" t="str">
        <f t="shared" si="3"/>
        <v/>
      </c>
    </row>
    <row r="229" spans="1:8" s="86" customFormat="1">
      <c r="A229" s="92"/>
      <c r="B229" s="92"/>
      <c r="C229" s="93" t="str">
        <f>IF(A229&lt;&gt;"",IFERROR(VLOOKUP(B229,DivisionCostCodeLookup!$F$2:$G$426,2,FALSE),INT(LEFT(A229,2))&amp;"0000"),"")</f>
        <v/>
      </c>
      <c r="D229" s="94"/>
      <c r="E229" s="95"/>
      <c r="F229" s="96"/>
      <c r="G229" s="164"/>
      <c r="H229" s="97" t="str">
        <f t="shared" si="3"/>
        <v/>
      </c>
    </row>
    <row r="230" spans="1:8" s="86" customFormat="1">
      <c r="A230" s="92"/>
      <c r="B230" s="92"/>
      <c r="C230" s="93" t="str">
        <f>IF(A230&lt;&gt;"",IFERROR(VLOOKUP(B230,DivisionCostCodeLookup!$F$2:$G$426,2,FALSE),INT(LEFT(A230,2))&amp;"0000"),"")</f>
        <v/>
      </c>
      <c r="D230" s="94"/>
      <c r="E230" s="95"/>
      <c r="F230" s="96"/>
      <c r="G230" s="164"/>
      <c r="H230" s="97" t="str">
        <f t="shared" si="3"/>
        <v/>
      </c>
    </row>
    <row r="231" spans="1:8" s="86" customFormat="1">
      <c r="A231" s="92"/>
      <c r="B231" s="92"/>
      <c r="C231" s="93" t="str">
        <f>IF(A231&lt;&gt;"",IFERROR(VLOOKUP(B231,DivisionCostCodeLookup!$F$2:$G$426,2,FALSE),INT(LEFT(A231,2))&amp;"0000"),"")</f>
        <v/>
      </c>
      <c r="D231" s="94"/>
      <c r="E231" s="95"/>
      <c r="F231" s="96"/>
      <c r="G231" s="164"/>
      <c r="H231" s="97" t="str">
        <f t="shared" si="3"/>
        <v/>
      </c>
    </row>
    <row r="232" spans="1:8" s="86" customFormat="1">
      <c r="A232" s="92"/>
      <c r="B232" s="92"/>
      <c r="C232" s="93" t="str">
        <f>IF(A232&lt;&gt;"",IFERROR(VLOOKUP(B232,DivisionCostCodeLookup!$F$2:$G$426,2,FALSE),INT(LEFT(A232,2))&amp;"0000"),"")</f>
        <v/>
      </c>
      <c r="D232" s="94"/>
      <c r="E232" s="95"/>
      <c r="F232" s="96"/>
      <c r="G232" s="164"/>
      <c r="H232" s="97" t="str">
        <f t="shared" si="3"/>
        <v/>
      </c>
    </row>
    <row r="233" spans="1:8" s="86" customFormat="1">
      <c r="A233" s="92"/>
      <c r="B233" s="92"/>
      <c r="C233" s="93" t="str">
        <f>IF(A233&lt;&gt;"",IFERROR(VLOOKUP(B233,DivisionCostCodeLookup!$F$2:$G$426,2,FALSE),INT(LEFT(A233,2))&amp;"0000"),"")</f>
        <v/>
      </c>
      <c r="D233" s="94"/>
      <c r="E233" s="95"/>
      <c r="F233" s="96"/>
      <c r="G233" s="164"/>
      <c r="H233" s="97" t="str">
        <f t="shared" si="3"/>
        <v/>
      </c>
    </row>
    <row r="234" spans="1:8" s="86" customFormat="1">
      <c r="A234" s="92"/>
      <c r="B234" s="92"/>
      <c r="C234" s="93" t="str">
        <f>IF(A234&lt;&gt;"",IFERROR(VLOOKUP(B234,DivisionCostCodeLookup!$F$2:$G$426,2,FALSE),INT(LEFT(A234,2))&amp;"0000"),"")</f>
        <v/>
      </c>
      <c r="D234" s="94"/>
      <c r="E234" s="95"/>
      <c r="F234" s="96"/>
      <c r="G234" s="164"/>
      <c r="H234" s="97" t="str">
        <f t="shared" si="3"/>
        <v/>
      </c>
    </row>
    <row r="235" spans="1:8" s="86" customFormat="1">
      <c r="A235" s="92"/>
      <c r="B235" s="92"/>
      <c r="C235" s="93" t="str">
        <f>IF(A235&lt;&gt;"",IFERROR(VLOOKUP(B235,DivisionCostCodeLookup!$F$2:$G$426,2,FALSE),INT(LEFT(A235,2))&amp;"0000"),"")</f>
        <v/>
      </c>
      <c r="D235" s="94"/>
      <c r="E235" s="95"/>
      <c r="F235" s="96"/>
      <c r="G235" s="164"/>
      <c r="H235" s="97" t="str">
        <f t="shared" si="3"/>
        <v/>
      </c>
    </row>
    <row r="236" spans="1:8" s="86" customFormat="1">
      <c r="A236" s="92"/>
      <c r="B236" s="92"/>
      <c r="C236" s="93" t="str">
        <f>IF(A236&lt;&gt;"",IFERROR(VLOOKUP(B236,DivisionCostCodeLookup!$F$2:$G$426,2,FALSE),INT(LEFT(A236,2))&amp;"0000"),"")</f>
        <v/>
      </c>
      <c r="D236" s="94"/>
      <c r="E236" s="95"/>
      <c r="F236" s="96"/>
      <c r="G236" s="164"/>
      <c r="H236" s="97" t="str">
        <f t="shared" si="3"/>
        <v/>
      </c>
    </row>
    <row r="237" spans="1:8" s="86" customFormat="1">
      <c r="A237" s="92"/>
      <c r="B237" s="92"/>
      <c r="C237" s="93" t="str">
        <f>IF(A237&lt;&gt;"",IFERROR(VLOOKUP(B237,DivisionCostCodeLookup!$F$2:$G$426,2,FALSE),INT(LEFT(A237,2))&amp;"0000"),"")</f>
        <v/>
      </c>
      <c r="D237" s="94"/>
      <c r="E237" s="95"/>
      <c r="F237" s="96"/>
      <c r="G237" s="164"/>
      <c r="H237" s="97" t="str">
        <f t="shared" si="3"/>
        <v/>
      </c>
    </row>
    <row r="238" spans="1:8" s="86" customFormat="1">
      <c r="A238" s="92"/>
      <c r="B238" s="92"/>
      <c r="C238" s="93" t="str">
        <f>IF(A238&lt;&gt;"",IFERROR(VLOOKUP(B238,DivisionCostCodeLookup!$F$2:$G$426,2,FALSE),INT(LEFT(A238,2))&amp;"0000"),"")</f>
        <v/>
      </c>
      <c r="D238" s="94"/>
      <c r="E238" s="95"/>
      <c r="F238" s="96"/>
      <c r="G238" s="164"/>
      <c r="H238" s="97" t="str">
        <f t="shared" si="3"/>
        <v/>
      </c>
    </row>
    <row r="239" spans="1:8" s="86" customFormat="1">
      <c r="A239" s="92"/>
      <c r="B239" s="92"/>
      <c r="C239" s="93" t="str">
        <f>IF(A239&lt;&gt;"",IFERROR(VLOOKUP(B239,DivisionCostCodeLookup!$F$2:$G$426,2,FALSE),INT(LEFT(A239,2))&amp;"0000"),"")</f>
        <v/>
      </c>
      <c r="D239" s="94"/>
      <c r="E239" s="95"/>
      <c r="F239" s="96"/>
      <c r="G239" s="164"/>
      <c r="H239" s="97" t="str">
        <f t="shared" si="3"/>
        <v/>
      </c>
    </row>
    <row r="240" spans="1:8" s="86" customFormat="1">
      <c r="A240" s="92"/>
      <c r="B240" s="92"/>
      <c r="C240" s="93" t="str">
        <f>IF(A240&lt;&gt;"",IFERROR(VLOOKUP(B240,DivisionCostCodeLookup!$F$2:$G$426,2,FALSE),INT(LEFT(A240,2))&amp;"0000"),"")</f>
        <v/>
      </c>
      <c r="D240" s="94"/>
      <c r="E240" s="95"/>
      <c r="F240" s="96"/>
      <c r="G240" s="164"/>
      <c r="H240" s="97" t="str">
        <f t="shared" si="3"/>
        <v/>
      </c>
    </row>
    <row r="241" spans="1:8" s="86" customFormat="1">
      <c r="A241" s="92"/>
      <c r="B241" s="92"/>
      <c r="C241" s="93" t="str">
        <f>IF(A241&lt;&gt;"",IFERROR(VLOOKUP(B241,DivisionCostCodeLookup!$F$2:$G$426,2,FALSE),INT(LEFT(A241,2))&amp;"0000"),"")</f>
        <v/>
      </c>
      <c r="D241" s="94"/>
      <c r="E241" s="95"/>
      <c r="F241" s="96"/>
      <c r="G241" s="164"/>
      <c r="H241" s="97" t="str">
        <f t="shared" si="3"/>
        <v/>
      </c>
    </row>
    <row r="242" spans="1:8" s="86" customFormat="1">
      <c r="A242" s="92"/>
      <c r="B242" s="92"/>
      <c r="C242" s="93" t="str">
        <f>IF(A242&lt;&gt;"",IFERROR(VLOOKUP(B242,DivisionCostCodeLookup!$F$2:$G$426,2,FALSE),INT(LEFT(A242,2))&amp;"0000"),"")</f>
        <v/>
      </c>
      <c r="D242" s="94"/>
      <c r="E242" s="95"/>
      <c r="F242" s="96"/>
      <c r="G242" s="164"/>
      <c r="H242" s="97" t="str">
        <f t="shared" si="3"/>
        <v/>
      </c>
    </row>
    <row r="243" spans="1:8" s="86" customFormat="1">
      <c r="A243" s="92"/>
      <c r="B243" s="92"/>
      <c r="C243" s="93" t="str">
        <f>IF(A243&lt;&gt;"",IFERROR(VLOOKUP(B243,DivisionCostCodeLookup!$F$2:$G$426,2,FALSE),INT(LEFT(A243,2))&amp;"0000"),"")</f>
        <v/>
      </c>
      <c r="D243" s="94"/>
      <c r="E243" s="95"/>
      <c r="F243" s="96"/>
      <c r="G243" s="164"/>
      <c r="H243" s="97" t="str">
        <f t="shared" si="3"/>
        <v/>
      </c>
    </row>
    <row r="244" spans="1:8" s="86" customFormat="1">
      <c r="A244" s="92"/>
      <c r="B244" s="92"/>
      <c r="C244" s="93" t="str">
        <f>IF(A244&lt;&gt;"",IFERROR(VLOOKUP(B244,DivisionCostCodeLookup!$F$2:$G$426,2,FALSE),INT(LEFT(A244,2))&amp;"0000"),"")</f>
        <v/>
      </c>
      <c r="D244" s="94"/>
      <c r="E244" s="95"/>
      <c r="F244" s="96"/>
      <c r="G244" s="164"/>
      <c r="H244" s="97" t="str">
        <f t="shared" si="3"/>
        <v/>
      </c>
    </row>
    <row r="245" spans="1:8" s="86" customFormat="1">
      <c r="A245" s="92"/>
      <c r="B245" s="92"/>
      <c r="C245" s="93" t="str">
        <f>IF(A245&lt;&gt;"",IFERROR(VLOOKUP(B245,DivisionCostCodeLookup!$F$2:$G$426,2,FALSE),INT(LEFT(A245,2))&amp;"0000"),"")</f>
        <v/>
      </c>
      <c r="D245" s="94"/>
      <c r="E245" s="95"/>
      <c r="F245" s="96"/>
      <c r="G245" s="164"/>
      <c r="H245" s="97" t="str">
        <f t="shared" si="3"/>
        <v/>
      </c>
    </row>
    <row r="246" spans="1:8" s="86" customFormat="1">
      <c r="A246" s="92"/>
      <c r="B246" s="92"/>
      <c r="C246" s="93" t="str">
        <f>IF(A246&lt;&gt;"",IFERROR(VLOOKUP(B246,DivisionCostCodeLookup!$F$2:$G$426,2,FALSE),INT(LEFT(A246,2))&amp;"0000"),"")</f>
        <v/>
      </c>
      <c r="D246" s="94"/>
      <c r="E246" s="95"/>
      <c r="F246" s="96"/>
      <c r="G246" s="164"/>
      <c r="H246" s="97" t="str">
        <f t="shared" si="3"/>
        <v/>
      </c>
    </row>
    <row r="247" spans="1:8" s="86" customFormat="1">
      <c r="A247" s="92"/>
      <c r="B247" s="92"/>
      <c r="C247" s="93" t="str">
        <f>IF(A247&lt;&gt;"",IFERROR(VLOOKUP(B247,DivisionCostCodeLookup!$F$2:$G$426,2,FALSE),INT(LEFT(A247,2))&amp;"0000"),"")</f>
        <v/>
      </c>
      <c r="D247" s="94"/>
      <c r="E247" s="95"/>
      <c r="F247" s="96"/>
      <c r="G247" s="164"/>
      <c r="H247" s="97" t="str">
        <f t="shared" si="3"/>
        <v/>
      </c>
    </row>
    <row r="248" spans="1:8" s="86" customFormat="1">
      <c r="A248" s="92"/>
      <c r="B248" s="92"/>
      <c r="C248" s="93" t="str">
        <f>IF(A248&lt;&gt;"",IFERROR(VLOOKUP(B248,DivisionCostCodeLookup!$F$2:$G$426,2,FALSE),INT(LEFT(A248,2))&amp;"0000"),"")</f>
        <v/>
      </c>
      <c r="D248" s="94"/>
      <c r="E248" s="95"/>
      <c r="F248" s="96"/>
      <c r="G248" s="164"/>
      <c r="H248" s="97" t="str">
        <f t="shared" si="3"/>
        <v/>
      </c>
    </row>
    <row r="249" spans="1:8" s="86" customFormat="1">
      <c r="A249" s="92"/>
      <c r="B249" s="92"/>
      <c r="C249" s="93" t="str">
        <f>IF(A249&lt;&gt;"",IFERROR(VLOOKUP(B249,DivisionCostCodeLookup!$F$2:$G$426,2,FALSE),INT(LEFT(A249,2))&amp;"0000"),"")</f>
        <v/>
      </c>
      <c r="D249" s="94"/>
      <c r="E249" s="95"/>
      <c r="F249" s="96"/>
      <c r="G249" s="164"/>
      <c r="H249" s="97" t="str">
        <f t="shared" si="3"/>
        <v/>
      </c>
    </row>
    <row r="250" spans="1:8" s="86" customFormat="1">
      <c r="A250" s="92"/>
      <c r="B250" s="92"/>
      <c r="C250" s="93" t="str">
        <f>IF(A250&lt;&gt;"",IFERROR(VLOOKUP(B250,DivisionCostCodeLookup!$F$2:$G$426,2,FALSE),INT(LEFT(A250,2))&amp;"0000"),"")</f>
        <v/>
      </c>
      <c r="D250" s="94"/>
      <c r="E250" s="95"/>
      <c r="F250" s="96"/>
      <c r="G250" s="164"/>
      <c r="H250" s="97" t="str">
        <f t="shared" si="3"/>
        <v/>
      </c>
    </row>
    <row r="251" spans="1:8" s="86" customFormat="1">
      <c r="A251" s="92"/>
      <c r="B251" s="92"/>
      <c r="C251" s="93" t="str">
        <f>IF(A251&lt;&gt;"",IFERROR(VLOOKUP(B251,DivisionCostCodeLookup!$F$2:$G$426,2,FALSE),INT(LEFT(A251,2))&amp;"0000"),"")</f>
        <v/>
      </c>
      <c r="D251" s="94"/>
      <c r="E251" s="95"/>
      <c r="F251" s="96"/>
      <c r="G251" s="164"/>
      <c r="H251" s="97" t="str">
        <f t="shared" si="3"/>
        <v/>
      </c>
    </row>
    <row r="252" spans="1:8" s="86" customFormat="1">
      <c r="A252" s="92"/>
      <c r="B252" s="92"/>
      <c r="C252" s="93" t="str">
        <f>IF(A252&lt;&gt;"",IFERROR(VLOOKUP(B252,DivisionCostCodeLookup!$F$2:$G$426,2,FALSE),INT(LEFT(A252,2))&amp;"0000"),"")</f>
        <v/>
      </c>
      <c r="D252" s="94"/>
      <c r="E252" s="95"/>
      <c r="F252" s="96"/>
      <c r="G252" s="164"/>
      <c r="H252" s="97" t="str">
        <f t="shared" si="3"/>
        <v/>
      </c>
    </row>
    <row r="253" spans="1:8" s="86" customFormat="1">
      <c r="A253" s="92"/>
      <c r="B253" s="92"/>
      <c r="C253" s="93" t="str">
        <f>IF(A253&lt;&gt;"",IFERROR(VLOOKUP(B253,DivisionCostCodeLookup!$F$2:$G$426,2,FALSE),INT(LEFT(A253,2))&amp;"0000"),"")</f>
        <v/>
      </c>
      <c r="D253" s="94"/>
      <c r="E253" s="95"/>
      <c r="F253" s="96"/>
      <c r="G253" s="164"/>
      <c r="H253" s="97" t="str">
        <f t="shared" si="3"/>
        <v/>
      </c>
    </row>
    <row r="254" spans="1:8" s="86" customFormat="1">
      <c r="A254" s="92"/>
      <c r="B254" s="92"/>
      <c r="C254" s="93" t="str">
        <f>IF(A254&lt;&gt;"",IFERROR(VLOOKUP(B254,DivisionCostCodeLookup!$F$2:$G$426,2,FALSE),INT(LEFT(A254,2))&amp;"0000"),"")</f>
        <v/>
      </c>
      <c r="D254" s="94"/>
      <c r="E254" s="95"/>
      <c r="F254" s="96"/>
      <c r="G254" s="164"/>
      <c r="H254" s="97" t="str">
        <f t="shared" si="3"/>
        <v/>
      </c>
    </row>
    <row r="255" spans="1:8" s="86" customFormat="1">
      <c r="A255" s="92"/>
      <c r="B255" s="92"/>
      <c r="C255" s="93" t="str">
        <f>IF(A255&lt;&gt;"",IFERROR(VLOOKUP(B255,DivisionCostCodeLookup!$F$2:$G$426,2,FALSE),INT(LEFT(A255,2))&amp;"0000"),"")</f>
        <v/>
      </c>
      <c r="D255" s="94"/>
      <c r="E255" s="95"/>
      <c r="F255" s="96"/>
      <c r="G255" s="164"/>
      <c r="H255" s="97" t="str">
        <f t="shared" si="3"/>
        <v/>
      </c>
    </row>
    <row r="256" spans="1:8" s="86" customFormat="1">
      <c r="A256" s="92"/>
      <c r="B256" s="92"/>
      <c r="C256" s="93" t="str">
        <f>IF(A256&lt;&gt;"",IFERROR(VLOOKUP(B256,DivisionCostCodeLookup!$F$2:$G$426,2,FALSE),INT(LEFT(A256,2))&amp;"0000"),"")</f>
        <v/>
      </c>
      <c r="D256" s="94"/>
      <c r="E256" s="95"/>
      <c r="F256" s="96"/>
      <c r="G256" s="164"/>
      <c r="H256" s="97" t="str">
        <f t="shared" si="3"/>
        <v/>
      </c>
    </row>
    <row r="257" spans="1:8" s="86" customFormat="1">
      <c r="A257" s="92"/>
      <c r="B257" s="92"/>
      <c r="C257" s="93" t="str">
        <f>IF(A257&lt;&gt;"",IFERROR(VLOOKUP(B257,DivisionCostCodeLookup!$F$2:$G$426,2,FALSE),INT(LEFT(A257,2))&amp;"0000"),"")</f>
        <v/>
      </c>
      <c r="D257" s="94"/>
      <c r="E257" s="95"/>
      <c r="F257" s="96"/>
      <c r="G257" s="164"/>
      <c r="H257" s="97" t="str">
        <f t="shared" si="3"/>
        <v/>
      </c>
    </row>
    <row r="258" spans="1:8" s="86" customFormat="1">
      <c r="A258" s="92"/>
      <c r="B258" s="92"/>
      <c r="C258" s="93" t="str">
        <f>IF(A258&lt;&gt;"",IFERROR(VLOOKUP(B258,DivisionCostCodeLookup!$F$2:$G$426,2,FALSE),INT(LEFT(A258,2))&amp;"0000"),"")</f>
        <v/>
      </c>
      <c r="D258" s="94"/>
      <c r="E258" s="95"/>
      <c r="F258" s="96"/>
      <c r="G258" s="164"/>
      <c r="H258" s="97" t="str">
        <f t="shared" si="3"/>
        <v/>
      </c>
    </row>
    <row r="259" spans="1:8" s="86" customFormat="1">
      <c r="A259" s="92"/>
      <c r="B259" s="92"/>
      <c r="C259" s="93" t="str">
        <f>IF(A259&lt;&gt;"",IFERROR(VLOOKUP(B259,DivisionCostCodeLookup!$F$2:$G$426,2,FALSE),INT(LEFT(A259,2))&amp;"0000"),"")</f>
        <v/>
      </c>
      <c r="D259" s="94"/>
      <c r="E259" s="95"/>
      <c r="F259" s="96"/>
      <c r="G259" s="164"/>
      <c r="H259" s="97" t="str">
        <f t="shared" si="3"/>
        <v/>
      </c>
    </row>
    <row r="260" spans="1:8" s="86" customFormat="1">
      <c r="A260" s="92"/>
      <c r="B260" s="92"/>
      <c r="C260" s="93" t="str">
        <f>IF(A260&lt;&gt;"",IFERROR(VLOOKUP(B260,DivisionCostCodeLookup!$F$2:$G$426,2,FALSE),INT(LEFT(A260,2))&amp;"0000"),"")</f>
        <v/>
      </c>
      <c r="D260" s="94"/>
      <c r="E260" s="95"/>
      <c r="F260" s="96"/>
      <c r="G260" s="164"/>
      <c r="H260" s="97" t="str">
        <f t="shared" si="3"/>
        <v/>
      </c>
    </row>
    <row r="261" spans="1:8" s="86" customFormat="1">
      <c r="A261" s="92"/>
      <c r="B261" s="92"/>
      <c r="C261" s="93" t="str">
        <f>IF(A261&lt;&gt;"",IFERROR(VLOOKUP(B261,DivisionCostCodeLookup!$F$2:$G$426,2,FALSE),INT(LEFT(A261,2))&amp;"0000"),"")</f>
        <v/>
      </c>
      <c r="D261" s="94"/>
      <c r="E261" s="95"/>
      <c r="F261" s="96"/>
      <c r="G261" s="164"/>
      <c r="H261" s="97" t="str">
        <f t="shared" si="3"/>
        <v/>
      </c>
    </row>
    <row r="262" spans="1:8" s="86" customFormat="1">
      <c r="A262" s="92"/>
      <c r="B262" s="92"/>
      <c r="C262" s="93" t="str">
        <f>IF(A262&lt;&gt;"",IFERROR(VLOOKUP(B262,DivisionCostCodeLookup!$F$2:$G$426,2,FALSE),INT(LEFT(A262,2))&amp;"0000"),"")</f>
        <v/>
      </c>
      <c r="D262" s="94"/>
      <c r="E262" s="95"/>
      <c r="F262" s="96"/>
      <c r="G262" s="164"/>
      <c r="H262" s="97" t="str">
        <f t="shared" si="3"/>
        <v/>
      </c>
    </row>
    <row r="263" spans="1:8" s="86" customFormat="1">
      <c r="A263" s="92"/>
      <c r="B263" s="92"/>
      <c r="C263" s="93" t="str">
        <f>IF(A263&lt;&gt;"",IFERROR(VLOOKUP(B263,DivisionCostCodeLookup!$F$2:$G$426,2,FALSE),INT(LEFT(A263,2))&amp;"0000"),"")</f>
        <v/>
      </c>
      <c r="D263" s="94"/>
      <c r="E263" s="95"/>
      <c r="F263" s="96"/>
      <c r="G263" s="164"/>
      <c r="H263" s="97" t="str">
        <f t="shared" si="3"/>
        <v/>
      </c>
    </row>
    <row r="264" spans="1:8" s="86" customFormat="1">
      <c r="A264" s="92"/>
      <c r="B264" s="92"/>
      <c r="C264" s="93" t="str">
        <f>IF(A264&lt;&gt;"",IFERROR(VLOOKUP(B264,DivisionCostCodeLookup!$F$2:$G$426,2,FALSE),INT(LEFT(A264,2))&amp;"0000"),"")</f>
        <v/>
      </c>
      <c r="D264" s="94"/>
      <c r="E264" s="95"/>
      <c r="F264" s="96"/>
      <c r="G264" s="164"/>
      <c r="H264" s="97" t="str">
        <f t="shared" ref="H264:H327" si="4">IF(E264*G264&lt;&gt;0,E264*G264,"")</f>
        <v/>
      </c>
    </row>
    <row r="265" spans="1:8" s="86" customFormat="1">
      <c r="A265" s="92"/>
      <c r="B265" s="92"/>
      <c r="C265" s="93" t="str">
        <f>IF(A265&lt;&gt;"",IFERROR(VLOOKUP(B265,DivisionCostCodeLookup!$F$2:$G$426,2,FALSE),INT(LEFT(A265,2))&amp;"0000"),"")</f>
        <v/>
      </c>
      <c r="D265" s="94"/>
      <c r="E265" s="95"/>
      <c r="F265" s="96"/>
      <c r="G265" s="164"/>
      <c r="H265" s="97" t="str">
        <f t="shared" si="4"/>
        <v/>
      </c>
    </row>
    <row r="266" spans="1:8" s="86" customFormat="1">
      <c r="A266" s="92"/>
      <c r="B266" s="92"/>
      <c r="C266" s="93" t="str">
        <f>IF(A266&lt;&gt;"",IFERROR(VLOOKUP(B266,DivisionCostCodeLookup!$F$2:$G$426,2,FALSE),INT(LEFT(A266,2))&amp;"0000"),"")</f>
        <v/>
      </c>
      <c r="D266" s="94"/>
      <c r="E266" s="95"/>
      <c r="F266" s="96"/>
      <c r="G266" s="164"/>
      <c r="H266" s="97" t="str">
        <f t="shared" si="4"/>
        <v/>
      </c>
    </row>
    <row r="267" spans="1:8" s="86" customFormat="1">
      <c r="A267" s="92"/>
      <c r="B267" s="92"/>
      <c r="C267" s="93" t="str">
        <f>IF(A267&lt;&gt;"",IFERROR(VLOOKUP(B267,DivisionCostCodeLookup!$F$2:$G$426,2,FALSE),INT(LEFT(A267,2))&amp;"0000"),"")</f>
        <v/>
      </c>
      <c r="D267" s="94"/>
      <c r="E267" s="95"/>
      <c r="F267" s="96"/>
      <c r="G267" s="164"/>
      <c r="H267" s="97" t="str">
        <f t="shared" si="4"/>
        <v/>
      </c>
    </row>
    <row r="268" spans="1:8" s="86" customFormat="1">
      <c r="A268" s="92"/>
      <c r="B268" s="92"/>
      <c r="C268" s="93" t="str">
        <f>IF(A268&lt;&gt;"",IFERROR(VLOOKUP(B268,DivisionCostCodeLookup!$F$2:$G$426,2,FALSE),INT(LEFT(A268,2))&amp;"0000"),"")</f>
        <v/>
      </c>
      <c r="D268" s="94"/>
      <c r="E268" s="95"/>
      <c r="F268" s="96"/>
      <c r="G268" s="164"/>
      <c r="H268" s="97" t="str">
        <f t="shared" si="4"/>
        <v/>
      </c>
    </row>
    <row r="269" spans="1:8" s="86" customFormat="1">
      <c r="A269" s="92"/>
      <c r="B269" s="92"/>
      <c r="C269" s="93" t="str">
        <f>IF(A269&lt;&gt;"",IFERROR(VLOOKUP(B269,DivisionCostCodeLookup!$F$2:$G$426,2,FALSE),INT(LEFT(A269,2))&amp;"0000"),"")</f>
        <v/>
      </c>
      <c r="D269" s="94"/>
      <c r="E269" s="95"/>
      <c r="F269" s="96"/>
      <c r="G269" s="164"/>
      <c r="H269" s="97" t="str">
        <f t="shared" si="4"/>
        <v/>
      </c>
    </row>
    <row r="270" spans="1:8" s="86" customFormat="1">
      <c r="A270" s="92"/>
      <c r="B270" s="92"/>
      <c r="C270" s="93" t="str">
        <f>IF(A270&lt;&gt;"",IFERROR(VLOOKUP(B270,DivisionCostCodeLookup!$F$2:$G$426,2,FALSE),INT(LEFT(A270,2))&amp;"0000"),"")</f>
        <v/>
      </c>
      <c r="D270" s="94"/>
      <c r="E270" s="95"/>
      <c r="F270" s="96"/>
      <c r="G270" s="164"/>
      <c r="H270" s="97" t="str">
        <f t="shared" si="4"/>
        <v/>
      </c>
    </row>
    <row r="271" spans="1:8" s="86" customFormat="1">
      <c r="A271" s="92"/>
      <c r="B271" s="92"/>
      <c r="C271" s="93" t="str">
        <f>IF(A271&lt;&gt;"",IFERROR(VLOOKUP(B271,DivisionCostCodeLookup!$F$2:$G$426,2,FALSE),INT(LEFT(A271,2))&amp;"0000"),"")</f>
        <v/>
      </c>
      <c r="D271" s="94"/>
      <c r="E271" s="95"/>
      <c r="F271" s="96"/>
      <c r="G271" s="164"/>
      <c r="H271" s="97" t="str">
        <f t="shared" si="4"/>
        <v/>
      </c>
    </row>
    <row r="272" spans="1:8" s="86" customFormat="1">
      <c r="A272" s="92"/>
      <c r="B272" s="92"/>
      <c r="C272" s="93" t="str">
        <f>IF(A272&lt;&gt;"",IFERROR(VLOOKUP(B272,DivisionCostCodeLookup!$F$2:$G$426,2,FALSE),INT(LEFT(A272,2))&amp;"0000"),"")</f>
        <v/>
      </c>
      <c r="D272" s="94"/>
      <c r="E272" s="95"/>
      <c r="F272" s="96"/>
      <c r="G272" s="164"/>
      <c r="H272" s="97" t="str">
        <f t="shared" si="4"/>
        <v/>
      </c>
    </row>
    <row r="273" spans="1:8" s="86" customFormat="1">
      <c r="A273" s="92"/>
      <c r="B273" s="92"/>
      <c r="C273" s="93" t="str">
        <f>IF(A273&lt;&gt;"",IFERROR(VLOOKUP(B273,DivisionCostCodeLookup!$F$2:$G$426,2,FALSE),INT(LEFT(A273,2))&amp;"0000"),"")</f>
        <v/>
      </c>
      <c r="D273" s="94"/>
      <c r="E273" s="95"/>
      <c r="F273" s="96"/>
      <c r="G273" s="164"/>
      <c r="H273" s="97" t="str">
        <f t="shared" si="4"/>
        <v/>
      </c>
    </row>
    <row r="274" spans="1:8" s="86" customFormat="1">
      <c r="A274" s="92"/>
      <c r="B274" s="92"/>
      <c r="C274" s="93" t="str">
        <f>IF(A274&lt;&gt;"",IFERROR(VLOOKUP(B274,DivisionCostCodeLookup!$F$2:$G$426,2,FALSE),INT(LEFT(A274,2))&amp;"0000"),"")</f>
        <v/>
      </c>
      <c r="D274" s="94"/>
      <c r="E274" s="95"/>
      <c r="F274" s="96"/>
      <c r="G274" s="164"/>
      <c r="H274" s="97" t="str">
        <f t="shared" si="4"/>
        <v/>
      </c>
    </row>
    <row r="275" spans="1:8" s="86" customFormat="1">
      <c r="A275" s="92"/>
      <c r="B275" s="92"/>
      <c r="C275" s="93" t="str">
        <f>IF(A275&lt;&gt;"",IFERROR(VLOOKUP(B275,DivisionCostCodeLookup!$F$2:$G$426,2,FALSE),INT(LEFT(A275,2))&amp;"0000"),"")</f>
        <v/>
      </c>
      <c r="D275" s="94"/>
      <c r="E275" s="95"/>
      <c r="F275" s="96"/>
      <c r="G275" s="164"/>
      <c r="H275" s="97" t="str">
        <f t="shared" si="4"/>
        <v/>
      </c>
    </row>
    <row r="276" spans="1:8" s="86" customFormat="1">
      <c r="A276" s="92"/>
      <c r="B276" s="92"/>
      <c r="C276" s="93" t="str">
        <f>IF(A276&lt;&gt;"",IFERROR(VLOOKUP(B276,DivisionCostCodeLookup!$F$2:$G$426,2,FALSE),INT(LEFT(A276,2))&amp;"0000"),"")</f>
        <v/>
      </c>
      <c r="D276" s="94"/>
      <c r="E276" s="95"/>
      <c r="F276" s="96"/>
      <c r="G276" s="164"/>
      <c r="H276" s="97" t="str">
        <f t="shared" si="4"/>
        <v/>
      </c>
    </row>
    <row r="277" spans="1:8" s="86" customFormat="1">
      <c r="A277" s="92"/>
      <c r="B277" s="92"/>
      <c r="C277" s="93" t="str">
        <f>IF(A277&lt;&gt;"",IFERROR(VLOOKUP(B277,DivisionCostCodeLookup!$F$2:$G$426,2,FALSE),INT(LEFT(A277,2))&amp;"0000"),"")</f>
        <v/>
      </c>
      <c r="D277" s="94"/>
      <c r="E277" s="95"/>
      <c r="F277" s="96"/>
      <c r="G277" s="164"/>
      <c r="H277" s="97" t="str">
        <f t="shared" si="4"/>
        <v/>
      </c>
    </row>
    <row r="278" spans="1:8" s="86" customFormat="1">
      <c r="A278" s="92"/>
      <c r="B278" s="92"/>
      <c r="C278" s="93" t="str">
        <f>IF(A278&lt;&gt;"",IFERROR(VLOOKUP(B278,DivisionCostCodeLookup!$F$2:$G$426,2,FALSE),INT(LEFT(A278,2))&amp;"0000"),"")</f>
        <v/>
      </c>
      <c r="D278" s="94"/>
      <c r="E278" s="95"/>
      <c r="F278" s="96"/>
      <c r="G278" s="164"/>
      <c r="H278" s="97" t="str">
        <f t="shared" si="4"/>
        <v/>
      </c>
    </row>
    <row r="279" spans="1:8" s="86" customFormat="1">
      <c r="A279" s="92"/>
      <c r="B279" s="92"/>
      <c r="C279" s="93" t="str">
        <f>IF(A279&lt;&gt;"",IFERROR(VLOOKUP(B279,DivisionCostCodeLookup!$F$2:$G$426,2,FALSE),INT(LEFT(A279,2))&amp;"0000"),"")</f>
        <v/>
      </c>
      <c r="D279" s="94"/>
      <c r="E279" s="95"/>
      <c r="F279" s="96"/>
      <c r="G279" s="164"/>
      <c r="H279" s="97" t="str">
        <f t="shared" si="4"/>
        <v/>
      </c>
    </row>
    <row r="280" spans="1:8" s="86" customFormat="1">
      <c r="A280" s="92"/>
      <c r="B280" s="92"/>
      <c r="C280" s="93" t="str">
        <f>IF(A280&lt;&gt;"",IFERROR(VLOOKUP(B280,DivisionCostCodeLookup!$F$2:$G$426,2,FALSE),INT(LEFT(A280,2))&amp;"0000"),"")</f>
        <v/>
      </c>
      <c r="D280" s="94"/>
      <c r="E280" s="95"/>
      <c r="F280" s="96"/>
      <c r="G280" s="164"/>
      <c r="H280" s="97" t="str">
        <f t="shared" si="4"/>
        <v/>
      </c>
    </row>
    <row r="281" spans="1:8" s="86" customFormat="1">
      <c r="A281" s="92"/>
      <c r="B281" s="92"/>
      <c r="C281" s="93" t="str">
        <f>IF(A281&lt;&gt;"",IFERROR(VLOOKUP(B281,DivisionCostCodeLookup!$F$2:$G$426,2,FALSE),INT(LEFT(A281,2))&amp;"0000"),"")</f>
        <v/>
      </c>
      <c r="D281" s="94"/>
      <c r="E281" s="95"/>
      <c r="F281" s="96"/>
      <c r="G281" s="164"/>
      <c r="H281" s="97" t="str">
        <f t="shared" si="4"/>
        <v/>
      </c>
    </row>
    <row r="282" spans="1:8" s="86" customFormat="1">
      <c r="A282" s="92"/>
      <c r="B282" s="92"/>
      <c r="C282" s="93" t="str">
        <f>IF(A282&lt;&gt;"",IFERROR(VLOOKUP(B282,DivisionCostCodeLookup!$F$2:$G$426,2,FALSE),INT(LEFT(A282,2))&amp;"0000"),"")</f>
        <v/>
      </c>
      <c r="D282" s="94"/>
      <c r="E282" s="95"/>
      <c r="F282" s="96"/>
      <c r="G282" s="164"/>
      <c r="H282" s="97" t="str">
        <f t="shared" si="4"/>
        <v/>
      </c>
    </row>
    <row r="283" spans="1:8" s="86" customFormat="1">
      <c r="A283" s="92"/>
      <c r="B283" s="92"/>
      <c r="C283" s="93" t="str">
        <f>IF(A283&lt;&gt;"",IFERROR(VLOOKUP(B283,DivisionCostCodeLookup!$F$2:$G$426,2,FALSE),INT(LEFT(A283,2))&amp;"0000"),"")</f>
        <v/>
      </c>
      <c r="D283" s="94"/>
      <c r="E283" s="95"/>
      <c r="F283" s="96"/>
      <c r="G283" s="164"/>
      <c r="H283" s="97" t="str">
        <f t="shared" si="4"/>
        <v/>
      </c>
    </row>
    <row r="284" spans="1:8" s="86" customFormat="1">
      <c r="A284" s="92"/>
      <c r="B284" s="92"/>
      <c r="C284" s="93" t="str">
        <f>IF(A284&lt;&gt;"",IFERROR(VLOOKUP(B284,DivisionCostCodeLookup!$F$2:$G$426,2,FALSE),INT(LEFT(A284,2))&amp;"0000"),"")</f>
        <v/>
      </c>
      <c r="D284" s="94"/>
      <c r="E284" s="95"/>
      <c r="F284" s="96"/>
      <c r="G284" s="164"/>
      <c r="H284" s="97" t="str">
        <f t="shared" si="4"/>
        <v/>
      </c>
    </row>
    <row r="285" spans="1:8" s="86" customFormat="1">
      <c r="A285" s="92"/>
      <c r="B285" s="92"/>
      <c r="C285" s="93" t="str">
        <f>IF(A285&lt;&gt;"",IFERROR(VLOOKUP(B285,DivisionCostCodeLookup!$F$2:$G$426,2,FALSE),INT(LEFT(A285,2))&amp;"0000"),"")</f>
        <v/>
      </c>
      <c r="D285" s="94"/>
      <c r="E285" s="95"/>
      <c r="F285" s="96"/>
      <c r="G285" s="164"/>
      <c r="H285" s="97" t="str">
        <f t="shared" si="4"/>
        <v/>
      </c>
    </row>
    <row r="286" spans="1:8" s="86" customFormat="1">
      <c r="A286" s="92"/>
      <c r="B286" s="92"/>
      <c r="C286" s="93" t="str">
        <f>IF(A286&lt;&gt;"",IFERROR(VLOOKUP(B286,DivisionCostCodeLookup!$F$2:$G$426,2,FALSE),INT(LEFT(A286,2))&amp;"0000"),"")</f>
        <v/>
      </c>
      <c r="D286" s="94"/>
      <c r="E286" s="95"/>
      <c r="F286" s="96"/>
      <c r="G286" s="164"/>
      <c r="H286" s="97" t="str">
        <f t="shared" si="4"/>
        <v/>
      </c>
    </row>
    <row r="287" spans="1:8" s="86" customFormat="1">
      <c r="A287" s="92"/>
      <c r="B287" s="92"/>
      <c r="C287" s="93" t="str">
        <f>IF(A287&lt;&gt;"",IFERROR(VLOOKUP(B287,DivisionCostCodeLookup!$F$2:$G$426,2,FALSE),INT(LEFT(A287,2))&amp;"0000"),"")</f>
        <v/>
      </c>
      <c r="D287" s="94"/>
      <c r="E287" s="95"/>
      <c r="F287" s="96"/>
      <c r="G287" s="164"/>
      <c r="H287" s="97" t="str">
        <f t="shared" si="4"/>
        <v/>
      </c>
    </row>
    <row r="288" spans="1:8" s="86" customFormat="1">
      <c r="A288" s="92"/>
      <c r="B288" s="92"/>
      <c r="C288" s="93" t="str">
        <f>IF(A288&lt;&gt;"",IFERROR(VLOOKUP(B288,DivisionCostCodeLookup!$F$2:$G$426,2,FALSE),INT(LEFT(A288,2))&amp;"0000"),"")</f>
        <v/>
      </c>
      <c r="D288" s="94"/>
      <c r="E288" s="95"/>
      <c r="F288" s="96"/>
      <c r="G288" s="164"/>
      <c r="H288" s="97" t="str">
        <f t="shared" si="4"/>
        <v/>
      </c>
    </row>
    <row r="289" spans="1:8" s="86" customFormat="1">
      <c r="A289" s="92"/>
      <c r="B289" s="92"/>
      <c r="C289" s="93" t="str">
        <f>IF(A289&lt;&gt;"",IFERROR(VLOOKUP(B289,DivisionCostCodeLookup!$F$2:$G$426,2,FALSE),INT(LEFT(A289,2))&amp;"0000"),"")</f>
        <v/>
      </c>
      <c r="D289" s="94"/>
      <c r="E289" s="95"/>
      <c r="F289" s="96"/>
      <c r="G289" s="164"/>
      <c r="H289" s="97" t="str">
        <f t="shared" si="4"/>
        <v/>
      </c>
    </row>
    <row r="290" spans="1:8" s="86" customFormat="1">
      <c r="A290" s="92"/>
      <c r="B290" s="92"/>
      <c r="C290" s="93" t="str">
        <f>IF(A290&lt;&gt;"",IFERROR(VLOOKUP(B290,DivisionCostCodeLookup!$F$2:$G$426,2,FALSE),INT(LEFT(A290,2))&amp;"0000"),"")</f>
        <v/>
      </c>
      <c r="D290" s="94"/>
      <c r="E290" s="95"/>
      <c r="F290" s="96"/>
      <c r="G290" s="164"/>
      <c r="H290" s="97" t="str">
        <f t="shared" si="4"/>
        <v/>
      </c>
    </row>
    <row r="291" spans="1:8" s="86" customFormat="1">
      <c r="A291" s="92"/>
      <c r="B291" s="92"/>
      <c r="C291" s="93" t="str">
        <f>IF(A291&lt;&gt;"",IFERROR(VLOOKUP(B291,DivisionCostCodeLookup!$F$2:$G$426,2,FALSE),INT(LEFT(A291,2))&amp;"0000"),"")</f>
        <v/>
      </c>
      <c r="D291" s="94"/>
      <c r="E291" s="95"/>
      <c r="F291" s="96"/>
      <c r="G291" s="164"/>
      <c r="H291" s="97" t="str">
        <f t="shared" si="4"/>
        <v/>
      </c>
    </row>
    <row r="292" spans="1:8" s="86" customFormat="1">
      <c r="A292" s="92"/>
      <c r="B292" s="92"/>
      <c r="C292" s="93" t="str">
        <f>IF(A292&lt;&gt;"",IFERROR(VLOOKUP(B292,DivisionCostCodeLookup!$F$2:$G$426,2,FALSE),INT(LEFT(A292,2))&amp;"0000"),"")</f>
        <v/>
      </c>
      <c r="D292" s="94"/>
      <c r="E292" s="95"/>
      <c r="F292" s="96"/>
      <c r="G292" s="164"/>
      <c r="H292" s="97" t="str">
        <f t="shared" si="4"/>
        <v/>
      </c>
    </row>
    <row r="293" spans="1:8" s="86" customFormat="1">
      <c r="A293" s="92"/>
      <c r="B293" s="92"/>
      <c r="C293" s="93" t="str">
        <f>IF(A293&lt;&gt;"",IFERROR(VLOOKUP(B293,DivisionCostCodeLookup!$F$2:$G$426,2,FALSE),INT(LEFT(A293,2))&amp;"0000"),"")</f>
        <v/>
      </c>
      <c r="D293" s="94"/>
      <c r="E293" s="95"/>
      <c r="F293" s="96"/>
      <c r="G293" s="164"/>
      <c r="H293" s="97" t="str">
        <f t="shared" si="4"/>
        <v/>
      </c>
    </row>
    <row r="294" spans="1:8" s="86" customFormat="1">
      <c r="A294" s="92"/>
      <c r="B294" s="92"/>
      <c r="C294" s="93" t="str">
        <f>IF(A294&lt;&gt;"",IFERROR(VLOOKUP(B294,DivisionCostCodeLookup!$F$2:$G$426,2,FALSE),INT(LEFT(A294,2))&amp;"0000"),"")</f>
        <v/>
      </c>
      <c r="D294" s="94"/>
      <c r="E294" s="95"/>
      <c r="F294" s="96"/>
      <c r="G294" s="164"/>
      <c r="H294" s="97" t="str">
        <f t="shared" si="4"/>
        <v/>
      </c>
    </row>
    <row r="295" spans="1:8" s="86" customFormat="1">
      <c r="A295" s="92"/>
      <c r="B295" s="92"/>
      <c r="C295" s="93" t="str">
        <f>IF(A295&lt;&gt;"",IFERROR(VLOOKUP(B295,DivisionCostCodeLookup!$F$2:$G$426,2,FALSE),INT(LEFT(A295,2))&amp;"0000"),"")</f>
        <v/>
      </c>
      <c r="D295" s="94"/>
      <c r="E295" s="95"/>
      <c r="F295" s="96"/>
      <c r="G295" s="164"/>
      <c r="H295" s="97" t="str">
        <f t="shared" si="4"/>
        <v/>
      </c>
    </row>
    <row r="296" spans="1:8" s="86" customFormat="1">
      <c r="A296" s="92"/>
      <c r="B296" s="92"/>
      <c r="C296" s="93" t="str">
        <f>IF(A296&lt;&gt;"",IFERROR(VLOOKUP(B296,DivisionCostCodeLookup!$F$2:$G$426,2,FALSE),INT(LEFT(A296,2))&amp;"0000"),"")</f>
        <v/>
      </c>
      <c r="D296" s="94"/>
      <c r="E296" s="95"/>
      <c r="F296" s="96"/>
      <c r="G296" s="164"/>
      <c r="H296" s="97" t="str">
        <f t="shared" si="4"/>
        <v/>
      </c>
    </row>
    <row r="297" spans="1:8" s="86" customFormat="1">
      <c r="A297" s="92"/>
      <c r="B297" s="92"/>
      <c r="C297" s="93" t="str">
        <f>IF(A297&lt;&gt;"",IFERROR(VLOOKUP(B297,DivisionCostCodeLookup!$F$2:$G$426,2,FALSE),INT(LEFT(A297,2))&amp;"0000"),"")</f>
        <v/>
      </c>
      <c r="D297" s="94"/>
      <c r="E297" s="95"/>
      <c r="F297" s="96"/>
      <c r="G297" s="164"/>
      <c r="H297" s="97" t="str">
        <f t="shared" si="4"/>
        <v/>
      </c>
    </row>
    <row r="298" spans="1:8" s="86" customFormat="1">
      <c r="A298" s="92"/>
      <c r="B298" s="92"/>
      <c r="C298" s="93" t="str">
        <f>IF(A298&lt;&gt;"",IFERROR(VLOOKUP(B298,DivisionCostCodeLookup!$F$2:$G$426,2,FALSE),INT(LEFT(A298,2))&amp;"0000"),"")</f>
        <v/>
      </c>
      <c r="D298" s="94"/>
      <c r="E298" s="95"/>
      <c r="F298" s="96"/>
      <c r="G298" s="164"/>
      <c r="H298" s="97" t="str">
        <f t="shared" si="4"/>
        <v/>
      </c>
    </row>
    <row r="299" spans="1:8" s="86" customFormat="1">
      <c r="A299" s="92"/>
      <c r="B299" s="92"/>
      <c r="C299" s="93" t="str">
        <f>IF(A299&lt;&gt;"",IFERROR(VLOOKUP(B299,DivisionCostCodeLookup!$F$2:$G$426,2,FALSE),INT(LEFT(A299,2))&amp;"0000"),"")</f>
        <v/>
      </c>
      <c r="D299" s="94"/>
      <c r="E299" s="95"/>
      <c r="F299" s="96"/>
      <c r="G299" s="164"/>
      <c r="H299" s="97" t="str">
        <f t="shared" si="4"/>
        <v/>
      </c>
    </row>
    <row r="300" spans="1:8" s="86" customFormat="1">
      <c r="A300" s="92"/>
      <c r="B300" s="92"/>
      <c r="C300" s="93" t="str">
        <f>IF(A300&lt;&gt;"",IFERROR(VLOOKUP(B300,DivisionCostCodeLookup!$F$2:$G$426,2,FALSE),INT(LEFT(A300,2))&amp;"0000"),"")</f>
        <v/>
      </c>
      <c r="D300" s="94"/>
      <c r="E300" s="95"/>
      <c r="F300" s="96"/>
      <c r="G300" s="164"/>
      <c r="H300" s="97" t="str">
        <f t="shared" si="4"/>
        <v/>
      </c>
    </row>
    <row r="301" spans="1:8" s="86" customFormat="1">
      <c r="A301" s="92"/>
      <c r="B301" s="92"/>
      <c r="C301" s="93" t="str">
        <f>IF(A301&lt;&gt;"",IFERROR(VLOOKUP(B301,DivisionCostCodeLookup!$F$2:$G$426,2,FALSE),INT(LEFT(A301,2))&amp;"0000"),"")</f>
        <v/>
      </c>
      <c r="D301" s="94"/>
      <c r="E301" s="95"/>
      <c r="F301" s="96"/>
      <c r="G301" s="164"/>
      <c r="H301" s="97" t="str">
        <f t="shared" si="4"/>
        <v/>
      </c>
    </row>
    <row r="302" spans="1:8" s="86" customFormat="1">
      <c r="A302" s="92"/>
      <c r="B302" s="92"/>
      <c r="C302" s="93" t="str">
        <f>IF(A302&lt;&gt;"",IFERROR(VLOOKUP(B302,DivisionCostCodeLookup!$F$2:$G$426,2,FALSE),INT(LEFT(A302,2))&amp;"0000"),"")</f>
        <v/>
      </c>
      <c r="D302" s="94"/>
      <c r="E302" s="95"/>
      <c r="F302" s="96"/>
      <c r="G302" s="164"/>
      <c r="H302" s="97" t="str">
        <f t="shared" si="4"/>
        <v/>
      </c>
    </row>
    <row r="303" spans="1:8" s="86" customFormat="1">
      <c r="A303" s="92"/>
      <c r="B303" s="92"/>
      <c r="C303" s="93" t="str">
        <f>IF(A303&lt;&gt;"",IFERROR(VLOOKUP(B303,DivisionCostCodeLookup!$F$2:$G$426,2,FALSE),INT(LEFT(A303,2))&amp;"0000"),"")</f>
        <v/>
      </c>
      <c r="D303" s="94"/>
      <c r="E303" s="95"/>
      <c r="F303" s="96"/>
      <c r="G303" s="164"/>
      <c r="H303" s="97" t="str">
        <f t="shared" si="4"/>
        <v/>
      </c>
    </row>
    <row r="304" spans="1:8" s="86" customFormat="1">
      <c r="A304" s="92"/>
      <c r="B304" s="92"/>
      <c r="C304" s="93" t="str">
        <f>IF(A304&lt;&gt;"",IFERROR(VLOOKUP(B304,DivisionCostCodeLookup!$F$2:$G$426,2,FALSE),INT(LEFT(A304,2))&amp;"0000"),"")</f>
        <v/>
      </c>
      <c r="D304" s="94"/>
      <c r="E304" s="95"/>
      <c r="F304" s="96"/>
      <c r="G304" s="164"/>
      <c r="H304" s="97" t="str">
        <f t="shared" si="4"/>
        <v/>
      </c>
    </row>
    <row r="305" spans="1:8" s="86" customFormat="1">
      <c r="A305" s="92"/>
      <c r="B305" s="92"/>
      <c r="C305" s="93" t="str">
        <f>IF(A305&lt;&gt;"",IFERROR(VLOOKUP(B305,DivisionCostCodeLookup!$F$2:$G$426,2,FALSE),INT(LEFT(A305,2))&amp;"0000"),"")</f>
        <v/>
      </c>
      <c r="D305" s="94"/>
      <c r="E305" s="95"/>
      <c r="F305" s="96"/>
      <c r="G305" s="164"/>
      <c r="H305" s="97" t="str">
        <f t="shared" si="4"/>
        <v/>
      </c>
    </row>
    <row r="306" spans="1:8" s="86" customFormat="1">
      <c r="A306" s="92"/>
      <c r="B306" s="92"/>
      <c r="C306" s="93" t="str">
        <f>IF(A306&lt;&gt;"",IFERROR(VLOOKUP(B306,DivisionCostCodeLookup!$F$2:$G$426,2,FALSE),INT(LEFT(A306,2))&amp;"0000"),"")</f>
        <v/>
      </c>
      <c r="D306" s="94"/>
      <c r="E306" s="95"/>
      <c r="F306" s="96"/>
      <c r="G306" s="164"/>
      <c r="H306" s="97" t="str">
        <f t="shared" si="4"/>
        <v/>
      </c>
    </row>
    <row r="307" spans="1:8" s="86" customFormat="1">
      <c r="A307" s="92"/>
      <c r="B307" s="92"/>
      <c r="C307" s="93" t="str">
        <f>IF(A307&lt;&gt;"",IFERROR(VLOOKUP(B307,DivisionCostCodeLookup!$F$2:$G$426,2,FALSE),INT(LEFT(A307,2))&amp;"0000"),"")</f>
        <v/>
      </c>
      <c r="D307" s="94"/>
      <c r="E307" s="95"/>
      <c r="F307" s="96"/>
      <c r="G307" s="164"/>
      <c r="H307" s="97" t="str">
        <f t="shared" si="4"/>
        <v/>
      </c>
    </row>
    <row r="308" spans="1:8" s="86" customFormat="1">
      <c r="A308" s="92"/>
      <c r="B308" s="92"/>
      <c r="C308" s="93" t="str">
        <f>IF(A308&lt;&gt;"",IFERROR(VLOOKUP(B308,DivisionCostCodeLookup!$F$2:$G$426,2,FALSE),INT(LEFT(A308,2))&amp;"0000"),"")</f>
        <v/>
      </c>
      <c r="D308" s="94"/>
      <c r="E308" s="95"/>
      <c r="F308" s="96"/>
      <c r="G308" s="164"/>
      <c r="H308" s="97" t="str">
        <f t="shared" si="4"/>
        <v/>
      </c>
    </row>
    <row r="309" spans="1:8" s="86" customFormat="1">
      <c r="A309" s="92"/>
      <c r="B309" s="92"/>
      <c r="C309" s="93" t="str">
        <f>IF(A309&lt;&gt;"",IFERROR(VLOOKUP(B309,DivisionCostCodeLookup!$F$2:$G$426,2,FALSE),INT(LEFT(A309,2))&amp;"0000"),"")</f>
        <v/>
      </c>
      <c r="D309" s="94"/>
      <c r="E309" s="95"/>
      <c r="F309" s="96"/>
      <c r="G309" s="164"/>
      <c r="H309" s="97" t="str">
        <f t="shared" si="4"/>
        <v/>
      </c>
    </row>
    <row r="310" spans="1:8" s="86" customFormat="1">
      <c r="A310" s="92"/>
      <c r="B310" s="92"/>
      <c r="C310" s="93" t="str">
        <f>IF(A310&lt;&gt;"",IFERROR(VLOOKUP(B310,DivisionCostCodeLookup!$F$2:$G$426,2,FALSE),INT(LEFT(A310,2))&amp;"0000"),"")</f>
        <v/>
      </c>
      <c r="D310" s="94"/>
      <c r="E310" s="95"/>
      <c r="F310" s="96"/>
      <c r="G310" s="164"/>
      <c r="H310" s="97" t="str">
        <f t="shared" si="4"/>
        <v/>
      </c>
    </row>
    <row r="311" spans="1:8" s="86" customFormat="1">
      <c r="A311" s="92"/>
      <c r="B311" s="92"/>
      <c r="C311" s="93" t="str">
        <f>IF(A311&lt;&gt;"",IFERROR(VLOOKUP(B311,DivisionCostCodeLookup!$F$2:$G$426,2,FALSE),INT(LEFT(A311,2))&amp;"0000"),"")</f>
        <v/>
      </c>
      <c r="D311" s="94"/>
      <c r="E311" s="95"/>
      <c r="F311" s="96"/>
      <c r="G311" s="164"/>
      <c r="H311" s="97" t="str">
        <f t="shared" si="4"/>
        <v/>
      </c>
    </row>
    <row r="312" spans="1:8" s="86" customFormat="1">
      <c r="A312" s="92"/>
      <c r="B312" s="92"/>
      <c r="C312" s="93" t="str">
        <f>IF(A312&lt;&gt;"",IFERROR(VLOOKUP(B312,DivisionCostCodeLookup!$F$2:$G$426,2,FALSE),INT(LEFT(A312,2))&amp;"0000"),"")</f>
        <v/>
      </c>
      <c r="D312" s="94"/>
      <c r="E312" s="95"/>
      <c r="F312" s="96"/>
      <c r="G312" s="164"/>
      <c r="H312" s="97" t="str">
        <f t="shared" si="4"/>
        <v/>
      </c>
    </row>
    <row r="313" spans="1:8" s="86" customFormat="1">
      <c r="A313" s="92"/>
      <c r="B313" s="92"/>
      <c r="C313" s="93" t="str">
        <f>IF(A313&lt;&gt;"",IFERROR(VLOOKUP(B313,DivisionCostCodeLookup!$F$2:$G$426,2,FALSE),INT(LEFT(A313,2))&amp;"0000"),"")</f>
        <v/>
      </c>
      <c r="D313" s="94"/>
      <c r="E313" s="95"/>
      <c r="F313" s="96"/>
      <c r="G313" s="164"/>
      <c r="H313" s="97" t="str">
        <f t="shared" si="4"/>
        <v/>
      </c>
    </row>
    <row r="314" spans="1:8" s="86" customFormat="1">
      <c r="A314" s="92"/>
      <c r="B314" s="92"/>
      <c r="C314" s="93" t="str">
        <f>IF(A314&lt;&gt;"",IFERROR(VLOOKUP(B314,DivisionCostCodeLookup!$F$2:$G$426,2,FALSE),INT(LEFT(A314,2))&amp;"0000"),"")</f>
        <v/>
      </c>
      <c r="D314" s="94"/>
      <c r="E314" s="95"/>
      <c r="F314" s="96"/>
      <c r="G314" s="164"/>
      <c r="H314" s="97" t="str">
        <f t="shared" si="4"/>
        <v/>
      </c>
    </row>
    <row r="315" spans="1:8" s="86" customFormat="1">
      <c r="A315" s="92"/>
      <c r="B315" s="92"/>
      <c r="C315" s="93" t="str">
        <f>IF(A315&lt;&gt;"",IFERROR(VLOOKUP(B315,DivisionCostCodeLookup!$F$2:$G$426,2,FALSE),INT(LEFT(A315,2))&amp;"0000"),"")</f>
        <v/>
      </c>
      <c r="D315" s="94"/>
      <c r="E315" s="95"/>
      <c r="F315" s="96"/>
      <c r="G315" s="164"/>
      <c r="H315" s="97" t="str">
        <f t="shared" si="4"/>
        <v/>
      </c>
    </row>
    <row r="316" spans="1:8" s="86" customFormat="1">
      <c r="A316" s="92"/>
      <c r="B316" s="92"/>
      <c r="C316" s="93" t="str">
        <f>IF(A316&lt;&gt;"",IFERROR(VLOOKUP(B316,DivisionCostCodeLookup!$F$2:$G$426,2,FALSE),INT(LEFT(A316,2))&amp;"0000"),"")</f>
        <v/>
      </c>
      <c r="D316" s="94"/>
      <c r="E316" s="95"/>
      <c r="F316" s="96"/>
      <c r="G316" s="164"/>
      <c r="H316" s="97" t="str">
        <f t="shared" si="4"/>
        <v/>
      </c>
    </row>
    <row r="317" spans="1:8" s="86" customFormat="1">
      <c r="A317" s="92"/>
      <c r="B317" s="92"/>
      <c r="C317" s="93" t="str">
        <f>IF(A317&lt;&gt;"",IFERROR(VLOOKUP(B317,DivisionCostCodeLookup!$F$2:$G$426,2,FALSE),INT(LEFT(A317,2))&amp;"0000"),"")</f>
        <v/>
      </c>
      <c r="D317" s="94"/>
      <c r="E317" s="95"/>
      <c r="F317" s="96"/>
      <c r="G317" s="164"/>
      <c r="H317" s="97" t="str">
        <f t="shared" si="4"/>
        <v/>
      </c>
    </row>
    <row r="318" spans="1:8" s="86" customFormat="1">
      <c r="A318" s="92"/>
      <c r="B318" s="92"/>
      <c r="C318" s="93" t="str">
        <f>IF(A318&lt;&gt;"",IFERROR(VLOOKUP(B318,DivisionCostCodeLookup!$F$2:$G$426,2,FALSE),INT(LEFT(A318,2))&amp;"0000"),"")</f>
        <v/>
      </c>
      <c r="D318" s="94"/>
      <c r="E318" s="95"/>
      <c r="F318" s="96"/>
      <c r="G318" s="164"/>
      <c r="H318" s="97" t="str">
        <f t="shared" si="4"/>
        <v/>
      </c>
    </row>
    <row r="319" spans="1:8" s="86" customFormat="1">
      <c r="A319" s="92"/>
      <c r="B319" s="92"/>
      <c r="C319" s="93" t="str">
        <f>IF(A319&lt;&gt;"",IFERROR(VLOOKUP(B319,DivisionCostCodeLookup!$F$2:$G$426,2,FALSE),INT(LEFT(A319,2))&amp;"0000"),"")</f>
        <v/>
      </c>
      <c r="D319" s="94"/>
      <c r="E319" s="95"/>
      <c r="F319" s="96"/>
      <c r="G319" s="164"/>
      <c r="H319" s="97" t="str">
        <f t="shared" si="4"/>
        <v/>
      </c>
    </row>
    <row r="320" spans="1:8" s="86" customFormat="1">
      <c r="A320" s="92"/>
      <c r="B320" s="92"/>
      <c r="C320" s="93" t="str">
        <f>IF(A320&lt;&gt;"",IFERROR(VLOOKUP(B320,DivisionCostCodeLookup!$F$2:$G$426,2,FALSE),INT(LEFT(A320,2))&amp;"0000"),"")</f>
        <v/>
      </c>
      <c r="D320" s="94"/>
      <c r="E320" s="95"/>
      <c r="F320" s="96"/>
      <c r="G320" s="164"/>
      <c r="H320" s="97" t="str">
        <f t="shared" si="4"/>
        <v/>
      </c>
    </row>
    <row r="321" spans="1:8" s="86" customFormat="1">
      <c r="A321" s="92"/>
      <c r="B321" s="92"/>
      <c r="C321" s="93" t="str">
        <f>IF(A321&lt;&gt;"",IFERROR(VLOOKUP(B321,DivisionCostCodeLookup!$F$2:$G$426,2,FALSE),INT(LEFT(A321,2))&amp;"0000"),"")</f>
        <v/>
      </c>
      <c r="D321" s="94"/>
      <c r="E321" s="95"/>
      <c r="F321" s="96"/>
      <c r="G321" s="164"/>
      <c r="H321" s="97" t="str">
        <f t="shared" si="4"/>
        <v/>
      </c>
    </row>
    <row r="322" spans="1:8" s="86" customFormat="1">
      <c r="A322" s="92"/>
      <c r="B322" s="92"/>
      <c r="C322" s="93" t="str">
        <f>IF(A322&lt;&gt;"",IFERROR(VLOOKUP(B322,DivisionCostCodeLookup!$F$2:$G$426,2,FALSE),INT(LEFT(A322,2))&amp;"0000"),"")</f>
        <v/>
      </c>
      <c r="D322" s="94"/>
      <c r="E322" s="95"/>
      <c r="F322" s="96"/>
      <c r="G322" s="164"/>
      <c r="H322" s="97" t="str">
        <f t="shared" si="4"/>
        <v/>
      </c>
    </row>
    <row r="323" spans="1:8" s="86" customFormat="1">
      <c r="A323" s="92"/>
      <c r="B323" s="92"/>
      <c r="C323" s="93" t="str">
        <f>IF(A323&lt;&gt;"",IFERROR(VLOOKUP(B323,DivisionCostCodeLookup!$F$2:$G$426,2,FALSE),INT(LEFT(A323,2))&amp;"0000"),"")</f>
        <v/>
      </c>
      <c r="D323" s="94"/>
      <c r="E323" s="95"/>
      <c r="F323" s="96"/>
      <c r="G323" s="164"/>
      <c r="H323" s="97" t="str">
        <f t="shared" si="4"/>
        <v/>
      </c>
    </row>
    <row r="324" spans="1:8" s="86" customFormat="1">
      <c r="A324" s="92"/>
      <c r="B324" s="92"/>
      <c r="C324" s="93" t="str">
        <f>IF(A324&lt;&gt;"",IFERROR(VLOOKUP(B324,DivisionCostCodeLookup!$F$2:$G$426,2,FALSE),INT(LEFT(A324,2))&amp;"0000"),"")</f>
        <v/>
      </c>
      <c r="D324" s="94"/>
      <c r="E324" s="95"/>
      <c r="F324" s="96"/>
      <c r="G324" s="164"/>
      <c r="H324" s="97" t="str">
        <f t="shared" si="4"/>
        <v/>
      </c>
    </row>
    <row r="325" spans="1:8" s="86" customFormat="1">
      <c r="A325" s="92"/>
      <c r="B325" s="92"/>
      <c r="C325" s="93" t="str">
        <f>IF(A325&lt;&gt;"",IFERROR(VLOOKUP(B325,DivisionCostCodeLookup!$F$2:$G$426,2,FALSE),INT(LEFT(A325,2))&amp;"0000"),"")</f>
        <v/>
      </c>
      <c r="D325" s="94"/>
      <c r="E325" s="95"/>
      <c r="F325" s="96"/>
      <c r="G325" s="164"/>
      <c r="H325" s="97" t="str">
        <f t="shared" si="4"/>
        <v/>
      </c>
    </row>
    <row r="326" spans="1:8" s="86" customFormat="1">
      <c r="A326" s="92"/>
      <c r="B326" s="92"/>
      <c r="C326" s="93" t="str">
        <f>IF(A326&lt;&gt;"",IFERROR(VLOOKUP(B326,DivisionCostCodeLookup!$F$2:$G$426,2,FALSE),INT(LEFT(A326,2))&amp;"0000"),"")</f>
        <v/>
      </c>
      <c r="D326" s="94"/>
      <c r="E326" s="95"/>
      <c r="F326" s="96"/>
      <c r="G326" s="164"/>
      <c r="H326" s="97" t="str">
        <f t="shared" si="4"/>
        <v/>
      </c>
    </row>
    <row r="327" spans="1:8" s="86" customFormat="1">
      <c r="A327" s="92"/>
      <c r="B327" s="92"/>
      <c r="C327" s="93" t="str">
        <f>IF(A327&lt;&gt;"",IFERROR(VLOOKUP(B327,DivisionCostCodeLookup!$F$2:$G$426,2,FALSE),INT(LEFT(A327,2))&amp;"0000"),"")</f>
        <v/>
      </c>
      <c r="D327" s="94"/>
      <c r="E327" s="95"/>
      <c r="F327" s="96"/>
      <c r="G327" s="164"/>
      <c r="H327" s="97" t="str">
        <f t="shared" si="4"/>
        <v/>
      </c>
    </row>
    <row r="328" spans="1:8" s="86" customFormat="1">
      <c r="A328" s="92"/>
      <c r="B328" s="92"/>
      <c r="C328" s="93" t="str">
        <f>IF(A328&lt;&gt;"",IFERROR(VLOOKUP(B328,DivisionCostCodeLookup!$F$2:$G$426,2,FALSE),INT(LEFT(A328,2))&amp;"0000"),"")</f>
        <v/>
      </c>
      <c r="D328" s="94"/>
      <c r="E328" s="95"/>
      <c r="F328" s="96"/>
      <c r="G328" s="164"/>
      <c r="H328" s="97" t="str">
        <f t="shared" ref="H328:H391" si="5">IF(E328*G328&lt;&gt;0,E328*G328,"")</f>
        <v/>
      </c>
    </row>
    <row r="329" spans="1:8" s="86" customFormat="1">
      <c r="A329" s="92"/>
      <c r="B329" s="92"/>
      <c r="C329" s="93" t="str">
        <f>IF(A329&lt;&gt;"",IFERROR(VLOOKUP(B329,DivisionCostCodeLookup!$F$2:$G$426,2,FALSE),INT(LEFT(A329,2))&amp;"0000"),"")</f>
        <v/>
      </c>
      <c r="D329" s="94"/>
      <c r="E329" s="95"/>
      <c r="F329" s="96"/>
      <c r="G329" s="164"/>
      <c r="H329" s="97" t="str">
        <f t="shared" si="5"/>
        <v/>
      </c>
    </row>
    <row r="330" spans="1:8" s="86" customFormat="1">
      <c r="A330" s="92"/>
      <c r="B330" s="92"/>
      <c r="C330" s="93" t="str">
        <f>IF(A330&lt;&gt;"",IFERROR(VLOOKUP(B330,DivisionCostCodeLookup!$F$2:$G$426,2,FALSE),INT(LEFT(A330,2))&amp;"0000"),"")</f>
        <v/>
      </c>
      <c r="D330" s="94"/>
      <c r="E330" s="95"/>
      <c r="F330" s="96"/>
      <c r="G330" s="164"/>
      <c r="H330" s="97" t="str">
        <f t="shared" si="5"/>
        <v/>
      </c>
    </row>
    <row r="331" spans="1:8" s="86" customFormat="1">
      <c r="A331" s="92"/>
      <c r="B331" s="92"/>
      <c r="C331" s="93" t="str">
        <f>IF(A331&lt;&gt;"",IFERROR(VLOOKUP(B331,DivisionCostCodeLookup!$F$2:$G$426,2,FALSE),INT(LEFT(A331,2))&amp;"0000"),"")</f>
        <v/>
      </c>
      <c r="D331" s="94"/>
      <c r="E331" s="95"/>
      <c r="F331" s="96"/>
      <c r="G331" s="164"/>
      <c r="H331" s="97" t="str">
        <f t="shared" si="5"/>
        <v/>
      </c>
    </row>
    <row r="332" spans="1:8" s="86" customFormat="1">
      <c r="A332" s="92"/>
      <c r="B332" s="92"/>
      <c r="C332" s="93" t="str">
        <f>IF(A332&lt;&gt;"",IFERROR(VLOOKUP(B332,DivisionCostCodeLookup!$F$2:$G$426,2,FALSE),INT(LEFT(A332,2))&amp;"0000"),"")</f>
        <v/>
      </c>
      <c r="D332" s="94"/>
      <c r="E332" s="95"/>
      <c r="F332" s="96"/>
      <c r="G332" s="164"/>
      <c r="H332" s="97" t="str">
        <f t="shared" si="5"/>
        <v/>
      </c>
    </row>
    <row r="333" spans="1:8" s="86" customFormat="1">
      <c r="A333" s="92"/>
      <c r="B333" s="92"/>
      <c r="C333" s="93" t="str">
        <f>IF(A333&lt;&gt;"",IFERROR(VLOOKUP(B333,DivisionCostCodeLookup!$F$2:$G$426,2,FALSE),INT(LEFT(A333,2))&amp;"0000"),"")</f>
        <v/>
      </c>
      <c r="D333" s="94"/>
      <c r="E333" s="95"/>
      <c r="F333" s="96"/>
      <c r="G333" s="164"/>
      <c r="H333" s="97" t="str">
        <f t="shared" si="5"/>
        <v/>
      </c>
    </row>
    <row r="334" spans="1:8" s="86" customFormat="1">
      <c r="A334" s="92"/>
      <c r="B334" s="92"/>
      <c r="C334" s="93" t="str">
        <f>IF(A334&lt;&gt;"",IFERROR(VLOOKUP(B334,DivisionCostCodeLookup!$F$2:$G$426,2,FALSE),INT(LEFT(A334,2))&amp;"0000"),"")</f>
        <v/>
      </c>
      <c r="D334" s="94"/>
      <c r="E334" s="95"/>
      <c r="F334" s="96"/>
      <c r="G334" s="164"/>
      <c r="H334" s="97" t="str">
        <f t="shared" si="5"/>
        <v/>
      </c>
    </row>
    <row r="335" spans="1:8" s="86" customFormat="1">
      <c r="A335" s="92"/>
      <c r="B335" s="92"/>
      <c r="C335" s="93" t="str">
        <f>IF(A335&lt;&gt;"",IFERROR(VLOOKUP(B335,DivisionCostCodeLookup!$F$2:$G$426,2,FALSE),INT(LEFT(A335,2))&amp;"0000"),"")</f>
        <v/>
      </c>
      <c r="D335" s="94"/>
      <c r="E335" s="95"/>
      <c r="F335" s="96"/>
      <c r="G335" s="164"/>
      <c r="H335" s="97" t="str">
        <f t="shared" si="5"/>
        <v/>
      </c>
    </row>
    <row r="336" spans="1:8" s="86" customFormat="1">
      <c r="A336" s="92"/>
      <c r="B336" s="92"/>
      <c r="C336" s="93" t="str">
        <f>IF(A336&lt;&gt;"",IFERROR(VLOOKUP(B336,DivisionCostCodeLookup!$F$2:$G$426,2,FALSE),INT(LEFT(A336,2))&amp;"0000"),"")</f>
        <v/>
      </c>
      <c r="D336" s="94"/>
      <c r="E336" s="95"/>
      <c r="F336" s="96"/>
      <c r="G336" s="164"/>
      <c r="H336" s="97" t="str">
        <f t="shared" si="5"/>
        <v/>
      </c>
    </row>
    <row r="337" spans="1:8" s="86" customFormat="1">
      <c r="A337" s="92"/>
      <c r="B337" s="92"/>
      <c r="C337" s="93" t="str">
        <f>IF(A337&lt;&gt;"",IFERROR(VLOOKUP(B337,DivisionCostCodeLookup!$F$2:$G$426,2,FALSE),INT(LEFT(A337,2))&amp;"0000"),"")</f>
        <v/>
      </c>
      <c r="D337" s="94"/>
      <c r="E337" s="95"/>
      <c r="F337" s="96"/>
      <c r="G337" s="164"/>
      <c r="H337" s="97" t="str">
        <f t="shared" si="5"/>
        <v/>
      </c>
    </row>
    <row r="338" spans="1:8" s="86" customFormat="1">
      <c r="A338" s="92"/>
      <c r="B338" s="92"/>
      <c r="C338" s="93" t="str">
        <f>IF(A338&lt;&gt;"",IFERROR(VLOOKUP(B338,DivisionCostCodeLookup!$F$2:$G$426,2,FALSE),INT(LEFT(A338,2))&amp;"0000"),"")</f>
        <v/>
      </c>
      <c r="D338" s="94"/>
      <c r="E338" s="95"/>
      <c r="F338" s="96"/>
      <c r="G338" s="164"/>
      <c r="H338" s="97" t="str">
        <f t="shared" si="5"/>
        <v/>
      </c>
    </row>
    <row r="339" spans="1:8" s="86" customFormat="1">
      <c r="A339" s="92"/>
      <c r="B339" s="92"/>
      <c r="C339" s="93" t="str">
        <f>IF(A339&lt;&gt;"",IFERROR(VLOOKUP(B339,DivisionCostCodeLookup!$F$2:$G$426,2,FALSE),INT(LEFT(A339,2))&amp;"0000"),"")</f>
        <v/>
      </c>
      <c r="D339" s="94"/>
      <c r="E339" s="95"/>
      <c r="F339" s="96"/>
      <c r="G339" s="164"/>
      <c r="H339" s="97" t="str">
        <f t="shared" si="5"/>
        <v/>
      </c>
    </row>
    <row r="340" spans="1:8" s="86" customFormat="1">
      <c r="A340" s="92"/>
      <c r="B340" s="92"/>
      <c r="C340" s="93" t="str">
        <f>IF(A340&lt;&gt;"",IFERROR(VLOOKUP(B340,DivisionCostCodeLookup!$F$2:$G$426,2,FALSE),INT(LEFT(A340,2))&amp;"0000"),"")</f>
        <v/>
      </c>
      <c r="D340" s="94"/>
      <c r="E340" s="95"/>
      <c r="F340" s="96"/>
      <c r="G340" s="164"/>
      <c r="H340" s="97" t="str">
        <f t="shared" si="5"/>
        <v/>
      </c>
    </row>
    <row r="341" spans="1:8" s="86" customFormat="1">
      <c r="A341" s="92"/>
      <c r="B341" s="92"/>
      <c r="C341" s="93" t="str">
        <f>IF(A341&lt;&gt;"",IFERROR(VLOOKUP(B341,DivisionCostCodeLookup!$F$2:$G$426,2,FALSE),INT(LEFT(A341,2))&amp;"0000"),"")</f>
        <v/>
      </c>
      <c r="D341" s="94"/>
      <c r="E341" s="95"/>
      <c r="F341" s="96"/>
      <c r="G341" s="164"/>
      <c r="H341" s="97" t="str">
        <f t="shared" si="5"/>
        <v/>
      </c>
    </row>
    <row r="342" spans="1:8" s="86" customFormat="1">
      <c r="A342" s="92"/>
      <c r="B342" s="92"/>
      <c r="C342" s="93" t="str">
        <f>IF(A342&lt;&gt;"",IFERROR(VLOOKUP(B342,DivisionCostCodeLookup!$F$2:$G$426,2,FALSE),INT(LEFT(A342,2))&amp;"0000"),"")</f>
        <v/>
      </c>
      <c r="D342" s="94"/>
      <c r="E342" s="95"/>
      <c r="F342" s="96"/>
      <c r="G342" s="164"/>
      <c r="H342" s="97" t="str">
        <f t="shared" si="5"/>
        <v/>
      </c>
    </row>
    <row r="343" spans="1:8" s="86" customFormat="1">
      <c r="A343" s="92"/>
      <c r="B343" s="92"/>
      <c r="C343" s="93" t="str">
        <f>IF(A343&lt;&gt;"",IFERROR(VLOOKUP(B343,DivisionCostCodeLookup!$F$2:$G$426,2,FALSE),INT(LEFT(A343,2))&amp;"0000"),"")</f>
        <v/>
      </c>
      <c r="D343" s="94"/>
      <c r="E343" s="95"/>
      <c r="F343" s="96"/>
      <c r="G343" s="164"/>
      <c r="H343" s="97" t="str">
        <f t="shared" si="5"/>
        <v/>
      </c>
    </row>
    <row r="344" spans="1:8" s="86" customFormat="1">
      <c r="A344" s="92"/>
      <c r="B344" s="92"/>
      <c r="C344" s="93" t="str">
        <f>IF(A344&lt;&gt;"",IFERROR(VLOOKUP(B344,DivisionCostCodeLookup!$F$2:$G$426,2,FALSE),INT(LEFT(A344,2))&amp;"0000"),"")</f>
        <v/>
      </c>
      <c r="D344" s="94"/>
      <c r="E344" s="95"/>
      <c r="F344" s="96"/>
      <c r="G344" s="164"/>
      <c r="H344" s="97" t="str">
        <f t="shared" si="5"/>
        <v/>
      </c>
    </row>
    <row r="345" spans="1:8" s="86" customFormat="1">
      <c r="A345" s="92"/>
      <c r="B345" s="92"/>
      <c r="C345" s="93" t="str">
        <f>IF(A345&lt;&gt;"",IFERROR(VLOOKUP(B345,DivisionCostCodeLookup!$F$2:$G$426,2,FALSE),INT(LEFT(A345,2))&amp;"0000"),"")</f>
        <v/>
      </c>
      <c r="D345" s="94"/>
      <c r="E345" s="95"/>
      <c r="F345" s="96"/>
      <c r="G345" s="164"/>
      <c r="H345" s="97" t="str">
        <f t="shared" si="5"/>
        <v/>
      </c>
    </row>
    <row r="346" spans="1:8" s="86" customFormat="1">
      <c r="A346" s="92"/>
      <c r="B346" s="92"/>
      <c r="C346" s="93" t="str">
        <f>IF(A346&lt;&gt;"",IFERROR(VLOOKUP(B346,DivisionCostCodeLookup!$F$2:$G$426,2,FALSE),INT(LEFT(A346,2))&amp;"0000"),"")</f>
        <v/>
      </c>
      <c r="D346" s="94"/>
      <c r="E346" s="95"/>
      <c r="F346" s="96"/>
      <c r="G346" s="164"/>
      <c r="H346" s="97" t="str">
        <f t="shared" si="5"/>
        <v/>
      </c>
    </row>
    <row r="347" spans="1:8" s="86" customFormat="1">
      <c r="A347" s="92"/>
      <c r="B347" s="92"/>
      <c r="C347" s="93" t="str">
        <f>IF(A347&lt;&gt;"",IFERROR(VLOOKUP(B347,DivisionCostCodeLookup!$F$2:$G$426,2,FALSE),INT(LEFT(A347,2))&amp;"0000"),"")</f>
        <v/>
      </c>
      <c r="D347" s="94"/>
      <c r="E347" s="95"/>
      <c r="F347" s="96"/>
      <c r="G347" s="164"/>
      <c r="H347" s="97" t="str">
        <f t="shared" si="5"/>
        <v/>
      </c>
    </row>
    <row r="348" spans="1:8" s="86" customFormat="1">
      <c r="A348" s="92"/>
      <c r="B348" s="92"/>
      <c r="C348" s="93" t="str">
        <f>IF(A348&lt;&gt;"",IFERROR(VLOOKUP(B348,DivisionCostCodeLookup!$F$2:$G$426,2,FALSE),INT(LEFT(A348,2))&amp;"0000"),"")</f>
        <v/>
      </c>
      <c r="D348" s="94"/>
      <c r="E348" s="95"/>
      <c r="F348" s="96"/>
      <c r="G348" s="164"/>
      <c r="H348" s="97" t="str">
        <f t="shared" si="5"/>
        <v/>
      </c>
    </row>
    <row r="349" spans="1:8" s="86" customFormat="1">
      <c r="A349" s="92"/>
      <c r="B349" s="92"/>
      <c r="C349" s="93" t="str">
        <f>IF(A349&lt;&gt;"",IFERROR(VLOOKUP(B349,DivisionCostCodeLookup!$F$2:$G$426,2,FALSE),INT(LEFT(A349,2))&amp;"0000"),"")</f>
        <v/>
      </c>
      <c r="D349" s="94"/>
      <c r="E349" s="95"/>
      <c r="F349" s="96"/>
      <c r="G349" s="164"/>
      <c r="H349" s="97" t="str">
        <f t="shared" si="5"/>
        <v/>
      </c>
    </row>
    <row r="350" spans="1:8" s="86" customFormat="1">
      <c r="A350" s="92"/>
      <c r="B350" s="92"/>
      <c r="C350" s="93" t="str">
        <f>IF(A350&lt;&gt;"",IFERROR(VLOOKUP(B350,DivisionCostCodeLookup!$F$2:$G$426,2,FALSE),INT(LEFT(A350,2))&amp;"0000"),"")</f>
        <v/>
      </c>
      <c r="D350" s="94"/>
      <c r="E350" s="95"/>
      <c r="F350" s="96"/>
      <c r="G350" s="164"/>
      <c r="H350" s="97" t="str">
        <f t="shared" si="5"/>
        <v/>
      </c>
    </row>
    <row r="351" spans="1:8" s="86" customFormat="1">
      <c r="A351" s="92"/>
      <c r="B351" s="92"/>
      <c r="C351" s="93" t="str">
        <f>IF(A351&lt;&gt;"",IFERROR(VLOOKUP(B351,DivisionCostCodeLookup!$F$2:$G$426,2,FALSE),INT(LEFT(A351,2))&amp;"0000"),"")</f>
        <v/>
      </c>
      <c r="D351" s="94"/>
      <c r="E351" s="95"/>
      <c r="F351" s="96"/>
      <c r="G351" s="164"/>
      <c r="H351" s="97" t="str">
        <f t="shared" si="5"/>
        <v/>
      </c>
    </row>
    <row r="352" spans="1:8" s="86" customFormat="1">
      <c r="A352" s="92"/>
      <c r="B352" s="92"/>
      <c r="C352" s="93" t="str">
        <f>IF(A352&lt;&gt;"",IFERROR(VLOOKUP(B352,DivisionCostCodeLookup!$F$2:$G$426,2,FALSE),INT(LEFT(A352,2))&amp;"0000"),"")</f>
        <v/>
      </c>
      <c r="D352" s="94"/>
      <c r="E352" s="95"/>
      <c r="F352" s="96"/>
      <c r="G352" s="164"/>
      <c r="H352" s="97" t="str">
        <f t="shared" si="5"/>
        <v/>
      </c>
    </row>
    <row r="353" spans="1:8" s="86" customFormat="1">
      <c r="A353" s="92"/>
      <c r="B353" s="92"/>
      <c r="C353" s="93" t="str">
        <f>IF(A353&lt;&gt;"",IFERROR(VLOOKUP(B353,DivisionCostCodeLookup!$F$2:$G$426,2,FALSE),INT(LEFT(A353,2))&amp;"0000"),"")</f>
        <v/>
      </c>
      <c r="D353" s="94"/>
      <c r="E353" s="95"/>
      <c r="F353" s="96"/>
      <c r="G353" s="164"/>
      <c r="H353" s="97" t="str">
        <f t="shared" si="5"/>
        <v/>
      </c>
    </row>
    <row r="354" spans="1:8" s="86" customFormat="1">
      <c r="A354" s="92"/>
      <c r="B354" s="92"/>
      <c r="C354" s="93" t="str">
        <f>IF(A354&lt;&gt;"",IFERROR(VLOOKUP(B354,DivisionCostCodeLookup!$F$2:$G$426,2,FALSE),INT(LEFT(A354,2))&amp;"0000"),"")</f>
        <v/>
      </c>
      <c r="D354" s="94"/>
      <c r="E354" s="95"/>
      <c r="F354" s="96"/>
      <c r="G354" s="164"/>
      <c r="H354" s="97" t="str">
        <f t="shared" si="5"/>
        <v/>
      </c>
    </row>
    <row r="355" spans="1:8" s="86" customFormat="1">
      <c r="A355" s="92"/>
      <c r="B355" s="92"/>
      <c r="C355" s="93" t="str">
        <f>IF(A355&lt;&gt;"",IFERROR(VLOOKUP(B355,DivisionCostCodeLookup!$F$2:$G$426,2,FALSE),INT(LEFT(A355,2))&amp;"0000"),"")</f>
        <v/>
      </c>
      <c r="D355" s="94"/>
      <c r="E355" s="95"/>
      <c r="F355" s="96"/>
      <c r="G355" s="164"/>
      <c r="H355" s="97" t="str">
        <f t="shared" si="5"/>
        <v/>
      </c>
    </row>
    <row r="356" spans="1:8" s="86" customFormat="1">
      <c r="A356" s="92"/>
      <c r="B356" s="92"/>
      <c r="C356" s="93" t="str">
        <f>IF(A356&lt;&gt;"",IFERROR(VLOOKUP(B356,DivisionCostCodeLookup!$F$2:$G$426,2,FALSE),INT(LEFT(A356,2))&amp;"0000"),"")</f>
        <v/>
      </c>
      <c r="D356" s="94"/>
      <c r="E356" s="95"/>
      <c r="F356" s="96"/>
      <c r="G356" s="164"/>
      <c r="H356" s="97" t="str">
        <f t="shared" si="5"/>
        <v/>
      </c>
    </row>
    <row r="357" spans="1:8" s="86" customFormat="1">
      <c r="A357" s="92"/>
      <c r="B357" s="92"/>
      <c r="C357" s="93" t="str">
        <f>IF(A357&lt;&gt;"",IFERROR(VLOOKUP(B357,DivisionCostCodeLookup!$F$2:$G$426,2,FALSE),INT(LEFT(A357,2))&amp;"0000"),"")</f>
        <v/>
      </c>
      <c r="D357" s="94"/>
      <c r="E357" s="95"/>
      <c r="F357" s="96"/>
      <c r="G357" s="164"/>
      <c r="H357" s="97" t="str">
        <f t="shared" si="5"/>
        <v/>
      </c>
    </row>
    <row r="358" spans="1:8" s="86" customFormat="1">
      <c r="A358" s="92"/>
      <c r="B358" s="92"/>
      <c r="C358" s="93" t="str">
        <f>IF(A358&lt;&gt;"",IFERROR(VLOOKUP(B358,DivisionCostCodeLookup!$F$2:$G$426,2,FALSE),INT(LEFT(A358,2))&amp;"0000"),"")</f>
        <v/>
      </c>
      <c r="D358" s="94"/>
      <c r="E358" s="95"/>
      <c r="F358" s="96"/>
      <c r="G358" s="164"/>
      <c r="H358" s="97" t="str">
        <f t="shared" si="5"/>
        <v/>
      </c>
    </row>
    <row r="359" spans="1:8" s="86" customFormat="1">
      <c r="A359" s="92"/>
      <c r="B359" s="92"/>
      <c r="C359" s="93" t="str">
        <f>IF(A359&lt;&gt;"",IFERROR(VLOOKUP(B359,DivisionCostCodeLookup!$F$2:$G$426,2,FALSE),INT(LEFT(A359,2))&amp;"0000"),"")</f>
        <v/>
      </c>
      <c r="D359" s="94"/>
      <c r="E359" s="95"/>
      <c r="F359" s="96"/>
      <c r="G359" s="164"/>
      <c r="H359" s="97" t="str">
        <f t="shared" si="5"/>
        <v/>
      </c>
    </row>
    <row r="360" spans="1:8" s="86" customFormat="1">
      <c r="A360" s="92"/>
      <c r="B360" s="92"/>
      <c r="C360" s="93" t="str">
        <f>IF(A360&lt;&gt;"",IFERROR(VLOOKUP(B360,DivisionCostCodeLookup!$F$2:$G$426,2,FALSE),INT(LEFT(A360,2))&amp;"0000"),"")</f>
        <v/>
      </c>
      <c r="D360" s="94"/>
      <c r="E360" s="95"/>
      <c r="F360" s="96"/>
      <c r="G360" s="164"/>
      <c r="H360" s="97" t="str">
        <f t="shared" si="5"/>
        <v/>
      </c>
    </row>
    <row r="361" spans="1:8" s="86" customFormat="1">
      <c r="A361" s="92"/>
      <c r="B361" s="92"/>
      <c r="C361" s="93" t="str">
        <f>IF(A361&lt;&gt;"",IFERROR(VLOOKUP(B361,DivisionCostCodeLookup!$F$2:$G$426,2,FALSE),INT(LEFT(A361,2))&amp;"0000"),"")</f>
        <v/>
      </c>
      <c r="D361" s="94"/>
      <c r="E361" s="95"/>
      <c r="F361" s="96"/>
      <c r="G361" s="164"/>
      <c r="H361" s="97" t="str">
        <f t="shared" si="5"/>
        <v/>
      </c>
    </row>
    <row r="362" spans="1:8" s="86" customFormat="1">
      <c r="A362" s="92"/>
      <c r="B362" s="92"/>
      <c r="C362" s="93" t="str">
        <f>IF(A362&lt;&gt;"",IFERROR(VLOOKUP(B362,DivisionCostCodeLookup!$F$2:$G$426,2,FALSE),INT(LEFT(A362,2))&amp;"0000"),"")</f>
        <v/>
      </c>
      <c r="D362" s="94"/>
      <c r="E362" s="95"/>
      <c r="F362" s="96"/>
      <c r="G362" s="164"/>
      <c r="H362" s="97" t="str">
        <f t="shared" si="5"/>
        <v/>
      </c>
    </row>
    <row r="363" spans="1:8" s="86" customFormat="1">
      <c r="A363" s="92"/>
      <c r="B363" s="92"/>
      <c r="C363" s="93" t="str">
        <f>IF(A363&lt;&gt;"",IFERROR(VLOOKUP(B363,DivisionCostCodeLookup!$F$2:$G$426,2,FALSE),INT(LEFT(A363,2))&amp;"0000"),"")</f>
        <v/>
      </c>
      <c r="D363" s="94"/>
      <c r="E363" s="95"/>
      <c r="F363" s="96"/>
      <c r="G363" s="164"/>
      <c r="H363" s="97" t="str">
        <f t="shared" si="5"/>
        <v/>
      </c>
    </row>
    <row r="364" spans="1:8" s="86" customFormat="1">
      <c r="A364" s="92"/>
      <c r="B364" s="92"/>
      <c r="C364" s="93" t="str">
        <f>IF(A364&lt;&gt;"",IFERROR(VLOOKUP(B364,DivisionCostCodeLookup!$F$2:$G$426,2,FALSE),INT(LEFT(A364,2))&amp;"0000"),"")</f>
        <v/>
      </c>
      <c r="D364" s="94"/>
      <c r="E364" s="95"/>
      <c r="F364" s="96"/>
      <c r="G364" s="164"/>
      <c r="H364" s="97" t="str">
        <f t="shared" si="5"/>
        <v/>
      </c>
    </row>
    <row r="365" spans="1:8" s="86" customFormat="1">
      <c r="A365" s="92"/>
      <c r="B365" s="92"/>
      <c r="C365" s="93" t="str">
        <f>IF(A365&lt;&gt;"",IFERROR(VLOOKUP(B365,DivisionCostCodeLookup!$F$2:$G$426,2,FALSE),INT(LEFT(A365,2))&amp;"0000"),"")</f>
        <v/>
      </c>
      <c r="D365" s="94"/>
      <c r="E365" s="95"/>
      <c r="F365" s="96"/>
      <c r="G365" s="164"/>
      <c r="H365" s="97" t="str">
        <f t="shared" si="5"/>
        <v/>
      </c>
    </row>
    <row r="366" spans="1:8" s="86" customFormat="1">
      <c r="A366" s="92"/>
      <c r="B366" s="92"/>
      <c r="C366" s="93" t="str">
        <f>IF(A366&lt;&gt;"",IFERROR(VLOOKUP(B366,DivisionCostCodeLookup!$F$2:$G$426,2,FALSE),INT(LEFT(A366,2))&amp;"0000"),"")</f>
        <v/>
      </c>
      <c r="D366" s="94"/>
      <c r="E366" s="95"/>
      <c r="F366" s="96"/>
      <c r="G366" s="164"/>
      <c r="H366" s="97" t="str">
        <f t="shared" si="5"/>
        <v/>
      </c>
    </row>
    <row r="367" spans="1:8" s="86" customFormat="1">
      <c r="A367" s="92"/>
      <c r="B367" s="92"/>
      <c r="C367" s="93" t="str">
        <f>IF(A367&lt;&gt;"",IFERROR(VLOOKUP(B367,DivisionCostCodeLookup!$F$2:$G$426,2,FALSE),INT(LEFT(A367,2))&amp;"0000"),"")</f>
        <v/>
      </c>
      <c r="D367" s="94"/>
      <c r="E367" s="95"/>
      <c r="F367" s="96"/>
      <c r="G367" s="164"/>
      <c r="H367" s="97" t="str">
        <f t="shared" si="5"/>
        <v/>
      </c>
    </row>
    <row r="368" spans="1:8" s="86" customFormat="1">
      <c r="A368" s="92"/>
      <c r="B368" s="92"/>
      <c r="C368" s="93" t="str">
        <f>IF(A368&lt;&gt;"",IFERROR(VLOOKUP(B368,DivisionCostCodeLookup!$F$2:$G$426,2,FALSE),INT(LEFT(A368,2))&amp;"0000"),"")</f>
        <v/>
      </c>
      <c r="D368" s="94"/>
      <c r="E368" s="95"/>
      <c r="F368" s="96"/>
      <c r="G368" s="164"/>
      <c r="H368" s="97" t="str">
        <f t="shared" si="5"/>
        <v/>
      </c>
    </row>
    <row r="369" spans="1:8" s="86" customFormat="1">
      <c r="A369" s="92"/>
      <c r="B369" s="92"/>
      <c r="C369" s="93" t="str">
        <f>IF(A369&lt;&gt;"",IFERROR(VLOOKUP(B369,DivisionCostCodeLookup!$F$2:$G$426,2,FALSE),INT(LEFT(A369,2))&amp;"0000"),"")</f>
        <v/>
      </c>
      <c r="D369" s="94"/>
      <c r="E369" s="95"/>
      <c r="F369" s="96"/>
      <c r="G369" s="164"/>
      <c r="H369" s="97" t="str">
        <f t="shared" si="5"/>
        <v/>
      </c>
    </row>
    <row r="370" spans="1:8" s="86" customFormat="1">
      <c r="A370" s="92"/>
      <c r="B370" s="92"/>
      <c r="C370" s="93" t="str">
        <f>IF(A370&lt;&gt;"",IFERROR(VLOOKUP(B370,DivisionCostCodeLookup!$F$2:$G$426,2,FALSE),INT(LEFT(A370,2))&amp;"0000"),"")</f>
        <v/>
      </c>
      <c r="D370" s="94"/>
      <c r="E370" s="95"/>
      <c r="F370" s="96"/>
      <c r="G370" s="164"/>
      <c r="H370" s="97" t="str">
        <f t="shared" si="5"/>
        <v/>
      </c>
    </row>
    <row r="371" spans="1:8" s="86" customFormat="1">
      <c r="A371" s="92"/>
      <c r="B371" s="92"/>
      <c r="C371" s="93" t="str">
        <f>IF(A371&lt;&gt;"",IFERROR(VLOOKUP(B371,DivisionCostCodeLookup!$F$2:$G$426,2,FALSE),INT(LEFT(A371,2))&amp;"0000"),"")</f>
        <v/>
      </c>
      <c r="D371" s="94"/>
      <c r="E371" s="95"/>
      <c r="F371" s="96"/>
      <c r="G371" s="164"/>
      <c r="H371" s="97" t="str">
        <f t="shared" si="5"/>
        <v/>
      </c>
    </row>
    <row r="372" spans="1:8" s="86" customFormat="1">
      <c r="A372" s="92"/>
      <c r="B372" s="92"/>
      <c r="C372" s="93" t="str">
        <f>IF(A372&lt;&gt;"",IFERROR(VLOOKUP(B372,DivisionCostCodeLookup!$F$2:$G$426,2,FALSE),INT(LEFT(A372,2))&amp;"0000"),"")</f>
        <v/>
      </c>
      <c r="D372" s="94"/>
      <c r="E372" s="95"/>
      <c r="F372" s="96"/>
      <c r="G372" s="164"/>
      <c r="H372" s="97" t="str">
        <f t="shared" si="5"/>
        <v/>
      </c>
    </row>
    <row r="373" spans="1:8" s="86" customFormat="1">
      <c r="A373" s="92"/>
      <c r="B373" s="92"/>
      <c r="C373" s="93" t="str">
        <f>IF(A373&lt;&gt;"",IFERROR(VLOOKUP(B373,DivisionCostCodeLookup!$F$2:$G$426,2,FALSE),INT(LEFT(A373,2))&amp;"0000"),"")</f>
        <v/>
      </c>
      <c r="D373" s="94"/>
      <c r="E373" s="95"/>
      <c r="F373" s="96"/>
      <c r="G373" s="164"/>
      <c r="H373" s="97" t="str">
        <f t="shared" si="5"/>
        <v/>
      </c>
    </row>
    <row r="374" spans="1:8" s="86" customFormat="1">
      <c r="A374" s="92"/>
      <c r="B374" s="92"/>
      <c r="C374" s="93" t="str">
        <f>IF(A374&lt;&gt;"",IFERROR(VLOOKUP(B374,DivisionCostCodeLookup!$F$2:$G$426,2,FALSE),INT(LEFT(A374,2))&amp;"0000"),"")</f>
        <v/>
      </c>
      <c r="D374" s="94"/>
      <c r="E374" s="95"/>
      <c r="F374" s="96"/>
      <c r="G374" s="164"/>
      <c r="H374" s="97" t="str">
        <f t="shared" si="5"/>
        <v/>
      </c>
    </row>
    <row r="375" spans="1:8" s="86" customFormat="1">
      <c r="A375" s="92"/>
      <c r="B375" s="92"/>
      <c r="C375" s="93" t="str">
        <f>IF(A375&lt;&gt;"",IFERROR(VLOOKUP(B375,DivisionCostCodeLookup!$F$2:$G$426,2,FALSE),INT(LEFT(A375,2))&amp;"0000"),"")</f>
        <v/>
      </c>
      <c r="D375" s="94"/>
      <c r="E375" s="95"/>
      <c r="F375" s="96"/>
      <c r="G375" s="164"/>
      <c r="H375" s="97" t="str">
        <f t="shared" si="5"/>
        <v/>
      </c>
    </row>
    <row r="376" spans="1:8" s="86" customFormat="1">
      <c r="A376" s="92"/>
      <c r="B376" s="92"/>
      <c r="C376" s="93" t="str">
        <f>IF(A376&lt;&gt;"",IFERROR(VLOOKUP(B376,DivisionCostCodeLookup!$F$2:$G$426,2,FALSE),INT(LEFT(A376,2))&amp;"0000"),"")</f>
        <v/>
      </c>
      <c r="D376" s="94"/>
      <c r="E376" s="95"/>
      <c r="F376" s="96"/>
      <c r="G376" s="164"/>
      <c r="H376" s="97" t="str">
        <f t="shared" si="5"/>
        <v/>
      </c>
    </row>
    <row r="377" spans="1:8" s="86" customFormat="1">
      <c r="A377" s="92"/>
      <c r="B377" s="92"/>
      <c r="C377" s="93" t="str">
        <f>IF(A377&lt;&gt;"",IFERROR(VLOOKUP(B377,DivisionCostCodeLookup!$F$2:$G$426,2,FALSE),INT(LEFT(A377,2))&amp;"0000"),"")</f>
        <v/>
      </c>
      <c r="D377" s="94"/>
      <c r="E377" s="95"/>
      <c r="F377" s="96"/>
      <c r="G377" s="164"/>
      <c r="H377" s="97" t="str">
        <f t="shared" si="5"/>
        <v/>
      </c>
    </row>
    <row r="378" spans="1:8" s="86" customFormat="1">
      <c r="A378" s="92"/>
      <c r="B378" s="92"/>
      <c r="C378" s="93" t="str">
        <f>IF(A378&lt;&gt;"",IFERROR(VLOOKUP(B378,DivisionCostCodeLookup!$F$2:$G$426,2,FALSE),INT(LEFT(A378,2))&amp;"0000"),"")</f>
        <v/>
      </c>
      <c r="D378" s="94"/>
      <c r="E378" s="95"/>
      <c r="F378" s="96"/>
      <c r="G378" s="164"/>
      <c r="H378" s="97" t="str">
        <f t="shared" si="5"/>
        <v/>
      </c>
    </row>
    <row r="379" spans="1:8" s="86" customFormat="1">
      <c r="A379" s="92"/>
      <c r="B379" s="92"/>
      <c r="C379" s="93" t="str">
        <f>IF(A379&lt;&gt;"",IFERROR(VLOOKUP(B379,DivisionCostCodeLookup!$F$2:$G$426,2,FALSE),INT(LEFT(A379,2))&amp;"0000"),"")</f>
        <v/>
      </c>
      <c r="D379" s="94"/>
      <c r="E379" s="95"/>
      <c r="F379" s="96"/>
      <c r="G379" s="164"/>
      <c r="H379" s="97" t="str">
        <f t="shared" si="5"/>
        <v/>
      </c>
    </row>
    <row r="380" spans="1:8" s="86" customFormat="1">
      <c r="A380" s="92"/>
      <c r="B380" s="92"/>
      <c r="C380" s="93" t="str">
        <f>IF(A380&lt;&gt;"",IFERROR(VLOOKUP(B380,DivisionCostCodeLookup!$F$2:$G$426,2,FALSE),INT(LEFT(A380,2))&amp;"0000"),"")</f>
        <v/>
      </c>
      <c r="D380" s="94"/>
      <c r="E380" s="95"/>
      <c r="F380" s="96"/>
      <c r="G380" s="164"/>
      <c r="H380" s="97" t="str">
        <f t="shared" si="5"/>
        <v/>
      </c>
    </row>
    <row r="381" spans="1:8" s="86" customFormat="1">
      <c r="A381" s="92"/>
      <c r="B381" s="92"/>
      <c r="C381" s="93" t="str">
        <f>IF(A381&lt;&gt;"",IFERROR(VLOOKUP(B381,DivisionCostCodeLookup!$F$2:$G$426,2,FALSE),INT(LEFT(A381,2))&amp;"0000"),"")</f>
        <v/>
      </c>
      <c r="D381" s="94"/>
      <c r="E381" s="95"/>
      <c r="F381" s="96"/>
      <c r="G381" s="164"/>
      <c r="H381" s="97" t="str">
        <f t="shared" si="5"/>
        <v/>
      </c>
    </row>
    <row r="382" spans="1:8" s="86" customFormat="1">
      <c r="A382" s="92"/>
      <c r="B382" s="92"/>
      <c r="C382" s="93" t="str">
        <f>IF(A382&lt;&gt;"",IFERROR(VLOOKUP(B382,DivisionCostCodeLookup!$F$2:$G$426,2,FALSE),INT(LEFT(A382,2))&amp;"0000"),"")</f>
        <v/>
      </c>
      <c r="D382" s="94"/>
      <c r="E382" s="95"/>
      <c r="F382" s="96"/>
      <c r="G382" s="164"/>
      <c r="H382" s="97" t="str">
        <f t="shared" si="5"/>
        <v/>
      </c>
    </row>
    <row r="383" spans="1:8" s="86" customFormat="1">
      <c r="A383" s="92"/>
      <c r="B383" s="92"/>
      <c r="C383" s="93" t="str">
        <f>IF(A383&lt;&gt;"",IFERROR(VLOOKUP(B383,DivisionCostCodeLookup!$F$2:$G$426,2,FALSE),INT(LEFT(A383,2))&amp;"0000"),"")</f>
        <v/>
      </c>
      <c r="D383" s="94"/>
      <c r="E383" s="95"/>
      <c r="F383" s="96"/>
      <c r="G383" s="164"/>
      <c r="H383" s="97" t="str">
        <f t="shared" si="5"/>
        <v/>
      </c>
    </row>
    <row r="384" spans="1:8" s="86" customFormat="1">
      <c r="A384" s="92"/>
      <c r="B384" s="92"/>
      <c r="C384" s="93" t="str">
        <f>IF(A384&lt;&gt;"",IFERROR(VLOOKUP(B384,DivisionCostCodeLookup!$F$2:$G$426,2,FALSE),INT(LEFT(A384,2))&amp;"0000"),"")</f>
        <v/>
      </c>
      <c r="D384" s="94"/>
      <c r="E384" s="95"/>
      <c r="F384" s="96"/>
      <c r="G384" s="164"/>
      <c r="H384" s="97" t="str">
        <f t="shared" si="5"/>
        <v/>
      </c>
    </row>
    <row r="385" spans="1:8" s="86" customFormat="1">
      <c r="A385" s="92"/>
      <c r="B385" s="92"/>
      <c r="C385" s="93" t="str">
        <f>IF(A385&lt;&gt;"",IFERROR(VLOOKUP(B385,DivisionCostCodeLookup!$F$2:$G$426,2,FALSE),INT(LEFT(A385,2))&amp;"0000"),"")</f>
        <v/>
      </c>
      <c r="D385" s="94"/>
      <c r="E385" s="95"/>
      <c r="F385" s="96"/>
      <c r="G385" s="164"/>
      <c r="H385" s="97" t="str">
        <f t="shared" si="5"/>
        <v/>
      </c>
    </row>
    <row r="386" spans="1:8" s="86" customFormat="1">
      <c r="A386" s="92"/>
      <c r="B386" s="92"/>
      <c r="C386" s="93" t="str">
        <f>IF(A386&lt;&gt;"",IFERROR(VLOOKUP(B386,DivisionCostCodeLookup!$F$2:$G$426,2,FALSE),INT(LEFT(A386,2))&amp;"0000"),"")</f>
        <v/>
      </c>
      <c r="D386" s="94"/>
      <c r="E386" s="95"/>
      <c r="F386" s="96"/>
      <c r="G386" s="164"/>
      <c r="H386" s="97" t="str">
        <f t="shared" si="5"/>
        <v/>
      </c>
    </row>
    <row r="387" spans="1:8" s="86" customFormat="1">
      <c r="A387" s="92"/>
      <c r="B387" s="92"/>
      <c r="C387" s="93" t="str">
        <f>IF(A387&lt;&gt;"",IFERROR(VLOOKUP(B387,DivisionCostCodeLookup!$F$2:$G$426,2,FALSE),INT(LEFT(A387,2))&amp;"0000"),"")</f>
        <v/>
      </c>
      <c r="D387" s="94"/>
      <c r="E387" s="95"/>
      <c r="F387" s="96"/>
      <c r="G387" s="164"/>
      <c r="H387" s="97" t="str">
        <f t="shared" si="5"/>
        <v/>
      </c>
    </row>
    <row r="388" spans="1:8" s="86" customFormat="1">
      <c r="A388" s="92"/>
      <c r="B388" s="92"/>
      <c r="C388" s="93" t="str">
        <f>IF(A388&lt;&gt;"",IFERROR(VLOOKUP(B388,DivisionCostCodeLookup!$F$2:$G$426,2,FALSE),INT(LEFT(A388,2))&amp;"0000"),"")</f>
        <v/>
      </c>
      <c r="D388" s="94"/>
      <c r="E388" s="95"/>
      <c r="F388" s="96"/>
      <c r="G388" s="164"/>
      <c r="H388" s="97" t="str">
        <f t="shared" si="5"/>
        <v/>
      </c>
    </row>
    <row r="389" spans="1:8" s="86" customFormat="1">
      <c r="A389" s="92"/>
      <c r="B389" s="92"/>
      <c r="C389" s="93" t="str">
        <f>IF(A389&lt;&gt;"",IFERROR(VLOOKUP(B389,DivisionCostCodeLookup!$F$2:$G$426,2,FALSE),INT(LEFT(A389,2))&amp;"0000"),"")</f>
        <v/>
      </c>
      <c r="D389" s="94"/>
      <c r="E389" s="95"/>
      <c r="F389" s="96"/>
      <c r="G389" s="164"/>
      <c r="H389" s="97" t="str">
        <f t="shared" si="5"/>
        <v/>
      </c>
    </row>
    <row r="390" spans="1:8" s="86" customFormat="1">
      <c r="A390" s="92"/>
      <c r="B390" s="92"/>
      <c r="C390" s="93" t="str">
        <f>IF(A390&lt;&gt;"",IFERROR(VLOOKUP(B390,DivisionCostCodeLookup!$F$2:$G$426,2,FALSE),INT(LEFT(A390,2))&amp;"0000"),"")</f>
        <v/>
      </c>
      <c r="D390" s="94"/>
      <c r="E390" s="95"/>
      <c r="F390" s="96"/>
      <c r="G390" s="164"/>
      <c r="H390" s="97" t="str">
        <f t="shared" si="5"/>
        <v/>
      </c>
    </row>
    <row r="391" spans="1:8" s="86" customFormat="1">
      <c r="A391" s="92"/>
      <c r="B391" s="92"/>
      <c r="C391" s="93" t="str">
        <f>IF(A391&lt;&gt;"",IFERROR(VLOOKUP(B391,DivisionCostCodeLookup!$F$2:$G$426,2,FALSE),INT(LEFT(A391,2))&amp;"0000"),"")</f>
        <v/>
      </c>
      <c r="D391" s="94"/>
      <c r="E391" s="95"/>
      <c r="F391" s="96"/>
      <c r="G391" s="164"/>
      <c r="H391" s="97" t="str">
        <f t="shared" si="5"/>
        <v/>
      </c>
    </row>
    <row r="392" spans="1:8" s="86" customFormat="1">
      <c r="A392" s="92"/>
      <c r="B392" s="92"/>
      <c r="C392" s="93" t="str">
        <f>IF(A392&lt;&gt;"",IFERROR(VLOOKUP(B392,DivisionCostCodeLookup!$F$2:$G$426,2,FALSE),INT(LEFT(A392,2))&amp;"0000"),"")</f>
        <v/>
      </c>
      <c r="D392" s="94"/>
      <c r="E392" s="95"/>
      <c r="F392" s="96"/>
      <c r="G392" s="164"/>
      <c r="H392" s="97" t="str">
        <f t="shared" ref="H392:H455" si="6">IF(E392*G392&lt;&gt;0,E392*G392,"")</f>
        <v/>
      </c>
    </row>
    <row r="393" spans="1:8" s="86" customFormat="1">
      <c r="A393" s="92"/>
      <c r="B393" s="92"/>
      <c r="C393" s="93" t="str">
        <f>IF(A393&lt;&gt;"",IFERROR(VLOOKUP(B393,DivisionCostCodeLookup!$F$2:$G$426,2,FALSE),INT(LEFT(A393,2))&amp;"0000"),"")</f>
        <v/>
      </c>
      <c r="D393" s="94"/>
      <c r="E393" s="95"/>
      <c r="F393" s="96"/>
      <c r="G393" s="164"/>
      <c r="H393" s="97" t="str">
        <f t="shared" si="6"/>
        <v/>
      </c>
    </row>
    <row r="394" spans="1:8" s="86" customFormat="1">
      <c r="A394" s="92"/>
      <c r="B394" s="92"/>
      <c r="C394" s="93" t="str">
        <f>IF(A394&lt;&gt;"",IFERROR(VLOOKUP(B394,DivisionCostCodeLookup!$F$2:$G$426,2,FALSE),INT(LEFT(A394,2))&amp;"0000"),"")</f>
        <v/>
      </c>
      <c r="D394" s="94"/>
      <c r="E394" s="95"/>
      <c r="F394" s="96"/>
      <c r="G394" s="164"/>
      <c r="H394" s="97" t="str">
        <f t="shared" si="6"/>
        <v/>
      </c>
    </row>
    <row r="395" spans="1:8" s="86" customFormat="1">
      <c r="A395" s="92"/>
      <c r="B395" s="92"/>
      <c r="C395" s="93" t="str">
        <f>IF(A395&lt;&gt;"",IFERROR(VLOOKUP(B395,DivisionCostCodeLookup!$F$2:$G$426,2,FALSE),INT(LEFT(A395,2))&amp;"0000"),"")</f>
        <v/>
      </c>
      <c r="D395" s="94"/>
      <c r="E395" s="95"/>
      <c r="F395" s="96"/>
      <c r="G395" s="164"/>
      <c r="H395" s="97" t="str">
        <f t="shared" si="6"/>
        <v/>
      </c>
    </row>
    <row r="396" spans="1:8" s="86" customFormat="1">
      <c r="A396" s="92"/>
      <c r="B396" s="92"/>
      <c r="C396" s="93" t="str">
        <f>IF(A396&lt;&gt;"",IFERROR(VLOOKUP(B396,DivisionCostCodeLookup!$F$2:$G$426,2,FALSE),INT(LEFT(A396,2))&amp;"0000"),"")</f>
        <v/>
      </c>
      <c r="D396" s="94"/>
      <c r="E396" s="95"/>
      <c r="F396" s="96"/>
      <c r="G396" s="164"/>
      <c r="H396" s="97" t="str">
        <f t="shared" si="6"/>
        <v/>
      </c>
    </row>
    <row r="397" spans="1:8" s="86" customFormat="1">
      <c r="A397" s="92"/>
      <c r="B397" s="92"/>
      <c r="C397" s="93" t="str">
        <f>IF(A397&lt;&gt;"",IFERROR(VLOOKUP(B397,DivisionCostCodeLookup!$F$2:$G$426,2,FALSE),INT(LEFT(A397,2))&amp;"0000"),"")</f>
        <v/>
      </c>
      <c r="D397" s="94"/>
      <c r="E397" s="95"/>
      <c r="F397" s="96"/>
      <c r="G397" s="164"/>
      <c r="H397" s="97" t="str">
        <f t="shared" si="6"/>
        <v/>
      </c>
    </row>
    <row r="398" spans="1:8" s="86" customFormat="1">
      <c r="A398" s="92"/>
      <c r="B398" s="92"/>
      <c r="C398" s="93" t="str">
        <f>IF(A398&lt;&gt;"",IFERROR(VLOOKUP(B398,DivisionCostCodeLookup!$F$2:$G$426,2,FALSE),INT(LEFT(A398,2))&amp;"0000"),"")</f>
        <v/>
      </c>
      <c r="D398" s="94"/>
      <c r="E398" s="95"/>
      <c r="F398" s="96"/>
      <c r="G398" s="164"/>
      <c r="H398" s="97" t="str">
        <f t="shared" si="6"/>
        <v/>
      </c>
    </row>
    <row r="399" spans="1:8" s="86" customFormat="1">
      <c r="A399" s="92"/>
      <c r="B399" s="92"/>
      <c r="C399" s="93" t="str">
        <f>IF(A399&lt;&gt;"",IFERROR(VLOOKUP(B399,DivisionCostCodeLookup!$F$2:$G$426,2,FALSE),INT(LEFT(A399,2))&amp;"0000"),"")</f>
        <v/>
      </c>
      <c r="D399" s="94"/>
      <c r="E399" s="95"/>
      <c r="F399" s="96"/>
      <c r="G399" s="164"/>
      <c r="H399" s="97" t="str">
        <f t="shared" si="6"/>
        <v/>
      </c>
    </row>
    <row r="400" spans="1:8" s="86" customFormat="1">
      <c r="A400" s="92"/>
      <c r="B400" s="92"/>
      <c r="C400" s="93" t="str">
        <f>IF(A400&lt;&gt;"",IFERROR(VLOOKUP(B400,DivisionCostCodeLookup!$F$2:$G$426,2,FALSE),INT(LEFT(A400,2))&amp;"0000"),"")</f>
        <v/>
      </c>
      <c r="D400" s="94"/>
      <c r="E400" s="95"/>
      <c r="F400" s="96"/>
      <c r="G400" s="164"/>
      <c r="H400" s="97" t="str">
        <f t="shared" si="6"/>
        <v/>
      </c>
    </row>
    <row r="401" spans="1:8" s="86" customFormat="1">
      <c r="A401" s="92"/>
      <c r="B401" s="92"/>
      <c r="C401" s="93" t="str">
        <f>IF(A401&lt;&gt;"",IFERROR(VLOOKUP(B401,DivisionCostCodeLookup!$F$2:$G$426,2,FALSE),INT(LEFT(A401,2))&amp;"0000"),"")</f>
        <v/>
      </c>
      <c r="D401" s="94"/>
      <c r="E401" s="95"/>
      <c r="F401" s="96"/>
      <c r="G401" s="164"/>
      <c r="H401" s="97" t="str">
        <f t="shared" si="6"/>
        <v/>
      </c>
    </row>
    <row r="402" spans="1:8" s="86" customFormat="1">
      <c r="A402" s="92"/>
      <c r="B402" s="92"/>
      <c r="C402" s="93" t="str">
        <f>IF(A402&lt;&gt;"",IFERROR(VLOOKUP(B402,DivisionCostCodeLookup!$F$2:$G$426,2,FALSE),INT(LEFT(A402,2))&amp;"0000"),"")</f>
        <v/>
      </c>
      <c r="D402" s="94"/>
      <c r="E402" s="95"/>
      <c r="F402" s="96"/>
      <c r="G402" s="164"/>
      <c r="H402" s="97" t="str">
        <f t="shared" si="6"/>
        <v/>
      </c>
    </row>
    <row r="403" spans="1:8" s="86" customFormat="1">
      <c r="A403" s="92"/>
      <c r="B403" s="92"/>
      <c r="C403" s="93" t="str">
        <f>IF(A403&lt;&gt;"",IFERROR(VLOOKUP(B403,DivisionCostCodeLookup!$F$2:$G$426,2,FALSE),INT(LEFT(A403,2))&amp;"0000"),"")</f>
        <v/>
      </c>
      <c r="D403" s="94"/>
      <c r="E403" s="95"/>
      <c r="F403" s="96"/>
      <c r="G403" s="164"/>
      <c r="H403" s="97" t="str">
        <f t="shared" si="6"/>
        <v/>
      </c>
    </row>
    <row r="404" spans="1:8" s="86" customFormat="1">
      <c r="A404" s="92"/>
      <c r="B404" s="92"/>
      <c r="C404" s="93" t="str">
        <f>IF(A404&lt;&gt;"",IFERROR(VLOOKUP(B404,DivisionCostCodeLookup!$F$2:$G$426,2,FALSE),INT(LEFT(A404,2))&amp;"0000"),"")</f>
        <v/>
      </c>
      <c r="D404" s="94"/>
      <c r="E404" s="95"/>
      <c r="F404" s="96"/>
      <c r="G404" s="164"/>
      <c r="H404" s="97" t="str">
        <f t="shared" si="6"/>
        <v/>
      </c>
    </row>
    <row r="405" spans="1:8" s="86" customFormat="1">
      <c r="A405" s="92"/>
      <c r="B405" s="92"/>
      <c r="C405" s="93" t="str">
        <f>IF(A405&lt;&gt;"",IFERROR(VLOOKUP(B405,DivisionCostCodeLookup!$F$2:$G$426,2,FALSE),INT(LEFT(A405,2))&amp;"0000"),"")</f>
        <v/>
      </c>
      <c r="D405" s="94"/>
      <c r="E405" s="95"/>
      <c r="F405" s="96"/>
      <c r="G405" s="164"/>
      <c r="H405" s="97" t="str">
        <f t="shared" si="6"/>
        <v/>
      </c>
    </row>
    <row r="406" spans="1:8" s="86" customFormat="1">
      <c r="A406" s="92"/>
      <c r="B406" s="92"/>
      <c r="C406" s="93" t="str">
        <f>IF(A406&lt;&gt;"",IFERROR(VLOOKUP(B406,DivisionCostCodeLookup!$F$2:$G$426,2,FALSE),INT(LEFT(A406,2))&amp;"0000"),"")</f>
        <v/>
      </c>
      <c r="D406" s="94"/>
      <c r="E406" s="95"/>
      <c r="F406" s="96"/>
      <c r="G406" s="164"/>
      <c r="H406" s="97" t="str">
        <f t="shared" si="6"/>
        <v/>
      </c>
    </row>
    <row r="407" spans="1:8" s="86" customFormat="1">
      <c r="A407" s="92"/>
      <c r="B407" s="92"/>
      <c r="C407" s="93" t="str">
        <f>IF(A407&lt;&gt;"",IFERROR(VLOOKUP(B407,DivisionCostCodeLookup!$F$2:$G$426,2,FALSE),INT(LEFT(A407,2))&amp;"0000"),"")</f>
        <v/>
      </c>
      <c r="D407" s="94"/>
      <c r="E407" s="95"/>
      <c r="F407" s="96"/>
      <c r="G407" s="164"/>
      <c r="H407" s="97" t="str">
        <f t="shared" si="6"/>
        <v/>
      </c>
    </row>
    <row r="408" spans="1:8" s="86" customFormat="1">
      <c r="A408" s="92"/>
      <c r="B408" s="92"/>
      <c r="C408" s="93" t="str">
        <f>IF(A408&lt;&gt;"",IFERROR(VLOOKUP(B408,DivisionCostCodeLookup!$F$2:$G$426,2,FALSE),INT(LEFT(A408,2))&amp;"0000"),"")</f>
        <v/>
      </c>
      <c r="D408" s="94"/>
      <c r="E408" s="95"/>
      <c r="F408" s="96"/>
      <c r="G408" s="164"/>
      <c r="H408" s="97" t="str">
        <f t="shared" si="6"/>
        <v/>
      </c>
    </row>
    <row r="409" spans="1:8" s="86" customFormat="1">
      <c r="A409" s="92"/>
      <c r="B409" s="92"/>
      <c r="C409" s="93" t="str">
        <f>IF(A409&lt;&gt;"",IFERROR(VLOOKUP(B409,DivisionCostCodeLookup!$F$2:$G$426,2,FALSE),INT(LEFT(A409,2))&amp;"0000"),"")</f>
        <v/>
      </c>
      <c r="D409" s="94"/>
      <c r="E409" s="95"/>
      <c r="F409" s="96"/>
      <c r="G409" s="164"/>
      <c r="H409" s="97" t="str">
        <f t="shared" si="6"/>
        <v/>
      </c>
    </row>
    <row r="410" spans="1:8" s="86" customFormat="1">
      <c r="A410" s="92"/>
      <c r="B410" s="92"/>
      <c r="C410" s="93" t="str">
        <f>IF(A410&lt;&gt;"",IFERROR(VLOOKUP(B410,DivisionCostCodeLookup!$F$2:$G$426,2,FALSE),INT(LEFT(A410,2))&amp;"0000"),"")</f>
        <v/>
      </c>
      <c r="D410" s="94"/>
      <c r="E410" s="95"/>
      <c r="F410" s="96"/>
      <c r="G410" s="164"/>
      <c r="H410" s="97" t="str">
        <f t="shared" si="6"/>
        <v/>
      </c>
    </row>
    <row r="411" spans="1:8" s="86" customFormat="1">
      <c r="A411" s="92"/>
      <c r="B411" s="92"/>
      <c r="C411" s="93" t="str">
        <f>IF(A411&lt;&gt;"",IFERROR(VLOOKUP(B411,DivisionCostCodeLookup!$F$2:$G$426,2,FALSE),INT(LEFT(A411,2))&amp;"0000"),"")</f>
        <v/>
      </c>
      <c r="D411" s="94"/>
      <c r="E411" s="95"/>
      <c r="F411" s="96"/>
      <c r="G411" s="164"/>
      <c r="H411" s="97" t="str">
        <f t="shared" si="6"/>
        <v/>
      </c>
    </row>
    <row r="412" spans="1:8" s="86" customFormat="1">
      <c r="A412" s="92"/>
      <c r="B412" s="92"/>
      <c r="C412" s="93" t="str">
        <f>IF(A412&lt;&gt;"",IFERROR(VLOOKUP(B412,DivisionCostCodeLookup!$F$2:$G$426,2,FALSE),INT(LEFT(A412,2))&amp;"0000"),"")</f>
        <v/>
      </c>
      <c r="D412" s="94"/>
      <c r="E412" s="95"/>
      <c r="F412" s="96"/>
      <c r="G412" s="164"/>
      <c r="H412" s="97" t="str">
        <f t="shared" si="6"/>
        <v/>
      </c>
    </row>
    <row r="413" spans="1:8" s="86" customFormat="1">
      <c r="A413" s="92"/>
      <c r="B413" s="92"/>
      <c r="C413" s="93" t="str">
        <f>IF(A413&lt;&gt;"",IFERROR(VLOOKUP(B413,DivisionCostCodeLookup!$F$2:$G$426,2,FALSE),INT(LEFT(A413,2))&amp;"0000"),"")</f>
        <v/>
      </c>
      <c r="D413" s="94"/>
      <c r="E413" s="95"/>
      <c r="F413" s="96"/>
      <c r="G413" s="164"/>
      <c r="H413" s="97" t="str">
        <f t="shared" si="6"/>
        <v/>
      </c>
    </row>
    <row r="414" spans="1:8" s="86" customFormat="1">
      <c r="A414" s="92"/>
      <c r="B414" s="92"/>
      <c r="C414" s="93" t="str">
        <f>IF(A414&lt;&gt;"",IFERROR(VLOOKUP(B414,DivisionCostCodeLookup!$F$2:$G$426,2,FALSE),INT(LEFT(A414,2))&amp;"0000"),"")</f>
        <v/>
      </c>
      <c r="D414" s="94"/>
      <c r="E414" s="95"/>
      <c r="F414" s="96"/>
      <c r="G414" s="164"/>
      <c r="H414" s="97" t="str">
        <f t="shared" si="6"/>
        <v/>
      </c>
    </row>
    <row r="415" spans="1:8" s="86" customFormat="1">
      <c r="A415" s="92"/>
      <c r="B415" s="92"/>
      <c r="C415" s="93" t="str">
        <f>IF(A415&lt;&gt;"",IFERROR(VLOOKUP(B415,DivisionCostCodeLookup!$F$2:$G$426,2,FALSE),INT(LEFT(A415,2))&amp;"0000"),"")</f>
        <v/>
      </c>
      <c r="D415" s="94"/>
      <c r="E415" s="95"/>
      <c r="F415" s="96"/>
      <c r="G415" s="164"/>
      <c r="H415" s="97" t="str">
        <f t="shared" si="6"/>
        <v/>
      </c>
    </row>
    <row r="416" spans="1:8" s="86" customFormat="1">
      <c r="A416" s="92"/>
      <c r="B416" s="92"/>
      <c r="C416" s="93" t="str">
        <f>IF(A416&lt;&gt;"",IFERROR(VLOOKUP(B416,DivisionCostCodeLookup!$F$2:$G$426,2,FALSE),INT(LEFT(A416,2))&amp;"0000"),"")</f>
        <v/>
      </c>
      <c r="D416" s="94"/>
      <c r="E416" s="95"/>
      <c r="F416" s="96"/>
      <c r="G416" s="164"/>
      <c r="H416" s="97" t="str">
        <f t="shared" si="6"/>
        <v/>
      </c>
    </row>
    <row r="417" spans="1:8" s="86" customFormat="1">
      <c r="A417" s="92"/>
      <c r="B417" s="92"/>
      <c r="C417" s="93" t="str">
        <f>IF(A417&lt;&gt;"",IFERROR(VLOOKUP(B417,DivisionCostCodeLookup!$F$2:$G$426,2,FALSE),INT(LEFT(A417,2))&amp;"0000"),"")</f>
        <v/>
      </c>
      <c r="D417" s="94"/>
      <c r="E417" s="95"/>
      <c r="F417" s="96"/>
      <c r="G417" s="164"/>
      <c r="H417" s="97" t="str">
        <f t="shared" si="6"/>
        <v/>
      </c>
    </row>
    <row r="418" spans="1:8" s="86" customFormat="1">
      <c r="A418" s="92"/>
      <c r="B418" s="92"/>
      <c r="C418" s="93" t="str">
        <f>IF(A418&lt;&gt;"",IFERROR(VLOOKUP(B418,DivisionCostCodeLookup!$F$2:$G$426,2,FALSE),INT(LEFT(A418,2))&amp;"0000"),"")</f>
        <v/>
      </c>
      <c r="D418" s="94"/>
      <c r="E418" s="95"/>
      <c r="F418" s="96"/>
      <c r="G418" s="164"/>
      <c r="H418" s="97" t="str">
        <f t="shared" si="6"/>
        <v/>
      </c>
    </row>
    <row r="419" spans="1:8" s="86" customFormat="1">
      <c r="A419" s="92"/>
      <c r="B419" s="92"/>
      <c r="C419" s="93" t="str">
        <f>IF(A419&lt;&gt;"",IFERROR(VLOOKUP(B419,DivisionCostCodeLookup!$F$2:$G$426,2,FALSE),INT(LEFT(A419,2))&amp;"0000"),"")</f>
        <v/>
      </c>
      <c r="D419" s="94"/>
      <c r="E419" s="95"/>
      <c r="F419" s="96"/>
      <c r="G419" s="164"/>
      <c r="H419" s="97" t="str">
        <f t="shared" si="6"/>
        <v/>
      </c>
    </row>
    <row r="420" spans="1:8" s="86" customFormat="1">
      <c r="A420" s="92"/>
      <c r="B420" s="92"/>
      <c r="C420" s="93" t="str">
        <f>IF(A420&lt;&gt;"",IFERROR(VLOOKUP(B420,DivisionCostCodeLookup!$F$2:$G$426,2,FALSE),INT(LEFT(A420,2))&amp;"0000"),"")</f>
        <v/>
      </c>
      <c r="D420" s="94"/>
      <c r="E420" s="95"/>
      <c r="F420" s="96"/>
      <c r="G420" s="164"/>
      <c r="H420" s="97" t="str">
        <f t="shared" si="6"/>
        <v/>
      </c>
    </row>
    <row r="421" spans="1:8" s="86" customFormat="1">
      <c r="A421" s="92"/>
      <c r="B421" s="92"/>
      <c r="C421" s="93" t="str">
        <f>IF(A421&lt;&gt;"",IFERROR(VLOOKUP(B421,DivisionCostCodeLookup!$F$2:$G$426,2,FALSE),INT(LEFT(A421,2))&amp;"0000"),"")</f>
        <v/>
      </c>
      <c r="D421" s="94"/>
      <c r="E421" s="95"/>
      <c r="F421" s="96"/>
      <c r="G421" s="164"/>
      <c r="H421" s="97" t="str">
        <f t="shared" si="6"/>
        <v/>
      </c>
    </row>
    <row r="422" spans="1:8" s="86" customFormat="1">
      <c r="A422" s="92"/>
      <c r="B422" s="92"/>
      <c r="C422" s="93" t="str">
        <f>IF(A422&lt;&gt;"",IFERROR(VLOOKUP(B422,DivisionCostCodeLookup!$F$2:$G$426,2,FALSE),INT(LEFT(A422,2))&amp;"0000"),"")</f>
        <v/>
      </c>
      <c r="D422" s="94"/>
      <c r="E422" s="95"/>
      <c r="F422" s="96"/>
      <c r="G422" s="164"/>
      <c r="H422" s="97" t="str">
        <f t="shared" si="6"/>
        <v/>
      </c>
    </row>
    <row r="423" spans="1:8" s="86" customFormat="1">
      <c r="A423" s="92"/>
      <c r="B423" s="92"/>
      <c r="C423" s="93" t="str">
        <f>IF(A423&lt;&gt;"",IFERROR(VLOOKUP(B423,DivisionCostCodeLookup!$F$2:$G$426,2,FALSE),INT(LEFT(A423,2))&amp;"0000"),"")</f>
        <v/>
      </c>
      <c r="D423" s="94"/>
      <c r="E423" s="95"/>
      <c r="F423" s="96"/>
      <c r="G423" s="164"/>
      <c r="H423" s="97" t="str">
        <f t="shared" si="6"/>
        <v/>
      </c>
    </row>
    <row r="424" spans="1:8" s="86" customFormat="1">
      <c r="A424" s="92"/>
      <c r="B424" s="92"/>
      <c r="C424" s="93" t="str">
        <f>IF(A424&lt;&gt;"",IFERROR(VLOOKUP(B424,DivisionCostCodeLookup!$F$2:$G$426,2,FALSE),INT(LEFT(A424,2))&amp;"0000"),"")</f>
        <v/>
      </c>
      <c r="D424" s="94"/>
      <c r="E424" s="95"/>
      <c r="F424" s="96"/>
      <c r="G424" s="164"/>
      <c r="H424" s="97" t="str">
        <f t="shared" si="6"/>
        <v/>
      </c>
    </row>
    <row r="425" spans="1:8" s="86" customFormat="1">
      <c r="A425" s="92"/>
      <c r="B425" s="92"/>
      <c r="C425" s="93" t="str">
        <f>IF(A425&lt;&gt;"",IFERROR(VLOOKUP(B425,DivisionCostCodeLookup!$F$2:$G$426,2,FALSE),INT(LEFT(A425,2))&amp;"0000"),"")</f>
        <v/>
      </c>
      <c r="D425" s="94"/>
      <c r="E425" s="95"/>
      <c r="F425" s="96"/>
      <c r="G425" s="164"/>
      <c r="H425" s="97" t="str">
        <f t="shared" si="6"/>
        <v/>
      </c>
    </row>
    <row r="426" spans="1:8" s="86" customFormat="1">
      <c r="A426" s="92"/>
      <c r="B426" s="92"/>
      <c r="C426" s="93" t="str">
        <f>IF(A426&lt;&gt;"",IFERROR(VLOOKUP(B426,DivisionCostCodeLookup!$F$2:$G$426,2,FALSE),INT(LEFT(A426,2))&amp;"0000"),"")</f>
        <v/>
      </c>
      <c r="D426" s="94"/>
      <c r="E426" s="95"/>
      <c r="F426" s="96"/>
      <c r="G426" s="164"/>
      <c r="H426" s="97" t="str">
        <f t="shared" si="6"/>
        <v/>
      </c>
    </row>
    <row r="427" spans="1:8" s="86" customFormat="1">
      <c r="A427" s="92"/>
      <c r="B427" s="92"/>
      <c r="C427" s="93" t="str">
        <f>IF(A427&lt;&gt;"",IFERROR(VLOOKUP(B427,DivisionCostCodeLookup!$F$2:$G$426,2,FALSE),INT(LEFT(A427,2))&amp;"0000"),"")</f>
        <v/>
      </c>
      <c r="D427" s="94"/>
      <c r="E427" s="95"/>
      <c r="F427" s="96"/>
      <c r="G427" s="164"/>
      <c r="H427" s="97" t="str">
        <f t="shared" si="6"/>
        <v/>
      </c>
    </row>
    <row r="428" spans="1:8" s="86" customFormat="1">
      <c r="A428" s="92"/>
      <c r="B428" s="92"/>
      <c r="C428" s="93" t="str">
        <f>IF(A428&lt;&gt;"",IFERROR(VLOOKUP(B428,DivisionCostCodeLookup!$F$2:$G$426,2,FALSE),INT(LEFT(A428,2))&amp;"0000"),"")</f>
        <v/>
      </c>
      <c r="D428" s="94"/>
      <c r="E428" s="95"/>
      <c r="F428" s="96"/>
      <c r="G428" s="164"/>
      <c r="H428" s="97" t="str">
        <f t="shared" si="6"/>
        <v/>
      </c>
    </row>
    <row r="429" spans="1:8" s="86" customFormat="1">
      <c r="A429" s="92"/>
      <c r="B429" s="92"/>
      <c r="C429" s="93" t="str">
        <f>IF(A429&lt;&gt;"",IFERROR(VLOOKUP(B429,DivisionCostCodeLookup!$F$2:$G$426,2,FALSE),INT(LEFT(A429,2))&amp;"0000"),"")</f>
        <v/>
      </c>
      <c r="D429" s="94"/>
      <c r="E429" s="95"/>
      <c r="F429" s="96"/>
      <c r="G429" s="164"/>
      <c r="H429" s="97" t="str">
        <f t="shared" si="6"/>
        <v/>
      </c>
    </row>
    <row r="430" spans="1:8" s="86" customFormat="1">
      <c r="A430" s="92"/>
      <c r="B430" s="92"/>
      <c r="C430" s="93" t="str">
        <f>IF(A430&lt;&gt;"",IFERROR(VLOOKUP(B430,DivisionCostCodeLookup!$F$2:$G$426,2,FALSE),INT(LEFT(A430,2))&amp;"0000"),"")</f>
        <v/>
      </c>
      <c r="D430" s="94"/>
      <c r="E430" s="95"/>
      <c r="F430" s="96"/>
      <c r="G430" s="164"/>
      <c r="H430" s="97" t="str">
        <f t="shared" si="6"/>
        <v/>
      </c>
    </row>
    <row r="431" spans="1:8" s="86" customFormat="1">
      <c r="A431" s="92"/>
      <c r="B431" s="92"/>
      <c r="C431" s="93" t="str">
        <f>IF(A431&lt;&gt;"",IFERROR(VLOOKUP(B431,DivisionCostCodeLookup!$F$2:$G$426,2,FALSE),INT(LEFT(A431,2))&amp;"0000"),"")</f>
        <v/>
      </c>
      <c r="D431" s="94"/>
      <c r="E431" s="95"/>
      <c r="F431" s="96"/>
      <c r="G431" s="164"/>
      <c r="H431" s="97" t="str">
        <f t="shared" si="6"/>
        <v/>
      </c>
    </row>
    <row r="432" spans="1:8" s="86" customFormat="1">
      <c r="A432" s="92"/>
      <c r="B432" s="92"/>
      <c r="C432" s="93" t="str">
        <f>IF(A432&lt;&gt;"",IFERROR(VLOOKUP(B432,DivisionCostCodeLookup!$F$2:$G$426,2,FALSE),INT(LEFT(A432,2))&amp;"0000"),"")</f>
        <v/>
      </c>
      <c r="D432" s="94"/>
      <c r="E432" s="95"/>
      <c r="F432" s="96"/>
      <c r="G432" s="164"/>
      <c r="H432" s="97" t="str">
        <f t="shared" si="6"/>
        <v/>
      </c>
    </row>
    <row r="433" spans="1:8" s="86" customFormat="1">
      <c r="A433" s="92"/>
      <c r="B433" s="92"/>
      <c r="C433" s="93" t="str">
        <f>IF(A433&lt;&gt;"",IFERROR(VLOOKUP(B433,DivisionCostCodeLookup!$F$2:$G$426,2,FALSE),INT(LEFT(A433,2))&amp;"0000"),"")</f>
        <v/>
      </c>
      <c r="D433" s="94"/>
      <c r="E433" s="95"/>
      <c r="F433" s="96"/>
      <c r="G433" s="164"/>
      <c r="H433" s="97" t="str">
        <f t="shared" si="6"/>
        <v/>
      </c>
    </row>
    <row r="434" spans="1:8" s="86" customFormat="1">
      <c r="A434" s="92"/>
      <c r="B434" s="92"/>
      <c r="C434" s="93" t="str">
        <f>IF(A434&lt;&gt;"",IFERROR(VLOOKUP(B434,DivisionCostCodeLookup!$F$2:$G$426,2,FALSE),INT(LEFT(A434,2))&amp;"0000"),"")</f>
        <v/>
      </c>
      <c r="D434" s="94"/>
      <c r="E434" s="95"/>
      <c r="F434" s="96"/>
      <c r="G434" s="164"/>
      <c r="H434" s="97" t="str">
        <f t="shared" si="6"/>
        <v/>
      </c>
    </row>
    <row r="435" spans="1:8" s="86" customFormat="1">
      <c r="A435" s="92"/>
      <c r="B435" s="92"/>
      <c r="C435" s="93" t="str">
        <f>IF(A435&lt;&gt;"",IFERROR(VLOOKUP(B435,DivisionCostCodeLookup!$F$2:$G$426,2,FALSE),INT(LEFT(A435,2))&amp;"0000"),"")</f>
        <v/>
      </c>
      <c r="D435" s="94"/>
      <c r="E435" s="95"/>
      <c r="F435" s="96"/>
      <c r="G435" s="164"/>
      <c r="H435" s="97" t="str">
        <f t="shared" si="6"/>
        <v/>
      </c>
    </row>
    <row r="436" spans="1:8" s="86" customFormat="1">
      <c r="A436" s="92"/>
      <c r="B436" s="92"/>
      <c r="C436" s="93" t="str">
        <f>IF(A436&lt;&gt;"",IFERROR(VLOOKUP(B436,DivisionCostCodeLookup!$F$2:$G$426,2,FALSE),INT(LEFT(A436,2))&amp;"0000"),"")</f>
        <v/>
      </c>
      <c r="D436" s="94"/>
      <c r="E436" s="95"/>
      <c r="F436" s="96"/>
      <c r="G436" s="164"/>
      <c r="H436" s="97" t="str">
        <f t="shared" si="6"/>
        <v/>
      </c>
    </row>
    <row r="437" spans="1:8" s="86" customFormat="1">
      <c r="A437" s="92"/>
      <c r="B437" s="92"/>
      <c r="C437" s="93" t="str">
        <f>IF(A437&lt;&gt;"",IFERROR(VLOOKUP(B437,DivisionCostCodeLookup!$F$2:$G$426,2,FALSE),INT(LEFT(A437,2))&amp;"0000"),"")</f>
        <v/>
      </c>
      <c r="D437" s="94"/>
      <c r="E437" s="95"/>
      <c r="F437" s="96"/>
      <c r="G437" s="164"/>
      <c r="H437" s="97" t="str">
        <f t="shared" si="6"/>
        <v/>
      </c>
    </row>
    <row r="438" spans="1:8" s="86" customFormat="1">
      <c r="A438" s="92"/>
      <c r="B438" s="92"/>
      <c r="C438" s="93" t="str">
        <f>IF(A438&lt;&gt;"",IFERROR(VLOOKUP(B438,DivisionCostCodeLookup!$F$2:$G$426,2,FALSE),INT(LEFT(A438,2))&amp;"0000"),"")</f>
        <v/>
      </c>
      <c r="D438" s="94"/>
      <c r="E438" s="95"/>
      <c r="F438" s="96"/>
      <c r="G438" s="164"/>
      <c r="H438" s="97" t="str">
        <f t="shared" si="6"/>
        <v/>
      </c>
    </row>
    <row r="439" spans="1:8" s="86" customFormat="1">
      <c r="A439" s="92"/>
      <c r="B439" s="92"/>
      <c r="C439" s="93" t="str">
        <f>IF(A439&lt;&gt;"",IFERROR(VLOOKUP(B439,DivisionCostCodeLookup!$F$2:$G$426,2,FALSE),INT(LEFT(A439,2))&amp;"0000"),"")</f>
        <v/>
      </c>
      <c r="D439" s="94"/>
      <c r="E439" s="95"/>
      <c r="F439" s="96"/>
      <c r="G439" s="164"/>
      <c r="H439" s="97" t="str">
        <f t="shared" si="6"/>
        <v/>
      </c>
    </row>
    <row r="440" spans="1:8" s="86" customFormat="1">
      <c r="A440" s="92"/>
      <c r="B440" s="92"/>
      <c r="C440" s="93" t="str">
        <f>IF(A440&lt;&gt;"",IFERROR(VLOOKUP(B440,DivisionCostCodeLookup!$F$2:$G$426,2,FALSE),INT(LEFT(A440,2))&amp;"0000"),"")</f>
        <v/>
      </c>
      <c r="D440" s="94"/>
      <c r="E440" s="95"/>
      <c r="F440" s="96"/>
      <c r="G440" s="164"/>
      <c r="H440" s="97" t="str">
        <f t="shared" si="6"/>
        <v/>
      </c>
    </row>
    <row r="441" spans="1:8" s="86" customFormat="1">
      <c r="A441" s="92"/>
      <c r="B441" s="92"/>
      <c r="C441" s="93" t="str">
        <f>IF(A441&lt;&gt;"",IFERROR(VLOOKUP(B441,DivisionCostCodeLookup!$F$2:$G$426,2,FALSE),INT(LEFT(A441,2))&amp;"0000"),"")</f>
        <v/>
      </c>
      <c r="D441" s="94"/>
      <c r="E441" s="95"/>
      <c r="F441" s="96"/>
      <c r="G441" s="164"/>
      <c r="H441" s="97" t="str">
        <f t="shared" si="6"/>
        <v/>
      </c>
    </row>
    <row r="442" spans="1:8" s="86" customFormat="1">
      <c r="A442" s="92"/>
      <c r="B442" s="92"/>
      <c r="C442" s="93" t="str">
        <f>IF(A442&lt;&gt;"",IFERROR(VLOOKUP(B442,DivisionCostCodeLookup!$F$2:$G$426,2,FALSE),INT(LEFT(A442,2))&amp;"0000"),"")</f>
        <v/>
      </c>
      <c r="D442" s="94"/>
      <c r="E442" s="95"/>
      <c r="F442" s="96"/>
      <c r="G442" s="164"/>
      <c r="H442" s="97" t="str">
        <f t="shared" si="6"/>
        <v/>
      </c>
    </row>
    <row r="443" spans="1:8" s="86" customFormat="1">
      <c r="A443" s="92"/>
      <c r="B443" s="92"/>
      <c r="C443" s="93" t="str">
        <f>IF(A443&lt;&gt;"",IFERROR(VLOOKUP(B443,DivisionCostCodeLookup!$F$2:$G$426,2,FALSE),INT(LEFT(A443,2))&amp;"0000"),"")</f>
        <v/>
      </c>
      <c r="D443" s="94"/>
      <c r="E443" s="95"/>
      <c r="F443" s="96"/>
      <c r="G443" s="164"/>
      <c r="H443" s="97" t="str">
        <f t="shared" si="6"/>
        <v/>
      </c>
    </row>
    <row r="444" spans="1:8" s="86" customFormat="1">
      <c r="A444" s="92"/>
      <c r="B444" s="92"/>
      <c r="C444" s="93" t="str">
        <f>IF(A444&lt;&gt;"",IFERROR(VLOOKUP(B444,DivisionCostCodeLookup!$F$2:$G$426,2,FALSE),INT(LEFT(A444,2))&amp;"0000"),"")</f>
        <v/>
      </c>
      <c r="D444" s="94"/>
      <c r="E444" s="95"/>
      <c r="F444" s="96"/>
      <c r="G444" s="164"/>
      <c r="H444" s="97" t="str">
        <f t="shared" si="6"/>
        <v/>
      </c>
    </row>
    <row r="445" spans="1:8" s="86" customFormat="1">
      <c r="A445" s="92"/>
      <c r="B445" s="92"/>
      <c r="C445" s="93" t="str">
        <f>IF(A445&lt;&gt;"",IFERROR(VLOOKUP(B445,DivisionCostCodeLookup!$F$2:$G$426,2,FALSE),INT(LEFT(A445,2))&amp;"0000"),"")</f>
        <v/>
      </c>
      <c r="D445" s="94"/>
      <c r="E445" s="95"/>
      <c r="F445" s="96"/>
      <c r="G445" s="164"/>
      <c r="H445" s="97" t="str">
        <f t="shared" si="6"/>
        <v/>
      </c>
    </row>
    <row r="446" spans="1:8" s="86" customFormat="1">
      <c r="A446" s="92"/>
      <c r="B446" s="92"/>
      <c r="C446" s="93" t="str">
        <f>IF(A446&lt;&gt;"",IFERROR(VLOOKUP(B446,DivisionCostCodeLookup!$F$2:$G$426,2,FALSE),INT(LEFT(A446,2))&amp;"0000"),"")</f>
        <v/>
      </c>
      <c r="D446" s="94"/>
      <c r="E446" s="95"/>
      <c r="F446" s="96"/>
      <c r="G446" s="164"/>
      <c r="H446" s="97" t="str">
        <f t="shared" si="6"/>
        <v/>
      </c>
    </row>
    <row r="447" spans="1:8" s="86" customFormat="1">
      <c r="A447" s="92"/>
      <c r="B447" s="92"/>
      <c r="C447" s="93" t="str">
        <f>IF(A447&lt;&gt;"",IFERROR(VLOOKUP(B447,DivisionCostCodeLookup!$F$2:$G$426,2,FALSE),INT(LEFT(A447,2))&amp;"0000"),"")</f>
        <v/>
      </c>
      <c r="D447" s="94"/>
      <c r="E447" s="95"/>
      <c r="F447" s="96"/>
      <c r="G447" s="164"/>
      <c r="H447" s="97" t="str">
        <f t="shared" si="6"/>
        <v/>
      </c>
    </row>
    <row r="448" spans="1:8" s="86" customFormat="1">
      <c r="A448" s="92"/>
      <c r="B448" s="92"/>
      <c r="C448" s="93" t="str">
        <f>IF(A448&lt;&gt;"",IFERROR(VLOOKUP(B448,DivisionCostCodeLookup!$F$2:$G$426,2,FALSE),INT(LEFT(A448,2))&amp;"0000"),"")</f>
        <v/>
      </c>
      <c r="D448" s="94"/>
      <c r="E448" s="95"/>
      <c r="F448" s="96"/>
      <c r="G448" s="164"/>
      <c r="H448" s="97" t="str">
        <f t="shared" si="6"/>
        <v/>
      </c>
    </row>
    <row r="449" spans="1:8" s="86" customFormat="1">
      <c r="A449" s="92"/>
      <c r="B449" s="92"/>
      <c r="C449" s="93" t="str">
        <f>IF(A449&lt;&gt;"",IFERROR(VLOOKUP(B449,DivisionCostCodeLookup!$F$2:$G$426,2,FALSE),INT(LEFT(A449,2))&amp;"0000"),"")</f>
        <v/>
      </c>
      <c r="D449" s="94"/>
      <c r="E449" s="95"/>
      <c r="F449" s="96"/>
      <c r="G449" s="164"/>
      <c r="H449" s="97" t="str">
        <f t="shared" si="6"/>
        <v/>
      </c>
    </row>
    <row r="450" spans="1:8" s="86" customFormat="1">
      <c r="A450" s="92"/>
      <c r="B450" s="92"/>
      <c r="C450" s="93" t="str">
        <f>IF(A450&lt;&gt;"",IFERROR(VLOOKUP(B450,DivisionCostCodeLookup!$F$2:$G$426,2,FALSE),INT(LEFT(A450,2))&amp;"0000"),"")</f>
        <v/>
      </c>
      <c r="D450" s="94"/>
      <c r="E450" s="95"/>
      <c r="F450" s="96"/>
      <c r="G450" s="164"/>
      <c r="H450" s="97" t="str">
        <f t="shared" si="6"/>
        <v/>
      </c>
    </row>
    <row r="451" spans="1:8" s="86" customFormat="1">
      <c r="A451" s="92"/>
      <c r="B451" s="92"/>
      <c r="C451" s="93" t="str">
        <f>IF(A451&lt;&gt;"",IFERROR(VLOOKUP(B451,DivisionCostCodeLookup!$F$2:$G$426,2,FALSE),INT(LEFT(A451,2))&amp;"0000"),"")</f>
        <v/>
      </c>
      <c r="D451" s="94"/>
      <c r="E451" s="95"/>
      <c r="F451" s="96"/>
      <c r="G451" s="164"/>
      <c r="H451" s="97" t="str">
        <f t="shared" si="6"/>
        <v/>
      </c>
    </row>
    <row r="452" spans="1:8" s="86" customFormat="1">
      <c r="A452" s="92"/>
      <c r="B452" s="92"/>
      <c r="C452" s="93" t="str">
        <f>IF(A452&lt;&gt;"",IFERROR(VLOOKUP(B452,DivisionCostCodeLookup!$F$2:$G$426,2,FALSE),INT(LEFT(A452,2))&amp;"0000"),"")</f>
        <v/>
      </c>
      <c r="D452" s="94"/>
      <c r="E452" s="95"/>
      <c r="F452" s="96"/>
      <c r="G452" s="164"/>
      <c r="H452" s="97" t="str">
        <f t="shared" si="6"/>
        <v/>
      </c>
    </row>
    <row r="453" spans="1:8" s="86" customFormat="1">
      <c r="A453" s="92"/>
      <c r="B453" s="92"/>
      <c r="C453" s="93" t="str">
        <f>IF(A453&lt;&gt;"",IFERROR(VLOOKUP(B453,DivisionCostCodeLookup!$F$2:$G$426,2,FALSE),INT(LEFT(A453,2))&amp;"0000"),"")</f>
        <v/>
      </c>
      <c r="D453" s="94"/>
      <c r="E453" s="95"/>
      <c r="F453" s="96"/>
      <c r="G453" s="164"/>
      <c r="H453" s="97" t="str">
        <f t="shared" si="6"/>
        <v/>
      </c>
    </row>
    <row r="454" spans="1:8" s="86" customFormat="1">
      <c r="A454" s="92"/>
      <c r="B454" s="92"/>
      <c r="C454" s="93" t="str">
        <f>IF(A454&lt;&gt;"",IFERROR(VLOOKUP(B454,DivisionCostCodeLookup!$F$2:$G$426,2,FALSE),INT(LEFT(A454,2))&amp;"0000"),"")</f>
        <v/>
      </c>
      <c r="D454" s="94"/>
      <c r="E454" s="95"/>
      <c r="F454" s="96"/>
      <c r="G454" s="164"/>
      <c r="H454" s="97" t="str">
        <f t="shared" si="6"/>
        <v/>
      </c>
    </row>
    <row r="455" spans="1:8" s="86" customFormat="1">
      <c r="A455" s="92"/>
      <c r="B455" s="92"/>
      <c r="C455" s="93" t="str">
        <f>IF(A455&lt;&gt;"",IFERROR(VLOOKUP(B455,DivisionCostCodeLookup!$F$2:$G$426,2,FALSE),INT(LEFT(A455,2))&amp;"0000"),"")</f>
        <v/>
      </c>
      <c r="D455" s="94"/>
      <c r="E455" s="95"/>
      <c r="F455" s="96"/>
      <c r="G455" s="164"/>
      <c r="H455" s="97" t="str">
        <f t="shared" si="6"/>
        <v/>
      </c>
    </row>
    <row r="456" spans="1:8" s="86" customFormat="1">
      <c r="A456" s="92"/>
      <c r="B456" s="92"/>
      <c r="C456" s="93" t="str">
        <f>IF(A456&lt;&gt;"",IFERROR(VLOOKUP(B456,DivisionCostCodeLookup!$F$2:$G$426,2,FALSE),INT(LEFT(A456,2))&amp;"0000"),"")</f>
        <v/>
      </c>
      <c r="D456" s="94"/>
      <c r="E456" s="95"/>
      <c r="F456" s="96"/>
      <c r="G456" s="164"/>
      <c r="H456" s="97" t="str">
        <f t="shared" ref="H456:H519" si="7">IF(E456*G456&lt;&gt;0,E456*G456,"")</f>
        <v/>
      </c>
    </row>
    <row r="457" spans="1:8" s="86" customFormat="1">
      <c r="A457" s="92"/>
      <c r="B457" s="92"/>
      <c r="C457" s="93" t="str">
        <f>IF(A457&lt;&gt;"",IFERROR(VLOOKUP(B457,DivisionCostCodeLookup!$F$2:$G$426,2,FALSE),INT(LEFT(A457,2))&amp;"0000"),"")</f>
        <v/>
      </c>
      <c r="D457" s="94"/>
      <c r="E457" s="95"/>
      <c r="F457" s="96"/>
      <c r="G457" s="164"/>
      <c r="H457" s="97" t="str">
        <f t="shared" si="7"/>
        <v/>
      </c>
    </row>
    <row r="458" spans="1:8" s="86" customFormat="1">
      <c r="A458" s="92"/>
      <c r="B458" s="92"/>
      <c r="C458" s="93" t="str">
        <f>IF(A458&lt;&gt;"",IFERROR(VLOOKUP(B458,DivisionCostCodeLookup!$F$2:$G$426,2,FALSE),INT(LEFT(A458,2))&amp;"0000"),"")</f>
        <v/>
      </c>
      <c r="D458" s="94"/>
      <c r="E458" s="95"/>
      <c r="F458" s="96"/>
      <c r="G458" s="164"/>
      <c r="H458" s="97" t="str">
        <f t="shared" si="7"/>
        <v/>
      </c>
    </row>
    <row r="459" spans="1:8" s="86" customFormat="1">
      <c r="A459" s="92"/>
      <c r="B459" s="92"/>
      <c r="C459" s="93" t="str">
        <f>IF(A459&lt;&gt;"",IFERROR(VLOOKUP(B459,DivisionCostCodeLookup!$F$2:$G$426,2,FALSE),INT(LEFT(A459,2))&amp;"0000"),"")</f>
        <v/>
      </c>
      <c r="D459" s="94"/>
      <c r="E459" s="95"/>
      <c r="F459" s="96"/>
      <c r="G459" s="164"/>
      <c r="H459" s="97" t="str">
        <f t="shared" si="7"/>
        <v/>
      </c>
    </row>
    <row r="460" spans="1:8" s="86" customFormat="1">
      <c r="A460" s="92"/>
      <c r="B460" s="92"/>
      <c r="C460" s="93" t="str">
        <f>IF(A460&lt;&gt;"",IFERROR(VLOOKUP(B460,DivisionCostCodeLookup!$F$2:$G$426,2,FALSE),INT(LEFT(A460,2))&amp;"0000"),"")</f>
        <v/>
      </c>
      <c r="D460" s="94"/>
      <c r="E460" s="95"/>
      <c r="F460" s="96"/>
      <c r="G460" s="164"/>
      <c r="H460" s="97" t="str">
        <f t="shared" si="7"/>
        <v/>
      </c>
    </row>
    <row r="461" spans="1:8" s="86" customFormat="1">
      <c r="A461" s="92"/>
      <c r="B461" s="92"/>
      <c r="C461" s="93" t="str">
        <f>IF(A461&lt;&gt;"",IFERROR(VLOOKUP(B461,DivisionCostCodeLookup!$F$2:$G$426,2,FALSE),INT(LEFT(A461,2))&amp;"0000"),"")</f>
        <v/>
      </c>
      <c r="D461" s="94"/>
      <c r="E461" s="95"/>
      <c r="F461" s="96"/>
      <c r="G461" s="164"/>
      <c r="H461" s="97" t="str">
        <f t="shared" si="7"/>
        <v/>
      </c>
    </row>
    <row r="462" spans="1:8" s="86" customFormat="1">
      <c r="A462" s="92"/>
      <c r="B462" s="92"/>
      <c r="C462" s="93" t="str">
        <f>IF(A462&lt;&gt;"",IFERROR(VLOOKUP(B462,DivisionCostCodeLookup!$F$2:$G$426,2,FALSE),INT(LEFT(A462,2))&amp;"0000"),"")</f>
        <v/>
      </c>
      <c r="D462" s="94"/>
      <c r="E462" s="95"/>
      <c r="F462" s="96"/>
      <c r="G462" s="164"/>
      <c r="H462" s="97" t="str">
        <f t="shared" si="7"/>
        <v/>
      </c>
    </row>
    <row r="463" spans="1:8" s="86" customFormat="1">
      <c r="A463" s="92"/>
      <c r="B463" s="92"/>
      <c r="C463" s="93" t="str">
        <f>IF(A463&lt;&gt;"",IFERROR(VLOOKUP(B463,DivisionCostCodeLookup!$F$2:$G$426,2,FALSE),INT(LEFT(A463,2))&amp;"0000"),"")</f>
        <v/>
      </c>
      <c r="D463" s="94"/>
      <c r="E463" s="95"/>
      <c r="F463" s="96"/>
      <c r="G463" s="164"/>
      <c r="H463" s="97" t="str">
        <f t="shared" si="7"/>
        <v/>
      </c>
    </row>
    <row r="464" spans="1:8" s="86" customFormat="1">
      <c r="A464" s="92"/>
      <c r="B464" s="92"/>
      <c r="C464" s="93" t="str">
        <f>IF(A464&lt;&gt;"",IFERROR(VLOOKUP(B464,DivisionCostCodeLookup!$F$2:$G$426,2,FALSE),INT(LEFT(A464,2))&amp;"0000"),"")</f>
        <v/>
      </c>
      <c r="D464" s="94"/>
      <c r="E464" s="95"/>
      <c r="F464" s="96"/>
      <c r="G464" s="164"/>
      <c r="H464" s="97" t="str">
        <f t="shared" si="7"/>
        <v/>
      </c>
    </row>
    <row r="465" spans="1:8" s="86" customFormat="1">
      <c r="A465" s="92"/>
      <c r="B465" s="92"/>
      <c r="C465" s="93" t="str">
        <f>IF(A465&lt;&gt;"",IFERROR(VLOOKUP(B465,DivisionCostCodeLookup!$F$2:$G$426,2,FALSE),INT(LEFT(A465,2))&amp;"0000"),"")</f>
        <v/>
      </c>
      <c r="D465" s="94"/>
      <c r="E465" s="95"/>
      <c r="F465" s="96"/>
      <c r="G465" s="164"/>
      <c r="H465" s="97" t="str">
        <f t="shared" si="7"/>
        <v/>
      </c>
    </row>
    <row r="466" spans="1:8" s="86" customFormat="1">
      <c r="A466" s="92"/>
      <c r="B466" s="92"/>
      <c r="C466" s="93" t="str">
        <f>IF(A466&lt;&gt;"",IFERROR(VLOOKUP(B466,DivisionCostCodeLookup!$F$2:$G$426,2,FALSE),INT(LEFT(A466,2))&amp;"0000"),"")</f>
        <v/>
      </c>
      <c r="D466" s="94"/>
      <c r="E466" s="95"/>
      <c r="F466" s="96"/>
      <c r="G466" s="164"/>
      <c r="H466" s="97" t="str">
        <f t="shared" si="7"/>
        <v/>
      </c>
    </row>
    <row r="467" spans="1:8" s="86" customFormat="1">
      <c r="A467" s="92"/>
      <c r="B467" s="92"/>
      <c r="C467" s="93" t="str">
        <f>IF(A467&lt;&gt;"",IFERROR(VLOOKUP(B467,DivisionCostCodeLookup!$F$2:$G$426,2,FALSE),INT(LEFT(A467,2))&amp;"0000"),"")</f>
        <v/>
      </c>
      <c r="D467" s="94"/>
      <c r="E467" s="95"/>
      <c r="F467" s="96"/>
      <c r="G467" s="164"/>
      <c r="H467" s="97" t="str">
        <f t="shared" si="7"/>
        <v/>
      </c>
    </row>
    <row r="468" spans="1:8" s="86" customFormat="1">
      <c r="A468" s="92"/>
      <c r="B468" s="92"/>
      <c r="C468" s="93" t="str">
        <f>IF(A468&lt;&gt;"",IFERROR(VLOOKUP(B468,DivisionCostCodeLookup!$F$2:$G$426,2,FALSE),INT(LEFT(A468,2))&amp;"0000"),"")</f>
        <v/>
      </c>
      <c r="D468" s="94"/>
      <c r="E468" s="95"/>
      <c r="F468" s="96"/>
      <c r="G468" s="164"/>
      <c r="H468" s="97" t="str">
        <f t="shared" si="7"/>
        <v/>
      </c>
    </row>
    <row r="469" spans="1:8" s="86" customFormat="1">
      <c r="A469" s="92"/>
      <c r="B469" s="92"/>
      <c r="C469" s="93" t="str">
        <f>IF(A469&lt;&gt;"",IFERROR(VLOOKUP(B469,DivisionCostCodeLookup!$F$2:$G$426,2,FALSE),INT(LEFT(A469,2))&amp;"0000"),"")</f>
        <v/>
      </c>
      <c r="D469" s="94"/>
      <c r="E469" s="95"/>
      <c r="F469" s="96"/>
      <c r="G469" s="164"/>
      <c r="H469" s="97" t="str">
        <f t="shared" si="7"/>
        <v/>
      </c>
    </row>
    <row r="470" spans="1:8" s="86" customFormat="1">
      <c r="A470" s="92"/>
      <c r="B470" s="92"/>
      <c r="C470" s="93" t="str">
        <f>IF(A470&lt;&gt;"",IFERROR(VLOOKUP(B470,DivisionCostCodeLookup!$F$2:$G$426,2,FALSE),INT(LEFT(A470,2))&amp;"0000"),"")</f>
        <v/>
      </c>
      <c r="D470" s="94"/>
      <c r="E470" s="95"/>
      <c r="F470" s="96"/>
      <c r="G470" s="164"/>
      <c r="H470" s="97" t="str">
        <f t="shared" si="7"/>
        <v/>
      </c>
    </row>
    <row r="471" spans="1:8" s="86" customFormat="1">
      <c r="A471" s="92"/>
      <c r="B471" s="92"/>
      <c r="C471" s="93" t="str">
        <f>IF(A471&lt;&gt;"",IFERROR(VLOOKUP(B471,DivisionCostCodeLookup!$F$2:$G$426,2,FALSE),INT(LEFT(A471,2))&amp;"0000"),"")</f>
        <v/>
      </c>
      <c r="D471" s="94"/>
      <c r="E471" s="95"/>
      <c r="F471" s="96"/>
      <c r="G471" s="164"/>
      <c r="H471" s="97" t="str">
        <f t="shared" si="7"/>
        <v/>
      </c>
    </row>
    <row r="472" spans="1:8" s="86" customFormat="1">
      <c r="A472" s="92"/>
      <c r="B472" s="92"/>
      <c r="C472" s="93" t="str">
        <f>IF(A472&lt;&gt;"",IFERROR(VLOOKUP(B472,DivisionCostCodeLookup!$F$2:$G$426,2,FALSE),INT(LEFT(A472,2))&amp;"0000"),"")</f>
        <v/>
      </c>
      <c r="D472" s="94"/>
      <c r="E472" s="95"/>
      <c r="F472" s="96"/>
      <c r="G472" s="164"/>
      <c r="H472" s="97" t="str">
        <f t="shared" si="7"/>
        <v/>
      </c>
    </row>
    <row r="473" spans="1:8" s="86" customFormat="1">
      <c r="A473" s="92"/>
      <c r="B473" s="92"/>
      <c r="C473" s="93" t="str">
        <f>IF(A473&lt;&gt;"",IFERROR(VLOOKUP(B473,DivisionCostCodeLookup!$F$2:$G$426,2,FALSE),INT(LEFT(A473,2))&amp;"0000"),"")</f>
        <v/>
      </c>
      <c r="D473" s="94"/>
      <c r="E473" s="95"/>
      <c r="F473" s="96"/>
      <c r="G473" s="164"/>
      <c r="H473" s="97" t="str">
        <f t="shared" si="7"/>
        <v/>
      </c>
    </row>
    <row r="474" spans="1:8" s="86" customFormat="1">
      <c r="A474" s="92"/>
      <c r="B474" s="92"/>
      <c r="C474" s="93" t="str">
        <f>IF(A474&lt;&gt;"",IFERROR(VLOOKUP(B474,DivisionCostCodeLookup!$F$2:$G$426,2,FALSE),INT(LEFT(A474,2))&amp;"0000"),"")</f>
        <v/>
      </c>
      <c r="D474" s="94"/>
      <c r="E474" s="95"/>
      <c r="F474" s="96"/>
      <c r="G474" s="164"/>
      <c r="H474" s="97" t="str">
        <f t="shared" si="7"/>
        <v/>
      </c>
    </row>
    <row r="475" spans="1:8" s="86" customFormat="1">
      <c r="A475" s="92"/>
      <c r="B475" s="92"/>
      <c r="C475" s="93" t="str">
        <f>IF(A475&lt;&gt;"",IFERROR(VLOOKUP(B475,DivisionCostCodeLookup!$F$2:$G$426,2,FALSE),INT(LEFT(A475,2))&amp;"0000"),"")</f>
        <v/>
      </c>
      <c r="D475" s="94"/>
      <c r="E475" s="95"/>
      <c r="F475" s="96"/>
      <c r="G475" s="164"/>
      <c r="H475" s="97" t="str">
        <f t="shared" si="7"/>
        <v/>
      </c>
    </row>
    <row r="476" spans="1:8" s="86" customFormat="1">
      <c r="A476" s="92"/>
      <c r="B476" s="92"/>
      <c r="C476" s="93" t="str">
        <f>IF(A476&lt;&gt;"",IFERROR(VLOOKUP(B476,DivisionCostCodeLookup!$F$2:$G$426,2,FALSE),INT(LEFT(A476,2))&amp;"0000"),"")</f>
        <v/>
      </c>
      <c r="D476" s="94"/>
      <c r="E476" s="95"/>
      <c r="F476" s="96"/>
      <c r="G476" s="164"/>
      <c r="H476" s="97" t="str">
        <f t="shared" si="7"/>
        <v/>
      </c>
    </row>
    <row r="477" spans="1:8" s="86" customFormat="1">
      <c r="A477" s="92"/>
      <c r="B477" s="92"/>
      <c r="C477" s="93" t="str">
        <f>IF(A477&lt;&gt;"",IFERROR(VLOOKUP(B477,DivisionCostCodeLookup!$F$2:$G$426,2,FALSE),INT(LEFT(A477,2))&amp;"0000"),"")</f>
        <v/>
      </c>
      <c r="D477" s="94"/>
      <c r="E477" s="95"/>
      <c r="F477" s="96"/>
      <c r="G477" s="164"/>
      <c r="H477" s="97" t="str">
        <f t="shared" si="7"/>
        <v/>
      </c>
    </row>
    <row r="478" spans="1:8" s="86" customFormat="1">
      <c r="A478" s="92"/>
      <c r="B478" s="92"/>
      <c r="C478" s="93" t="str">
        <f>IF(A478&lt;&gt;"",IFERROR(VLOOKUP(B478,DivisionCostCodeLookup!$F$2:$G$426,2,FALSE),INT(LEFT(A478,2))&amp;"0000"),"")</f>
        <v/>
      </c>
      <c r="D478" s="94"/>
      <c r="E478" s="95"/>
      <c r="F478" s="96"/>
      <c r="G478" s="164"/>
      <c r="H478" s="97" t="str">
        <f t="shared" si="7"/>
        <v/>
      </c>
    </row>
    <row r="479" spans="1:8" s="86" customFormat="1">
      <c r="A479" s="92"/>
      <c r="B479" s="92"/>
      <c r="C479" s="93" t="str">
        <f>IF(A479&lt;&gt;"",IFERROR(VLOOKUP(B479,DivisionCostCodeLookup!$F$2:$G$426,2,FALSE),INT(LEFT(A479,2))&amp;"0000"),"")</f>
        <v/>
      </c>
      <c r="D479" s="94"/>
      <c r="E479" s="95"/>
      <c r="F479" s="96"/>
      <c r="G479" s="164"/>
      <c r="H479" s="97" t="str">
        <f t="shared" si="7"/>
        <v/>
      </c>
    </row>
    <row r="480" spans="1:8" s="86" customFormat="1">
      <c r="A480" s="92"/>
      <c r="B480" s="92"/>
      <c r="C480" s="93" t="str">
        <f>IF(A480&lt;&gt;"",IFERROR(VLOOKUP(B480,DivisionCostCodeLookup!$F$2:$G$426,2,FALSE),INT(LEFT(A480,2))&amp;"0000"),"")</f>
        <v/>
      </c>
      <c r="D480" s="94"/>
      <c r="E480" s="95"/>
      <c r="F480" s="96"/>
      <c r="G480" s="164"/>
      <c r="H480" s="97" t="str">
        <f t="shared" si="7"/>
        <v/>
      </c>
    </row>
    <row r="481" spans="1:8" s="86" customFormat="1">
      <c r="A481" s="92"/>
      <c r="B481" s="92"/>
      <c r="C481" s="93" t="str">
        <f>IF(A481&lt;&gt;"",IFERROR(VLOOKUP(B481,DivisionCostCodeLookup!$F$2:$G$426,2,FALSE),INT(LEFT(A481,2))&amp;"0000"),"")</f>
        <v/>
      </c>
      <c r="D481" s="94"/>
      <c r="E481" s="95"/>
      <c r="F481" s="96"/>
      <c r="G481" s="164"/>
      <c r="H481" s="97" t="str">
        <f t="shared" si="7"/>
        <v/>
      </c>
    </row>
    <row r="482" spans="1:8" s="86" customFormat="1">
      <c r="A482" s="92"/>
      <c r="B482" s="92"/>
      <c r="C482" s="93" t="str">
        <f>IF(A482&lt;&gt;"",IFERROR(VLOOKUP(B482,DivisionCostCodeLookup!$F$2:$G$426,2,FALSE),INT(LEFT(A482,2))&amp;"0000"),"")</f>
        <v/>
      </c>
      <c r="D482" s="94"/>
      <c r="E482" s="95"/>
      <c r="F482" s="96"/>
      <c r="G482" s="164"/>
      <c r="H482" s="97" t="str">
        <f t="shared" si="7"/>
        <v/>
      </c>
    </row>
    <row r="483" spans="1:8" s="86" customFormat="1">
      <c r="A483" s="92"/>
      <c r="B483" s="92"/>
      <c r="C483" s="93" t="str">
        <f>IF(A483&lt;&gt;"",IFERROR(VLOOKUP(B483,DivisionCostCodeLookup!$F$2:$G$426,2,FALSE),INT(LEFT(A483,2))&amp;"0000"),"")</f>
        <v/>
      </c>
      <c r="D483" s="94"/>
      <c r="E483" s="95"/>
      <c r="F483" s="96"/>
      <c r="G483" s="164"/>
      <c r="H483" s="97" t="str">
        <f t="shared" si="7"/>
        <v/>
      </c>
    </row>
    <row r="484" spans="1:8" s="86" customFormat="1">
      <c r="A484" s="92"/>
      <c r="B484" s="92"/>
      <c r="C484" s="93" t="str">
        <f>IF(A484&lt;&gt;"",IFERROR(VLOOKUP(B484,DivisionCostCodeLookup!$F$2:$G$426,2,FALSE),INT(LEFT(A484,2))&amp;"0000"),"")</f>
        <v/>
      </c>
      <c r="D484" s="94"/>
      <c r="E484" s="95"/>
      <c r="F484" s="96"/>
      <c r="G484" s="164"/>
      <c r="H484" s="97" t="str">
        <f t="shared" si="7"/>
        <v/>
      </c>
    </row>
    <row r="485" spans="1:8" s="86" customFormat="1">
      <c r="A485" s="92"/>
      <c r="B485" s="92"/>
      <c r="C485" s="93" t="str">
        <f>IF(A485&lt;&gt;"",IFERROR(VLOOKUP(B485,DivisionCostCodeLookup!$F$2:$G$426,2,FALSE),INT(LEFT(A485,2))&amp;"0000"),"")</f>
        <v/>
      </c>
      <c r="D485" s="94"/>
      <c r="E485" s="95"/>
      <c r="F485" s="96"/>
      <c r="G485" s="164"/>
      <c r="H485" s="97" t="str">
        <f t="shared" si="7"/>
        <v/>
      </c>
    </row>
    <row r="486" spans="1:8" s="86" customFormat="1">
      <c r="A486" s="92"/>
      <c r="B486" s="92"/>
      <c r="C486" s="93" t="str">
        <f>IF(A486&lt;&gt;"",IFERROR(VLOOKUP(B486,DivisionCostCodeLookup!$F$2:$G$426,2,FALSE),INT(LEFT(A486,2))&amp;"0000"),"")</f>
        <v/>
      </c>
      <c r="D486" s="94"/>
      <c r="E486" s="95"/>
      <c r="F486" s="96"/>
      <c r="G486" s="164"/>
      <c r="H486" s="97" t="str">
        <f t="shared" si="7"/>
        <v/>
      </c>
    </row>
    <row r="487" spans="1:8" s="86" customFormat="1">
      <c r="A487" s="92"/>
      <c r="B487" s="92"/>
      <c r="C487" s="93" t="str">
        <f>IF(A487&lt;&gt;"",IFERROR(VLOOKUP(B487,DivisionCostCodeLookup!$F$2:$G$426,2,FALSE),INT(LEFT(A487,2))&amp;"0000"),"")</f>
        <v/>
      </c>
      <c r="D487" s="94"/>
      <c r="E487" s="95"/>
      <c r="F487" s="96"/>
      <c r="G487" s="164"/>
      <c r="H487" s="97" t="str">
        <f t="shared" si="7"/>
        <v/>
      </c>
    </row>
    <row r="488" spans="1:8" s="86" customFormat="1">
      <c r="A488" s="92"/>
      <c r="B488" s="92"/>
      <c r="C488" s="93" t="str">
        <f>IF(A488&lt;&gt;"",IFERROR(VLOOKUP(B488,DivisionCostCodeLookup!$F$2:$G$426,2,FALSE),INT(LEFT(A488,2))&amp;"0000"),"")</f>
        <v/>
      </c>
      <c r="D488" s="94"/>
      <c r="E488" s="95"/>
      <c r="F488" s="96"/>
      <c r="G488" s="164"/>
      <c r="H488" s="97" t="str">
        <f t="shared" si="7"/>
        <v/>
      </c>
    </row>
    <row r="489" spans="1:8" s="86" customFormat="1">
      <c r="A489" s="92"/>
      <c r="B489" s="92"/>
      <c r="C489" s="93" t="str">
        <f>IF(A489&lt;&gt;"",IFERROR(VLOOKUP(B489,DivisionCostCodeLookup!$F$2:$G$426,2,FALSE),INT(LEFT(A489,2))&amp;"0000"),"")</f>
        <v/>
      </c>
      <c r="D489" s="94"/>
      <c r="E489" s="95"/>
      <c r="F489" s="96"/>
      <c r="G489" s="164"/>
      <c r="H489" s="97" t="str">
        <f t="shared" si="7"/>
        <v/>
      </c>
    </row>
    <row r="490" spans="1:8" s="86" customFormat="1">
      <c r="A490" s="92"/>
      <c r="B490" s="92"/>
      <c r="C490" s="93" t="str">
        <f>IF(A490&lt;&gt;"",IFERROR(VLOOKUP(B490,DivisionCostCodeLookup!$F$2:$G$426,2,FALSE),INT(LEFT(A490,2))&amp;"0000"),"")</f>
        <v/>
      </c>
      <c r="D490" s="94"/>
      <c r="E490" s="95"/>
      <c r="F490" s="96"/>
      <c r="G490" s="164"/>
      <c r="H490" s="97" t="str">
        <f t="shared" si="7"/>
        <v/>
      </c>
    </row>
    <row r="491" spans="1:8" s="86" customFormat="1">
      <c r="A491" s="92"/>
      <c r="B491" s="92"/>
      <c r="C491" s="93" t="str">
        <f>IF(A491&lt;&gt;"",IFERROR(VLOOKUP(B491,DivisionCostCodeLookup!$F$2:$G$426,2,FALSE),INT(LEFT(A491,2))&amp;"0000"),"")</f>
        <v/>
      </c>
      <c r="D491" s="94"/>
      <c r="E491" s="95"/>
      <c r="F491" s="96"/>
      <c r="G491" s="164"/>
      <c r="H491" s="97" t="str">
        <f t="shared" si="7"/>
        <v/>
      </c>
    </row>
    <row r="492" spans="1:8" s="86" customFormat="1">
      <c r="A492" s="92"/>
      <c r="B492" s="92"/>
      <c r="C492" s="93" t="str">
        <f>IF(A492&lt;&gt;"",IFERROR(VLOOKUP(B492,DivisionCostCodeLookup!$F$2:$G$426,2,FALSE),INT(LEFT(A492,2))&amp;"0000"),"")</f>
        <v/>
      </c>
      <c r="D492" s="94"/>
      <c r="E492" s="95"/>
      <c r="F492" s="96"/>
      <c r="G492" s="164"/>
      <c r="H492" s="97" t="str">
        <f t="shared" si="7"/>
        <v/>
      </c>
    </row>
    <row r="493" spans="1:8" s="86" customFormat="1">
      <c r="A493" s="92"/>
      <c r="B493" s="92"/>
      <c r="C493" s="93" t="str">
        <f>IF(A493&lt;&gt;"",IFERROR(VLOOKUP(B493,DivisionCostCodeLookup!$F$2:$G$426,2,FALSE),INT(LEFT(A493,2))&amp;"0000"),"")</f>
        <v/>
      </c>
      <c r="D493" s="94"/>
      <c r="E493" s="95"/>
      <c r="F493" s="96"/>
      <c r="G493" s="164"/>
      <c r="H493" s="97" t="str">
        <f t="shared" si="7"/>
        <v/>
      </c>
    </row>
    <row r="494" spans="1:8" s="86" customFormat="1">
      <c r="A494" s="92"/>
      <c r="B494" s="92"/>
      <c r="C494" s="93" t="str">
        <f>IF(A494&lt;&gt;"",IFERROR(VLOOKUP(B494,DivisionCostCodeLookup!$F$2:$G$426,2,FALSE),INT(LEFT(A494,2))&amp;"0000"),"")</f>
        <v/>
      </c>
      <c r="D494" s="94"/>
      <c r="E494" s="95"/>
      <c r="F494" s="96"/>
      <c r="G494" s="164"/>
      <c r="H494" s="97" t="str">
        <f t="shared" si="7"/>
        <v/>
      </c>
    </row>
    <row r="495" spans="1:8" s="86" customFormat="1">
      <c r="A495" s="92"/>
      <c r="B495" s="92"/>
      <c r="C495" s="93" t="str">
        <f>IF(A495&lt;&gt;"",IFERROR(VLOOKUP(B495,DivisionCostCodeLookup!$F$2:$G$426,2,FALSE),INT(LEFT(A495,2))&amp;"0000"),"")</f>
        <v/>
      </c>
      <c r="D495" s="94"/>
      <c r="E495" s="95"/>
      <c r="F495" s="96"/>
      <c r="G495" s="164"/>
      <c r="H495" s="97" t="str">
        <f t="shared" si="7"/>
        <v/>
      </c>
    </row>
    <row r="496" spans="1:8" s="86" customFormat="1">
      <c r="A496" s="92"/>
      <c r="B496" s="92"/>
      <c r="C496" s="93" t="str">
        <f>IF(A496&lt;&gt;"",IFERROR(VLOOKUP(B496,DivisionCostCodeLookup!$F$2:$G$426,2,FALSE),INT(LEFT(A496,2))&amp;"0000"),"")</f>
        <v/>
      </c>
      <c r="D496" s="94"/>
      <c r="E496" s="95"/>
      <c r="F496" s="96"/>
      <c r="G496" s="164"/>
      <c r="H496" s="97" t="str">
        <f t="shared" si="7"/>
        <v/>
      </c>
    </row>
    <row r="497" spans="1:8" s="86" customFormat="1">
      <c r="A497" s="92"/>
      <c r="B497" s="92"/>
      <c r="C497" s="93" t="str">
        <f>IF(A497&lt;&gt;"",IFERROR(VLOOKUP(B497,DivisionCostCodeLookup!$F$2:$G$426,2,FALSE),INT(LEFT(A497,2))&amp;"0000"),"")</f>
        <v/>
      </c>
      <c r="D497" s="94"/>
      <c r="E497" s="95"/>
      <c r="F497" s="96"/>
      <c r="G497" s="164"/>
      <c r="H497" s="97" t="str">
        <f t="shared" si="7"/>
        <v/>
      </c>
    </row>
    <row r="498" spans="1:8" s="86" customFormat="1">
      <c r="A498" s="92"/>
      <c r="B498" s="92"/>
      <c r="C498" s="93" t="str">
        <f>IF(A498&lt;&gt;"",IFERROR(VLOOKUP(B498,DivisionCostCodeLookup!$F$2:$G$426,2,FALSE),INT(LEFT(A498,2))&amp;"0000"),"")</f>
        <v/>
      </c>
      <c r="D498" s="94"/>
      <c r="E498" s="95"/>
      <c r="F498" s="96"/>
      <c r="G498" s="164"/>
      <c r="H498" s="97" t="str">
        <f t="shared" si="7"/>
        <v/>
      </c>
    </row>
    <row r="499" spans="1:8" s="86" customFormat="1">
      <c r="A499" s="92"/>
      <c r="B499" s="92"/>
      <c r="C499" s="93" t="str">
        <f>IF(A499&lt;&gt;"",IFERROR(VLOOKUP(B499,DivisionCostCodeLookup!$F$2:$G$426,2,FALSE),INT(LEFT(A499,2))&amp;"0000"),"")</f>
        <v/>
      </c>
      <c r="D499" s="94"/>
      <c r="E499" s="95"/>
      <c r="F499" s="96"/>
      <c r="G499" s="164"/>
      <c r="H499" s="97" t="str">
        <f t="shared" si="7"/>
        <v/>
      </c>
    </row>
    <row r="500" spans="1:8" s="86" customFormat="1">
      <c r="A500" s="92"/>
      <c r="B500" s="92"/>
      <c r="C500" s="93" t="str">
        <f>IF(A500&lt;&gt;"",IFERROR(VLOOKUP(B500,DivisionCostCodeLookup!$F$2:$G$426,2,FALSE),INT(LEFT(A500,2))&amp;"0000"),"")</f>
        <v/>
      </c>
      <c r="D500" s="94"/>
      <c r="E500" s="95"/>
      <c r="F500" s="96"/>
      <c r="G500" s="164"/>
      <c r="H500" s="97" t="str">
        <f t="shared" si="7"/>
        <v/>
      </c>
    </row>
    <row r="501" spans="1:8" s="86" customFormat="1">
      <c r="A501" s="92"/>
      <c r="B501" s="92"/>
      <c r="C501" s="93" t="str">
        <f>IF(A501&lt;&gt;"",IFERROR(VLOOKUP(B501,DivisionCostCodeLookup!$F$2:$G$426,2,FALSE),INT(LEFT(A501,2))&amp;"0000"),"")</f>
        <v/>
      </c>
      <c r="D501" s="94"/>
      <c r="E501" s="95"/>
      <c r="F501" s="96"/>
      <c r="G501" s="164"/>
      <c r="H501" s="97" t="str">
        <f t="shared" si="7"/>
        <v/>
      </c>
    </row>
    <row r="502" spans="1:8" s="86" customFormat="1">
      <c r="A502" s="92"/>
      <c r="B502" s="92"/>
      <c r="C502" s="93" t="str">
        <f>IF(A502&lt;&gt;"",IFERROR(VLOOKUP(B502,DivisionCostCodeLookup!$F$2:$G$426,2,FALSE),INT(LEFT(A502,2))&amp;"0000"),"")</f>
        <v/>
      </c>
      <c r="D502" s="94"/>
      <c r="E502" s="95"/>
      <c r="F502" s="96"/>
      <c r="G502" s="164"/>
      <c r="H502" s="97" t="str">
        <f t="shared" si="7"/>
        <v/>
      </c>
    </row>
    <row r="503" spans="1:8" s="86" customFormat="1">
      <c r="A503" s="92"/>
      <c r="B503" s="92"/>
      <c r="C503" s="93" t="str">
        <f>IF(A503&lt;&gt;"",IFERROR(VLOOKUP(B503,DivisionCostCodeLookup!$F$2:$G$426,2,FALSE),INT(LEFT(A503,2))&amp;"0000"),"")</f>
        <v/>
      </c>
      <c r="D503" s="94"/>
      <c r="E503" s="95"/>
      <c r="F503" s="96"/>
      <c r="G503" s="164"/>
      <c r="H503" s="97" t="str">
        <f t="shared" si="7"/>
        <v/>
      </c>
    </row>
    <row r="504" spans="1:8" s="86" customFormat="1">
      <c r="A504" s="92"/>
      <c r="B504" s="92"/>
      <c r="C504" s="93" t="str">
        <f>IF(A504&lt;&gt;"",IFERROR(VLOOKUP(B504,DivisionCostCodeLookup!$F$2:$G$426,2,FALSE),INT(LEFT(A504,2))&amp;"0000"),"")</f>
        <v/>
      </c>
      <c r="D504" s="94"/>
      <c r="E504" s="95"/>
      <c r="F504" s="96"/>
      <c r="G504" s="164"/>
      <c r="H504" s="97" t="str">
        <f t="shared" si="7"/>
        <v/>
      </c>
    </row>
    <row r="505" spans="1:8" s="86" customFormat="1">
      <c r="A505" s="92"/>
      <c r="B505" s="92"/>
      <c r="C505" s="93" t="str">
        <f>IF(A505&lt;&gt;"",IFERROR(VLOOKUP(B505,DivisionCostCodeLookup!$F$2:$G$426,2,FALSE),INT(LEFT(A505,2))&amp;"0000"),"")</f>
        <v/>
      </c>
      <c r="D505" s="94"/>
      <c r="E505" s="95"/>
      <c r="F505" s="96"/>
      <c r="G505" s="164"/>
      <c r="H505" s="97" t="str">
        <f t="shared" si="7"/>
        <v/>
      </c>
    </row>
    <row r="506" spans="1:8" s="86" customFormat="1">
      <c r="A506" s="92"/>
      <c r="B506" s="92"/>
      <c r="C506" s="93" t="str">
        <f>IF(A506&lt;&gt;"",IFERROR(VLOOKUP(B506,DivisionCostCodeLookup!$F$2:$G$426,2,FALSE),INT(LEFT(A506,2))&amp;"0000"),"")</f>
        <v/>
      </c>
      <c r="D506" s="94"/>
      <c r="E506" s="95"/>
      <c r="F506" s="96"/>
      <c r="G506" s="164"/>
      <c r="H506" s="97" t="str">
        <f t="shared" si="7"/>
        <v/>
      </c>
    </row>
    <row r="507" spans="1:8" s="86" customFormat="1">
      <c r="A507" s="92"/>
      <c r="B507" s="92"/>
      <c r="C507" s="93" t="str">
        <f>IF(A507&lt;&gt;"",IFERROR(VLOOKUP(B507,DivisionCostCodeLookup!$F$2:$G$426,2,FALSE),INT(LEFT(A507,2))&amp;"0000"),"")</f>
        <v/>
      </c>
      <c r="D507" s="94"/>
      <c r="E507" s="95"/>
      <c r="F507" s="96"/>
      <c r="G507" s="164"/>
      <c r="H507" s="97" t="str">
        <f t="shared" si="7"/>
        <v/>
      </c>
    </row>
    <row r="508" spans="1:8" s="86" customFormat="1">
      <c r="A508" s="92"/>
      <c r="B508" s="92"/>
      <c r="C508" s="93" t="str">
        <f>IF(A508&lt;&gt;"",IFERROR(VLOOKUP(B508,DivisionCostCodeLookup!$F$2:$G$426,2,FALSE),INT(LEFT(A508,2))&amp;"0000"),"")</f>
        <v/>
      </c>
      <c r="D508" s="94"/>
      <c r="E508" s="95"/>
      <c r="F508" s="96"/>
      <c r="G508" s="164"/>
      <c r="H508" s="97" t="str">
        <f t="shared" si="7"/>
        <v/>
      </c>
    </row>
    <row r="509" spans="1:8" s="86" customFormat="1">
      <c r="A509" s="92"/>
      <c r="B509" s="92"/>
      <c r="C509" s="93" t="str">
        <f>IF(A509&lt;&gt;"",IFERROR(VLOOKUP(B509,DivisionCostCodeLookup!$F$2:$G$426,2,FALSE),INT(LEFT(A509,2))&amp;"0000"),"")</f>
        <v/>
      </c>
      <c r="D509" s="94"/>
      <c r="E509" s="95"/>
      <c r="F509" s="96"/>
      <c r="G509" s="164"/>
      <c r="H509" s="97" t="str">
        <f t="shared" si="7"/>
        <v/>
      </c>
    </row>
    <row r="510" spans="1:8" s="86" customFormat="1">
      <c r="A510" s="92"/>
      <c r="B510" s="92"/>
      <c r="C510" s="93" t="str">
        <f>IF(A510&lt;&gt;"",IFERROR(VLOOKUP(B510,DivisionCostCodeLookup!$F$2:$G$426,2,FALSE),INT(LEFT(A510,2))&amp;"0000"),"")</f>
        <v/>
      </c>
      <c r="D510" s="94"/>
      <c r="E510" s="95"/>
      <c r="F510" s="96"/>
      <c r="G510" s="164"/>
      <c r="H510" s="97" t="str">
        <f t="shared" si="7"/>
        <v/>
      </c>
    </row>
    <row r="511" spans="1:8" s="86" customFormat="1">
      <c r="A511" s="92"/>
      <c r="B511" s="92"/>
      <c r="C511" s="93" t="str">
        <f>IF(A511&lt;&gt;"",IFERROR(VLOOKUP(B511,DivisionCostCodeLookup!$F$2:$G$426,2,FALSE),INT(LEFT(A511,2))&amp;"0000"),"")</f>
        <v/>
      </c>
      <c r="D511" s="94"/>
      <c r="E511" s="95"/>
      <c r="F511" s="96"/>
      <c r="G511" s="164"/>
      <c r="H511" s="97" t="str">
        <f t="shared" si="7"/>
        <v/>
      </c>
    </row>
    <row r="512" spans="1:8" s="86" customFormat="1">
      <c r="A512" s="92"/>
      <c r="B512" s="92"/>
      <c r="C512" s="93" t="str">
        <f>IF(A512&lt;&gt;"",IFERROR(VLOOKUP(B512,DivisionCostCodeLookup!$F$2:$G$426,2,FALSE),INT(LEFT(A512,2))&amp;"0000"),"")</f>
        <v/>
      </c>
      <c r="D512" s="94"/>
      <c r="E512" s="95"/>
      <c r="F512" s="96"/>
      <c r="G512" s="164"/>
      <c r="H512" s="97" t="str">
        <f t="shared" si="7"/>
        <v/>
      </c>
    </row>
    <row r="513" spans="1:8" s="86" customFormat="1">
      <c r="A513" s="92"/>
      <c r="B513" s="92"/>
      <c r="C513" s="93" t="str">
        <f>IF(A513&lt;&gt;"",IFERROR(VLOOKUP(B513,DivisionCostCodeLookup!$F$2:$G$426,2,FALSE),INT(LEFT(A513,2))&amp;"0000"),"")</f>
        <v/>
      </c>
      <c r="D513" s="94"/>
      <c r="E513" s="95"/>
      <c r="F513" s="96"/>
      <c r="G513" s="164"/>
      <c r="H513" s="97" t="str">
        <f t="shared" si="7"/>
        <v/>
      </c>
    </row>
    <row r="514" spans="1:8" s="86" customFormat="1">
      <c r="A514" s="92"/>
      <c r="B514" s="92"/>
      <c r="C514" s="93" t="str">
        <f>IF(A514&lt;&gt;"",IFERROR(VLOOKUP(B514,DivisionCostCodeLookup!$F$2:$G$426,2,FALSE),INT(LEFT(A514,2))&amp;"0000"),"")</f>
        <v/>
      </c>
      <c r="D514" s="94"/>
      <c r="E514" s="95"/>
      <c r="F514" s="96"/>
      <c r="G514" s="164"/>
      <c r="H514" s="97" t="str">
        <f t="shared" si="7"/>
        <v/>
      </c>
    </row>
    <row r="515" spans="1:8" s="86" customFormat="1">
      <c r="A515" s="92"/>
      <c r="B515" s="92"/>
      <c r="C515" s="93" t="str">
        <f>IF(A515&lt;&gt;"",IFERROR(VLOOKUP(B515,DivisionCostCodeLookup!$F$2:$G$426,2,FALSE),INT(LEFT(A515,2))&amp;"0000"),"")</f>
        <v/>
      </c>
      <c r="D515" s="94"/>
      <c r="E515" s="95"/>
      <c r="F515" s="96"/>
      <c r="G515" s="164"/>
      <c r="H515" s="97" t="str">
        <f t="shared" si="7"/>
        <v/>
      </c>
    </row>
    <row r="516" spans="1:8" s="86" customFormat="1">
      <c r="A516" s="92"/>
      <c r="B516" s="92"/>
      <c r="C516" s="93" t="str">
        <f>IF(A516&lt;&gt;"",IFERROR(VLOOKUP(B516,DivisionCostCodeLookup!$F$2:$G$426,2,FALSE),INT(LEFT(A516,2))&amp;"0000"),"")</f>
        <v/>
      </c>
      <c r="D516" s="94"/>
      <c r="E516" s="95"/>
      <c r="F516" s="96"/>
      <c r="G516" s="164"/>
      <c r="H516" s="97" t="str">
        <f t="shared" si="7"/>
        <v/>
      </c>
    </row>
    <row r="517" spans="1:8" s="86" customFormat="1">
      <c r="A517" s="92"/>
      <c r="B517" s="92"/>
      <c r="C517" s="93" t="str">
        <f>IF(A517&lt;&gt;"",IFERROR(VLOOKUP(B517,DivisionCostCodeLookup!$F$2:$G$426,2,FALSE),INT(LEFT(A517,2))&amp;"0000"),"")</f>
        <v/>
      </c>
      <c r="D517" s="94"/>
      <c r="E517" s="95"/>
      <c r="F517" s="96"/>
      <c r="G517" s="164"/>
      <c r="H517" s="97" t="str">
        <f t="shared" si="7"/>
        <v/>
      </c>
    </row>
    <row r="518" spans="1:8" s="86" customFormat="1">
      <c r="A518" s="92"/>
      <c r="B518" s="92"/>
      <c r="C518" s="93" t="str">
        <f>IF(A518&lt;&gt;"",IFERROR(VLOOKUP(B518,DivisionCostCodeLookup!$F$2:$G$426,2,FALSE),INT(LEFT(A518,2))&amp;"0000"),"")</f>
        <v/>
      </c>
      <c r="D518" s="94"/>
      <c r="E518" s="95"/>
      <c r="F518" s="96"/>
      <c r="G518" s="164"/>
      <c r="H518" s="97" t="str">
        <f t="shared" si="7"/>
        <v/>
      </c>
    </row>
    <row r="519" spans="1:8" s="86" customFormat="1">
      <c r="A519" s="92"/>
      <c r="B519" s="92"/>
      <c r="C519" s="93" t="str">
        <f>IF(A519&lt;&gt;"",IFERROR(VLOOKUP(B519,DivisionCostCodeLookup!$F$2:$G$426,2,FALSE),INT(LEFT(A519,2))&amp;"0000"),"")</f>
        <v/>
      </c>
      <c r="D519" s="94"/>
      <c r="E519" s="95"/>
      <c r="F519" s="96"/>
      <c r="G519" s="164"/>
      <c r="H519" s="97" t="str">
        <f t="shared" si="7"/>
        <v/>
      </c>
    </row>
    <row r="520" spans="1:8" s="86" customFormat="1">
      <c r="A520" s="92"/>
      <c r="B520" s="92"/>
      <c r="C520" s="93" t="str">
        <f>IF(A520&lt;&gt;"",IFERROR(VLOOKUP(B520,DivisionCostCodeLookup!$F$2:$G$426,2,FALSE),INT(LEFT(A520,2))&amp;"0000"),"")</f>
        <v/>
      </c>
      <c r="D520" s="94"/>
      <c r="E520" s="95"/>
      <c r="F520" s="96"/>
      <c r="G520" s="164"/>
      <c r="H520" s="97" t="str">
        <f t="shared" ref="H520:H583" si="8">IF(E520*G520&lt;&gt;0,E520*G520,"")</f>
        <v/>
      </c>
    </row>
    <row r="521" spans="1:8" s="86" customFormat="1">
      <c r="A521" s="92"/>
      <c r="B521" s="92"/>
      <c r="C521" s="93" t="str">
        <f>IF(A521&lt;&gt;"",IFERROR(VLOOKUP(B521,DivisionCostCodeLookup!$F$2:$G$426,2,FALSE),INT(LEFT(A521,2))&amp;"0000"),"")</f>
        <v/>
      </c>
      <c r="D521" s="94"/>
      <c r="E521" s="95"/>
      <c r="F521" s="96"/>
      <c r="G521" s="164"/>
      <c r="H521" s="97" t="str">
        <f t="shared" si="8"/>
        <v/>
      </c>
    </row>
    <row r="522" spans="1:8" s="86" customFormat="1">
      <c r="A522" s="92"/>
      <c r="B522" s="92"/>
      <c r="C522" s="93" t="str">
        <f>IF(A522&lt;&gt;"",IFERROR(VLOOKUP(B522,DivisionCostCodeLookup!$F$2:$G$426,2,FALSE),INT(LEFT(A522,2))&amp;"0000"),"")</f>
        <v/>
      </c>
      <c r="D522" s="94"/>
      <c r="E522" s="95"/>
      <c r="F522" s="96"/>
      <c r="G522" s="164"/>
      <c r="H522" s="97" t="str">
        <f t="shared" si="8"/>
        <v/>
      </c>
    </row>
    <row r="523" spans="1:8" s="86" customFormat="1">
      <c r="A523" s="92"/>
      <c r="B523" s="92"/>
      <c r="C523" s="93" t="str">
        <f>IF(A523&lt;&gt;"",IFERROR(VLOOKUP(B523,DivisionCostCodeLookup!$F$2:$G$426,2,FALSE),INT(LEFT(A523,2))&amp;"0000"),"")</f>
        <v/>
      </c>
      <c r="D523" s="94"/>
      <c r="E523" s="95"/>
      <c r="F523" s="96"/>
      <c r="G523" s="164"/>
      <c r="H523" s="97" t="str">
        <f t="shared" si="8"/>
        <v/>
      </c>
    </row>
    <row r="524" spans="1:8" s="86" customFormat="1">
      <c r="A524" s="92"/>
      <c r="B524" s="92"/>
      <c r="C524" s="93" t="str">
        <f>IF(A524&lt;&gt;"",IFERROR(VLOOKUP(B524,DivisionCostCodeLookup!$F$2:$G$426,2,FALSE),INT(LEFT(A524,2))&amp;"0000"),"")</f>
        <v/>
      </c>
      <c r="D524" s="94"/>
      <c r="E524" s="95"/>
      <c r="F524" s="96"/>
      <c r="G524" s="164"/>
      <c r="H524" s="97" t="str">
        <f t="shared" si="8"/>
        <v/>
      </c>
    </row>
    <row r="525" spans="1:8" s="86" customFormat="1">
      <c r="A525" s="92"/>
      <c r="B525" s="92"/>
      <c r="C525" s="93" t="str">
        <f>IF(A525&lt;&gt;"",IFERROR(VLOOKUP(B525,DivisionCostCodeLookup!$F$2:$G$426,2,FALSE),INT(LEFT(A525,2))&amp;"0000"),"")</f>
        <v/>
      </c>
      <c r="D525" s="94"/>
      <c r="E525" s="95"/>
      <c r="F525" s="96"/>
      <c r="G525" s="164"/>
      <c r="H525" s="97" t="str">
        <f t="shared" si="8"/>
        <v/>
      </c>
    </row>
    <row r="526" spans="1:8" s="86" customFormat="1">
      <c r="A526" s="92"/>
      <c r="B526" s="92"/>
      <c r="C526" s="93" t="str">
        <f>IF(A526&lt;&gt;"",IFERROR(VLOOKUP(B526,DivisionCostCodeLookup!$F$2:$G$426,2,FALSE),INT(LEFT(A526,2))&amp;"0000"),"")</f>
        <v/>
      </c>
      <c r="D526" s="94"/>
      <c r="E526" s="95"/>
      <c r="F526" s="96"/>
      <c r="G526" s="164"/>
      <c r="H526" s="97" t="str">
        <f t="shared" si="8"/>
        <v/>
      </c>
    </row>
    <row r="527" spans="1:8" s="86" customFormat="1">
      <c r="A527" s="92"/>
      <c r="B527" s="92"/>
      <c r="C527" s="93" t="str">
        <f>IF(A527&lt;&gt;"",IFERROR(VLOOKUP(B527,DivisionCostCodeLookup!$F$2:$G$426,2,FALSE),INT(LEFT(A527,2))&amp;"0000"),"")</f>
        <v/>
      </c>
      <c r="D527" s="94"/>
      <c r="E527" s="95"/>
      <c r="F527" s="96"/>
      <c r="G527" s="164"/>
      <c r="H527" s="97" t="str">
        <f t="shared" si="8"/>
        <v/>
      </c>
    </row>
    <row r="528" spans="1:8" s="86" customFormat="1">
      <c r="A528" s="92"/>
      <c r="B528" s="92"/>
      <c r="C528" s="93" t="str">
        <f>IF(A528&lt;&gt;"",IFERROR(VLOOKUP(B528,DivisionCostCodeLookup!$F$2:$G$426,2,FALSE),INT(LEFT(A528,2))&amp;"0000"),"")</f>
        <v/>
      </c>
      <c r="D528" s="94"/>
      <c r="E528" s="95"/>
      <c r="F528" s="96"/>
      <c r="G528" s="164"/>
      <c r="H528" s="97" t="str">
        <f t="shared" si="8"/>
        <v/>
      </c>
    </row>
    <row r="529" spans="1:8" s="86" customFormat="1">
      <c r="A529" s="92"/>
      <c r="B529" s="92"/>
      <c r="C529" s="93" t="str">
        <f>IF(A529&lt;&gt;"",IFERROR(VLOOKUP(B529,DivisionCostCodeLookup!$F$2:$G$426,2,FALSE),INT(LEFT(A529,2))&amp;"0000"),"")</f>
        <v/>
      </c>
      <c r="D529" s="94"/>
      <c r="E529" s="95"/>
      <c r="F529" s="96"/>
      <c r="G529" s="164"/>
      <c r="H529" s="97" t="str">
        <f t="shared" si="8"/>
        <v/>
      </c>
    </row>
    <row r="530" spans="1:8" s="86" customFormat="1">
      <c r="A530" s="92"/>
      <c r="B530" s="92"/>
      <c r="C530" s="93" t="str">
        <f>IF(A530&lt;&gt;"",IFERROR(VLOOKUP(B530,DivisionCostCodeLookup!$F$2:$G$426,2,FALSE),INT(LEFT(A530,2))&amp;"0000"),"")</f>
        <v/>
      </c>
      <c r="D530" s="94"/>
      <c r="E530" s="95"/>
      <c r="F530" s="96"/>
      <c r="G530" s="164"/>
      <c r="H530" s="97" t="str">
        <f t="shared" si="8"/>
        <v/>
      </c>
    </row>
    <row r="531" spans="1:8" s="86" customFormat="1">
      <c r="A531" s="92"/>
      <c r="B531" s="92"/>
      <c r="C531" s="93" t="str">
        <f>IF(A531&lt;&gt;"",IFERROR(VLOOKUP(B531,DivisionCostCodeLookup!$F$2:$G$426,2,FALSE),INT(LEFT(A531,2))&amp;"0000"),"")</f>
        <v/>
      </c>
      <c r="D531" s="94"/>
      <c r="E531" s="95"/>
      <c r="F531" s="96"/>
      <c r="G531" s="164"/>
      <c r="H531" s="97" t="str">
        <f t="shared" si="8"/>
        <v/>
      </c>
    </row>
    <row r="532" spans="1:8" s="86" customFormat="1">
      <c r="A532" s="92"/>
      <c r="B532" s="92"/>
      <c r="C532" s="93" t="str">
        <f>IF(A532&lt;&gt;"",IFERROR(VLOOKUP(B532,DivisionCostCodeLookup!$F$2:$G$426,2,FALSE),INT(LEFT(A532,2))&amp;"0000"),"")</f>
        <v/>
      </c>
      <c r="D532" s="94"/>
      <c r="E532" s="95"/>
      <c r="F532" s="96"/>
      <c r="G532" s="164"/>
      <c r="H532" s="97" t="str">
        <f t="shared" si="8"/>
        <v/>
      </c>
    </row>
    <row r="533" spans="1:8" s="86" customFormat="1">
      <c r="A533" s="92"/>
      <c r="B533" s="92"/>
      <c r="C533" s="93" t="str">
        <f>IF(A533&lt;&gt;"",IFERROR(VLOOKUP(B533,DivisionCostCodeLookup!$F$2:$G$426,2,FALSE),INT(LEFT(A533,2))&amp;"0000"),"")</f>
        <v/>
      </c>
      <c r="D533" s="94"/>
      <c r="E533" s="95"/>
      <c r="F533" s="96"/>
      <c r="G533" s="164"/>
      <c r="H533" s="97" t="str">
        <f t="shared" si="8"/>
        <v/>
      </c>
    </row>
    <row r="534" spans="1:8" s="86" customFormat="1">
      <c r="A534" s="92"/>
      <c r="B534" s="92"/>
      <c r="C534" s="93" t="str">
        <f>IF(A534&lt;&gt;"",IFERROR(VLOOKUP(B534,DivisionCostCodeLookup!$F$2:$G$426,2,FALSE),INT(LEFT(A534,2))&amp;"0000"),"")</f>
        <v/>
      </c>
      <c r="D534" s="94"/>
      <c r="E534" s="95"/>
      <c r="F534" s="96"/>
      <c r="G534" s="164"/>
      <c r="H534" s="97" t="str">
        <f t="shared" si="8"/>
        <v/>
      </c>
    </row>
    <row r="535" spans="1:8" s="86" customFormat="1">
      <c r="A535" s="92"/>
      <c r="B535" s="92"/>
      <c r="C535" s="93" t="str">
        <f>IF(A535&lt;&gt;"",IFERROR(VLOOKUP(B535,DivisionCostCodeLookup!$F$2:$G$426,2,FALSE),INT(LEFT(A535,2))&amp;"0000"),"")</f>
        <v/>
      </c>
      <c r="D535" s="94"/>
      <c r="E535" s="95"/>
      <c r="F535" s="96"/>
      <c r="G535" s="164"/>
      <c r="H535" s="97" t="str">
        <f t="shared" si="8"/>
        <v/>
      </c>
    </row>
    <row r="536" spans="1:8" s="86" customFormat="1">
      <c r="A536" s="92"/>
      <c r="B536" s="92"/>
      <c r="C536" s="93" t="str">
        <f>IF(A536&lt;&gt;"",IFERROR(VLOOKUP(B536,DivisionCostCodeLookup!$F$2:$G$426,2,FALSE),INT(LEFT(A536,2))&amp;"0000"),"")</f>
        <v/>
      </c>
      <c r="D536" s="94"/>
      <c r="E536" s="95"/>
      <c r="F536" s="96"/>
      <c r="G536" s="164"/>
      <c r="H536" s="97" t="str">
        <f t="shared" si="8"/>
        <v/>
      </c>
    </row>
    <row r="537" spans="1:8" s="86" customFormat="1">
      <c r="A537" s="92"/>
      <c r="B537" s="92"/>
      <c r="C537" s="93" t="str">
        <f>IF(A537&lt;&gt;"",IFERROR(VLOOKUP(B537,DivisionCostCodeLookup!$F$2:$G$426,2,FALSE),INT(LEFT(A537,2))&amp;"0000"),"")</f>
        <v/>
      </c>
      <c r="D537" s="94"/>
      <c r="E537" s="95"/>
      <c r="F537" s="96"/>
      <c r="G537" s="164"/>
      <c r="H537" s="97" t="str">
        <f t="shared" si="8"/>
        <v/>
      </c>
    </row>
    <row r="538" spans="1:8" s="86" customFormat="1">
      <c r="A538" s="92"/>
      <c r="B538" s="92"/>
      <c r="C538" s="93" t="str">
        <f>IF(A538&lt;&gt;"",IFERROR(VLOOKUP(B538,DivisionCostCodeLookup!$F$2:$G$426,2,FALSE),INT(LEFT(A538,2))&amp;"0000"),"")</f>
        <v/>
      </c>
      <c r="D538" s="94"/>
      <c r="E538" s="95"/>
      <c r="F538" s="96"/>
      <c r="G538" s="164"/>
      <c r="H538" s="97" t="str">
        <f t="shared" si="8"/>
        <v/>
      </c>
    </row>
    <row r="539" spans="1:8" s="86" customFormat="1">
      <c r="A539" s="92"/>
      <c r="B539" s="92"/>
      <c r="C539" s="93" t="str">
        <f>IF(A539&lt;&gt;"",IFERROR(VLOOKUP(B539,DivisionCostCodeLookup!$F$2:$G$426,2,FALSE),INT(LEFT(A539,2))&amp;"0000"),"")</f>
        <v/>
      </c>
      <c r="D539" s="94"/>
      <c r="E539" s="95"/>
      <c r="F539" s="96"/>
      <c r="G539" s="164"/>
      <c r="H539" s="97" t="str">
        <f t="shared" si="8"/>
        <v/>
      </c>
    </row>
    <row r="540" spans="1:8" s="86" customFormat="1">
      <c r="A540" s="92"/>
      <c r="B540" s="92"/>
      <c r="C540" s="93" t="str">
        <f>IF(A540&lt;&gt;"",IFERROR(VLOOKUP(B540,DivisionCostCodeLookup!$F$2:$G$426,2,FALSE),INT(LEFT(A540,2))&amp;"0000"),"")</f>
        <v/>
      </c>
      <c r="D540" s="94"/>
      <c r="E540" s="95"/>
      <c r="F540" s="96"/>
      <c r="G540" s="164"/>
      <c r="H540" s="97" t="str">
        <f t="shared" si="8"/>
        <v/>
      </c>
    </row>
    <row r="541" spans="1:8" s="86" customFormat="1">
      <c r="A541" s="92"/>
      <c r="B541" s="92"/>
      <c r="C541" s="93" t="str">
        <f>IF(A541&lt;&gt;"",IFERROR(VLOOKUP(B541,DivisionCostCodeLookup!$F$2:$G$426,2,FALSE),INT(LEFT(A541,2))&amp;"0000"),"")</f>
        <v/>
      </c>
      <c r="D541" s="94"/>
      <c r="E541" s="95"/>
      <c r="F541" s="96"/>
      <c r="G541" s="164"/>
      <c r="H541" s="97" t="str">
        <f t="shared" si="8"/>
        <v/>
      </c>
    </row>
    <row r="542" spans="1:8" s="86" customFormat="1">
      <c r="A542" s="92"/>
      <c r="B542" s="92"/>
      <c r="C542" s="93" t="str">
        <f>IF(A542&lt;&gt;"",IFERROR(VLOOKUP(B542,DivisionCostCodeLookup!$F$2:$G$426,2,FALSE),INT(LEFT(A542,2))&amp;"0000"),"")</f>
        <v/>
      </c>
      <c r="D542" s="94"/>
      <c r="E542" s="95"/>
      <c r="F542" s="96"/>
      <c r="G542" s="164"/>
      <c r="H542" s="97" t="str">
        <f t="shared" si="8"/>
        <v/>
      </c>
    </row>
    <row r="543" spans="1:8" s="86" customFormat="1">
      <c r="A543" s="92"/>
      <c r="B543" s="92"/>
      <c r="C543" s="93" t="str">
        <f>IF(A543&lt;&gt;"",IFERROR(VLOOKUP(B543,DivisionCostCodeLookup!$F$2:$G$426,2,FALSE),INT(LEFT(A543,2))&amp;"0000"),"")</f>
        <v/>
      </c>
      <c r="D543" s="94"/>
      <c r="E543" s="95"/>
      <c r="F543" s="96"/>
      <c r="G543" s="164"/>
      <c r="H543" s="97" t="str">
        <f t="shared" si="8"/>
        <v/>
      </c>
    </row>
    <row r="544" spans="1:8" s="86" customFormat="1">
      <c r="A544" s="92"/>
      <c r="B544" s="92"/>
      <c r="C544" s="93" t="str">
        <f>IF(A544&lt;&gt;"",IFERROR(VLOOKUP(B544,DivisionCostCodeLookup!$F$2:$G$426,2,FALSE),INT(LEFT(A544,2))&amp;"0000"),"")</f>
        <v/>
      </c>
      <c r="D544" s="94"/>
      <c r="E544" s="95"/>
      <c r="F544" s="96"/>
      <c r="G544" s="164"/>
      <c r="H544" s="97" t="str">
        <f t="shared" si="8"/>
        <v/>
      </c>
    </row>
    <row r="545" spans="1:8" s="86" customFormat="1">
      <c r="A545" s="92"/>
      <c r="B545" s="92"/>
      <c r="C545" s="93" t="str">
        <f>IF(A545&lt;&gt;"",IFERROR(VLOOKUP(B545,DivisionCostCodeLookup!$F$2:$G$426,2,FALSE),INT(LEFT(A545,2))&amp;"0000"),"")</f>
        <v/>
      </c>
      <c r="D545" s="94"/>
      <c r="E545" s="95"/>
      <c r="F545" s="96"/>
      <c r="G545" s="164"/>
      <c r="H545" s="97" t="str">
        <f t="shared" si="8"/>
        <v/>
      </c>
    </row>
    <row r="546" spans="1:8" s="86" customFormat="1">
      <c r="A546" s="92"/>
      <c r="B546" s="92"/>
      <c r="C546" s="93" t="str">
        <f>IF(A546&lt;&gt;"",IFERROR(VLOOKUP(B546,DivisionCostCodeLookup!$F$2:$G$426,2,FALSE),INT(LEFT(A546,2))&amp;"0000"),"")</f>
        <v/>
      </c>
      <c r="D546" s="94"/>
      <c r="E546" s="95"/>
      <c r="F546" s="96"/>
      <c r="G546" s="164"/>
      <c r="H546" s="97" t="str">
        <f t="shared" si="8"/>
        <v/>
      </c>
    </row>
    <row r="547" spans="1:8" s="86" customFormat="1">
      <c r="A547" s="92"/>
      <c r="B547" s="92"/>
      <c r="C547" s="93" t="str">
        <f>IF(A547&lt;&gt;"",IFERROR(VLOOKUP(B547,DivisionCostCodeLookup!$F$2:$G$426,2,FALSE),INT(LEFT(A547,2))&amp;"0000"),"")</f>
        <v/>
      </c>
      <c r="D547" s="94"/>
      <c r="E547" s="95"/>
      <c r="F547" s="96"/>
      <c r="G547" s="164"/>
      <c r="H547" s="97" t="str">
        <f t="shared" si="8"/>
        <v/>
      </c>
    </row>
    <row r="548" spans="1:8" s="86" customFormat="1">
      <c r="A548" s="92"/>
      <c r="B548" s="92"/>
      <c r="C548" s="93" t="str">
        <f>IF(A548&lt;&gt;"",IFERROR(VLOOKUP(B548,DivisionCostCodeLookup!$F$2:$G$426,2,FALSE),INT(LEFT(A548,2))&amp;"0000"),"")</f>
        <v/>
      </c>
      <c r="D548" s="94"/>
      <c r="E548" s="95"/>
      <c r="F548" s="96"/>
      <c r="G548" s="164"/>
      <c r="H548" s="97" t="str">
        <f t="shared" si="8"/>
        <v/>
      </c>
    </row>
    <row r="549" spans="1:8" s="86" customFormat="1">
      <c r="A549" s="92"/>
      <c r="B549" s="92"/>
      <c r="C549" s="93" t="str">
        <f>IF(A549&lt;&gt;"",IFERROR(VLOOKUP(B549,DivisionCostCodeLookup!$F$2:$G$426,2,FALSE),INT(LEFT(A549,2))&amp;"0000"),"")</f>
        <v/>
      </c>
      <c r="D549" s="94"/>
      <c r="E549" s="95"/>
      <c r="F549" s="96"/>
      <c r="G549" s="164"/>
      <c r="H549" s="97" t="str">
        <f t="shared" si="8"/>
        <v/>
      </c>
    </row>
    <row r="550" spans="1:8" s="86" customFormat="1">
      <c r="A550" s="92"/>
      <c r="B550" s="92"/>
      <c r="C550" s="93" t="str">
        <f>IF(A550&lt;&gt;"",IFERROR(VLOOKUP(B550,DivisionCostCodeLookup!$F$2:$G$426,2,FALSE),INT(LEFT(A550,2))&amp;"0000"),"")</f>
        <v/>
      </c>
      <c r="D550" s="94"/>
      <c r="E550" s="95"/>
      <c r="F550" s="96"/>
      <c r="G550" s="164"/>
      <c r="H550" s="97" t="str">
        <f t="shared" si="8"/>
        <v/>
      </c>
    </row>
    <row r="551" spans="1:8" s="86" customFormat="1">
      <c r="A551" s="92"/>
      <c r="B551" s="92"/>
      <c r="C551" s="93" t="str">
        <f>IF(A551&lt;&gt;"",IFERROR(VLOOKUP(B551,DivisionCostCodeLookup!$F$2:$G$426,2,FALSE),INT(LEFT(A551,2))&amp;"0000"),"")</f>
        <v/>
      </c>
      <c r="D551" s="94"/>
      <c r="E551" s="95"/>
      <c r="F551" s="96"/>
      <c r="G551" s="164"/>
      <c r="H551" s="97" t="str">
        <f t="shared" si="8"/>
        <v/>
      </c>
    </row>
    <row r="552" spans="1:8" s="86" customFormat="1">
      <c r="A552" s="92"/>
      <c r="B552" s="92"/>
      <c r="C552" s="93" t="str">
        <f>IF(A552&lt;&gt;"",IFERROR(VLOOKUP(B552,DivisionCostCodeLookup!$F$2:$G$426,2,FALSE),INT(LEFT(A552,2))&amp;"0000"),"")</f>
        <v/>
      </c>
      <c r="D552" s="94"/>
      <c r="E552" s="95"/>
      <c r="F552" s="96"/>
      <c r="G552" s="164"/>
      <c r="H552" s="97" t="str">
        <f t="shared" si="8"/>
        <v/>
      </c>
    </row>
    <row r="553" spans="1:8" s="86" customFormat="1">
      <c r="A553" s="92"/>
      <c r="B553" s="92"/>
      <c r="C553" s="93" t="str">
        <f>IF(A553&lt;&gt;"",IFERROR(VLOOKUP(B553,DivisionCostCodeLookup!$F$2:$G$426,2,FALSE),INT(LEFT(A553,2))&amp;"0000"),"")</f>
        <v/>
      </c>
      <c r="D553" s="94"/>
      <c r="E553" s="95"/>
      <c r="F553" s="96"/>
      <c r="G553" s="164"/>
      <c r="H553" s="97" t="str">
        <f t="shared" si="8"/>
        <v/>
      </c>
    </row>
    <row r="554" spans="1:8" s="86" customFormat="1">
      <c r="A554" s="92"/>
      <c r="B554" s="92"/>
      <c r="C554" s="93" t="str">
        <f>IF(A554&lt;&gt;"",IFERROR(VLOOKUP(B554,DivisionCostCodeLookup!$F$2:$G$426,2,FALSE),INT(LEFT(A554,2))&amp;"0000"),"")</f>
        <v/>
      </c>
      <c r="D554" s="94"/>
      <c r="E554" s="95"/>
      <c r="F554" s="96"/>
      <c r="G554" s="164"/>
      <c r="H554" s="97" t="str">
        <f t="shared" si="8"/>
        <v/>
      </c>
    </row>
    <row r="555" spans="1:8" s="86" customFormat="1">
      <c r="A555" s="92"/>
      <c r="B555" s="92"/>
      <c r="C555" s="93" t="str">
        <f>IF(A555&lt;&gt;"",IFERROR(VLOOKUP(B555,DivisionCostCodeLookup!$F$2:$G$426,2,FALSE),INT(LEFT(A555,2))&amp;"0000"),"")</f>
        <v/>
      </c>
      <c r="D555" s="94"/>
      <c r="E555" s="95"/>
      <c r="F555" s="96"/>
      <c r="G555" s="164"/>
      <c r="H555" s="97" t="str">
        <f t="shared" si="8"/>
        <v/>
      </c>
    </row>
    <row r="556" spans="1:8" s="86" customFormat="1">
      <c r="A556" s="92"/>
      <c r="B556" s="92"/>
      <c r="C556" s="93" t="str">
        <f>IF(A556&lt;&gt;"",IFERROR(VLOOKUP(B556,DivisionCostCodeLookup!$F$2:$G$426,2,FALSE),INT(LEFT(A556,2))&amp;"0000"),"")</f>
        <v/>
      </c>
      <c r="D556" s="94"/>
      <c r="E556" s="95"/>
      <c r="F556" s="96"/>
      <c r="G556" s="164"/>
      <c r="H556" s="97" t="str">
        <f t="shared" si="8"/>
        <v/>
      </c>
    </row>
    <row r="557" spans="1:8" s="86" customFormat="1">
      <c r="A557" s="92"/>
      <c r="B557" s="92"/>
      <c r="C557" s="93" t="str">
        <f>IF(A557&lt;&gt;"",IFERROR(VLOOKUP(B557,DivisionCostCodeLookup!$F$2:$G$426,2,FALSE),INT(LEFT(A557,2))&amp;"0000"),"")</f>
        <v/>
      </c>
      <c r="D557" s="94"/>
      <c r="E557" s="95"/>
      <c r="F557" s="96"/>
      <c r="G557" s="164"/>
      <c r="H557" s="97" t="str">
        <f t="shared" si="8"/>
        <v/>
      </c>
    </row>
    <row r="558" spans="1:8" s="86" customFormat="1">
      <c r="A558" s="92"/>
      <c r="B558" s="92"/>
      <c r="C558" s="93" t="str">
        <f>IF(A558&lt;&gt;"",IFERROR(VLOOKUP(B558,DivisionCostCodeLookup!$F$2:$G$426,2,FALSE),INT(LEFT(A558,2))&amp;"0000"),"")</f>
        <v/>
      </c>
      <c r="D558" s="94"/>
      <c r="E558" s="95"/>
      <c r="F558" s="96"/>
      <c r="G558" s="164"/>
      <c r="H558" s="97" t="str">
        <f t="shared" si="8"/>
        <v/>
      </c>
    </row>
    <row r="559" spans="1:8" s="86" customFormat="1">
      <c r="A559" s="92"/>
      <c r="B559" s="92"/>
      <c r="C559" s="93" t="str">
        <f>IF(A559&lt;&gt;"",IFERROR(VLOOKUP(B559,DivisionCostCodeLookup!$F$2:$G$426,2,FALSE),INT(LEFT(A559,2))&amp;"0000"),"")</f>
        <v/>
      </c>
      <c r="D559" s="94"/>
      <c r="E559" s="95"/>
      <c r="F559" s="96"/>
      <c r="G559" s="164"/>
      <c r="H559" s="97" t="str">
        <f t="shared" si="8"/>
        <v/>
      </c>
    </row>
    <row r="560" spans="1:8" s="86" customFormat="1">
      <c r="A560" s="92"/>
      <c r="B560" s="92"/>
      <c r="C560" s="93" t="str">
        <f>IF(A560&lt;&gt;"",IFERROR(VLOOKUP(B560,DivisionCostCodeLookup!$F$2:$G$426,2,FALSE),INT(LEFT(A560,2))&amp;"0000"),"")</f>
        <v/>
      </c>
      <c r="D560" s="94"/>
      <c r="E560" s="95"/>
      <c r="F560" s="96"/>
      <c r="G560" s="164"/>
      <c r="H560" s="97" t="str">
        <f t="shared" si="8"/>
        <v/>
      </c>
    </row>
    <row r="561" spans="1:8" s="86" customFormat="1">
      <c r="A561" s="92"/>
      <c r="B561" s="92"/>
      <c r="C561" s="93" t="str">
        <f>IF(A561&lt;&gt;"",IFERROR(VLOOKUP(B561,DivisionCostCodeLookup!$F$2:$G$426,2,FALSE),INT(LEFT(A561,2))&amp;"0000"),"")</f>
        <v/>
      </c>
      <c r="D561" s="94"/>
      <c r="E561" s="95"/>
      <c r="F561" s="96"/>
      <c r="G561" s="164"/>
      <c r="H561" s="97" t="str">
        <f t="shared" si="8"/>
        <v/>
      </c>
    </row>
    <row r="562" spans="1:8" s="86" customFormat="1">
      <c r="A562" s="92"/>
      <c r="B562" s="92"/>
      <c r="C562" s="93" t="str">
        <f>IF(A562&lt;&gt;"",IFERROR(VLOOKUP(B562,DivisionCostCodeLookup!$F$2:$G$426,2,FALSE),INT(LEFT(A562,2))&amp;"0000"),"")</f>
        <v/>
      </c>
      <c r="D562" s="94"/>
      <c r="E562" s="95"/>
      <c r="F562" s="96"/>
      <c r="G562" s="164"/>
      <c r="H562" s="97" t="str">
        <f t="shared" si="8"/>
        <v/>
      </c>
    </row>
    <row r="563" spans="1:8" s="86" customFormat="1">
      <c r="A563" s="92"/>
      <c r="B563" s="92"/>
      <c r="C563" s="93" t="str">
        <f>IF(A563&lt;&gt;"",IFERROR(VLOOKUP(B563,DivisionCostCodeLookup!$F$2:$G$426,2,FALSE),INT(LEFT(A563,2))&amp;"0000"),"")</f>
        <v/>
      </c>
      <c r="D563" s="94"/>
      <c r="E563" s="95"/>
      <c r="F563" s="96"/>
      <c r="G563" s="164"/>
      <c r="H563" s="97" t="str">
        <f t="shared" si="8"/>
        <v/>
      </c>
    </row>
    <row r="564" spans="1:8" s="86" customFormat="1">
      <c r="A564" s="92"/>
      <c r="B564" s="92"/>
      <c r="C564" s="93" t="str">
        <f>IF(A564&lt;&gt;"",IFERROR(VLOOKUP(B564,DivisionCostCodeLookup!$F$2:$G$426,2,FALSE),INT(LEFT(A564,2))&amp;"0000"),"")</f>
        <v/>
      </c>
      <c r="D564" s="94"/>
      <c r="E564" s="95"/>
      <c r="F564" s="96"/>
      <c r="G564" s="164"/>
      <c r="H564" s="97" t="str">
        <f t="shared" si="8"/>
        <v/>
      </c>
    </row>
    <row r="565" spans="1:8" s="86" customFormat="1">
      <c r="A565" s="92"/>
      <c r="B565" s="92"/>
      <c r="C565" s="93" t="str">
        <f>IF(A565&lt;&gt;"",IFERROR(VLOOKUP(B565,DivisionCostCodeLookup!$F$2:$G$426,2,FALSE),INT(LEFT(A565,2))&amp;"0000"),"")</f>
        <v/>
      </c>
      <c r="D565" s="94"/>
      <c r="E565" s="95"/>
      <c r="F565" s="96"/>
      <c r="G565" s="164"/>
      <c r="H565" s="97" t="str">
        <f t="shared" si="8"/>
        <v/>
      </c>
    </row>
    <row r="566" spans="1:8" s="86" customFormat="1">
      <c r="A566" s="92"/>
      <c r="B566" s="92"/>
      <c r="C566" s="93" t="str">
        <f>IF(A566&lt;&gt;"",IFERROR(VLOOKUP(B566,DivisionCostCodeLookup!$F$2:$G$426,2,FALSE),INT(LEFT(A566,2))&amp;"0000"),"")</f>
        <v/>
      </c>
      <c r="D566" s="94"/>
      <c r="E566" s="95"/>
      <c r="F566" s="96"/>
      <c r="G566" s="164"/>
      <c r="H566" s="97" t="str">
        <f t="shared" si="8"/>
        <v/>
      </c>
    </row>
    <row r="567" spans="1:8" s="86" customFormat="1">
      <c r="A567" s="92"/>
      <c r="B567" s="92"/>
      <c r="C567" s="93" t="str">
        <f>IF(A567&lt;&gt;"",IFERROR(VLOOKUP(B567,DivisionCostCodeLookup!$F$2:$G$426,2,FALSE),INT(LEFT(A567,2))&amp;"0000"),"")</f>
        <v/>
      </c>
      <c r="D567" s="94"/>
      <c r="E567" s="95"/>
      <c r="F567" s="96"/>
      <c r="G567" s="164"/>
      <c r="H567" s="97" t="str">
        <f t="shared" si="8"/>
        <v/>
      </c>
    </row>
    <row r="568" spans="1:8" s="86" customFormat="1">
      <c r="A568" s="92"/>
      <c r="B568" s="92"/>
      <c r="C568" s="93" t="str">
        <f>IF(A568&lt;&gt;"",IFERROR(VLOOKUP(B568,DivisionCostCodeLookup!$F$2:$G$426,2,FALSE),INT(LEFT(A568,2))&amp;"0000"),"")</f>
        <v/>
      </c>
      <c r="D568" s="94"/>
      <c r="E568" s="95"/>
      <c r="F568" s="96"/>
      <c r="G568" s="164"/>
      <c r="H568" s="97" t="str">
        <f t="shared" si="8"/>
        <v/>
      </c>
    </row>
    <row r="569" spans="1:8" s="86" customFormat="1">
      <c r="A569" s="92"/>
      <c r="B569" s="92"/>
      <c r="C569" s="93" t="str">
        <f>IF(A569&lt;&gt;"",IFERROR(VLOOKUP(B569,DivisionCostCodeLookup!$F$2:$G$426,2,FALSE),INT(LEFT(A569,2))&amp;"0000"),"")</f>
        <v/>
      </c>
      <c r="D569" s="94"/>
      <c r="E569" s="95"/>
      <c r="F569" s="96"/>
      <c r="G569" s="164"/>
      <c r="H569" s="97" t="str">
        <f t="shared" si="8"/>
        <v/>
      </c>
    </row>
    <row r="570" spans="1:8" s="86" customFormat="1">
      <c r="A570" s="92"/>
      <c r="B570" s="92"/>
      <c r="C570" s="93" t="str">
        <f>IF(A570&lt;&gt;"",IFERROR(VLOOKUP(B570,DivisionCostCodeLookup!$F$2:$G$426,2,FALSE),INT(LEFT(A570,2))&amp;"0000"),"")</f>
        <v/>
      </c>
      <c r="D570" s="94"/>
      <c r="E570" s="95"/>
      <c r="F570" s="96"/>
      <c r="G570" s="164"/>
      <c r="H570" s="97" t="str">
        <f t="shared" si="8"/>
        <v/>
      </c>
    </row>
    <row r="571" spans="1:8" s="86" customFormat="1">
      <c r="A571" s="92"/>
      <c r="B571" s="92"/>
      <c r="C571" s="93" t="str">
        <f>IF(A571&lt;&gt;"",IFERROR(VLOOKUP(B571,DivisionCostCodeLookup!$F$2:$G$426,2,FALSE),INT(LEFT(A571,2))&amp;"0000"),"")</f>
        <v/>
      </c>
      <c r="D571" s="94"/>
      <c r="E571" s="95"/>
      <c r="F571" s="96"/>
      <c r="G571" s="164"/>
      <c r="H571" s="97" t="str">
        <f t="shared" si="8"/>
        <v/>
      </c>
    </row>
    <row r="572" spans="1:8" s="86" customFormat="1">
      <c r="A572" s="92"/>
      <c r="B572" s="92"/>
      <c r="C572" s="93" t="str">
        <f>IF(A572&lt;&gt;"",IFERROR(VLOOKUP(B572,DivisionCostCodeLookup!$F$2:$G$426,2,FALSE),INT(LEFT(A572,2))&amp;"0000"),"")</f>
        <v/>
      </c>
      <c r="D572" s="94"/>
      <c r="E572" s="95"/>
      <c r="F572" s="96"/>
      <c r="G572" s="164"/>
      <c r="H572" s="97" t="str">
        <f t="shared" si="8"/>
        <v/>
      </c>
    </row>
    <row r="573" spans="1:8" s="86" customFormat="1">
      <c r="A573" s="92"/>
      <c r="B573" s="92"/>
      <c r="C573" s="93" t="str">
        <f>IF(A573&lt;&gt;"",IFERROR(VLOOKUP(B573,DivisionCostCodeLookup!$F$2:$G$426,2,FALSE),INT(LEFT(A573,2))&amp;"0000"),"")</f>
        <v/>
      </c>
      <c r="D573" s="94"/>
      <c r="E573" s="95"/>
      <c r="F573" s="96"/>
      <c r="G573" s="164"/>
      <c r="H573" s="97" t="str">
        <f t="shared" si="8"/>
        <v/>
      </c>
    </row>
    <row r="574" spans="1:8" s="86" customFormat="1">
      <c r="A574" s="92"/>
      <c r="B574" s="92"/>
      <c r="C574" s="93" t="str">
        <f>IF(A574&lt;&gt;"",IFERROR(VLOOKUP(B574,DivisionCostCodeLookup!$F$2:$G$426,2,FALSE),INT(LEFT(A574,2))&amp;"0000"),"")</f>
        <v/>
      </c>
      <c r="D574" s="94"/>
      <c r="E574" s="95"/>
      <c r="F574" s="96"/>
      <c r="G574" s="164"/>
      <c r="H574" s="97" t="str">
        <f t="shared" si="8"/>
        <v/>
      </c>
    </row>
    <row r="575" spans="1:8" s="86" customFormat="1">
      <c r="A575" s="92"/>
      <c r="B575" s="92"/>
      <c r="C575" s="93" t="str">
        <f>IF(A575&lt;&gt;"",IFERROR(VLOOKUP(B575,DivisionCostCodeLookup!$F$2:$G$426,2,FALSE),INT(LEFT(A575,2))&amp;"0000"),"")</f>
        <v/>
      </c>
      <c r="D575" s="94"/>
      <c r="E575" s="95"/>
      <c r="F575" s="96"/>
      <c r="G575" s="164"/>
      <c r="H575" s="97" t="str">
        <f t="shared" si="8"/>
        <v/>
      </c>
    </row>
    <row r="576" spans="1:8" s="86" customFormat="1">
      <c r="A576" s="92"/>
      <c r="B576" s="92"/>
      <c r="C576" s="93" t="str">
        <f>IF(A576&lt;&gt;"",IFERROR(VLOOKUP(B576,DivisionCostCodeLookup!$F$2:$G$426,2,FALSE),INT(LEFT(A576,2))&amp;"0000"),"")</f>
        <v/>
      </c>
      <c r="D576" s="94"/>
      <c r="E576" s="95"/>
      <c r="F576" s="96"/>
      <c r="G576" s="164"/>
      <c r="H576" s="97" t="str">
        <f t="shared" si="8"/>
        <v/>
      </c>
    </row>
    <row r="577" spans="1:8" s="86" customFormat="1">
      <c r="A577" s="92"/>
      <c r="B577" s="92"/>
      <c r="C577" s="93" t="str">
        <f>IF(A577&lt;&gt;"",IFERROR(VLOOKUP(B577,DivisionCostCodeLookup!$F$2:$G$426,2,FALSE),INT(LEFT(A577,2))&amp;"0000"),"")</f>
        <v/>
      </c>
      <c r="D577" s="94"/>
      <c r="E577" s="95"/>
      <c r="F577" s="96"/>
      <c r="G577" s="164"/>
      <c r="H577" s="97" t="str">
        <f t="shared" si="8"/>
        <v/>
      </c>
    </row>
    <row r="578" spans="1:8" s="86" customFormat="1">
      <c r="A578" s="92"/>
      <c r="B578" s="92"/>
      <c r="C578" s="93" t="str">
        <f>IF(A578&lt;&gt;"",IFERROR(VLOOKUP(B578,DivisionCostCodeLookup!$F$2:$G$426,2,FALSE),INT(LEFT(A578,2))&amp;"0000"),"")</f>
        <v/>
      </c>
      <c r="D578" s="94"/>
      <c r="E578" s="95"/>
      <c r="F578" s="96"/>
      <c r="G578" s="164"/>
      <c r="H578" s="97" t="str">
        <f t="shared" si="8"/>
        <v/>
      </c>
    </row>
    <row r="579" spans="1:8" s="86" customFormat="1">
      <c r="A579" s="92"/>
      <c r="B579" s="92"/>
      <c r="C579" s="93" t="str">
        <f>IF(A579&lt;&gt;"",IFERROR(VLOOKUP(B579,DivisionCostCodeLookup!$F$2:$G$426,2,FALSE),INT(LEFT(A579,2))&amp;"0000"),"")</f>
        <v/>
      </c>
      <c r="D579" s="94"/>
      <c r="E579" s="95"/>
      <c r="F579" s="96"/>
      <c r="G579" s="164"/>
      <c r="H579" s="97" t="str">
        <f t="shared" si="8"/>
        <v/>
      </c>
    </row>
    <row r="580" spans="1:8" s="86" customFormat="1">
      <c r="A580" s="92"/>
      <c r="B580" s="92"/>
      <c r="C580" s="93" t="str">
        <f>IF(A580&lt;&gt;"",IFERROR(VLOOKUP(B580,DivisionCostCodeLookup!$F$2:$G$426,2,FALSE),INT(LEFT(A580,2))&amp;"0000"),"")</f>
        <v/>
      </c>
      <c r="D580" s="94"/>
      <c r="E580" s="95"/>
      <c r="F580" s="96"/>
      <c r="G580" s="164"/>
      <c r="H580" s="97" t="str">
        <f t="shared" si="8"/>
        <v/>
      </c>
    </row>
    <row r="581" spans="1:8" s="86" customFormat="1">
      <c r="A581" s="92"/>
      <c r="B581" s="92"/>
      <c r="C581" s="93" t="str">
        <f>IF(A581&lt;&gt;"",IFERROR(VLOOKUP(B581,DivisionCostCodeLookup!$F$2:$G$426,2,FALSE),INT(LEFT(A581,2))&amp;"0000"),"")</f>
        <v/>
      </c>
      <c r="D581" s="94"/>
      <c r="E581" s="95"/>
      <c r="F581" s="96"/>
      <c r="G581" s="164"/>
      <c r="H581" s="97" t="str">
        <f t="shared" si="8"/>
        <v/>
      </c>
    </row>
    <row r="582" spans="1:8" s="86" customFormat="1">
      <c r="A582" s="92"/>
      <c r="B582" s="92"/>
      <c r="C582" s="93" t="str">
        <f>IF(A582&lt;&gt;"",IFERROR(VLOOKUP(B582,DivisionCostCodeLookup!$F$2:$G$426,2,FALSE),INT(LEFT(A582,2))&amp;"0000"),"")</f>
        <v/>
      </c>
      <c r="D582" s="94"/>
      <c r="E582" s="95"/>
      <c r="F582" s="96"/>
      <c r="G582" s="164"/>
      <c r="H582" s="97" t="str">
        <f t="shared" si="8"/>
        <v/>
      </c>
    </row>
    <row r="583" spans="1:8" s="86" customFormat="1">
      <c r="A583" s="92"/>
      <c r="B583" s="92"/>
      <c r="C583" s="93" t="str">
        <f>IF(A583&lt;&gt;"",IFERROR(VLOOKUP(B583,DivisionCostCodeLookup!$F$2:$G$426,2,FALSE),INT(LEFT(A583,2))&amp;"0000"),"")</f>
        <v/>
      </c>
      <c r="D583" s="94"/>
      <c r="E583" s="95"/>
      <c r="F583" s="96"/>
      <c r="G583" s="164"/>
      <c r="H583" s="97" t="str">
        <f t="shared" si="8"/>
        <v/>
      </c>
    </row>
    <row r="584" spans="1:8" s="86" customFormat="1">
      <c r="A584" s="92"/>
      <c r="B584" s="92"/>
      <c r="C584" s="93" t="str">
        <f>IF(A584&lt;&gt;"",IFERROR(VLOOKUP(B584,DivisionCostCodeLookup!$F$2:$G$426,2,FALSE),INT(LEFT(A584,2))&amp;"0000"),"")</f>
        <v/>
      </c>
      <c r="D584" s="94"/>
      <c r="E584" s="95"/>
      <c r="F584" s="96"/>
      <c r="G584" s="164"/>
      <c r="H584" s="97" t="str">
        <f t="shared" ref="H584:H647" si="9">IF(E584*G584&lt;&gt;0,E584*G584,"")</f>
        <v/>
      </c>
    </row>
    <row r="585" spans="1:8" s="86" customFormat="1">
      <c r="A585" s="92"/>
      <c r="B585" s="92"/>
      <c r="C585" s="93" t="str">
        <f>IF(A585&lt;&gt;"",IFERROR(VLOOKUP(B585,DivisionCostCodeLookup!$F$2:$G$426,2,FALSE),INT(LEFT(A585,2))&amp;"0000"),"")</f>
        <v/>
      </c>
      <c r="D585" s="94"/>
      <c r="E585" s="95"/>
      <c r="F585" s="96"/>
      <c r="G585" s="164"/>
      <c r="H585" s="97" t="str">
        <f t="shared" si="9"/>
        <v/>
      </c>
    </row>
    <row r="586" spans="1:8" s="86" customFormat="1">
      <c r="A586" s="92"/>
      <c r="B586" s="92"/>
      <c r="C586" s="93" t="str">
        <f>IF(A586&lt;&gt;"",IFERROR(VLOOKUP(B586,DivisionCostCodeLookup!$F$2:$G$426,2,FALSE),INT(LEFT(A586,2))&amp;"0000"),"")</f>
        <v/>
      </c>
      <c r="D586" s="94"/>
      <c r="E586" s="95"/>
      <c r="F586" s="96"/>
      <c r="G586" s="164"/>
      <c r="H586" s="97" t="str">
        <f t="shared" si="9"/>
        <v/>
      </c>
    </row>
    <row r="587" spans="1:8" s="86" customFormat="1">
      <c r="A587" s="92"/>
      <c r="B587" s="92"/>
      <c r="C587" s="93" t="str">
        <f>IF(A587&lt;&gt;"",IFERROR(VLOOKUP(B587,DivisionCostCodeLookup!$F$2:$G$426,2,FALSE),INT(LEFT(A587,2))&amp;"0000"),"")</f>
        <v/>
      </c>
      <c r="D587" s="94"/>
      <c r="E587" s="95"/>
      <c r="F587" s="96"/>
      <c r="G587" s="164"/>
      <c r="H587" s="97" t="str">
        <f t="shared" si="9"/>
        <v/>
      </c>
    </row>
    <row r="588" spans="1:8" s="86" customFormat="1">
      <c r="A588" s="92"/>
      <c r="B588" s="92"/>
      <c r="C588" s="93" t="str">
        <f>IF(A588&lt;&gt;"",IFERROR(VLOOKUP(B588,DivisionCostCodeLookup!$F$2:$G$426,2,FALSE),INT(LEFT(A588,2))&amp;"0000"),"")</f>
        <v/>
      </c>
      <c r="D588" s="94"/>
      <c r="E588" s="95"/>
      <c r="F588" s="96"/>
      <c r="G588" s="164"/>
      <c r="H588" s="97" t="str">
        <f t="shared" si="9"/>
        <v/>
      </c>
    </row>
    <row r="589" spans="1:8" s="86" customFormat="1">
      <c r="A589" s="92"/>
      <c r="B589" s="92"/>
      <c r="C589" s="93" t="str">
        <f>IF(A589&lt;&gt;"",IFERROR(VLOOKUP(B589,DivisionCostCodeLookup!$F$2:$G$426,2,FALSE),INT(LEFT(A589,2))&amp;"0000"),"")</f>
        <v/>
      </c>
      <c r="D589" s="94"/>
      <c r="E589" s="95"/>
      <c r="F589" s="96"/>
      <c r="G589" s="164"/>
      <c r="H589" s="97" t="str">
        <f t="shared" si="9"/>
        <v/>
      </c>
    </row>
    <row r="590" spans="1:8" s="86" customFormat="1">
      <c r="A590" s="92"/>
      <c r="B590" s="92"/>
      <c r="C590" s="93" t="str">
        <f>IF(A590&lt;&gt;"",IFERROR(VLOOKUP(B590,DivisionCostCodeLookup!$F$2:$G$426,2,FALSE),INT(LEFT(A590,2))&amp;"0000"),"")</f>
        <v/>
      </c>
      <c r="D590" s="94"/>
      <c r="E590" s="95"/>
      <c r="F590" s="96"/>
      <c r="G590" s="164"/>
      <c r="H590" s="97" t="str">
        <f t="shared" si="9"/>
        <v/>
      </c>
    </row>
    <row r="591" spans="1:8" s="86" customFormat="1">
      <c r="A591" s="92"/>
      <c r="B591" s="92"/>
      <c r="C591" s="93" t="str">
        <f>IF(A591&lt;&gt;"",IFERROR(VLOOKUP(B591,DivisionCostCodeLookup!$F$2:$G$426,2,FALSE),INT(LEFT(A591,2))&amp;"0000"),"")</f>
        <v/>
      </c>
      <c r="D591" s="94"/>
      <c r="E591" s="95"/>
      <c r="F591" s="96"/>
      <c r="G591" s="164"/>
      <c r="H591" s="97" t="str">
        <f t="shared" si="9"/>
        <v/>
      </c>
    </row>
    <row r="592" spans="1:8" s="86" customFormat="1">
      <c r="A592" s="92"/>
      <c r="B592" s="92"/>
      <c r="C592" s="93" t="str">
        <f>IF(A592&lt;&gt;"",IFERROR(VLOOKUP(B592,DivisionCostCodeLookup!$F$2:$G$426,2,FALSE),INT(LEFT(A592,2))&amp;"0000"),"")</f>
        <v/>
      </c>
      <c r="D592" s="94"/>
      <c r="E592" s="95"/>
      <c r="F592" s="96"/>
      <c r="G592" s="164"/>
      <c r="H592" s="97" t="str">
        <f t="shared" si="9"/>
        <v/>
      </c>
    </row>
    <row r="593" spans="1:8" s="86" customFormat="1">
      <c r="A593" s="92"/>
      <c r="B593" s="92"/>
      <c r="C593" s="93" t="str">
        <f>IF(A593&lt;&gt;"",IFERROR(VLOOKUP(B593,DivisionCostCodeLookup!$F$2:$G$426,2,FALSE),INT(LEFT(A593,2))&amp;"0000"),"")</f>
        <v/>
      </c>
      <c r="D593" s="94"/>
      <c r="E593" s="95"/>
      <c r="F593" s="96"/>
      <c r="G593" s="164"/>
      <c r="H593" s="97" t="str">
        <f t="shared" si="9"/>
        <v/>
      </c>
    </row>
    <row r="594" spans="1:8" s="86" customFormat="1">
      <c r="A594" s="92"/>
      <c r="B594" s="92"/>
      <c r="C594" s="93" t="str">
        <f>IF(A594&lt;&gt;"",IFERROR(VLOOKUP(B594,DivisionCostCodeLookup!$F$2:$G$426,2,FALSE),INT(LEFT(A594,2))&amp;"0000"),"")</f>
        <v/>
      </c>
      <c r="D594" s="94"/>
      <c r="E594" s="95"/>
      <c r="F594" s="96"/>
      <c r="G594" s="164"/>
      <c r="H594" s="97" t="str">
        <f t="shared" si="9"/>
        <v/>
      </c>
    </row>
    <row r="595" spans="1:8" s="86" customFormat="1">
      <c r="A595" s="92"/>
      <c r="B595" s="92"/>
      <c r="C595" s="93" t="str">
        <f>IF(A595&lt;&gt;"",IFERROR(VLOOKUP(B595,DivisionCostCodeLookup!$F$2:$G$426,2,FALSE),INT(LEFT(A595,2))&amp;"0000"),"")</f>
        <v/>
      </c>
      <c r="D595" s="94"/>
      <c r="E595" s="95"/>
      <c r="F595" s="96"/>
      <c r="G595" s="164"/>
      <c r="H595" s="97" t="str">
        <f t="shared" si="9"/>
        <v/>
      </c>
    </row>
    <row r="596" spans="1:8" s="86" customFormat="1">
      <c r="A596" s="92"/>
      <c r="B596" s="92"/>
      <c r="C596" s="93" t="str">
        <f>IF(A596&lt;&gt;"",IFERROR(VLOOKUP(B596,DivisionCostCodeLookup!$F$2:$G$426,2,FALSE),INT(LEFT(A596,2))&amp;"0000"),"")</f>
        <v/>
      </c>
      <c r="D596" s="94"/>
      <c r="E596" s="95"/>
      <c r="F596" s="96"/>
      <c r="G596" s="164"/>
      <c r="H596" s="97" t="str">
        <f t="shared" si="9"/>
        <v/>
      </c>
    </row>
    <row r="597" spans="1:8" s="86" customFormat="1">
      <c r="A597" s="92"/>
      <c r="B597" s="92"/>
      <c r="C597" s="93" t="str">
        <f>IF(A597&lt;&gt;"",IFERROR(VLOOKUP(B597,DivisionCostCodeLookup!$F$2:$G$426,2,FALSE),INT(LEFT(A597,2))&amp;"0000"),"")</f>
        <v/>
      </c>
      <c r="D597" s="94"/>
      <c r="E597" s="95"/>
      <c r="F597" s="96"/>
      <c r="G597" s="164"/>
      <c r="H597" s="97" t="str">
        <f t="shared" si="9"/>
        <v/>
      </c>
    </row>
    <row r="598" spans="1:8" s="86" customFormat="1">
      <c r="A598" s="92"/>
      <c r="B598" s="92"/>
      <c r="C598" s="93" t="str">
        <f>IF(A598&lt;&gt;"",IFERROR(VLOOKUP(B598,DivisionCostCodeLookup!$F$2:$G$426,2,FALSE),INT(LEFT(A598,2))&amp;"0000"),"")</f>
        <v/>
      </c>
      <c r="D598" s="94"/>
      <c r="E598" s="95"/>
      <c r="F598" s="96"/>
      <c r="G598" s="164"/>
      <c r="H598" s="97" t="str">
        <f t="shared" si="9"/>
        <v/>
      </c>
    </row>
    <row r="599" spans="1:8" s="86" customFormat="1">
      <c r="A599" s="92"/>
      <c r="B599" s="92"/>
      <c r="C599" s="93" t="str">
        <f>IF(A599&lt;&gt;"",IFERROR(VLOOKUP(B599,DivisionCostCodeLookup!$F$2:$G$426,2,FALSE),INT(LEFT(A599,2))&amp;"0000"),"")</f>
        <v/>
      </c>
      <c r="D599" s="94"/>
      <c r="E599" s="95"/>
      <c r="F599" s="96"/>
      <c r="G599" s="164"/>
      <c r="H599" s="97" t="str">
        <f t="shared" si="9"/>
        <v/>
      </c>
    </row>
    <row r="600" spans="1:8" s="86" customFormat="1">
      <c r="A600" s="92"/>
      <c r="B600" s="92"/>
      <c r="C600" s="93" t="str">
        <f>IF(A600&lt;&gt;"",IFERROR(VLOOKUP(B600,DivisionCostCodeLookup!$F$2:$G$426,2,FALSE),INT(LEFT(A600,2))&amp;"0000"),"")</f>
        <v/>
      </c>
      <c r="D600" s="94"/>
      <c r="E600" s="95"/>
      <c r="F600" s="96"/>
      <c r="G600" s="164"/>
      <c r="H600" s="97" t="str">
        <f t="shared" si="9"/>
        <v/>
      </c>
    </row>
    <row r="601" spans="1:8" s="86" customFormat="1">
      <c r="A601" s="92"/>
      <c r="B601" s="92"/>
      <c r="C601" s="93" t="str">
        <f>IF(A601&lt;&gt;"",IFERROR(VLOOKUP(B601,DivisionCostCodeLookup!$F$2:$G$426,2,FALSE),INT(LEFT(A601,2))&amp;"0000"),"")</f>
        <v/>
      </c>
      <c r="D601" s="94"/>
      <c r="E601" s="95"/>
      <c r="F601" s="96"/>
      <c r="G601" s="164"/>
      <c r="H601" s="97" t="str">
        <f t="shared" si="9"/>
        <v/>
      </c>
    </row>
    <row r="602" spans="1:8" s="86" customFormat="1">
      <c r="A602" s="92"/>
      <c r="B602" s="92"/>
      <c r="C602" s="93" t="str">
        <f>IF(A602&lt;&gt;"",IFERROR(VLOOKUP(B602,DivisionCostCodeLookup!$F$2:$G$426,2,FALSE),INT(LEFT(A602,2))&amp;"0000"),"")</f>
        <v/>
      </c>
      <c r="D602" s="94"/>
      <c r="E602" s="95"/>
      <c r="F602" s="96"/>
      <c r="G602" s="164"/>
      <c r="H602" s="97" t="str">
        <f t="shared" si="9"/>
        <v/>
      </c>
    </row>
    <row r="603" spans="1:8" s="86" customFormat="1">
      <c r="A603" s="92"/>
      <c r="B603" s="92"/>
      <c r="C603" s="93" t="str">
        <f>IF(A603&lt;&gt;"",IFERROR(VLOOKUP(B603,DivisionCostCodeLookup!$F$2:$G$426,2,FALSE),INT(LEFT(A603,2))&amp;"0000"),"")</f>
        <v/>
      </c>
      <c r="D603" s="94"/>
      <c r="E603" s="95"/>
      <c r="F603" s="96"/>
      <c r="G603" s="164"/>
      <c r="H603" s="97" t="str">
        <f t="shared" si="9"/>
        <v/>
      </c>
    </row>
    <row r="604" spans="1:8" s="86" customFormat="1">
      <c r="A604" s="92"/>
      <c r="B604" s="92"/>
      <c r="C604" s="93" t="str">
        <f>IF(A604&lt;&gt;"",IFERROR(VLOOKUP(B604,DivisionCostCodeLookup!$F$2:$G$426,2,FALSE),INT(LEFT(A604,2))&amp;"0000"),"")</f>
        <v/>
      </c>
      <c r="D604" s="94"/>
      <c r="E604" s="95"/>
      <c r="F604" s="96"/>
      <c r="G604" s="164"/>
      <c r="H604" s="97" t="str">
        <f t="shared" si="9"/>
        <v/>
      </c>
    </row>
    <row r="605" spans="1:8" s="86" customFormat="1">
      <c r="A605" s="92"/>
      <c r="B605" s="92"/>
      <c r="C605" s="93" t="str">
        <f>IF(A605&lt;&gt;"",IFERROR(VLOOKUP(B605,DivisionCostCodeLookup!$F$2:$G$426,2,FALSE),INT(LEFT(A605,2))&amp;"0000"),"")</f>
        <v/>
      </c>
      <c r="D605" s="94"/>
      <c r="E605" s="95"/>
      <c r="F605" s="96"/>
      <c r="G605" s="164"/>
      <c r="H605" s="97" t="str">
        <f t="shared" si="9"/>
        <v/>
      </c>
    </row>
    <row r="606" spans="1:8" s="86" customFormat="1">
      <c r="A606" s="92"/>
      <c r="B606" s="92"/>
      <c r="C606" s="93" t="str">
        <f>IF(A606&lt;&gt;"",IFERROR(VLOOKUP(B606,DivisionCostCodeLookup!$F$2:$G$426,2,FALSE),INT(LEFT(A606,2))&amp;"0000"),"")</f>
        <v/>
      </c>
      <c r="D606" s="94"/>
      <c r="E606" s="95"/>
      <c r="F606" s="96"/>
      <c r="G606" s="164"/>
      <c r="H606" s="97" t="str">
        <f t="shared" si="9"/>
        <v/>
      </c>
    </row>
    <row r="607" spans="1:8" s="86" customFormat="1">
      <c r="A607" s="92"/>
      <c r="B607" s="92"/>
      <c r="C607" s="93" t="str">
        <f>IF(A607&lt;&gt;"",IFERROR(VLOOKUP(B607,DivisionCostCodeLookup!$F$2:$G$426,2,FALSE),INT(LEFT(A607,2))&amp;"0000"),"")</f>
        <v/>
      </c>
      <c r="D607" s="94"/>
      <c r="E607" s="95"/>
      <c r="F607" s="96"/>
      <c r="G607" s="164"/>
      <c r="H607" s="97" t="str">
        <f t="shared" si="9"/>
        <v/>
      </c>
    </row>
    <row r="608" spans="1:8" s="86" customFormat="1">
      <c r="A608" s="92"/>
      <c r="B608" s="92"/>
      <c r="C608" s="93" t="str">
        <f>IF(A608&lt;&gt;"",IFERROR(VLOOKUP(B608,DivisionCostCodeLookup!$F$2:$G$426,2,FALSE),INT(LEFT(A608,2))&amp;"0000"),"")</f>
        <v/>
      </c>
      <c r="D608" s="94"/>
      <c r="E608" s="95"/>
      <c r="F608" s="96"/>
      <c r="G608" s="164"/>
      <c r="H608" s="97" t="str">
        <f t="shared" si="9"/>
        <v/>
      </c>
    </row>
    <row r="609" spans="1:8" s="86" customFormat="1">
      <c r="A609" s="92"/>
      <c r="B609" s="92"/>
      <c r="C609" s="93" t="str">
        <f>IF(A609&lt;&gt;"",IFERROR(VLOOKUP(B609,DivisionCostCodeLookup!$F$2:$G$426,2,FALSE),INT(LEFT(A609,2))&amp;"0000"),"")</f>
        <v/>
      </c>
      <c r="D609" s="94"/>
      <c r="E609" s="95"/>
      <c r="F609" s="96"/>
      <c r="G609" s="164"/>
      <c r="H609" s="97" t="str">
        <f t="shared" si="9"/>
        <v/>
      </c>
    </row>
    <row r="610" spans="1:8" s="86" customFormat="1">
      <c r="A610" s="92"/>
      <c r="B610" s="92"/>
      <c r="C610" s="93" t="str">
        <f>IF(A610&lt;&gt;"",IFERROR(VLOOKUP(B610,DivisionCostCodeLookup!$F$2:$G$426,2,FALSE),INT(LEFT(A610,2))&amp;"0000"),"")</f>
        <v/>
      </c>
      <c r="D610" s="94"/>
      <c r="E610" s="95"/>
      <c r="F610" s="96"/>
      <c r="G610" s="164"/>
      <c r="H610" s="97" t="str">
        <f t="shared" si="9"/>
        <v/>
      </c>
    </row>
    <row r="611" spans="1:8" s="86" customFormat="1">
      <c r="A611" s="92"/>
      <c r="B611" s="92"/>
      <c r="C611" s="93" t="str">
        <f>IF(A611&lt;&gt;"",IFERROR(VLOOKUP(B611,DivisionCostCodeLookup!$F$2:$G$426,2,FALSE),INT(LEFT(A611,2))&amp;"0000"),"")</f>
        <v/>
      </c>
      <c r="D611" s="94"/>
      <c r="E611" s="95"/>
      <c r="F611" s="96"/>
      <c r="G611" s="164"/>
      <c r="H611" s="97" t="str">
        <f t="shared" si="9"/>
        <v/>
      </c>
    </row>
    <row r="612" spans="1:8" s="86" customFormat="1">
      <c r="A612" s="92"/>
      <c r="B612" s="92"/>
      <c r="C612" s="93" t="str">
        <f>IF(A612&lt;&gt;"",IFERROR(VLOOKUP(B612,DivisionCostCodeLookup!$F$2:$G$426,2,FALSE),INT(LEFT(A612,2))&amp;"0000"),"")</f>
        <v/>
      </c>
      <c r="D612" s="94"/>
      <c r="E612" s="95"/>
      <c r="F612" s="96"/>
      <c r="G612" s="164"/>
      <c r="H612" s="97" t="str">
        <f t="shared" si="9"/>
        <v/>
      </c>
    </row>
    <row r="613" spans="1:8" s="86" customFormat="1">
      <c r="A613" s="92"/>
      <c r="B613" s="92"/>
      <c r="C613" s="93" t="str">
        <f>IF(A613&lt;&gt;"",IFERROR(VLOOKUP(B613,DivisionCostCodeLookup!$F$2:$G$426,2,FALSE),INT(LEFT(A613,2))&amp;"0000"),"")</f>
        <v/>
      </c>
      <c r="D613" s="94"/>
      <c r="E613" s="95"/>
      <c r="F613" s="96"/>
      <c r="G613" s="164"/>
      <c r="H613" s="97" t="str">
        <f t="shared" si="9"/>
        <v/>
      </c>
    </row>
    <row r="614" spans="1:8" s="86" customFormat="1">
      <c r="A614" s="92"/>
      <c r="B614" s="92"/>
      <c r="C614" s="93" t="str">
        <f>IF(A614&lt;&gt;"",IFERROR(VLOOKUP(B614,DivisionCostCodeLookup!$F$2:$G$426,2,FALSE),INT(LEFT(A614,2))&amp;"0000"),"")</f>
        <v/>
      </c>
      <c r="D614" s="94"/>
      <c r="E614" s="95"/>
      <c r="F614" s="96"/>
      <c r="G614" s="164"/>
      <c r="H614" s="97" t="str">
        <f t="shared" si="9"/>
        <v/>
      </c>
    </row>
    <row r="615" spans="1:8" s="86" customFormat="1">
      <c r="A615" s="92"/>
      <c r="B615" s="92"/>
      <c r="C615" s="93" t="str">
        <f>IF(A615&lt;&gt;"",IFERROR(VLOOKUP(B615,DivisionCostCodeLookup!$F$2:$G$426,2,FALSE),INT(LEFT(A615,2))&amp;"0000"),"")</f>
        <v/>
      </c>
      <c r="D615" s="94"/>
      <c r="E615" s="95"/>
      <c r="F615" s="96"/>
      <c r="G615" s="164"/>
      <c r="H615" s="97" t="str">
        <f t="shared" si="9"/>
        <v/>
      </c>
    </row>
    <row r="616" spans="1:8" s="86" customFormat="1">
      <c r="A616" s="92"/>
      <c r="B616" s="92"/>
      <c r="C616" s="93" t="str">
        <f>IF(A616&lt;&gt;"",IFERROR(VLOOKUP(B616,DivisionCostCodeLookup!$F$2:$G$426,2,FALSE),INT(LEFT(A616,2))&amp;"0000"),"")</f>
        <v/>
      </c>
      <c r="D616" s="94"/>
      <c r="E616" s="95"/>
      <c r="F616" s="96"/>
      <c r="G616" s="164"/>
      <c r="H616" s="97" t="str">
        <f t="shared" si="9"/>
        <v/>
      </c>
    </row>
    <row r="617" spans="1:8" s="86" customFormat="1">
      <c r="A617" s="92"/>
      <c r="B617" s="92"/>
      <c r="C617" s="93" t="str">
        <f>IF(A617&lt;&gt;"",IFERROR(VLOOKUP(B617,DivisionCostCodeLookup!$F$2:$G$426,2,FALSE),INT(LEFT(A617,2))&amp;"0000"),"")</f>
        <v/>
      </c>
      <c r="D617" s="94"/>
      <c r="E617" s="95"/>
      <c r="F617" s="96"/>
      <c r="G617" s="164"/>
      <c r="H617" s="97" t="str">
        <f t="shared" si="9"/>
        <v/>
      </c>
    </row>
    <row r="618" spans="1:8" s="86" customFormat="1">
      <c r="A618" s="92"/>
      <c r="B618" s="92"/>
      <c r="C618" s="93" t="str">
        <f>IF(A618&lt;&gt;"",IFERROR(VLOOKUP(B618,DivisionCostCodeLookup!$F$2:$G$426,2,FALSE),INT(LEFT(A618,2))&amp;"0000"),"")</f>
        <v/>
      </c>
      <c r="D618" s="94"/>
      <c r="E618" s="95"/>
      <c r="F618" s="96"/>
      <c r="G618" s="164"/>
      <c r="H618" s="97" t="str">
        <f t="shared" si="9"/>
        <v/>
      </c>
    </row>
    <row r="619" spans="1:8" s="86" customFormat="1">
      <c r="A619" s="92"/>
      <c r="B619" s="92"/>
      <c r="C619" s="93" t="str">
        <f>IF(A619&lt;&gt;"",IFERROR(VLOOKUP(B619,DivisionCostCodeLookup!$F$2:$G$426,2,FALSE),INT(LEFT(A619,2))&amp;"0000"),"")</f>
        <v/>
      </c>
      <c r="D619" s="94"/>
      <c r="E619" s="95"/>
      <c r="F619" s="96"/>
      <c r="G619" s="164"/>
      <c r="H619" s="97" t="str">
        <f t="shared" si="9"/>
        <v/>
      </c>
    </row>
    <row r="620" spans="1:8" s="86" customFormat="1">
      <c r="A620" s="92"/>
      <c r="B620" s="92"/>
      <c r="C620" s="93" t="str">
        <f>IF(A620&lt;&gt;"",IFERROR(VLOOKUP(B620,DivisionCostCodeLookup!$F$2:$G$426,2,FALSE),INT(LEFT(A620,2))&amp;"0000"),"")</f>
        <v/>
      </c>
      <c r="D620" s="94"/>
      <c r="E620" s="95"/>
      <c r="F620" s="96"/>
      <c r="G620" s="164"/>
      <c r="H620" s="97" t="str">
        <f t="shared" si="9"/>
        <v/>
      </c>
    </row>
    <row r="621" spans="1:8" s="86" customFormat="1">
      <c r="A621" s="92"/>
      <c r="B621" s="92"/>
      <c r="C621" s="93" t="str">
        <f>IF(A621&lt;&gt;"",IFERROR(VLOOKUP(B621,DivisionCostCodeLookup!$F$2:$G$426,2,FALSE),INT(LEFT(A621,2))&amp;"0000"),"")</f>
        <v/>
      </c>
      <c r="D621" s="94"/>
      <c r="E621" s="95"/>
      <c r="F621" s="96"/>
      <c r="G621" s="164"/>
      <c r="H621" s="97" t="str">
        <f t="shared" si="9"/>
        <v/>
      </c>
    </row>
    <row r="622" spans="1:8" s="86" customFormat="1">
      <c r="A622" s="92"/>
      <c r="B622" s="92"/>
      <c r="C622" s="93" t="str">
        <f>IF(A622&lt;&gt;"",IFERROR(VLOOKUP(B622,DivisionCostCodeLookup!$F$2:$G$426,2,FALSE),INT(LEFT(A622,2))&amp;"0000"),"")</f>
        <v/>
      </c>
      <c r="D622" s="94"/>
      <c r="E622" s="95"/>
      <c r="F622" s="96"/>
      <c r="G622" s="164"/>
      <c r="H622" s="97" t="str">
        <f t="shared" si="9"/>
        <v/>
      </c>
    </row>
    <row r="623" spans="1:8" s="86" customFormat="1">
      <c r="A623" s="92"/>
      <c r="B623" s="92"/>
      <c r="C623" s="93" t="str">
        <f>IF(A623&lt;&gt;"",IFERROR(VLOOKUP(B623,DivisionCostCodeLookup!$F$2:$G$426,2,FALSE),INT(LEFT(A623,2))&amp;"0000"),"")</f>
        <v/>
      </c>
      <c r="D623" s="94"/>
      <c r="E623" s="95"/>
      <c r="F623" s="96"/>
      <c r="G623" s="164"/>
      <c r="H623" s="97" t="str">
        <f t="shared" si="9"/>
        <v/>
      </c>
    </row>
    <row r="624" spans="1:8" s="86" customFormat="1">
      <c r="A624" s="92"/>
      <c r="B624" s="92"/>
      <c r="C624" s="93" t="str">
        <f>IF(A624&lt;&gt;"",IFERROR(VLOOKUP(B624,DivisionCostCodeLookup!$F$2:$G$426,2,FALSE),INT(LEFT(A624,2))&amp;"0000"),"")</f>
        <v/>
      </c>
      <c r="D624" s="94"/>
      <c r="E624" s="95"/>
      <c r="F624" s="96"/>
      <c r="G624" s="164"/>
      <c r="H624" s="97" t="str">
        <f t="shared" si="9"/>
        <v/>
      </c>
    </row>
    <row r="625" spans="1:8" s="86" customFormat="1">
      <c r="A625" s="92"/>
      <c r="B625" s="92"/>
      <c r="C625" s="93" t="str">
        <f>IF(A625&lt;&gt;"",IFERROR(VLOOKUP(B625,DivisionCostCodeLookup!$F$2:$G$426,2,FALSE),INT(LEFT(A625,2))&amp;"0000"),"")</f>
        <v/>
      </c>
      <c r="D625" s="94"/>
      <c r="E625" s="95"/>
      <c r="F625" s="96"/>
      <c r="G625" s="164"/>
      <c r="H625" s="97" t="str">
        <f t="shared" si="9"/>
        <v/>
      </c>
    </row>
    <row r="626" spans="1:8" s="86" customFormat="1">
      <c r="A626" s="92"/>
      <c r="B626" s="92"/>
      <c r="C626" s="93" t="str">
        <f>IF(A626&lt;&gt;"",IFERROR(VLOOKUP(B626,DivisionCostCodeLookup!$F$2:$G$426,2,FALSE),INT(LEFT(A626,2))&amp;"0000"),"")</f>
        <v/>
      </c>
      <c r="D626" s="94"/>
      <c r="E626" s="95"/>
      <c r="F626" s="96"/>
      <c r="G626" s="164"/>
      <c r="H626" s="97" t="str">
        <f t="shared" si="9"/>
        <v/>
      </c>
    </row>
    <row r="627" spans="1:8" s="86" customFormat="1">
      <c r="A627" s="92"/>
      <c r="B627" s="92"/>
      <c r="C627" s="93" t="str">
        <f>IF(A627&lt;&gt;"",IFERROR(VLOOKUP(B627,DivisionCostCodeLookup!$F$2:$G$426,2,FALSE),INT(LEFT(A627,2))&amp;"0000"),"")</f>
        <v/>
      </c>
      <c r="D627" s="94"/>
      <c r="E627" s="95"/>
      <c r="F627" s="96"/>
      <c r="G627" s="164"/>
      <c r="H627" s="97" t="str">
        <f t="shared" si="9"/>
        <v/>
      </c>
    </row>
    <row r="628" spans="1:8" s="86" customFormat="1">
      <c r="A628" s="92"/>
      <c r="B628" s="92"/>
      <c r="C628" s="93" t="str">
        <f>IF(A628&lt;&gt;"",IFERROR(VLOOKUP(B628,DivisionCostCodeLookup!$F$2:$G$426,2,FALSE),INT(LEFT(A628,2))&amp;"0000"),"")</f>
        <v/>
      </c>
      <c r="D628" s="94"/>
      <c r="E628" s="95"/>
      <c r="F628" s="96"/>
      <c r="G628" s="164"/>
      <c r="H628" s="97" t="str">
        <f t="shared" si="9"/>
        <v/>
      </c>
    </row>
    <row r="629" spans="1:8" s="86" customFormat="1">
      <c r="A629" s="92"/>
      <c r="B629" s="92"/>
      <c r="C629" s="93" t="str">
        <f>IF(A629&lt;&gt;"",IFERROR(VLOOKUP(B629,DivisionCostCodeLookup!$F$2:$G$426,2,FALSE),INT(LEFT(A629,2))&amp;"0000"),"")</f>
        <v/>
      </c>
      <c r="D629" s="94"/>
      <c r="E629" s="95"/>
      <c r="F629" s="96"/>
      <c r="G629" s="164"/>
      <c r="H629" s="97" t="str">
        <f t="shared" si="9"/>
        <v/>
      </c>
    </row>
    <row r="630" spans="1:8" s="86" customFormat="1">
      <c r="A630" s="92"/>
      <c r="B630" s="92"/>
      <c r="C630" s="93" t="str">
        <f>IF(A630&lt;&gt;"",IFERROR(VLOOKUP(B630,DivisionCostCodeLookup!$F$2:$G$426,2,FALSE),INT(LEFT(A630,2))&amp;"0000"),"")</f>
        <v/>
      </c>
      <c r="D630" s="94"/>
      <c r="E630" s="95"/>
      <c r="F630" s="96"/>
      <c r="G630" s="164"/>
      <c r="H630" s="97" t="str">
        <f t="shared" si="9"/>
        <v/>
      </c>
    </row>
    <row r="631" spans="1:8" s="86" customFormat="1">
      <c r="A631" s="92"/>
      <c r="B631" s="92"/>
      <c r="C631" s="93" t="str">
        <f>IF(A631&lt;&gt;"",IFERROR(VLOOKUP(B631,DivisionCostCodeLookup!$F$2:$G$426,2,FALSE),INT(LEFT(A631,2))&amp;"0000"),"")</f>
        <v/>
      </c>
      <c r="D631" s="94"/>
      <c r="E631" s="95"/>
      <c r="F631" s="96"/>
      <c r="G631" s="164"/>
      <c r="H631" s="97" t="str">
        <f t="shared" si="9"/>
        <v/>
      </c>
    </row>
    <row r="632" spans="1:8" s="86" customFormat="1">
      <c r="A632" s="92"/>
      <c r="B632" s="92"/>
      <c r="C632" s="93" t="str">
        <f>IF(A632&lt;&gt;"",IFERROR(VLOOKUP(B632,DivisionCostCodeLookup!$F$2:$G$426,2,FALSE),INT(LEFT(A632,2))&amp;"0000"),"")</f>
        <v/>
      </c>
      <c r="D632" s="94"/>
      <c r="E632" s="95"/>
      <c r="F632" s="96"/>
      <c r="G632" s="164"/>
      <c r="H632" s="97" t="str">
        <f t="shared" si="9"/>
        <v/>
      </c>
    </row>
    <row r="633" spans="1:8" s="86" customFormat="1">
      <c r="A633" s="92"/>
      <c r="B633" s="92"/>
      <c r="C633" s="93" t="str">
        <f>IF(A633&lt;&gt;"",IFERROR(VLOOKUP(B633,DivisionCostCodeLookup!$F$2:$G$426,2,FALSE),INT(LEFT(A633,2))&amp;"0000"),"")</f>
        <v/>
      </c>
      <c r="D633" s="94"/>
      <c r="E633" s="95"/>
      <c r="F633" s="96"/>
      <c r="G633" s="164"/>
      <c r="H633" s="97" t="str">
        <f t="shared" si="9"/>
        <v/>
      </c>
    </row>
    <row r="634" spans="1:8" s="86" customFormat="1">
      <c r="A634" s="92"/>
      <c r="B634" s="92"/>
      <c r="C634" s="93" t="str">
        <f>IF(A634&lt;&gt;"",IFERROR(VLOOKUP(B634,DivisionCostCodeLookup!$F$2:$G$426,2,FALSE),INT(LEFT(A634,2))&amp;"0000"),"")</f>
        <v/>
      </c>
      <c r="D634" s="94"/>
      <c r="E634" s="95"/>
      <c r="F634" s="96"/>
      <c r="G634" s="164"/>
      <c r="H634" s="97" t="str">
        <f t="shared" si="9"/>
        <v/>
      </c>
    </row>
    <row r="635" spans="1:8" s="86" customFormat="1">
      <c r="A635" s="92"/>
      <c r="B635" s="92"/>
      <c r="C635" s="93" t="str">
        <f>IF(A635&lt;&gt;"",IFERROR(VLOOKUP(B635,DivisionCostCodeLookup!$F$2:$G$426,2,FALSE),INT(LEFT(A635,2))&amp;"0000"),"")</f>
        <v/>
      </c>
      <c r="D635" s="94"/>
      <c r="E635" s="95"/>
      <c r="F635" s="96"/>
      <c r="G635" s="164"/>
      <c r="H635" s="97" t="str">
        <f t="shared" si="9"/>
        <v/>
      </c>
    </row>
    <row r="636" spans="1:8" s="86" customFormat="1">
      <c r="A636" s="92"/>
      <c r="B636" s="92"/>
      <c r="C636" s="93" t="str">
        <f>IF(A636&lt;&gt;"",IFERROR(VLOOKUP(B636,DivisionCostCodeLookup!$F$2:$G$426,2,FALSE),INT(LEFT(A636,2))&amp;"0000"),"")</f>
        <v/>
      </c>
      <c r="D636" s="94"/>
      <c r="E636" s="95"/>
      <c r="F636" s="96"/>
      <c r="G636" s="164"/>
      <c r="H636" s="97" t="str">
        <f t="shared" si="9"/>
        <v/>
      </c>
    </row>
    <row r="637" spans="1:8" s="86" customFormat="1">
      <c r="A637" s="92"/>
      <c r="B637" s="92"/>
      <c r="C637" s="93" t="str">
        <f>IF(A637&lt;&gt;"",IFERROR(VLOOKUP(B637,DivisionCostCodeLookup!$F$2:$G$426,2,FALSE),INT(LEFT(A637,2))&amp;"0000"),"")</f>
        <v/>
      </c>
      <c r="D637" s="94"/>
      <c r="E637" s="95"/>
      <c r="F637" s="96"/>
      <c r="G637" s="164"/>
      <c r="H637" s="97" t="str">
        <f t="shared" si="9"/>
        <v/>
      </c>
    </row>
    <row r="638" spans="1:8" s="86" customFormat="1">
      <c r="A638" s="92"/>
      <c r="B638" s="92"/>
      <c r="C638" s="93" t="str">
        <f>IF(A638&lt;&gt;"",IFERROR(VLOOKUP(B638,DivisionCostCodeLookup!$F$2:$G$426,2,FALSE),INT(LEFT(A638,2))&amp;"0000"),"")</f>
        <v/>
      </c>
      <c r="D638" s="94"/>
      <c r="E638" s="95"/>
      <c r="F638" s="96"/>
      <c r="G638" s="164"/>
      <c r="H638" s="97" t="str">
        <f t="shared" si="9"/>
        <v/>
      </c>
    </row>
    <row r="639" spans="1:8" s="86" customFormat="1">
      <c r="A639" s="92"/>
      <c r="B639" s="92"/>
      <c r="C639" s="93" t="str">
        <f>IF(A639&lt;&gt;"",IFERROR(VLOOKUP(B639,DivisionCostCodeLookup!$F$2:$G$426,2,FALSE),INT(LEFT(A639,2))&amp;"0000"),"")</f>
        <v/>
      </c>
      <c r="D639" s="94"/>
      <c r="E639" s="95"/>
      <c r="F639" s="96"/>
      <c r="G639" s="164"/>
      <c r="H639" s="97" t="str">
        <f t="shared" si="9"/>
        <v/>
      </c>
    </row>
    <row r="640" spans="1:8" s="86" customFormat="1">
      <c r="A640" s="92"/>
      <c r="B640" s="92"/>
      <c r="C640" s="93" t="str">
        <f>IF(A640&lt;&gt;"",IFERROR(VLOOKUP(B640,DivisionCostCodeLookup!$F$2:$G$426,2,FALSE),INT(LEFT(A640,2))&amp;"0000"),"")</f>
        <v/>
      </c>
      <c r="D640" s="94"/>
      <c r="E640" s="95"/>
      <c r="F640" s="96"/>
      <c r="G640" s="164"/>
      <c r="H640" s="97" t="str">
        <f t="shared" si="9"/>
        <v/>
      </c>
    </row>
    <row r="641" spans="1:8" s="86" customFormat="1">
      <c r="A641" s="92"/>
      <c r="B641" s="92"/>
      <c r="C641" s="93" t="str">
        <f>IF(A641&lt;&gt;"",IFERROR(VLOOKUP(B641,DivisionCostCodeLookup!$F$2:$G$426,2,FALSE),INT(LEFT(A641,2))&amp;"0000"),"")</f>
        <v/>
      </c>
      <c r="D641" s="94"/>
      <c r="E641" s="95"/>
      <c r="F641" s="96"/>
      <c r="G641" s="164"/>
      <c r="H641" s="97" t="str">
        <f t="shared" si="9"/>
        <v/>
      </c>
    </row>
    <row r="642" spans="1:8" s="86" customFormat="1">
      <c r="A642" s="92"/>
      <c r="B642" s="92"/>
      <c r="C642" s="93" t="str">
        <f>IF(A642&lt;&gt;"",IFERROR(VLOOKUP(B642,DivisionCostCodeLookup!$F$2:$G$426,2,FALSE),INT(LEFT(A642,2))&amp;"0000"),"")</f>
        <v/>
      </c>
      <c r="D642" s="94"/>
      <c r="E642" s="95"/>
      <c r="F642" s="96"/>
      <c r="G642" s="164"/>
      <c r="H642" s="97" t="str">
        <f t="shared" si="9"/>
        <v/>
      </c>
    </row>
    <row r="643" spans="1:8" s="86" customFormat="1">
      <c r="A643" s="92"/>
      <c r="B643" s="92"/>
      <c r="C643" s="93" t="str">
        <f>IF(A643&lt;&gt;"",IFERROR(VLOOKUP(B643,DivisionCostCodeLookup!$F$2:$G$426,2,FALSE),INT(LEFT(A643,2))&amp;"0000"),"")</f>
        <v/>
      </c>
      <c r="D643" s="94"/>
      <c r="E643" s="95"/>
      <c r="F643" s="96"/>
      <c r="G643" s="164"/>
      <c r="H643" s="97" t="str">
        <f t="shared" si="9"/>
        <v/>
      </c>
    </row>
    <row r="644" spans="1:8" s="86" customFormat="1">
      <c r="A644" s="92"/>
      <c r="B644" s="92"/>
      <c r="C644" s="93" t="str">
        <f>IF(A644&lt;&gt;"",IFERROR(VLOOKUP(B644,DivisionCostCodeLookup!$F$2:$G$426,2,FALSE),INT(LEFT(A644,2))&amp;"0000"),"")</f>
        <v/>
      </c>
      <c r="D644" s="94"/>
      <c r="E644" s="95"/>
      <c r="F644" s="96"/>
      <c r="G644" s="164"/>
      <c r="H644" s="97" t="str">
        <f t="shared" si="9"/>
        <v/>
      </c>
    </row>
    <row r="645" spans="1:8" s="86" customFormat="1">
      <c r="A645" s="92"/>
      <c r="B645" s="92"/>
      <c r="C645" s="93" t="str">
        <f>IF(A645&lt;&gt;"",IFERROR(VLOOKUP(B645,DivisionCostCodeLookup!$F$2:$G$426,2,FALSE),INT(LEFT(A645,2))&amp;"0000"),"")</f>
        <v/>
      </c>
      <c r="D645" s="94"/>
      <c r="E645" s="95"/>
      <c r="F645" s="96"/>
      <c r="G645" s="164"/>
      <c r="H645" s="97" t="str">
        <f t="shared" si="9"/>
        <v/>
      </c>
    </row>
    <row r="646" spans="1:8" s="86" customFormat="1">
      <c r="A646" s="92"/>
      <c r="B646" s="92"/>
      <c r="C646" s="93" t="str">
        <f>IF(A646&lt;&gt;"",IFERROR(VLOOKUP(B646,DivisionCostCodeLookup!$F$2:$G$426,2,FALSE),INT(LEFT(A646,2))&amp;"0000"),"")</f>
        <v/>
      </c>
      <c r="D646" s="94"/>
      <c r="E646" s="95"/>
      <c r="F646" s="96"/>
      <c r="G646" s="164"/>
      <c r="H646" s="97" t="str">
        <f t="shared" si="9"/>
        <v/>
      </c>
    </row>
    <row r="647" spans="1:8" s="86" customFormat="1">
      <c r="A647" s="92"/>
      <c r="B647" s="92"/>
      <c r="C647" s="93" t="str">
        <f>IF(A647&lt;&gt;"",IFERROR(VLOOKUP(B647,DivisionCostCodeLookup!$F$2:$G$426,2,FALSE),INT(LEFT(A647,2))&amp;"0000"),"")</f>
        <v/>
      </c>
      <c r="D647" s="94"/>
      <c r="E647" s="95"/>
      <c r="F647" s="96"/>
      <c r="G647" s="164"/>
      <c r="H647" s="97" t="str">
        <f t="shared" si="9"/>
        <v/>
      </c>
    </row>
    <row r="648" spans="1:8" s="86" customFormat="1">
      <c r="A648" s="92"/>
      <c r="B648" s="92"/>
      <c r="C648" s="93" t="str">
        <f>IF(A648&lt;&gt;"",IFERROR(VLOOKUP(B648,DivisionCostCodeLookup!$F$2:$G$426,2,FALSE),INT(LEFT(A648,2))&amp;"0000"),"")</f>
        <v/>
      </c>
      <c r="D648" s="94"/>
      <c r="E648" s="95"/>
      <c r="F648" s="96"/>
      <c r="G648" s="164"/>
      <c r="H648" s="97" t="str">
        <f t="shared" ref="H648:H711" si="10">IF(E648*G648&lt;&gt;0,E648*G648,"")</f>
        <v/>
      </c>
    </row>
    <row r="649" spans="1:8" s="86" customFormat="1">
      <c r="A649" s="92"/>
      <c r="B649" s="92"/>
      <c r="C649" s="93" t="str">
        <f>IF(A649&lt;&gt;"",IFERROR(VLOOKUP(B649,DivisionCostCodeLookup!$F$2:$G$426,2,FALSE),INT(LEFT(A649,2))&amp;"0000"),"")</f>
        <v/>
      </c>
      <c r="D649" s="94"/>
      <c r="E649" s="95"/>
      <c r="F649" s="96"/>
      <c r="G649" s="164"/>
      <c r="H649" s="97" t="str">
        <f t="shared" si="10"/>
        <v/>
      </c>
    </row>
    <row r="650" spans="1:8" s="86" customFormat="1">
      <c r="A650" s="92"/>
      <c r="B650" s="92"/>
      <c r="C650" s="93" t="str">
        <f>IF(A650&lt;&gt;"",IFERROR(VLOOKUP(B650,DivisionCostCodeLookup!$F$2:$G$426,2,FALSE),INT(LEFT(A650,2))&amp;"0000"),"")</f>
        <v/>
      </c>
      <c r="D650" s="94"/>
      <c r="E650" s="95"/>
      <c r="F650" s="96"/>
      <c r="G650" s="164"/>
      <c r="H650" s="97" t="str">
        <f t="shared" si="10"/>
        <v/>
      </c>
    </row>
    <row r="651" spans="1:8" s="86" customFormat="1">
      <c r="A651" s="92"/>
      <c r="B651" s="92"/>
      <c r="C651" s="93" t="str">
        <f>IF(A651&lt;&gt;"",IFERROR(VLOOKUP(B651,DivisionCostCodeLookup!$F$2:$G$426,2,FALSE),INT(LEFT(A651,2))&amp;"0000"),"")</f>
        <v/>
      </c>
      <c r="D651" s="94"/>
      <c r="E651" s="95"/>
      <c r="F651" s="96"/>
      <c r="G651" s="164"/>
      <c r="H651" s="97" t="str">
        <f t="shared" si="10"/>
        <v/>
      </c>
    </row>
    <row r="652" spans="1:8" s="86" customFormat="1">
      <c r="A652" s="92"/>
      <c r="B652" s="92"/>
      <c r="C652" s="93" t="str">
        <f>IF(A652&lt;&gt;"",IFERROR(VLOOKUP(B652,DivisionCostCodeLookup!$F$2:$G$426,2,FALSE),INT(LEFT(A652,2))&amp;"0000"),"")</f>
        <v/>
      </c>
      <c r="D652" s="94"/>
      <c r="E652" s="95"/>
      <c r="F652" s="96"/>
      <c r="G652" s="164"/>
      <c r="H652" s="97" t="str">
        <f t="shared" si="10"/>
        <v/>
      </c>
    </row>
    <row r="653" spans="1:8" s="86" customFormat="1">
      <c r="A653" s="92"/>
      <c r="B653" s="92"/>
      <c r="C653" s="93" t="str">
        <f>IF(A653&lt;&gt;"",IFERROR(VLOOKUP(B653,DivisionCostCodeLookup!$F$2:$G$426,2,FALSE),INT(LEFT(A653,2))&amp;"0000"),"")</f>
        <v/>
      </c>
      <c r="D653" s="94"/>
      <c r="E653" s="95"/>
      <c r="F653" s="96"/>
      <c r="G653" s="164"/>
      <c r="H653" s="97" t="str">
        <f t="shared" si="10"/>
        <v/>
      </c>
    </row>
    <row r="654" spans="1:8" s="86" customFormat="1">
      <c r="A654" s="92"/>
      <c r="B654" s="92"/>
      <c r="C654" s="93" t="str">
        <f>IF(A654&lt;&gt;"",IFERROR(VLOOKUP(B654,DivisionCostCodeLookup!$F$2:$G$426,2,FALSE),INT(LEFT(A654,2))&amp;"0000"),"")</f>
        <v/>
      </c>
      <c r="D654" s="94"/>
      <c r="E654" s="95"/>
      <c r="F654" s="96"/>
      <c r="G654" s="164"/>
      <c r="H654" s="97" t="str">
        <f t="shared" si="10"/>
        <v/>
      </c>
    </row>
    <row r="655" spans="1:8" s="86" customFormat="1">
      <c r="A655" s="92"/>
      <c r="B655" s="92"/>
      <c r="C655" s="93" t="str">
        <f>IF(A655&lt;&gt;"",IFERROR(VLOOKUP(B655,DivisionCostCodeLookup!$F$2:$G$426,2,FALSE),INT(LEFT(A655,2))&amp;"0000"),"")</f>
        <v/>
      </c>
      <c r="D655" s="94"/>
      <c r="E655" s="95"/>
      <c r="F655" s="96"/>
      <c r="G655" s="164"/>
      <c r="H655" s="97" t="str">
        <f t="shared" si="10"/>
        <v/>
      </c>
    </row>
    <row r="656" spans="1:8" s="86" customFormat="1">
      <c r="A656" s="92"/>
      <c r="B656" s="92"/>
      <c r="C656" s="93" t="str">
        <f>IF(A656&lt;&gt;"",IFERROR(VLOOKUP(B656,DivisionCostCodeLookup!$F$2:$G$426,2,FALSE),INT(LEFT(A656,2))&amp;"0000"),"")</f>
        <v/>
      </c>
      <c r="D656" s="94"/>
      <c r="E656" s="95"/>
      <c r="F656" s="96"/>
      <c r="G656" s="164"/>
      <c r="H656" s="97" t="str">
        <f t="shared" si="10"/>
        <v/>
      </c>
    </row>
    <row r="657" spans="1:8" s="86" customFormat="1">
      <c r="A657" s="92"/>
      <c r="B657" s="92"/>
      <c r="C657" s="93" t="str">
        <f>IF(A657&lt;&gt;"",IFERROR(VLOOKUP(B657,DivisionCostCodeLookup!$F$2:$G$426,2,FALSE),INT(LEFT(A657,2))&amp;"0000"),"")</f>
        <v/>
      </c>
      <c r="D657" s="94"/>
      <c r="E657" s="95"/>
      <c r="F657" s="96"/>
      <c r="G657" s="164"/>
      <c r="H657" s="97" t="str">
        <f t="shared" si="10"/>
        <v/>
      </c>
    </row>
    <row r="658" spans="1:8" s="86" customFormat="1">
      <c r="A658" s="92"/>
      <c r="B658" s="92"/>
      <c r="C658" s="93" t="str">
        <f>IF(A658&lt;&gt;"",IFERROR(VLOOKUP(B658,DivisionCostCodeLookup!$F$2:$G$426,2,FALSE),INT(LEFT(A658,2))&amp;"0000"),"")</f>
        <v/>
      </c>
      <c r="D658" s="94"/>
      <c r="E658" s="95"/>
      <c r="F658" s="96"/>
      <c r="G658" s="164"/>
      <c r="H658" s="97" t="str">
        <f t="shared" si="10"/>
        <v/>
      </c>
    </row>
    <row r="659" spans="1:8" s="86" customFormat="1">
      <c r="A659" s="92"/>
      <c r="B659" s="92"/>
      <c r="C659" s="93" t="str">
        <f>IF(A659&lt;&gt;"",IFERROR(VLOOKUP(B659,DivisionCostCodeLookup!$F$2:$G$426,2,FALSE),INT(LEFT(A659,2))&amp;"0000"),"")</f>
        <v/>
      </c>
      <c r="D659" s="94"/>
      <c r="E659" s="95"/>
      <c r="F659" s="96"/>
      <c r="G659" s="164"/>
      <c r="H659" s="97" t="str">
        <f t="shared" si="10"/>
        <v/>
      </c>
    </row>
    <row r="660" spans="1:8" s="86" customFormat="1">
      <c r="A660" s="92"/>
      <c r="B660" s="92"/>
      <c r="C660" s="93" t="str">
        <f>IF(A660&lt;&gt;"",IFERROR(VLOOKUP(B660,DivisionCostCodeLookup!$F$2:$G$426,2,FALSE),INT(LEFT(A660,2))&amp;"0000"),"")</f>
        <v/>
      </c>
      <c r="D660" s="94"/>
      <c r="E660" s="95"/>
      <c r="F660" s="96"/>
      <c r="G660" s="164"/>
      <c r="H660" s="97" t="str">
        <f t="shared" si="10"/>
        <v/>
      </c>
    </row>
    <row r="661" spans="1:8" s="86" customFormat="1">
      <c r="A661" s="92"/>
      <c r="B661" s="92"/>
      <c r="C661" s="93" t="str">
        <f>IF(A661&lt;&gt;"",IFERROR(VLOOKUP(B661,DivisionCostCodeLookup!$F$2:$G$426,2,FALSE),INT(LEFT(A661,2))&amp;"0000"),"")</f>
        <v/>
      </c>
      <c r="D661" s="94"/>
      <c r="E661" s="95"/>
      <c r="F661" s="96"/>
      <c r="G661" s="164"/>
      <c r="H661" s="97" t="str">
        <f t="shared" si="10"/>
        <v/>
      </c>
    </row>
    <row r="662" spans="1:8" s="86" customFormat="1">
      <c r="A662" s="92"/>
      <c r="B662" s="92"/>
      <c r="C662" s="93" t="str">
        <f>IF(A662&lt;&gt;"",IFERROR(VLOOKUP(B662,DivisionCostCodeLookup!$F$2:$G$426,2,FALSE),INT(LEFT(A662,2))&amp;"0000"),"")</f>
        <v/>
      </c>
      <c r="D662" s="94"/>
      <c r="E662" s="95"/>
      <c r="F662" s="96"/>
      <c r="G662" s="164"/>
      <c r="H662" s="97" t="str">
        <f t="shared" si="10"/>
        <v/>
      </c>
    </row>
    <row r="663" spans="1:8" s="86" customFormat="1">
      <c r="A663" s="92"/>
      <c r="B663" s="92"/>
      <c r="C663" s="93" t="str">
        <f>IF(A663&lt;&gt;"",IFERROR(VLOOKUP(B663,DivisionCostCodeLookup!$F$2:$G$426,2,FALSE),INT(LEFT(A663,2))&amp;"0000"),"")</f>
        <v/>
      </c>
      <c r="D663" s="94"/>
      <c r="E663" s="95"/>
      <c r="F663" s="96"/>
      <c r="G663" s="164"/>
      <c r="H663" s="97" t="str">
        <f t="shared" si="10"/>
        <v/>
      </c>
    </row>
    <row r="664" spans="1:8" s="86" customFormat="1">
      <c r="A664" s="92"/>
      <c r="B664" s="92"/>
      <c r="C664" s="93" t="str">
        <f>IF(A664&lt;&gt;"",IFERROR(VLOOKUP(B664,DivisionCostCodeLookup!$F$2:$G$426,2,FALSE),INT(LEFT(A664,2))&amp;"0000"),"")</f>
        <v/>
      </c>
      <c r="D664" s="94"/>
      <c r="E664" s="95"/>
      <c r="F664" s="96"/>
      <c r="G664" s="164"/>
      <c r="H664" s="97" t="str">
        <f t="shared" si="10"/>
        <v/>
      </c>
    </row>
    <row r="665" spans="1:8" s="86" customFormat="1">
      <c r="A665" s="92"/>
      <c r="B665" s="92"/>
      <c r="C665" s="93" t="str">
        <f>IF(A665&lt;&gt;"",IFERROR(VLOOKUP(B665,DivisionCostCodeLookup!$F$2:$G$426,2,FALSE),INT(LEFT(A665,2))&amp;"0000"),"")</f>
        <v/>
      </c>
      <c r="D665" s="94"/>
      <c r="E665" s="95"/>
      <c r="F665" s="96"/>
      <c r="G665" s="164"/>
      <c r="H665" s="97" t="str">
        <f t="shared" si="10"/>
        <v/>
      </c>
    </row>
    <row r="666" spans="1:8" s="86" customFormat="1">
      <c r="A666" s="92"/>
      <c r="B666" s="92"/>
      <c r="C666" s="93" t="str">
        <f>IF(A666&lt;&gt;"",IFERROR(VLOOKUP(B666,DivisionCostCodeLookup!$F$2:$G$426,2,FALSE),INT(LEFT(A666,2))&amp;"0000"),"")</f>
        <v/>
      </c>
      <c r="D666" s="94"/>
      <c r="E666" s="95"/>
      <c r="F666" s="96"/>
      <c r="G666" s="164"/>
      <c r="H666" s="97" t="str">
        <f t="shared" si="10"/>
        <v/>
      </c>
    </row>
    <row r="667" spans="1:8" s="86" customFormat="1">
      <c r="A667" s="92"/>
      <c r="B667" s="92"/>
      <c r="C667" s="93" t="str">
        <f>IF(A667&lt;&gt;"",IFERROR(VLOOKUP(B667,DivisionCostCodeLookup!$F$2:$G$426,2,FALSE),INT(LEFT(A667,2))&amp;"0000"),"")</f>
        <v/>
      </c>
      <c r="D667" s="94"/>
      <c r="E667" s="95"/>
      <c r="F667" s="96"/>
      <c r="G667" s="164"/>
      <c r="H667" s="97" t="str">
        <f t="shared" si="10"/>
        <v/>
      </c>
    </row>
    <row r="668" spans="1:8" s="86" customFormat="1">
      <c r="A668" s="92"/>
      <c r="B668" s="92"/>
      <c r="C668" s="93" t="str">
        <f>IF(A668&lt;&gt;"",IFERROR(VLOOKUP(B668,DivisionCostCodeLookup!$F$2:$G$426,2,FALSE),INT(LEFT(A668,2))&amp;"0000"),"")</f>
        <v/>
      </c>
      <c r="D668" s="94"/>
      <c r="E668" s="95"/>
      <c r="F668" s="96"/>
      <c r="G668" s="164"/>
      <c r="H668" s="97" t="str">
        <f t="shared" si="10"/>
        <v/>
      </c>
    </row>
    <row r="669" spans="1:8" s="86" customFormat="1">
      <c r="A669" s="92"/>
      <c r="B669" s="92"/>
      <c r="C669" s="93" t="str">
        <f>IF(A669&lt;&gt;"",IFERROR(VLOOKUP(B669,DivisionCostCodeLookup!$F$2:$G$426,2,FALSE),INT(LEFT(A669,2))&amp;"0000"),"")</f>
        <v/>
      </c>
      <c r="D669" s="94"/>
      <c r="E669" s="95"/>
      <c r="F669" s="96"/>
      <c r="G669" s="164"/>
      <c r="H669" s="97" t="str">
        <f t="shared" si="10"/>
        <v/>
      </c>
    </row>
    <row r="670" spans="1:8" s="86" customFormat="1">
      <c r="A670" s="92"/>
      <c r="B670" s="92"/>
      <c r="C670" s="93" t="str">
        <f>IF(A670&lt;&gt;"",IFERROR(VLOOKUP(B670,DivisionCostCodeLookup!$F$2:$G$426,2,FALSE),INT(LEFT(A670,2))&amp;"0000"),"")</f>
        <v/>
      </c>
      <c r="D670" s="94"/>
      <c r="E670" s="95"/>
      <c r="F670" s="96"/>
      <c r="G670" s="164"/>
      <c r="H670" s="97" t="str">
        <f t="shared" si="10"/>
        <v/>
      </c>
    </row>
    <row r="671" spans="1:8" s="86" customFormat="1">
      <c r="A671" s="92"/>
      <c r="B671" s="92"/>
      <c r="C671" s="93" t="str">
        <f>IF(A671&lt;&gt;"",IFERROR(VLOOKUP(B671,DivisionCostCodeLookup!$F$2:$G$426,2,FALSE),INT(LEFT(A671,2))&amp;"0000"),"")</f>
        <v/>
      </c>
      <c r="D671" s="94"/>
      <c r="E671" s="95"/>
      <c r="F671" s="96"/>
      <c r="G671" s="164"/>
      <c r="H671" s="97" t="str">
        <f t="shared" si="10"/>
        <v/>
      </c>
    </row>
    <row r="672" spans="1:8" s="86" customFormat="1">
      <c r="A672" s="92"/>
      <c r="B672" s="92"/>
      <c r="C672" s="93" t="str">
        <f>IF(A672&lt;&gt;"",IFERROR(VLOOKUP(B672,DivisionCostCodeLookup!$F$2:$G$426,2,FALSE),INT(LEFT(A672,2))&amp;"0000"),"")</f>
        <v/>
      </c>
      <c r="D672" s="94"/>
      <c r="E672" s="95"/>
      <c r="F672" s="96"/>
      <c r="G672" s="164"/>
      <c r="H672" s="97" t="str">
        <f t="shared" si="10"/>
        <v/>
      </c>
    </row>
    <row r="673" spans="1:8" s="86" customFormat="1">
      <c r="A673" s="92"/>
      <c r="B673" s="92"/>
      <c r="C673" s="93" t="str">
        <f>IF(A673&lt;&gt;"",IFERROR(VLOOKUP(B673,DivisionCostCodeLookup!$F$2:$G$426,2,FALSE),INT(LEFT(A673,2))&amp;"0000"),"")</f>
        <v/>
      </c>
      <c r="D673" s="94"/>
      <c r="E673" s="95"/>
      <c r="F673" s="96"/>
      <c r="G673" s="164"/>
      <c r="H673" s="97" t="str">
        <f t="shared" si="10"/>
        <v/>
      </c>
    </row>
    <row r="674" spans="1:8" s="86" customFormat="1">
      <c r="A674" s="92"/>
      <c r="B674" s="92"/>
      <c r="C674" s="93" t="str">
        <f>IF(A674&lt;&gt;"",IFERROR(VLOOKUP(B674,DivisionCostCodeLookup!$F$2:$G$426,2,FALSE),INT(LEFT(A674,2))&amp;"0000"),"")</f>
        <v/>
      </c>
      <c r="D674" s="94"/>
      <c r="E674" s="95"/>
      <c r="F674" s="96"/>
      <c r="G674" s="164"/>
      <c r="H674" s="97" t="str">
        <f t="shared" si="10"/>
        <v/>
      </c>
    </row>
    <row r="675" spans="1:8" s="86" customFormat="1">
      <c r="A675" s="92"/>
      <c r="B675" s="92"/>
      <c r="C675" s="93" t="str">
        <f>IF(A675&lt;&gt;"",IFERROR(VLOOKUP(B675,DivisionCostCodeLookup!$F$2:$G$426,2,FALSE),INT(LEFT(A675,2))&amp;"0000"),"")</f>
        <v/>
      </c>
      <c r="D675" s="94"/>
      <c r="E675" s="95"/>
      <c r="F675" s="96"/>
      <c r="G675" s="164"/>
      <c r="H675" s="97" t="str">
        <f t="shared" si="10"/>
        <v/>
      </c>
    </row>
    <row r="676" spans="1:8" s="86" customFormat="1">
      <c r="A676" s="92"/>
      <c r="B676" s="92"/>
      <c r="C676" s="93" t="str">
        <f>IF(A676&lt;&gt;"",IFERROR(VLOOKUP(B676,DivisionCostCodeLookup!$F$2:$G$426,2,FALSE),INT(LEFT(A676,2))&amp;"0000"),"")</f>
        <v/>
      </c>
      <c r="D676" s="94"/>
      <c r="E676" s="95"/>
      <c r="F676" s="96"/>
      <c r="G676" s="164"/>
      <c r="H676" s="97" t="str">
        <f t="shared" si="10"/>
        <v/>
      </c>
    </row>
    <row r="677" spans="1:8" s="86" customFormat="1">
      <c r="A677" s="92"/>
      <c r="B677" s="92"/>
      <c r="C677" s="93" t="str">
        <f>IF(A677&lt;&gt;"",IFERROR(VLOOKUP(B677,DivisionCostCodeLookup!$F$2:$G$426,2,FALSE),INT(LEFT(A677,2))&amp;"0000"),"")</f>
        <v/>
      </c>
      <c r="D677" s="94"/>
      <c r="E677" s="95"/>
      <c r="F677" s="96"/>
      <c r="G677" s="164"/>
      <c r="H677" s="97" t="str">
        <f t="shared" si="10"/>
        <v/>
      </c>
    </row>
    <row r="678" spans="1:8" s="86" customFormat="1">
      <c r="A678" s="92"/>
      <c r="B678" s="92"/>
      <c r="C678" s="93" t="str">
        <f>IF(A678&lt;&gt;"",IFERROR(VLOOKUP(B678,DivisionCostCodeLookup!$F$2:$G$426,2,FALSE),INT(LEFT(A678,2))&amp;"0000"),"")</f>
        <v/>
      </c>
      <c r="D678" s="94"/>
      <c r="E678" s="95"/>
      <c r="F678" s="96"/>
      <c r="G678" s="164"/>
      <c r="H678" s="97" t="str">
        <f t="shared" si="10"/>
        <v/>
      </c>
    </row>
    <row r="679" spans="1:8" s="86" customFormat="1">
      <c r="A679" s="92"/>
      <c r="B679" s="92"/>
      <c r="C679" s="93" t="str">
        <f>IF(A679&lt;&gt;"",IFERROR(VLOOKUP(B679,DivisionCostCodeLookup!$F$2:$G$426,2,FALSE),INT(LEFT(A679,2))&amp;"0000"),"")</f>
        <v/>
      </c>
      <c r="D679" s="94"/>
      <c r="E679" s="95"/>
      <c r="F679" s="96"/>
      <c r="G679" s="164"/>
      <c r="H679" s="97" t="str">
        <f t="shared" si="10"/>
        <v/>
      </c>
    </row>
    <row r="680" spans="1:8" s="86" customFormat="1">
      <c r="A680" s="92"/>
      <c r="B680" s="92"/>
      <c r="C680" s="93" t="str">
        <f>IF(A680&lt;&gt;"",IFERROR(VLOOKUP(B680,DivisionCostCodeLookup!$F$2:$G$426,2,FALSE),INT(LEFT(A680,2))&amp;"0000"),"")</f>
        <v/>
      </c>
      <c r="D680" s="94"/>
      <c r="E680" s="95"/>
      <c r="F680" s="96"/>
      <c r="G680" s="164"/>
      <c r="H680" s="97" t="str">
        <f t="shared" si="10"/>
        <v/>
      </c>
    </row>
    <row r="681" spans="1:8" s="86" customFormat="1">
      <c r="A681" s="92"/>
      <c r="B681" s="92"/>
      <c r="C681" s="93" t="str">
        <f>IF(A681&lt;&gt;"",IFERROR(VLOOKUP(B681,DivisionCostCodeLookup!$F$2:$G$426,2,FALSE),INT(LEFT(A681,2))&amp;"0000"),"")</f>
        <v/>
      </c>
      <c r="D681" s="94"/>
      <c r="E681" s="95"/>
      <c r="F681" s="96"/>
      <c r="G681" s="164"/>
      <c r="H681" s="97" t="str">
        <f t="shared" si="10"/>
        <v/>
      </c>
    </row>
    <row r="682" spans="1:8" s="86" customFormat="1">
      <c r="A682" s="92"/>
      <c r="B682" s="92"/>
      <c r="C682" s="93" t="str">
        <f>IF(A682&lt;&gt;"",IFERROR(VLOOKUP(B682,DivisionCostCodeLookup!$F$2:$G$426,2,FALSE),INT(LEFT(A682,2))&amp;"0000"),"")</f>
        <v/>
      </c>
      <c r="D682" s="94"/>
      <c r="E682" s="95"/>
      <c r="F682" s="96"/>
      <c r="G682" s="164"/>
      <c r="H682" s="97" t="str">
        <f t="shared" si="10"/>
        <v/>
      </c>
    </row>
    <row r="683" spans="1:8" s="86" customFormat="1">
      <c r="A683" s="92"/>
      <c r="B683" s="92"/>
      <c r="C683" s="93" t="str">
        <f>IF(A683&lt;&gt;"",IFERROR(VLOOKUP(B683,DivisionCostCodeLookup!$F$2:$G$426,2,FALSE),INT(LEFT(A683,2))&amp;"0000"),"")</f>
        <v/>
      </c>
      <c r="D683" s="94"/>
      <c r="E683" s="95"/>
      <c r="F683" s="96"/>
      <c r="G683" s="164"/>
      <c r="H683" s="97" t="str">
        <f t="shared" si="10"/>
        <v/>
      </c>
    </row>
    <row r="684" spans="1:8" s="86" customFormat="1">
      <c r="A684" s="92"/>
      <c r="B684" s="92"/>
      <c r="C684" s="93" t="str">
        <f>IF(A684&lt;&gt;"",IFERROR(VLOOKUP(B684,DivisionCostCodeLookup!$F$2:$G$426,2,FALSE),INT(LEFT(A684,2))&amp;"0000"),"")</f>
        <v/>
      </c>
      <c r="D684" s="94"/>
      <c r="E684" s="95"/>
      <c r="F684" s="96"/>
      <c r="G684" s="164"/>
      <c r="H684" s="97" t="str">
        <f t="shared" si="10"/>
        <v/>
      </c>
    </row>
    <row r="685" spans="1:8" s="86" customFormat="1">
      <c r="A685" s="92"/>
      <c r="B685" s="92"/>
      <c r="C685" s="93" t="str">
        <f>IF(A685&lt;&gt;"",IFERROR(VLOOKUP(B685,DivisionCostCodeLookup!$F$2:$G$426,2,FALSE),INT(LEFT(A685,2))&amp;"0000"),"")</f>
        <v/>
      </c>
      <c r="D685" s="94"/>
      <c r="E685" s="95"/>
      <c r="F685" s="96"/>
      <c r="G685" s="164"/>
      <c r="H685" s="97" t="str">
        <f t="shared" si="10"/>
        <v/>
      </c>
    </row>
    <row r="686" spans="1:8" s="86" customFormat="1">
      <c r="A686" s="92"/>
      <c r="B686" s="92"/>
      <c r="C686" s="93" t="str">
        <f>IF(A686&lt;&gt;"",IFERROR(VLOOKUP(B686,DivisionCostCodeLookup!$F$2:$G$426,2,FALSE),INT(LEFT(A686,2))&amp;"0000"),"")</f>
        <v/>
      </c>
      <c r="D686" s="94"/>
      <c r="E686" s="95"/>
      <c r="F686" s="96"/>
      <c r="G686" s="164"/>
      <c r="H686" s="97" t="str">
        <f t="shared" si="10"/>
        <v/>
      </c>
    </row>
    <row r="687" spans="1:8" s="86" customFormat="1">
      <c r="A687" s="92"/>
      <c r="B687" s="92"/>
      <c r="C687" s="93" t="str">
        <f>IF(A687&lt;&gt;"",IFERROR(VLOOKUP(B687,DivisionCostCodeLookup!$F$2:$G$426,2,FALSE),INT(LEFT(A687,2))&amp;"0000"),"")</f>
        <v/>
      </c>
      <c r="D687" s="94"/>
      <c r="E687" s="95"/>
      <c r="F687" s="96"/>
      <c r="G687" s="164"/>
      <c r="H687" s="97" t="str">
        <f t="shared" si="10"/>
        <v/>
      </c>
    </row>
    <row r="688" spans="1:8" s="86" customFormat="1">
      <c r="A688" s="92"/>
      <c r="B688" s="92"/>
      <c r="C688" s="93" t="str">
        <f>IF(A688&lt;&gt;"",IFERROR(VLOOKUP(B688,DivisionCostCodeLookup!$F$2:$G$426,2,FALSE),INT(LEFT(A688,2))&amp;"0000"),"")</f>
        <v/>
      </c>
      <c r="D688" s="94"/>
      <c r="E688" s="95"/>
      <c r="F688" s="96"/>
      <c r="G688" s="164"/>
      <c r="H688" s="97" t="str">
        <f t="shared" si="10"/>
        <v/>
      </c>
    </row>
    <row r="689" spans="1:8" s="86" customFormat="1">
      <c r="A689" s="92"/>
      <c r="B689" s="92"/>
      <c r="C689" s="93" t="str">
        <f>IF(A689&lt;&gt;"",IFERROR(VLOOKUP(B689,DivisionCostCodeLookup!$F$2:$G$426,2,FALSE),INT(LEFT(A689,2))&amp;"0000"),"")</f>
        <v/>
      </c>
      <c r="D689" s="94"/>
      <c r="E689" s="95"/>
      <c r="F689" s="96"/>
      <c r="G689" s="164"/>
      <c r="H689" s="97" t="str">
        <f t="shared" si="10"/>
        <v/>
      </c>
    </row>
    <row r="690" spans="1:8" s="86" customFormat="1">
      <c r="A690" s="92"/>
      <c r="B690" s="92"/>
      <c r="C690" s="93" t="str">
        <f>IF(A690&lt;&gt;"",IFERROR(VLOOKUP(B690,DivisionCostCodeLookup!$F$2:$G$426,2,FALSE),INT(LEFT(A690,2))&amp;"0000"),"")</f>
        <v/>
      </c>
      <c r="D690" s="94"/>
      <c r="E690" s="95"/>
      <c r="F690" s="96"/>
      <c r="G690" s="164"/>
      <c r="H690" s="97" t="str">
        <f t="shared" si="10"/>
        <v/>
      </c>
    </row>
    <row r="691" spans="1:8" s="86" customFormat="1">
      <c r="A691" s="92"/>
      <c r="B691" s="92"/>
      <c r="C691" s="93" t="str">
        <f>IF(A691&lt;&gt;"",IFERROR(VLOOKUP(B691,DivisionCostCodeLookup!$F$2:$G$426,2,FALSE),INT(LEFT(A691,2))&amp;"0000"),"")</f>
        <v/>
      </c>
      <c r="D691" s="94"/>
      <c r="E691" s="95"/>
      <c r="F691" s="96"/>
      <c r="G691" s="164"/>
      <c r="H691" s="97" t="str">
        <f t="shared" si="10"/>
        <v/>
      </c>
    </row>
    <row r="692" spans="1:8" s="86" customFormat="1">
      <c r="A692" s="92"/>
      <c r="B692" s="92"/>
      <c r="C692" s="93" t="str">
        <f>IF(A692&lt;&gt;"",IFERROR(VLOOKUP(B692,DivisionCostCodeLookup!$F$2:$G$426,2,FALSE),INT(LEFT(A692,2))&amp;"0000"),"")</f>
        <v/>
      </c>
      <c r="D692" s="94"/>
      <c r="E692" s="95"/>
      <c r="F692" s="96"/>
      <c r="G692" s="164"/>
      <c r="H692" s="97" t="str">
        <f t="shared" si="10"/>
        <v/>
      </c>
    </row>
    <row r="693" spans="1:8" s="86" customFormat="1">
      <c r="A693" s="92"/>
      <c r="B693" s="92"/>
      <c r="C693" s="93" t="str">
        <f>IF(A693&lt;&gt;"",IFERROR(VLOOKUP(B693,DivisionCostCodeLookup!$F$2:$G$426,2,FALSE),INT(LEFT(A693,2))&amp;"0000"),"")</f>
        <v/>
      </c>
      <c r="D693" s="94"/>
      <c r="E693" s="95"/>
      <c r="F693" s="96"/>
      <c r="G693" s="164"/>
      <c r="H693" s="97" t="str">
        <f t="shared" si="10"/>
        <v/>
      </c>
    </row>
    <row r="694" spans="1:8" s="86" customFormat="1">
      <c r="A694" s="92"/>
      <c r="B694" s="92"/>
      <c r="C694" s="93" t="str">
        <f>IF(A694&lt;&gt;"",IFERROR(VLOOKUP(B694,DivisionCostCodeLookup!$F$2:$G$426,2,FALSE),INT(LEFT(A694,2))&amp;"0000"),"")</f>
        <v/>
      </c>
      <c r="D694" s="94"/>
      <c r="E694" s="95"/>
      <c r="F694" s="96"/>
      <c r="G694" s="164"/>
      <c r="H694" s="97" t="str">
        <f t="shared" si="10"/>
        <v/>
      </c>
    </row>
    <row r="695" spans="1:8" s="86" customFormat="1">
      <c r="A695" s="92"/>
      <c r="B695" s="92"/>
      <c r="C695" s="93" t="str">
        <f>IF(A695&lt;&gt;"",IFERROR(VLOOKUP(B695,DivisionCostCodeLookup!$F$2:$G$426,2,FALSE),INT(LEFT(A695,2))&amp;"0000"),"")</f>
        <v/>
      </c>
      <c r="D695" s="94"/>
      <c r="E695" s="95"/>
      <c r="F695" s="96"/>
      <c r="G695" s="164"/>
      <c r="H695" s="97" t="str">
        <f t="shared" si="10"/>
        <v/>
      </c>
    </row>
    <row r="696" spans="1:8" s="86" customFormat="1">
      <c r="A696" s="92"/>
      <c r="B696" s="92"/>
      <c r="C696" s="93" t="str">
        <f>IF(A696&lt;&gt;"",IFERROR(VLOOKUP(B696,DivisionCostCodeLookup!$F$2:$G$426,2,FALSE),INT(LEFT(A696,2))&amp;"0000"),"")</f>
        <v/>
      </c>
      <c r="D696" s="94"/>
      <c r="E696" s="95"/>
      <c r="F696" s="96"/>
      <c r="G696" s="164"/>
      <c r="H696" s="97" t="str">
        <f t="shared" si="10"/>
        <v/>
      </c>
    </row>
    <row r="697" spans="1:8" s="86" customFormat="1">
      <c r="A697" s="92"/>
      <c r="B697" s="92"/>
      <c r="C697" s="93" t="str">
        <f>IF(A697&lt;&gt;"",IFERROR(VLOOKUP(B697,DivisionCostCodeLookup!$F$2:$G$426,2,FALSE),INT(LEFT(A697,2))&amp;"0000"),"")</f>
        <v/>
      </c>
      <c r="D697" s="94"/>
      <c r="E697" s="95"/>
      <c r="F697" s="96"/>
      <c r="G697" s="164"/>
      <c r="H697" s="97" t="str">
        <f t="shared" si="10"/>
        <v/>
      </c>
    </row>
    <row r="698" spans="1:8" s="86" customFormat="1">
      <c r="A698" s="92"/>
      <c r="B698" s="92"/>
      <c r="C698" s="93" t="str">
        <f>IF(A698&lt;&gt;"",IFERROR(VLOOKUP(B698,DivisionCostCodeLookup!$F$2:$G$426,2,FALSE),INT(LEFT(A698,2))&amp;"0000"),"")</f>
        <v/>
      </c>
      <c r="D698" s="94"/>
      <c r="E698" s="95"/>
      <c r="F698" s="96"/>
      <c r="G698" s="164"/>
      <c r="H698" s="97" t="str">
        <f t="shared" si="10"/>
        <v/>
      </c>
    </row>
    <row r="699" spans="1:8" s="86" customFormat="1">
      <c r="A699" s="92"/>
      <c r="B699" s="92"/>
      <c r="C699" s="93" t="str">
        <f>IF(A699&lt;&gt;"",IFERROR(VLOOKUP(B699,DivisionCostCodeLookup!$F$2:$G$426,2,FALSE),INT(LEFT(A699,2))&amp;"0000"),"")</f>
        <v/>
      </c>
      <c r="D699" s="94"/>
      <c r="E699" s="95"/>
      <c r="F699" s="96"/>
      <c r="G699" s="164"/>
      <c r="H699" s="97" t="str">
        <f t="shared" si="10"/>
        <v/>
      </c>
    </row>
    <row r="700" spans="1:8" s="86" customFormat="1">
      <c r="A700" s="92"/>
      <c r="B700" s="92"/>
      <c r="C700" s="93" t="str">
        <f>IF(A700&lt;&gt;"",IFERROR(VLOOKUP(B700,DivisionCostCodeLookup!$F$2:$G$426,2,FALSE),INT(LEFT(A700,2))&amp;"0000"),"")</f>
        <v/>
      </c>
      <c r="D700" s="94"/>
      <c r="E700" s="95"/>
      <c r="F700" s="96"/>
      <c r="G700" s="164"/>
      <c r="H700" s="97" t="str">
        <f t="shared" si="10"/>
        <v/>
      </c>
    </row>
    <row r="701" spans="1:8" s="86" customFormat="1">
      <c r="A701" s="92"/>
      <c r="B701" s="92"/>
      <c r="C701" s="93" t="str">
        <f>IF(A701&lt;&gt;"",IFERROR(VLOOKUP(B701,DivisionCostCodeLookup!$F$2:$G$426,2,FALSE),INT(LEFT(A701,2))&amp;"0000"),"")</f>
        <v/>
      </c>
      <c r="D701" s="94"/>
      <c r="E701" s="95"/>
      <c r="F701" s="96"/>
      <c r="G701" s="164"/>
      <c r="H701" s="97" t="str">
        <f t="shared" si="10"/>
        <v/>
      </c>
    </row>
    <row r="702" spans="1:8" s="86" customFormat="1">
      <c r="A702" s="92"/>
      <c r="B702" s="92"/>
      <c r="C702" s="93" t="str">
        <f>IF(A702&lt;&gt;"",IFERROR(VLOOKUP(B702,DivisionCostCodeLookup!$F$2:$G$426,2,FALSE),INT(LEFT(A702,2))&amp;"0000"),"")</f>
        <v/>
      </c>
      <c r="D702" s="94"/>
      <c r="E702" s="95"/>
      <c r="F702" s="96"/>
      <c r="G702" s="164"/>
      <c r="H702" s="97" t="str">
        <f t="shared" si="10"/>
        <v/>
      </c>
    </row>
    <row r="703" spans="1:8" s="86" customFormat="1">
      <c r="A703" s="92"/>
      <c r="B703" s="92"/>
      <c r="C703" s="93" t="str">
        <f>IF(A703&lt;&gt;"",IFERROR(VLOOKUP(B703,DivisionCostCodeLookup!$F$2:$G$426,2,FALSE),INT(LEFT(A703,2))&amp;"0000"),"")</f>
        <v/>
      </c>
      <c r="D703" s="94"/>
      <c r="E703" s="95"/>
      <c r="F703" s="96"/>
      <c r="G703" s="164"/>
      <c r="H703" s="97" t="str">
        <f t="shared" si="10"/>
        <v/>
      </c>
    </row>
    <row r="704" spans="1:8" s="86" customFormat="1">
      <c r="A704" s="92"/>
      <c r="B704" s="92"/>
      <c r="C704" s="93" t="str">
        <f>IF(A704&lt;&gt;"",IFERROR(VLOOKUP(B704,DivisionCostCodeLookup!$F$2:$G$426,2,FALSE),INT(LEFT(A704,2))&amp;"0000"),"")</f>
        <v/>
      </c>
      <c r="D704" s="94"/>
      <c r="E704" s="95"/>
      <c r="F704" s="96"/>
      <c r="G704" s="164"/>
      <c r="H704" s="97" t="str">
        <f t="shared" si="10"/>
        <v/>
      </c>
    </row>
    <row r="705" spans="1:8" s="86" customFormat="1">
      <c r="A705" s="92"/>
      <c r="B705" s="92"/>
      <c r="C705" s="93" t="str">
        <f>IF(A705&lt;&gt;"",IFERROR(VLOOKUP(B705,DivisionCostCodeLookup!$F$2:$G$426,2,FALSE),INT(LEFT(A705,2))&amp;"0000"),"")</f>
        <v/>
      </c>
      <c r="D705" s="94"/>
      <c r="E705" s="95"/>
      <c r="F705" s="96"/>
      <c r="G705" s="164"/>
      <c r="H705" s="97" t="str">
        <f t="shared" si="10"/>
        <v/>
      </c>
    </row>
    <row r="706" spans="1:8" s="86" customFormat="1">
      <c r="A706" s="92"/>
      <c r="B706" s="92"/>
      <c r="C706" s="93" t="str">
        <f>IF(A706&lt;&gt;"",IFERROR(VLOOKUP(B706,DivisionCostCodeLookup!$F$2:$G$426,2,FALSE),INT(LEFT(A706,2))&amp;"0000"),"")</f>
        <v/>
      </c>
      <c r="D706" s="94"/>
      <c r="E706" s="95"/>
      <c r="F706" s="96"/>
      <c r="G706" s="164"/>
      <c r="H706" s="97" t="str">
        <f t="shared" si="10"/>
        <v/>
      </c>
    </row>
    <row r="707" spans="1:8" s="86" customFormat="1">
      <c r="A707" s="92"/>
      <c r="B707" s="92"/>
      <c r="C707" s="93" t="str">
        <f>IF(A707&lt;&gt;"",IFERROR(VLOOKUP(B707,DivisionCostCodeLookup!$F$2:$G$426,2,FALSE),INT(LEFT(A707,2))&amp;"0000"),"")</f>
        <v/>
      </c>
      <c r="D707" s="94"/>
      <c r="E707" s="95"/>
      <c r="F707" s="96"/>
      <c r="G707" s="164"/>
      <c r="H707" s="97" t="str">
        <f t="shared" si="10"/>
        <v/>
      </c>
    </row>
    <row r="708" spans="1:8" s="86" customFormat="1">
      <c r="A708" s="92"/>
      <c r="B708" s="92"/>
      <c r="C708" s="93" t="str">
        <f>IF(A708&lt;&gt;"",IFERROR(VLOOKUP(B708,DivisionCostCodeLookup!$F$2:$G$426,2,FALSE),INT(LEFT(A708,2))&amp;"0000"),"")</f>
        <v/>
      </c>
      <c r="D708" s="94"/>
      <c r="E708" s="95"/>
      <c r="F708" s="96"/>
      <c r="G708" s="164"/>
      <c r="H708" s="97" t="str">
        <f t="shared" si="10"/>
        <v/>
      </c>
    </row>
    <row r="709" spans="1:8" s="86" customFormat="1">
      <c r="A709" s="92"/>
      <c r="B709" s="92"/>
      <c r="C709" s="93" t="str">
        <f>IF(A709&lt;&gt;"",IFERROR(VLOOKUP(B709,DivisionCostCodeLookup!$F$2:$G$426,2,FALSE),INT(LEFT(A709,2))&amp;"0000"),"")</f>
        <v/>
      </c>
      <c r="D709" s="94"/>
      <c r="E709" s="95"/>
      <c r="F709" s="96"/>
      <c r="G709" s="164"/>
      <c r="H709" s="97" t="str">
        <f t="shared" si="10"/>
        <v/>
      </c>
    </row>
    <row r="710" spans="1:8" s="86" customFormat="1">
      <c r="A710" s="92"/>
      <c r="B710" s="92"/>
      <c r="C710" s="93" t="str">
        <f>IF(A710&lt;&gt;"",IFERROR(VLOOKUP(B710,DivisionCostCodeLookup!$F$2:$G$426,2,FALSE),INT(LEFT(A710,2))&amp;"0000"),"")</f>
        <v/>
      </c>
      <c r="D710" s="94"/>
      <c r="E710" s="95"/>
      <c r="F710" s="96"/>
      <c r="G710" s="164"/>
      <c r="H710" s="97" t="str">
        <f t="shared" si="10"/>
        <v/>
      </c>
    </row>
    <row r="711" spans="1:8" s="86" customFormat="1">
      <c r="A711" s="92"/>
      <c r="B711" s="92"/>
      <c r="C711" s="93" t="str">
        <f>IF(A711&lt;&gt;"",IFERROR(VLOOKUP(B711,DivisionCostCodeLookup!$F$2:$G$426,2,FALSE),INT(LEFT(A711,2))&amp;"0000"),"")</f>
        <v/>
      </c>
      <c r="D711" s="94"/>
      <c r="E711" s="95"/>
      <c r="F711" s="96"/>
      <c r="G711" s="164"/>
      <c r="H711" s="97" t="str">
        <f t="shared" si="10"/>
        <v/>
      </c>
    </row>
    <row r="712" spans="1:8" s="86" customFormat="1">
      <c r="A712" s="92"/>
      <c r="B712" s="92"/>
      <c r="C712" s="93" t="str">
        <f>IF(A712&lt;&gt;"",IFERROR(VLOOKUP(B712,DivisionCostCodeLookup!$F$2:$G$426,2,FALSE),INT(LEFT(A712,2))&amp;"0000"),"")</f>
        <v/>
      </c>
      <c r="D712" s="94"/>
      <c r="E712" s="95"/>
      <c r="F712" s="96"/>
      <c r="G712" s="164"/>
      <c r="H712" s="97" t="str">
        <f t="shared" ref="H712:H775" si="11">IF(E712*G712&lt;&gt;0,E712*G712,"")</f>
        <v/>
      </c>
    </row>
    <row r="713" spans="1:8" s="86" customFormat="1">
      <c r="A713" s="92"/>
      <c r="B713" s="92"/>
      <c r="C713" s="93" t="str">
        <f>IF(A713&lt;&gt;"",IFERROR(VLOOKUP(B713,DivisionCostCodeLookup!$F$2:$G$426,2,FALSE),INT(LEFT(A713,2))&amp;"0000"),"")</f>
        <v/>
      </c>
      <c r="D713" s="94"/>
      <c r="E713" s="95"/>
      <c r="F713" s="96"/>
      <c r="G713" s="164"/>
      <c r="H713" s="97" t="str">
        <f t="shared" si="11"/>
        <v/>
      </c>
    </row>
    <row r="714" spans="1:8" s="86" customFormat="1">
      <c r="A714" s="92"/>
      <c r="B714" s="92"/>
      <c r="C714" s="93" t="str">
        <f>IF(A714&lt;&gt;"",IFERROR(VLOOKUP(B714,DivisionCostCodeLookup!$F$2:$G$426,2,FALSE),INT(LEFT(A714,2))&amp;"0000"),"")</f>
        <v/>
      </c>
      <c r="D714" s="94"/>
      <c r="E714" s="95"/>
      <c r="F714" s="96"/>
      <c r="G714" s="164"/>
      <c r="H714" s="97" t="str">
        <f t="shared" si="11"/>
        <v/>
      </c>
    </row>
    <row r="715" spans="1:8" s="86" customFormat="1">
      <c r="A715" s="92"/>
      <c r="B715" s="92"/>
      <c r="C715" s="93" t="str">
        <f>IF(A715&lt;&gt;"",IFERROR(VLOOKUP(B715,DivisionCostCodeLookup!$F$2:$G$426,2,FALSE),INT(LEFT(A715,2))&amp;"0000"),"")</f>
        <v/>
      </c>
      <c r="D715" s="94"/>
      <c r="E715" s="95"/>
      <c r="F715" s="96"/>
      <c r="G715" s="164"/>
      <c r="H715" s="97" t="str">
        <f t="shared" si="11"/>
        <v/>
      </c>
    </row>
    <row r="716" spans="1:8" s="86" customFormat="1">
      <c r="A716" s="92"/>
      <c r="B716" s="92"/>
      <c r="C716" s="93" t="str">
        <f>IF(A716&lt;&gt;"",IFERROR(VLOOKUP(B716,DivisionCostCodeLookup!$F$2:$G$426,2,FALSE),INT(LEFT(A716,2))&amp;"0000"),"")</f>
        <v/>
      </c>
      <c r="D716" s="94"/>
      <c r="E716" s="95"/>
      <c r="F716" s="96"/>
      <c r="G716" s="164"/>
      <c r="H716" s="97" t="str">
        <f t="shared" si="11"/>
        <v/>
      </c>
    </row>
    <row r="717" spans="1:8" s="86" customFormat="1">
      <c r="A717" s="92"/>
      <c r="B717" s="92"/>
      <c r="C717" s="93" t="str">
        <f>IF(A717&lt;&gt;"",IFERROR(VLOOKUP(B717,DivisionCostCodeLookup!$F$2:$G$426,2,FALSE),INT(LEFT(A717,2))&amp;"0000"),"")</f>
        <v/>
      </c>
      <c r="D717" s="94"/>
      <c r="E717" s="95"/>
      <c r="F717" s="96"/>
      <c r="G717" s="164"/>
      <c r="H717" s="97" t="str">
        <f t="shared" si="11"/>
        <v/>
      </c>
    </row>
    <row r="718" spans="1:8" s="86" customFormat="1">
      <c r="A718" s="92"/>
      <c r="B718" s="92"/>
      <c r="C718" s="93" t="str">
        <f>IF(A718&lt;&gt;"",IFERROR(VLOOKUP(B718,DivisionCostCodeLookup!$F$2:$G$426,2,FALSE),INT(LEFT(A718,2))&amp;"0000"),"")</f>
        <v/>
      </c>
      <c r="D718" s="94"/>
      <c r="E718" s="95"/>
      <c r="F718" s="96"/>
      <c r="G718" s="164"/>
      <c r="H718" s="97" t="str">
        <f t="shared" si="11"/>
        <v/>
      </c>
    </row>
    <row r="719" spans="1:8" s="86" customFormat="1">
      <c r="A719" s="92"/>
      <c r="B719" s="92"/>
      <c r="C719" s="93" t="str">
        <f>IF(A719&lt;&gt;"",IFERROR(VLOOKUP(B719,DivisionCostCodeLookup!$F$2:$G$426,2,FALSE),INT(LEFT(A719,2))&amp;"0000"),"")</f>
        <v/>
      </c>
      <c r="D719" s="94"/>
      <c r="E719" s="95"/>
      <c r="F719" s="96"/>
      <c r="G719" s="164"/>
      <c r="H719" s="97" t="str">
        <f t="shared" si="11"/>
        <v/>
      </c>
    </row>
    <row r="720" spans="1:8" s="86" customFormat="1">
      <c r="A720" s="92"/>
      <c r="B720" s="92"/>
      <c r="C720" s="93" t="str">
        <f>IF(A720&lt;&gt;"",IFERROR(VLOOKUP(B720,DivisionCostCodeLookup!$F$2:$G$426,2,FALSE),INT(LEFT(A720,2))&amp;"0000"),"")</f>
        <v/>
      </c>
      <c r="D720" s="94"/>
      <c r="E720" s="95"/>
      <c r="F720" s="96"/>
      <c r="G720" s="164"/>
      <c r="H720" s="97" t="str">
        <f t="shared" si="11"/>
        <v/>
      </c>
    </row>
    <row r="721" spans="1:8" s="86" customFormat="1">
      <c r="A721" s="92"/>
      <c r="B721" s="92"/>
      <c r="C721" s="93" t="str">
        <f>IF(A721&lt;&gt;"",IFERROR(VLOOKUP(B721,DivisionCostCodeLookup!$F$2:$G$426,2,FALSE),INT(LEFT(A721,2))&amp;"0000"),"")</f>
        <v/>
      </c>
      <c r="D721" s="94"/>
      <c r="E721" s="95"/>
      <c r="F721" s="96"/>
      <c r="G721" s="164"/>
      <c r="H721" s="97" t="str">
        <f t="shared" si="11"/>
        <v/>
      </c>
    </row>
    <row r="722" spans="1:8" s="86" customFormat="1">
      <c r="A722" s="92"/>
      <c r="B722" s="92"/>
      <c r="C722" s="93" t="str">
        <f>IF(A722&lt;&gt;"",IFERROR(VLOOKUP(B722,DivisionCostCodeLookup!$F$2:$G$426,2,FALSE),INT(LEFT(A722,2))&amp;"0000"),"")</f>
        <v/>
      </c>
      <c r="D722" s="94"/>
      <c r="E722" s="95"/>
      <c r="F722" s="96"/>
      <c r="G722" s="164"/>
      <c r="H722" s="97" t="str">
        <f t="shared" si="11"/>
        <v/>
      </c>
    </row>
    <row r="723" spans="1:8" s="86" customFormat="1">
      <c r="A723" s="92"/>
      <c r="B723" s="92"/>
      <c r="C723" s="93" t="str">
        <f>IF(A723&lt;&gt;"",IFERROR(VLOOKUP(B723,DivisionCostCodeLookup!$F$2:$G$426,2,FALSE),INT(LEFT(A723,2))&amp;"0000"),"")</f>
        <v/>
      </c>
      <c r="D723" s="94"/>
      <c r="E723" s="95"/>
      <c r="F723" s="96"/>
      <c r="G723" s="164"/>
      <c r="H723" s="97" t="str">
        <f t="shared" si="11"/>
        <v/>
      </c>
    </row>
    <row r="724" spans="1:8" s="86" customFormat="1">
      <c r="A724" s="92"/>
      <c r="B724" s="92"/>
      <c r="C724" s="93" t="str">
        <f>IF(A724&lt;&gt;"",IFERROR(VLOOKUP(B724,DivisionCostCodeLookup!$F$2:$G$426,2,FALSE),INT(LEFT(A724,2))&amp;"0000"),"")</f>
        <v/>
      </c>
      <c r="D724" s="94"/>
      <c r="E724" s="95"/>
      <c r="F724" s="96"/>
      <c r="G724" s="164"/>
      <c r="H724" s="97" t="str">
        <f t="shared" si="11"/>
        <v/>
      </c>
    </row>
    <row r="725" spans="1:8" s="86" customFormat="1">
      <c r="A725" s="92"/>
      <c r="B725" s="92"/>
      <c r="C725" s="93" t="str">
        <f>IF(A725&lt;&gt;"",IFERROR(VLOOKUP(B725,DivisionCostCodeLookup!$F$2:$G$426,2,FALSE),INT(LEFT(A725,2))&amp;"0000"),"")</f>
        <v/>
      </c>
      <c r="D725" s="94"/>
      <c r="E725" s="95"/>
      <c r="F725" s="96"/>
      <c r="G725" s="164"/>
      <c r="H725" s="97" t="str">
        <f t="shared" si="11"/>
        <v/>
      </c>
    </row>
    <row r="726" spans="1:8" s="86" customFormat="1">
      <c r="A726" s="92"/>
      <c r="B726" s="92"/>
      <c r="C726" s="93" t="str">
        <f>IF(A726&lt;&gt;"",IFERROR(VLOOKUP(B726,DivisionCostCodeLookup!$F$2:$G$426,2,FALSE),INT(LEFT(A726,2))&amp;"0000"),"")</f>
        <v/>
      </c>
      <c r="D726" s="94"/>
      <c r="E726" s="95"/>
      <c r="F726" s="96"/>
      <c r="G726" s="164"/>
      <c r="H726" s="97" t="str">
        <f t="shared" si="11"/>
        <v/>
      </c>
    </row>
    <row r="727" spans="1:8" s="86" customFormat="1">
      <c r="A727" s="92"/>
      <c r="B727" s="92"/>
      <c r="C727" s="93" t="str">
        <f>IF(A727&lt;&gt;"",IFERROR(VLOOKUP(B727,DivisionCostCodeLookup!$F$2:$G$426,2,FALSE),INT(LEFT(A727,2))&amp;"0000"),"")</f>
        <v/>
      </c>
      <c r="D727" s="94"/>
      <c r="E727" s="95"/>
      <c r="F727" s="96"/>
      <c r="G727" s="164"/>
      <c r="H727" s="97" t="str">
        <f t="shared" si="11"/>
        <v/>
      </c>
    </row>
    <row r="728" spans="1:8" s="86" customFormat="1">
      <c r="A728" s="92"/>
      <c r="B728" s="92"/>
      <c r="C728" s="93" t="str">
        <f>IF(A728&lt;&gt;"",IFERROR(VLOOKUP(B728,DivisionCostCodeLookup!$F$2:$G$426,2,FALSE),INT(LEFT(A728,2))&amp;"0000"),"")</f>
        <v/>
      </c>
      <c r="D728" s="94"/>
      <c r="E728" s="95"/>
      <c r="F728" s="96"/>
      <c r="G728" s="164"/>
      <c r="H728" s="97" t="str">
        <f t="shared" si="11"/>
        <v/>
      </c>
    </row>
    <row r="729" spans="1:8" s="86" customFormat="1">
      <c r="A729" s="92"/>
      <c r="B729" s="92"/>
      <c r="C729" s="93" t="str">
        <f>IF(A729&lt;&gt;"",IFERROR(VLOOKUP(B729,DivisionCostCodeLookup!$F$2:$G$426,2,FALSE),INT(LEFT(A729,2))&amp;"0000"),"")</f>
        <v/>
      </c>
      <c r="D729" s="94"/>
      <c r="E729" s="95"/>
      <c r="F729" s="96"/>
      <c r="G729" s="164"/>
      <c r="H729" s="97" t="str">
        <f t="shared" si="11"/>
        <v/>
      </c>
    </row>
    <row r="730" spans="1:8" s="86" customFormat="1">
      <c r="A730" s="92"/>
      <c r="B730" s="92"/>
      <c r="C730" s="93" t="str">
        <f>IF(A730&lt;&gt;"",IFERROR(VLOOKUP(B730,DivisionCostCodeLookup!$F$2:$G$426,2,FALSE),INT(LEFT(A730,2))&amp;"0000"),"")</f>
        <v/>
      </c>
      <c r="D730" s="94"/>
      <c r="E730" s="95"/>
      <c r="F730" s="96"/>
      <c r="G730" s="164"/>
      <c r="H730" s="97" t="str">
        <f t="shared" si="11"/>
        <v/>
      </c>
    </row>
    <row r="731" spans="1:8" s="86" customFormat="1">
      <c r="A731" s="92"/>
      <c r="B731" s="92"/>
      <c r="C731" s="93" t="str">
        <f>IF(A731&lt;&gt;"",IFERROR(VLOOKUP(B731,DivisionCostCodeLookup!$F$2:$G$426,2,FALSE),INT(LEFT(A731,2))&amp;"0000"),"")</f>
        <v/>
      </c>
      <c r="D731" s="94"/>
      <c r="E731" s="95"/>
      <c r="F731" s="96"/>
      <c r="G731" s="164"/>
      <c r="H731" s="97" t="str">
        <f t="shared" si="11"/>
        <v/>
      </c>
    </row>
    <row r="732" spans="1:8" s="86" customFormat="1">
      <c r="A732" s="92"/>
      <c r="B732" s="92"/>
      <c r="C732" s="93" t="str">
        <f>IF(A732&lt;&gt;"",IFERROR(VLOOKUP(B732,DivisionCostCodeLookup!$F$2:$G$426,2,FALSE),INT(LEFT(A732,2))&amp;"0000"),"")</f>
        <v/>
      </c>
      <c r="D732" s="94"/>
      <c r="E732" s="95"/>
      <c r="F732" s="96"/>
      <c r="G732" s="164"/>
      <c r="H732" s="97" t="str">
        <f t="shared" si="11"/>
        <v/>
      </c>
    </row>
    <row r="733" spans="1:8" s="86" customFormat="1">
      <c r="A733" s="92"/>
      <c r="B733" s="92"/>
      <c r="C733" s="93" t="str">
        <f>IF(A733&lt;&gt;"",IFERROR(VLOOKUP(B733,DivisionCostCodeLookup!$F$2:$G$426,2,FALSE),INT(LEFT(A733,2))&amp;"0000"),"")</f>
        <v/>
      </c>
      <c r="D733" s="94"/>
      <c r="E733" s="95"/>
      <c r="F733" s="96"/>
      <c r="G733" s="164"/>
      <c r="H733" s="97" t="str">
        <f t="shared" si="11"/>
        <v/>
      </c>
    </row>
    <row r="734" spans="1:8" s="86" customFormat="1">
      <c r="A734" s="92"/>
      <c r="B734" s="92"/>
      <c r="C734" s="93" t="str">
        <f>IF(A734&lt;&gt;"",IFERROR(VLOOKUP(B734,DivisionCostCodeLookup!$F$2:$G$426,2,FALSE),INT(LEFT(A734,2))&amp;"0000"),"")</f>
        <v/>
      </c>
      <c r="D734" s="94"/>
      <c r="E734" s="95"/>
      <c r="F734" s="96"/>
      <c r="G734" s="164"/>
      <c r="H734" s="97" t="str">
        <f t="shared" si="11"/>
        <v/>
      </c>
    </row>
    <row r="735" spans="1:8" s="86" customFormat="1">
      <c r="A735" s="92"/>
      <c r="B735" s="92"/>
      <c r="C735" s="93" t="str">
        <f>IF(A735&lt;&gt;"",IFERROR(VLOOKUP(B735,DivisionCostCodeLookup!$F$2:$G$426,2,FALSE),INT(LEFT(A735,2))&amp;"0000"),"")</f>
        <v/>
      </c>
      <c r="D735" s="94"/>
      <c r="E735" s="95"/>
      <c r="F735" s="96"/>
      <c r="G735" s="164"/>
      <c r="H735" s="97" t="str">
        <f t="shared" si="11"/>
        <v/>
      </c>
    </row>
    <row r="736" spans="1:8" s="86" customFormat="1">
      <c r="A736" s="92"/>
      <c r="B736" s="92"/>
      <c r="C736" s="93" t="str">
        <f>IF(A736&lt;&gt;"",IFERROR(VLOOKUP(B736,DivisionCostCodeLookup!$F$2:$G$426,2,FALSE),INT(LEFT(A736,2))&amp;"0000"),"")</f>
        <v/>
      </c>
      <c r="D736" s="94"/>
      <c r="E736" s="95"/>
      <c r="F736" s="96"/>
      <c r="G736" s="164"/>
      <c r="H736" s="97" t="str">
        <f t="shared" si="11"/>
        <v/>
      </c>
    </row>
    <row r="737" spans="1:8" s="86" customFormat="1">
      <c r="A737" s="92"/>
      <c r="B737" s="92"/>
      <c r="C737" s="93" t="str">
        <f>IF(A737&lt;&gt;"",IFERROR(VLOOKUP(B737,DivisionCostCodeLookup!$F$2:$G$426,2,FALSE),INT(LEFT(A737,2))&amp;"0000"),"")</f>
        <v/>
      </c>
      <c r="D737" s="94"/>
      <c r="E737" s="95"/>
      <c r="F737" s="96"/>
      <c r="G737" s="164"/>
      <c r="H737" s="97" t="str">
        <f t="shared" si="11"/>
        <v/>
      </c>
    </row>
    <row r="738" spans="1:8" s="86" customFormat="1">
      <c r="A738" s="92"/>
      <c r="B738" s="92"/>
      <c r="C738" s="93" t="str">
        <f>IF(A738&lt;&gt;"",IFERROR(VLOOKUP(B738,DivisionCostCodeLookup!$F$2:$G$426,2,FALSE),INT(LEFT(A738,2))&amp;"0000"),"")</f>
        <v/>
      </c>
      <c r="D738" s="94"/>
      <c r="E738" s="95"/>
      <c r="F738" s="96"/>
      <c r="G738" s="164"/>
      <c r="H738" s="97" t="str">
        <f t="shared" si="11"/>
        <v/>
      </c>
    </row>
    <row r="739" spans="1:8" s="86" customFormat="1">
      <c r="A739" s="92"/>
      <c r="B739" s="92"/>
      <c r="C739" s="93" t="str">
        <f>IF(A739&lt;&gt;"",IFERROR(VLOOKUP(B739,DivisionCostCodeLookup!$F$2:$G$426,2,FALSE),INT(LEFT(A739,2))&amp;"0000"),"")</f>
        <v/>
      </c>
      <c r="D739" s="94"/>
      <c r="E739" s="95"/>
      <c r="F739" s="96"/>
      <c r="G739" s="164"/>
      <c r="H739" s="97" t="str">
        <f t="shared" si="11"/>
        <v/>
      </c>
    </row>
    <row r="740" spans="1:8" s="86" customFormat="1">
      <c r="A740" s="92"/>
      <c r="B740" s="92"/>
      <c r="C740" s="93" t="str">
        <f>IF(A740&lt;&gt;"",IFERROR(VLOOKUP(B740,DivisionCostCodeLookup!$F$2:$G$426,2,FALSE),INT(LEFT(A740,2))&amp;"0000"),"")</f>
        <v/>
      </c>
      <c r="D740" s="94"/>
      <c r="E740" s="95"/>
      <c r="F740" s="96"/>
      <c r="G740" s="164"/>
      <c r="H740" s="97" t="str">
        <f t="shared" si="11"/>
        <v/>
      </c>
    </row>
    <row r="741" spans="1:8" s="86" customFormat="1">
      <c r="A741" s="92"/>
      <c r="B741" s="92"/>
      <c r="C741" s="93" t="str">
        <f>IF(A741&lt;&gt;"",IFERROR(VLOOKUP(B741,DivisionCostCodeLookup!$F$2:$G$426,2,FALSE),INT(LEFT(A741,2))&amp;"0000"),"")</f>
        <v/>
      </c>
      <c r="D741" s="94"/>
      <c r="E741" s="95"/>
      <c r="F741" s="96"/>
      <c r="G741" s="164"/>
      <c r="H741" s="97" t="str">
        <f t="shared" si="11"/>
        <v/>
      </c>
    </row>
    <row r="742" spans="1:8" s="86" customFormat="1">
      <c r="A742" s="92"/>
      <c r="B742" s="92"/>
      <c r="C742" s="93" t="str">
        <f>IF(A742&lt;&gt;"",IFERROR(VLOOKUP(B742,DivisionCostCodeLookup!$F$2:$G$426,2,FALSE),INT(LEFT(A742,2))&amp;"0000"),"")</f>
        <v/>
      </c>
      <c r="D742" s="94"/>
      <c r="E742" s="95"/>
      <c r="F742" s="96"/>
      <c r="G742" s="164"/>
      <c r="H742" s="97" t="str">
        <f t="shared" si="11"/>
        <v/>
      </c>
    </row>
    <row r="743" spans="1:8" s="86" customFormat="1">
      <c r="A743" s="92"/>
      <c r="B743" s="92"/>
      <c r="C743" s="93" t="str">
        <f>IF(A743&lt;&gt;"",IFERROR(VLOOKUP(B743,DivisionCostCodeLookup!$F$2:$G$426,2,FALSE),INT(LEFT(A743,2))&amp;"0000"),"")</f>
        <v/>
      </c>
      <c r="D743" s="94"/>
      <c r="E743" s="95"/>
      <c r="F743" s="96"/>
      <c r="G743" s="164"/>
      <c r="H743" s="97" t="str">
        <f t="shared" si="11"/>
        <v/>
      </c>
    </row>
    <row r="744" spans="1:8" s="86" customFormat="1">
      <c r="A744" s="92"/>
      <c r="B744" s="92"/>
      <c r="C744" s="93" t="str">
        <f>IF(A744&lt;&gt;"",IFERROR(VLOOKUP(B744,DivisionCostCodeLookup!$F$2:$G$426,2,FALSE),INT(LEFT(A744,2))&amp;"0000"),"")</f>
        <v/>
      </c>
      <c r="D744" s="94"/>
      <c r="E744" s="95"/>
      <c r="F744" s="96"/>
      <c r="G744" s="164"/>
      <c r="H744" s="97" t="str">
        <f t="shared" si="11"/>
        <v/>
      </c>
    </row>
    <row r="745" spans="1:8" s="86" customFormat="1">
      <c r="A745" s="92"/>
      <c r="B745" s="92"/>
      <c r="C745" s="93" t="str">
        <f>IF(A745&lt;&gt;"",IFERROR(VLOOKUP(B745,DivisionCostCodeLookup!$F$2:$G$426,2,FALSE),INT(LEFT(A745,2))&amp;"0000"),"")</f>
        <v/>
      </c>
      <c r="D745" s="94"/>
      <c r="E745" s="95"/>
      <c r="F745" s="96"/>
      <c r="G745" s="164"/>
      <c r="H745" s="97" t="str">
        <f t="shared" si="11"/>
        <v/>
      </c>
    </row>
    <row r="746" spans="1:8" s="86" customFormat="1">
      <c r="A746" s="92"/>
      <c r="B746" s="92"/>
      <c r="C746" s="93" t="str">
        <f>IF(A746&lt;&gt;"",IFERROR(VLOOKUP(B746,DivisionCostCodeLookup!$F$2:$G$426,2,FALSE),INT(LEFT(A746,2))&amp;"0000"),"")</f>
        <v/>
      </c>
      <c r="D746" s="94"/>
      <c r="E746" s="95"/>
      <c r="F746" s="96"/>
      <c r="G746" s="164"/>
      <c r="H746" s="97" t="str">
        <f t="shared" si="11"/>
        <v/>
      </c>
    </row>
    <row r="747" spans="1:8" s="86" customFormat="1">
      <c r="A747" s="92"/>
      <c r="B747" s="92"/>
      <c r="C747" s="93" t="str">
        <f>IF(A747&lt;&gt;"",IFERROR(VLOOKUP(B747,DivisionCostCodeLookup!$F$2:$G$426,2,FALSE),INT(LEFT(A747,2))&amp;"0000"),"")</f>
        <v/>
      </c>
      <c r="D747" s="94"/>
      <c r="E747" s="95"/>
      <c r="F747" s="96"/>
      <c r="G747" s="164"/>
      <c r="H747" s="97" t="str">
        <f t="shared" si="11"/>
        <v/>
      </c>
    </row>
    <row r="748" spans="1:8" s="86" customFormat="1">
      <c r="A748" s="92"/>
      <c r="B748" s="92"/>
      <c r="C748" s="93" t="str">
        <f>IF(A748&lt;&gt;"",IFERROR(VLOOKUP(B748,DivisionCostCodeLookup!$F$2:$G$426,2,FALSE),INT(LEFT(A748,2))&amp;"0000"),"")</f>
        <v/>
      </c>
      <c r="D748" s="94"/>
      <c r="E748" s="95"/>
      <c r="F748" s="96"/>
      <c r="G748" s="164"/>
      <c r="H748" s="97" t="str">
        <f t="shared" si="11"/>
        <v/>
      </c>
    </row>
    <row r="749" spans="1:8" s="86" customFormat="1">
      <c r="A749" s="92"/>
      <c r="B749" s="92"/>
      <c r="C749" s="93" t="str">
        <f>IF(A749&lt;&gt;"",IFERROR(VLOOKUP(B749,DivisionCostCodeLookup!$F$2:$G$426,2,FALSE),INT(LEFT(A749,2))&amp;"0000"),"")</f>
        <v/>
      </c>
      <c r="D749" s="94"/>
      <c r="E749" s="95"/>
      <c r="F749" s="96"/>
      <c r="G749" s="164"/>
      <c r="H749" s="97" t="str">
        <f t="shared" si="11"/>
        <v/>
      </c>
    </row>
    <row r="750" spans="1:8" s="86" customFormat="1">
      <c r="A750" s="92"/>
      <c r="B750" s="92"/>
      <c r="C750" s="93" t="str">
        <f>IF(A750&lt;&gt;"",IFERROR(VLOOKUP(B750,DivisionCostCodeLookup!$F$2:$G$426,2,FALSE),INT(LEFT(A750,2))&amp;"0000"),"")</f>
        <v/>
      </c>
      <c r="D750" s="94"/>
      <c r="E750" s="95"/>
      <c r="F750" s="96"/>
      <c r="G750" s="164"/>
      <c r="H750" s="97" t="str">
        <f t="shared" si="11"/>
        <v/>
      </c>
    </row>
    <row r="751" spans="1:8" s="86" customFormat="1">
      <c r="A751" s="92"/>
      <c r="B751" s="92"/>
      <c r="C751" s="93" t="str">
        <f>IF(A751&lt;&gt;"",IFERROR(VLOOKUP(B751,DivisionCostCodeLookup!$F$2:$G$426,2,FALSE),INT(LEFT(A751,2))&amp;"0000"),"")</f>
        <v/>
      </c>
      <c r="D751" s="94"/>
      <c r="E751" s="95"/>
      <c r="F751" s="96"/>
      <c r="G751" s="164"/>
      <c r="H751" s="97" t="str">
        <f t="shared" si="11"/>
        <v/>
      </c>
    </row>
    <row r="752" spans="1:8" s="86" customFormat="1">
      <c r="A752" s="92"/>
      <c r="B752" s="92"/>
      <c r="C752" s="93" t="str">
        <f>IF(A752&lt;&gt;"",IFERROR(VLOOKUP(B752,DivisionCostCodeLookup!$F$2:$G$426,2,FALSE),INT(LEFT(A752,2))&amp;"0000"),"")</f>
        <v/>
      </c>
      <c r="D752" s="94"/>
      <c r="E752" s="95"/>
      <c r="F752" s="96"/>
      <c r="G752" s="164"/>
      <c r="H752" s="97" t="str">
        <f t="shared" si="11"/>
        <v/>
      </c>
    </row>
    <row r="753" spans="1:8" s="86" customFormat="1">
      <c r="A753" s="92"/>
      <c r="B753" s="92"/>
      <c r="C753" s="93" t="str">
        <f>IF(A753&lt;&gt;"",IFERROR(VLOOKUP(B753,DivisionCostCodeLookup!$F$2:$G$426,2,FALSE),INT(LEFT(A753,2))&amp;"0000"),"")</f>
        <v/>
      </c>
      <c r="D753" s="94"/>
      <c r="E753" s="95"/>
      <c r="F753" s="96"/>
      <c r="G753" s="164"/>
      <c r="H753" s="97" t="str">
        <f t="shared" si="11"/>
        <v/>
      </c>
    </row>
    <row r="754" spans="1:8" s="86" customFormat="1">
      <c r="A754" s="92"/>
      <c r="B754" s="92"/>
      <c r="C754" s="93" t="str">
        <f>IF(A754&lt;&gt;"",IFERROR(VLOOKUP(B754,DivisionCostCodeLookup!$F$2:$G$426,2,FALSE),INT(LEFT(A754,2))&amp;"0000"),"")</f>
        <v/>
      </c>
      <c r="D754" s="94"/>
      <c r="E754" s="95"/>
      <c r="F754" s="96"/>
      <c r="G754" s="164"/>
      <c r="H754" s="97" t="str">
        <f t="shared" si="11"/>
        <v/>
      </c>
    </row>
    <row r="755" spans="1:8" s="86" customFormat="1">
      <c r="A755" s="92"/>
      <c r="B755" s="92"/>
      <c r="C755" s="93" t="str">
        <f>IF(A755&lt;&gt;"",IFERROR(VLOOKUP(B755,DivisionCostCodeLookup!$F$2:$G$426,2,FALSE),INT(LEFT(A755,2))&amp;"0000"),"")</f>
        <v/>
      </c>
      <c r="D755" s="94"/>
      <c r="E755" s="95"/>
      <c r="F755" s="96"/>
      <c r="G755" s="164"/>
      <c r="H755" s="97" t="str">
        <f t="shared" si="11"/>
        <v/>
      </c>
    </row>
    <row r="756" spans="1:8" s="86" customFormat="1">
      <c r="A756" s="92"/>
      <c r="B756" s="92"/>
      <c r="C756" s="93" t="str">
        <f>IF(A756&lt;&gt;"",IFERROR(VLOOKUP(B756,DivisionCostCodeLookup!$F$2:$G$426,2,FALSE),INT(LEFT(A756,2))&amp;"0000"),"")</f>
        <v/>
      </c>
      <c r="D756" s="94"/>
      <c r="E756" s="95"/>
      <c r="F756" s="96"/>
      <c r="G756" s="164"/>
      <c r="H756" s="97" t="str">
        <f t="shared" si="11"/>
        <v/>
      </c>
    </row>
    <row r="757" spans="1:8" s="86" customFormat="1">
      <c r="A757" s="92"/>
      <c r="B757" s="92"/>
      <c r="C757" s="93" t="str">
        <f>IF(A757&lt;&gt;"",IFERROR(VLOOKUP(B757,DivisionCostCodeLookup!$F$2:$G$426,2,FALSE),INT(LEFT(A757,2))&amp;"0000"),"")</f>
        <v/>
      </c>
      <c r="D757" s="94"/>
      <c r="E757" s="95"/>
      <c r="F757" s="96"/>
      <c r="G757" s="164"/>
      <c r="H757" s="97" t="str">
        <f t="shared" si="11"/>
        <v/>
      </c>
    </row>
    <row r="758" spans="1:8" s="86" customFormat="1">
      <c r="A758" s="92"/>
      <c r="B758" s="92"/>
      <c r="C758" s="93" t="str">
        <f>IF(A758&lt;&gt;"",IFERROR(VLOOKUP(B758,DivisionCostCodeLookup!$F$2:$G$426,2,FALSE),INT(LEFT(A758,2))&amp;"0000"),"")</f>
        <v/>
      </c>
      <c r="D758" s="94"/>
      <c r="E758" s="95"/>
      <c r="F758" s="96"/>
      <c r="G758" s="164"/>
      <c r="H758" s="97" t="str">
        <f t="shared" si="11"/>
        <v/>
      </c>
    </row>
    <row r="759" spans="1:8" s="86" customFormat="1">
      <c r="A759" s="92"/>
      <c r="B759" s="92"/>
      <c r="C759" s="93" t="str">
        <f>IF(A759&lt;&gt;"",IFERROR(VLOOKUP(B759,DivisionCostCodeLookup!$F$2:$G$426,2,FALSE),INT(LEFT(A759,2))&amp;"0000"),"")</f>
        <v/>
      </c>
      <c r="D759" s="94"/>
      <c r="E759" s="95"/>
      <c r="F759" s="96"/>
      <c r="G759" s="164"/>
      <c r="H759" s="97" t="str">
        <f t="shared" si="11"/>
        <v/>
      </c>
    </row>
    <row r="760" spans="1:8" s="86" customFormat="1">
      <c r="A760" s="92"/>
      <c r="B760" s="92"/>
      <c r="C760" s="93" t="str">
        <f>IF(A760&lt;&gt;"",IFERROR(VLOOKUP(B760,DivisionCostCodeLookup!$F$2:$G$426,2,FALSE),INT(LEFT(A760,2))&amp;"0000"),"")</f>
        <v/>
      </c>
      <c r="D760" s="94"/>
      <c r="E760" s="95"/>
      <c r="F760" s="96"/>
      <c r="G760" s="164"/>
      <c r="H760" s="97" t="str">
        <f t="shared" si="11"/>
        <v/>
      </c>
    </row>
    <row r="761" spans="1:8" s="86" customFormat="1">
      <c r="A761" s="92"/>
      <c r="B761" s="92"/>
      <c r="C761" s="93" t="str">
        <f>IF(A761&lt;&gt;"",IFERROR(VLOOKUP(B761,DivisionCostCodeLookup!$F$2:$G$426,2,FALSE),INT(LEFT(A761,2))&amp;"0000"),"")</f>
        <v/>
      </c>
      <c r="D761" s="94"/>
      <c r="E761" s="95"/>
      <c r="F761" s="96"/>
      <c r="G761" s="164"/>
      <c r="H761" s="97" t="str">
        <f t="shared" si="11"/>
        <v/>
      </c>
    </row>
    <row r="762" spans="1:8" s="86" customFormat="1">
      <c r="A762" s="92"/>
      <c r="B762" s="92"/>
      <c r="C762" s="93" t="str">
        <f>IF(A762&lt;&gt;"",IFERROR(VLOOKUP(B762,DivisionCostCodeLookup!$F$2:$G$426,2,FALSE),INT(LEFT(A762,2))&amp;"0000"),"")</f>
        <v/>
      </c>
      <c r="D762" s="94"/>
      <c r="E762" s="95"/>
      <c r="F762" s="96"/>
      <c r="G762" s="164"/>
      <c r="H762" s="97" t="str">
        <f t="shared" si="11"/>
        <v/>
      </c>
    </row>
    <row r="763" spans="1:8" s="86" customFormat="1">
      <c r="A763" s="92"/>
      <c r="B763" s="92"/>
      <c r="C763" s="93" t="str">
        <f>IF(A763&lt;&gt;"",IFERROR(VLOOKUP(B763,DivisionCostCodeLookup!$F$2:$G$426,2,FALSE),INT(LEFT(A763,2))&amp;"0000"),"")</f>
        <v/>
      </c>
      <c r="D763" s="94"/>
      <c r="E763" s="95"/>
      <c r="F763" s="96"/>
      <c r="G763" s="164"/>
      <c r="H763" s="97" t="str">
        <f t="shared" si="11"/>
        <v/>
      </c>
    </row>
    <row r="764" spans="1:8" s="86" customFormat="1">
      <c r="A764" s="92"/>
      <c r="B764" s="92"/>
      <c r="C764" s="93" t="str">
        <f>IF(A764&lt;&gt;"",IFERROR(VLOOKUP(B764,DivisionCostCodeLookup!$F$2:$G$426,2,FALSE),INT(LEFT(A764,2))&amp;"0000"),"")</f>
        <v/>
      </c>
      <c r="D764" s="94"/>
      <c r="E764" s="95"/>
      <c r="F764" s="96"/>
      <c r="G764" s="164"/>
      <c r="H764" s="97" t="str">
        <f t="shared" si="11"/>
        <v/>
      </c>
    </row>
    <row r="765" spans="1:8" s="86" customFormat="1">
      <c r="A765" s="92"/>
      <c r="B765" s="92"/>
      <c r="C765" s="93" t="str">
        <f>IF(A765&lt;&gt;"",IFERROR(VLOOKUP(B765,DivisionCostCodeLookup!$F$2:$G$426,2,FALSE),INT(LEFT(A765,2))&amp;"0000"),"")</f>
        <v/>
      </c>
      <c r="D765" s="94"/>
      <c r="E765" s="95"/>
      <c r="F765" s="96"/>
      <c r="G765" s="164"/>
      <c r="H765" s="97" t="str">
        <f t="shared" si="11"/>
        <v/>
      </c>
    </row>
    <row r="766" spans="1:8" s="86" customFormat="1">
      <c r="A766" s="92"/>
      <c r="B766" s="92"/>
      <c r="C766" s="93" t="str">
        <f>IF(A766&lt;&gt;"",IFERROR(VLOOKUP(B766,DivisionCostCodeLookup!$F$2:$G$426,2,FALSE),INT(LEFT(A766,2))&amp;"0000"),"")</f>
        <v/>
      </c>
      <c r="D766" s="94"/>
      <c r="E766" s="95"/>
      <c r="F766" s="96"/>
      <c r="G766" s="164"/>
      <c r="H766" s="97" t="str">
        <f t="shared" si="11"/>
        <v/>
      </c>
    </row>
    <row r="767" spans="1:8" s="86" customFormat="1">
      <c r="A767" s="92"/>
      <c r="B767" s="92"/>
      <c r="C767" s="93" t="str">
        <f>IF(A767&lt;&gt;"",IFERROR(VLOOKUP(B767,DivisionCostCodeLookup!$F$2:$G$426,2,FALSE),INT(LEFT(A767,2))&amp;"0000"),"")</f>
        <v/>
      </c>
      <c r="D767" s="94"/>
      <c r="E767" s="95"/>
      <c r="F767" s="96"/>
      <c r="G767" s="164"/>
      <c r="H767" s="97" t="str">
        <f t="shared" si="11"/>
        <v/>
      </c>
    </row>
    <row r="768" spans="1:8" s="86" customFormat="1">
      <c r="A768" s="92"/>
      <c r="B768" s="92"/>
      <c r="C768" s="93" t="str">
        <f>IF(A768&lt;&gt;"",IFERROR(VLOOKUP(B768,DivisionCostCodeLookup!$F$2:$G$426,2,FALSE),INT(LEFT(A768,2))&amp;"0000"),"")</f>
        <v/>
      </c>
      <c r="D768" s="94"/>
      <c r="E768" s="95"/>
      <c r="F768" s="96"/>
      <c r="G768" s="164"/>
      <c r="H768" s="97" t="str">
        <f t="shared" si="11"/>
        <v/>
      </c>
    </row>
    <row r="769" spans="1:8" s="86" customFormat="1">
      <c r="A769" s="92"/>
      <c r="B769" s="92"/>
      <c r="C769" s="93" t="str">
        <f>IF(A769&lt;&gt;"",IFERROR(VLOOKUP(B769,DivisionCostCodeLookup!$F$2:$G$426,2,FALSE),INT(LEFT(A769,2))&amp;"0000"),"")</f>
        <v/>
      </c>
      <c r="D769" s="94"/>
      <c r="E769" s="95"/>
      <c r="F769" s="96"/>
      <c r="G769" s="164"/>
      <c r="H769" s="97" t="str">
        <f t="shared" si="11"/>
        <v/>
      </c>
    </row>
    <row r="770" spans="1:8" s="86" customFormat="1">
      <c r="A770" s="92"/>
      <c r="B770" s="92"/>
      <c r="C770" s="93" t="str">
        <f>IF(A770&lt;&gt;"",IFERROR(VLOOKUP(B770,DivisionCostCodeLookup!$F$2:$G$426,2,FALSE),INT(LEFT(A770,2))&amp;"0000"),"")</f>
        <v/>
      </c>
      <c r="D770" s="94"/>
      <c r="E770" s="95"/>
      <c r="F770" s="96"/>
      <c r="G770" s="164"/>
      <c r="H770" s="97" t="str">
        <f t="shared" si="11"/>
        <v/>
      </c>
    </row>
    <row r="771" spans="1:8" s="86" customFormat="1">
      <c r="A771" s="92"/>
      <c r="B771" s="92"/>
      <c r="C771" s="93" t="str">
        <f>IF(A771&lt;&gt;"",IFERROR(VLOOKUP(B771,DivisionCostCodeLookup!$F$2:$G$426,2,FALSE),INT(LEFT(A771,2))&amp;"0000"),"")</f>
        <v/>
      </c>
      <c r="D771" s="94"/>
      <c r="E771" s="95"/>
      <c r="F771" s="96"/>
      <c r="G771" s="164"/>
      <c r="H771" s="97" t="str">
        <f t="shared" si="11"/>
        <v/>
      </c>
    </row>
    <row r="772" spans="1:8" s="86" customFormat="1">
      <c r="A772" s="92"/>
      <c r="B772" s="92"/>
      <c r="C772" s="93" t="str">
        <f>IF(A772&lt;&gt;"",IFERROR(VLOOKUP(B772,DivisionCostCodeLookup!$F$2:$G$426,2,FALSE),INT(LEFT(A772,2))&amp;"0000"),"")</f>
        <v/>
      </c>
      <c r="D772" s="94"/>
      <c r="E772" s="95"/>
      <c r="F772" s="96"/>
      <c r="G772" s="164"/>
      <c r="H772" s="97" t="str">
        <f t="shared" si="11"/>
        <v/>
      </c>
    </row>
    <row r="773" spans="1:8" s="86" customFormat="1">
      <c r="A773" s="92"/>
      <c r="B773" s="92"/>
      <c r="C773" s="93" t="str">
        <f>IF(A773&lt;&gt;"",IFERROR(VLOOKUP(B773,DivisionCostCodeLookup!$F$2:$G$426,2,FALSE),INT(LEFT(A773,2))&amp;"0000"),"")</f>
        <v/>
      </c>
      <c r="D773" s="94"/>
      <c r="E773" s="95"/>
      <c r="F773" s="96"/>
      <c r="G773" s="164"/>
      <c r="H773" s="97" t="str">
        <f t="shared" si="11"/>
        <v/>
      </c>
    </row>
    <row r="774" spans="1:8" s="86" customFormat="1">
      <c r="A774" s="92"/>
      <c r="B774" s="92"/>
      <c r="C774" s="93" t="str">
        <f>IF(A774&lt;&gt;"",IFERROR(VLOOKUP(B774,DivisionCostCodeLookup!$F$2:$G$426,2,FALSE),INT(LEFT(A774,2))&amp;"0000"),"")</f>
        <v/>
      </c>
      <c r="D774" s="94"/>
      <c r="E774" s="95"/>
      <c r="F774" s="96"/>
      <c r="G774" s="164"/>
      <c r="H774" s="97" t="str">
        <f t="shared" si="11"/>
        <v/>
      </c>
    </row>
    <row r="775" spans="1:8" s="86" customFormat="1">
      <c r="A775" s="92"/>
      <c r="B775" s="92"/>
      <c r="C775" s="93" t="str">
        <f>IF(A775&lt;&gt;"",IFERROR(VLOOKUP(B775,DivisionCostCodeLookup!$F$2:$G$426,2,FALSE),INT(LEFT(A775,2))&amp;"0000"),"")</f>
        <v/>
      </c>
      <c r="D775" s="94"/>
      <c r="E775" s="95"/>
      <c r="F775" s="96"/>
      <c r="G775" s="164"/>
      <c r="H775" s="97" t="str">
        <f t="shared" si="11"/>
        <v/>
      </c>
    </row>
    <row r="776" spans="1:8" s="86" customFormat="1">
      <c r="A776" s="92"/>
      <c r="B776" s="92"/>
      <c r="C776" s="93" t="str">
        <f>IF(A776&lt;&gt;"",IFERROR(VLOOKUP(B776,DivisionCostCodeLookup!$F$2:$G$426,2,FALSE),INT(LEFT(A776,2))&amp;"0000"),"")</f>
        <v/>
      </c>
      <c r="D776" s="94"/>
      <c r="E776" s="95"/>
      <c r="F776" s="96"/>
      <c r="G776" s="164"/>
      <c r="H776" s="97" t="str">
        <f t="shared" ref="H776:H839" si="12">IF(E776*G776&lt;&gt;0,E776*G776,"")</f>
        <v/>
      </c>
    </row>
    <row r="777" spans="1:8" s="86" customFormat="1">
      <c r="A777" s="92"/>
      <c r="B777" s="92"/>
      <c r="C777" s="93" t="str">
        <f>IF(A777&lt;&gt;"",IFERROR(VLOOKUP(B777,DivisionCostCodeLookup!$F$2:$G$426,2,FALSE),INT(LEFT(A777,2))&amp;"0000"),"")</f>
        <v/>
      </c>
      <c r="D777" s="94"/>
      <c r="E777" s="95"/>
      <c r="F777" s="96"/>
      <c r="G777" s="164"/>
      <c r="H777" s="97" t="str">
        <f t="shared" si="12"/>
        <v/>
      </c>
    </row>
    <row r="778" spans="1:8" s="86" customFormat="1">
      <c r="A778" s="92"/>
      <c r="B778" s="92"/>
      <c r="C778" s="93" t="str">
        <f>IF(A778&lt;&gt;"",IFERROR(VLOOKUP(B778,DivisionCostCodeLookup!$F$2:$G$426,2,FALSE),INT(LEFT(A778,2))&amp;"0000"),"")</f>
        <v/>
      </c>
      <c r="D778" s="94"/>
      <c r="E778" s="95"/>
      <c r="F778" s="96"/>
      <c r="G778" s="164"/>
      <c r="H778" s="97" t="str">
        <f t="shared" si="12"/>
        <v/>
      </c>
    </row>
    <row r="779" spans="1:8" s="86" customFormat="1">
      <c r="A779" s="92"/>
      <c r="B779" s="92"/>
      <c r="C779" s="93" t="str">
        <f>IF(A779&lt;&gt;"",IFERROR(VLOOKUP(B779,DivisionCostCodeLookup!$F$2:$G$426,2,FALSE),INT(LEFT(A779,2))&amp;"0000"),"")</f>
        <v/>
      </c>
      <c r="D779" s="94"/>
      <c r="E779" s="95"/>
      <c r="F779" s="96"/>
      <c r="G779" s="164"/>
      <c r="H779" s="97" t="str">
        <f t="shared" si="12"/>
        <v/>
      </c>
    </row>
    <row r="780" spans="1:8" s="86" customFormat="1">
      <c r="A780" s="92"/>
      <c r="B780" s="92"/>
      <c r="C780" s="93" t="str">
        <f>IF(A780&lt;&gt;"",IFERROR(VLOOKUP(B780,DivisionCostCodeLookup!$F$2:$G$426,2,FALSE),INT(LEFT(A780,2))&amp;"0000"),"")</f>
        <v/>
      </c>
      <c r="D780" s="94"/>
      <c r="E780" s="95"/>
      <c r="F780" s="96"/>
      <c r="G780" s="164"/>
      <c r="H780" s="97" t="str">
        <f t="shared" si="12"/>
        <v/>
      </c>
    </row>
    <row r="781" spans="1:8" s="86" customFormat="1">
      <c r="A781" s="92"/>
      <c r="B781" s="92"/>
      <c r="C781" s="93" t="str">
        <f>IF(A781&lt;&gt;"",IFERROR(VLOOKUP(B781,DivisionCostCodeLookup!$F$2:$G$426,2,FALSE),INT(LEFT(A781,2))&amp;"0000"),"")</f>
        <v/>
      </c>
      <c r="D781" s="94"/>
      <c r="E781" s="95"/>
      <c r="F781" s="96"/>
      <c r="G781" s="164"/>
      <c r="H781" s="97" t="str">
        <f t="shared" si="12"/>
        <v/>
      </c>
    </row>
    <row r="782" spans="1:8" s="86" customFormat="1">
      <c r="A782" s="92"/>
      <c r="B782" s="92"/>
      <c r="C782" s="93" t="str">
        <f>IF(A782&lt;&gt;"",IFERROR(VLOOKUP(B782,DivisionCostCodeLookup!$F$2:$G$426,2,FALSE),INT(LEFT(A782,2))&amp;"0000"),"")</f>
        <v/>
      </c>
      <c r="D782" s="94"/>
      <c r="E782" s="95"/>
      <c r="F782" s="96"/>
      <c r="G782" s="164"/>
      <c r="H782" s="97" t="str">
        <f t="shared" si="12"/>
        <v/>
      </c>
    </row>
    <row r="783" spans="1:8" s="86" customFormat="1">
      <c r="A783" s="92"/>
      <c r="B783" s="92"/>
      <c r="C783" s="93" t="str">
        <f>IF(A783&lt;&gt;"",IFERROR(VLOOKUP(B783,DivisionCostCodeLookup!$F$2:$G$426,2,FALSE),INT(LEFT(A783,2))&amp;"0000"),"")</f>
        <v/>
      </c>
      <c r="D783" s="94"/>
      <c r="E783" s="95"/>
      <c r="F783" s="96"/>
      <c r="G783" s="164"/>
      <c r="H783" s="97" t="str">
        <f t="shared" si="12"/>
        <v/>
      </c>
    </row>
    <row r="784" spans="1:8" s="86" customFormat="1">
      <c r="A784" s="92"/>
      <c r="B784" s="92"/>
      <c r="C784" s="93" t="str">
        <f>IF(A784&lt;&gt;"",IFERROR(VLOOKUP(B784,DivisionCostCodeLookup!$F$2:$G$426,2,FALSE),INT(LEFT(A784,2))&amp;"0000"),"")</f>
        <v/>
      </c>
      <c r="D784" s="94"/>
      <c r="E784" s="95"/>
      <c r="F784" s="96"/>
      <c r="G784" s="164"/>
      <c r="H784" s="97" t="str">
        <f t="shared" si="12"/>
        <v/>
      </c>
    </row>
    <row r="785" spans="1:8" s="86" customFormat="1">
      <c r="A785" s="92"/>
      <c r="B785" s="92"/>
      <c r="C785" s="93" t="str">
        <f>IF(A785&lt;&gt;"",IFERROR(VLOOKUP(B785,DivisionCostCodeLookup!$F$2:$G$426,2,FALSE),INT(LEFT(A785,2))&amp;"0000"),"")</f>
        <v/>
      </c>
      <c r="D785" s="94"/>
      <c r="E785" s="95"/>
      <c r="F785" s="96"/>
      <c r="G785" s="164"/>
      <c r="H785" s="97" t="str">
        <f t="shared" si="12"/>
        <v/>
      </c>
    </row>
    <row r="786" spans="1:8" s="86" customFormat="1">
      <c r="A786" s="92"/>
      <c r="B786" s="92"/>
      <c r="C786" s="93" t="str">
        <f>IF(A786&lt;&gt;"",IFERROR(VLOOKUP(B786,DivisionCostCodeLookup!$F$2:$G$426,2,FALSE),INT(LEFT(A786,2))&amp;"0000"),"")</f>
        <v/>
      </c>
      <c r="D786" s="94"/>
      <c r="E786" s="95"/>
      <c r="F786" s="96"/>
      <c r="G786" s="164"/>
      <c r="H786" s="97" t="str">
        <f t="shared" si="12"/>
        <v/>
      </c>
    </row>
    <row r="787" spans="1:8" s="86" customFormat="1">
      <c r="A787" s="92"/>
      <c r="B787" s="92"/>
      <c r="C787" s="93" t="str">
        <f>IF(A787&lt;&gt;"",IFERROR(VLOOKUP(B787,DivisionCostCodeLookup!$F$2:$G$426,2,FALSE),INT(LEFT(A787,2))&amp;"0000"),"")</f>
        <v/>
      </c>
      <c r="D787" s="94"/>
      <c r="E787" s="95"/>
      <c r="F787" s="96"/>
      <c r="G787" s="164"/>
      <c r="H787" s="97" t="str">
        <f t="shared" si="12"/>
        <v/>
      </c>
    </row>
    <row r="788" spans="1:8" s="86" customFormat="1">
      <c r="A788" s="92"/>
      <c r="B788" s="92"/>
      <c r="C788" s="93" t="str">
        <f>IF(A788&lt;&gt;"",IFERROR(VLOOKUP(B788,DivisionCostCodeLookup!$F$2:$G$426,2,FALSE),INT(LEFT(A788,2))&amp;"0000"),"")</f>
        <v/>
      </c>
      <c r="D788" s="94"/>
      <c r="E788" s="95"/>
      <c r="F788" s="96"/>
      <c r="G788" s="164"/>
      <c r="H788" s="97" t="str">
        <f t="shared" si="12"/>
        <v/>
      </c>
    </row>
    <row r="789" spans="1:8" s="86" customFormat="1">
      <c r="A789" s="92"/>
      <c r="B789" s="92"/>
      <c r="C789" s="93" t="str">
        <f>IF(A789&lt;&gt;"",IFERROR(VLOOKUP(B789,DivisionCostCodeLookup!$F$2:$G$426,2,FALSE),INT(LEFT(A789,2))&amp;"0000"),"")</f>
        <v/>
      </c>
      <c r="D789" s="94"/>
      <c r="E789" s="95"/>
      <c r="F789" s="96"/>
      <c r="G789" s="164"/>
      <c r="H789" s="97" t="str">
        <f t="shared" si="12"/>
        <v/>
      </c>
    </row>
    <row r="790" spans="1:8" s="86" customFormat="1">
      <c r="A790" s="92"/>
      <c r="B790" s="92"/>
      <c r="C790" s="93" t="str">
        <f>IF(A790&lt;&gt;"",IFERROR(VLOOKUP(B790,DivisionCostCodeLookup!$F$2:$G$426,2,FALSE),INT(LEFT(A790,2))&amp;"0000"),"")</f>
        <v/>
      </c>
      <c r="D790" s="94"/>
      <c r="E790" s="95"/>
      <c r="F790" s="96"/>
      <c r="G790" s="164"/>
      <c r="H790" s="97" t="str">
        <f t="shared" si="12"/>
        <v/>
      </c>
    </row>
    <row r="791" spans="1:8" s="86" customFormat="1">
      <c r="A791" s="92"/>
      <c r="B791" s="92"/>
      <c r="C791" s="93" t="str">
        <f>IF(A791&lt;&gt;"",IFERROR(VLOOKUP(B791,DivisionCostCodeLookup!$F$2:$G$426,2,FALSE),INT(LEFT(A791,2))&amp;"0000"),"")</f>
        <v/>
      </c>
      <c r="D791" s="94"/>
      <c r="E791" s="95"/>
      <c r="F791" s="96"/>
      <c r="G791" s="164"/>
      <c r="H791" s="97" t="str">
        <f t="shared" si="12"/>
        <v/>
      </c>
    </row>
    <row r="792" spans="1:8" s="86" customFormat="1">
      <c r="A792" s="92"/>
      <c r="B792" s="92"/>
      <c r="C792" s="93" t="str">
        <f>IF(A792&lt;&gt;"",IFERROR(VLOOKUP(B792,DivisionCostCodeLookup!$F$2:$G$426,2,FALSE),INT(LEFT(A792,2))&amp;"0000"),"")</f>
        <v/>
      </c>
      <c r="D792" s="94"/>
      <c r="E792" s="95"/>
      <c r="F792" s="96"/>
      <c r="G792" s="164"/>
      <c r="H792" s="97" t="str">
        <f t="shared" si="12"/>
        <v/>
      </c>
    </row>
    <row r="793" spans="1:8" s="86" customFormat="1">
      <c r="A793" s="92"/>
      <c r="B793" s="92"/>
      <c r="C793" s="93" t="str">
        <f>IF(A793&lt;&gt;"",IFERROR(VLOOKUP(B793,DivisionCostCodeLookup!$F$2:$G$426,2,FALSE),INT(LEFT(A793,2))&amp;"0000"),"")</f>
        <v/>
      </c>
      <c r="D793" s="94"/>
      <c r="E793" s="95"/>
      <c r="F793" s="96"/>
      <c r="G793" s="164"/>
      <c r="H793" s="97" t="str">
        <f t="shared" si="12"/>
        <v/>
      </c>
    </row>
    <row r="794" spans="1:8" s="86" customFormat="1">
      <c r="A794" s="92"/>
      <c r="B794" s="92"/>
      <c r="C794" s="93" t="str">
        <f>IF(A794&lt;&gt;"",IFERROR(VLOOKUP(B794,DivisionCostCodeLookup!$F$2:$G$426,2,FALSE),INT(LEFT(A794,2))&amp;"0000"),"")</f>
        <v/>
      </c>
      <c r="D794" s="94"/>
      <c r="E794" s="95"/>
      <c r="F794" s="96"/>
      <c r="G794" s="164"/>
      <c r="H794" s="97" t="str">
        <f t="shared" si="12"/>
        <v/>
      </c>
    </row>
    <row r="795" spans="1:8" s="86" customFormat="1">
      <c r="A795" s="92"/>
      <c r="B795" s="92"/>
      <c r="C795" s="93" t="str">
        <f>IF(A795&lt;&gt;"",IFERROR(VLOOKUP(B795,DivisionCostCodeLookup!$F$2:$G$426,2,FALSE),INT(LEFT(A795,2))&amp;"0000"),"")</f>
        <v/>
      </c>
      <c r="D795" s="94"/>
      <c r="E795" s="95"/>
      <c r="F795" s="96"/>
      <c r="G795" s="164"/>
      <c r="H795" s="97" t="str">
        <f t="shared" si="12"/>
        <v/>
      </c>
    </row>
    <row r="796" spans="1:8" s="86" customFormat="1">
      <c r="A796" s="92"/>
      <c r="B796" s="92"/>
      <c r="C796" s="93" t="str">
        <f>IF(A796&lt;&gt;"",IFERROR(VLOOKUP(B796,DivisionCostCodeLookup!$F$2:$G$426,2,FALSE),INT(LEFT(A796,2))&amp;"0000"),"")</f>
        <v/>
      </c>
      <c r="D796" s="94"/>
      <c r="E796" s="95"/>
      <c r="F796" s="96"/>
      <c r="G796" s="164"/>
      <c r="H796" s="97" t="str">
        <f t="shared" si="12"/>
        <v/>
      </c>
    </row>
    <row r="797" spans="1:8" s="86" customFormat="1">
      <c r="A797" s="92"/>
      <c r="B797" s="92"/>
      <c r="C797" s="93" t="str">
        <f>IF(A797&lt;&gt;"",IFERROR(VLOOKUP(B797,DivisionCostCodeLookup!$F$2:$G$426,2,FALSE),INT(LEFT(A797,2))&amp;"0000"),"")</f>
        <v/>
      </c>
      <c r="D797" s="94"/>
      <c r="E797" s="95"/>
      <c r="F797" s="96"/>
      <c r="G797" s="164"/>
      <c r="H797" s="97" t="str">
        <f t="shared" si="12"/>
        <v/>
      </c>
    </row>
    <row r="798" spans="1:8" s="86" customFormat="1">
      <c r="A798" s="92"/>
      <c r="B798" s="92"/>
      <c r="C798" s="93" t="str">
        <f>IF(A798&lt;&gt;"",IFERROR(VLOOKUP(B798,DivisionCostCodeLookup!$F$2:$G$426,2,FALSE),INT(LEFT(A798,2))&amp;"0000"),"")</f>
        <v/>
      </c>
      <c r="D798" s="94"/>
      <c r="E798" s="95"/>
      <c r="F798" s="96"/>
      <c r="G798" s="164"/>
      <c r="H798" s="97" t="str">
        <f t="shared" si="12"/>
        <v/>
      </c>
    </row>
    <row r="799" spans="1:8" s="86" customFormat="1">
      <c r="A799" s="92"/>
      <c r="B799" s="92"/>
      <c r="C799" s="93" t="str">
        <f>IF(A799&lt;&gt;"",IFERROR(VLOOKUP(B799,DivisionCostCodeLookup!$F$2:$G$426,2,FALSE),INT(LEFT(A799,2))&amp;"0000"),"")</f>
        <v/>
      </c>
      <c r="D799" s="94"/>
      <c r="E799" s="95"/>
      <c r="F799" s="96"/>
      <c r="G799" s="164"/>
      <c r="H799" s="97" t="str">
        <f t="shared" si="12"/>
        <v/>
      </c>
    </row>
    <row r="800" spans="1:8" s="86" customFormat="1">
      <c r="A800" s="92"/>
      <c r="B800" s="92"/>
      <c r="C800" s="93" t="str">
        <f>IF(A800&lt;&gt;"",IFERROR(VLOOKUP(B800,DivisionCostCodeLookup!$F$2:$G$426,2,FALSE),INT(LEFT(A800,2))&amp;"0000"),"")</f>
        <v/>
      </c>
      <c r="D800" s="94"/>
      <c r="E800" s="95"/>
      <c r="F800" s="96"/>
      <c r="G800" s="164"/>
      <c r="H800" s="97" t="str">
        <f t="shared" si="12"/>
        <v/>
      </c>
    </row>
    <row r="801" spans="1:8" s="86" customFormat="1">
      <c r="A801" s="92"/>
      <c r="B801" s="92"/>
      <c r="C801" s="93" t="str">
        <f>IF(A801&lt;&gt;"",IFERROR(VLOOKUP(B801,DivisionCostCodeLookup!$F$2:$G$426,2,FALSE),INT(LEFT(A801,2))&amp;"0000"),"")</f>
        <v/>
      </c>
      <c r="D801" s="94"/>
      <c r="E801" s="95"/>
      <c r="F801" s="96"/>
      <c r="G801" s="164"/>
      <c r="H801" s="97" t="str">
        <f t="shared" si="12"/>
        <v/>
      </c>
    </row>
    <row r="802" spans="1:8" s="86" customFormat="1">
      <c r="A802" s="92"/>
      <c r="B802" s="92"/>
      <c r="C802" s="93" t="str">
        <f>IF(A802&lt;&gt;"",IFERROR(VLOOKUP(B802,DivisionCostCodeLookup!$F$2:$G$426,2,FALSE),INT(LEFT(A802,2))&amp;"0000"),"")</f>
        <v/>
      </c>
      <c r="D802" s="94"/>
      <c r="E802" s="95"/>
      <c r="F802" s="96"/>
      <c r="G802" s="164"/>
      <c r="H802" s="97" t="str">
        <f t="shared" si="12"/>
        <v/>
      </c>
    </row>
    <row r="803" spans="1:8" s="86" customFormat="1">
      <c r="A803" s="92"/>
      <c r="B803" s="92"/>
      <c r="C803" s="93" t="str">
        <f>IF(A803&lt;&gt;"",IFERROR(VLOOKUP(B803,DivisionCostCodeLookup!$F$2:$G$426,2,FALSE),INT(LEFT(A803,2))&amp;"0000"),"")</f>
        <v/>
      </c>
      <c r="D803" s="94"/>
      <c r="E803" s="95"/>
      <c r="F803" s="96"/>
      <c r="G803" s="164"/>
      <c r="H803" s="97" t="str">
        <f t="shared" si="12"/>
        <v/>
      </c>
    </row>
    <row r="804" spans="1:8" s="86" customFormat="1">
      <c r="A804" s="92"/>
      <c r="B804" s="92"/>
      <c r="C804" s="93" t="str">
        <f>IF(A804&lt;&gt;"",IFERROR(VLOOKUP(B804,DivisionCostCodeLookup!$F$2:$G$426,2,FALSE),INT(LEFT(A804,2))&amp;"0000"),"")</f>
        <v/>
      </c>
      <c r="D804" s="94"/>
      <c r="E804" s="95"/>
      <c r="F804" s="96"/>
      <c r="G804" s="164"/>
      <c r="H804" s="97" t="str">
        <f t="shared" si="12"/>
        <v/>
      </c>
    </row>
    <row r="805" spans="1:8" s="86" customFormat="1">
      <c r="A805" s="92"/>
      <c r="B805" s="92"/>
      <c r="C805" s="93" t="str">
        <f>IF(A805&lt;&gt;"",IFERROR(VLOOKUP(B805,DivisionCostCodeLookup!$F$2:$G$426,2,FALSE),INT(LEFT(A805,2))&amp;"0000"),"")</f>
        <v/>
      </c>
      <c r="D805" s="94"/>
      <c r="E805" s="95"/>
      <c r="F805" s="96"/>
      <c r="G805" s="164"/>
      <c r="H805" s="97" t="str">
        <f t="shared" si="12"/>
        <v/>
      </c>
    </row>
    <row r="806" spans="1:8" s="86" customFormat="1">
      <c r="A806" s="92"/>
      <c r="B806" s="92"/>
      <c r="C806" s="93" t="str">
        <f>IF(A806&lt;&gt;"",IFERROR(VLOOKUP(B806,DivisionCostCodeLookup!$F$2:$G$426,2,FALSE),INT(LEFT(A806,2))&amp;"0000"),"")</f>
        <v/>
      </c>
      <c r="D806" s="94"/>
      <c r="E806" s="95"/>
      <c r="F806" s="96"/>
      <c r="G806" s="164"/>
      <c r="H806" s="97" t="str">
        <f t="shared" si="12"/>
        <v/>
      </c>
    </row>
    <row r="807" spans="1:8" s="86" customFormat="1">
      <c r="A807" s="92"/>
      <c r="B807" s="92"/>
      <c r="C807" s="93" t="str">
        <f>IF(A807&lt;&gt;"",IFERROR(VLOOKUP(B807,DivisionCostCodeLookup!$F$2:$G$426,2,FALSE),INT(LEFT(A807,2))&amp;"0000"),"")</f>
        <v/>
      </c>
      <c r="D807" s="94"/>
      <c r="E807" s="95"/>
      <c r="F807" s="96"/>
      <c r="G807" s="164"/>
      <c r="H807" s="97" t="str">
        <f t="shared" si="12"/>
        <v/>
      </c>
    </row>
    <row r="808" spans="1:8" s="86" customFormat="1">
      <c r="A808" s="92"/>
      <c r="B808" s="92"/>
      <c r="C808" s="93" t="str">
        <f>IF(A808&lt;&gt;"",IFERROR(VLOOKUP(B808,DivisionCostCodeLookup!$F$2:$G$426,2,FALSE),INT(LEFT(A808,2))&amp;"0000"),"")</f>
        <v/>
      </c>
      <c r="D808" s="94"/>
      <c r="E808" s="95"/>
      <c r="F808" s="96"/>
      <c r="G808" s="164"/>
      <c r="H808" s="97" t="str">
        <f t="shared" si="12"/>
        <v/>
      </c>
    </row>
    <row r="809" spans="1:8" s="86" customFormat="1">
      <c r="A809" s="92"/>
      <c r="B809" s="92"/>
      <c r="C809" s="93" t="str">
        <f>IF(A809&lt;&gt;"",IFERROR(VLOOKUP(B809,DivisionCostCodeLookup!$F$2:$G$426,2,FALSE),INT(LEFT(A809,2))&amp;"0000"),"")</f>
        <v/>
      </c>
      <c r="D809" s="94"/>
      <c r="E809" s="95"/>
      <c r="F809" s="96"/>
      <c r="G809" s="164"/>
      <c r="H809" s="97" t="str">
        <f t="shared" si="12"/>
        <v/>
      </c>
    </row>
    <row r="810" spans="1:8" s="86" customFormat="1">
      <c r="A810" s="92"/>
      <c r="B810" s="92"/>
      <c r="C810" s="93" t="str">
        <f>IF(A810&lt;&gt;"",IFERROR(VLOOKUP(B810,DivisionCostCodeLookup!$F$2:$G$426,2,FALSE),INT(LEFT(A810,2))&amp;"0000"),"")</f>
        <v/>
      </c>
      <c r="D810" s="94"/>
      <c r="E810" s="95"/>
      <c r="F810" s="96"/>
      <c r="G810" s="164"/>
      <c r="H810" s="97" t="str">
        <f t="shared" si="12"/>
        <v/>
      </c>
    </row>
    <row r="811" spans="1:8" s="86" customFormat="1">
      <c r="A811" s="92"/>
      <c r="B811" s="92"/>
      <c r="C811" s="93" t="str">
        <f>IF(A811&lt;&gt;"",IFERROR(VLOOKUP(B811,DivisionCostCodeLookup!$F$2:$G$426,2,FALSE),INT(LEFT(A811,2))&amp;"0000"),"")</f>
        <v/>
      </c>
      <c r="D811" s="94"/>
      <c r="E811" s="95"/>
      <c r="F811" s="96"/>
      <c r="G811" s="164"/>
      <c r="H811" s="97" t="str">
        <f t="shared" si="12"/>
        <v/>
      </c>
    </row>
    <row r="812" spans="1:8" s="86" customFormat="1">
      <c r="A812" s="92"/>
      <c r="B812" s="92"/>
      <c r="C812" s="93" t="str">
        <f>IF(A812&lt;&gt;"",IFERROR(VLOOKUP(B812,DivisionCostCodeLookup!$F$2:$G$426,2,FALSE),INT(LEFT(A812,2))&amp;"0000"),"")</f>
        <v/>
      </c>
      <c r="D812" s="94"/>
      <c r="E812" s="95"/>
      <c r="F812" s="96"/>
      <c r="G812" s="164"/>
      <c r="H812" s="97" t="str">
        <f t="shared" si="12"/>
        <v/>
      </c>
    </row>
    <row r="813" spans="1:8" s="86" customFormat="1">
      <c r="A813" s="92"/>
      <c r="B813" s="92"/>
      <c r="C813" s="93" t="str">
        <f>IF(A813&lt;&gt;"",IFERROR(VLOOKUP(B813,DivisionCostCodeLookup!$F$2:$G$426,2,FALSE),INT(LEFT(A813,2))&amp;"0000"),"")</f>
        <v/>
      </c>
      <c r="D813" s="94"/>
      <c r="E813" s="95"/>
      <c r="F813" s="96"/>
      <c r="G813" s="164"/>
      <c r="H813" s="97" t="str">
        <f t="shared" si="12"/>
        <v/>
      </c>
    </row>
    <row r="814" spans="1:8" s="86" customFormat="1">
      <c r="A814" s="92"/>
      <c r="B814" s="92"/>
      <c r="C814" s="93" t="str">
        <f>IF(A814&lt;&gt;"",IFERROR(VLOOKUP(B814,DivisionCostCodeLookup!$F$2:$G$426,2,FALSE),INT(LEFT(A814,2))&amp;"0000"),"")</f>
        <v/>
      </c>
      <c r="D814" s="94"/>
      <c r="E814" s="95"/>
      <c r="F814" s="96"/>
      <c r="G814" s="164"/>
      <c r="H814" s="97" t="str">
        <f t="shared" si="12"/>
        <v/>
      </c>
    </row>
    <row r="815" spans="1:8" s="86" customFormat="1">
      <c r="A815" s="92"/>
      <c r="B815" s="92"/>
      <c r="C815" s="93" t="str">
        <f>IF(A815&lt;&gt;"",IFERROR(VLOOKUP(B815,DivisionCostCodeLookup!$F$2:$G$426,2,FALSE),INT(LEFT(A815,2))&amp;"0000"),"")</f>
        <v/>
      </c>
      <c r="D815" s="94"/>
      <c r="E815" s="95"/>
      <c r="F815" s="96"/>
      <c r="G815" s="164"/>
      <c r="H815" s="97" t="str">
        <f t="shared" si="12"/>
        <v/>
      </c>
    </row>
    <row r="816" spans="1:8" s="86" customFormat="1">
      <c r="A816" s="92"/>
      <c r="B816" s="92"/>
      <c r="C816" s="93" t="str">
        <f>IF(A816&lt;&gt;"",IFERROR(VLOOKUP(B816,DivisionCostCodeLookup!$F$2:$G$426,2,FALSE),INT(LEFT(A816,2))&amp;"0000"),"")</f>
        <v/>
      </c>
      <c r="D816" s="94"/>
      <c r="E816" s="95"/>
      <c r="F816" s="96"/>
      <c r="G816" s="164"/>
      <c r="H816" s="97" t="str">
        <f t="shared" si="12"/>
        <v/>
      </c>
    </row>
    <row r="817" spans="1:8" s="86" customFormat="1">
      <c r="A817" s="92"/>
      <c r="B817" s="92"/>
      <c r="C817" s="93" t="str">
        <f>IF(A817&lt;&gt;"",IFERROR(VLOOKUP(B817,DivisionCostCodeLookup!$F$2:$G$426,2,FALSE),INT(LEFT(A817,2))&amp;"0000"),"")</f>
        <v/>
      </c>
      <c r="D817" s="94"/>
      <c r="E817" s="95"/>
      <c r="F817" s="96"/>
      <c r="G817" s="164"/>
      <c r="H817" s="97" t="str">
        <f t="shared" si="12"/>
        <v/>
      </c>
    </row>
    <row r="818" spans="1:8" s="86" customFormat="1">
      <c r="A818" s="92"/>
      <c r="B818" s="92"/>
      <c r="C818" s="93" t="str">
        <f>IF(A818&lt;&gt;"",IFERROR(VLOOKUP(B818,DivisionCostCodeLookup!$F$2:$G$426,2,FALSE),INT(LEFT(A818,2))&amp;"0000"),"")</f>
        <v/>
      </c>
      <c r="D818" s="94"/>
      <c r="E818" s="95"/>
      <c r="F818" s="96"/>
      <c r="G818" s="164"/>
      <c r="H818" s="97" t="str">
        <f t="shared" si="12"/>
        <v/>
      </c>
    </row>
    <row r="819" spans="1:8" s="86" customFormat="1">
      <c r="A819" s="92"/>
      <c r="B819" s="92"/>
      <c r="C819" s="93" t="str">
        <f>IF(A819&lt;&gt;"",IFERROR(VLOOKUP(B819,DivisionCostCodeLookup!$F$2:$G$426,2,FALSE),INT(LEFT(A819,2))&amp;"0000"),"")</f>
        <v/>
      </c>
      <c r="D819" s="94"/>
      <c r="E819" s="95"/>
      <c r="F819" s="96"/>
      <c r="G819" s="164"/>
      <c r="H819" s="97" t="str">
        <f t="shared" si="12"/>
        <v/>
      </c>
    </row>
    <row r="820" spans="1:8" s="86" customFormat="1">
      <c r="A820" s="92"/>
      <c r="B820" s="92"/>
      <c r="C820" s="93" t="str">
        <f>IF(A820&lt;&gt;"",IFERROR(VLOOKUP(B820,DivisionCostCodeLookup!$F$2:$G$426,2,FALSE),INT(LEFT(A820,2))&amp;"0000"),"")</f>
        <v/>
      </c>
      <c r="D820" s="94"/>
      <c r="E820" s="95"/>
      <c r="F820" s="96"/>
      <c r="G820" s="164"/>
      <c r="H820" s="97" t="str">
        <f t="shared" si="12"/>
        <v/>
      </c>
    </row>
    <row r="821" spans="1:8" s="86" customFormat="1">
      <c r="A821" s="92"/>
      <c r="B821" s="92"/>
      <c r="C821" s="93" t="str">
        <f>IF(A821&lt;&gt;"",IFERROR(VLOOKUP(B821,DivisionCostCodeLookup!$F$2:$G$426,2,FALSE),INT(LEFT(A821,2))&amp;"0000"),"")</f>
        <v/>
      </c>
      <c r="D821" s="94"/>
      <c r="E821" s="95"/>
      <c r="F821" s="96"/>
      <c r="G821" s="164"/>
      <c r="H821" s="97" t="str">
        <f t="shared" si="12"/>
        <v/>
      </c>
    </row>
    <row r="822" spans="1:8" s="86" customFormat="1">
      <c r="A822" s="92"/>
      <c r="B822" s="92"/>
      <c r="C822" s="93" t="str">
        <f>IF(A822&lt;&gt;"",IFERROR(VLOOKUP(B822,DivisionCostCodeLookup!$F$2:$G$426,2,FALSE),INT(LEFT(A822,2))&amp;"0000"),"")</f>
        <v/>
      </c>
      <c r="D822" s="94"/>
      <c r="E822" s="95"/>
      <c r="F822" s="96"/>
      <c r="G822" s="164"/>
      <c r="H822" s="97" t="str">
        <f t="shared" si="12"/>
        <v/>
      </c>
    </row>
    <row r="823" spans="1:8" s="86" customFormat="1">
      <c r="A823" s="92"/>
      <c r="B823" s="92"/>
      <c r="C823" s="93" t="str">
        <f>IF(A823&lt;&gt;"",IFERROR(VLOOKUP(B823,DivisionCostCodeLookup!$F$2:$G$426,2,FALSE),INT(LEFT(A823,2))&amp;"0000"),"")</f>
        <v/>
      </c>
      <c r="D823" s="94"/>
      <c r="E823" s="95"/>
      <c r="F823" s="96"/>
      <c r="G823" s="164"/>
      <c r="H823" s="97" t="str">
        <f t="shared" si="12"/>
        <v/>
      </c>
    </row>
    <row r="824" spans="1:8" s="86" customFormat="1">
      <c r="A824" s="92"/>
      <c r="B824" s="92"/>
      <c r="C824" s="93" t="str">
        <f>IF(A824&lt;&gt;"",IFERROR(VLOOKUP(B824,DivisionCostCodeLookup!$F$2:$G$426,2,FALSE),INT(LEFT(A824,2))&amp;"0000"),"")</f>
        <v/>
      </c>
      <c r="D824" s="94"/>
      <c r="E824" s="95"/>
      <c r="F824" s="96"/>
      <c r="G824" s="164"/>
      <c r="H824" s="97" t="str">
        <f t="shared" si="12"/>
        <v/>
      </c>
    </row>
    <row r="825" spans="1:8" s="86" customFormat="1">
      <c r="A825" s="92"/>
      <c r="B825" s="92"/>
      <c r="C825" s="93" t="str">
        <f>IF(A825&lt;&gt;"",IFERROR(VLOOKUP(B825,DivisionCostCodeLookup!$F$2:$G$426,2,FALSE),INT(LEFT(A825,2))&amp;"0000"),"")</f>
        <v/>
      </c>
      <c r="D825" s="94"/>
      <c r="E825" s="95"/>
      <c r="F825" s="96"/>
      <c r="G825" s="164"/>
      <c r="H825" s="97" t="str">
        <f t="shared" si="12"/>
        <v/>
      </c>
    </row>
    <row r="826" spans="1:8" s="86" customFormat="1">
      <c r="A826" s="92"/>
      <c r="B826" s="92"/>
      <c r="C826" s="93" t="str">
        <f>IF(A826&lt;&gt;"",IFERROR(VLOOKUP(B826,DivisionCostCodeLookup!$F$2:$G$426,2,FALSE),INT(LEFT(A826,2))&amp;"0000"),"")</f>
        <v/>
      </c>
      <c r="D826" s="94"/>
      <c r="E826" s="95"/>
      <c r="F826" s="96"/>
      <c r="G826" s="164"/>
      <c r="H826" s="97" t="str">
        <f t="shared" si="12"/>
        <v/>
      </c>
    </row>
    <row r="827" spans="1:8" s="86" customFormat="1">
      <c r="A827" s="92"/>
      <c r="B827" s="92"/>
      <c r="C827" s="93" t="str">
        <f>IF(A827&lt;&gt;"",IFERROR(VLOOKUP(B827,DivisionCostCodeLookup!$F$2:$G$426,2,FALSE),INT(LEFT(A827,2))&amp;"0000"),"")</f>
        <v/>
      </c>
      <c r="D827" s="94"/>
      <c r="E827" s="95"/>
      <c r="F827" s="96"/>
      <c r="G827" s="164"/>
      <c r="H827" s="97" t="str">
        <f t="shared" si="12"/>
        <v/>
      </c>
    </row>
    <row r="828" spans="1:8" s="86" customFormat="1">
      <c r="A828" s="92"/>
      <c r="B828" s="92"/>
      <c r="C828" s="93" t="str">
        <f>IF(A828&lt;&gt;"",IFERROR(VLOOKUP(B828,DivisionCostCodeLookup!$F$2:$G$426,2,FALSE),INT(LEFT(A828,2))&amp;"0000"),"")</f>
        <v/>
      </c>
      <c r="D828" s="94"/>
      <c r="E828" s="95"/>
      <c r="F828" s="96"/>
      <c r="G828" s="164"/>
      <c r="H828" s="97" t="str">
        <f t="shared" si="12"/>
        <v/>
      </c>
    </row>
    <row r="829" spans="1:8" s="86" customFormat="1">
      <c r="A829" s="92"/>
      <c r="B829" s="92"/>
      <c r="C829" s="93" t="str">
        <f>IF(A829&lt;&gt;"",IFERROR(VLOOKUP(B829,DivisionCostCodeLookup!$F$2:$G$426,2,FALSE),INT(LEFT(A829,2))&amp;"0000"),"")</f>
        <v/>
      </c>
      <c r="D829" s="94"/>
      <c r="E829" s="95"/>
      <c r="F829" s="96"/>
      <c r="G829" s="164"/>
      <c r="H829" s="97" t="str">
        <f t="shared" si="12"/>
        <v/>
      </c>
    </row>
    <row r="830" spans="1:8" s="86" customFormat="1">
      <c r="A830" s="92"/>
      <c r="B830" s="92"/>
      <c r="C830" s="93" t="str">
        <f>IF(A830&lt;&gt;"",IFERROR(VLOOKUP(B830,DivisionCostCodeLookup!$F$2:$G$426,2,FALSE),INT(LEFT(A830,2))&amp;"0000"),"")</f>
        <v/>
      </c>
      <c r="D830" s="94"/>
      <c r="E830" s="95"/>
      <c r="F830" s="96"/>
      <c r="G830" s="164"/>
      <c r="H830" s="97" t="str">
        <f t="shared" si="12"/>
        <v/>
      </c>
    </row>
    <row r="831" spans="1:8" s="86" customFormat="1">
      <c r="A831" s="92"/>
      <c r="B831" s="92"/>
      <c r="C831" s="93" t="str">
        <f>IF(A831&lt;&gt;"",IFERROR(VLOOKUP(B831,DivisionCostCodeLookup!$F$2:$G$426,2,FALSE),INT(LEFT(A831,2))&amp;"0000"),"")</f>
        <v/>
      </c>
      <c r="D831" s="94"/>
      <c r="E831" s="95"/>
      <c r="F831" s="96"/>
      <c r="G831" s="164"/>
      <c r="H831" s="97" t="str">
        <f t="shared" si="12"/>
        <v/>
      </c>
    </row>
    <row r="832" spans="1:8" s="86" customFormat="1">
      <c r="A832" s="92"/>
      <c r="B832" s="92"/>
      <c r="C832" s="93" t="str">
        <f>IF(A832&lt;&gt;"",IFERROR(VLOOKUP(B832,DivisionCostCodeLookup!$F$2:$G$426,2,FALSE),INT(LEFT(A832,2))&amp;"0000"),"")</f>
        <v/>
      </c>
      <c r="D832" s="94"/>
      <c r="E832" s="95"/>
      <c r="F832" s="96"/>
      <c r="G832" s="164"/>
      <c r="H832" s="97" t="str">
        <f t="shared" si="12"/>
        <v/>
      </c>
    </row>
    <row r="833" spans="1:8" s="86" customFormat="1">
      <c r="A833" s="92"/>
      <c r="B833" s="92"/>
      <c r="C833" s="93" t="str">
        <f>IF(A833&lt;&gt;"",IFERROR(VLOOKUP(B833,DivisionCostCodeLookup!$F$2:$G$426,2,FALSE),INT(LEFT(A833,2))&amp;"0000"),"")</f>
        <v/>
      </c>
      <c r="D833" s="94"/>
      <c r="E833" s="95"/>
      <c r="F833" s="96"/>
      <c r="G833" s="164"/>
      <c r="H833" s="97" t="str">
        <f t="shared" si="12"/>
        <v/>
      </c>
    </row>
    <row r="834" spans="1:8" s="86" customFormat="1">
      <c r="A834" s="92"/>
      <c r="B834" s="92"/>
      <c r="C834" s="93" t="str">
        <f>IF(A834&lt;&gt;"",IFERROR(VLOOKUP(B834,DivisionCostCodeLookup!$F$2:$G$426,2,FALSE),INT(LEFT(A834,2))&amp;"0000"),"")</f>
        <v/>
      </c>
      <c r="D834" s="94"/>
      <c r="E834" s="95"/>
      <c r="F834" s="96"/>
      <c r="G834" s="164"/>
      <c r="H834" s="97" t="str">
        <f t="shared" si="12"/>
        <v/>
      </c>
    </row>
    <row r="835" spans="1:8" s="86" customFormat="1">
      <c r="A835" s="92"/>
      <c r="B835" s="92"/>
      <c r="C835" s="93" t="str">
        <f>IF(A835&lt;&gt;"",IFERROR(VLOOKUP(B835,DivisionCostCodeLookup!$F$2:$G$426,2,FALSE),INT(LEFT(A835,2))&amp;"0000"),"")</f>
        <v/>
      </c>
      <c r="D835" s="94"/>
      <c r="E835" s="95"/>
      <c r="F835" s="96"/>
      <c r="G835" s="164"/>
      <c r="H835" s="97" t="str">
        <f t="shared" si="12"/>
        <v/>
      </c>
    </row>
    <row r="836" spans="1:8" s="86" customFormat="1">
      <c r="A836" s="92"/>
      <c r="B836" s="92"/>
      <c r="C836" s="93" t="str">
        <f>IF(A836&lt;&gt;"",IFERROR(VLOOKUP(B836,DivisionCostCodeLookup!$F$2:$G$426,2,FALSE),INT(LEFT(A836,2))&amp;"0000"),"")</f>
        <v/>
      </c>
      <c r="D836" s="94"/>
      <c r="E836" s="95"/>
      <c r="F836" s="96"/>
      <c r="G836" s="164"/>
      <c r="H836" s="97" t="str">
        <f t="shared" si="12"/>
        <v/>
      </c>
    </row>
    <row r="837" spans="1:8" s="86" customFormat="1">
      <c r="A837" s="92"/>
      <c r="B837" s="92"/>
      <c r="C837" s="93" t="str">
        <f>IF(A837&lt;&gt;"",IFERROR(VLOOKUP(B837,DivisionCostCodeLookup!$F$2:$G$426,2,FALSE),INT(LEFT(A837,2))&amp;"0000"),"")</f>
        <v/>
      </c>
      <c r="D837" s="94"/>
      <c r="E837" s="95"/>
      <c r="F837" s="96"/>
      <c r="G837" s="164"/>
      <c r="H837" s="97" t="str">
        <f t="shared" si="12"/>
        <v/>
      </c>
    </row>
    <row r="838" spans="1:8" s="86" customFormat="1">
      <c r="A838" s="92"/>
      <c r="B838" s="92"/>
      <c r="C838" s="93" t="str">
        <f>IF(A838&lt;&gt;"",IFERROR(VLOOKUP(B838,DivisionCostCodeLookup!$F$2:$G$426,2,FALSE),INT(LEFT(A838,2))&amp;"0000"),"")</f>
        <v/>
      </c>
      <c r="D838" s="94"/>
      <c r="E838" s="95"/>
      <c r="F838" s="96"/>
      <c r="G838" s="164"/>
      <c r="H838" s="97" t="str">
        <f t="shared" si="12"/>
        <v/>
      </c>
    </row>
    <row r="839" spans="1:8" s="86" customFormat="1">
      <c r="A839" s="92"/>
      <c r="B839" s="92"/>
      <c r="C839" s="93" t="str">
        <f>IF(A839&lt;&gt;"",IFERROR(VLOOKUP(B839,DivisionCostCodeLookup!$F$2:$G$426,2,FALSE),INT(LEFT(A839,2))&amp;"0000"),"")</f>
        <v/>
      </c>
      <c r="D839" s="94"/>
      <c r="E839" s="95"/>
      <c r="F839" s="96"/>
      <c r="G839" s="164"/>
      <c r="H839" s="97" t="str">
        <f t="shared" si="12"/>
        <v/>
      </c>
    </row>
    <row r="840" spans="1:8" s="86" customFormat="1">
      <c r="A840" s="92"/>
      <c r="B840" s="92"/>
      <c r="C840" s="93" t="str">
        <f>IF(A840&lt;&gt;"",IFERROR(VLOOKUP(B840,DivisionCostCodeLookup!$F$2:$G$426,2,FALSE),INT(LEFT(A840,2))&amp;"0000"),"")</f>
        <v/>
      </c>
      <c r="D840" s="94"/>
      <c r="E840" s="95"/>
      <c r="F840" s="96"/>
      <c r="G840" s="164"/>
      <c r="H840" s="97" t="str">
        <f t="shared" ref="H840:H903" si="13">IF(E840*G840&lt;&gt;0,E840*G840,"")</f>
        <v/>
      </c>
    </row>
    <row r="841" spans="1:8" s="86" customFormat="1">
      <c r="A841" s="92"/>
      <c r="B841" s="92"/>
      <c r="C841" s="93" t="str">
        <f>IF(A841&lt;&gt;"",IFERROR(VLOOKUP(B841,DivisionCostCodeLookup!$F$2:$G$426,2,FALSE),INT(LEFT(A841,2))&amp;"0000"),"")</f>
        <v/>
      </c>
      <c r="D841" s="94"/>
      <c r="E841" s="95"/>
      <c r="F841" s="96"/>
      <c r="G841" s="164"/>
      <c r="H841" s="97" t="str">
        <f t="shared" si="13"/>
        <v/>
      </c>
    </row>
    <row r="842" spans="1:8" s="86" customFormat="1">
      <c r="A842" s="92"/>
      <c r="B842" s="92"/>
      <c r="C842" s="93" t="str">
        <f>IF(A842&lt;&gt;"",IFERROR(VLOOKUP(B842,DivisionCostCodeLookup!$F$2:$G$426,2,FALSE),INT(LEFT(A842,2))&amp;"0000"),"")</f>
        <v/>
      </c>
      <c r="D842" s="94"/>
      <c r="E842" s="95"/>
      <c r="F842" s="96"/>
      <c r="G842" s="164"/>
      <c r="H842" s="97" t="str">
        <f t="shared" si="13"/>
        <v/>
      </c>
    </row>
    <row r="843" spans="1:8" s="86" customFormat="1">
      <c r="A843" s="92"/>
      <c r="B843" s="92"/>
      <c r="C843" s="93" t="str">
        <f>IF(A843&lt;&gt;"",IFERROR(VLOOKUP(B843,DivisionCostCodeLookup!$F$2:$G$426,2,FALSE),INT(LEFT(A843,2))&amp;"0000"),"")</f>
        <v/>
      </c>
      <c r="D843" s="94"/>
      <c r="E843" s="95"/>
      <c r="F843" s="96"/>
      <c r="G843" s="164"/>
      <c r="H843" s="97" t="str">
        <f t="shared" si="13"/>
        <v/>
      </c>
    </row>
    <row r="844" spans="1:8" s="86" customFormat="1">
      <c r="A844" s="92"/>
      <c r="B844" s="92"/>
      <c r="C844" s="93" t="str">
        <f>IF(A844&lt;&gt;"",IFERROR(VLOOKUP(B844,DivisionCostCodeLookup!$F$2:$G$426,2,FALSE),INT(LEFT(A844,2))&amp;"0000"),"")</f>
        <v/>
      </c>
      <c r="D844" s="94"/>
      <c r="E844" s="95"/>
      <c r="F844" s="96"/>
      <c r="G844" s="164"/>
      <c r="H844" s="97" t="str">
        <f t="shared" si="13"/>
        <v/>
      </c>
    </row>
    <row r="845" spans="1:8" s="86" customFormat="1">
      <c r="A845" s="92"/>
      <c r="B845" s="92"/>
      <c r="C845" s="93" t="str">
        <f>IF(A845&lt;&gt;"",IFERROR(VLOOKUP(B845,DivisionCostCodeLookup!$F$2:$G$426,2,FALSE),INT(LEFT(A845,2))&amp;"0000"),"")</f>
        <v/>
      </c>
      <c r="D845" s="94"/>
      <c r="E845" s="95"/>
      <c r="F845" s="96"/>
      <c r="G845" s="164"/>
      <c r="H845" s="97" t="str">
        <f t="shared" si="13"/>
        <v/>
      </c>
    </row>
    <row r="846" spans="1:8" s="86" customFormat="1">
      <c r="A846" s="92"/>
      <c r="B846" s="92"/>
      <c r="C846" s="93" t="str">
        <f>IF(A846&lt;&gt;"",IFERROR(VLOOKUP(B846,DivisionCostCodeLookup!$F$2:$G$426,2,FALSE),INT(LEFT(A846,2))&amp;"0000"),"")</f>
        <v/>
      </c>
      <c r="D846" s="94"/>
      <c r="E846" s="95"/>
      <c r="F846" s="96"/>
      <c r="G846" s="164"/>
      <c r="H846" s="97" t="str">
        <f t="shared" si="13"/>
        <v/>
      </c>
    </row>
    <row r="847" spans="1:8" s="86" customFormat="1">
      <c r="A847" s="92"/>
      <c r="B847" s="92"/>
      <c r="C847" s="93" t="str">
        <f>IF(A847&lt;&gt;"",IFERROR(VLOOKUP(B847,DivisionCostCodeLookup!$F$2:$G$426,2,FALSE),INT(LEFT(A847,2))&amp;"0000"),"")</f>
        <v/>
      </c>
      <c r="D847" s="94"/>
      <c r="E847" s="95"/>
      <c r="F847" s="96"/>
      <c r="G847" s="164"/>
      <c r="H847" s="97" t="str">
        <f t="shared" si="13"/>
        <v/>
      </c>
    </row>
    <row r="848" spans="1:8" s="86" customFormat="1">
      <c r="A848" s="92"/>
      <c r="B848" s="92"/>
      <c r="C848" s="93" t="str">
        <f>IF(A848&lt;&gt;"",IFERROR(VLOOKUP(B848,DivisionCostCodeLookup!$F$2:$G$426,2,FALSE),INT(LEFT(A848,2))&amp;"0000"),"")</f>
        <v/>
      </c>
      <c r="D848" s="94"/>
      <c r="E848" s="95"/>
      <c r="F848" s="96"/>
      <c r="G848" s="164"/>
      <c r="H848" s="97" t="str">
        <f t="shared" si="13"/>
        <v/>
      </c>
    </row>
    <row r="849" spans="1:8" s="86" customFormat="1">
      <c r="A849" s="92"/>
      <c r="B849" s="92"/>
      <c r="C849" s="93" t="str">
        <f>IF(A849&lt;&gt;"",IFERROR(VLOOKUP(B849,DivisionCostCodeLookup!$F$2:$G$426,2,FALSE),INT(LEFT(A849,2))&amp;"0000"),"")</f>
        <v/>
      </c>
      <c r="D849" s="94"/>
      <c r="E849" s="95"/>
      <c r="F849" s="96"/>
      <c r="G849" s="164"/>
      <c r="H849" s="97" t="str">
        <f t="shared" si="13"/>
        <v/>
      </c>
    </row>
    <row r="850" spans="1:8" s="86" customFormat="1">
      <c r="A850" s="92"/>
      <c r="B850" s="92"/>
      <c r="C850" s="93" t="str">
        <f>IF(A850&lt;&gt;"",IFERROR(VLOOKUP(B850,DivisionCostCodeLookup!$F$2:$G$426,2,FALSE),INT(LEFT(A850,2))&amp;"0000"),"")</f>
        <v/>
      </c>
      <c r="D850" s="94"/>
      <c r="E850" s="95"/>
      <c r="F850" s="96"/>
      <c r="G850" s="164"/>
      <c r="H850" s="97" t="str">
        <f t="shared" si="13"/>
        <v/>
      </c>
    </row>
    <row r="851" spans="1:8" s="86" customFormat="1">
      <c r="A851" s="92"/>
      <c r="B851" s="92"/>
      <c r="C851" s="93" t="str">
        <f>IF(A851&lt;&gt;"",IFERROR(VLOOKUP(B851,DivisionCostCodeLookup!$F$2:$G$426,2,FALSE),INT(LEFT(A851,2))&amp;"0000"),"")</f>
        <v/>
      </c>
      <c r="D851" s="94"/>
      <c r="E851" s="95"/>
      <c r="F851" s="96"/>
      <c r="G851" s="164"/>
      <c r="H851" s="97" t="str">
        <f t="shared" si="13"/>
        <v/>
      </c>
    </row>
    <row r="852" spans="1:8" s="86" customFormat="1">
      <c r="A852" s="92"/>
      <c r="B852" s="92"/>
      <c r="C852" s="93" t="str">
        <f>IF(A852&lt;&gt;"",IFERROR(VLOOKUP(B852,DivisionCostCodeLookup!$F$2:$G$426,2,FALSE),INT(LEFT(A852,2))&amp;"0000"),"")</f>
        <v/>
      </c>
      <c r="D852" s="94"/>
      <c r="E852" s="95"/>
      <c r="F852" s="96"/>
      <c r="G852" s="164"/>
      <c r="H852" s="97" t="str">
        <f t="shared" si="13"/>
        <v/>
      </c>
    </row>
    <row r="853" spans="1:8" s="86" customFormat="1">
      <c r="A853" s="92"/>
      <c r="B853" s="92"/>
      <c r="C853" s="93" t="str">
        <f>IF(A853&lt;&gt;"",IFERROR(VLOOKUP(B853,DivisionCostCodeLookup!$F$2:$G$426,2,FALSE),INT(LEFT(A853,2))&amp;"0000"),"")</f>
        <v/>
      </c>
      <c r="D853" s="94"/>
      <c r="E853" s="95"/>
      <c r="F853" s="96"/>
      <c r="G853" s="164"/>
      <c r="H853" s="97" t="str">
        <f t="shared" si="13"/>
        <v/>
      </c>
    </row>
    <row r="854" spans="1:8" s="86" customFormat="1">
      <c r="A854" s="92"/>
      <c r="B854" s="92"/>
      <c r="C854" s="93" t="str">
        <f>IF(A854&lt;&gt;"",IFERROR(VLOOKUP(B854,DivisionCostCodeLookup!$F$2:$G$426,2,FALSE),INT(LEFT(A854,2))&amp;"0000"),"")</f>
        <v/>
      </c>
      <c r="D854" s="94"/>
      <c r="E854" s="95"/>
      <c r="F854" s="96"/>
      <c r="G854" s="164"/>
      <c r="H854" s="97" t="str">
        <f t="shared" si="13"/>
        <v/>
      </c>
    </row>
    <row r="855" spans="1:8" s="86" customFormat="1">
      <c r="A855" s="92"/>
      <c r="B855" s="92"/>
      <c r="C855" s="93" t="str">
        <f>IF(A855&lt;&gt;"",IFERROR(VLOOKUP(B855,DivisionCostCodeLookup!$F$2:$G$426,2,FALSE),INT(LEFT(A855,2))&amp;"0000"),"")</f>
        <v/>
      </c>
      <c r="D855" s="94"/>
      <c r="E855" s="95"/>
      <c r="F855" s="96"/>
      <c r="G855" s="164"/>
      <c r="H855" s="97" t="str">
        <f t="shared" si="13"/>
        <v/>
      </c>
    </row>
    <row r="856" spans="1:8" s="86" customFormat="1">
      <c r="A856" s="92"/>
      <c r="B856" s="92"/>
      <c r="C856" s="93" t="str">
        <f>IF(A856&lt;&gt;"",IFERROR(VLOOKUP(B856,DivisionCostCodeLookup!$F$2:$G$426,2,FALSE),INT(LEFT(A856,2))&amp;"0000"),"")</f>
        <v/>
      </c>
      <c r="D856" s="94"/>
      <c r="E856" s="95"/>
      <c r="F856" s="96"/>
      <c r="G856" s="164"/>
      <c r="H856" s="97" t="str">
        <f t="shared" si="13"/>
        <v/>
      </c>
    </row>
    <row r="857" spans="1:8" s="86" customFormat="1">
      <c r="A857" s="92"/>
      <c r="B857" s="92"/>
      <c r="C857" s="93" t="str">
        <f>IF(A857&lt;&gt;"",IFERROR(VLOOKUP(B857,DivisionCostCodeLookup!$F$2:$G$426,2,FALSE),INT(LEFT(A857,2))&amp;"0000"),"")</f>
        <v/>
      </c>
      <c r="D857" s="94"/>
      <c r="E857" s="95"/>
      <c r="F857" s="96"/>
      <c r="G857" s="164"/>
      <c r="H857" s="97" t="str">
        <f t="shared" si="13"/>
        <v/>
      </c>
    </row>
    <row r="858" spans="1:8" s="86" customFormat="1">
      <c r="A858" s="92"/>
      <c r="B858" s="92"/>
      <c r="C858" s="93" t="str">
        <f>IF(A858&lt;&gt;"",IFERROR(VLOOKUP(B858,DivisionCostCodeLookup!$F$2:$G$426,2,FALSE),INT(LEFT(A858,2))&amp;"0000"),"")</f>
        <v/>
      </c>
      <c r="D858" s="94"/>
      <c r="E858" s="95"/>
      <c r="F858" s="96"/>
      <c r="G858" s="164"/>
      <c r="H858" s="97" t="str">
        <f t="shared" si="13"/>
        <v/>
      </c>
    </row>
    <row r="859" spans="1:8" s="86" customFormat="1">
      <c r="A859" s="92"/>
      <c r="B859" s="92"/>
      <c r="C859" s="93" t="str">
        <f>IF(A859&lt;&gt;"",IFERROR(VLOOKUP(B859,DivisionCostCodeLookup!$F$2:$G$426,2,FALSE),INT(LEFT(A859,2))&amp;"0000"),"")</f>
        <v/>
      </c>
      <c r="D859" s="94"/>
      <c r="E859" s="95"/>
      <c r="F859" s="96"/>
      <c r="G859" s="164"/>
      <c r="H859" s="97" t="str">
        <f t="shared" si="13"/>
        <v/>
      </c>
    </row>
    <row r="860" spans="1:8" s="86" customFormat="1">
      <c r="A860" s="92"/>
      <c r="B860" s="92"/>
      <c r="C860" s="93" t="str">
        <f>IF(A860&lt;&gt;"",IFERROR(VLOOKUP(B860,DivisionCostCodeLookup!$F$2:$G$426,2,FALSE),INT(LEFT(A860,2))&amp;"0000"),"")</f>
        <v/>
      </c>
      <c r="D860" s="94"/>
      <c r="E860" s="95"/>
      <c r="F860" s="96"/>
      <c r="G860" s="164"/>
      <c r="H860" s="97" t="str">
        <f t="shared" si="13"/>
        <v/>
      </c>
    </row>
    <row r="861" spans="1:8" s="86" customFormat="1">
      <c r="A861" s="92"/>
      <c r="B861" s="92"/>
      <c r="C861" s="93" t="str">
        <f>IF(A861&lt;&gt;"",IFERROR(VLOOKUP(B861,DivisionCostCodeLookup!$F$2:$G$426,2,FALSE),INT(LEFT(A861,2))&amp;"0000"),"")</f>
        <v/>
      </c>
      <c r="D861" s="94"/>
      <c r="E861" s="95"/>
      <c r="F861" s="96"/>
      <c r="G861" s="164"/>
      <c r="H861" s="97" t="str">
        <f t="shared" si="13"/>
        <v/>
      </c>
    </row>
    <row r="862" spans="1:8" s="86" customFormat="1">
      <c r="A862" s="92"/>
      <c r="B862" s="92"/>
      <c r="C862" s="93" t="str">
        <f>IF(A862&lt;&gt;"",IFERROR(VLOOKUP(B862,DivisionCostCodeLookup!$F$2:$G$426,2,FALSE),INT(LEFT(A862,2))&amp;"0000"),"")</f>
        <v/>
      </c>
      <c r="D862" s="94"/>
      <c r="E862" s="95"/>
      <c r="F862" s="96"/>
      <c r="G862" s="164"/>
      <c r="H862" s="97" t="str">
        <f t="shared" si="13"/>
        <v/>
      </c>
    </row>
    <row r="863" spans="1:8" s="86" customFormat="1">
      <c r="A863" s="92"/>
      <c r="B863" s="92"/>
      <c r="C863" s="93" t="str">
        <f>IF(A863&lt;&gt;"",IFERROR(VLOOKUP(B863,DivisionCostCodeLookup!$F$2:$G$426,2,FALSE),INT(LEFT(A863,2))&amp;"0000"),"")</f>
        <v/>
      </c>
      <c r="D863" s="94"/>
      <c r="E863" s="95"/>
      <c r="F863" s="96"/>
      <c r="G863" s="164"/>
      <c r="H863" s="97" t="str">
        <f t="shared" si="13"/>
        <v/>
      </c>
    </row>
    <row r="864" spans="1:8" s="86" customFormat="1">
      <c r="A864" s="92"/>
      <c r="B864" s="92"/>
      <c r="C864" s="93" t="str">
        <f>IF(A864&lt;&gt;"",IFERROR(VLOOKUP(B864,DivisionCostCodeLookup!$F$2:$G$426,2,FALSE),INT(LEFT(A864,2))&amp;"0000"),"")</f>
        <v/>
      </c>
      <c r="D864" s="94"/>
      <c r="E864" s="95"/>
      <c r="F864" s="96"/>
      <c r="G864" s="164"/>
      <c r="H864" s="97" t="str">
        <f t="shared" si="13"/>
        <v/>
      </c>
    </row>
    <row r="865" spans="1:8" s="86" customFormat="1">
      <c r="A865" s="92"/>
      <c r="B865" s="92"/>
      <c r="C865" s="93" t="str">
        <f>IF(A865&lt;&gt;"",IFERROR(VLOOKUP(B865,DivisionCostCodeLookup!$F$2:$G$426,2,FALSE),INT(LEFT(A865,2))&amp;"0000"),"")</f>
        <v/>
      </c>
      <c r="D865" s="94"/>
      <c r="E865" s="95"/>
      <c r="F865" s="96"/>
      <c r="G865" s="164"/>
      <c r="H865" s="97" t="str">
        <f t="shared" si="13"/>
        <v/>
      </c>
    </row>
    <row r="866" spans="1:8" s="86" customFormat="1">
      <c r="A866" s="92"/>
      <c r="B866" s="92"/>
      <c r="C866" s="93" t="str">
        <f>IF(A866&lt;&gt;"",IFERROR(VLOOKUP(B866,DivisionCostCodeLookup!$F$2:$G$426,2,FALSE),INT(LEFT(A866,2))&amp;"0000"),"")</f>
        <v/>
      </c>
      <c r="D866" s="94"/>
      <c r="E866" s="95"/>
      <c r="F866" s="96"/>
      <c r="G866" s="164"/>
      <c r="H866" s="97" t="str">
        <f t="shared" si="13"/>
        <v/>
      </c>
    </row>
    <row r="867" spans="1:8" s="86" customFormat="1">
      <c r="A867" s="92"/>
      <c r="B867" s="92"/>
      <c r="C867" s="93" t="str">
        <f>IF(A867&lt;&gt;"",IFERROR(VLOOKUP(B867,DivisionCostCodeLookup!$F$2:$G$426,2,FALSE),INT(LEFT(A867,2))&amp;"0000"),"")</f>
        <v/>
      </c>
      <c r="D867" s="94"/>
      <c r="E867" s="95"/>
      <c r="F867" s="96"/>
      <c r="G867" s="164"/>
      <c r="H867" s="97" t="str">
        <f t="shared" si="13"/>
        <v/>
      </c>
    </row>
    <row r="868" spans="1:8" s="86" customFormat="1">
      <c r="A868" s="92"/>
      <c r="B868" s="92"/>
      <c r="C868" s="93" t="str">
        <f>IF(A868&lt;&gt;"",IFERROR(VLOOKUP(B868,DivisionCostCodeLookup!$F$2:$G$426,2,FALSE),INT(LEFT(A868,2))&amp;"0000"),"")</f>
        <v/>
      </c>
      <c r="D868" s="94"/>
      <c r="E868" s="95"/>
      <c r="F868" s="96"/>
      <c r="G868" s="164"/>
      <c r="H868" s="97" t="str">
        <f t="shared" si="13"/>
        <v/>
      </c>
    </row>
    <row r="869" spans="1:8" s="86" customFormat="1">
      <c r="A869" s="92"/>
      <c r="B869" s="92"/>
      <c r="C869" s="93" t="str">
        <f>IF(A869&lt;&gt;"",IFERROR(VLOOKUP(B869,DivisionCostCodeLookup!$F$2:$G$426,2,FALSE),INT(LEFT(A869,2))&amp;"0000"),"")</f>
        <v/>
      </c>
      <c r="D869" s="94"/>
      <c r="E869" s="95"/>
      <c r="F869" s="96"/>
      <c r="G869" s="164"/>
      <c r="H869" s="97" t="str">
        <f t="shared" si="13"/>
        <v/>
      </c>
    </row>
    <row r="870" spans="1:8" s="86" customFormat="1">
      <c r="A870" s="92"/>
      <c r="B870" s="92"/>
      <c r="C870" s="93" t="str">
        <f>IF(A870&lt;&gt;"",IFERROR(VLOOKUP(B870,DivisionCostCodeLookup!$F$2:$G$426,2,FALSE),INT(LEFT(A870,2))&amp;"0000"),"")</f>
        <v/>
      </c>
      <c r="D870" s="94"/>
      <c r="E870" s="95"/>
      <c r="F870" s="96"/>
      <c r="G870" s="164"/>
      <c r="H870" s="97" t="str">
        <f t="shared" si="13"/>
        <v/>
      </c>
    </row>
    <row r="871" spans="1:8" s="86" customFormat="1">
      <c r="A871" s="92"/>
      <c r="B871" s="92"/>
      <c r="C871" s="93" t="str">
        <f>IF(A871&lt;&gt;"",IFERROR(VLOOKUP(B871,DivisionCostCodeLookup!$F$2:$G$426,2,FALSE),INT(LEFT(A871,2))&amp;"0000"),"")</f>
        <v/>
      </c>
      <c r="D871" s="94"/>
      <c r="E871" s="95"/>
      <c r="F871" s="96"/>
      <c r="G871" s="164"/>
      <c r="H871" s="97" t="str">
        <f t="shared" si="13"/>
        <v/>
      </c>
    </row>
    <row r="872" spans="1:8" s="86" customFormat="1">
      <c r="A872" s="92"/>
      <c r="B872" s="92"/>
      <c r="C872" s="93" t="str">
        <f>IF(A872&lt;&gt;"",IFERROR(VLOOKUP(B872,DivisionCostCodeLookup!$F$2:$G$426,2,FALSE),INT(LEFT(A872,2))&amp;"0000"),"")</f>
        <v/>
      </c>
      <c r="D872" s="94"/>
      <c r="E872" s="95"/>
      <c r="F872" s="96"/>
      <c r="G872" s="164"/>
      <c r="H872" s="97" t="str">
        <f t="shared" si="13"/>
        <v/>
      </c>
    </row>
    <row r="873" spans="1:8" s="86" customFormat="1">
      <c r="A873" s="92"/>
      <c r="B873" s="92"/>
      <c r="C873" s="93" t="str">
        <f>IF(A873&lt;&gt;"",IFERROR(VLOOKUP(B873,DivisionCostCodeLookup!$F$2:$G$426,2,FALSE),INT(LEFT(A873,2))&amp;"0000"),"")</f>
        <v/>
      </c>
      <c r="D873" s="94"/>
      <c r="E873" s="95"/>
      <c r="F873" s="96"/>
      <c r="G873" s="164"/>
      <c r="H873" s="97" t="str">
        <f t="shared" si="13"/>
        <v/>
      </c>
    </row>
    <row r="874" spans="1:8" s="86" customFormat="1">
      <c r="A874" s="92"/>
      <c r="B874" s="92"/>
      <c r="C874" s="93" t="str">
        <f>IF(A874&lt;&gt;"",IFERROR(VLOOKUP(B874,DivisionCostCodeLookup!$F$2:$G$426,2,FALSE),INT(LEFT(A874,2))&amp;"0000"),"")</f>
        <v/>
      </c>
      <c r="D874" s="94"/>
      <c r="E874" s="95"/>
      <c r="F874" s="96"/>
      <c r="G874" s="164"/>
      <c r="H874" s="97" t="str">
        <f t="shared" si="13"/>
        <v/>
      </c>
    </row>
    <row r="875" spans="1:8" s="86" customFormat="1">
      <c r="A875" s="92"/>
      <c r="B875" s="92"/>
      <c r="C875" s="93" t="str">
        <f>IF(A875&lt;&gt;"",IFERROR(VLOOKUP(B875,DivisionCostCodeLookup!$F$2:$G$426,2,FALSE),INT(LEFT(A875,2))&amp;"0000"),"")</f>
        <v/>
      </c>
      <c r="D875" s="94"/>
      <c r="E875" s="95"/>
      <c r="F875" s="96"/>
      <c r="G875" s="164"/>
      <c r="H875" s="97" t="str">
        <f t="shared" si="13"/>
        <v/>
      </c>
    </row>
    <row r="876" spans="1:8" s="86" customFormat="1">
      <c r="A876" s="92"/>
      <c r="B876" s="92"/>
      <c r="C876" s="93" t="str">
        <f>IF(A876&lt;&gt;"",IFERROR(VLOOKUP(B876,DivisionCostCodeLookup!$F$2:$G$426,2,FALSE),INT(LEFT(A876,2))&amp;"0000"),"")</f>
        <v/>
      </c>
      <c r="D876" s="94"/>
      <c r="E876" s="95"/>
      <c r="F876" s="96"/>
      <c r="G876" s="164"/>
      <c r="H876" s="97" t="str">
        <f t="shared" si="13"/>
        <v/>
      </c>
    </row>
    <row r="877" spans="1:8" s="86" customFormat="1">
      <c r="A877" s="92"/>
      <c r="B877" s="92"/>
      <c r="C877" s="93" t="str">
        <f>IF(A877&lt;&gt;"",IFERROR(VLOOKUP(B877,DivisionCostCodeLookup!$F$2:$G$426,2,FALSE),INT(LEFT(A877,2))&amp;"0000"),"")</f>
        <v/>
      </c>
      <c r="D877" s="94"/>
      <c r="E877" s="95"/>
      <c r="F877" s="96"/>
      <c r="G877" s="164"/>
      <c r="H877" s="97" t="str">
        <f t="shared" si="13"/>
        <v/>
      </c>
    </row>
    <row r="878" spans="1:8" s="86" customFormat="1">
      <c r="A878" s="92"/>
      <c r="B878" s="92"/>
      <c r="C878" s="93" t="str">
        <f>IF(A878&lt;&gt;"",IFERROR(VLOOKUP(B878,DivisionCostCodeLookup!$F$2:$G$426,2,FALSE),INT(LEFT(A878,2))&amp;"0000"),"")</f>
        <v/>
      </c>
      <c r="D878" s="94"/>
      <c r="E878" s="95"/>
      <c r="F878" s="96"/>
      <c r="G878" s="164"/>
      <c r="H878" s="97" t="str">
        <f t="shared" si="13"/>
        <v/>
      </c>
    </row>
    <row r="879" spans="1:8" s="86" customFormat="1">
      <c r="A879" s="92"/>
      <c r="B879" s="92"/>
      <c r="C879" s="93" t="str">
        <f>IF(A879&lt;&gt;"",IFERROR(VLOOKUP(B879,DivisionCostCodeLookup!$F$2:$G$426,2,FALSE),INT(LEFT(A879,2))&amp;"0000"),"")</f>
        <v/>
      </c>
      <c r="D879" s="94"/>
      <c r="E879" s="95"/>
      <c r="F879" s="96"/>
      <c r="G879" s="164"/>
      <c r="H879" s="97" t="str">
        <f t="shared" si="13"/>
        <v/>
      </c>
    </row>
    <row r="880" spans="1:8" s="86" customFormat="1">
      <c r="A880" s="92"/>
      <c r="B880" s="92"/>
      <c r="C880" s="93" t="str">
        <f>IF(A880&lt;&gt;"",IFERROR(VLOOKUP(B880,DivisionCostCodeLookup!$F$2:$G$426,2,FALSE),INT(LEFT(A880,2))&amp;"0000"),"")</f>
        <v/>
      </c>
      <c r="D880" s="94"/>
      <c r="E880" s="95"/>
      <c r="F880" s="96"/>
      <c r="G880" s="164"/>
      <c r="H880" s="97" t="str">
        <f t="shared" si="13"/>
        <v/>
      </c>
    </row>
    <row r="881" spans="1:8" s="86" customFormat="1">
      <c r="A881" s="92"/>
      <c r="B881" s="92"/>
      <c r="C881" s="93" t="str">
        <f>IF(A881&lt;&gt;"",IFERROR(VLOOKUP(B881,DivisionCostCodeLookup!$F$2:$G$426,2,FALSE),INT(LEFT(A881,2))&amp;"0000"),"")</f>
        <v/>
      </c>
      <c r="D881" s="94"/>
      <c r="E881" s="95"/>
      <c r="F881" s="96"/>
      <c r="G881" s="164"/>
      <c r="H881" s="97" t="str">
        <f t="shared" si="13"/>
        <v/>
      </c>
    </row>
    <row r="882" spans="1:8" s="86" customFormat="1">
      <c r="A882" s="92"/>
      <c r="B882" s="92"/>
      <c r="C882" s="93" t="str">
        <f>IF(A882&lt;&gt;"",IFERROR(VLOOKUP(B882,DivisionCostCodeLookup!$F$2:$G$426,2,FALSE),INT(LEFT(A882,2))&amp;"0000"),"")</f>
        <v/>
      </c>
      <c r="D882" s="94"/>
      <c r="E882" s="95"/>
      <c r="F882" s="96"/>
      <c r="G882" s="164"/>
      <c r="H882" s="97" t="str">
        <f t="shared" si="13"/>
        <v/>
      </c>
    </row>
    <row r="883" spans="1:8" s="86" customFormat="1">
      <c r="A883" s="92"/>
      <c r="B883" s="92"/>
      <c r="C883" s="93" t="str">
        <f>IF(A883&lt;&gt;"",IFERROR(VLOOKUP(B883,DivisionCostCodeLookup!$F$2:$G$426,2,FALSE),INT(LEFT(A883,2))&amp;"0000"),"")</f>
        <v/>
      </c>
      <c r="D883" s="94"/>
      <c r="E883" s="95"/>
      <c r="F883" s="96"/>
      <c r="G883" s="164"/>
      <c r="H883" s="97" t="str">
        <f t="shared" si="13"/>
        <v/>
      </c>
    </row>
    <row r="884" spans="1:8" s="86" customFormat="1">
      <c r="A884" s="92"/>
      <c r="B884" s="92"/>
      <c r="C884" s="93" t="str">
        <f>IF(A884&lt;&gt;"",IFERROR(VLOOKUP(B884,DivisionCostCodeLookup!$F$2:$G$426,2,FALSE),INT(LEFT(A884,2))&amp;"0000"),"")</f>
        <v/>
      </c>
      <c r="D884" s="94"/>
      <c r="E884" s="95"/>
      <c r="F884" s="96"/>
      <c r="G884" s="164"/>
      <c r="H884" s="97" t="str">
        <f t="shared" si="13"/>
        <v/>
      </c>
    </row>
    <row r="885" spans="1:8" s="86" customFormat="1">
      <c r="A885" s="92"/>
      <c r="B885" s="92"/>
      <c r="C885" s="93" t="str">
        <f>IF(A885&lt;&gt;"",IFERROR(VLOOKUP(B885,DivisionCostCodeLookup!$F$2:$G$426,2,FALSE),INT(LEFT(A885,2))&amp;"0000"),"")</f>
        <v/>
      </c>
      <c r="D885" s="94"/>
      <c r="E885" s="95"/>
      <c r="F885" s="96"/>
      <c r="G885" s="164"/>
      <c r="H885" s="97" t="str">
        <f t="shared" si="13"/>
        <v/>
      </c>
    </row>
    <row r="886" spans="1:8" s="86" customFormat="1">
      <c r="A886" s="92"/>
      <c r="B886" s="92"/>
      <c r="C886" s="93" t="str">
        <f>IF(A886&lt;&gt;"",IFERROR(VLOOKUP(B886,DivisionCostCodeLookup!$F$2:$G$426,2,FALSE),INT(LEFT(A886,2))&amp;"0000"),"")</f>
        <v/>
      </c>
      <c r="D886" s="94"/>
      <c r="E886" s="95"/>
      <c r="F886" s="96"/>
      <c r="G886" s="164"/>
      <c r="H886" s="97" t="str">
        <f t="shared" si="13"/>
        <v/>
      </c>
    </row>
    <row r="887" spans="1:8" s="86" customFormat="1">
      <c r="A887" s="92"/>
      <c r="B887" s="92"/>
      <c r="C887" s="93" t="str">
        <f>IF(A887&lt;&gt;"",IFERROR(VLOOKUP(B887,DivisionCostCodeLookup!$F$2:$G$426,2,FALSE),INT(LEFT(A887,2))&amp;"0000"),"")</f>
        <v/>
      </c>
      <c r="D887" s="94"/>
      <c r="E887" s="95"/>
      <c r="F887" s="96"/>
      <c r="G887" s="164"/>
      <c r="H887" s="97" t="str">
        <f t="shared" si="13"/>
        <v/>
      </c>
    </row>
    <row r="888" spans="1:8" s="86" customFormat="1">
      <c r="A888" s="92"/>
      <c r="B888" s="92"/>
      <c r="C888" s="93" t="str">
        <f>IF(A888&lt;&gt;"",IFERROR(VLOOKUP(B888,DivisionCostCodeLookup!$F$2:$G$426,2,FALSE),INT(LEFT(A888,2))&amp;"0000"),"")</f>
        <v/>
      </c>
      <c r="D888" s="94"/>
      <c r="E888" s="95"/>
      <c r="F888" s="96"/>
      <c r="G888" s="164"/>
      <c r="H888" s="97" t="str">
        <f t="shared" si="13"/>
        <v/>
      </c>
    </row>
    <row r="889" spans="1:8" s="86" customFormat="1">
      <c r="A889" s="92"/>
      <c r="B889" s="92"/>
      <c r="C889" s="93" t="str">
        <f>IF(A889&lt;&gt;"",IFERROR(VLOOKUP(B889,DivisionCostCodeLookup!$F$2:$G$426,2,FALSE),INT(LEFT(A889,2))&amp;"0000"),"")</f>
        <v/>
      </c>
      <c r="D889" s="94"/>
      <c r="E889" s="95"/>
      <c r="F889" s="96"/>
      <c r="G889" s="164"/>
      <c r="H889" s="97" t="str">
        <f t="shared" si="13"/>
        <v/>
      </c>
    </row>
    <row r="890" spans="1:8" s="86" customFormat="1">
      <c r="A890" s="92"/>
      <c r="B890" s="92"/>
      <c r="C890" s="93" t="str">
        <f>IF(A890&lt;&gt;"",IFERROR(VLOOKUP(B890,DivisionCostCodeLookup!$F$2:$G$426,2,FALSE),INT(LEFT(A890,2))&amp;"0000"),"")</f>
        <v/>
      </c>
      <c r="D890" s="94"/>
      <c r="E890" s="95"/>
      <c r="F890" s="96"/>
      <c r="G890" s="164"/>
      <c r="H890" s="97" t="str">
        <f t="shared" si="13"/>
        <v/>
      </c>
    </row>
    <row r="891" spans="1:8" s="86" customFormat="1">
      <c r="A891" s="92"/>
      <c r="B891" s="92"/>
      <c r="C891" s="93" t="str">
        <f>IF(A891&lt;&gt;"",IFERROR(VLOOKUP(B891,DivisionCostCodeLookup!$F$2:$G$426,2,FALSE),INT(LEFT(A891,2))&amp;"0000"),"")</f>
        <v/>
      </c>
      <c r="D891" s="94"/>
      <c r="E891" s="95"/>
      <c r="F891" s="96"/>
      <c r="G891" s="164"/>
      <c r="H891" s="97" t="str">
        <f t="shared" si="13"/>
        <v/>
      </c>
    </row>
    <row r="892" spans="1:8" s="86" customFormat="1">
      <c r="A892" s="92"/>
      <c r="B892" s="92"/>
      <c r="C892" s="93" t="str">
        <f>IF(A892&lt;&gt;"",IFERROR(VLOOKUP(B892,DivisionCostCodeLookup!$F$2:$G$426,2,FALSE),INT(LEFT(A892,2))&amp;"0000"),"")</f>
        <v/>
      </c>
      <c r="D892" s="94"/>
      <c r="E892" s="95"/>
      <c r="F892" s="96"/>
      <c r="G892" s="164"/>
      <c r="H892" s="97" t="str">
        <f t="shared" si="13"/>
        <v/>
      </c>
    </row>
    <row r="893" spans="1:8" s="86" customFormat="1">
      <c r="A893" s="92"/>
      <c r="B893" s="92"/>
      <c r="C893" s="93" t="str">
        <f>IF(A893&lt;&gt;"",IFERROR(VLOOKUP(B893,DivisionCostCodeLookup!$F$2:$G$426,2,FALSE),INT(LEFT(A893,2))&amp;"0000"),"")</f>
        <v/>
      </c>
      <c r="D893" s="94"/>
      <c r="E893" s="95"/>
      <c r="F893" s="96"/>
      <c r="G893" s="164"/>
      <c r="H893" s="97" t="str">
        <f t="shared" si="13"/>
        <v/>
      </c>
    </row>
    <row r="894" spans="1:8" s="86" customFormat="1">
      <c r="A894" s="92"/>
      <c r="B894" s="92"/>
      <c r="C894" s="93" t="str">
        <f>IF(A894&lt;&gt;"",IFERROR(VLOOKUP(B894,DivisionCostCodeLookup!$F$2:$G$426,2,FALSE),INT(LEFT(A894,2))&amp;"0000"),"")</f>
        <v/>
      </c>
      <c r="D894" s="94"/>
      <c r="E894" s="95"/>
      <c r="F894" s="96"/>
      <c r="G894" s="164"/>
      <c r="H894" s="97" t="str">
        <f t="shared" si="13"/>
        <v/>
      </c>
    </row>
    <row r="895" spans="1:8" s="86" customFormat="1">
      <c r="A895" s="92"/>
      <c r="B895" s="92"/>
      <c r="C895" s="93" t="str">
        <f>IF(A895&lt;&gt;"",IFERROR(VLOOKUP(B895,DivisionCostCodeLookup!$F$2:$G$426,2,FALSE),INT(LEFT(A895,2))&amp;"0000"),"")</f>
        <v/>
      </c>
      <c r="D895" s="94"/>
      <c r="E895" s="95"/>
      <c r="F895" s="96"/>
      <c r="G895" s="164"/>
      <c r="H895" s="97" t="str">
        <f t="shared" si="13"/>
        <v/>
      </c>
    </row>
    <row r="896" spans="1:8" s="86" customFormat="1">
      <c r="A896" s="92"/>
      <c r="B896" s="92"/>
      <c r="C896" s="93" t="str">
        <f>IF(A896&lt;&gt;"",IFERROR(VLOOKUP(B896,DivisionCostCodeLookup!$F$2:$G$426,2,FALSE),INT(LEFT(A896,2))&amp;"0000"),"")</f>
        <v/>
      </c>
      <c r="D896" s="94"/>
      <c r="E896" s="95"/>
      <c r="F896" s="96"/>
      <c r="G896" s="164"/>
      <c r="H896" s="97" t="str">
        <f t="shared" si="13"/>
        <v/>
      </c>
    </row>
    <row r="897" spans="1:8" s="86" customFormat="1">
      <c r="A897" s="92"/>
      <c r="B897" s="92"/>
      <c r="C897" s="93" t="str">
        <f>IF(A897&lt;&gt;"",IFERROR(VLOOKUP(B897,DivisionCostCodeLookup!$F$2:$G$426,2,FALSE),INT(LEFT(A897,2))&amp;"0000"),"")</f>
        <v/>
      </c>
      <c r="D897" s="94"/>
      <c r="E897" s="95"/>
      <c r="F897" s="96"/>
      <c r="G897" s="164"/>
      <c r="H897" s="97" t="str">
        <f t="shared" si="13"/>
        <v/>
      </c>
    </row>
    <row r="898" spans="1:8" s="86" customFormat="1">
      <c r="A898" s="92"/>
      <c r="B898" s="92"/>
      <c r="C898" s="93" t="str">
        <f>IF(A898&lt;&gt;"",IFERROR(VLOOKUP(B898,DivisionCostCodeLookup!$F$2:$G$426,2,FALSE),INT(LEFT(A898,2))&amp;"0000"),"")</f>
        <v/>
      </c>
      <c r="D898" s="94"/>
      <c r="E898" s="95"/>
      <c r="F898" s="96"/>
      <c r="G898" s="164"/>
      <c r="H898" s="97" t="str">
        <f t="shared" si="13"/>
        <v/>
      </c>
    </row>
    <row r="899" spans="1:8" s="86" customFormat="1">
      <c r="A899" s="92"/>
      <c r="B899" s="92"/>
      <c r="C899" s="93" t="str">
        <f>IF(A899&lt;&gt;"",IFERROR(VLOOKUP(B899,DivisionCostCodeLookup!$F$2:$G$426,2,FALSE),INT(LEFT(A899,2))&amp;"0000"),"")</f>
        <v/>
      </c>
      <c r="D899" s="94"/>
      <c r="E899" s="95"/>
      <c r="F899" s="96"/>
      <c r="G899" s="164"/>
      <c r="H899" s="97" t="str">
        <f t="shared" si="13"/>
        <v/>
      </c>
    </row>
    <row r="900" spans="1:8" s="86" customFormat="1">
      <c r="A900" s="92"/>
      <c r="B900" s="92"/>
      <c r="C900" s="93" t="str">
        <f>IF(A900&lt;&gt;"",IFERROR(VLOOKUP(B900,DivisionCostCodeLookup!$F$2:$G$426,2,FALSE),INT(LEFT(A900,2))&amp;"0000"),"")</f>
        <v/>
      </c>
      <c r="D900" s="94"/>
      <c r="E900" s="95"/>
      <c r="F900" s="96"/>
      <c r="G900" s="164"/>
      <c r="H900" s="97" t="str">
        <f t="shared" si="13"/>
        <v/>
      </c>
    </row>
    <row r="901" spans="1:8" s="86" customFormat="1">
      <c r="A901" s="92"/>
      <c r="B901" s="92"/>
      <c r="C901" s="93" t="str">
        <f>IF(A901&lt;&gt;"",IFERROR(VLOOKUP(B901,DivisionCostCodeLookup!$F$2:$G$426,2,FALSE),INT(LEFT(A901,2))&amp;"0000"),"")</f>
        <v/>
      </c>
      <c r="D901" s="94"/>
      <c r="E901" s="95"/>
      <c r="F901" s="96"/>
      <c r="G901" s="164"/>
      <c r="H901" s="97" t="str">
        <f t="shared" si="13"/>
        <v/>
      </c>
    </row>
    <row r="902" spans="1:8" s="86" customFormat="1">
      <c r="A902" s="92"/>
      <c r="B902" s="92"/>
      <c r="C902" s="93" t="str">
        <f>IF(A902&lt;&gt;"",IFERROR(VLOOKUP(B902,DivisionCostCodeLookup!$F$2:$G$426,2,FALSE),INT(LEFT(A902,2))&amp;"0000"),"")</f>
        <v/>
      </c>
      <c r="D902" s="94"/>
      <c r="E902" s="95"/>
      <c r="F902" s="96"/>
      <c r="G902" s="164"/>
      <c r="H902" s="97" t="str">
        <f t="shared" si="13"/>
        <v/>
      </c>
    </row>
    <row r="903" spans="1:8" s="86" customFormat="1">
      <c r="A903" s="92"/>
      <c r="B903" s="92"/>
      <c r="C903" s="93" t="str">
        <f>IF(A903&lt;&gt;"",IFERROR(VLOOKUP(B903,DivisionCostCodeLookup!$F$2:$G$426,2,FALSE),INT(LEFT(A903,2))&amp;"0000"),"")</f>
        <v/>
      </c>
      <c r="D903" s="94"/>
      <c r="E903" s="95"/>
      <c r="F903" s="96"/>
      <c r="G903" s="164"/>
      <c r="H903" s="97" t="str">
        <f t="shared" si="13"/>
        <v/>
      </c>
    </row>
    <row r="904" spans="1:8" s="86" customFormat="1">
      <c r="A904" s="92"/>
      <c r="B904" s="92"/>
      <c r="C904" s="93" t="str">
        <f>IF(A904&lt;&gt;"",IFERROR(VLOOKUP(B904,DivisionCostCodeLookup!$F$2:$G$426,2,FALSE),INT(LEFT(A904,2))&amp;"0000"),"")</f>
        <v/>
      </c>
      <c r="D904" s="94"/>
      <c r="E904" s="95"/>
      <c r="F904" s="96"/>
      <c r="G904" s="164"/>
      <c r="H904" s="97" t="str">
        <f t="shared" ref="H904:H967" si="14">IF(E904*G904&lt;&gt;0,E904*G904,"")</f>
        <v/>
      </c>
    </row>
    <row r="905" spans="1:8" s="86" customFormat="1">
      <c r="A905" s="92"/>
      <c r="B905" s="92"/>
      <c r="C905" s="93" t="str">
        <f>IF(A905&lt;&gt;"",IFERROR(VLOOKUP(B905,DivisionCostCodeLookup!$F$2:$G$426,2,FALSE),INT(LEFT(A905,2))&amp;"0000"),"")</f>
        <v/>
      </c>
      <c r="D905" s="94"/>
      <c r="E905" s="95"/>
      <c r="F905" s="96"/>
      <c r="G905" s="164"/>
      <c r="H905" s="97" t="str">
        <f t="shared" si="14"/>
        <v/>
      </c>
    </row>
    <row r="906" spans="1:8" s="86" customFormat="1">
      <c r="A906" s="92"/>
      <c r="B906" s="92"/>
      <c r="C906" s="93" t="str">
        <f>IF(A906&lt;&gt;"",IFERROR(VLOOKUP(B906,DivisionCostCodeLookup!$F$2:$G$426,2,FALSE),INT(LEFT(A906,2))&amp;"0000"),"")</f>
        <v/>
      </c>
      <c r="D906" s="94"/>
      <c r="E906" s="95"/>
      <c r="F906" s="96"/>
      <c r="G906" s="164"/>
      <c r="H906" s="97" t="str">
        <f t="shared" si="14"/>
        <v/>
      </c>
    </row>
    <row r="907" spans="1:8" s="86" customFormat="1">
      <c r="A907" s="92"/>
      <c r="B907" s="92"/>
      <c r="C907" s="93" t="str">
        <f>IF(A907&lt;&gt;"",IFERROR(VLOOKUP(B907,DivisionCostCodeLookup!$F$2:$G$426,2,FALSE),INT(LEFT(A907,2))&amp;"0000"),"")</f>
        <v/>
      </c>
      <c r="D907" s="94"/>
      <c r="E907" s="95"/>
      <c r="F907" s="96"/>
      <c r="G907" s="164"/>
      <c r="H907" s="97" t="str">
        <f t="shared" si="14"/>
        <v/>
      </c>
    </row>
    <row r="908" spans="1:8" s="86" customFormat="1">
      <c r="A908" s="92"/>
      <c r="B908" s="92"/>
      <c r="C908" s="93" t="str">
        <f>IF(A908&lt;&gt;"",IFERROR(VLOOKUP(B908,DivisionCostCodeLookup!$F$2:$G$426,2,FALSE),INT(LEFT(A908,2))&amp;"0000"),"")</f>
        <v/>
      </c>
      <c r="D908" s="94"/>
      <c r="E908" s="95"/>
      <c r="F908" s="96"/>
      <c r="G908" s="164"/>
      <c r="H908" s="97" t="str">
        <f t="shared" si="14"/>
        <v/>
      </c>
    </row>
    <row r="909" spans="1:8" s="86" customFormat="1">
      <c r="A909" s="92"/>
      <c r="B909" s="92"/>
      <c r="C909" s="93" t="str">
        <f>IF(A909&lt;&gt;"",IFERROR(VLOOKUP(B909,DivisionCostCodeLookup!$F$2:$G$426,2,FALSE),INT(LEFT(A909,2))&amp;"0000"),"")</f>
        <v/>
      </c>
      <c r="D909" s="94"/>
      <c r="E909" s="95"/>
      <c r="F909" s="96"/>
      <c r="G909" s="164"/>
      <c r="H909" s="97" t="str">
        <f t="shared" si="14"/>
        <v/>
      </c>
    </row>
    <row r="910" spans="1:8" s="86" customFormat="1">
      <c r="A910" s="92"/>
      <c r="B910" s="92"/>
      <c r="C910" s="93" t="str">
        <f>IF(A910&lt;&gt;"",IFERROR(VLOOKUP(B910,DivisionCostCodeLookup!$F$2:$G$426,2,FALSE),INT(LEFT(A910,2))&amp;"0000"),"")</f>
        <v/>
      </c>
      <c r="D910" s="94"/>
      <c r="E910" s="95"/>
      <c r="F910" s="96"/>
      <c r="G910" s="164"/>
      <c r="H910" s="97" t="str">
        <f t="shared" si="14"/>
        <v/>
      </c>
    </row>
    <row r="911" spans="1:8" s="86" customFormat="1">
      <c r="A911" s="92"/>
      <c r="B911" s="92"/>
      <c r="C911" s="93" t="str">
        <f>IF(A911&lt;&gt;"",IFERROR(VLOOKUP(B911,DivisionCostCodeLookup!$F$2:$G$426,2,FALSE),INT(LEFT(A911,2))&amp;"0000"),"")</f>
        <v/>
      </c>
      <c r="D911" s="94"/>
      <c r="E911" s="95"/>
      <c r="F911" s="96"/>
      <c r="G911" s="164"/>
      <c r="H911" s="97" t="str">
        <f t="shared" si="14"/>
        <v/>
      </c>
    </row>
    <row r="912" spans="1:8" s="86" customFormat="1">
      <c r="A912" s="92"/>
      <c r="B912" s="92"/>
      <c r="C912" s="93" t="str">
        <f>IF(A912&lt;&gt;"",IFERROR(VLOOKUP(B912,DivisionCostCodeLookup!$F$2:$G$426,2,FALSE),INT(LEFT(A912,2))&amp;"0000"),"")</f>
        <v/>
      </c>
      <c r="D912" s="94"/>
      <c r="E912" s="95"/>
      <c r="F912" s="96"/>
      <c r="G912" s="164"/>
      <c r="H912" s="97" t="str">
        <f t="shared" si="14"/>
        <v/>
      </c>
    </row>
    <row r="913" spans="1:8" s="86" customFormat="1">
      <c r="A913" s="92"/>
      <c r="B913" s="92"/>
      <c r="C913" s="93" t="str">
        <f>IF(A913&lt;&gt;"",IFERROR(VLOOKUP(B913,DivisionCostCodeLookup!$F$2:$G$426,2,FALSE),INT(LEFT(A913,2))&amp;"0000"),"")</f>
        <v/>
      </c>
      <c r="D913" s="94"/>
      <c r="E913" s="95"/>
      <c r="F913" s="96"/>
      <c r="G913" s="164"/>
      <c r="H913" s="97" t="str">
        <f t="shared" si="14"/>
        <v/>
      </c>
    </row>
    <row r="914" spans="1:8" s="86" customFormat="1">
      <c r="A914" s="92"/>
      <c r="B914" s="92"/>
      <c r="C914" s="93" t="str">
        <f>IF(A914&lt;&gt;"",IFERROR(VLOOKUP(B914,DivisionCostCodeLookup!$F$2:$G$426,2,FALSE),INT(LEFT(A914,2))&amp;"0000"),"")</f>
        <v/>
      </c>
      <c r="D914" s="94"/>
      <c r="E914" s="95"/>
      <c r="F914" s="96"/>
      <c r="G914" s="164"/>
      <c r="H914" s="97" t="str">
        <f t="shared" si="14"/>
        <v/>
      </c>
    </row>
    <row r="915" spans="1:8" s="86" customFormat="1">
      <c r="A915" s="92"/>
      <c r="B915" s="92"/>
      <c r="C915" s="93" t="str">
        <f>IF(A915&lt;&gt;"",IFERROR(VLOOKUP(B915,DivisionCostCodeLookup!$F$2:$G$426,2,FALSE),INT(LEFT(A915,2))&amp;"0000"),"")</f>
        <v/>
      </c>
      <c r="D915" s="94"/>
      <c r="E915" s="95"/>
      <c r="F915" s="96"/>
      <c r="G915" s="164"/>
      <c r="H915" s="97" t="str">
        <f t="shared" si="14"/>
        <v/>
      </c>
    </row>
    <row r="916" spans="1:8" s="86" customFormat="1">
      <c r="A916" s="92"/>
      <c r="B916" s="92"/>
      <c r="C916" s="93" t="str">
        <f>IF(A916&lt;&gt;"",IFERROR(VLOOKUP(B916,DivisionCostCodeLookup!$F$2:$G$426,2,FALSE),INT(LEFT(A916,2))&amp;"0000"),"")</f>
        <v/>
      </c>
      <c r="D916" s="94"/>
      <c r="E916" s="95"/>
      <c r="F916" s="96"/>
      <c r="G916" s="164"/>
      <c r="H916" s="97" t="str">
        <f t="shared" si="14"/>
        <v/>
      </c>
    </row>
    <row r="917" spans="1:8" s="86" customFormat="1">
      <c r="A917" s="92"/>
      <c r="B917" s="92"/>
      <c r="C917" s="93" t="str">
        <f>IF(A917&lt;&gt;"",IFERROR(VLOOKUP(B917,DivisionCostCodeLookup!$F$2:$G$426,2,FALSE),INT(LEFT(A917,2))&amp;"0000"),"")</f>
        <v/>
      </c>
      <c r="D917" s="94"/>
      <c r="E917" s="95"/>
      <c r="F917" s="96"/>
      <c r="G917" s="164"/>
      <c r="H917" s="97" t="str">
        <f t="shared" si="14"/>
        <v/>
      </c>
    </row>
    <row r="918" spans="1:8" s="86" customFormat="1">
      <c r="A918" s="92"/>
      <c r="B918" s="92"/>
      <c r="C918" s="93" t="str">
        <f>IF(A918&lt;&gt;"",IFERROR(VLOOKUP(B918,DivisionCostCodeLookup!$F$2:$G$426,2,FALSE),INT(LEFT(A918,2))&amp;"0000"),"")</f>
        <v/>
      </c>
      <c r="D918" s="94"/>
      <c r="E918" s="95"/>
      <c r="F918" s="96"/>
      <c r="G918" s="164"/>
      <c r="H918" s="97" t="str">
        <f t="shared" si="14"/>
        <v/>
      </c>
    </row>
    <row r="919" spans="1:8" s="86" customFormat="1">
      <c r="A919" s="92"/>
      <c r="B919" s="92"/>
      <c r="C919" s="93" t="str">
        <f>IF(A919&lt;&gt;"",IFERROR(VLOOKUP(B919,DivisionCostCodeLookup!$F$2:$G$426,2,FALSE),INT(LEFT(A919,2))&amp;"0000"),"")</f>
        <v/>
      </c>
      <c r="D919" s="94"/>
      <c r="E919" s="95"/>
      <c r="F919" s="96"/>
      <c r="G919" s="164"/>
      <c r="H919" s="97" t="str">
        <f t="shared" si="14"/>
        <v/>
      </c>
    </row>
    <row r="920" spans="1:8" s="86" customFormat="1">
      <c r="A920" s="92"/>
      <c r="B920" s="92"/>
      <c r="C920" s="93" t="str">
        <f>IF(A920&lt;&gt;"",IFERROR(VLOOKUP(B920,DivisionCostCodeLookup!$F$2:$G$426,2,FALSE),INT(LEFT(A920,2))&amp;"0000"),"")</f>
        <v/>
      </c>
      <c r="D920" s="94"/>
      <c r="E920" s="95"/>
      <c r="F920" s="96"/>
      <c r="G920" s="164"/>
      <c r="H920" s="97" t="str">
        <f t="shared" si="14"/>
        <v/>
      </c>
    </row>
    <row r="921" spans="1:8" s="86" customFormat="1">
      <c r="A921" s="92"/>
      <c r="B921" s="92"/>
      <c r="C921" s="93" t="str">
        <f>IF(A921&lt;&gt;"",IFERROR(VLOOKUP(B921,DivisionCostCodeLookup!$F$2:$G$426,2,FALSE),INT(LEFT(A921,2))&amp;"0000"),"")</f>
        <v/>
      </c>
      <c r="D921" s="94"/>
      <c r="E921" s="95"/>
      <c r="F921" s="96"/>
      <c r="G921" s="164"/>
      <c r="H921" s="97" t="str">
        <f t="shared" si="14"/>
        <v/>
      </c>
    </row>
    <row r="922" spans="1:8" s="86" customFormat="1">
      <c r="A922" s="92"/>
      <c r="B922" s="92"/>
      <c r="C922" s="93" t="str">
        <f>IF(A922&lt;&gt;"",IFERROR(VLOOKUP(B922,DivisionCostCodeLookup!$F$2:$G$426,2,FALSE),INT(LEFT(A922,2))&amp;"0000"),"")</f>
        <v/>
      </c>
      <c r="D922" s="94"/>
      <c r="E922" s="95"/>
      <c r="F922" s="96"/>
      <c r="G922" s="164"/>
      <c r="H922" s="97" t="str">
        <f t="shared" si="14"/>
        <v/>
      </c>
    </row>
    <row r="923" spans="1:8" s="86" customFormat="1">
      <c r="A923" s="92"/>
      <c r="B923" s="92"/>
      <c r="C923" s="93" t="str">
        <f>IF(A923&lt;&gt;"",IFERROR(VLOOKUP(B923,DivisionCostCodeLookup!$F$2:$G$426,2,FALSE),INT(LEFT(A923,2))&amp;"0000"),"")</f>
        <v/>
      </c>
      <c r="D923" s="94"/>
      <c r="E923" s="95"/>
      <c r="F923" s="96"/>
      <c r="G923" s="164"/>
      <c r="H923" s="97" t="str">
        <f t="shared" si="14"/>
        <v/>
      </c>
    </row>
    <row r="924" spans="1:8" s="86" customFormat="1">
      <c r="A924" s="92"/>
      <c r="B924" s="92"/>
      <c r="C924" s="93" t="str">
        <f>IF(A924&lt;&gt;"",IFERROR(VLOOKUP(B924,DivisionCostCodeLookup!$F$2:$G$426,2,FALSE),INT(LEFT(A924,2))&amp;"0000"),"")</f>
        <v/>
      </c>
      <c r="D924" s="94"/>
      <c r="E924" s="95"/>
      <c r="F924" s="96"/>
      <c r="G924" s="164"/>
      <c r="H924" s="97" t="str">
        <f t="shared" si="14"/>
        <v/>
      </c>
    </row>
    <row r="925" spans="1:8" s="86" customFormat="1">
      <c r="A925" s="92"/>
      <c r="B925" s="92"/>
      <c r="C925" s="93" t="str">
        <f>IF(A925&lt;&gt;"",IFERROR(VLOOKUP(B925,DivisionCostCodeLookup!$F$2:$G$426,2,FALSE),INT(LEFT(A925,2))&amp;"0000"),"")</f>
        <v/>
      </c>
      <c r="D925" s="94"/>
      <c r="E925" s="95"/>
      <c r="F925" s="96"/>
      <c r="G925" s="164"/>
      <c r="H925" s="97" t="str">
        <f t="shared" si="14"/>
        <v/>
      </c>
    </row>
    <row r="926" spans="1:8" s="86" customFormat="1">
      <c r="A926" s="92"/>
      <c r="B926" s="92"/>
      <c r="C926" s="93" t="str">
        <f>IF(A926&lt;&gt;"",IFERROR(VLOOKUP(B926,DivisionCostCodeLookup!$F$2:$G$426,2,FALSE),INT(LEFT(A926,2))&amp;"0000"),"")</f>
        <v/>
      </c>
      <c r="D926" s="94"/>
      <c r="E926" s="95"/>
      <c r="F926" s="96"/>
      <c r="G926" s="164"/>
      <c r="H926" s="97" t="str">
        <f t="shared" si="14"/>
        <v/>
      </c>
    </row>
    <row r="927" spans="1:8" s="86" customFormat="1">
      <c r="A927" s="92"/>
      <c r="B927" s="92"/>
      <c r="C927" s="93" t="str">
        <f>IF(A927&lt;&gt;"",IFERROR(VLOOKUP(B927,DivisionCostCodeLookup!$F$2:$G$426,2,FALSE),INT(LEFT(A927,2))&amp;"0000"),"")</f>
        <v/>
      </c>
      <c r="D927" s="94"/>
      <c r="E927" s="95"/>
      <c r="F927" s="96"/>
      <c r="G927" s="164"/>
      <c r="H927" s="97" t="str">
        <f t="shared" si="14"/>
        <v/>
      </c>
    </row>
    <row r="928" spans="1:8" s="86" customFormat="1">
      <c r="A928" s="92"/>
      <c r="B928" s="92"/>
      <c r="C928" s="93" t="str">
        <f>IF(A928&lt;&gt;"",IFERROR(VLOOKUP(B928,DivisionCostCodeLookup!$F$2:$G$426,2,FALSE),INT(LEFT(A928,2))&amp;"0000"),"")</f>
        <v/>
      </c>
      <c r="D928" s="94"/>
      <c r="E928" s="95"/>
      <c r="F928" s="96"/>
      <c r="G928" s="164"/>
      <c r="H928" s="97" t="str">
        <f t="shared" si="14"/>
        <v/>
      </c>
    </row>
    <row r="929" spans="1:8" s="86" customFormat="1">
      <c r="A929" s="92"/>
      <c r="B929" s="92"/>
      <c r="C929" s="93" t="str">
        <f>IF(A929&lt;&gt;"",IFERROR(VLOOKUP(B929,DivisionCostCodeLookup!$F$2:$G$426,2,FALSE),INT(LEFT(A929,2))&amp;"0000"),"")</f>
        <v/>
      </c>
      <c r="D929" s="94"/>
      <c r="E929" s="95"/>
      <c r="F929" s="96"/>
      <c r="G929" s="164"/>
      <c r="H929" s="97" t="str">
        <f t="shared" si="14"/>
        <v/>
      </c>
    </row>
    <row r="930" spans="1:8" s="86" customFormat="1">
      <c r="A930" s="92"/>
      <c r="B930" s="92"/>
      <c r="C930" s="93" t="str">
        <f>IF(A930&lt;&gt;"",IFERROR(VLOOKUP(B930,DivisionCostCodeLookup!$F$2:$G$426,2,FALSE),INT(LEFT(A930,2))&amp;"0000"),"")</f>
        <v/>
      </c>
      <c r="D930" s="94"/>
      <c r="E930" s="95"/>
      <c r="F930" s="96"/>
      <c r="G930" s="164"/>
      <c r="H930" s="97" t="str">
        <f t="shared" si="14"/>
        <v/>
      </c>
    </row>
    <row r="931" spans="1:8" s="86" customFormat="1">
      <c r="A931" s="92"/>
      <c r="B931" s="92"/>
      <c r="C931" s="93" t="str">
        <f>IF(A931&lt;&gt;"",IFERROR(VLOOKUP(B931,DivisionCostCodeLookup!$F$2:$G$426,2,FALSE),INT(LEFT(A931,2))&amp;"0000"),"")</f>
        <v/>
      </c>
      <c r="D931" s="94"/>
      <c r="E931" s="95"/>
      <c r="F931" s="96"/>
      <c r="G931" s="164"/>
      <c r="H931" s="97" t="str">
        <f t="shared" si="14"/>
        <v/>
      </c>
    </row>
    <row r="932" spans="1:8" s="86" customFormat="1">
      <c r="A932" s="92"/>
      <c r="B932" s="92"/>
      <c r="C932" s="93" t="str">
        <f>IF(A932&lt;&gt;"",IFERROR(VLOOKUP(B932,DivisionCostCodeLookup!$F$2:$G$426,2,FALSE),INT(LEFT(A932,2))&amp;"0000"),"")</f>
        <v/>
      </c>
      <c r="D932" s="94"/>
      <c r="E932" s="95"/>
      <c r="F932" s="96"/>
      <c r="G932" s="164"/>
      <c r="H932" s="97" t="str">
        <f t="shared" si="14"/>
        <v/>
      </c>
    </row>
    <row r="933" spans="1:8" s="86" customFormat="1">
      <c r="A933" s="92"/>
      <c r="B933" s="92"/>
      <c r="C933" s="93" t="str">
        <f>IF(A933&lt;&gt;"",IFERROR(VLOOKUP(B933,DivisionCostCodeLookup!$F$2:$G$426,2,FALSE),INT(LEFT(A933,2))&amp;"0000"),"")</f>
        <v/>
      </c>
      <c r="D933" s="94"/>
      <c r="E933" s="95"/>
      <c r="F933" s="96"/>
      <c r="G933" s="164"/>
      <c r="H933" s="97" t="str">
        <f t="shared" si="14"/>
        <v/>
      </c>
    </row>
    <row r="934" spans="1:8" s="86" customFormat="1">
      <c r="A934" s="92"/>
      <c r="B934" s="92"/>
      <c r="C934" s="93" t="str">
        <f>IF(A934&lt;&gt;"",IFERROR(VLOOKUP(B934,DivisionCostCodeLookup!$F$2:$G$426,2,FALSE),INT(LEFT(A934,2))&amp;"0000"),"")</f>
        <v/>
      </c>
      <c r="D934" s="94"/>
      <c r="E934" s="95"/>
      <c r="F934" s="96"/>
      <c r="G934" s="164"/>
      <c r="H934" s="97" t="str">
        <f t="shared" si="14"/>
        <v/>
      </c>
    </row>
    <row r="935" spans="1:8" s="86" customFormat="1">
      <c r="A935" s="92"/>
      <c r="B935" s="92"/>
      <c r="C935" s="93" t="str">
        <f>IF(A935&lt;&gt;"",IFERROR(VLOOKUP(B935,DivisionCostCodeLookup!$F$2:$G$426,2,FALSE),INT(LEFT(A935,2))&amp;"0000"),"")</f>
        <v/>
      </c>
      <c r="D935" s="94"/>
      <c r="E935" s="95"/>
      <c r="F935" s="96"/>
      <c r="G935" s="164"/>
      <c r="H935" s="97" t="str">
        <f t="shared" si="14"/>
        <v/>
      </c>
    </row>
    <row r="936" spans="1:8" s="86" customFormat="1">
      <c r="A936" s="92"/>
      <c r="B936" s="92"/>
      <c r="C936" s="93" t="str">
        <f>IF(A936&lt;&gt;"",IFERROR(VLOOKUP(B936,DivisionCostCodeLookup!$F$2:$G$426,2,FALSE),INT(LEFT(A936,2))&amp;"0000"),"")</f>
        <v/>
      </c>
      <c r="D936" s="94"/>
      <c r="E936" s="95"/>
      <c r="F936" s="96"/>
      <c r="G936" s="164"/>
      <c r="H936" s="97" t="str">
        <f t="shared" si="14"/>
        <v/>
      </c>
    </row>
    <row r="937" spans="1:8" s="86" customFormat="1">
      <c r="A937" s="92"/>
      <c r="B937" s="92"/>
      <c r="C937" s="93" t="str">
        <f>IF(A937&lt;&gt;"",IFERROR(VLOOKUP(B937,DivisionCostCodeLookup!$F$2:$G$426,2,FALSE),INT(LEFT(A937,2))&amp;"0000"),"")</f>
        <v/>
      </c>
      <c r="D937" s="94"/>
      <c r="E937" s="95"/>
      <c r="F937" s="96"/>
      <c r="G937" s="164"/>
      <c r="H937" s="97" t="str">
        <f t="shared" si="14"/>
        <v/>
      </c>
    </row>
    <row r="938" spans="1:8" s="86" customFormat="1">
      <c r="A938" s="92"/>
      <c r="B938" s="92"/>
      <c r="C938" s="93" t="str">
        <f>IF(A938&lt;&gt;"",IFERROR(VLOOKUP(B938,DivisionCostCodeLookup!$F$2:$G$426,2,FALSE),INT(LEFT(A938,2))&amp;"0000"),"")</f>
        <v/>
      </c>
      <c r="D938" s="94"/>
      <c r="E938" s="95"/>
      <c r="F938" s="96"/>
      <c r="G938" s="164"/>
      <c r="H938" s="97" t="str">
        <f t="shared" si="14"/>
        <v/>
      </c>
    </row>
    <row r="939" spans="1:8" s="86" customFormat="1">
      <c r="A939" s="92"/>
      <c r="B939" s="92"/>
      <c r="C939" s="93" t="str">
        <f>IF(A939&lt;&gt;"",IFERROR(VLOOKUP(B939,DivisionCostCodeLookup!$F$2:$G$426,2,FALSE),INT(LEFT(A939,2))&amp;"0000"),"")</f>
        <v/>
      </c>
      <c r="D939" s="94"/>
      <c r="E939" s="95"/>
      <c r="F939" s="96"/>
      <c r="G939" s="164"/>
      <c r="H939" s="97" t="str">
        <f t="shared" si="14"/>
        <v/>
      </c>
    </row>
    <row r="940" spans="1:8" s="86" customFormat="1">
      <c r="A940" s="92"/>
      <c r="B940" s="92"/>
      <c r="C940" s="93" t="str">
        <f>IF(A940&lt;&gt;"",IFERROR(VLOOKUP(B940,DivisionCostCodeLookup!$F$2:$G$426,2,FALSE),INT(LEFT(A940,2))&amp;"0000"),"")</f>
        <v/>
      </c>
      <c r="D940" s="94"/>
      <c r="E940" s="95"/>
      <c r="F940" s="96"/>
      <c r="G940" s="164"/>
      <c r="H940" s="97" t="str">
        <f t="shared" si="14"/>
        <v/>
      </c>
    </row>
    <row r="941" spans="1:8" s="86" customFormat="1">
      <c r="A941" s="92"/>
      <c r="B941" s="92"/>
      <c r="C941" s="93" t="str">
        <f>IF(A941&lt;&gt;"",IFERROR(VLOOKUP(B941,DivisionCostCodeLookup!$F$2:$G$426,2,FALSE),INT(LEFT(A941,2))&amp;"0000"),"")</f>
        <v/>
      </c>
      <c r="D941" s="94"/>
      <c r="E941" s="95"/>
      <c r="F941" s="96"/>
      <c r="G941" s="164"/>
      <c r="H941" s="97" t="str">
        <f t="shared" si="14"/>
        <v/>
      </c>
    </row>
    <row r="942" spans="1:8" s="86" customFormat="1">
      <c r="A942" s="92"/>
      <c r="B942" s="92"/>
      <c r="C942" s="93" t="str">
        <f>IF(A942&lt;&gt;"",IFERROR(VLOOKUP(B942,DivisionCostCodeLookup!$F$2:$G$426,2,FALSE),INT(LEFT(A942,2))&amp;"0000"),"")</f>
        <v/>
      </c>
      <c r="D942" s="94"/>
      <c r="E942" s="95"/>
      <c r="F942" s="96"/>
      <c r="G942" s="164"/>
      <c r="H942" s="97" t="str">
        <f t="shared" si="14"/>
        <v/>
      </c>
    </row>
    <row r="943" spans="1:8" s="86" customFormat="1">
      <c r="A943" s="92"/>
      <c r="B943" s="92"/>
      <c r="C943" s="93" t="str">
        <f>IF(A943&lt;&gt;"",IFERROR(VLOOKUP(B943,DivisionCostCodeLookup!$F$2:$G$426,2,FALSE),INT(LEFT(A943,2))&amp;"0000"),"")</f>
        <v/>
      </c>
      <c r="D943" s="94"/>
      <c r="E943" s="95"/>
      <c r="F943" s="96"/>
      <c r="G943" s="164"/>
      <c r="H943" s="97" t="str">
        <f t="shared" si="14"/>
        <v/>
      </c>
    </row>
    <row r="944" spans="1:8" s="86" customFormat="1">
      <c r="A944" s="92"/>
      <c r="B944" s="92"/>
      <c r="C944" s="93" t="str">
        <f>IF(A944&lt;&gt;"",IFERROR(VLOOKUP(B944,DivisionCostCodeLookup!$F$2:$G$426,2,FALSE),INT(LEFT(A944,2))&amp;"0000"),"")</f>
        <v/>
      </c>
      <c r="D944" s="94"/>
      <c r="E944" s="95"/>
      <c r="F944" s="96"/>
      <c r="G944" s="164"/>
      <c r="H944" s="97" t="str">
        <f t="shared" si="14"/>
        <v/>
      </c>
    </row>
    <row r="945" spans="1:8" s="86" customFormat="1">
      <c r="A945" s="92"/>
      <c r="B945" s="92"/>
      <c r="C945" s="93" t="str">
        <f>IF(A945&lt;&gt;"",IFERROR(VLOOKUP(B945,DivisionCostCodeLookup!$F$2:$G$426,2,FALSE),INT(LEFT(A945,2))&amp;"0000"),"")</f>
        <v/>
      </c>
      <c r="D945" s="94"/>
      <c r="E945" s="95"/>
      <c r="F945" s="96"/>
      <c r="G945" s="164"/>
      <c r="H945" s="97" t="str">
        <f t="shared" si="14"/>
        <v/>
      </c>
    </row>
    <row r="946" spans="1:8" s="86" customFormat="1">
      <c r="A946" s="92"/>
      <c r="B946" s="92"/>
      <c r="C946" s="93" t="str">
        <f>IF(A946&lt;&gt;"",IFERROR(VLOOKUP(B946,DivisionCostCodeLookup!$F$2:$G$426,2,FALSE),INT(LEFT(A946,2))&amp;"0000"),"")</f>
        <v/>
      </c>
      <c r="D946" s="94"/>
      <c r="E946" s="95"/>
      <c r="F946" s="96"/>
      <c r="G946" s="164"/>
      <c r="H946" s="97" t="str">
        <f t="shared" si="14"/>
        <v/>
      </c>
    </row>
    <row r="947" spans="1:8" s="86" customFormat="1">
      <c r="A947" s="92"/>
      <c r="B947" s="92"/>
      <c r="C947" s="93" t="str">
        <f>IF(A947&lt;&gt;"",IFERROR(VLOOKUP(B947,DivisionCostCodeLookup!$F$2:$G$426,2,FALSE),INT(LEFT(A947,2))&amp;"0000"),"")</f>
        <v/>
      </c>
      <c r="D947" s="94"/>
      <c r="E947" s="95"/>
      <c r="F947" s="96"/>
      <c r="G947" s="164"/>
      <c r="H947" s="97" t="str">
        <f t="shared" si="14"/>
        <v/>
      </c>
    </row>
    <row r="948" spans="1:8" s="86" customFormat="1">
      <c r="A948" s="92"/>
      <c r="B948" s="92"/>
      <c r="C948" s="93" t="str">
        <f>IF(A948&lt;&gt;"",IFERROR(VLOOKUP(B948,DivisionCostCodeLookup!$F$2:$G$426,2,FALSE),INT(LEFT(A948,2))&amp;"0000"),"")</f>
        <v/>
      </c>
      <c r="D948" s="94"/>
      <c r="E948" s="95"/>
      <c r="F948" s="96"/>
      <c r="G948" s="164"/>
      <c r="H948" s="97" t="str">
        <f t="shared" si="14"/>
        <v/>
      </c>
    </row>
    <row r="949" spans="1:8" s="86" customFormat="1">
      <c r="A949" s="92"/>
      <c r="B949" s="92"/>
      <c r="C949" s="93" t="str">
        <f>IF(A949&lt;&gt;"",IFERROR(VLOOKUP(B949,DivisionCostCodeLookup!$F$2:$G$426,2,FALSE),INT(LEFT(A949,2))&amp;"0000"),"")</f>
        <v/>
      </c>
      <c r="D949" s="94"/>
      <c r="E949" s="95"/>
      <c r="F949" s="96"/>
      <c r="G949" s="164"/>
      <c r="H949" s="97" t="str">
        <f t="shared" si="14"/>
        <v/>
      </c>
    </row>
    <row r="950" spans="1:8" s="86" customFormat="1">
      <c r="A950" s="92"/>
      <c r="B950" s="92"/>
      <c r="C950" s="93" t="str">
        <f>IF(A950&lt;&gt;"",IFERROR(VLOOKUP(B950,DivisionCostCodeLookup!$F$2:$G$426,2,FALSE),INT(LEFT(A950,2))&amp;"0000"),"")</f>
        <v/>
      </c>
      <c r="D950" s="94"/>
      <c r="E950" s="95"/>
      <c r="F950" s="96"/>
      <c r="G950" s="164"/>
      <c r="H950" s="97" t="str">
        <f t="shared" si="14"/>
        <v/>
      </c>
    </row>
    <row r="951" spans="1:8" s="86" customFormat="1">
      <c r="A951" s="92"/>
      <c r="B951" s="92"/>
      <c r="C951" s="93" t="str">
        <f>IF(A951&lt;&gt;"",IFERROR(VLOOKUP(B951,DivisionCostCodeLookup!$F$2:$G$426,2,FALSE),INT(LEFT(A951,2))&amp;"0000"),"")</f>
        <v/>
      </c>
      <c r="D951" s="94"/>
      <c r="E951" s="95"/>
      <c r="F951" s="96"/>
      <c r="G951" s="164"/>
      <c r="H951" s="97" t="str">
        <f t="shared" si="14"/>
        <v/>
      </c>
    </row>
    <row r="952" spans="1:8" s="86" customFormat="1">
      <c r="A952" s="92"/>
      <c r="B952" s="92"/>
      <c r="C952" s="93" t="str">
        <f>IF(A952&lt;&gt;"",IFERROR(VLOOKUP(B952,DivisionCostCodeLookup!$F$2:$G$426,2,FALSE),INT(LEFT(A952,2))&amp;"0000"),"")</f>
        <v/>
      </c>
      <c r="D952" s="94"/>
      <c r="E952" s="95"/>
      <c r="F952" s="96"/>
      <c r="G952" s="164"/>
      <c r="H952" s="97" t="str">
        <f t="shared" si="14"/>
        <v/>
      </c>
    </row>
    <row r="953" spans="1:8" s="86" customFormat="1">
      <c r="A953" s="92"/>
      <c r="B953" s="92"/>
      <c r="C953" s="93" t="str">
        <f>IF(A953&lt;&gt;"",IFERROR(VLOOKUP(B953,DivisionCostCodeLookup!$F$2:$G$426,2,FALSE),INT(LEFT(A953,2))&amp;"0000"),"")</f>
        <v/>
      </c>
      <c r="D953" s="94"/>
      <c r="E953" s="95"/>
      <c r="F953" s="96"/>
      <c r="G953" s="164"/>
      <c r="H953" s="97" t="str">
        <f t="shared" si="14"/>
        <v/>
      </c>
    </row>
    <row r="954" spans="1:8" s="86" customFormat="1">
      <c r="A954" s="92"/>
      <c r="B954" s="92"/>
      <c r="C954" s="93" t="str">
        <f>IF(A954&lt;&gt;"",IFERROR(VLOOKUP(B954,DivisionCostCodeLookup!$F$2:$G$426,2,FALSE),INT(LEFT(A954,2))&amp;"0000"),"")</f>
        <v/>
      </c>
      <c r="D954" s="94"/>
      <c r="E954" s="95"/>
      <c r="F954" s="96"/>
      <c r="G954" s="164"/>
      <c r="H954" s="97" t="str">
        <f t="shared" si="14"/>
        <v/>
      </c>
    </row>
    <row r="955" spans="1:8" s="86" customFormat="1">
      <c r="A955" s="92"/>
      <c r="B955" s="92"/>
      <c r="C955" s="93" t="str">
        <f>IF(A955&lt;&gt;"",IFERROR(VLOOKUP(B955,DivisionCostCodeLookup!$F$2:$G$426,2,FALSE),INT(LEFT(A955,2))&amp;"0000"),"")</f>
        <v/>
      </c>
      <c r="D955" s="94"/>
      <c r="E955" s="95"/>
      <c r="F955" s="96"/>
      <c r="G955" s="164"/>
      <c r="H955" s="97" t="str">
        <f t="shared" si="14"/>
        <v/>
      </c>
    </row>
    <row r="956" spans="1:8" s="86" customFormat="1">
      <c r="A956" s="92"/>
      <c r="B956" s="92"/>
      <c r="C956" s="93" t="str">
        <f>IF(A956&lt;&gt;"",IFERROR(VLOOKUP(B956,DivisionCostCodeLookup!$F$2:$G$426,2,FALSE),INT(LEFT(A956,2))&amp;"0000"),"")</f>
        <v/>
      </c>
      <c r="D956" s="94"/>
      <c r="E956" s="95"/>
      <c r="F956" s="96"/>
      <c r="G956" s="164"/>
      <c r="H956" s="97" t="str">
        <f t="shared" si="14"/>
        <v/>
      </c>
    </row>
    <row r="957" spans="1:8" s="86" customFormat="1">
      <c r="A957" s="92"/>
      <c r="B957" s="92"/>
      <c r="C957" s="93" t="str">
        <f>IF(A957&lt;&gt;"",IFERROR(VLOOKUP(B957,DivisionCostCodeLookup!$F$2:$G$426,2,FALSE),INT(LEFT(A957,2))&amp;"0000"),"")</f>
        <v/>
      </c>
      <c r="D957" s="94"/>
      <c r="E957" s="95"/>
      <c r="F957" s="96"/>
      <c r="G957" s="164"/>
      <c r="H957" s="97" t="str">
        <f t="shared" si="14"/>
        <v/>
      </c>
    </row>
    <row r="958" spans="1:8" s="86" customFormat="1">
      <c r="A958" s="92"/>
      <c r="B958" s="92"/>
      <c r="C958" s="93" t="str">
        <f>IF(A958&lt;&gt;"",IFERROR(VLOOKUP(B958,DivisionCostCodeLookup!$F$2:$G$426,2,FALSE),INT(LEFT(A958,2))&amp;"0000"),"")</f>
        <v/>
      </c>
      <c r="D958" s="94"/>
      <c r="E958" s="95"/>
      <c r="F958" s="96"/>
      <c r="G958" s="164"/>
      <c r="H958" s="97" t="str">
        <f t="shared" si="14"/>
        <v/>
      </c>
    </row>
    <row r="959" spans="1:8" s="86" customFormat="1">
      <c r="A959" s="92"/>
      <c r="B959" s="92"/>
      <c r="C959" s="93" t="str">
        <f>IF(A959&lt;&gt;"",IFERROR(VLOOKUP(B959,DivisionCostCodeLookup!$F$2:$G$426,2,FALSE),INT(LEFT(A959,2))&amp;"0000"),"")</f>
        <v/>
      </c>
      <c r="D959" s="94"/>
      <c r="E959" s="95"/>
      <c r="F959" s="96"/>
      <c r="G959" s="164"/>
      <c r="H959" s="97" t="str">
        <f t="shared" si="14"/>
        <v/>
      </c>
    </row>
    <row r="960" spans="1:8" s="86" customFormat="1">
      <c r="A960" s="92"/>
      <c r="B960" s="92"/>
      <c r="C960" s="93" t="str">
        <f>IF(A960&lt;&gt;"",IFERROR(VLOOKUP(B960,DivisionCostCodeLookup!$F$2:$G$426,2,FALSE),INT(LEFT(A960,2))&amp;"0000"),"")</f>
        <v/>
      </c>
      <c r="D960" s="94"/>
      <c r="E960" s="95"/>
      <c r="F960" s="96"/>
      <c r="G960" s="164"/>
      <c r="H960" s="97" t="str">
        <f t="shared" si="14"/>
        <v/>
      </c>
    </row>
    <row r="961" spans="1:8" s="86" customFormat="1">
      <c r="A961" s="92"/>
      <c r="B961" s="92"/>
      <c r="C961" s="93" t="str">
        <f>IF(A961&lt;&gt;"",IFERROR(VLOOKUP(B961,DivisionCostCodeLookup!$F$2:$G$426,2,FALSE),INT(LEFT(A961,2))&amp;"0000"),"")</f>
        <v/>
      </c>
      <c r="D961" s="94"/>
      <c r="E961" s="95"/>
      <c r="F961" s="96"/>
      <c r="G961" s="164"/>
      <c r="H961" s="97" t="str">
        <f t="shared" si="14"/>
        <v/>
      </c>
    </row>
    <row r="962" spans="1:8" s="86" customFormat="1">
      <c r="A962" s="92"/>
      <c r="B962" s="92"/>
      <c r="C962" s="93" t="str">
        <f>IF(A962&lt;&gt;"",IFERROR(VLOOKUP(B962,DivisionCostCodeLookup!$F$2:$G$426,2,FALSE),INT(LEFT(A962,2))&amp;"0000"),"")</f>
        <v/>
      </c>
      <c r="D962" s="94"/>
      <c r="E962" s="95"/>
      <c r="F962" s="96"/>
      <c r="G962" s="164"/>
      <c r="H962" s="97" t="str">
        <f t="shared" si="14"/>
        <v/>
      </c>
    </row>
    <row r="963" spans="1:8" s="86" customFormat="1">
      <c r="A963" s="92"/>
      <c r="B963" s="92"/>
      <c r="C963" s="93" t="str">
        <f>IF(A963&lt;&gt;"",IFERROR(VLOOKUP(B963,DivisionCostCodeLookup!$F$2:$G$426,2,FALSE),INT(LEFT(A963,2))&amp;"0000"),"")</f>
        <v/>
      </c>
      <c r="D963" s="94"/>
      <c r="E963" s="95"/>
      <c r="F963" s="96"/>
      <c r="G963" s="164"/>
      <c r="H963" s="97" t="str">
        <f t="shared" si="14"/>
        <v/>
      </c>
    </row>
    <row r="964" spans="1:8" s="86" customFormat="1">
      <c r="A964" s="92"/>
      <c r="B964" s="92"/>
      <c r="C964" s="93" t="str">
        <f>IF(A964&lt;&gt;"",IFERROR(VLOOKUP(B964,DivisionCostCodeLookup!$F$2:$G$426,2,FALSE),INT(LEFT(A964,2))&amp;"0000"),"")</f>
        <v/>
      </c>
      <c r="D964" s="94"/>
      <c r="E964" s="95"/>
      <c r="F964" s="96"/>
      <c r="G964" s="164"/>
      <c r="H964" s="97" t="str">
        <f t="shared" si="14"/>
        <v/>
      </c>
    </row>
    <row r="965" spans="1:8" s="86" customFormat="1">
      <c r="A965" s="92"/>
      <c r="B965" s="92"/>
      <c r="C965" s="93" t="str">
        <f>IF(A965&lt;&gt;"",IFERROR(VLOOKUP(B965,DivisionCostCodeLookup!$F$2:$G$426,2,FALSE),INT(LEFT(A965,2))&amp;"0000"),"")</f>
        <v/>
      </c>
      <c r="D965" s="94"/>
      <c r="E965" s="95"/>
      <c r="F965" s="96"/>
      <c r="G965" s="164"/>
      <c r="H965" s="97" t="str">
        <f t="shared" si="14"/>
        <v/>
      </c>
    </row>
    <row r="966" spans="1:8" s="86" customFormat="1">
      <c r="A966" s="92"/>
      <c r="B966" s="92"/>
      <c r="C966" s="93" t="str">
        <f>IF(A966&lt;&gt;"",IFERROR(VLOOKUP(B966,DivisionCostCodeLookup!$F$2:$G$426,2,FALSE),INT(LEFT(A966,2))&amp;"0000"),"")</f>
        <v/>
      </c>
      <c r="D966" s="94"/>
      <c r="E966" s="95"/>
      <c r="F966" s="96"/>
      <c r="G966" s="164"/>
      <c r="H966" s="97" t="str">
        <f t="shared" si="14"/>
        <v/>
      </c>
    </row>
    <row r="967" spans="1:8" s="86" customFormat="1">
      <c r="A967" s="92"/>
      <c r="B967" s="92"/>
      <c r="C967" s="93" t="str">
        <f>IF(A967&lt;&gt;"",IFERROR(VLOOKUP(B967,DivisionCostCodeLookup!$F$2:$G$426,2,FALSE),INT(LEFT(A967,2))&amp;"0000"),"")</f>
        <v/>
      </c>
      <c r="D967" s="94"/>
      <c r="E967" s="95"/>
      <c r="F967" s="96"/>
      <c r="G967" s="164"/>
      <c r="H967" s="97" t="str">
        <f t="shared" si="14"/>
        <v/>
      </c>
    </row>
    <row r="968" spans="1:8" s="86" customFormat="1">
      <c r="A968" s="92"/>
      <c r="B968" s="92"/>
      <c r="C968" s="93" t="str">
        <f>IF(A968&lt;&gt;"",IFERROR(VLOOKUP(B968,DivisionCostCodeLookup!$F$2:$G$426,2,FALSE),INT(LEFT(A968,2))&amp;"0000"),"")</f>
        <v/>
      </c>
      <c r="D968" s="94"/>
      <c r="E968" s="95"/>
      <c r="F968" s="96"/>
      <c r="G968" s="164"/>
      <c r="H968" s="97" t="str">
        <f t="shared" ref="H968:H1000" si="15">IF(E968*G968&lt;&gt;0,E968*G968,"")</f>
        <v/>
      </c>
    </row>
    <row r="969" spans="1:8" s="86" customFormat="1">
      <c r="A969" s="92"/>
      <c r="B969" s="92"/>
      <c r="C969" s="93" t="str">
        <f>IF(A969&lt;&gt;"",IFERROR(VLOOKUP(B969,DivisionCostCodeLookup!$F$2:$G$426,2,FALSE),INT(LEFT(A969,2))&amp;"0000"),"")</f>
        <v/>
      </c>
      <c r="D969" s="94"/>
      <c r="E969" s="95"/>
      <c r="F969" s="96"/>
      <c r="G969" s="164"/>
      <c r="H969" s="97" t="str">
        <f t="shared" si="15"/>
        <v/>
      </c>
    </row>
    <row r="970" spans="1:8" s="86" customFormat="1">
      <c r="A970" s="92"/>
      <c r="B970" s="92"/>
      <c r="C970" s="93" t="str">
        <f>IF(A970&lt;&gt;"",IFERROR(VLOOKUP(B970,DivisionCostCodeLookup!$F$2:$G$426,2,FALSE),INT(LEFT(A970,2))&amp;"0000"),"")</f>
        <v/>
      </c>
      <c r="D970" s="94"/>
      <c r="E970" s="95"/>
      <c r="F970" s="96"/>
      <c r="G970" s="164"/>
      <c r="H970" s="97" t="str">
        <f t="shared" si="15"/>
        <v/>
      </c>
    </row>
    <row r="971" spans="1:8" s="86" customFormat="1">
      <c r="A971" s="92"/>
      <c r="B971" s="92"/>
      <c r="C971" s="93" t="str">
        <f>IF(A971&lt;&gt;"",IFERROR(VLOOKUP(B971,DivisionCostCodeLookup!$F$2:$G$426,2,FALSE),INT(LEFT(A971,2))&amp;"0000"),"")</f>
        <v/>
      </c>
      <c r="D971" s="94"/>
      <c r="E971" s="95"/>
      <c r="F971" s="96"/>
      <c r="G971" s="164"/>
      <c r="H971" s="97" t="str">
        <f t="shared" si="15"/>
        <v/>
      </c>
    </row>
    <row r="972" spans="1:8" s="86" customFormat="1">
      <c r="A972" s="92"/>
      <c r="B972" s="92"/>
      <c r="C972" s="93" t="str">
        <f>IF(A972&lt;&gt;"",IFERROR(VLOOKUP(B972,DivisionCostCodeLookup!$F$2:$G$426,2,FALSE),INT(LEFT(A972,2))&amp;"0000"),"")</f>
        <v/>
      </c>
      <c r="D972" s="94"/>
      <c r="E972" s="95"/>
      <c r="F972" s="96"/>
      <c r="G972" s="164"/>
      <c r="H972" s="97" t="str">
        <f t="shared" si="15"/>
        <v/>
      </c>
    </row>
    <row r="973" spans="1:8" s="86" customFormat="1">
      <c r="A973" s="92"/>
      <c r="B973" s="92"/>
      <c r="C973" s="93" t="str">
        <f>IF(A973&lt;&gt;"",IFERROR(VLOOKUP(B973,DivisionCostCodeLookup!$F$2:$G$426,2,FALSE),INT(LEFT(A973,2))&amp;"0000"),"")</f>
        <v/>
      </c>
      <c r="D973" s="94"/>
      <c r="E973" s="95"/>
      <c r="F973" s="96"/>
      <c r="G973" s="164"/>
      <c r="H973" s="97" t="str">
        <f t="shared" si="15"/>
        <v/>
      </c>
    </row>
    <row r="974" spans="1:8" s="86" customFormat="1">
      <c r="A974" s="92"/>
      <c r="B974" s="92"/>
      <c r="C974" s="93" t="str">
        <f>IF(A974&lt;&gt;"",IFERROR(VLOOKUP(B974,DivisionCostCodeLookup!$F$2:$G$426,2,FALSE),INT(LEFT(A974,2))&amp;"0000"),"")</f>
        <v/>
      </c>
      <c r="D974" s="94"/>
      <c r="E974" s="95"/>
      <c r="F974" s="96"/>
      <c r="G974" s="164"/>
      <c r="H974" s="97" t="str">
        <f t="shared" si="15"/>
        <v/>
      </c>
    </row>
    <row r="975" spans="1:8" s="86" customFormat="1">
      <c r="A975" s="92"/>
      <c r="B975" s="92"/>
      <c r="C975" s="93" t="str">
        <f>IF(A975&lt;&gt;"",IFERROR(VLOOKUP(B975,DivisionCostCodeLookup!$F$2:$G$426,2,FALSE),INT(LEFT(A975,2))&amp;"0000"),"")</f>
        <v/>
      </c>
      <c r="D975" s="94"/>
      <c r="E975" s="95"/>
      <c r="F975" s="96"/>
      <c r="G975" s="164"/>
      <c r="H975" s="97" t="str">
        <f t="shared" si="15"/>
        <v/>
      </c>
    </row>
    <row r="976" spans="1:8" s="86" customFormat="1">
      <c r="A976" s="92"/>
      <c r="B976" s="92"/>
      <c r="C976" s="93" t="str">
        <f>IF(A976&lt;&gt;"",IFERROR(VLOOKUP(B976,DivisionCostCodeLookup!$F$2:$G$426,2,FALSE),INT(LEFT(A976,2))&amp;"0000"),"")</f>
        <v/>
      </c>
      <c r="D976" s="94"/>
      <c r="E976" s="95"/>
      <c r="F976" s="96"/>
      <c r="G976" s="164"/>
      <c r="H976" s="97" t="str">
        <f t="shared" si="15"/>
        <v/>
      </c>
    </row>
    <row r="977" spans="1:8" s="86" customFormat="1">
      <c r="A977" s="92"/>
      <c r="B977" s="92"/>
      <c r="C977" s="93" t="str">
        <f>IF(A977&lt;&gt;"",IFERROR(VLOOKUP(B977,DivisionCostCodeLookup!$F$2:$G$426,2,FALSE),INT(LEFT(A977,2))&amp;"0000"),"")</f>
        <v/>
      </c>
      <c r="D977" s="94"/>
      <c r="E977" s="95"/>
      <c r="F977" s="96"/>
      <c r="G977" s="164"/>
      <c r="H977" s="97" t="str">
        <f t="shared" si="15"/>
        <v/>
      </c>
    </row>
    <row r="978" spans="1:8" s="86" customFormat="1">
      <c r="A978" s="92"/>
      <c r="B978" s="92"/>
      <c r="C978" s="93" t="str">
        <f>IF(A978&lt;&gt;"",IFERROR(VLOOKUP(B978,DivisionCostCodeLookup!$F$2:$G$426,2,FALSE),INT(LEFT(A978,2))&amp;"0000"),"")</f>
        <v/>
      </c>
      <c r="D978" s="94"/>
      <c r="E978" s="95"/>
      <c r="F978" s="96"/>
      <c r="G978" s="164"/>
      <c r="H978" s="97" t="str">
        <f t="shared" si="15"/>
        <v/>
      </c>
    </row>
    <row r="979" spans="1:8" s="86" customFormat="1">
      <c r="A979" s="92"/>
      <c r="B979" s="92"/>
      <c r="C979" s="93" t="str">
        <f>IF(A979&lt;&gt;"",IFERROR(VLOOKUP(B979,DivisionCostCodeLookup!$F$2:$G$426,2,FALSE),INT(LEFT(A979,2))&amp;"0000"),"")</f>
        <v/>
      </c>
      <c r="D979" s="94"/>
      <c r="E979" s="95"/>
      <c r="F979" s="96"/>
      <c r="G979" s="164"/>
      <c r="H979" s="97" t="str">
        <f t="shared" si="15"/>
        <v/>
      </c>
    </row>
    <row r="980" spans="1:8" s="86" customFormat="1">
      <c r="A980" s="92"/>
      <c r="B980" s="92"/>
      <c r="C980" s="93" t="str">
        <f>IF(A980&lt;&gt;"",IFERROR(VLOOKUP(B980,DivisionCostCodeLookup!$F$2:$G$426,2,FALSE),INT(LEFT(A980,2))&amp;"0000"),"")</f>
        <v/>
      </c>
      <c r="D980" s="94"/>
      <c r="E980" s="95"/>
      <c r="F980" s="96"/>
      <c r="G980" s="164"/>
      <c r="H980" s="97" t="str">
        <f t="shared" si="15"/>
        <v/>
      </c>
    </row>
    <row r="981" spans="1:8" s="86" customFormat="1">
      <c r="A981" s="92"/>
      <c r="B981" s="92"/>
      <c r="C981" s="93" t="str">
        <f>IF(A981&lt;&gt;"",IFERROR(VLOOKUP(B981,DivisionCostCodeLookup!$F$2:$G$426,2,FALSE),INT(LEFT(A981,2))&amp;"0000"),"")</f>
        <v/>
      </c>
      <c r="D981" s="94"/>
      <c r="E981" s="95"/>
      <c r="F981" s="96"/>
      <c r="G981" s="164"/>
      <c r="H981" s="97" t="str">
        <f t="shared" si="15"/>
        <v/>
      </c>
    </row>
    <row r="982" spans="1:8" s="86" customFormat="1">
      <c r="A982" s="92"/>
      <c r="B982" s="92"/>
      <c r="C982" s="93" t="str">
        <f>IF(A982&lt;&gt;"",IFERROR(VLOOKUP(B982,DivisionCostCodeLookup!$F$2:$G$426,2,FALSE),INT(LEFT(A982,2))&amp;"0000"),"")</f>
        <v/>
      </c>
      <c r="D982" s="94"/>
      <c r="E982" s="95"/>
      <c r="F982" s="96"/>
      <c r="G982" s="164"/>
      <c r="H982" s="97" t="str">
        <f t="shared" si="15"/>
        <v/>
      </c>
    </row>
    <row r="983" spans="1:8" s="86" customFormat="1">
      <c r="A983" s="92"/>
      <c r="B983" s="92"/>
      <c r="C983" s="93" t="str">
        <f>IF(A983&lt;&gt;"",IFERROR(VLOOKUP(B983,DivisionCostCodeLookup!$F$2:$G$426,2,FALSE),INT(LEFT(A983,2))&amp;"0000"),"")</f>
        <v/>
      </c>
      <c r="D983" s="94"/>
      <c r="E983" s="95"/>
      <c r="F983" s="96"/>
      <c r="G983" s="164"/>
      <c r="H983" s="97" t="str">
        <f t="shared" si="15"/>
        <v/>
      </c>
    </row>
    <row r="984" spans="1:8" s="86" customFormat="1">
      <c r="A984" s="92"/>
      <c r="B984" s="92"/>
      <c r="C984" s="93" t="str">
        <f>IF(A984&lt;&gt;"",IFERROR(VLOOKUP(B984,DivisionCostCodeLookup!$F$2:$G$426,2,FALSE),INT(LEFT(A984,2))&amp;"0000"),"")</f>
        <v/>
      </c>
      <c r="D984" s="94"/>
      <c r="E984" s="95"/>
      <c r="F984" s="96"/>
      <c r="G984" s="164"/>
      <c r="H984" s="97" t="str">
        <f t="shared" si="15"/>
        <v/>
      </c>
    </row>
    <row r="985" spans="1:8" s="86" customFormat="1">
      <c r="A985" s="92"/>
      <c r="B985" s="92"/>
      <c r="C985" s="93" t="str">
        <f>IF(A985&lt;&gt;"",IFERROR(VLOOKUP(B985,DivisionCostCodeLookup!$F$2:$G$426,2,FALSE),INT(LEFT(A985,2))&amp;"0000"),"")</f>
        <v/>
      </c>
      <c r="D985" s="94"/>
      <c r="E985" s="95"/>
      <c r="F985" s="96"/>
      <c r="G985" s="164"/>
      <c r="H985" s="97" t="str">
        <f t="shared" si="15"/>
        <v/>
      </c>
    </row>
    <row r="986" spans="1:8" s="86" customFormat="1">
      <c r="A986" s="92"/>
      <c r="B986" s="92"/>
      <c r="C986" s="93" t="str">
        <f>IF(A986&lt;&gt;"",IFERROR(VLOOKUP(B986,DivisionCostCodeLookup!$F$2:$G$426,2,FALSE),INT(LEFT(A986,2))&amp;"0000"),"")</f>
        <v/>
      </c>
      <c r="D986" s="94"/>
      <c r="E986" s="95"/>
      <c r="F986" s="96"/>
      <c r="G986" s="164"/>
      <c r="H986" s="97" t="str">
        <f t="shared" si="15"/>
        <v/>
      </c>
    </row>
    <row r="987" spans="1:8" s="86" customFormat="1">
      <c r="A987" s="92"/>
      <c r="B987" s="92"/>
      <c r="C987" s="93" t="str">
        <f>IF(A987&lt;&gt;"",IFERROR(VLOOKUP(B987,DivisionCostCodeLookup!$F$2:$G$426,2,FALSE),INT(LEFT(A987,2))&amp;"0000"),"")</f>
        <v/>
      </c>
      <c r="D987" s="94"/>
      <c r="E987" s="95"/>
      <c r="F987" s="96"/>
      <c r="G987" s="164"/>
      <c r="H987" s="97" t="str">
        <f t="shared" si="15"/>
        <v/>
      </c>
    </row>
    <row r="988" spans="1:8" s="86" customFormat="1">
      <c r="A988" s="92"/>
      <c r="B988" s="92"/>
      <c r="C988" s="93" t="str">
        <f>IF(A988&lt;&gt;"",IFERROR(VLOOKUP(B988,DivisionCostCodeLookup!$F$2:$G$426,2,FALSE),INT(LEFT(A988,2))&amp;"0000"),"")</f>
        <v/>
      </c>
      <c r="D988" s="94"/>
      <c r="E988" s="95"/>
      <c r="F988" s="96"/>
      <c r="G988" s="164"/>
      <c r="H988" s="97" t="str">
        <f t="shared" si="15"/>
        <v/>
      </c>
    </row>
    <row r="989" spans="1:8" s="86" customFormat="1">
      <c r="A989" s="92"/>
      <c r="B989" s="92"/>
      <c r="C989" s="93" t="str">
        <f>IF(A989&lt;&gt;"",IFERROR(VLOOKUP(B989,DivisionCostCodeLookup!$F$2:$G$426,2,FALSE),INT(LEFT(A989,2))&amp;"0000"),"")</f>
        <v/>
      </c>
      <c r="D989" s="94"/>
      <c r="E989" s="95"/>
      <c r="F989" s="96"/>
      <c r="G989" s="164"/>
      <c r="H989" s="97" t="str">
        <f t="shared" si="15"/>
        <v/>
      </c>
    </row>
    <row r="990" spans="1:8" s="86" customFormat="1">
      <c r="A990" s="92"/>
      <c r="B990" s="92"/>
      <c r="C990" s="93" t="str">
        <f>IF(A990&lt;&gt;"",IFERROR(VLOOKUP(B990,DivisionCostCodeLookup!$F$2:$G$426,2,FALSE),INT(LEFT(A990,2))&amp;"0000"),"")</f>
        <v/>
      </c>
      <c r="D990" s="94"/>
      <c r="E990" s="95"/>
      <c r="F990" s="96"/>
      <c r="G990" s="164"/>
      <c r="H990" s="97" t="str">
        <f t="shared" si="15"/>
        <v/>
      </c>
    </row>
    <row r="991" spans="1:8" s="86" customFormat="1">
      <c r="A991" s="92"/>
      <c r="B991" s="92"/>
      <c r="C991" s="93" t="str">
        <f>IF(A991&lt;&gt;"",IFERROR(VLOOKUP(B991,DivisionCostCodeLookup!$F$2:$G$426,2,FALSE),INT(LEFT(A991,2))&amp;"0000"),"")</f>
        <v/>
      </c>
      <c r="D991" s="94"/>
      <c r="E991" s="95"/>
      <c r="F991" s="96"/>
      <c r="G991" s="164"/>
      <c r="H991" s="97" t="str">
        <f t="shared" si="15"/>
        <v/>
      </c>
    </row>
    <row r="992" spans="1:8" s="86" customFormat="1">
      <c r="A992" s="92"/>
      <c r="B992" s="92"/>
      <c r="C992" s="93" t="str">
        <f>IF(A992&lt;&gt;"",IFERROR(VLOOKUP(B992,DivisionCostCodeLookup!$F$2:$G$426,2,FALSE),INT(LEFT(A992,2))&amp;"0000"),"")</f>
        <v/>
      </c>
      <c r="D992" s="94"/>
      <c r="E992" s="95"/>
      <c r="F992" s="96"/>
      <c r="G992" s="164"/>
      <c r="H992" s="97" t="str">
        <f t="shared" si="15"/>
        <v/>
      </c>
    </row>
    <row r="993" spans="1:8" s="86" customFormat="1">
      <c r="A993" s="92"/>
      <c r="B993" s="92"/>
      <c r="C993" s="93" t="str">
        <f>IF(A993&lt;&gt;"",IFERROR(VLOOKUP(B993,DivisionCostCodeLookup!$F$2:$G$426,2,FALSE),INT(LEFT(A993,2))&amp;"0000"),"")</f>
        <v/>
      </c>
      <c r="D993" s="94"/>
      <c r="E993" s="95"/>
      <c r="F993" s="96"/>
      <c r="G993" s="164"/>
      <c r="H993" s="97" t="str">
        <f t="shared" si="15"/>
        <v/>
      </c>
    </row>
    <row r="994" spans="1:8" s="86" customFormat="1">
      <c r="A994" s="92"/>
      <c r="B994" s="92"/>
      <c r="C994" s="93" t="str">
        <f>IF(A994&lt;&gt;"",IFERROR(VLOOKUP(B994,DivisionCostCodeLookup!$F$2:$G$426,2,FALSE),INT(LEFT(A994,2))&amp;"0000"),"")</f>
        <v/>
      </c>
      <c r="D994" s="94"/>
      <c r="E994" s="95"/>
      <c r="F994" s="96"/>
      <c r="G994" s="164"/>
      <c r="H994" s="97" t="str">
        <f t="shared" si="15"/>
        <v/>
      </c>
    </row>
    <row r="995" spans="1:8" s="86" customFormat="1">
      <c r="A995" s="92"/>
      <c r="B995" s="92"/>
      <c r="C995" s="93" t="str">
        <f>IF(A995&lt;&gt;"",IFERROR(VLOOKUP(B995,DivisionCostCodeLookup!$F$2:$G$426,2,FALSE),INT(LEFT(A995,2))&amp;"0000"),"")</f>
        <v/>
      </c>
      <c r="D995" s="94"/>
      <c r="E995" s="95"/>
      <c r="F995" s="96"/>
      <c r="G995" s="164"/>
      <c r="H995" s="97" t="str">
        <f t="shared" si="15"/>
        <v/>
      </c>
    </row>
    <row r="996" spans="1:8" s="86" customFormat="1">
      <c r="A996" s="92"/>
      <c r="B996" s="92"/>
      <c r="C996" s="93" t="str">
        <f>IF(A996&lt;&gt;"",IFERROR(VLOOKUP(B996,DivisionCostCodeLookup!$F$2:$G$426,2,FALSE),INT(LEFT(A996,2))&amp;"0000"),"")</f>
        <v/>
      </c>
      <c r="D996" s="94"/>
      <c r="E996" s="95"/>
      <c r="F996" s="96"/>
      <c r="G996" s="164"/>
      <c r="H996" s="97" t="str">
        <f t="shared" si="15"/>
        <v/>
      </c>
    </row>
    <row r="997" spans="1:8" s="86" customFormat="1">
      <c r="A997" s="92"/>
      <c r="B997" s="92"/>
      <c r="C997" s="93" t="str">
        <f>IF(A997&lt;&gt;"",IFERROR(VLOOKUP(B997,DivisionCostCodeLookup!$F$2:$G$426,2,FALSE),INT(LEFT(A997,2))&amp;"0000"),"")</f>
        <v/>
      </c>
      <c r="D997" s="94"/>
      <c r="E997" s="95"/>
      <c r="F997" s="96"/>
      <c r="G997" s="164"/>
      <c r="H997" s="97" t="str">
        <f t="shared" si="15"/>
        <v/>
      </c>
    </row>
    <row r="998" spans="1:8" s="86" customFormat="1">
      <c r="A998" s="92"/>
      <c r="B998" s="92"/>
      <c r="C998" s="93" t="str">
        <f>IF(A998&lt;&gt;"",IFERROR(VLOOKUP(B998,DivisionCostCodeLookup!$F$2:$G$426,2,FALSE),INT(LEFT(A998,2))&amp;"0000"),"")</f>
        <v/>
      </c>
      <c r="D998" s="94"/>
      <c r="E998" s="95"/>
      <c r="F998" s="96"/>
      <c r="G998" s="164"/>
      <c r="H998" s="97" t="str">
        <f t="shared" si="15"/>
        <v/>
      </c>
    </row>
    <row r="999" spans="1:8" s="86" customFormat="1">
      <c r="A999" s="92"/>
      <c r="B999" s="92"/>
      <c r="C999" s="93" t="str">
        <f>IF(A999&lt;&gt;"",IFERROR(VLOOKUP(B999,DivisionCostCodeLookup!$F$2:$G$426,2,FALSE),INT(LEFT(A999,2))&amp;"0000"),"")</f>
        <v/>
      </c>
      <c r="D999" s="94"/>
      <c r="E999" s="95"/>
      <c r="F999" s="96"/>
      <c r="G999" s="164"/>
      <c r="H999" s="97" t="str">
        <f t="shared" si="15"/>
        <v/>
      </c>
    </row>
    <row r="1000" spans="1:8" s="86" customFormat="1">
      <c r="A1000" s="92"/>
      <c r="B1000" s="92"/>
      <c r="C1000" s="93" t="str">
        <f>IF(A1000&lt;&gt;"",IFERROR(VLOOKUP(B1000,DivisionCostCodeLookup!$F$2:$G$426,2,FALSE),INT(LEFT(A1000,2))&amp;"0000"),"")</f>
        <v/>
      </c>
      <c r="D1000" s="94"/>
      <c r="E1000" s="95"/>
      <c r="F1000" s="96"/>
      <c r="G1000" s="164"/>
      <c r="H1000" s="97" t="str">
        <f t="shared" si="15"/>
        <v/>
      </c>
    </row>
  </sheetData>
  <autoFilter ref="A7:H7" xr:uid="{00000000-0009-0000-0000-000001000000}"/>
  <sortState xmlns:xlrd2="http://schemas.microsoft.com/office/spreadsheetml/2017/richdata2" ref="A8:J37">
    <sortCondition ref="A1"/>
  </sortState>
  <dataConsolidate link="1"/>
  <mergeCells count="8">
    <mergeCell ref="J19:L19"/>
    <mergeCell ref="J20:L20"/>
    <mergeCell ref="J21:L21"/>
    <mergeCell ref="A1:H1"/>
    <mergeCell ref="B2:C2"/>
    <mergeCell ref="B3:C3"/>
    <mergeCell ref="B4:C4"/>
    <mergeCell ref="B5:C5"/>
  </mergeCells>
  <dataValidations xWindow="2351" yWindow="453" count="15">
    <dataValidation errorStyle="information" allowBlank="1" showInputMessage="1" showErrorMessage="1" errorTitle="Invalid Division Selection" error="Invalid Division Selection, Cost Codes and Division# Column (C &amp; E) will have to be manually entered." promptTitle="Select Division" prompt="Click Drop Down Menu and Enter Division #" sqref="A7" xr:uid="{00000000-0002-0000-0100-000000000000}"/>
    <dataValidation type="list" errorStyle="information" allowBlank="1" showInputMessage="1" showErrorMessage="1" errorTitle="Invalid Cost Code Selection" error="Invalid Cost Code Selection, Default Cost Code Will Be Selected." promptTitle="Enter Cost Code Description" prompt="Select Drop Down &amp; Select Code Code Description" sqref="B7" xr:uid="{00000000-0002-0000-0100-000001000000}">
      <formula1>INDIRECT("Div"&amp;A7)</formula1>
    </dataValidation>
    <dataValidation type="list" errorStyle="information" allowBlank="1" showInputMessage="1" showErrorMessage="1" errorTitle="Invalid Division Selection" error="Invalid Division Selection, Cost Codes and Division# Column (C &amp; E) will have to be manually entered." promptTitle="Select Division from Drop Down" prompt="Hint: Press Ctrl + D to copy/ fill multiple cells in a selection, the first cell will be copied to the entire selection." sqref="A8" xr:uid="{00000000-0002-0000-0100-000002000000}">
      <formula1>DivisionDescription</formula1>
    </dataValidation>
    <dataValidation allowBlank="1" showInputMessage="1" showErrorMessage="1" promptTitle="Item Description Info" prompt="Enter Item Description Here." sqref="D7" xr:uid="{00000000-0002-0000-0100-000003000000}"/>
    <dataValidation allowBlank="1" showInputMessage="1" showErrorMessage="1" promptTitle="Enter Quantity" prompt="Enter Quantity." sqref="E7" xr:uid="{00000000-0002-0000-0100-000004000000}"/>
    <dataValidation type="list" allowBlank="1" showErrorMessage="1" promptTitle="Enter Unit" prompt="Enter Unit." sqref="F7" xr:uid="{00000000-0002-0000-0100-000005000000}">
      <formula1>UoM</formula1>
    </dataValidation>
    <dataValidation allowBlank="1" showInputMessage="1" showErrorMessage="1" promptTitle="Enter Unit Rate" prompt="Enter Unit Rate." sqref="G7" xr:uid="{00000000-0002-0000-0100-000006000000}"/>
    <dataValidation type="list" errorStyle="information" allowBlank="1" showInputMessage="1" showErrorMessage="1" errorTitle="Invalid Cost Code Selection" error="Invalid Cost Code Selection, Default Cost Code Will Be Selected." promptTitle="Enter Cost Code Description" prompt="Select Drop Down &amp; Select Code Code Description" sqref="B8" xr:uid="{00000000-0002-0000-0100-000007000000}">
      <formula1>INDIRECT("Div"&amp;SUBSTITUTE(A8," ","_"))</formula1>
    </dataValidation>
    <dataValidation type="whole" errorStyle="warning" allowBlank="1" showInputMessage="1" showErrorMessage="1" errorTitle="Warning" error="Cell Contains Formula. Click &quot;Yes&quot; to Continue." sqref="B2:C5 C1:C1000 H1:H1000" xr:uid="{00000000-0002-0000-0100-000008000000}">
      <formula1>-10000</formula1>
      <formula2>-9999</formula2>
    </dataValidation>
    <dataValidation allowBlank="1" showErrorMessage="1" promptTitle="Enter Unit Rate" prompt="Enter Unit Rate." sqref="G8:G1048576" xr:uid="{00000000-0002-0000-0100-000009000000}"/>
    <dataValidation allowBlank="1" showErrorMessage="1" sqref="E8:E1048576" xr:uid="{00000000-0002-0000-0100-00000B000000}"/>
    <dataValidation allowBlank="1" showErrorMessage="1" promptTitle="Item Description Info" prompt="Enter Item Description Here." sqref="D8:D1048576" xr:uid="{00000000-0002-0000-0100-00000C000000}"/>
    <dataValidation type="list" errorStyle="information" allowBlank="1" showErrorMessage="1" errorTitle="Invalid Cost Code Selection" error="Invalid Cost Code Selection, Default Cost Code Will Be Selected." promptTitle="Enter Cost Code Description" prompt="Select Drop Down &amp; Select Code Code Description" sqref="B9:B1000" xr:uid="{00000000-0002-0000-0100-00000D000000}">
      <formula1>INDIRECT("Div"&amp;SUBSTITUTE(A9," ","_"))</formula1>
    </dataValidation>
    <dataValidation type="list" errorStyle="information" allowBlank="1" showErrorMessage="1" errorTitle="Invalid Division Selection" error="Invalid Division Selection, Cost Codes and Division# Column (C &amp; E) will have to be manually entered." promptTitle="Select Division from Drop Down" prompt="Hint: Press Ctrl + D to copy/ fill multiple cells in a selection, the first cell will be copied to the entire selection." sqref="A9:A1000" xr:uid="{00000000-0002-0000-0100-00000E000000}">
      <formula1>DivisionDescription</formula1>
    </dataValidation>
    <dataValidation type="list" errorStyle="warning" allowBlank="1" showErrorMessage="1" promptTitle="Enter Unit" prompt="Enter Unit." sqref="F8:F1000" xr:uid="{22D2D8A1-9F20-4DD9-A5F8-FB000E5F743E}">
      <formula1>UoM</formula1>
    </dataValidation>
  </dataValidations>
  <pageMargins left="0.35" right="0.35" top="0.5" bottom="0.55000000000000004" header="0.25" footer="0.25"/>
  <pageSetup scale="73" fitToHeight="0" orientation="landscape" r:id="rId1"/>
  <headerFooter>
    <oddFooter>&amp;LPort of Portland – Hard Cost Details&amp;CPage &amp;P of &amp;N&amp;RPrinted: &amp;D &amp;T</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filterMode="1">
    <tabColor theme="0" tint="-0.499984740745262"/>
    <pageSetUpPr fitToPage="1"/>
  </sheetPr>
  <dimension ref="A1:AS740"/>
  <sheetViews>
    <sheetView topLeftCell="B1" zoomScale="85" zoomScaleNormal="85" workbookViewId="0">
      <pane ySplit="7" topLeftCell="A8" activePane="bottomLeft" state="frozenSplit"/>
      <selection pane="bottomLeft" activeCell="I10" sqref="I10"/>
    </sheetView>
  </sheetViews>
  <sheetFormatPr baseColWidth="10" defaultColWidth="9.3984375" defaultRowHeight="16"/>
  <cols>
    <col min="1" max="1" width="13" style="67" hidden="1" customWidth="1"/>
    <col min="2" max="2" width="31.59765625" style="11" bestFit="1" customWidth="1"/>
    <col min="3" max="3" width="31.59765625" style="67" hidden="1" customWidth="1"/>
    <col min="4" max="4" width="17.3984375" style="11" customWidth="1"/>
    <col min="5" max="5" width="72.796875" style="11" customWidth="1"/>
    <col min="6" max="6" width="11.3984375" style="67" hidden="1" customWidth="1"/>
    <col min="7" max="7" width="26" style="67" hidden="1" customWidth="1"/>
    <col min="8" max="8" width="27.3984375" style="67" hidden="1" customWidth="1"/>
    <col min="9" max="9" width="23.3984375" style="206" customWidth="1"/>
    <col min="10" max="10" width="13.796875" style="253" customWidth="1"/>
    <col min="11" max="11" width="14.796875" style="270" customWidth="1"/>
    <col min="12" max="12" width="25.3984375" style="271" customWidth="1"/>
    <col min="13" max="13" width="10.796875" style="72" customWidth="1"/>
    <col min="14" max="14" width="12" style="73" bestFit="1" customWidth="1"/>
    <col min="15" max="26" width="9.3984375" style="52"/>
    <col min="27" max="27" width="0" style="52" hidden="1" customWidth="1"/>
    <col min="28" max="16384" width="9.3984375" style="52"/>
  </cols>
  <sheetData>
    <row r="1" spans="1:45">
      <c r="A1" s="314" t="s">
        <v>121</v>
      </c>
      <c r="B1" s="315"/>
      <c r="C1" s="316"/>
      <c r="D1" s="316"/>
      <c r="E1" s="316"/>
      <c r="F1" s="316"/>
      <c r="G1" s="316"/>
      <c r="H1" s="316"/>
      <c r="I1" s="317"/>
      <c r="J1" s="316"/>
      <c r="K1" s="316"/>
      <c r="L1" s="318"/>
      <c r="M1" s="52"/>
      <c r="N1" s="52"/>
      <c r="AA1" s="254">
        <f>SUM(J8,J12,J13,J14,J15,J16,J17,J18,J21,J22,J24,J25,J26,J28,J29,J31,J32,J33,J34,J36)-'Optional - Sch &amp; Resource Form'!C89</f>
        <v>0</v>
      </c>
    </row>
    <row r="2" spans="1:45">
      <c r="A2" s="58"/>
      <c r="B2" s="59" t="s">
        <v>103</v>
      </c>
      <c r="C2" s="59"/>
      <c r="D2" s="319" t="str">
        <f>IF(Summary!B3&lt;&gt;"",Summary!B3,"")</f>
        <v/>
      </c>
      <c r="E2" s="312"/>
      <c r="F2" s="323"/>
      <c r="G2" s="323"/>
      <c r="H2" s="323"/>
      <c r="I2" s="187"/>
      <c r="J2" s="78"/>
      <c r="K2" s="180"/>
      <c r="L2" s="68"/>
      <c r="M2" s="52"/>
      <c r="N2" s="52"/>
    </row>
    <row r="3" spans="1:45">
      <c r="A3" s="60"/>
      <c r="B3" s="57" t="s">
        <v>105</v>
      </c>
      <c r="C3" s="57"/>
      <c r="D3" s="319" t="str">
        <f>IF(Summary!B4&lt;&gt;"",Summary!B4,"")</f>
        <v/>
      </c>
      <c r="E3" s="312"/>
      <c r="F3" s="312"/>
      <c r="G3" s="312"/>
      <c r="H3" s="312"/>
      <c r="I3" s="188"/>
      <c r="J3" s="258"/>
      <c r="K3" s="57" t="s">
        <v>122</v>
      </c>
      <c r="L3" s="257" t="s">
        <v>123</v>
      </c>
      <c r="M3" s="52"/>
      <c r="N3" s="52"/>
    </row>
    <row r="4" spans="1:45">
      <c r="A4" s="60"/>
      <c r="B4" s="57" t="s">
        <v>107</v>
      </c>
      <c r="C4" s="57"/>
      <c r="D4" s="320" t="str">
        <f>IF(Summary!B9&lt;&gt;"",Summary!B9,"")</f>
        <v/>
      </c>
      <c r="E4" s="321"/>
      <c r="F4" s="312"/>
      <c r="G4" s="312"/>
      <c r="H4" s="312"/>
      <c r="I4" s="188"/>
      <c r="J4" s="57"/>
      <c r="K4" s="57" t="s">
        <v>124</v>
      </c>
      <c r="L4" s="261"/>
      <c r="M4" s="52"/>
      <c r="N4" s="52"/>
    </row>
    <row r="5" spans="1:45">
      <c r="A5" s="259"/>
      <c r="B5" s="260" t="s">
        <v>109</v>
      </c>
      <c r="C5" s="260"/>
      <c r="D5" s="322" t="str">
        <f>IF(Summary!B8&lt;&gt;"",Summary!B8,"")</f>
        <v/>
      </c>
      <c r="E5" s="313"/>
      <c r="F5" s="313"/>
      <c r="G5" s="313"/>
      <c r="H5" s="313"/>
      <c r="I5" s="189"/>
      <c r="J5" s="80"/>
      <c r="K5" s="134" t="s">
        <v>125</v>
      </c>
      <c r="L5" s="135">
        <f>IF(L3="Percentage Based",L4*HardCostSubTotal,SUM(L8:L1048576))</f>
        <v>0</v>
      </c>
      <c r="M5" s="52"/>
      <c r="N5" s="52"/>
    </row>
    <row r="6" spans="1:45" ht="7.5" customHeight="1">
      <c r="A6" s="256"/>
      <c r="B6" s="54"/>
      <c r="C6" s="54"/>
      <c r="D6" s="56"/>
      <c r="E6" s="56"/>
      <c r="F6" s="56"/>
      <c r="G6" s="56"/>
      <c r="H6" s="56"/>
      <c r="I6" s="190"/>
      <c r="J6" s="81"/>
      <c r="K6" s="181"/>
      <c r="L6" s="74"/>
      <c r="M6" s="52"/>
      <c r="N6" s="52"/>
    </row>
    <row r="7" spans="1:45" s="64" customFormat="1">
      <c r="A7" s="69" t="s">
        <v>126</v>
      </c>
      <c r="B7" s="70" t="s">
        <v>127</v>
      </c>
      <c r="C7" s="72" t="s">
        <v>128</v>
      </c>
      <c r="D7" s="70" t="s">
        <v>114</v>
      </c>
      <c r="E7" s="70" t="s">
        <v>128</v>
      </c>
      <c r="F7" s="70" t="s">
        <v>129</v>
      </c>
      <c r="G7" s="70" t="s">
        <v>130</v>
      </c>
      <c r="H7" s="70" t="s">
        <v>131</v>
      </c>
      <c r="I7" s="75" t="s">
        <v>132</v>
      </c>
      <c r="J7" s="77" t="s">
        <v>133</v>
      </c>
      <c r="K7" s="71" t="s">
        <v>117</v>
      </c>
      <c r="L7" s="71" t="s">
        <v>119</v>
      </c>
      <c r="M7" s="72"/>
      <c r="N7" s="73"/>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row>
    <row r="8" spans="1:45" s="64" customFormat="1">
      <c r="A8" s="65" t="s">
        <v>134</v>
      </c>
      <c r="B8" s="65" t="s">
        <v>135</v>
      </c>
      <c r="C8" s="83" t="str">
        <f t="shared" ref="C8:C68" si="0">B8 &amp; " - " &amp; LEFT(E8,FIND("-",E8)-1)</f>
        <v>Engineering Standard - Project Admin &amp; Mgmt</v>
      </c>
      <c r="D8" s="65">
        <v>101000</v>
      </c>
      <c r="E8" s="65" t="s">
        <v>136</v>
      </c>
      <c r="F8" s="65" t="s">
        <v>137</v>
      </c>
      <c r="G8" s="65" t="s">
        <v>138</v>
      </c>
      <c r="H8" s="65" t="s">
        <v>139</v>
      </c>
      <c r="I8" s="191">
        <v>186</v>
      </c>
      <c r="J8" s="249">
        <f>'Optional - Sch &amp; Resource Form'!C17</f>
        <v>0</v>
      </c>
      <c r="K8" s="182" t="s">
        <v>140</v>
      </c>
      <c r="L8" s="61">
        <f>I8*J8</f>
        <v>0</v>
      </c>
      <c r="M8" s="72"/>
      <c r="N8" s="2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row>
    <row r="9" spans="1:45" s="64" customFormat="1">
      <c r="A9" s="65" t="s">
        <v>134</v>
      </c>
      <c r="B9" s="65" t="s">
        <v>135</v>
      </c>
      <c r="C9" s="83" t="str">
        <f t="shared" si="0"/>
        <v>Engineering Standard - Project Admin &amp; Mgmt</v>
      </c>
      <c r="D9" s="65">
        <v>101400</v>
      </c>
      <c r="E9" s="65" t="s">
        <v>141</v>
      </c>
      <c r="F9" s="65" t="s">
        <v>137</v>
      </c>
      <c r="G9" s="65" t="s">
        <v>138</v>
      </c>
      <c r="H9" s="65" t="s">
        <v>139</v>
      </c>
      <c r="I9" s="191">
        <v>186</v>
      </c>
      <c r="J9" s="82"/>
      <c r="K9" s="182"/>
      <c r="L9" s="61">
        <f t="shared" ref="L9:L69" si="1">I9*J9</f>
        <v>0</v>
      </c>
      <c r="M9" s="72"/>
      <c r="N9" s="73"/>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row>
    <row r="10" spans="1:45" s="64" customFormat="1">
      <c r="A10" s="65" t="s">
        <v>134</v>
      </c>
      <c r="B10" s="65" t="s">
        <v>135</v>
      </c>
      <c r="C10" s="83" t="str">
        <f t="shared" si="0"/>
        <v>Engineering Standard - Project Admin &amp; Mgmt</v>
      </c>
      <c r="D10" s="65">
        <v>101500</v>
      </c>
      <c r="E10" s="65" t="s">
        <v>142</v>
      </c>
      <c r="F10" s="65" t="s">
        <v>137</v>
      </c>
      <c r="G10" s="65" t="s">
        <v>138</v>
      </c>
      <c r="H10" s="65" t="s">
        <v>139</v>
      </c>
      <c r="I10" s="191">
        <v>186</v>
      </c>
      <c r="J10" s="82"/>
      <c r="K10" s="182"/>
      <c r="L10" s="61">
        <f t="shared" si="1"/>
        <v>0</v>
      </c>
      <c r="M10" s="72"/>
      <c r="N10" s="73"/>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row>
    <row r="11" spans="1:45" s="64" customFormat="1">
      <c r="A11" s="65" t="s">
        <v>134</v>
      </c>
      <c r="B11" s="65" t="s">
        <v>135</v>
      </c>
      <c r="C11" s="83" t="str">
        <f t="shared" si="0"/>
        <v>Engineering Standard - Design</v>
      </c>
      <c r="D11" s="65">
        <v>141010</v>
      </c>
      <c r="E11" s="65" t="s">
        <v>143</v>
      </c>
      <c r="F11" s="65" t="s">
        <v>144</v>
      </c>
      <c r="G11" s="65" t="s">
        <v>145</v>
      </c>
      <c r="H11" s="65"/>
      <c r="I11" s="191"/>
      <c r="J11" s="82"/>
      <c r="K11" s="182"/>
      <c r="L11" s="61">
        <f t="shared" si="1"/>
        <v>0</v>
      </c>
      <c r="M11" s="72"/>
      <c r="N11" s="73"/>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row>
    <row r="12" spans="1:45" s="64" customFormat="1">
      <c r="A12" s="65" t="s">
        <v>134</v>
      </c>
      <c r="B12" s="65" t="s">
        <v>135</v>
      </c>
      <c r="C12" s="83" t="str">
        <f t="shared" si="0"/>
        <v>Engineering Standard - Design</v>
      </c>
      <c r="D12" s="65">
        <v>141100</v>
      </c>
      <c r="E12" s="65" t="s">
        <v>146</v>
      </c>
      <c r="F12" s="65" t="s">
        <v>144</v>
      </c>
      <c r="G12" s="65" t="s">
        <v>145</v>
      </c>
      <c r="H12" s="65" t="s">
        <v>139</v>
      </c>
      <c r="I12" s="191">
        <v>158</v>
      </c>
      <c r="J12" s="249">
        <f>'Optional - Sch &amp; Resource Form'!C20</f>
        <v>0</v>
      </c>
      <c r="K12" s="182" t="s">
        <v>140</v>
      </c>
      <c r="L12" s="61">
        <f t="shared" si="1"/>
        <v>0</v>
      </c>
      <c r="M12" s="72"/>
      <c r="N12" s="73"/>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row>
    <row r="13" spans="1:45" s="64" customFormat="1">
      <c r="A13" s="65" t="s">
        <v>134</v>
      </c>
      <c r="B13" s="65" t="s">
        <v>135</v>
      </c>
      <c r="C13" s="83" t="str">
        <f t="shared" si="0"/>
        <v>Engineering Standard - Design</v>
      </c>
      <c r="D13" s="65">
        <v>141600</v>
      </c>
      <c r="E13" s="65" t="s">
        <v>147</v>
      </c>
      <c r="F13" s="65" t="s">
        <v>144</v>
      </c>
      <c r="G13" s="65" t="s">
        <v>145</v>
      </c>
      <c r="H13" s="65" t="s">
        <v>139</v>
      </c>
      <c r="I13" s="191">
        <v>126</v>
      </c>
      <c r="J13" s="249">
        <f>'Optional - Sch &amp; Resource Form'!C23</f>
        <v>0</v>
      </c>
      <c r="K13" s="182" t="s">
        <v>140</v>
      </c>
      <c r="L13" s="61">
        <f t="shared" si="1"/>
        <v>0</v>
      </c>
      <c r="M13" s="72"/>
      <c r="N13" s="73"/>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row>
    <row r="14" spans="1:45" s="64" customFormat="1">
      <c r="A14" s="65" t="s">
        <v>134</v>
      </c>
      <c r="B14" s="65" t="s">
        <v>135</v>
      </c>
      <c r="C14" s="83" t="str">
        <f t="shared" si="0"/>
        <v>Engineering Standard - Design</v>
      </c>
      <c r="D14" s="65">
        <v>141700</v>
      </c>
      <c r="E14" s="65" t="s">
        <v>148</v>
      </c>
      <c r="F14" s="65" t="s">
        <v>144</v>
      </c>
      <c r="G14" s="65" t="s">
        <v>145</v>
      </c>
      <c r="H14" s="65" t="s">
        <v>139</v>
      </c>
      <c r="I14" s="191">
        <v>158</v>
      </c>
      <c r="J14" s="249">
        <f>'Optional - Sch &amp; Resource Form'!C28</f>
        <v>0</v>
      </c>
      <c r="K14" s="182" t="s">
        <v>140</v>
      </c>
      <c r="L14" s="61">
        <f t="shared" si="1"/>
        <v>0</v>
      </c>
      <c r="M14" s="72"/>
      <c r="N14" s="73"/>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row>
    <row r="15" spans="1:45" s="64" customFormat="1">
      <c r="A15" s="65" t="s">
        <v>134</v>
      </c>
      <c r="B15" s="65" t="s">
        <v>135</v>
      </c>
      <c r="C15" s="83" t="str">
        <f t="shared" si="0"/>
        <v>Engineering Standard - Design</v>
      </c>
      <c r="D15" s="65">
        <v>141800</v>
      </c>
      <c r="E15" s="65" t="s">
        <v>149</v>
      </c>
      <c r="F15" s="65" t="s">
        <v>144</v>
      </c>
      <c r="G15" s="65" t="s">
        <v>145</v>
      </c>
      <c r="H15" s="65" t="s">
        <v>139</v>
      </c>
      <c r="I15" s="191">
        <v>158</v>
      </c>
      <c r="J15" s="249">
        <f>'Optional - Sch &amp; Resource Form'!C32</f>
        <v>0</v>
      </c>
      <c r="K15" s="182" t="s">
        <v>140</v>
      </c>
      <c r="L15" s="61">
        <f t="shared" si="1"/>
        <v>0</v>
      </c>
      <c r="M15" s="72"/>
      <c r="N15" s="73"/>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row>
    <row r="16" spans="1:45" s="64" customFormat="1">
      <c r="A16" s="65" t="s">
        <v>134</v>
      </c>
      <c r="B16" s="65" t="s">
        <v>135</v>
      </c>
      <c r="C16" s="83" t="str">
        <f t="shared" si="0"/>
        <v>Engineering Standard - Design</v>
      </c>
      <c r="D16" s="65">
        <v>141900</v>
      </c>
      <c r="E16" s="65" t="s">
        <v>150</v>
      </c>
      <c r="F16" s="65" t="s">
        <v>144</v>
      </c>
      <c r="G16" s="65" t="s">
        <v>145</v>
      </c>
      <c r="H16" s="65" t="s">
        <v>139</v>
      </c>
      <c r="I16" s="191">
        <v>158</v>
      </c>
      <c r="J16" s="249">
        <f>'Optional - Sch &amp; Resource Form'!C37</f>
        <v>0</v>
      </c>
      <c r="K16" s="182" t="s">
        <v>140</v>
      </c>
      <c r="L16" s="61">
        <f t="shared" si="1"/>
        <v>0</v>
      </c>
      <c r="M16" s="72"/>
      <c r="N16" s="73"/>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row>
    <row r="17" spans="1:45" s="64" customFormat="1">
      <c r="A17" s="65" t="s">
        <v>134</v>
      </c>
      <c r="B17" s="65" t="s">
        <v>135</v>
      </c>
      <c r="C17" s="83" t="str">
        <f t="shared" si="0"/>
        <v>Engineering Standard - Design</v>
      </c>
      <c r="D17" s="65">
        <v>142100</v>
      </c>
      <c r="E17" s="65" t="s">
        <v>151</v>
      </c>
      <c r="F17" s="65" t="s">
        <v>144</v>
      </c>
      <c r="G17" s="65" t="s">
        <v>145</v>
      </c>
      <c r="H17" s="65" t="s">
        <v>139</v>
      </c>
      <c r="I17" s="191">
        <v>147</v>
      </c>
      <c r="J17" s="249">
        <f>'Optional - Sch &amp; Resource Form'!C41</f>
        <v>0</v>
      </c>
      <c r="K17" s="182" t="s">
        <v>140</v>
      </c>
      <c r="L17" s="61">
        <f t="shared" si="1"/>
        <v>0</v>
      </c>
      <c r="M17" s="72"/>
      <c r="N17" s="73"/>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row>
    <row r="18" spans="1:45" s="64" customFormat="1">
      <c r="A18" s="65" t="s">
        <v>134</v>
      </c>
      <c r="B18" s="65" t="s">
        <v>135</v>
      </c>
      <c r="C18" s="83" t="str">
        <f t="shared" si="0"/>
        <v>Engineering Standard - Design</v>
      </c>
      <c r="D18" s="65">
        <v>142600</v>
      </c>
      <c r="E18" s="65" t="s">
        <v>152</v>
      </c>
      <c r="F18" s="65" t="s">
        <v>144</v>
      </c>
      <c r="G18" s="65" t="s">
        <v>145</v>
      </c>
      <c r="H18" s="65" t="s">
        <v>139</v>
      </c>
      <c r="I18" s="191">
        <v>145</v>
      </c>
      <c r="J18" s="249">
        <f>'Optional - Sch &amp; Resource Form'!C44</f>
        <v>0</v>
      </c>
      <c r="K18" s="182" t="s">
        <v>140</v>
      </c>
      <c r="L18" s="61">
        <f t="shared" si="1"/>
        <v>0</v>
      </c>
      <c r="M18" s="72"/>
      <c r="N18" s="73"/>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row>
    <row r="19" spans="1:45" s="64" customFormat="1">
      <c r="A19" s="65" t="s">
        <v>134</v>
      </c>
      <c r="B19" s="65" t="s">
        <v>135</v>
      </c>
      <c r="C19" s="83" t="str">
        <f t="shared" si="0"/>
        <v>Engineering Standard - Development</v>
      </c>
      <c r="D19" s="65">
        <v>171500</v>
      </c>
      <c r="E19" s="65" t="s">
        <v>153</v>
      </c>
      <c r="F19" s="65" t="s">
        <v>144</v>
      </c>
      <c r="G19" s="65" t="s">
        <v>145</v>
      </c>
      <c r="H19" s="65" t="s">
        <v>139</v>
      </c>
      <c r="I19" s="191"/>
      <c r="J19" s="82"/>
      <c r="K19" s="182"/>
      <c r="L19" s="61">
        <f t="shared" si="1"/>
        <v>0</v>
      </c>
      <c r="M19" s="72"/>
      <c r="N19" s="73"/>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row>
    <row r="20" spans="1:45" s="64" customFormat="1">
      <c r="A20" s="65" t="s">
        <v>134</v>
      </c>
      <c r="B20" s="65" t="s">
        <v>135</v>
      </c>
      <c r="C20" s="83" t="str">
        <f t="shared" si="0"/>
        <v>Engineering Standard - Construction</v>
      </c>
      <c r="D20" s="65">
        <v>191100</v>
      </c>
      <c r="E20" s="65" t="s">
        <v>154</v>
      </c>
      <c r="F20" s="65" t="s">
        <v>155</v>
      </c>
      <c r="G20" s="65" t="s">
        <v>156</v>
      </c>
      <c r="H20" s="65" t="s">
        <v>139</v>
      </c>
      <c r="I20" s="191"/>
      <c r="J20" s="82"/>
      <c r="K20" s="182"/>
      <c r="L20" s="61">
        <f t="shared" si="1"/>
        <v>0</v>
      </c>
      <c r="M20" s="72"/>
      <c r="N20" s="73"/>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row>
    <row r="21" spans="1:45" s="64" customFormat="1">
      <c r="A21" s="65" t="s">
        <v>134</v>
      </c>
      <c r="B21" s="65" t="s">
        <v>135</v>
      </c>
      <c r="C21" s="83" t="str">
        <f t="shared" si="0"/>
        <v>Engineering Standard - Construction</v>
      </c>
      <c r="D21" s="65">
        <v>191200</v>
      </c>
      <c r="E21" s="65" t="s">
        <v>157</v>
      </c>
      <c r="F21" s="65" t="s">
        <v>155</v>
      </c>
      <c r="G21" s="65" t="s">
        <v>156</v>
      </c>
      <c r="H21" s="65" t="s">
        <v>139</v>
      </c>
      <c r="I21" s="191">
        <v>170</v>
      </c>
      <c r="J21" s="249">
        <f>'Optional - Sch &amp; Resource Form'!C47</f>
        <v>0</v>
      </c>
      <c r="K21" s="182" t="s">
        <v>140</v>
      </c>
      <c r="L21" s="61">
        <f t="shared" si="1"/>
        <v>0</v>
      </c>
      <c r="M21" s="72"/>
      <c r="N21" s="73"/>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row>
    <row r="22" spans="1:45" s="64" customFormat="1">
      <c r="A22" s="65" t="s">
        <v>134</v>
      </c>
      <c r="B22" s="65" t="s">
        <v>135</v>
      </c>
      <c r="C22" s="83" t="str">
        <f t="shared" si="0"/>
        <v>Engineering Standard - Construction</v>
      </c>
      <c r="D22" s="65">
        <v>191300</v>
      </c>
      <c r="E22" s="65" t="s">
        <v>158</v>
      </c>
      <c r="F22" s="65" t="s">
        <v>155</v>
      </c>
      <c r="G22" s="65" t="s">
        <v>156</v>
      </c>
      <c r="H22" s="65" t="s">
        <v>139</v>
      </c>
      <c r="I22" s="191">
        <v>147</v>
      </c>
      <c r="J22" s="249">
        <f>'Optional - Sch &amp; Resource Form'!C52</f>
        <v>0</v>
      </c>
      <c r="K22" s="182" t="s">
        <v>140</v>
      </c>
      <c r="L22" s="61">
        <f t="shared" si="1"/>
        <v>0</v>
      </c>
      <c r="M22" s="72"/>
      <c r="N22" s="73"/>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row>
    <row r="23" spans="1:45" s="64" customFormat="1">
      <c r="A23" s="65" t="s">
        <v>134</v>
      </c>
      <c r="B23" s="65" t="s">
        <v>135</v>
      </c>
      <c r="C23" s="83" t="str">
        <f t="shared" si="0"/>
        <v>Engineering Standard - Construction</v>
      </c>
      <c r="D23" s="65">
        <v>191400</v>
      </c>
      <c r="E23" s="65" t="s">
        <v>159</v>
      </c>
      <c r="F23" s="65" t="s">
        <v>155</v>
      </c>
      <c r="G23" s="65" t="s">
        <v>156</v>
      </c>
      <c r="H23" s="65" t="s">
        <v>139</v>
      </c>
      <c r="I23" s="191"/>
      <c r="J23" s="82"/>
      <c r="K23" s="182"/>
      <c r="L23" s="61">
        <f t="shared" si="1"/>
        <v>0</v>
      </c>
      <c r="M23" s="72"/>
      <c r="N23" s="73"/>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row>
    <row r="24" spans="1:45" s="64" customFormat="1">
      <c r="A24" s="65" t="s">
        <v>134</v>
      </c>
      <c r="B24" s="65" t="s">
        <v>135</v>
      </c>
      <c r="C24" s="83" t="str">
        <f t="shared" si="0"/>
        <v>Engineering Standard - Construction</v>
      </c>
      <c r="D24" s="65">
        <v>191500</v>
      </c>
      <c r="E24" s="65" t="s">
        <v>160</v>
      </c>
      <c r="F24" s="65" t="s">
        <v>155</v>
      </c>
      <c r="G24" s="65" t="s">
        <v>156</v>
      </c>
      <c r="H24" s="65" t="s">
        <v>139</v>
      </c>
      <c r="I24" s="191">
        <v>158</v>
      </c>
      <c r="J24" s="249">
        <f>'Optional - Sch &amp; Resource Form'!C56</f>
        <v>0</v>
      </c>
      <c r="K24" s="182" t="s">
        <v>140</v>
      </c>
      <c r="L24" s="61">
        <f t="shared" si="1"/>
        <v>0</v>
      </c>
      <c r="M24" s="72"/>
      <c r="N24" s="73"/>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row>
    <row r="25" spans="1:45" s="64" customFormat="1">
      <c r="A25" s="65" t="s">
        <v>134</v>
      </c>
      <c r="B25" s="65" t="s">
        <v>135</v>
      </c>
      <c r="C25" s="83" t="str">
        <f t="shared" si="0"/>
        <v>Engineering Standard - Construction</v>
      </c>
      <c r="D25" s="65">
        <v>191600</v>
      </c>
      <c r="E25" s="65" t="s">
        <v>161</v>
      </c>
      <c r="F25" s="65" t="s">
        <v>155</v>
      </c>
      <c r="G25" s="65" t="s">
        <v>156</v>
      </c>
      <c r="H25" s="65" t="s">
        <v>139</v>
      </c>
      <c r="I25" s="191">
        <v>132</v>
      </c>
      <c r="J25" s="249">
        <f>'Optional - Sch &amp; Resource Form'!C59</f>
        <v>0</v>
      </c>
      <c r="K25" s="182" t="s">
        <v>140</v>
      </c>
      <c r="L25" s="61">
        <f t="shared" si="1"/>
        <v>0</v>
      </c>
      <c r="M25" s="72"/>
      <c r="N25" s="73"/>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row>
    <row r="26" spans="1:45" s="64" customFormat="1">
      <c r="A26" s="65" t="s">
        <v>134</v>
      </c>
      <c r="B26" s="65" t="s">
        <v>135</v>
      </c>
      <c r="C26" s="83" t="str">
        <f t="shared" si="0"/>
        <v>Engineering Standard - Construction</v>
      </c>
      <c r="D26" s="65">
        <v>191800</v>
      </c>
      <c r="E26" s="65" t="s">
        <v>162</v>
      </c>
      <c r="F26" s="65" t="s">
        <v>155</v>
      </c>
      <c r="G26" s="65" t="s">
        <v>156</v>
      </c>
      <c r="H26" s="65" t="s">
        <v>139</v>
      </c>
      <c r="I26" s="191">
        <v>158</v>
      </c>
      <c r="J26" s="249">
        <f>'Optional - Sch &amp; Resource Form'!C64</f>
        <v>0</v>
      </c>
      <c r="K26" s="182" t="s">
        <v>140</v>
      </c>
      <c r="L26" s="61">
        <f t="shared" si="1"/>
        <v>0</v>
      </c>
      <c r="M26" s="72"/>
      <c r="N26" s="73"/>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row>
    <row r="27" spans="1:45" s="64" customFormat="1">
      <c r="A27" s="65" t="s">
        <v>134</v>
      </c>
      <c r="B27" s="65" t="s">
        <v>135</v>
      </c>
      <c r="C27" s="83" t="str">
        <f t="shared" si="0"/>
        <v>Engineering Standard - Construction</v>
      </c>
      <c r="D27" s="65">
        <v>191810</v>
      </c>
      <c r="E27" s="65" t="s">
        <v>163</v>
      </c>
      <c r="F27" s="65" t="s">
        <v>155</v>
      </c>
      <c r="G27" s="65" t="s">
        <v>156</v>
      </c>
      <c r="H27" s="65"/>
      <c r="I27" s="191"/>
      <c r="J27" s="82"/>
      <c r="K27" s="182"/>
      <c r="L27" s="61">
        <f t="shared" si="1"/>
        <v>0</v>
      </c>
      <c r="M27" s="72"/>
      <c r="N27" s="73"/>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row>
    <row r="28" spans="1:45" s="64" customFormat="1">
      <c r="A28" s="65" t="s">
        <v>134</v>
      </c>
      <c r="B28" s="65" t="s">
        <v>135</v>
      </c>
      <c r="C28" s="83" t="str">
        <f t="shared" si="0"/>
        <v>Engineering Standard - Construction</v>
      </c>
      <c r="D28" s="65">
        <v>191900</v>
      </c>
      <c r="E28" s="65" t="s">
        <v>164</v>
      </c>
      <c r="F28" s="65" t="s">
        <v>155</v>
      </c>
      <c r="G28" s="65" t="s">
        <v>156</v>
      </c>
      <c r="H28" s="65" t="s">
        <v>139</v>
      </c>
      <c r="I28" s="191">
        <v>147</v>
      </c>
      <c r="J28" s="249">
        <f>'Optional - Sch &amp; Resource Form'!C67</f>
        <v>0</v>
      </c>
      <c r="K28" s="182" t="s">
        <v>140</v>
      </c>
      <c r="L28" s="61">
        <f t="shared" si="1"/>
        <v>0</v>
      </c>
      <c r="M28" s="72"/>
      <c r="N28" s="73"/>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row>
    <row r="29" spans="1:45" s="64" customFormat="1">
      <c r="A29" s="65" t="s">
        <v>134</v>
      </c>
      <c r="B29" s="65" t="s">
        <v>135</v>
      </c>
      <c r="C29" s="83" t="str">
        <f t="shared" si="0"/>
        <v>Engineering Standard - Construction</v>
      </c>
      <c r="D29" s="65">
        <v>192000</v>
      </c>
      <c r="E29" s="65" t="s">
        <v>165</v>
      </c>
      <c r="F29" s="65" t="s">
        <v>155</v>
      </c>
      <c r="G29" s="65" t="s">
        <v>156</v>
      </c>
      <c r="H29" s="65" t="s">
        <v>139</v>
      </c>
      <c r="I29" s="191">
        <v>145</v>
      </c>
      <c r="J29" s="249">
        <f>'Optional - Sch &amp; Resource Form'!C70</f>
        <v>0</v>
      </c>
      <c r="K29" s="182" t="s">
        <v>140</v>
      </c>
      <c r="L29" s="61">
        <f t="shared" si="1"/>
        <v>0</v>
      </c>
      <c r="M29" s="72"/>
      <c r="N29" s="73"/>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row>
    <row r="30" spans="1:45" s="64" customFormat="1">
      <c r="A30" s="65" t="s">
        <v>134</v>
      </c>
      <c r="B30" s="65" t="s">
        <v>135</v>
      </c>
      <c r="C30" s="83" t="str">
        <f t="shared" si="0"/>
        <v>Engineering Standard - Permitting</v>
      </c>
      <c r="D30" s="65">
        <v>201400</v>
      </c>
      <c r="E30" s="65" t="s">
        <v>166</v>
      </c>
      <c r="F30" s="65" t="s">
        <v>137</v>
      </c>
      <c r="G30" s="65" t="s">
        <v>138</v>
      </c>
      <c r="H30" s="65" t="s">
        <v>139</v>
      </c>
      <c r="I30" s="191"/>
      <c r="J30" s="82"/>
      <c r="K30" s="182"/>
      <c r="L30" s="61">
        <f t="shared" si="1"/>
        <v>0</v>
      </c>
      <c r="M30" s="72"/>
      <c r="N30" s="73"/>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row>
    <row r="31" spans="1:45" s="64" customFormat="1">
      <c r="A31" s="65" t="s">
        <v>134</v>
      </c>
      <c r="B31" s="65" t="s">
        <v>135</v>
      </c>
      <c r="C31" s="83" t="str">
        <f t="shared" si="0"/>
        <v>Engineering Standard - Project Close Out</v>
      </c>
      <c r="D31" s="65">
        <v>781100</v>
      </c>
      <c r="E31" s="65" t="s">
        <v>167</v>
      </c>
      <c r="F31" s="65" t="s">
        <v>168</v>
      </c>
      <c r="G31" s="65" t="s">
        <v>169</v>
      </c>
      <c r="H31" s="65" t="s">
        <v>139</v>
      </c>
      <c r="I31" s="191">
        <v>141</v>
      </c>
      <c r="J31" s="249">
        <f>'Optional - Sch &amp; Resource Form'!C75</f>
        <v>0</v>
      </c>
      <c r="K31" s="182" t="s">
        <v>140</v>
      </c>
      <c r="L31" s="61">
        <f t="shared" si="1"/>
        <v>0</v>
      </c>
      <c r="M31" s="72"/>
      <c r="N31" s="73"/>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row>
    <row r="32" spans="1:45" s="64" customFormat="1">
      <c r="A32" s="65" t="s">
        <v>134</v>
      </c>
      <c r="B32" s="65" t="s">
        <v>135</v>
      </c>
      <c r="C32" s="83" t="str">
        <f t="shared" si="0"/>
        <v>Engineering Standard - Project Close Out</v>
      </c>
      <c r="D32" s="65">
        <v>781200</v>
      </c>
      <c r="E32" s="65" t="s">
        <v>170</v>
      </c>
      <c r="F32" s="65" t="s">
        <v>168</v>
      </c>
      <c r="G32" s="65" t="s">
        <v>169</v>
      </c>
      <c r="H32" s="65" t="s">
        <v>139</v>
      </c>
      <c r="I32" s="191">
        <v>158</v>
      </c>
      <c r="J32" s="249">
        <f>'Optional - Sch &amp; Resource Form'!C78</f>
        <v>0</v>
      </c>
      <c r="K32" s="182" t="s">
        <v>140</v>
      </c>
      <c r="L32" s="61">
        <f t="shared" si="1"/>
        <v>0</v>
      </c>
      <c r="M32" s="72"/>
      <c r="N32" s="73"/>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row>
    <row r="33" spans="1:45" s="64" customFormat="1">
      <c r="A33" s="65" t="s">
        <v>134</v>
      </c>
      <c r="B33" s="65" t="s">
        <v>135</v>
      </c>
      <c r="C33" s="83" t="str">
        <f t="shared" si="0"/>
        <v>Engineering Standard - Project Close Out</v>
      </c>
      <c r="D33" s="65">
        <v>781300</v>
      </c>
      <c r="E33" s="65" t="s">
        <v>171</v>
      </c>
      <c r="F33" s="65" t="s">
        <v>168</v>
      </c>
      <c r="G33" s="65" t="s">
        <v>169</v>
      </c>
      <c r="H33" s="65" t="s">
        <v>139</v>
      </c>
      <c r="I33" s="191">
        <v>141</v>
      </c>
      <c r="J33" s="249">
        <f>'Optional - Sch &amp; Resource Form'!C81</f>
        <v>0</v>
      </c>
      <c r="K33" s="182" t="s">
        <v>140</v>
      </c>
      <c r="L33" s="61">
        <f t="shared" si="1"/>
        <v>0</v>
      </c>
      <c r="M33" s="72"/>
      <c r="N33" s="73"/>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row>
    <row r="34" spans="1:45" s="64" customFormat="1">
      <c r="A34" s="65" t="s">
        <v>134</v>
      </c>
      <c r="B34" s="65" t="s">
        <v>135</v>
      </c>
      <c r="C34" s="83" t="str">
        <f t="shared" si="0"/>
        <v>Engineering Standard - Project Close Out</v>
      </c>
      <c r="D34" s="65">
        <v>781400</v>
      </c>
      <c r="E34" s="65" t="s">
        <v>172</v>
      </c>
      <c r="F34" s="65" t="s">
        <v>168</v>
      </c>
      <c r="G34" s="65" t="s">
        <v>169</v>
      </c>
      <c r="H34" s="65" t="s">
        <v>139</v>
      </c>
      <c r="I34" s="191">
        <v>141</v>
      </c>
      <c r="J34" s="249">
        <f>'Optional - Sch &amp; Resource Form'!C84</f>
        <v>0</v>
      </c>
      <c r="K34" s="182" t="s">
        <v>140</v>
      </c>
      <c r="L34" s="61">
        <f t="shared" si="1"/>
        <v>0</v>
      </c>
      <c r="M34" s="72"/>
      <c r="N34" s="73"/>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row>
    <row r="35" spans="1:45" s="64" customFormat="1">
      <c r="A35" s="65" t="s">
        <v>134</v>
      </c>
      <c r="B35" s="65" t="s">
        <v>135</v>
      </c>
      <c r="C35" s="83" t="str">
        <f t="shared" si="0"/>
        <v>Engineering Standard - Capitalized Alloc Sup Svs</v>
      </c>
      <c r="D35" s="65">
        <v>908550</v>
      </c>
      <c r="E35" s="65" t="s">
        <v>173</v>
      </c>
      <c r="F35" s="65" t="s">
        <v>137</v>
      </c>
      <c r="G35" s="65" t="s">
        <v>138</v>
      </c>
      <c r="H35" s="65"/>
      <c r="I35" s="191">
        <v>63</v>
      </c>
      <c r="J35" s="82"/>
      <c r="K35" s="182"/>
      <c r="L35" s="61">
        <f t="shared" si="1"/>
        <v>0</v>
      </c>
      <c r="M35" s="72"/>
      <c r="N35" s="73"/>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row>
    <row r="36" spans="1:45" s="64" customFormat="1">
      <c r="A36" s="65" t="s">
        <v>134</v>
      </c>
      <c r="B36" s="65" t="s">
        <v>135</v>
      </c>
      <c r="C36" s="83" t="str">
        <f t="shared" si="0"/>
        <v>Engineering Standard - Capitalized Alloc Sup Svs</v>
      </c>
      <c r="D36" s="65">
        <v>909000</v>
      </c>
      <c r="E36" s="65" t="s">
        <v>174</v>
      </c>
      <c r="F36" s="65" t="s">
        <v>137</v>
      </c>
      <c r="G36" s="65" t="s">
        <v>138</v>
      </c>
      <c r="H36" s="65"/>
      <c r="I36" s="191">
        <v>63</v>
      </c>
      <c r="J36" s="249">
        <f>'Optional - Sch &amp; Resource Form'!C87</f>
        <v>0</v>
      </c>
      <c r="K36" s="182" t="s">
        <v>140</v>
      </c>
      <c r="L36" s="61">
        <f t="shared" si="1"/>
        <v>0</v>
      </c>
      <c r="M36" s="72"/>
      <c r="N36" s="73"/>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row>
    <row r="37" spans="1:45" s="64" customFormat="1" hidden="1">
      <c r="A37" s="65" t="s">
        <v>137</v>
      </c>
      <c r="B37" s="65" t="s">
        <v>175</v>
      </c>
      <c r="C37" s="83" t="str">
        <f t="shared" si="0"/>
        <v>IT Standard - Project Admin &amp; Mgmt</v>
      </c>
      <c r="D37" s="65">
        <v>101000</v>
      </c>
      <c r="E37" s="65" t="s">
        <v>136</v>
      </c>
      <c r="F37" s="65" t="s">
        <v>137</v>
      </c>
      <c r="G37" s="65" t="s">
        <v>138</v>
      </c>
      <c r="H37" s="65" t="s">
        <v>139</v>
      </c>
      <c r="I37" s="191">
        <v>162</v>
      </c>
      <c r="J37" s="82"/>
      <c r="K37" s="182" t="s">
        <v>140</v>
      </c>
      <c r="L37" s="61">
        <f t="shared" si="1"/>
        <v>0</v>
      </c>
      <c r="M37" s="72"/>
      <c r="N37" s="73"/>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row>
    <row r="38" spans="1:45" s="64" customFormat="1" hidden="1">
      <c r="A38" s="65" t="s">
        <v>137</v>
      </c>
      <c r="B38" s="65" t="s">
        <v>175</v>
      </c>
      <c r="C38" s="83" t="str">
        <f t="shared" si="0"/>
        <v>IT Standard - Project Admin &amp; Mgmt</v>
      </c>
      <c r="D38" s="65">
        <v>101200</v>
      </c>
      <c r="E38" s="65" t="s">
        <v>176</v>
      </c>
      <c r="F38" s="65" t="s">
        <v>137</v>
      </c>
      <c r="G38" s="65" t="s">
        <v>138</v>
      </c>
      <c r="H38" s="65" t="s">
        <v>139</v>
      </c>
      <c r="I38" s="191">
        <v>162</v>
      </c>
      <c r="J38" s="82"/>
      <c r="K38" s="182" t="s">
        <v>140</v>
      </c>
      <c r="L38" s="61">
        <f t="shared" si="1"/>
        <v>0</v>
      </c>
      <c r="M38" s="72"/>
      <c r="N38" s="73"/>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row>
    <row r="39" spans="1:45" s="64" customFormat="1" hidden="1">
      <c r="A39" s="65" t="s">
        <v>137</v>
      </c>
      <c r="B39" s="65" t="s">
        <v>175</v>
      </c>
      <c r="C39" s="83" t="str">
        <f t="shared" si="0"/>
        <v>IT Standard - Analysis &amp; Requirements Defin.</v>
      </c>
      <c r="D39" s="65">
        <v>121000</v>
      </c>
      <c r="E39" s="65" t="s">
        <v>177</v>
      </c>
      <c r="F39" s="65" t="s">
        <v>134</v>
      </c>
      <c r="G39" s="65" t="s">
        <v>178</v>
      </c>
      <c r="H39" s="65" t="s">
        <v>139</v>
      </c>
      <c r="I39" s="191">
        <v>149</v>
      </c>
      <c r="J39" s="82"/>
      <c r="K39" s="182" t="s">
        <v>140</v>
      </c>
      <c r="L39" s="61">
        <f t="shared" si="1"/>
        <v>0</v>
      </c>
      <c r="M39" s="72"/>
      <c r="N39" s="73"/>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row>
    <row r="40" spans="1:45" s="64" customFormat="1" hidden="1">
      <c r="A40" s="65" t="s">
        <v>137</v>
      </c>
      <c r="B40" s="65" t="s">
        <v>175</v>
      </c>
      <c r="C40" s="83" t="str">
        <f t="shared" si="0"/>
        <v>IT Standard - Analysis &amp; Requirements Defin.</v>
      </c>
      <c r="D40" s="65">
        <v>121200</v>
      </c>
      <c r="E40" s="65" t="s">
        <v>179</v>
      </c>
      <c r="F40" s="65" t="s">
        <v>134</v>
      </c>
      <c r="G40" s="65" t="s">
        <v>178</v>
      </c>
      <c r="H40" s="65" t="s">
        <v>139</v>
      </c>
      <c r="I40" s="191">
        <v>149</v>
      </c>
      <c r="J40" s="82"/>
      <c r="K40" s="182" t="s">
        <v>140</v>
      </c>
      <c r="L40" s="61">
        <f t="shared" si="1"/>
        <v>0</v>
      </c>
      <c r="M40" s="72"/>
      <c r="N40" s="73"/>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row>
    <row r="41" spans="1:45" s="64" customFormat="1" hidden="1">
      <c r="A41" s="65" t="s">
        <v>137</v>
      </c>
      <c r="B41" s="65" t="s">
        <v>175</v>
      </c>
      <c r="C41" s="83" t="str">
        <f t="shared" si="0"/>
        <v>IT Standard - Security</v>
      </c>
      <c r="D41" s="65">
        <v>131000</v>
      </c>
      <c r="E41" s="65" t="s">
        <v>180</v>
      </c>
      <c r="F41" s="65" t="s">
        <v>137</v>
      </c>
      <c r="G41" s="65" t="s">
        <v>138</v>
      </c>
      <c r="H41" s="65" t="s">
        <v>139</v>
      </c>
      <c r="I41" s="191">
        <v>149</v>
      </c>
      <c r="J41" s="82"/>
      <c r="K41" s="182" t="s">
        <v>140</v>
      </c>
      <c r="L41" s="61">
        <f t="shared" si="1"/>
        <v>0</v>
      </c>
      <c r="M41" s="72"/>
      <c r="N41" s="73"/>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row>
    <row r="42" spans="1:45" s="64" customFormat="1" hidden="1">
      <c r="A42" s="65" t="s">
        <v>137</v>
      </c>
      <c r="B42" s="65" t="s">
        <v>175</v>
      </c>
      <c r="C42" s="83" t="str">
        <f t="shared" si="0"/>
        <v>IT Standard - Design</v>
      </c>
      <c r="D42" s="65">
        <v>141000</v>
      </c>
      <c r="E42" s="65" t="s">
        <v>181</v>
      </c>
      <c r="F42" s="65" t="s">
        <v>144</v>
      </c>
      <c r="G42" s="65" t="s">
        <v>145</v>
      </c>
      <c r="H42" s="65" t="s">
        <v>139</v>
      </c>
      <c r="I42" s="191">
        <v>149</v>
      </c>
      <c r="J42" s="82"/>
      <c r="K42" s="182" t="s">
        <v>140</v>
      </c>
      <c r="L42" s="61">
        <f t="shared" si="1"/>
        <v>0</v>
      </c>
      <c r="M42" s="72"/>
      <c r="N42" s="73"/>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row>
    <row r="43" spans="1:45" s="64" customFormat="1" hidden="1">
      <c r="A43" s="65" t="s">
        <v>137</v>
      </c>
      <c r="B43" s="65" t="s">
        <v>175</v>
      </c>
      <c r="C43" s="83" t="str">
        <f t="shared" si="0"/>
        <v>IT Standard - Design</v>
      </c>
      <c r="D43" s="65">
        <v>141010</v>
      </c>
      <c r="E43" s="65" t="s">
        <v>143</v>
      </c>
      <c r="F43" s="65" t="s">
        <v>144</v>
      </c>
      <c r="G43" s="65" t="s">
        <v>145</v>
      </c>
      <c r="H43" s="65"/>
      <c r="I43" s="191"/>
      <c r="J43" s="82"/>
      <c r="K43" s="182"/>
      <c r="L43" s="61">
        <f t="shared" si="1"/>
        <v>0</v>
      </c>
      <c r="M43" s="72"/>
      <c r="N43" s="73"/>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row>
    <row r="44" spans="1:45" s="64" customFormat="1" hidden="1">
      <c r="A44" s="65" t="s">
        <v>137</v>
      </c>
      <c r="B44" s="65" t="s">
        <v>175</v>
      </c>
      <c r="C44" s="83" t="str">
        <f t="shared" si="0"/>
        <v>IT Standard - Design</v>
      </c>
      <c r="D44" s="65">
        <v>142600</v>
      </c>
      <c r="E44" s="65" t="s">
        <v>152</v>
      </c>
      <c r="F44" s="65" t="s">
        <v>144</v>
      </c>
      <c r="G44" s="65" t="s">
        <v>145</v>
      </c>
      <c r="H44" s="65" t="s">
        <v>139</v>
      </c>
      <c r="I44" s="191">
        <v>149</v>
      </c>
      <c r="J44" s="82"/>
      <c r="K44" s="182" t="s">
        <v>140</v>
      </c>
      <c r="L44" s="61">
        <f t="shared" si="1"/>
        <v>0</v>
      </c>
      <c r="M44" s="72"/>
      <c r="N44" s="73"/>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row>
    <row r="45" spans="1:45" s="64" customFormat="1" hidden="1">
      <c r="A45" s="65" t="s">
        <v>137</v>
      </c>
      <c r="B45" s="65" t="s">
        <v>175</v>
      </c>
      <c r="C45" s="83" t="str">
        <f t="shared" si="0"/>
        <v>IT Standard - Acquisition</v>
      </c>
      <c r="D45" s="65">
        <v>162300</v>
      </c>
      <c r="E45" s="65" t="s">
        <v>182</v>
      </c>
      <c r="F45" s="65" t="s">
        <v>155</v>
      </c>
      <c r="G45" s="65" t="s">
        <v>156</v>
      </c>
      <c r="H45" s="65" t="s">
        <v>139</v>
      </c>
      <c r="I45" s="191">
        <v>149</v>
      </c>
      <c r="J45" s="82"/>
      <c r="K45" s="182" t="s">
        <v>140</v>
      </c>
      <c r="L45" s="61">
        <f t="shared" si="1"/>
        <v>0</v>
      </c>
      <c r="M45" s="72"/>
      <c r="N45" s="73"/>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row>
    <row r="46" spans="1:45" s="64" customFormat="1" hidden="1">
      <c r="A46" s="65" t="s">
        <v>137</v>
      </c>
      <c r="B46" s="65" t="s">
        <v>175</v>
      </c>
      <c r="C46" s="83" t="str">
        <f t="shared" si="0"/>
        <v>IT Standard - Acquisition</v>
      </c>
      <c r="D46" s="65">
        <v>162400</v>
      </c>
      <c r="E46" s="65" t="s">
        <v>183</v>
      </c>
      <c r="F46" s="65" t="s">
        <v>155</v>
      </c>
      <c r="G46" s="65" t="s">
        <v>156</v>
      </c>
      <c r="H46" s="65" t="s">
        <v>139</v>
      </c>
      <c r="I46" s="191">
        <v>149</v>
      </c>
      <c r="J46" s="82"/>
      <c r="K46" s="182" t="s">
        <v>140</v>
      </c>
      <c r="L46" s="61">
        <f t="shared" si="1"/>
        <v>0</v>
      </c>
      <c r="M46" s="72"/>
      <c r="N46" s="73"/>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row>
    <row r="47" spans="1:45" s="64" customFormat="1" hidden="1">
      <c r="A47" s="65" t="s">
        <v>137</v>
      </c>
      <c r="B47" s="65" t="s">
        <v>175</v>
      </c>
      <c r="C47" s="83" t="str">
        <f t="shared" si="0"/>
        <v>IT Standard - Development</v>
      </c>
      <c r="D47" s="65">
        <v>171000</v>
      </c>
      <c r="E47" s="65" t="s">
        <v>184</v>
      </c>
      <c r="F47" s="65" t="s">
        <v>155</v>
      </c>
      <c r="G47" s="65" t="s">
        <v>156</v>
      </c>
      <c r="H47" s="65" t="s">
        <v>139</v>
      </c>
      <c r="I47" s="191">
        <v>149</v>
      </c>
      <c r="J47" s="82"/>
      <c r="K47" s="182" t="s">
        <v>140</v>
      </c>
      <c r="L47" s="61">
        <f t="shared" si="1"/>
        <v>0</v>
      </c>
      <c r="M47" s="72"/>
      <c r="N47" s="73"/>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row>
    <row r="48" spans="1:45" s="64" customFormat="1" hidden="1">
      <c r="A48" s="65" t="s">
        <v>137</v>
      </c>
      <c r="B48" s="65" t="s">
        <v>175</v>
      </c>
      <c r="C48" s="83" t="str">
        <f t="shared" si="0"/>
        <v>IT Standard - Development</v>
      </c>
      <c r="D48" s="65">
        <v>171100</v>
      </c>
      <c r="E48" s="65" t="s">
        <v>185</v>
      </c>
      <c r="F48" s="65" t="s">
        <v>155</v>
      </c>
      <c r="G48" s="65" t="s">
        <v>156</v>
      </c>
      <c r="H48" s="65" t="s">
        <v>139</v>
      </c>
      <c r="I48" s="191">
        <v>149</v>
      </c>
      <c r="J48" s="82"/>
      <c r="K48" s="182" t="s">
        <v>140</v>
      </c>
      <c r="L48" s="61">
        <f t="shared" si="1"/>
        <v>0</v>
      </c>
      <c r="M48" s="72"/>
      <c r="N48" s="73"/>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row>
    <row r="49" spans="1:45" s="64" customFormat="1" hidden="1">
      <c r="A49" s="65" t="s">
        <v>137</v>
      </c>
      <c r="B49" s="65" t="s">
        <v>175</v>
      </c>
      <c r="C49" s="83" t="str">
        <f t="shared" si="0"/>
        <v>IT Standard - Development</v>
      </c>
      <c r="D49" s="65">
        <v>171510</v>
      </c>
      <c r="E49" s="65" t="s">
        <v>186</v>
      </c>
      <c r="F49" s="65" t="s">
        <v>155</v>
      </c>
      <c r="G49" s="65" t="s">
        <v>156</v>
      </c>
      <c r="H49" s="65"/>
      <c r="I49" s="191"/>
      <c r="J49" s="82"/>
      <c r="K49" s="182"/>
      <c r="L49" s="61">
        <f t="shared" si="1"/>
        <v>0</v>
      </c>
      <c r="M49" s="72"/>
      <c r="N49" s="73"/>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row>
    <row r="50" spans="1:45" s="64" customFormat="1" hidden="1">
      <c r="A50" s="65" t="s">
        <v>137</v>
      </c>
      <c r="B50" s="65" t="s">
        <v>175</v>
      </c>
      <c r="C50" s="83" t="str">
        <f t="shared" si="0"/>
        <v>IT Standard - Implementation</v>
      </c>
      <c r="D50" s="65">
        <v>181400</v>
      </c>
      <c r="E50" s="65" t="s">
        <v>187</v>
      </c>
      <c r="F50" s="65" t="s">
        <v>155</v>
      </c>
      <c r="G50" s="65" t="s">
        <v>156</v>
      </c>
      <c r="H50" s="65" t="s">
        <v>139</v>
      </c>
      <c r="I50" s="191">
        <v>149</v>
      </c>
      <c r="J50" s="82"/>
      <c r="K50" s="182" t="s">
        <v>140</v>
      </c>
      <c r="L50" s="61">
        <f t="shared" si="1"/>
        <v>0</v>
      </c>
      <c r="M50" s="72"/>
      <c r="N50" s="73"/>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row>
    <row r="51" spans="1:45" s="64" customFormat="1" hidden="1">
      <c r="A51" s="65" t="s">
        <v>137</v>
      </c>
      <c r="B51" s="65" t="s">
        <v>175</v>
      </c>
      <c r="C51" s="83" t="str">
        <f t="shared" si="0"/>
        <v>IT Standard - Implementation</v>
      </c>
      <c r="D51" s="65">
        <v>181600</v>
      </c>
      <c r="E51" s="65" t="s">
        <v>188</v>
      </c>
      <c r="F51" s="65" t="s">
        <v>155</v>
      </c>
      <c r="G51" s="65" t="s">
        <v>156</v>
      </c>
      <c r="H51" s="65" t="s">
        <v>139</v>
      </c>
      <c r="I51" s="191">
        <v>149</v>
      </c>
      <c r="J51" s="82"/>
      <c r="K51" s="182" t="s">
        <v>140</v>
      </c>
      <c r="L51" s="61">
        <f t="shared" si="1"/>
        <v>0</v>
      </c>
      <c r="M51" s="72"/>
      <c r="N51" s="73"/>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row>
    <row r="52" spans="1:45" s="64" customFormat="1" hidden="1">
      <c r="A52" s="65" t="s">
        <v>137</v>
      </c>
      <c r="B52" s="65" t="s">
        <v>175</v>
      </c>
      <c r="C52" s="83" t="str">
        <f t="shared" si="0"/>
        <v>IT Standard - Implementation</v>
      </c>
      <c r="D52" s="65">
        <v>181700</v>
      </c>
      <c r="E52" s="65" t="s">
        <v>189</v>
      </c>
      <c r="F52" s="65" t="s">
        <v>155</v>
      </c>
      <c r="G52" s="65" t="s">
        <v>156</v>
      </c>
      <c r="H52" s="65" t="s">
        <v>139</v>
      </c>
      <c r="I52" s="191">
        <v>149</v>
      </c>
      <c r="J52" s="82"/>
      <c r="K52" s="182" t="s">
        <v>140</v>
      </c>
      <c r="L52" s="61">
        <f t="shared" si="1"/>
        <v>0</v>
      </c>
      <c r="M52" s="72"/>
      <c r="N52" s="73"/>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row>
    <row r="53" spans="1:45" s="64" customFormat="1" hidden="1">
      <c r="A53" s="65" t="s">
        <v>137</v>
      </c>
      <c r="B53" s="65" t="s">
        <v>175</v>
      </c>
      <c r="C53" s="83" t="str">
        <f t="shared" si="0"/>
        <v>IT Standard - Construction</v>
      </c>
      <c r="D53" s="65">
        <v>191810</v>
      </c>
      <c r="E53" s="65" t="s">
        <v>163</v>
      </c>
      <c r="F53" s="65" t="s">
        <v>155</v>
      </c>
      <c r="G53" s="65" t="s">
        <v>156</v>
      </c>
      <c r="H53" s="65"/>
      <c r="I53" s="191"/>
      <c r="J53" s="82"/>
      <c r="K53" s="182"/>
      <c r="L53" s="61">
        <f t="shared" si="1"/>
        <v>0</v>
      </c>
      <c r="M53" s="72"/>
      <c r="N53" s="73"/>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row>
    <row r="54" spans="1:45" s="64" customFormat="1" hidden="1">
      <c r="A54" s="65" t="s">
        <v>137</v>
      </c>
      <c r="B54" s="65" t="s">
        <v>175</v>
      </c>
      <c r="C54" s="83" t="str">
        <f t="shared" si="0"/>
        <v>IT Standard - Documentation</v>
      </c>
      <c r="D54" s="65">
        <v>261000</v>
      </c>
      <c r="E54" s="65" t="s">
        <v>190</v>
      </c>
      <c r="F54" s="65" t="s">
        <v>155</v>
      </c>
      <c r="G54" s="65" t="s">
        <v>156</v>
      </c>
      <c r="H54" s="65" t="s">
        <v>139</v>
      </c>
      <c r="I54" s="191">
        <v>149</v>
      </c>
      <c r="J54" s="82"/>
      <c r="K54" s="182" t="s">
        <v>140</v>
      </c>
      <c r="L54" s="61">
        <f t="shared" si="1"/>
        <v>0</v>
      </c>
      <c r="M54" s="72"/>
      <c r="N54" s="73"/>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row>
    <row r="55" spans="1:45" s="64" customFormat="1" hidden="1">
      <c r="A55" s="65" t="s">
        <v>137</v>
      </c>
      <c r="B55" s="65" t="s">
        <v>175</v>
      </c>
      <c r="C55" s="83" t="str">
        <f t="shared" si="0"/>
        <v>IT Standard - Documentation</v>
      </c>
      <c r="D55" s="65">
        <v>261400</v>
      </c>
      <c r="E55" s="65" t="s">
        <v>191</v>
      </c>
      <c r="F55" s="65" t="s">
        <v>155</v>
      </c>
      <c r="G55" s="65" t="s">
        <v>156</v>
      </c>
      <c r="H55" s="65" t="s">
        <v>139</v>
      </c>
      <c r="I55" s="191">
        <v>149</v>
      </c>
      <c r="J55" s="82"/>
      <c r="K55" s="182" t="s">
        <v>140</v>
      </c>
      <c r="L55" s="61">
        <f t="shared" si="1"/>
        <v>0</v>
      </c>
      <c r="M55" s="72"/>
      <c r="N55" s="73"/>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row>
    <row r="56" spans="1:45" s="64" customFormat="1" hidden="1">
      <c r="A56" s="65" t="s">
        <v>137</v>
      </c>
      <c r="B56" s="65" t="s">
        <v>175</v>
      </c>
      <c r="C56" s="83" t="str">
        <f t="shared" si="0"/>
        <v>IT Standard - Testing</v>
      </c>
      <c r="D56" s="65">
        <v>281000</v>
      </c>
      <c r="E56" s="65" t="s">
        <v>192</v>
      </c>
      <c r="F56" s="65" t="s">
        <v>155</v>
      </c>
      <c r="G56" s="65" t="s">
        <v>156</v>
      </c>
      <c r="H56" s="65" t="s">
        <v>139</v>
      </c>
      <c r="I56" s="191">
        <v>149</v>
      </c>
      <c r="J56" s="82"/>
      <c r="K56" s="182" t="s">
        <v>140</v>
      </c>
      <c r="L56" s="61">
        <f t="shared" si="1"/>
        <v>0</v>
      </c>
      <c r="M56" s="72"/>
      <c r="N56" s="73"/>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row>
    <row r="57" spans="1:45" s="64" customFormat="1" hidden="1">
      <c r="A57" s="65" t="s">
        <v>137</v>
      </c>
      <c r="B57" s="65" t="s">
        <v>175</v>
      </c>
      <c r="C57" s="83" t="str">
        <f t="shared" si="0"/>
        <v>IT Standard - Training</v>
      </c>
      <c r="D57" s="65">
        <v>291000</v>
      </c>
      <c r="E57" s="65" t="s">
        <v>193</v>
      </c>
      <c r="F57" s="65" t="s">
        <v>155</v>
      </c>
      <c r="G57" s="65" t="s">
        <v>156</v>
      </c>
      <c r="H57" s="65" t="s">
        <v>139</v>
      </c>
      <c r="I57" s="191">
        <v>149</v>
      </c>
      <c r="J57" s="82"/>
      <c r="K57" s="182" t="s">
        <v>140</v>
      </c>
      <c r="L57" s="61">
        <f t="shared" si="1"/>
        <v>0</v>
      </c>
      <c r="M57" s="72"/>
      <c r="N57" s="73"/>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row>
    <row r="58" spans="1:45" s="64" customFormat="1" hidden="1">
      <c r="A58" s="65" t="s">
        <v>137</v>
      </c>
      <c r="B58" s="65" t="s">
        <v>175</v>
      </c>
      <c r="C58" s="83" t="str">
        <f t="shared" si="0"/>
        <v>IT Standard - Training</v>
      </c>
      <c r="D58" s="65">
        <v>291200</v>
      </c>
      <c r="E58" s="65" t="s">
        <v>194</v>
      </c>
      <c r="F58" s="65" t="s">
        <v>155</v>
      </c>
      <c r="G58" s="65" t="s">
        <v>156</v>
      </c>
      <c r="H58" s="65" t="s">
        <v>139</v>
      </c>
      <c r="I58" s="191">
        <v>149</v>
      </c>
      <c r="J58" s="82"/>
      <c r="K58" s="182" t="s">
        <v>140</v>
      </c>
      <c r="L58" s="61">
        <f t="shared" si="1"/>
        <v>0</v>
      </c>
      <c r="M58" s="72"/>
      <c r="N58" s="73"/>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row>
    <row r="59" spans="1:45" s="64" customFormat="1" hidden="1">
      <c r="A59" s="65" t="s">
        <v>137</v>
      </c>
      <c r="B59" s="65" t="s">
        <v>175</v>
      </c>
      <c r="C59" s="83" t="str">
        <f t="shared" si="0"/>
        <v>IT Standard - Project Close Out</v>
      </c>
      <c r="D59" s="65">
        <v>781000</v>
      </c>
      <c r="E59" s="65" t="s">
        <v>195</v>
      </c>
      <c r="F59" s="65" t="s">
        <v>168</v>
      </c>
      <c r="G59" s="65" t="s">
        <v>169</v>
      </c>
      <c r="H59" s="65" t="s">
        <v>139</v>
      </c>
      <c r="I59" s="191"/>
      <c r="J59" s="82"/>
      <c r="K59" s="182"/>
      <c r="L59" s="61">
        <f t="shared" si="1"/>
        <v>0</v>
      </c>
      <c r="M59" s="72"/>
      <c r="N59" s="73"/>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row>
    <row r="60" spans="1:45" s="64" customFormat="1" hidden="1">
      <c r="A60" s="65" t="s">
        <v>137</v>
      </c>
      <c r="B60" s="65" t="s">
        <v>175</v>
      </c>
      <c r="C60" s="83" t="str">
        <f t="shared" si="0"/>
        <v>IT Standard - Capitalized Alloc Sup Svs</v>
      </c>
      <c r="D60" s="65">
        <v>908550</v>
      </c>
      <c r="E60" s="65" t="s">
        <v>173</v>
      </c>
      <c r="F60" s="65" t="s">
        <v>137</v>
      </c>
      <c r="G60" s="65" t="s">
        <v>138</v>
      </c>
      <c r="H60" s="65"/>
      <c r="I60" s="191">
        <v>63</v>
      </c>
      <c r="J60" s="82"/>
      <c r="K60" s="182"/>
      <c r="L60" s="61">
        <f t="shared" si="1"/>
        <v>0</v>
      </c>
      <c r="M60" s="72"/>
      <c r="N60" s="73"/>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row>
    <row r="61" spans="1:45" s="64" customFormat="1" hidden="1">
      <c r="A61" s="65" t="s">
        <v>137</v>
      </c>
      <c r="B61" s="65" t="s">
        <v>175</v>
      </c>
      <c r="C61" s="83" t="str">
        <f t="shared" si="0"/>
        <v>IT Standard - Capitalized Alloc Sup Svs</v>
      </c>
      <c r="D61" s="65">
        <v>909000</v>
      </c>
      <c r="E61" s="65" t="s">
        <v>174</v>
      </c>
      <c r="F61" s="65" t="s">
        <v>137</v>
      </c>
      <c r="G61" s="65" t="s">
        <v>138</v>
      </c>
      <c r="H61" s="65"/>
      <c r="I61" s="191">
        <v>63</v>
      </c>
      <c r="J61" s="82"/>
      <c r="K61" s="182"/>
      <c r="L61" s="61">
        <f t="shared" si="1"/>
        <v>0</v>
      </c>
      <c r="M61" s="72"/>
      <c r="N61" s="73"/>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row>
    <row r="62" spans="1:45" s="64" customFormat="1" hidden="1">
      <c r="A62" s="65" t="s">
        <v>144</v>
      </c>
      <c r="B62" s="65" t="s">
        <v>196</v>
      </c>
      <c r="C62" s="83" t="str">
        <f t="shared" si="0"/>
        <v>Upland Control Sites - Project Admin &amp; Mgmt</v>
      </c>
      <c r="D62" s="65">
        <v>101000</v>
      </c>
      <c r="E62" s="65" t="s">
        <v>136</v>
      </c>
      <c r="F62" s="65" t="s">
        <v>137</v>
      </c>
      <c r="G62" s="65" t="s">
        <v>138</v>
      </c>
      <c r="H62" s="65" t="s">
        <v>139</v>
      </c>
      <c r="I62" s="76"/>
      <c r="J62" s="82"/>
      <c r="K62" s="66"/>
      <c r="L62" s="61">
        <f t="shared" si="1"/>
        <v>0</v>
      </c>
      <c r="M62" s="72"/>
      <c r="N62" s="73"/>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row>
    <row r="63" spans="1:45" s="64" customFormat="1" hidden="1">
      <c r="A63" s="65" t="s">
        <v>144</v>
      </c>
      <c r="B63" s="65" t="s">
        <v>196</v>
      </c>
      <c r="C63" s="83" t="str">
        <f t="shared" si="0"/>
        <v>Upland Control Sites - Design</v>
      </c>
      <c r="D63" s="65">
        <v>141010</v>
      </c>
      <c r="E63" s="65" t="s">
        <v>143</v>
      </c>
      <c r="F63" s="65" t="s">
        <v>144</v>
      </c>
      <c r="G63" s="65" t="s">
        <v>145</v>
      </c>
      <c r="H63" s="65"/>
      <c r="I63" s="76"/>
      <c r="J63" s="82"/>
      <c r="K63" s="66"/>
      <c r="L63" s="61">
        <f t="shared" si="1"/>
        <v>0</v>
      </c>
      <c r="M63" s="72"/>
      <c r="N63" s="73"/>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row>
    <row r="64" spans="1:45" s="64" customFormat="1" hidden="1">
      <c r="A64" s="65" t="s">
        <v>144</v>
      </c>
      <c r="B64" s="65" t="s">
        <v>196</v>
      </c>
      <c r="C64" s="83" t="str">
        <f t="shared" si="0"/>
        <v>Upland Control Sites - Design</v>
      </c>
      <c r="D64" s="65">
        <v>141400</v>
      </c>
      <c r="E64" s="65" t="s">
        <v>197</v>
      </c>
      <c r="F64" s="65" t="s">
        <v>144</v>
      </c>
      <c r="G64" s="65" t="s">
        <v>145</v>
      </c>
      <c r="H64" s="65" t="s">
        <v>139</v>
      </c>
      <c r="I64" s="76"/>
      <c r="J64" s="82"/>
      <c r="K64" s="66"/>
      <c r="L64" s="61">
        <f t="shared" si="1"/>
        <v>0</v>
      </c>
      <c r="M64" s="72"/>
      <c r="N64" s="73"/>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row>
    <row r="65" spans="1:45" s="64" customFormat="1" hidden="1">
      <c r="A65" s="65" t="s">
        <v>144</v>
      </c>
      <c r="B65" s="65" t="s">
        <v>196</v>
      </c>
      <c r="C65" s="83" t="str">
        <f t="shared" si="0"/>
        <v>Upland Control Sites - Design</v>
      </c>
      <c r="D65" s="65">
        <v>141600</v>
      </c>
      <c r="E65" s="65" t="s">
        <v>147</v>
      </c>
      <c r="F65" s="65" t="s">
        <v>144</v>
      </c>
      <c r="G65" s="65" t="s">
        <v>145</v>
      </c>
      <c r="H65" s="65" t="s">
        <v>139</v>
      </c>
      <c r="I65" s="76"/>
      <c r="J65" s="82"/>
      <c r="K65" s="66"/>
      <c r="L65" s="61">
        <f t="shared" si="1"/>
        <v>0</v>
      </c>
      <c r="M65" s="72"/>
      <c r="N65" s="73"/>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row>
    <row r="66" spans="1:45" s="64" customFormat="1" hidden="1">
      <c r="A66" s="65" t="s">
        <v>144</v>
      </c>
      <c r="B66" s="65" t="s">
        <v>196</v>
      </c>
      <c r="C66" s="83" t="str">
        <f t="shared" si="0"/>
        <v>Upland Control Sites - Design</v>
      </c>
      <c r="D66" s="65">
        <v>141700</v>
      </c>
      <c r="E66" s="65" t="s">
        <v>148</v>
      </c>
      <c r="F66" s="65" t="s">
        <v>144</v>
      </c>
      <c r="G66" s="65" t="s">
        <v>145</v>
      </c>
      <c r="H66" s="65" t="s">
        <v>139</v>
      </c>
      <c r="I66" s="76"/>
      <c r="J66" s="82"/>
      <c r="K66" s="66"/>
      <c r="L66" s="61">
        <f t="shared" si="1"/>
        <v>0</v>
      </c>
      <c r="M66" s="72"/>
      <c r="N66" s="73"/>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row>
    <row r="67" spans="1:45" s="64" customFormat="1" hidden="1">
      <c r="A67" s="65" t="s">
        <v>144</v>
      </c>
      <c r="B67" s="65" t="s">
        <v>196</v>
      </c>
      <c r="C67" s="83" t="str">
        <f t="shared" si="0"/>
        <v>Upland Control Sites - Design</v>
      </c>
      <c r="D67" s="65">
        <v>142600</v>
      </c>
      <c r="E67" s="65" t="s">
        <v>152</v>
      </c>
      <c r="F67" s="65" t="s">
        <v>144</v>
      </c>
      <c r="G67" s="65" t="s">
        <v>145</v>
      </c>
      <c r="H67" s="65" t="s">
        <v>139</v>
      </c>
      <c r="I67" s="76"/>
      <c r="J67" s="82"/>
      <c r="K67" s="66"/>
      <c r="L67" s="61">
        <f t="shared" si="1"/>
        <v>0</v>
      </c>
      <c r="M67" s="72"/>
      <c r="N67" s="73"/>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row>
    <row r="68" spans="1:45" s="64" customFormat="1" hidden="1">
      <c r="A68" s="65" t="s">
        <v>144</v>
      </c>
      <c r="B68" s="65" t="s">
        <v>196</v>
      </c>
      <c r="C68" s="83" t="str">
        <f t="shared" si="0"/>
        <v>Upland Control Sites - Design</v>
      </c>
      <c r="D68" s="65">
        <v>142700</v>
      </c>
      <c r="E68" s="65" t="s">
        <v>198</v>
      </c>
      <c r="F68" s="65" t="s">
        <v>144</v>
      </c>
      <c r="G68" s="65" t="s">
        <v>145</v>
      </c>
      <c r="H68" s="65" t="s">
        <v>139</v>
      </c>
      <c r="I68" s="76"/>
      <c r="J68" s="82"/>
      <c r="K68" s="66"/>
      <c r="L68" s="61">
        <f t="shared" si="1"/>
        <v>0</v>
      </c>
      <c r="M68" s="72"/>
      <c r="N68" s="73"/>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row>
    <row r="69" spans="1:45" s="64" customFormat="1" hidden="1">
      <c r="A69" s="65" t="s">
        <v>144</v>
      </c>
      <c r="B69" s="65" t="s">
        <v>196</v>
      </c>
      <c r="C69" s="83" t="str">
        <f t="shared" ref="C69:C132" si="2">B69 &amp; " - " &amp; LEFT(E69,FIND("-",E69)-1)</f>
        <v>Upland Control Sites - Planning</v>
      </c>
      <c r="D69" s="65">
        <v>151100</v>
      </c>
      <c r="E69" s="65" t="s">
        <v>199</v>
      </c>
      <c r="F69" s="65" t="s">
        <v>144</v>
      </c>
      <c r="G69" s="65" t="s">
        <v>145</v>
      </c>
      <c r="H69" s="65" t="s">
        <v>139</v>
      </c>
      <c r="I69" s="76"/>
      <c r="J69" s="82"/>
      <c r="K69" s="66"/>
      <c r="L69" s="61">
        <f t="shared" si="1"/>
        <v>0</v>
      </c>
      <c r="M69" s="72"/>
      <c r="N69" s="73"/>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row>
    <row r="70" spans="1:45" s="64" customFormat="1" hidden="1">
      <c r="A70" s="65" t="s">
        <v>144</v>
      </c>
      <c r="B70" s="65" t="s">
        <v>196</v>
      </c>
      <c r="C70" s="83" t="str">
        <f t="shared" si="2"/>
        <v>Upland Control Sites - Planning</v>
      </c>
      <c r="D70" s="65">
        <v>151110</v>
      </c>
      <c r="E70" s="65" t="s">
        <v>200</v>
      </c>
      <c r="F70" s="65" t="s">
        <v>144</v>
      </c>
      <c r="G70" s="65" t="s">
        <v>145</v>
      </c>
      <c r="H70" s="65" t="s">
        <v>139</v>
      </c>
      <c r="I70" s="76"/>
      <c r="J70" s="82"/>
      <c r="K70" s="66"/>
      <c r="L70" s="61">
        <f t="shared" ref="L70:L133" si="3">I70*J70</f>
        <v>0</v>
      </c>
      <c r="M70" s="72"/>
      <c r="N70" s="73"/>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row>
    <row r="71" spans="1:45" s="64" customFormat="1" hidden="1">
      <c r="A71" s="65" t="s">
        <v>144</v>
      </c>
      <c r="B71" s="65" t="s">
        <v>196</v>
      </c>
      <c r="C71" s="83" t="str">
        <f t="shared" si="2"/>
        <v>Upland Control Sites - Planning</v>
      </c>
      <c r="D71" s="65">
        <v>151200</v>
      </c>
      <c r="E71" s="65" t="s">
        <v>201</v>
      </c>
      <c r="F71" s="65" t="s">
        <v>144</v>
      </c>
      <c r="G71" s="65" t="s">
        <v>145</v>
      </c>
      <c r="H71" s="65" t="s">
        <v>139</v>
      </c>
      <c r="I71" s="76"/>
      <c r="J71" s="82"/>
      <c r="K71" s="66"/>
      <c r="L71" s="61">
        <f t="shared" si="3"/>
        <v>0</v>
      </c>
      <c r="M71" s="72"/>
      <c r="N71" s="73"/>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row>
    <row r="72" spans="1:45" s="64" customFormat="1" hidden="1">
      <c r="A72" s="65" t="s">
        <v>144</v>
      </c>
      <c r="B72" s="65" t="s">
        <v>196</v>
      </c>
      <c r="C72" s="83" t="str">
        <f t="shared" si="2"/>
        <v>Upland Control Sites - Planning</v>
      </c>
      <c r="D72" s="65">
        <v>151300</v>
      </c>
      <c r="E72" s="65" t="s">
        <v>202</v>
      </c>
      <c r="F72" s="65" t="s">
        <v>144</v>
      </c>
      <c r="G72" s="65" t="s">
        <v>145</v>
      </c>
      <c r="H72" s="65" t="s">
        <v>139</v>
      </c>
      <c r="I72" s="76"/>
      <c r="J72" s="82"/>
      <c r="K72" s="66"/>
      <c r="L72" s="61">
        <f t="shared" si="3"/>
        <v>0</v>
      </c>
      <c r="M72" s="72"/>
      <c r="N72" s="73"/>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row>
    <row r="73" spans="1:45" s="64" customFormat="1" hidden="1">
      <c r="A73" s="65" t="s">
        <v>144</v>
      </c>
      <c r="B73" s="65" t="s">
        <v>196</v>
      </c>
      <c r="C73" s="83" t="str">
        <f t="shared" si="2"/>
        <v>Upland Control Sites - Planning</v>
      </c>
      <c r="D73" s="65">
        <v>151310</v>
      </c>
      <c r="E73" s="65" t="s">
        <v>203</v>
      </c>
      <c r="F73" s="65" t="s">
        <v>144</v>
      </c>
      <c r="G73" s="65" t="s">
        <v>145</v>
      </c>
      <c r="H73" s="65" t="s">
        <v>139</v>
      </c>
      <c r="I73" s="76"/>
      <c r="J73" s="82"/>
      <c r="K73" s="66"/>
      <c r="L73" s="61">
        <f t="shared" si="3"/>
        <v>0</v>
      </c>
      <c r="M73" s="72"/>
      <c r="N73" s="73"/>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row>
    <row r="74" spans="1:45" s="64" customFormat="1" hidden="1">
      <c r="A74" s="65" t="s">
        <v>144</v>
      </c>
      <c r="B74" s="65" t="s">
        <v>196</v>
      </c>
      <c r="C74" s="83" t="str">
        <f t="shared" si="2"/>
        <v>Upland Control Sites - Planning</v>
      </c>
      <c r="D74" s="65">
        <v>151320</v>
      </c>
      <c r="E74" s="65" t="s">
        <v>204</v>
      </c>
      <c r="F74" s="65" t="s">
        <v>144</v>
      </c>
      <c r="G74" s="65" t="s">
        <v>145</v>
      </c>
      <c r="H74" s="65" t="s">
        <v>139</v>
      </c>
      <c r="I74" s="76"/>
      <c r="J74" s="82"/>
      <c r="K74" s="66"/>
      <c r="L74" s="61">
        <f t="shared" si="3"/>
        <v>0</v>
      </c>
      <c r="M74" s="72"/>
      <c r="N74" s="73"/>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row>
    <row r="75" spans="1:45" s="64" customFormat="1" hidden="1">
      <c r="A75" s="65" t="s">
        <v>144</v>
      </c>
      <c r="B75" s="65" t="s">
        <v>196</v>
      </c>
      <c r="C75" s="83" t="str">
        <f t="shared" si="2"/>
        <v>Upland Control Sites - Planning</v>
      </c>
      <c r="D75" s="65">
        <v>151600</v>
      </c>
      <c r="E75" s="65" t="s">
        <v>205</v>
      </c>
      <c r="F75" s="65" t="s">
        <v>144</v>
      </c>
      <c r="G75" s="65" t="s">
        <v>145</v>
      </c>
      <c r="H75" s="65" t="s">
        <v>139</v>
      </c>
      <c r="I75" s="76"/>
      <c r="J75" s="82"/>
      <c r="K75" s="66"/>
      <c r="L75" s="61">
        <f t="shared" si="3"/>
        <v>0</v>
      </c>
      <c r="M75" s="72"/>
      <c r="N75" s="73"/>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row>
    <row r="76" spans="1:45" s="64" customFormat="1" hidden="1">
      <c r="A76" s="65" t="s">
        <v>144</v>
      </c>
      <c r="B76" s="65" t="s">
        <v>196</v>
      </c>
      <c r="C76" s="83" t="str">
        <f t="shared" si="2"/>
        <v>Upland Control Sites - Development</v>
      </c>
      <c r="D76" s="65">
        <v>171510</v>
      </c>
      <c r="E76" s="65" t="s">
        <v>186</v>
      </c>
      <c r="F76" s="65" t="s">
        <v>155</v>
      </c>
      <c r="G76" s="65" t="s">
        <v>156</v>
      </c>
      <c r="H76" s="65"/>
      <c r="I76" s="76"/>
      <c r="J76" s="82"/>
      <c r="K76" s="66"/>
      <c r="L76" s="61">
        <f t="shared" si="3"/>
        <v>0</v>
      </c>
      <c r="M76" s="72"/>
      <c r="N76" s="73"/>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row>
    <row r="77" spans="1:45" s="64" customFormat="1" hidden="1">
      <c r="A77" s="65" t="s">
        <v>144</v>
      </c>
      <c r="B77" s="65" t="s">
        <v>196</v>
      </c>
      <c r="C77" s="83" t="str">
        <f t="shared" si="2"/>
        <v>Upland Control Sites - Implementation</v>
      </c>
      <c r="D77" s="65">
        <v>181000</v>
      </c>
      <c r="E77" s="65" t="s">
        <v>206</v>
      </c>
      <c r="F77" s="65" t="s">
        <v>155</v>
      </c>
      <c r="G77" s="65" t="s">
        <v>156</v>
      </c>
      <c r="H77" s="65" t="s">
        <v>139</v>
      </c>
      <c r="I77" s="76"/>
      <c r="J77" s="82"/>
      <c r="K77" s="66"/>
      <c r="L77" s="61">
        <f t="shared" si="3"/>
        <v>0</v>
      </c>
      <c r="M77" s="72"/>
      <c r="N77" s="73"/>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row>
    <row r="78" spans="1:45" s="64" customFormat="1" hidden="1">
      <c r="A78" s="65" t="s">
        <v>144</v>
      </c>
      <c r="B78" s="65" t="s">
        <v>196</v>
      </c>
      <c r="C78" s="83" t="str">
        <f t="shared" si="2"/>
        <v>Upland Control Sites - Implementation</v>
      </c>
      <c r="D78" s="65">
        <v>181100</v>
      </c>
      <c r="E78" s="65" t="s">
        <v>207</v>
      </c>
      <c r="F78" s="65" t="s">
        <v>155</v>
      </c>
      <c r="G78" s="65" t="s">
        <v>156</v>
      </c>
      <c r="H78" s="65" t="s">
        <v>139</v>
      </c>
      <c r="I78" s="76"/>
      <c r="J78" s="82"/>
      <c r="K78" s="66"/>
      <c r="L78" s="61">
        <f t="shared" si="3"/>
        <v>0</v>
      </c>
      <c r="M78" s="72"/>
      <c r="N78" s="73"/>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row>
    <row r="79" spans="1:45" s="64" customFormat="1" hidden="1">
      <c r="A79" s="65" t="s">
        <v>144</v>
      </c>
      <c r="B79" s="65" t="s">
        <v>196</v>
      </c>
      <c r="C79" s="83" t="str">
        <f t="shared" si="2"/>
        <v>Upland Control Sites - Implementation</v>
      </c>
      <c r="D79" s="65">
        <v>181200</v>
      </c>
      <c r="E79" s="65" t="s">
        <v>208</v>
      </c>
      <c r="F79" s="65" t="s">
        <v>155</v>
      </c>
      <c r="G79" s="65" t="s">
        <v>156</v>
      </c>
      <c r="H79" s="65" t="s">
        <v>139</v>
      </c>
      <c r="I79" s="76"/>
      <c r="J79" s="82"/>
      <c r="K79" s="66"/>
      <c r="L79" s="61">
        <f t="shared" si="3"/>
        <v>0</v>
      </c>
      <c r="M79" s="72"/>
      <c r="N79" s="73"/>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row>
    <row r="80" spans="1:45" s="64" customFormat="1" hidden="1">
      <c r="A80" s="65" t="s">
        <v>144</v>
      </c>
      <c r="B80" s="65" t="s">
        <v>196</v>
      </c>
      <c r="C80" s="83" t="str">
        <f t="shared" si="2"/>
        <v>Upland Control Sites - Construction</v>
      </c>
      <c r="D80" s="65">
        <v>191810</v>
      </c>
      <c r="E80" s="65" t="s">
        <v>163</v>
      </c>
      <c r="F80" s="65" t="s">
        <v>155</v>
      </c>
      <c r="G80" s="65" t="s">
        <v>156</v>
      </c>
      <c r="H80" s="65"/>
      <c r="I80" s="76"/>
      <c r="J80" s="82"/>
      <c r="K80" s="66"/>
      <c r="L80" s="61">
        <f t="shared" si="3"/>
        <v>0</v>
      </c>
      <c r="M80" s="72"/>
      <c r="N80" s="73"/>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row>
    <row r="81" spans="1:45" s="64" customFormat="1" hidden="1">
      <c r="A81" s="65" t="s">
        <v>144</v>
      </c>
      <c r="B81" s="65" t="s">
        <v>196</v>
      </c>
      <c r="C81" s="83" t="str">
        <f t="shared" si="2"/>
        <v>Upland Control Sites - Legal/Regulatory</v>
      </c>
      <c r="D81" s="65">
        <v>231300</v>
      </c>
      <c r="E81" s="65" t="s">
        <v>209</v>
      </c>
      <c r="F81" s="65" t="s">
        <v>155</v>
      </c>
      <c r="G81" s="65" t="s">
        <v>156</v>
      </c>
      <c r="H81" s="65" t="s">
        <v>139</v>
      </c>
      <c r="I81" s="76"/>
      <c r="J81" s="82"/>
      <c r="K81" s="66"/>
      <c r="L81" s="61">
        <f t="shared" si="3"/>
        <v>0</v>
      </c>
      <c r="M81" s="72"/>
      <c r="N81" s="73"/>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row>
    <row r="82" spans="1:45" s="64" customFormat="1" hidden="1">
      <c r="A82" s="65" t="s">
        <v>144</v>
      </c>
      <c r="B82" s="65" t="s">
        <v>196</v>
      </c>
      <c r="C82" s="83" t="str">
        <f t="shared" si="2"/>
        <v>Upland Control Sites - Legal/Regulatory</v>
      </c>
      <c r="D82" s="65">
        <v>231400</v>
      </c>
      <c r="E82" s="65" t="s">
        <v>210</v>
      </c>
      <c r="F82" s="65" t="s">
        <v>155</v>
      </c>
      <c r="G82" s="65" t="s">
        <v>156</v>
      </c>
      <c r="H82" s="65" t="s">
        <v>139</v>
      </c>
      <c r="I82" s="76"/>
      <c r="J82" s="82"/>
      <c r="K82" s="66"/>
      <c r="L82" s="61">
        <f t="shared" si="3"/>
        <v>0</v>
      </c>
      <c r="M82" s="72"/>
      <c r="N82" s="73"/>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row>
    <row r="83" spans="1:45" s="64" customFormat="1" hidden="1">
      <c r="A83" s="65" t="s">
        <v>144</v>
      </c>
      <c r="B83" s="65" t="s">
        <v>196</v>
      </c>
      <c r="C83" s="83" t="str">
        <f t="shared" si="2"/>
        <v>Upland Control Sites - Legal/Regulatory</v>
      </c>
      <c r="D83" s="65">
        <v>231600</v>
      </c>
      <c r="E83" s="65" t="s">
        <v>211</v>
      </c>
      <c r="F83" s="65" t="s">
        <v>155</v>
      </c>
      <c r="G83" s="65" t="s">
        <v>156</v>
      </c>
      <c r="H83" s="65" t="s">
        <v>139</v>
      </c>
      <c r="I83" s="76"/>
      <c r="J83" s="82"/>
      <c r="K83" s="66"/>
      <c r="L83" s="61">
        <f t="shared" si="3"/>
        <v>0</v>
      </c>
      <c r="M83" s="72"/>
      <c r="N83" s="73"/>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row>
    <row r="84" spans="1:45" s="64" customFormat="1" hidden="1">
      <c r="A84" s="65" t="s">
        <v>144</v>
      </c>
      <c r="B84" s="65" t="s">
        <v>196</v>
      </c>
      <c r="C84" s="83" t="str">
        <f t="shared" si="2"/>
        <v>Upland Control Sites - Legal/Regulatory</v>
      </c>
      <c r="D84" s="65">
        <v>231900</v>
      </c>
      <c r="E84" s="65" t="s">
        <v>212</v>
      </c>
      <c r="F84" s="65" t="s">
        <v>155</v>
      </c>
      <c r="G84" s="65" t="s">
        <v>156</v>
      </c>
      <c r="H84" s="65" t="s">
        <v>139</v>
      </c>
      <c r="I84" s="76"/>
      <c r="J84" s="82"/>
      <c r="K84" s="66"/>
      <c r="L84" s="61">
        <f t="shared" si="3"/>
        <v>0</v>
      </c>
      <c r="M84" s="72"/>
      <c r="N84" s="73"/>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row>
    <row r="85" spans="1:45" s="64" customFormat="1" hidden="1">
      <c r="A85" s="65" t="s">
        <v>144</v>
      </c>
      <c r="B85" s="65" t="s">
        <v>196</v>
      </c>
      <c r="C85" s="83" t="str">
        <f t="shared" si="2"/>
        <v>Upland Control Sites - Public Records Request</v>
      </c>
      <c r="D85" s="65">
        <v>241000</v>
      </c>
      <c r="E85" s="65" t="s">
        <v>213</v>
      </c>
      <c r="F85" s="65" t="s">
        <v>137</v>
      </c>
      <c r="G85" s="65" t="s">
        <v>138</v>
      </c>
      <c r="H85" s="65" t="s">
        <v>139</v>
      </c>
      <c r="I85" s="76"/>
      <c r="J85" s="82"/>
      <c r="K85" s="66"/>
      <c r="L85" s="61">
        <f t="shared" si="3"/>
        <v>0</v>
      </c>
      <c r="M85" s="72"/>
      <c r="N85" s="73"/>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row>
    <row r="86" spans="1:45" s="64" customFormat="1" hidden="1">
      <c r="A86" s="65" t="s">
        <v>144</v>
      </c>
      <c r="B86" s="65" t="s">
        <v>196</v>
      </c>
      <c r="C86" s="83" t="str">
        <f t="shared" si="2"/>
        <v>Upland Control Sites - Outreach</v>
      </c>
      <c r="D86" s="65">
        <v>251000</v>
      </c>
      <c r="E86" s="65" t="s">
        <v>214</v>
      </c>
      <c r="F86" s="65" t="s">
        <v>137</v>
      </c>
      <c r="G86" s="65" t="s">
        <v>138</v>
      </c>
      <c r="H86" s="65" t="s">
        <v>139</v>
      </c>
      <c r="I86" s="76"/>
      <c r="J86" s="82"/>
      <c r="K86" s="66"/>
      <c r="L86" s="61">
        <f t="shared" si="3"/>
        <v>0</v>
      </c>
      <c r="M86" s="72"/>
      <c r="N86" s="73"/>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row>
    <row r="87" spans="1:45" s="64" customFormat="1" hidden="1">
      <c r="A87" s="65" t="s">
        <v>144</v>
      </c>
      <c r="B87" s="65" t="s">
        <v>196</v>
      </c>
      <c r="C87" s="83" t="str">
        <f t="shared" si="2"/>
        <v>Upland Control Sites - Outreach</v>
      </c>
      <c r="D87" s="65">
        <v>251010</v>
      </c>
      <c r="E87" s="65" t="s">
        <v>215</v>
      </c>
      <c r="F87" s="65" t="s">
        <v>137</v>
      </c>
      <c r="G87" s="65" t="s">
        <v>138</v>
      </c>
      <c r="H87" s="65" t="s">
        <v>139</v>
      </c>
      <c r="I87" s="76"/>
      <c r="J87" s="82"/>
      <c r="K87" s="66"/>
      <c r="L87" s="61">
        <f t="shared" si="3"/>
        <v>0</v>
      </c>
      <c r="M87" s="72"/>
      <c r="N87" s="73"/>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row>
    <row r="88" spans="1:45" s="64" customFormat="1" hidden="1">
      <c r="A88" s="65" t="s">
        <v>144</v>
      </c>
      <c r="B88" s="65" t="s">
        <v>196</v>
      </c>
      <c r="C88" s="83" t="str">
        <f t="shared" si="2"/>
        <v>Upland Control Sites - Cost Recovery</v>
      </c>
      <c r="D88" s="65">
        <v>301000</v>
      </c>
      <c r="E88" s="65" t="s">
        <v>216</v>
      </c>
      <c r="F88" s="65" t="s">
        <v>155</v>
      </c>
      <c r="G88" s="65" t="s">
        <v>156</v>
      </c>
      <c r="H88" s="65" t="s">
        <v>139</v>
      </c>
      <c r="I88" s="76"/>
      <c r="J88" s="82"/>
      <c r="K88" s="66"/>
      <c r="L88" s="61">
        <f t="shared" si="3"/>
        <v>0</v>
      </c>
      <c r="M88" s="72"/>
      <c r="N88" s="73"/>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row>
    <row r="89" spans="1:45" s="64" customFormat="1" hidden="1">
      <c r="A89" s="65" t="s">
        <v>144</v>
      </c>
      <c r="B89" s="65" t="s">
        <v>196</v>
      </c>
      <c r="C89" s="83" t="str">
        <f t="shared" si="2"/>
        <v>Upland Control Sites - Payments</v>
      </c>
      <c r="D89" s="65">
        <v>321000</v>
      </c>
      <c r="E89" s="65" t="s">
        <v>217</v>
      </c>
      <c r="F89" s="65" t="s">
        <v>155</v>
      </c>
      <c r="G89" s="65" t="s">
        <v>156</v>
      </c>
      <c r="H89" s="65" t="s">
        <v>139</v>
      </c>
      <c r="I89" s="76"/>
      <c r="J89" s="82"/>
      <c r="K89" s="66"/>
      <c r="L89" s="61">
        <f t="shared" si="3"/>
        <v>0</v>
      </c>
      <c r="M89" s="72"/>
      <c r="N89" s="73"/>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row>
    <row r="90" spans="1:45" s="64" customFormat="1" hidden="1">
      <c r="A90" s="65" t="s">
        <v>144</v>
      </c>
      <c r="B90" s="65" t="s">
        <v>196</v>
      </c>
      <c r="C90" s="83" t="str">
        <f t="shared" si="2"/>
        <v>Upland Control Sites - Payments</v>
      </c>
      <c r="D90" s="65">
        <v>321300</v>
      </c>
      <c r="E90" s="65" t="s">
        <v>218</v>
      </c>
      <c r="F90" s="65" t="s">
        <v>155</v>
      </c>
      <c r="G90" s="65" t="s">
        <v>156</v>
      </c>
      <c r="H90" s="65" t="s">
        <v>139</v>
      </c>
      <c r="I90" s="76"/>
      <c r="J90" s="82"/>
      <c r="K90" s="66"/>
      <c r="L90" s="61">
        <f t="shared" si="3"/>
        <v>0</v>
      </c>
      <c r="M90" s="72"/>
      <c r="N90" s="73"/>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row>
    <row r="91" spans="1:45" s="64" customFormat="1" hidden="1">
      <c r="A91" s="65" t="s">
        <v>144</v>
      </c>
      <c r="B91" s="65" t="s">
        <v>196</v>
      </c>
      <c r="C91" s="83" t="str">
        <f t="shared" si="2"/>
        <v>Upland Control Sites - Payments</v>
      </c>
      <c r="D91" s="65">
        <v>321310</v>
      </c>
      <c r="E91" s="65" t="s">
        <v>219</v>
      </c>
      <c r="F91" s="65" t="s">
        <v>155</v>
      </c>
      <c r="G91" s="65" t="s">
        <v>156</v>
      </c>
      <c r="H91" s="65" t="s">
        <v>139</v>
      </c>
      <c r="I91" s="76"/>
      <c r="J91" s="82"/>
      <c r="K91" s="66"/>
      <c r="L91" s="61">
        <f t="shared" si="3"/>
        <v>0</v>
      </c>
      <c r="M91" s="72"/>
      <c r="N91" s="73"/>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row>
    <row r="92" spans="1:45" s="64" customFormat="1" hidden="1">
      <c r="A92" s="65" t="s">
        <v>144</v>
      </c>
      <c r="B92" s="65" t="s">
        <v>196</v>
      </c>
      <c r="C92" s="83" t="str">
        <f t="shared" si="2"/>
        <v>Upland Control Sites - Payments</v>
      </c>
      <c r="D92" s="65">
        <v>321320</v>
      </c>
      <c r="E92" s="65" t="s">
        <v>220</v>
      </c>
      <c r="F92" s="65" t="s">
        <v>155</v>
      </c>
      <c r="G92" s="65" t="s">
        <v>156</v>
      </c>
      <c r="H92" s="65" t="s">
        <v>139</v>
      </c>
      <c r="I92" s="76"/>
      <c r="J92" s="82"/>
      <c r="K92" s="66"/>
      <c r="L92" s="61">
        <f t="shared" si="3"/>
        <v>0</v>
      </c>
      <c r="M92" s="72"/>
      <c r="N92" s="73"/>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row>
    <row r="93" spans="1:45" s="64" customFormat="1" hidden="1">
      <c r="A93" s="65" t="s">
        <v>144</v>
      </c>
      <c r="B93" s="65" t="s">
        <v>196</v>
      </c>
      <c r="C93" s="83" t="str">
        <f t="shared" si="2"/>
        <v>Upland Control Sites - Payments</v>
      </c>
      <c r="D93" s="65">
        <v>321330</v>
      </c>
      <c r="E93" s="65" t="s">
        <v>221</v>
      </c>
      <c r="F93" s="65" t="s">
        <v>155</v>
      </c>
      <c r="G93" s="65" t="s">
        <v>156</v>
      </c>
      <c r="H93" s="65" t="s">
        <v>139</v>
      </c>
      <c r="I93" s="76"/>
      <c r="J93" s="82"/>
      <c r="K93" s="66"/>
      <c r="L93" s="61">
        <f t="shared" si="3"/>
        <v>0</v>
      </c>
      <c r="M93" s="72"/>
      <c r="N93" s="73"/>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row>
    <row r="94" spans="1:45" s="64" customFormat="1" hidden="1">
      <c r="A94" s="65" t="s">
        <v>144</v>
      </c>
      <c r="B94" s="65" t="s">
        <v>196</v>
      </c>
      <c r="C94" s="83" t="str">
        <f t="shared" si="2"/>
        <v>Upland Control Sites - Payments</v>
      </c>
      <c r="D94" s="65">
        <v>321340</v>
      </c>
      <c r="E94" s="65" t="s">
        <v>222</v>
      </c>
      <c r="F94" s="65" t="s">
        <v>155</v>
      </c>
      <c r="G94" s="65" t="s">
        <v>156</v>
      </c>
      <c r="H94" s="65" t="s">
        <v>139</v>
      </c>
      <c r="I94" s="76"/>
      <c r="J94" s="82"/>
      <c r="K94" s="66"/>
      <c r="L94" s="61">
        <f t="shared" si="3"/>
        <v>0</v>
      </c>
      <c r="M94" s="72"/>
      <c r="N94" s="73"/>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row>
    <row r="95" spans="1:45" s="64" customFormat="1" hidden="1">
      <c r="A95" s="65" t="s">
        <v>144</v>
      </c>
      <c r="B95" s="65" t="s">
        <v>196</v>
      </c>
      <c r="C95" s="83" t="str">
        <f t="shared" si="2"/>
        <v>Upland Control Sites - Contingency</v>
      </c>
      <c r="D95" s="65">
        <v>790000</v>
      </c>
      <c r="E95" s="65" t="s">
        <v>223</v>
      </c>
      <c r="F95" s="65" t="s">
        <v>137</v>
      </c>
      <c r="G95" s="65" t="s">
        <v>138</v>
      </c>
      <c r="H95" s="65"/>
      <c r="I95" s="76"/>
      <c r="J95" s="82"/>
      <c r="K95" s="66"/>
      <c r="L95" s="61">
        <f t="shared" si="3"/>
        <v>0</v>
      </c>
      <c r="M95" s="72"/>
      <c r="N95" s="73"/>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row>
    <row r="96" spans="1:45" s="64" customFormat="1" hidden="1">
      <c r="A96" s="65" t="s">
        <v>144</v>
      </c>
      <c r="B96" s="65" t="s">
        <v>196</v>
      </c>
      <c r="C96" s="83" t="str">
        <f t="shared" si="2"/>
        <v>Upland Control Sites - Capitalized Alloc Sup Svs</v>
      </c>
      <c r="D96" s="65">
        <v>909000</v>
      </c>
      <c r="E96" s="65" t="s">
        <v>174</v>
      </c>
      <c r="F96" s="65" t="s">
        <v>137</v>
      </c>
      <c r="G96" s="65" t="s">
        <v>138</v>
      </c>
      <c r="H96" s="65"/>
      <c r="I96" s="76"/>
      <c r="J96" s="82"/>
      <c r="K96" s="66"/>
      <c r="L96" s="61">
        <f t="shared" si="3"/>
        <v>0</v>
      </c>
      <c r="M96" s="72"/>
      <c r="N96" s="73"/>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row>
    <row r="97" spans="1:45" s="64" customFormat="1" hidden="1">
      <c r="A97" s="65" t="s">
        <v>155</v>
      </c>
      <c r="B97" s="65" t="s">
        <v>224</v>
      </c>
      <c r="C97" s="83" t="str">
        <f t="shared" si="2"/>
        <v>Natural Resource Damages - Project Admin &amp; Mgmt</v>
      </c>
      <c r="D97" s="65">
        <v>101000</v>
      </c>
      <c r="E97" s="65" t="s">
        <v>136</v>
      </c>
      <c r="F97" s="65" t="s">
        <v>137</v>
      </c>
      <c r="G97" s="65" t="s">
        <v>138</v>
      </c>
      <c r="H97" s="65" t="s">
        <v>139</v>
      </c>
      <c r="I97" s="76"/>
      <c r="J97" s="82"/>
      <c r="K97" s="66"/>
      <c r="L97" s="61">
        <f t="shared" si="3"/>
        <v>0</v>
      </c>
      <c r="M97" s="72"/>
      <c r="N97" s="73"/>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row>
    <row r="98" spans="1:45" s="64" customFormat="1" hidden="1">
      <c r="A98" s="65" t="s">
        <v>155</v>
      </c>
      <c r="B98" s="65" t="s">
        <v>224</v>
      </c>
      <c r="C98" s="83" t="str">
        <f t="shared" si="2"/>
        <v>Natural Resource Damages - Design</v>
      </c>
      <c r="D98" s="65">
        <v>141500</v>
      </c>
      <c r="E98" s="65" t="s">
        <v>225</v>
      </c>
      <c r="F98" s="65" t="s">
        <v>144</v>
      </c>
      <c r="G98" s="65" t="s">
        <v>145</v>
      </c>
      <c r="H98" s="65" t="s">
        <v>139</v>
      </c>
      <c r="I98" s="76"/>
      <c r="J98" s="82"/>
      <c r="K98" s="66"/>
      <c r="L98" s="61">
        <f t="shared" si="3"/>
        <v>0</v>
      </c>
      <c r="M98" s="72"/>
      <c r="N98" s="73"/>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row>
    <row r="99" spans="1:45" s="64" customFormat="1" hidden="1">
      <c r="A99" s="65" t="s">
        <v>155</v>
      </c>
      <c r="B99" s="65" t="s">
        <v>224</v>
      </c>
      <c r="C99" s="83" t="str">
        <f t="shared" si="2"/>
        <v>Natural Resource Damages - Design</v>
      </c>
      <c r="D99" s="65">
        <v>141510</v>
      </c>
      <c r="E99" s="65" t="s">
        <v>226</v>
      </c>
      <c r="F99" s="65" t="s">
        <v>144</v>
      </c>
      <c r="G99" s="65" t="s">
        <v>145</v>
      </c>
      <c r="H99" s="65" t="s">
        <v>139</v>
      </c>
      <c r="I99" s="76"/>
      <c r="J99" s="82"/>
      <c r="K99" s="66"/>
      <c r="L99" s="61">
        <f t="shared" si="3"/>
        <v>0</v>
      </c>
      <c r="M99" s="72"/>
      <c r="N99" s="73"/>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row>
    <row r="100" spans="1:45" s="64" customFormat="1" hidden="1">
      <c r="A100" s="65" t="s">
        <v>155</v>
      </c>
      <c r="B100" s="65" t="s">
        <v>224</v>
      </c>
      <c r="C100" s="83" t="str">
        <f t="shared" si="2"/>
        <v>Natural Resource Damages - Planning</v>
      </c>
      <c r="D100" s="65">
        <v>151100</v>
      </c>
      <c r="E100" s="65" t="s">
        <v>199</v>
      </c>
      <c r="F100" s="65" t="s">
        <v>144</v>
      </c>
      <c r="G100" s="65" t="s">
        <v>145</v>
      </c>
      <c r="H100" s="65" t="s">
        <v>139</v>
      </c>
      <c r="I100" s="76"/>
      <c r="J100" s="82"/>
      <c r="K100" s="66"/>
      <c r="L100" s="61">
        <f t="shared" si="3"/>
        <v>0</v>
      </c>
      <c r="M100" s="72"/>
      <c r="N100" s="73"/>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row>
    <row r="101" spans="1:45" s="64" customFormat="1" hidden="1">
      <c r="A101" s="65" t="s">
        <v>155</v>
      </c>
      <c r="B101" s="65" t="s">
        <v>224</v>
      </c>
      <c r="C101" s="83" t="str">
        <f t="shared" si="2"/>
        <v>Natural Resource Damages - Planning</v>
      </c>
      <c r="D101" s="65">
        <v>151120</v>
      </c>
      <c r="E101" s="65" t="s">
        <v>227</v>
      </c>
      <c r="F101" s="65" t="s">
        <v>144</v>
      </c>
      <c r="G101" s="65" t="s">
        <v>145</v>
      </c>
      <c r="H101" s="65" t="s">
        <v>139</v>
      </c>
      <c r="I101" s="76"/>
      <c r="J101" s="82"/>
      <c r="K101" s="66"/>
      <c r="L101" s="61">
        <f t="shared" si="3"/>
        <v>0</v>
      </c>
      <c r="M101" s="72"/>
      <c r="N101" s="73"/>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row>
    <row r="102" spans="1:45" s="64" customFormat="1" hidden="1">
      <c r="A102" s="65" t="s">
        <v>155</v>
      </c>
      <c r="B102" s="65" t="s">
        <v>224</v>
      </c>
      <c r="C102" s="83" t="str">
        <f t="shared" si="2"/>
        <v>Natural Resource Damages - Planning</v>
      </c>
      <c r="D102" s="65">
        <v>151130</v>
      </c>
      <c r="E102" s="65" t="s">
        <v>228</v>
      </c>
      <c r="F102" s="65" t="s">
        <v>144</v>
      </c>
      <c r="G102" s="65" t="s">
        <v>145</v>
      </c>
      <c r="H102" s="65" t="s">
        <v>139</v>
      </c>
      <c r="I102" s="76"/>
      <c r="J102" s="82"/>
      <c r="K102" s="66"/>
      <c r="L102" s="61">
        <f t="shared" si="3"/>
        <v>0</v>
      </c>
      <c r="M102" s="72"/>
      <c r="N102" s="73"/>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row>
    <row r="103" spans="1:45" s="64" customFormat="1" hidden="1">
      <c r="A103" s="65" t="s">
        <v>155</v>
      </c>
      <c r="B103" s="65" t="s">
        <v>224</v>
      </c>
      <c r="C103" s="83" t="str">
        <f t="shared" si="2"/>
        <v>Natural Resource Damages - Implementation</v>
      </c>
      <c r="D103" s="65">
        <v>181200</v>
      </c>
      <c r="E103" s="65" t="s">
        <v>208</v>
      </c>
      <c r="F103" s="65" t="s">
        <v>155</v>
      </c>
      <c r="G103" s="65" t="s">
        <v>156</v>
      </c>
      <c r="H103" s="65" t="s">
        <v>139</v>
      </c>
      <c r="I103" s="76"/>
      <c r="J103" s="82"/>
      <c r="K103" s="66"/>
      <c r="L103" s="61">
        <f t="shared" si="3"/>
        <v>0</v>
      </c>
      <c r="M103" s="72"/>
      <c r="N103" s="73"/>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row>
    <row r="104" spans="1:45" s="64" customFormat="1" hidden="1">
      <c r="A104" s="65" t="s">
        <v>155</v>
      </c>
      <c r="B104" s="65" t="s">
        <v>224</v>
      </c>
      <c r="C104" s="83" t="str">
        <f t="shared" si="2"/>
        <v>Natural Resource Damages - Implementation</v>
      </c>
      <c r="D104" s="65">
        <v>181300</v>
      </c>
      <c r="E104" s="65" t="s">
        <v>229</v>
      </c>
      <c r="F104" s="65" t="s">
        <v>155</v>
      </c>
      <c r="G104" s="65" t="s">
        <v>156</v>
      </c>
      <c r="H104" s="65" t="s">
        <v>139</v>
      </c>
      <c r="I104" s="76"/>
      <c r="J104" s="82"/>
      <c r="K104" s="66"/>
      <c r="L104" s="61">
        <f t="shared" si="3"/>
        <v>0</v>
      </c>
      <c r="M104" s="72"/>
      <c r="N104" s="73"/>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row>
    <row r="105" spans="1:45" s="64" customFormat="1" hidden="1">
      <c r="A105" s="65" t="s">
        <v>155</v>
      </c>
      <c r="B105" s="65" t="s">
        <v>224</v>
      </c>
      <c r="C105" s="83" t="str">
        <f t="shared" si="2"/>
        <v>Natural Resource Damages - Implementation</v>
      </c>
      <c r="D105" s="65">
        <v>181320</v>
      </c>
      <c r="E105" s="65" t="s">
        <v>230</v>
      </c>
      <c r="F105" s="65" t="s">
        <v>155</v>
      </c>
      <c r="G105" s="65" t="s">
        <v>156</v>
      </c>
      <c r="H105" s="65" t="s">
        <v>139</v>
      </c>
      <c r="I105" s="76"/>
      <c r="J105" s="82"/>
      <c r="K105" s="66"/>
      <c r="L105" s="61">
        <f t="shared" si="3"/>
        <v>0</v>
      </c>
      <c r="M105" s="72"/>
      <c r="N105" s="73"/>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row>
    <row r="106" spans="1:45" s="64" customFormat="1" hidden="1">
      <c r="A106" s="65" t="s">
        <v>155</v>
      </c>
      <c r="B106" s="65" t="s">
        <v>224</v>
      </c>
      <c r="C106" s="83" t="str">
        <f t="shared" si="2"/>
        <v>Natural Resource Damages - Legal/Regulatory</v>
      </c>
      <c r="D106" s="65">
        <v>231000</v>
      </c>
      <c r="E106" s="65" t="s">
        <v>231</v>
      </c>
      <c r="F106" s="65" t="s">
        <v>155</v>
      </c>
      <c r="G106" s="65" t="s">
        <v>156</v>
      </c>
      <c r="H106" s="65" t="s">
        <v>139</v>
      </c>
      <c r="I106" s="76"/>
      <c r="J106" s="82"/>
      <c r="K106" s="66"/>
      <c r="L106" s="61">
        <f t="shared" si="3"/>
        <v>0</v>
      </c>
      <c r="M106" s="72"/>
      <c r="N106" s="73"/>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row>
    <row r="107" spans="1:45" s="64" customFormat="1" hidden="1">
      <c r="A107" s="65" t="s">
        <v>155</v>
      </c>
      <c r="B107" s="65" t="s">
        <v>224</v>
      </c>
      <c r="C107" s="83" t="str">
        <f t="shared" si="2"/>
        <v>Natural Resource Damages - Legal/Regulatory</v>
      </c>
      <c r="D107" s="65">
        <v>231300</v>
      </c>
      <c r="E107" s="65" t="s">
        <v>209</v>
      </c>
      <c r="F107" s="65" t="s">
        <v>155</v>
      </c>
      <c r="G107" s="65" t="s">
        <v>156</v>
      </c>
      <c r="H107" s="65" t="s">
        <v>139</v>
      </c>
      <c r="I107" s="76"/>
      <c r="J107" s="82"/>
      <c r="K107" s="66"/>
      <c r="L107" s="61">
        <f t="shared" si="3"/>
        <v>0</v>
      </c>
      <c r="M107" s="72"/>
      <c r="N107" s="73"/>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row>
    <row r="108" spans="1:45" s="64" customFormat="1" hidden="1">
      <c r="A108" s="65" t="s">
        <v>155</v>
      </c>
      <c r="B108" s="65" t="s">
        <v>224</v>
      </c>
      <c r="C108" s="83" t="str">
        <f t="shared" si="2"/>
        <v>Natural Resource Damages - Legal/Regulatory</v>
      </c>
      <c r="D108" s="65">
        <v>231400</v>
      </c>
      <c r="E108" s="65" t="s">
        <v>210</v>
      </c>
      <c r="F108" s="65" t="s">
        <v>155</v>
      </c>
      <c r="G108" s="65" t="s">
        <v>156</v>
      </c>
      <c r="H108" s="65" t="s">
        <v>139</v>
      </c>
      <c r="I108" s="76"/>
      <c r="J108" s="82"/>
      <c r="K108" s="66"/>
      <c r="L108" s="61">
        <f t="shared" si="3"/>
        <v>0</v>
      </c>
      <c r="M108" s="72"/>
      <c r="N108" s="73"/>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row>
    <row r="109" spans="1:45" s="64" customFormat="1" hidden="1">
      <c r="A109" s="65" t="s">
        <v>155</v>
      </c>
      <c r="B109" s="65" t="s">
        <v>224</v>
      </c>
      <c r="C109" s="83" t="str">
        <f t="shared" si="2"/>
        <v>Natural Resource Damages - Legal/Regulatory</v>
      </c>
      <c r="D109" s="65">
        <v>231600</v>
      </c>
      <c r="E109" s="65" t="s">
        <v>211</v>
      </c>
      <c r="F109" s="65" t="s">
        <v>155</v>
      </c>
      <c r="G109" s="65" t="s">
        <v>156</v>
      </c>
      <c r="H109" s="65" t="s">
        <v>139</v>
      </c>
      <c r="I109" s="76"/>
      <c r="J109" s="82"/>
      <c r="K109" s="66"/>
      <c r="L109" s="61">
        <f t="shared" si="3"/>
        <v>0</v>
      </c>
      <c r="M109" s="72"/>
      <c r="N109" s="73"/>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row>
    <row r="110" spans="1:45" s="64" customFormat="1" hidden="1">
      <c r="A110" s="65" t="s">
        <v>155</v>
      </c>
      <c r="B110" s="65" t="s">
        <v>224</v>
      </c>
      <c r="C110" s="83" t="str">
        <f t="shared" si="2"/>
        <v>Natural Resource Damages - Legal/Regulatory</v>
      </c>
      <c r="D110" s="65">
        <v>232100</v>
      </c>
      <c r="E110" s="65" t="s">
        <v>232</v>
      </c>
      <c r="F110" s="65" t="s">
        <v>155</v>
      </c>
      <c r="G110" s="65" t="s">
        <v>156</v>
      </c>
      <c r="H110" s="65" t="s">
        <v>139</v>
      </c>
      <c r="I110" s="76"/>
      <c r="J110" s="82"/>
      <c r="K110" s="66"/>
      <c r="L110" s="61">
        <f t="shared" si="3"/>
        <v>0</v>
      </c>
      <c r="M110" s="72"/>
      <c r="N110" s="73"/>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row>
    <row r="111" spans="1:45" s="64" customFormat="1" hidden="1">
      <c r="A111" s="65" t="s">
        <v>155</v>
      </c>
      <c r="B111" s="65" t="s">
        <v>224</v>
      </c>
      <c r="C111" s="83" t="str">
        <f t="shared" si="2"/>
        <v>Natural Resource Damages - Legal/Regulatory</v>
      </c>
      <c r="D111" s="65">
        <v>232140</v>
      </c>
      <c r="E111" s="65" t="s">
        <v>233</v>
      </c>
      <c r="F111" s="65" t="s">
        <v>155</v>
      </c>
      <c r="G111" s="65" t="s">
        <v>156</v>
      </c>
      <c r="H111" s="65" t="s">
        <v>139</v>
      </c>
      <c r="I111" s="76"/>
      <c r="J111" s="82"/>
      <c r="K111" s="66"/>
      <c r="L111" s="61">
        <f t="shared" si="3"/>
        <v>0</v>
      </c>
      <c r="M111" s="72"/>
      <c r="N111" s="73"/>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row>
    <row r="112" spans="1:45" s="64" customFormat="1" hidden="1">
      <c r="A112" s="65" t="s">
        <v>155</v>
      </c>
      <c r="B112" s="65" t="s">
        <v>224</v>
      </c>
      <c r="C112" s="83" t="str">
        <f t="shared" si="2"/>
        <v>Natural Resource Damages - Public Records Request</v>
      </c>
      <c r="D112" s="65">
        <v>241000</v>
      </c>
      <c r="E112" s="65" t="s">
        <v>213</v>
      </c>
      <c r="F112" s="65" t="s">
        <v>137</v>
      </c>
      <c r="G112" s="65" t="s">
        <v>138</v>
      </c>
      <c r="H112" s="65" t="s">
        <v>139</v>
      </c>
      <c r="I112" s="76"/>
      <c r="J112" s="82"/>
      <c r="K112" s="66"/>
      <c r="L112" s="61">
        <f t="shared" si="3"/>
        <v>0</v>
      </c>
      <c r="M112" s="72"/>
      <c r="N112" s="73"/>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row>
    <row r="113" spans="1:45" s="64" customFormat="1" hidden="1">
      <c r="A113" s="65" t="s">
        <v>155</v>
      </c>
      <c r="B113" s="65" t="s">
        <v>224</v>
      </c>
      <c r="C113" s="83" t="str">
        <f t="shared" si="2"/>
        <v>Natural Resource Damages - Outreach</v>
      </c>
      <c r="D113" s="65">
        <v>251000</v>
      </c>
      <c r="E113" s="65" t="s">
        <v>214</v>
      </c>
      <c r="F113" s="65" t="s">
        <v>137</v>
      </c>
      <c r="G113" s="65" t="s">
        <v>138</v>
      </c>
      <c r="H113" s="65" t="s">
        <v>139</v>
      </c>
      <c r="I113" s="76"/>
      <c r="J113" s="82"/>
      <c r="K113" s="66"/>
      <c r="L113" s="61">
        <f t="shared" si="3"/>
        <v>0</v>
      </c>
      <c r="M113" s="72"/>
      <c r="N113" s="73"/>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row>
    <row r="114" spans="1:45" s="64" customFormat="1" hidden="1">
      <c r="A114" s="65" t="s">
        <v>155</v>
      </c>
      <c r="B114" s="65" t="s">
        <v>224</v>
      </c>
      <c r="C114" s="83" t="str">
        <f t="shared" si="2"/>
        <v>Natural Resource Damages - Outreach</v>
      </c>
      <c r="D114" s="65">
        <v>251010</v>
      </c>
      <c r="E114" s="65" t="s">
        <v>215</v>
      </c>
      <c r="F114" s="65" t="s">
        <v>137</v>
      </c>
      <c r="G114" s="65" t="s">
        <v>138</v>
      </c>
      <c r="H114" s="65" t="s">
        <v>139</v>
      </c>
      <c r="I114" s="76"/>
      <c r="J114" s="82"/>
      <c r="K114" s="66"/>
      <c r="L114" s="61">
        <f t="shared" si="3"/>
        <v>0</v>
      </c>
      <c r="M114" s="72"/>
      <c r="N114" s="73"/>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row>
    <row r="115" spans="1:45" s="64" customFormat="1" hidden="1">
      <c r="A115" s="65" t="s">
        <v>155</v>
      </c>
      <c r="B115" s="65" t="s">
        <v>224</v>
      </c>
      <c r="C115" s="83" t="str">
        <f t="shared" si="2"/>
        <v>Natural Resource Damages - Cost Recovery</v>
      </c>
      <c r="D115" s="65">
        <v>301000</v>
      </c>
      <c r="E115" s="65" t="s">
        <v>216</v>
      </c>
      <c r="F115" s="65" t="s">
        <v>155</v>
      </c>
      <c r="G115" s="65" t="s">
        <v>156</v>
      </c>
      <c r="H115" s="65" t="s">
        <v>139</v>
      </c>
      <c r="I115" s="76"/>
      <c r="J115" s="82"/>
      <c r="K115" s="66"/>
      <c r="L115" s="61">
        <f t="shared" si="3"/>
        <v>0</v>
      </c>
      <c r="M115" s="72"/>
      <c r="N115" s="73"/>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row>
    <row r="116" spans="1:45" s="64" customFormat="1" hidden="1">
      <c r="A116" s="65" t="s">
        <v>155</v>
      </c>
      <c r="B116" s="65" t="s">
        <v>224</v>
      </c>
      <c r="C116" s="83" t="str">
        <f t="shared" si="2"/>
        <v>Natural Resource Damages - Payments</v>
      </c>
      <c r="D116" s="65">
        <v>321000</v>
      </c>
      <c r="E116" s="65" t="s">
        <v>217</v>
      </c>
      <c r="F116" s="65" t="s">
        <v>155</v>
      </c>
      <c r="G116" s="65" t="s">
        <v>156</v>
      </c>
      <c r="H116" s="65" t="s">
        <v>139</v>
      </c>
      <c r="I116" s="76"/>
      <c r="J116" s="82"/>
      <c r="K116" s="66"/>
      <c r="L116" s="61">
        <f t="shared" si="3"/>
        <v>0</v>
      </c>
      <c r="M116" s="72"/>
      <c r="N116" s="73"/>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row>
    <row r="117" spans="1:45" s="64" customFormat="1" hidden="1">
      <c r="A117" s="65" t="s">
        <v>155</v>
      </c>
      <c r="B117" s="65" t="s">
        <v>224</v>
      </c>
      <c r="C117" s="83" t="str">
        <f t="shared" si="2"/>
        <v>Natural Resource Damages - Payments</v>
      </c>
      <c r="D117" s="65">
        <v>321300</v>
      </c>
      <c r="E117" s="65" t="s">
        <v>218</v>
      </c>
      <c r="F117" s="65" t="s">
        <v>155</v>
      </c>
      <c r="G117" s="65" t="s">
        <v>156</v>
      </c>
      <c r="H117" s="65" t="s">
        <v>139</v>
      </c>
      <c r="I117" s="76"/>
      <c r="J117" s="82"/>
      <c r="K117" s="66"/>
      <c r="L117" s="61">
        <f t="shared" si="3"/>
        <v>0</v>
      </c>
      <c r="M117" s="72"/>
      <c r="N117" s="73"/>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row>
    <row r="118" spans="1:45" s="64" customFormat="1" hidden="1">
      <c r="A118" s="65" t="s">
        <v>155</v>
      </c>
      <c r="B118" s="65" t="s">
        <v>224</v>
      </c>
      <c r="C118" s="83" t="str">
        <f t="shared" si="2"/>
        <v>Natural Resource Damages - Payments</v>
      </c>
      <c r="D118" s="65">
        <v>321310</v>
      </c>
      <c r="E118" s="65" t="s">
        <v>219</v>
      </c>
      <c r="F118" s="65" t="s">
        <v>155</v>
      </c>
      <c r="G118" s="65" t="s">
        <v>156</v>
      </c>
      <c r="H118" s="65" t="s">
        <v>139</v>
      </c>
      <c r="I118" s="76"/>
      <c r="J118" s="82"/>
      <c r="K118" s="66"/>
      <c r="L118" s="61">
        <f t="shared" si="3"/>
        <v>0</v>
      </c>
      <c r="M118" s="72"/>
      <c r="N118" s="73"/>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row>
    <row r="119" spans="1:45" s="64" customFormat="1" hidden="1">
      <c r="A119" s="65" t="s">
        <v>155</v>
      </c>
      <c r="B119" s="65" t="s">
        <v>224</v>
      </c>
      <c r="C119" s="83" t="str">
        <f t="shared" si="2"/>
        <v>Natural Resource Damages - Payments</v>
      </c>
      <c r="D119" s="65">
        <v>321320</v>
      </c>
      <c r="E119" s="65" t="s">
        <v>220</v>
      </c>
      <c r="F119" s="65" t="s">
        <v>155</v>
      </c>
      <c r="G119" s="65" t="s">
        <v>156</v>
      </c>
      <c r="H119" s="65" t="s">
        <v>139</v>
      </c>
      <c r="I119" s="76"/>
      <c r="J119" s="82"/>
      <c r="K119" s="66"/>
      <c r="L119" s="61">
        <f t="shared" si="3"/>
        <v>0</v>
      </c>
      <c r="M119" s="72"/>
      <c r="N119" s="73"/>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row>
    <row r="120" spans="1:45" s="64" customFormat="1" hidden="1">
      <c r="A120" s="65" t="s">
        <v>155</v>
      </c>
      <c r="B120" s="65" t="s">
        <v>224</v>
      </c>
      <c r="C120" s="83" t="str">
        <f t="shared" si="2"/>
        <v>Natural Resource Damages - Payments</v>
      </c>
      <c r="D120" s="65">
        <v>321330</v>
      </c>
      <c r="E120" s="65" t="s">
        <v>221</v>
      </c>
      <c r="F120" s="65" t="s">
        <v>155</v>
      </c>
      <c r="G120" s="65" t="s">
        <v>156</v>
      </c>
      <c r="H120" s="65" t="s">
        <v>139</v>
      </c>
      <c r="I120" s="76"/>
      <c r="J120" s="82"/>
      <c r="K120" s="66"/>
      <c r="L120" s="61">
        <f t="shared" si="3"/>
        <v>0</v>
      </c>
      <c r="M120" s="72"/>
      <c r="N120" s="73"/>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row>
    <row r="121" spans="1:45" s="64" customFormat="1" hidden="1">
      <c r="A121" s="65" t="s">
        <v>155</v>
      </c>
      <c r="B121" s="65" t="s">
        <v>224</v>
      </c>
      <c r="C121" s="83" t="str">
        <f t="shared" si="2"/>
        <v>Natural Resource Damages - Payments</v>
      </c>
      <c r="D121" s="65">
        <v>321340</v>
      </c>
      <c r="E121" s="65" t="s">
        <v>222</v>
      </c>
      <c r="F121" s="65" t="s">
        <v>155</v>
      </c>
      <c r="G121" s="65" t="s">
        <v>156</v>
      </c>
      <c r="H121" s="65" t="s">
        <v>139</v>
      </c>
      <c r="I121" s="76"/>
      <c r="J121" s="82"/>
      <c r="K121" s="66"/>
      <c r="L121" s="61">
        <f t="shared" si="3"/>
        <v>0</v>
      </c>
      <c r="M121" s="72"/>
      <c r="N121" s="73"/>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row>
    <row r="122" spans="1:45" s="64" customFormat="1" hidden="1">
      <c r="A122" s="65" t="s">
        <v>155</v>
      </c>
      <c r="B122" s="65" t="s">
        <v>224</v>
      </c>
      <c r="C122" s="83" t="str">
        <f t="shared" si="2"/>
        <v>Natural Resource Damages - Contingency</v>
      </c>
      <c r="D122" s="65">
        <v>790000</v>
      </c>
      <c r="E122" s="65" t="s">
        <v>223</v>
      </c>
      <c r="F122" s="65" t="s">
        <v>137</v>
      </c>
      <c r="G122" s="65" t="s">
        <v>138</v>
      </c>
      <c r="H122" s="65"/>
      <c r="I122" s="76"/>
      <c r="J122" s="82"/>
      <c r="K122" s="66"/>
      <c r="L122" s="61">
        <f t="shared" si="3"/>
        <v>0</v>
      </c>
      <c r="M122" s="72"/>
      <c r="N122" s="73"/>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row>
    <row r="123" spans="1:45" s="64" customFormat="1" hidden="1">
      <c r="A123" s="65" t="s">
        <v>155</v>
      </c>
      <c r="B123" s="65" t="s">
        <v>224</v>
      </c>
      <c r="C123" s="83" t="str">
        <f t="shared" si="2"/>
        <v>Natural Resource Damages - Capitalized Alloc Sup Svs</v>
      </c>
      <c r="D123" s="65">
        <v>909000</v>
      </c>
      <c r="E123" s="65" t="s">
        <v>174</v>
      </c>
      <c r="F123" s="65" t="s">
        <v>137</v>
      </c>
      <c r="G123" s="65" t="s">
        <v>138</v>
      </c>
      <c r="H123" s="65"/>
      <c r="I123" s="76"/>
      <c r="J123" s="82"/>
      <c r="K123" s="66"/>
      <c r="L123" s="61">
        <f t="shared" si="3"/>
        <v>0</v>
      </c>
      <c r="M123" s="72"/>
      <c r="N123" s="73"/>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row>
    <row r="124" spans="1:45" s="64" customFormat="1" hidden="1">
      <c r="A124" s="65" t="s">
        <v>168</v>
      </c>
      <c r="B124" s="65" t="s">
        <v>234</v>
      </c>
      <c r="C124" s="83" t="str">
        <f t="shared" si="2"/>
        <v>LW Programmatic - Project Admin &amp; Mgmt</v>
      </c>
      <c r="D124" s="65">
        <v>101000</v>
      </c>
      <c r="E124" s="65" t="s">
        <v>136</v>
      </c>
      <c r="F124" s="65" t="s">
        <v>137</v>
      </c>
      <c r="G124" s="65" t="s">
        <v>138</v>
      </c>
      <c r="H124" s="65" t="s">
        <v>139</v>
      </c>
      <c r="I124" s="76"/>
      <c r="J124" s="82"/>
      <c r="K124" s="66"/>
      <c r="L124" s="61">
        <f t="shared" si="3"/>
        <v>0</v>
      </c>
      <c r="M124" s="72"/>
      <c r="N124" s="73"/>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row>
    <row r="125" spans="1:45" s="64" customFormat="1" hidden="1">
      <c r="A125" s="65" t="s">
        <v>168</v>
      </c>
      <c r="B125" s="65" t="s">
        <v>234</v>
      </c>
      <c r="C125" s="83" t="str">
        <f t="shared" si="2"/>
        <v>LW Programmatic - Project Admin &amp; Mgmt</v>
      </c>
      <c r="D125" s="65">
        <v>101010</v>
      </c>
      <c r="E125" s="65" t="s">
        <v>235</v>
      </c>
      <c r="F125" s="65" t="s">
        <v>137</v>
      </c>
      <c r="G125" s="65" t="s">
        <v>138</v>
      </c>
      <c r="H125" s="65" t="s">
        <v>139</v>
      </c>
      <c r="I125" s="76"/>
      <c r="J125" s="82"/>
      <c r="K125" s="66"/>
      <c r="L125" s="61">
        <f t="shared" si="3"/>
        <v>0</v>
      </c>
      <c r="M125" s="72"/>
      <c r="N125" s="73"/>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row>
    <row r="126" spans="1:45" s="64" customFormat="1" hidden="1">
      <c r="A126" s="65" t="s">
        <v>168</v>
      </c>
      <c r="B126" s="65" t="s">
        <v>234</v>
      </c>
      <c r="C126" s="83" t="str">
        <f t="shared" si="2"/>
        <v>LW Programmatic - Project Admin &amp; Mgmt</v>
      </c>
      <c r="D126" s="65">
        <v>101020</v>
      </c>
      <c r="E126" s="65" t="s">
        <v>236</v>
      </c>
      <c r="F126" s="65" t="s">
        <v>137</v>
      </c>
      <c r="G126" s="65" t="s">
        <v>138</v>
      </c>
      <c r="H126" s="65" t="s">
        <v>139</v>
      </c>
      <c r="I126" s="76"/>
      <c r="J126" s="82"/>
      <c r="K126" s="66"/>
      <c r="L126" s="61">
        <f t="shared" si="3"/>
        <v>0</v>
      </c>
      <c r="M126" s="72"/>
      <c r="N126" s="73"/>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row>
    <row r="127" spans="1:45" s="64" customFormat="1" hidden="1">
      <c r="A127" s="65" t="s">
        <v>168</v>
      </c>
      <c r="B127" s="65" t="s">
        <v>234</v>
      </c>
      <c r="C127" s="83" t="str">
        <f t="shared" si="2"/>
        <v>LW Programmatic - Planning</v>
      </c>
      <c r="D127" s="65">
        <v>151200</v>
      </c>
      <c r="E127" s="65" t="s">
        <v>201</v>
      </c>
      <c r="F127" s="65" t="s">
        <v>144</v>
      </c>
      <c r="G127" s="65" t="s">
        <v>145</v>
      </c>
      <c r="H127" s="65" t="s">
        <v>139</v>
      </c>
      <c r="I127" s="76"/>
      <c r="J127" s="82"/>
      <c r="K127" s="66"/>
      <c r="L127" s="61">
        <f t="shared" si="3"/>
        <v>0</v>
      </c>
      <c r="M127" s="72"/>
      <c r="N127" s="73"/>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row>
    <row r="128" spans="1:45" s="64" customFormat="1" hidden="1">
      <c r="A128" s="65" t="s">
        <v>168</v>
      </c>
      <c r="B128" s="65" t="s">
        <v>234</v>
      </c>
      <c r="C128" s="83" t="str">
        <f t="shared" si="2"/>
        <v>LW Programmatic - Planning</v>
      </c>
      <c r="D128" s="65">
        <v>151240</v>
      </c>
      <c r="E128" s="65" t="s">
        <v>237</v>
      </c>
      <c r="F128" s="65" t="s">
        <v>144</v>
      </c>
      <c r="G128" s="65" t="s">
        <v>145</v>
      </c>
      <c r="H128" s="65" t="s">
        <v>139</v>
      </c>
      <c r="I128" s="76"/>
      <c r="J128" s="82"/>
      <c r="K128" s="66"/>
      <c r="L128" s="61">
        <f t="shared" si="3"/>
        <v>0</v>
      </c>
      <c r="M128" s="72"/>
      <c r="N128" s="73"/>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row>
    <row r="129" spans="1:45" s="64" customFormat="1" hidden="1">
      <c r="A129" s="65" t="s">
        <v>168</v>
      </c>
      <c r="B129" s="65" t="s">
        <v>234</v>
      </c>
      <c r="C129" s="83" t="str">
        <f t="shared" si="2"/>
        <v>LW Programmatic - Planning</v>
      </c>
      <c r="D129" s="65">
        <v>151900</v>
      </c>
      <c r="E129" s="65" t="s">
        <v>238</v>
      </c>
      <c r="F129" s="65" t="s">
        <v>144</v>
      </c>
      <c r="G129" s="65" t="s">
        <v>145</v>
      </c>
      <c r="H129" s="65" t="s">
        <v>139</v>
      </c>
      <c r="I129" s="76"/>
      <c r="J129" s="82"/>
      <c r="K129" s="66"/>
      <c r="L129" s="61">
        <f t="shared" si="3"/>
        <v>0</v>
      </c>
      <c r="M129" s="72"/>
      <c r="N129" s="73"/>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row>
    <row r="130" spans="1:45" s="64" customFormat="1" hidden="1">
      <c r="A130" s="65" t="s">
        <v>168</v>
      </c>
      <c r="B130" s="65" t="s">
        <v>234</v>
      </c>
      <c r="C130" s="83" t="str">
        <f t="shared" si="2"/>
        <v>LW Programmatic - Public Records Request</v>
      </c>
      <c r="D130" s="65">
        <v>241000</v>
      </c>
      <c r="E130" s="65" t="s">
        <v>213</v>
      </c>
      <c r="F130" s="65" t="s">
        <v>137</v>
      </c>
      <c r="G130" s="65" t="s">
        <v>138</v>
      </c>
      <c r="H130" s="65" t="s">
        <v>139</v>
      </c>
      <c r="I130" s="76"/>
      <c r="J130" s="82"/>
      <c r="K130" s="66"/>
      <c r="L130" s="61">
        <f t="shared" si="3"/>
        <v>0</v>
      </c>
      <c r="M130" s="72"/>
      <c r="N130" s="73"/>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row>
    <row r="131" spans="1:45" s="64" customFormat="1" hidden="1">
      <c r="A131" s="65" t="s">
        <v>168</v>
      </c>
      <c r="B131" s="65" t="s">
        <v>234</v>
      </c>
      <c r="C131" s="83" t="str">
        <f t="shared" si="2"/>
        <v>LW Programmatic - Outreach</v>
      </c>
      <c r="D131" s="65">
        <v>251000</v>
      </c>
      <c r="E131" s="65" t="s">
        <v>214</v>
      </c>
      <c r="F131" s="65" t="s">
        <v>137</v>
      </c>
      <c r="G131" s="65" t="s">
        <v>138</v>
      </c>
      <c r="H131" s="65" t="s">
        <v>139</v>
      </c>
      <c r="I131" s="76"/>
      <c r="J131" s="82"/>
      <c r="K131" s="66"/>
      <c r="L131" s="61">
        <f t="shared" si="3"/>
        <v>0</v>
      </c>
      <c r="M131" s="72"/>
      <c r="N131" s="73"/>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row>
    <row r="132" spans="1:45" s="64" customFormat="1" hidden="1">
      <c r="A132" s="65" t="s">
        <v>168</v>
      </c>
      <c r="B132" s="65" t="s">
        <v>234</v>
      </c>
      <c r="C132" s="83" t="str">
        <f t="shared" si="2"/>
        <v>LW Programmatic - Records Management</v>
      </c>
      <c r="D132" s="65">
        <v>271000</v>
      </c>
      <c r="E132" s="65" t="s">
        <v>239</v>
      </c>
      <c r="F132" s="65" t="s">
        <v>155</v>
      </c>
      <c r="G132" s="65" t="s">
        <v>156</v>
      </c>
      <c r="H132" s="65" t="s">
        <v>139</v>
      </c>
      <c r="I132" s="76"/>
      <c r="J132" s="82"/>
      <c r="K132" s="66"/>
      <c r="L132" s="61">
        <f t="shared" si="3"/>
        <v>0</v>
      </c>
      <c r="M132" s="72"/>
      <c r="N132" s="73"/>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row>
    <row r="133" spans="1:45" s="64" customFormat="1" hidden="1">
      <c r="A133" s="65" t="s">
        <v>168</v>
      </c>
      <c r="B133" s="65" t="s">
        <v>234</v>
      </c>
      <c r="C133" s="83" t="str">
        <f t="shared" ref="C133:C196" si="4">B133 &amp; " - " &amp; LEFT(E133,FIND("-",E133)-1)</f>
        <v>LW Programmatic - Records Management</v>
      </c>
      <c r="D133" s="65">
        <v>271100</v>
      </c>
      <c r="E133" s="65" t="s">
        <v>240</v>
      </c>
      <c r="F133" s="65" t="s">
        <v>155</v>
      </c>
      <c r="G133" s="65" t="s">
        <v>156</v>
      </c>
      <c r="H133" s="65" t="s">
        <v>139</v>
      </c>
      <c r="I133" s="76"/>
      <c r="J133" s="82"/>
      <c r="K133" s="66"/>
      <c r="L133" s="61">
        <f t="shared" si="3"/>
        <v>0</v>
      </c>
      <c r="M133" s="72"/>
      <c r="N133" s="73"/>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row>
    <row r="134" spans="1:45" s="64" customFormat="1" hidden="1">
      <c r="A134" s="65" t="s">
        <v>168</v>
      </c>
      <c r="B134" s="65" t="s">
        <v>234</v>
      </c>
      <c r="C134" s="83" t="str">
        <f t="shared" si="4"/>
        <v>LW Programmatic - Records Management</v>
      </c>
      <c r="D134" s="65">
        <v>271300</v>
      </c>
      <c r="E134" s="65" t="s">
        <v>241</v>
      </c>
      <c r="F134" s="65" t="s">
        <v>155</v>
      </c>
      <c r="G134" s="65" t="s">
        <v>156</v>
      </c>
      <c r="H134" s="65" t="s">
        <v>139</v>
      </c>
      <c r="I134" s="76"/>
      <c r="J134" s="82"/>
      <c r="K134" s="66"/>
      <c r="L134" s="61">
        <f t="shared" ref="L134:L197" si="5">I134*J134</f>
        <v>0</v>
      </c>
      <c r="M134" s="72"/>
      <c r="N134" s="73"/>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row>
    <row r="135" spans="1:45" s="64" customFormat="1" hidden="1">
      <c r="A135" s="65" t="s">
        <v>168</v>
      </c>
      <c r="B135" s="65" t="s">
        <v>234</v>
      </c>
      <c r="C135" s="83" t="str">
        <f t="shared" si="4"/>
        <v>LW Programmatic - Cost Recovery</v>
      </c>
      <c r="D135" s="65">
        <v>301000</v>
      </c>
      <c r="E135" s="65" t="s">
        <v>216</v>
      </c>
      <c r="F135" s="65" t="s">
        <v>155</v>
      </c>
      <c r="G135" s="65" t="s">
        <v>156</v>
      </c>
      <c r="H135" s="65" t="s">
        <v>139</v>
      </c>
      <c r="I135" s="76"/>
      <c r="J135" s="82"/>
      <c r="K135" s="66"/>
      <c r="L135" s="61">
        <f t="shared" si="5"/>
        <v>0</v>
      </c>
      <c r="M135" s="72"/>
      <c r="N135" s="73"/>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row>
    <row r="136" spans="1:45" s="64" customFormat="1" hidden="1">
      <c r="A136" s="65" t="s">
        <v>168</v>
      </c>
      <c r="B136" s="65" t="s">
        <v>234</v>
      </c>
      <c r="C136" s="83" t="str">
        <f t="shared" si="4"/>
        <v>LW Programmatic - Cost Recovery</v>
      </c>
      <c r="D136" s="65">
        <v>301100</v>
      </c>
      <c r="E136" s="65" t="s">
        <v>242</v>
      </c>
      <c r="F136" s="65" t="s">
        <v>155</v>
      </c>
      <c r="G136" s="65" t="s">
        <v>156</v>
      </c>
      <c r="H136" s="65" t="s">
        <v>139</v>
      </c>
      <c r="I136" s="76"/>
      <c r="J136" s="82"/>
      <c r="K136" s="66"/>
      <c r="L136" s="61">
        <f t="shared" si="5"/>
        <v>0</v>
      </c>
      <c r="M136" s="72"/>
      <c r="N136" s="73"/>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row>
    <row r="137" spans="1:45" s="64" customFormat="1" hidden="1">
      <c r="A137" s="65" t="s">
        <v>168</v>
      </c>
      <c r="B137" s="65" t="s">
        <v>234</v>
      </c>
      <c r="C137" s="83" t="str">
        <f t="shared" si="4"/>
        <v>LW Programmatic - Contingency</v>
      </c>
      <c r="D137" s="65">
        <v>790000</v>
      </c>
      <c r="E137" s="65" t="s">
        <v>223</v>
      </c>
      <c r="F137" s="65" t="s">
        <v>137</v>
      </c>
      <c r="G137" s="65" t="s">
        <v>138</v>
      </c>
      <c r="H137" s="65"/>
      <c r="I137" s="76"/>
      <c r="J137" s="82"/>
      <c r="K137" s="66"/>
      <c r="L137" s="61">
        <f t="shared" si="5"/>
        <v>0</v>
      </c>
      <c r="M137" s="72"/>
      <c r="N137" s="73"/>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row>
    <row r="138" spans="1:45" s="64" customFormat="1" hidden="1">
      <c r="A138" s="65" t="s">
        <v>168</v>
      </c>
      <c r="B138" s="65" t="s">
        <v>234</v>
      </c>
      <c r="C138" s="83" t="str">
        <f t="shared" si="4"/>
        <v>LW Programmatic - Capitalized Alloc Sup Svs</v>
      </c>
      <c r="D138" s="65">
        <v>909000</v>
      </c>
      <c r="E138" s="65" t="s">
        <v>174</v>
      </c>
      <c r="F138" s="65" t="s">
        <v>137</v>
      </c>
      <c r="G138" s="65" t="s">
        <v>138</v>
      </c>
      <c r="H138" s="65"/>
      <c r="I138" s="76"/>
      <c r="J138" s="82"/>
      <c r="K138" s="66"/>
      <c r="L138" s="61">
        <f t="shared" si="5"/>
        <v>0</v>
      </c>
      <c r="M138" s="72"/>
      <c r="N138" s="73"/>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row>
    <row r="139" spans="1:45" s="64" customFormat="1" hidden="1">
      <c r="A139" s="65" t="s">
        <v>243</v>
      </c>
      <c r="B139" s="65" t="s">
        <v>244</v>
      </c>
      <c r="C139" s="83" t="str">
        <f t="shared" si="4"/>
        <v>LW Project - Project Admin &amp; Mgmt</v>
      </c>
      <c r="D139" s="65">
        <v>101000</v>
      </c>
      <c r="E139" s="65" t="s">
        <v>136</v>
      </c>
      <c r="F139" s="65" t="s">
        <v>137</v>
      </c>
      <c r="G139" s="65" t="s">
        <v>138</v>
      </c>
      <c r="H139" s="65" t="s">
        <v>139</v>
      </c>
      <c r="I139" s="76"/>
      <c r="J139" s="82"/>
      <c r="K139" s="66"/>
      <c r="L139" s="61">
        <f t="shared" si="5"/>
        <v>0</v>
      </c>
      <c r="M139" s="72"/>
      <c r="N139" s="73"/>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row>
    <row r="140" spans="1:45" s="64" customFormat="1" hidden="1">
      <c r="A140" s="65" t="s">
        <v>243</v>
      </c>
      <c r="B140" s="65" t="s">
        <v>244</v>
      </c>
      <c r="C140" s="83" t="str">
        <f t="shared" si="4"/>
        <v>LW Project - Design</v>
      </c>
      <c r="D140" s="65">
        <v>141400</v>
      </c>
      <c r="E140" s="65" t="s">
        <v>197</v>
      </c>
      <c r="F140" s="65" t="s">
        <v>144</v>
      </c>
      <c r="G140" s="65" t="s">
        <v>145</v>
      </c>
      <c r="H140" s="65" t="s">
        <v>139</v>
      </c>
      <c r="I140" s="76"/>
      <c r="J140" s="82"/>
      <c r="K140" s="66"/>
      <c r="L140" s="61">
        <f t="shared" si="5"/>
        <v>0</v>
      </c>
      <c r="M140" s="72"/>
      <c r="N140" s="73"/>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row>
    <row r="141" spans="1:45" s="64" customFormat="1" hidden="1">
      <c r="A141" s="65" t="s">
        <v>243</v>
      </c>
      <c r="B141" s="65" t="s">
        <v>244</v>
      </c>
      <c r="C141" s="83" t="str">
        <f t="shared" si="4"/>
        <v>LW Project - Planning</v>
      </c>
      <c r="D141" s="65">
        <v>151100</v>
      </c>
      <c r="E141" s="65" t="s">
        <v>199</v>
      </c>
      <c r="F141" s="65" t="s">
        <v>144</v>
      </c>
      <c r="G141" s="65" t="s">
        <v>145</v>
      </c>
      <c r="H141" s="65" t="s">
        <v>139</v>
      </c>
      <c r="I141" s="76"/>
      <c r="J141" s="82"/>
      <c r="K141" s="66"/>
      <c r="L141" s="61">
        <f t="shared" si="5"/>
        <v>0</v>
      </c>
      <c r="M141" s="72"/>
      <c r="N141" s="73"/>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row>
    <row r="142" spans="1:45" s="64" customFormat="1" hidden="1">
      <c r="A142" s="65" t="s">
        <v>243</v>
      </c>
      <c r="B142" s="65" t="s">
        <v>244</v>
      </c>
      <c r="C142" s="83" t="str">
        <f t="shared" si="4"/>
        <v>LW Project - Planning</v>
      </c>
      <c r="D142" s="65">
        <v>151120</v>
      </c>
      <c r="E142" s="65" t="s">
        <v>227</v>
      </c>
      <c r="F142" s="65" t="s">
        <v>144</v>
      </c>
      <c r="G142" s="65" t="s">
        <v>145</v>
      </c>
      <c r="H142" s="65" t="s">
        <v>139</v>
      </c>
      <c r="I142" s="76"/>
      <c r="J142" s="82"/>
      <c r="K142" s="66"/>
      <c r="L142" s="61">
        <f t="shared" si="5"/>
        <v>0</v>
      </c>
      <c r="M142" s="72"/>
      <c r="N142" s="73"/>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row>
    <row r="143" spans="1:45" s="64" customFormat="1" hidden="1">
      <c r="A143" s="65" t="s">
        <v>243</v>
      </c>
      <c r="B143" s="65" t="s">
        <v>244</v>
      </c>
      <c r="C143" s="83" t="str">
        <f t="shared" si="4"/>
        <v>LW Project - Planning</v>
      </c>
      <c r="D143" s="65">
        <v>151300</v>
      </c>
      <c r="E143" s="65" t="s">
        <v>202</v>
      </c>
      <c r="F143" s="65" t="s">
        <v>144</v>
      </c>
      <c r="G143" s="65" t="s">
        <v>145</v>
      </c>
      <c r="H143" s="65" t="s">
        <v>139</v>
      </c>
      <c r="I143" s="76"/>
      <c r="J143" s="82"/>
      <c r="K143" s="66"/>
      <c r="L143" s="61">
        <f t="shared" si="5"/>
        <v>0</v>
      </c>
      <c r="M143" s="72"/>
      <c r="N143" s="73"/>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row>
    <row r="144" spans="1:45" s="64" customFormat="1" hidden="1">
      <c r="A144" s="65" t="s">
        <v>243</v>
      </c>
      <c r="B144" s="65" t="s">
        <v>244</v>
      </c>
      <c r="C144" s="83" t="str">
        <f t="shared" si="4"/>
        <v>LW Project - Planning</v>
      </c>
      <c r="D144" s="65">
        <v>151600</v>
      </c>
      <c r="E144" s="65" t="s">
        <v>205</v>
      </c>
      <c r="F144" s="65" t="s">
        <v>144</v>
      </c>
      <c r="G144" s="65" t="s">
        <v>145</v>
      </c>
      <c r="H144" s="65" t="s">
        <v>139</v>
      </c>
      <c r="I144" s="76"/>
      <c r="J144" s="82"/>
      <c r="K144" s="66"/>
      <c r="L144" s="61">
        <f t="shared" si="5"/>
        <v>0</v>
      </c>
      <c r="M144" s="72"/>
      <c r="N144" s="73"/>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row>
    <row r="145" spans="1:45" s="64" customFormat="1" hidden="1">
      <c r="A145" s="65" t="s">
        <v>243</v>
      </c>
      <c r="B145" s="65" t="s">
        <v>244</v>
      </c>
      <c r="C145" s="83" t="str">
        <f t="shared" si="4"/>
        <v>LW Project - Implementation</v>
      </c>
      <c r="D145" s="65">
        <v>181000</v>
      </c>
      <c r="E145" s="65" t="s">
        <v>206</v>
      </c>
      <c r="F145" s="65" t="s">
        <v>155</v>
      </c>
      <c r="G145" s="65" t="s">
        <v>156</v>
      </c>
      <c r="H145" s="65" t="s">
        <v>139</v>
      </c>
      <c r="I145" s="76"/>
      <c r="J145" s="82"/>
      <c r="K145" s="66"/>
      <c r="L145" s="61">
        <f t="shared" si="5"/>
        <v>0</v>
      </c>
      <c r="M145" s="72"/>
      <c r="N145" s="73"/>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row>
    <row r="146" spans="1:45" s="64" customFormat="1" hidden="1">
      <c r="A146" s="65" t="s">
        <v>243</v>
      </c>
      <c r="B146" s="65" t="s">
        <v>244</v>
      </c>
      <c r="C146" s="83" t="str">
        <f t="shared" si="4"/>
        <v>LW Project - Permitting</v>
      </c>
      <c r="D146" s="65">
        <v>201000</v>
      </c>
      <c r="E146" s="65" t="s">
        <v>245</v>
      </c>
      <c r="F146" s="65" t="s">
        <v>155</v>
      </c>
      <c r="G146" s="65" t="s">
        <v>156</v>
      </c>
      <c r="H146" s="65" t="s">
        <v>139</v>
      </c>
      <c r="I146" s="76"/>
      <c r="J146" s="82"/>
      <c r="K146" s="66"/>
      <c r="L146" s="61">
        <f t="shared" si="5"/>
        <v>0</v>
      </c>
      <c r="M146" s="72"/>
      <c r="N146" s="73"/>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row>
    <row r="147" spans="1:45" s="64" customFormat="1" hidden="1">
      <c r="A147" s="65" t="s">
        <v>243</v>
      </c>
      <c r="B147" s="65" t="s">
        <v>244</v>
      </c>
      <c r="C147" s="83" t="str">
        <f t="shared" si="4"/>
        <v>LW Project - Legal/Regulatory</v>
      </c>
      <c r="D147" s="65">
        <v>232000</v>
      </c>
      <c r="E147" s="65" t="s">
        <v>246</v>
      </c>
      <c r="F147" s="65" t="s">
        <v>155</v>
      </c>
      <c r="G147" s="65" t="s">
        <v>156</v>
      </c>
      <c r="H147" s="65" t="s">
        <v>139</v>
      </c>
      <c r="I147" s="76"/>
      <c r="J147" s="82"/>
      <c r="K147" s="66"/>
      <c r="L147" s="61">
        <f t="shared" si="5"/>
        <v>0</v>
      </c>
      <c r="M147" s="72"/>
      <c r="N147" s="73"/>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row>
    <row r="148" spans="1:45" s="64" customFormat="1" hidden="1">
      <c r="A148" s="65" t="s">
        <v>243</v>
      </c>
      <c r="B148" s="65" t="s">
        <v>244</v>
      </c>
      <c r="C148" s="83" t="str">
        <f t="shared" si="4"/>
        <v>LW Project - Legal/Regulatory</v>
      </c>
      <c r="D148" s="65">
        <v>232010</v>
      </c>
      <c r="E148" s="65" t="s">
        <v>247</v>
      </c>
      <c r="F148" s="65" t="s">
        <v>155</v>
      </c>
      <c r="G148" s="65" t="s">
        <v>156</v>
      </c>
      <c r="H148" s="65" t="s">
        <v>139</v>
      </c>
      <c r="I148" s="76"/>
      <c r="J148" s="82"/>
      <c r="K148" s="66"/>
      <c r="L148" s="61">
        <f t="shared" si="5"/>
        <v>0</v>
      </c>
      <c r="M148" s="72"/>
      <c r="N148" s="73"/>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row>
    <row r="149" spans="1:45" s="64" customFormat="1" hidden="1">
      <c r="A149" s="65" t="s">
        <v>243</v>
      </c>
      <c r="B149" s="65" t="s">
        <v>244</v>
      </c>
      <c r="C149" s="83" t="str">
        <f t="shared" si="4"/>
        <v>LW Project - Legal/Regulatory</v>
      </c>
      <c r="D149" s="65">
        <v>232100</v>
      </c>
      <c r="E149" s="65" t="s">
        <v>232</v>
      </c>
      <c r="F149" s="65" t="s">
        <v>155</v>
      </c>
      <c r="G149" s="65" t="s">
        <v>156</v>
      </c>
      <c r="H149" s="65" t="s">
        <v>139</v>
      </c>
      <c r="I149" s="76"/>
      <c r="J149" s="82"/>
      <c r="K149" s="66"/>
      <c r="L149" s="61">
        <f t="shared" si="5"/>
        <v>0</v>
      </c>
      <c r="M149" s="72"/>
      <c r="N149" s="73"/>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row>
    <row r="150" spans="1:45" s="64" customFormat="1" hidden="1">
      <c r="A150" s="65" t="s">
        <v>243</v>
      </c>
      <c r="B150" s="65" t="s">
        <v>244</v>
      </c>
      <c r="C150" s="83" t="str">
        <f t="shared" si="4"/>
        <v>LW Project - Legal/Regulatory</v>
      </c>
      <c r="D150" s="65">
        <v>232110</v>
      </c>
      <c r="E150" s="65" t="s">
        <v>248</v>
      </c>
      <c r="F150" s="65" t="s">
        <v>155</v>
      </c>
      <c r="G150" s="65" t="s">
        <v>156</v>
      </c>
      <c r="H150" s="65" t="s">
        <v>139</v>
      </c>
      <c r="I150" s="76"/>
      <c r="J150" s="82"/>
      <c r="K150" s="66"/>
      <c r="L150" s="61">
        <f t="shared" si="5"/>
        <v>0</v>
      </c>
      <c r="M150" s="72"/>
      <c r="N150" s="73"/>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row>
    <row r="151" spans="1:45" s="64" customFormat="1" hidden="1">
      <c r="A151" s="65" t="s">
        <v>243</v>
      </c>
      <c r="B151" s="65" t="s">
        <v>244</v>
      </c>
      <c r="C151" s="83" t="str">
        <f t="shared" si="4"/>
        <v>LW Project - Public Records Request</v>
      </c>
      <c r="D151" s="65">
        <v>241000</v>
      </c>
      <c r="E151" s="65" t="s">
        <v>213</v>
      </c>
      <c r="F151" s="65" t="s">
        <v>137</v>
      </c>
      <c r="G151" s="65" t="s">
        <v>138</v>
      </c>
      <c r="H151" s="65" t="s">
        <v>139</v>
      </c>
      <c r="I151" s="76"/>
      <c r="J151" s="82"/>
      <c r="K151" s="66"/>
      <c r="L151" s="61">
        <f t="shared" si="5"/>
        <v>0</v>
      </c>
      <c r="M151" s="72"/>
      <c r="N151" s="73"/>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row>
    <row r="152" spans="1:45" s="64" customFormat="1" hidden="1">
      <c r="A152" s="65" t="s">
        <v>243</v>
      </c>
      <c r="B152" s="65" t="s">
        <v>244</v>
      </c>
      <c r="C152" s="83" t="str">
        <f t="shared" si="4"/>
        <v>LW Project - Outreach</v>
      </c>
      <c r="D152" s="65">
        <v>251000</v>
      </c>
      <c r="E152" s="65" t="s">
        <v>214</v>
      </c>
      <c r="F152" s="65" t="s">
        <v>137</v>
      </c>
      <c r="G152" s="65" t="s">
        <v>138</v>
      </c>
      <c r="H152" s="65" t="s">
        <v>139</v>
      </c>
      <c r="I152" s="76"/>
      <c r="J152" s="82"/>
      <c r="K152" s="66"/>
      <c r="L152" s="61">
        <f t="shared" si="5"/>
        <v>0</v>
      </c>
      <c r="M152" s="72"/>
      <c r="N152" s="73"/>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row>
    <row r="153" spans="1:45" s="64" customFormat="1" hidden="1">
      <c r="A153" s="65" t="s">
        <v>243</v>
      </c>
      <c r="B153" s="65" t="s">
        <v>244</v>
      </c>
      <c r="C153" s="83" t="str">
        <f t="shared" si="4"/>
        <v>LW Project - Cost Recovery</v>
      </c>
      <c r="D153" s="65">
        <v>301000</v>
      </c>
      <c r="E153" s="65" t="s">
        <v>216</v>
      </c>
      <c r="F153" s="65" t="s">
        <v>155</v>
      </c>
      <c r="G153" s="65" t="s">
        <v>156</v>
      </c>
      <c r="H153" s="65" t="s">
        <v>139</v>
      </c>
      <c r="I153" s="76"/>
      <c r="J153" s="82"/>
      <c r="K153" s="66"/>
      <c r="L153" s="61">
        <f t="shared" si="5"/>
        <v>0</v>
      </c>
      <c r="M153" s="72"/>
      <c r="N153" s="73"/>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row>
    <row r="154" spans="1:45" s="64" customFormat="1" hidden="1">
      <c r="A154" s="65" t="s">
        <v>243</v>
      </c>
      <c r="B154" s="65" t="s">
        <v>244</v>
      </c>
      <c r="C154" s="83" t="str">
        <f t="shared" si="4"/>
        <v>LW Project - Payments</v>
      </c>
      <c r="D154" s="65">
        <v>321200</v>
      </c>
      <c r="E154" s="65" t="s">
        <v>249</v>
      </c>
      <c r="F154" s="65" t="s">
        <v>155</v>
      </c>
      <c r="G154" s="65" t="s">
        <v>156</v>
      </c>
      <c r="H154" s="65" t="s">
        <v>139</v>
      </c>
      <c r="I154" s="76"/>
      <c r="J154" s="82"/>
      <c r="K154" s="66"/>
      <c r="L154" s="61">
        <f t="shared" si="5"/>
        <v>0</v>
      </c>
      <c r="M154" s="72"/>
      <c r="N154" s="73"/>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row>
    <row r="155" spans="1:45" s="64" customFormat="1" hidden="1">
      <c r="A155" s="65" t="s">
        <v>243</v>
      </c>
      <c r="B155" s="65" t="s">
        <v>244</v>
      </c>
      <c r="C155" s="83" t="str">
        <f t="shared" si="4"/>
        <v>LW Project - Payments</v>
      </c>
      <c r="D155" s="65">
        <v>321300</v>
      </c>
      <c r="E155" s="65" t="s">
        <v>218</v>
      </c>
      <c r="F155" s="65" t="s">
        <v>155</v>
      </c>
      <c r="G155" s="65" t="s">
        <v>156</v>
      </c>
      <c r="H155" s="65" t="s">
        <v>139</v>
      </c>
      <c r="I155" s="76"/>
      <c r="J155" s="82"/>
      <c r="K155" s="66"/>
      <c r="L155" s="61">
        <f t="shared" si="5"/>
        <v>0</v>
      </c>
      <c r="M155" s="72"/>
      <c r="N155" s="73"/>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row>
    <row r="156" spans="1:45" s="64" customFormat="1" hidden="1">
      <c r="A156" s="65" t="s">
        <v>243</v>
      </c>
      <c r="B156" s="65" t="s">
        <v>244</v>
      </c>
      <c r="C156" s="83" t="str">
        <f t="shared" si="4"/>
        <v>LW Project - Payments</v>
      </c>
      <c r="D156" s="65">
        <v>321310</v>
      </c>
      <c r="E156" s="65" t="s">
        <v>219</v>
      </c>
      <c r="F156" s="65" t="s">
        <v>155</v>
      </c>
      <c r="G156" s="65" t="s">
        <v>156</v>
      </c>
      <c r="H156" s="65" t="s">
        <v>139</v>
      </c>
      <c r="I156" s="76"/>
      <c r="J156" s="82"/>
      <c r="K156" s="66"/>
      <c r="L156" s="61">
        <f t="shared" si="5"/>
        <v>0</v>
      </c>
      <c r="M156" s="72"/>
      <c r="N156" s="73"/>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row>
    <row r="157" spans="1:45" s="64" customFormat="1" hidden="1">
      <c r="A157" s="65" t="s">
        <v>243</v>
      </c>
      <c r="B157" s="65" t="s">
        <v>244</v>
      </c>
      <c r="C157" s="83" t="str">
        <f t="shared" si="4"/>
        <v>LW Project - Payments</v>
      </c>
      <c r="D157" s="65">
        <v>321320</v>
      </c>
      <c r="E157" s="65" t="s">
        <v>220</v>
      </c>
      <c r="F157" s="65" t="s">
        <v>155</v>
      </c>
      <c r="G157" s="65" t="s">
        <v>156</v>
      </c>
      <c r="H157" s="65" t="s">
        <v>139</v>
      </c>
      <c r="I157" s="76"/>
      <c r="J157" s="82"/>
      <c r="K157" s="66"/>
      <c r="L157" s="61">
        <f t="shared" si="5"/>
        <v>0</v>
      </c>
      <c r="M157" s="72"/>
      <c r="N157" s="73"/>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row>
    <row r="158" spans="1:45" s="64" customFormat="1" hidden="1">
      <c r="A158" s="65" t="s">
        <v>243</v>
      </c>
      <c r="B158" s="65" t="s">
        <v>244</v>
      </c>
      <c r="C158" s="83" t="str">
        <f t="shared" si="4"/>
        <v>LW Project - Payments</v>
      </c>
      <c r="D158" s="65">
        <v>321330</v>
      </c>
      <c r="E158" s="65" t="s">
        <v>221</v>
      </c>
      <c r="F158" s="65" t="s">
        <v>155</v>
      </c>
      <c r="G158" s="65" t="s">
        <v>156</v>
      </c>
      <c r="H158" s="65" t="s">
        <v>139</v>
      </c>
      <c r="I158" s="76"/>
      <c r="J158" s="82"/>
      <c r="K158" s="66"/>
      <c r="L158" s="61">
        <f t="shared" si="5"/>
        <v>0</v>
      </c>
      <c r="M158" s="72"/>
      <c r="N158" s="73"/>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row>
    <row r="159" spans="1:45" s="64" customFormat="1" hidden="1">
      <c r="A159" s="65" t="s">
        <v>243</v>
      </c>
      <c r="B159" s="65" t="s">
        <v>244</v>
      </c>
      <c r="C159" s="83" t="str">
        <f t="shared" si="4"/>
        <v>LW Project - Payments</v>
      </c>
      <c r="D159" s="65">
        <v>321340</v>
      </c>
      <c r="E159" s="65" t="s">
        <v>222</v>
      </c>
      <c r="F159" s="65" t="s">
        <v>155</v>
      </c>
      <c r="G159" s="65" t="s">
        <v>156</v>
      </c>
      <c r="H159" s="65" t="s">
        <v>139</v>
      </c>
      <c r="I159" s="76"/>
      <c r="J159" s="82"/>
      <c r="K159" s="66"/>
      <c r="L159" s="61">
        <f t="shared" si="5"/>
        <v>0</v>
      </c>
      <c r="M159" s="72"/>
      <c r="N159" s="73"/>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row>
    <row r="160" spans="1:45" s="64" customFormat="1" hidden="1">
      <c r="A160" s="65" t="s">
        <v>243</v>
      </c>
      <c r="B160" s="65" t="s">
        <v>244</v>
      </c>
      <c r="C160" s="83" t="str">
        <f t="shared" si="4"/>
        <v>LW Project - Contingency</v>
      </c>
      <c r="D160" s="65">
        <v>790000</v>
      </c>
      <c r="E160" s="65" t="s">
        <v>223</v>
      </c>
      <c r="F160" s="65" t="s">
        <v>137</v>
      </c>
      <c r="G160" s="65" t="s">
        <v>138</v>
      </c>
      <c r="H160" s="65"/>
      <c r="I160" s="76"/>
      <c r="J160" s="82"/>
      <c r="K160" s="66"/>
      <c r="L160" s="61">
        <f t="shared" si="5"/>
        <v>0</v>
      </c>
      <c r="M160" s="72"/>
      <c r="N160" s="73"/>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row>
    <row r="161" spans="1:45" s="64" customFormat="1" hidden="1">
      <c r="A161" s="65" t="s">
        <v>243</v>
      </c>
      <c r="B161" s="65" t="s">
        <v>244</v>
      </c>
      <c r="C161" s="83" t="str">
        <f t="shared" si="4"/>
        <v>LW Project - Capitalized Alloc Sup Svs</v>
      </c>
      <c r="D161" s="65">
        <v>909000</v>
      </c>
      <c r="E161" s="65" t="s">
        <v>174</v>
      </c>
      <c r="F161" s="65" t="s">
        <v>137</v>
      </c>
      <c r="G161" s="65" t="s">
        <v>138</v>
      </c>
      <c r="H161" s="65"/>
      <c r="I161" s="76"/>
      <c r="J161" s="82"/>
      <c r="K161" s="66"/>
      <c r="L161" s="61">
        <f t="shared" si="5"/>
        <v>0</v>
      </c>
      <c r="M161" s="72"/>
      <c r="N161" s="73"/>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row>
    <row r="162" spans="1:45" s="64" customFormat="1" hidden="1">
      <c r="A162" s="65" t="s">
        <v>250</v>
      </c>
      <c r="B162" s="65" t="s">
        <v>251</v>
      </c>
      <c r="C162" s="83" t="str">
        <f t="shared" si="4"/>
        <v>Early Action Sites - Design</v>
      </c>
      <c r="D162" s="65">
        <v>142700</v>
      </c>
      <c r="E162" s="65" t="s">
        <v>198</v>
      </c>
      <c r="F162" s="65" t="s">
        <v>144</v>
      </c>
      <c r="G162" s="65" t="s">
        <v>145</v>
      </c>
      <c r="H162" s="65" t="s">
        <v>139</v>
      </c>
      <c r="I162" s="76"/>
      <c r="J162" s="82"/>
      <c r="K162" s="66"/>
      <c r="L162" s="61">
        <f t="shared" si="5"/>
        <v>0</v>
      </c>
      <c r="M162" s="72"/>
      <c r="N162" s="73"/>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row>
    <row r="163" spans="1:45" s="64" customFormat="1" hidden="1">
      <c r="A163" s="65" t="s">
        <v>250</v>
      </c>
      <c r="B163" s="65" t="s">
        <v>251</v>
      </c>
      <c r="C163" s="83" t="str">
        <f t="shared" si="4"/>
        <v>Early Action Sites - Planning</v>
      </c>
      <c r="D163" s="65">
        <v>151200</v>
      </c>
      <c r="E163" s="65" t="s">
        <v>201</v>
      </c>
      <c r="F163" s="65" t="s">
        <v>144</v>
      </c>
      <c r="G163" s="65" t="s">
        <v>145</v>
      </c>
      <c r="H163" s="65" t="s">
        <v>139</v>
      </c>
      <c r="I163" s="76"/>
      <c r="J163" s="82"/>
      <c r="K163" s="66"/>
      <c r="L163" s="61">
        <f t="shared" si="5"/>
        <v>0</v>
      </c>
      <c r="M163" s="72"/>
      <c r="N163" s="73"/>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row>
    <row r="164" spans="1:45" s="64" customFormat="1" hidden="1">
      <c r="A164" s="65" t="s">
        <v>250</v>
      </c>
      <c r="B164" s="65" t="s">
        <v>251</v>
      </c>
      <c r="C164" s="83" t="str">
        <f t="shared" si="4"/>
        <v>Early Action Sites - Planning</v>
      </c>
      <c r="D164" s="65">
        <v>151210</v>
      </c>
      <c r="E164" s="65" t="s">
        <v>252</v>
      </c>
      <c r="F164" s="65" t="s">
        <v>144</v>
      </c>
      <c r="G164" s="65" t="s">
        <v>145</v>
      </c>
      <c r="H164" s="65" t="s">
        <v>139</v>
      </c>
      <c r="I164" s="76"/>
      <c r="J164" s="82"/>
      <c r="K164" s="66"/>
      <c r="L164" s="61">
        <f t="shared" si="5"/>
        <v>0</v>
      </c>
      <c r="M164" s="72"/>
      <c r="N164" s="73"/>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row>
    <row r="165" spans="1:45" s="64" customFormat="1" hidden="1">
      <c r="A165" s="65" t="s">
        <v>250</v>
      </c>
      <c r="B165" s="65" t="s">
        <v>251</v>
      </c>
      <c r="C165" s="83" t="str">
        <f t="shared" si="4"/>
        <v>Early Action Sites - Development</v>
      </c>
      <c r="D165" s="65">
        <v>171510</v>
      </c>
      <c r="E165" s="65" t="s">
        <v>186</v>
      </c>
      <c r="F165" s="65" t="s">
        <v>155</v>
      </c>
      <c r="G165" s="65" t="s">
        <v>156</v>
      </c>
      <c r="H165" s="65"/>
      <c r="I165" s="76"/>
      <c r="J165" s="82"/>
      <c r="K165" s="66"/>
      <c r="L165" s="61">
        <f t="shared" si="5"/>
        <v>0</v>
      </c>
      <c r="M165" s="72"/>
      <c r="N165" s="73"/>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row>
    <row r="166" spans="1:45" s="64" customFormat="1" hidden="1">
      <c r="A166" s="65" t="s">
        <v>250</v>
      </c>
      <c r="B166" s="65" t="s">
        <v>251</v>
      </c>
      <c r="C166" s="83" t="str">
        <f t="shared" si="4"/>
        <v>Early Action Sites - Implementation</v>
      </c>
      <c r="D166" s="65">
        <v>181000</v>
      </c>
      <c r="E166" s="65" t="s">
        <v>206</v>
      </c>
      <c r="F166" s="65" t="s">
        <v>155</v>
      </c>
      <c r="G166" s="65" t="s">
        <v>156</v>
      </c>
      <c r="H166" s="65" t="s">
        <v>139</v>
      </c>
      <c r="I166" s="76"/>
      <c r="J166" s="82"/>
      <c r="K166" s="66"/>
      <c r="L166" s="61">
        <f t="shared" si="5"/>
        <v>0</v>
      </c>
      <c r="M166" s="72"/>
      <c r="N166" s="73"/>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row>
    <row r="167" spans="1:45" s="64" customFormat="1" hidden="1">
      <c r="A167" s="65" t="s">
        <v>250</v>
      </c>
      <c r="B167" s="65" t="s">
        <v>251</v>
      </c>
      <c r="C167" s="83" t="str">
        <f t="shared" si="4"/>
        <v>Early Action Sites - Implementation</v>
      </c>
      <c r="D167" s="65">
        <v>181200</v>
      </c>
      <c r="E167" s="65" t="s">
        <v>208</v>
      </c>
      <c r="F167" s="65" t="s">
        <v>155</v>
      </c>
      <c r="G167" s="65" t="s">
        <v>156</v>
      </c>
      <c r="H167" s="65" t="s">
        <v>139</v>
      </c>
      <c r="I167" s="76"/>
      <c r="J167" s="82"/>
      <c r="K167" s="66"/>
      <c r="L167" s="61">
        <f t="shared" si="5"/>
        <v>0</v>
      </c>
      <c r="M167" s="72"/>
      <c r="N167" s="73"/>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row>
    <row r="168" spans="1:45" s="64" customFormat="1" hidden="1">
      <c r="A168" s="65" t="s">
        <v>250</v>
      </c>
      <c r="B168" s="65" t="s">
        <v>251</v>
      </c>
      <c r="C168" s="83" t="str">
        <f t="shared" si="4"/>
        <v>Early Action Sites - Implementation</v>
      </c>
      <c r="D168" s="65">
        <v>181300</v>
      </c>
      <c r="E168" s="65" t="s">
        <v>229</v>
      </c>
      <c r="F168" s="65" t="s">
        <v>155</v>
      </c>
      <c r="G168" s="65" t="s">
        <v>156</v>
      </c>
      <c r="H168" s="65" t="s">
        <v>139</v>
      </c>
      <c r="I168" s="76"/>
      <c r="J168" s="82"/>
      <c r="K168" s="66"/>
      <c r="L168" s="61">
        <f t="shared" si="5"/>
        <v>0</v>
      </c>
      <c r="M168" s="72"/>
      <c r="N168" s="73"/>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row>
    <row r="169" spans="1:45" s="64" customFormat="1" hidden="1">
      <c r="A169" s="65" t="s">
        <v>250</v>
      </c>
      <c r="B169" s="65" t="s">
        <v>251</v>
      </c>
      <c r="C169" s="83" t="str">
        <f t="shared" si="4"/>
        <v>Early Action Sites - Implementation</v>
      </c>
      <c r="D169" s="65">
        <v>181310</v>
      </c>
      <c r="E169" s="65" t="s">
        <v>253</v>
      </c>
      <c r="F169" s="65" t="s">
        <v>155</v>
      </c>
      <c r="G169" s="65" t="s">
        <v>156</v>
      </c>
      <c r="H169" s="65" t="s">
        <v>139</v>
      </c>
      <c r="I169" s="76"/>
      <c r="J169" s="82"/>
      <c r="K169" s="66"/>
      <c r="L169" s="61">
        <f t="shared" si="5"/>
        <v>0</v>
      </c>
      <c r="M169" s="72"/>
      <c r="N169" s="73"/>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row>
    <row r="170" spans="1:45" s="64" customFormat="1" hidden="1">
      <c r="A170" s="65" t="s">
        <v>250</v>
      </c>
      <c r="B170" s="65" t="s">
        <v>251</v>
      </c>
      <c r="C170" s="83" t="str">
        <f t="shared" si="4"/>
        <v>Early Action Sites - Construction</v>
      </c>
      <c r="D170" s="65">
        <v>191810</v>
      </c>
      <c r="E170" s="65" t="s">
        <v>163</v>
      </c>
      <c r="F170" s="65" t="s">
        <v>155</v>
      </c>
      <c r="G170" s="65" t="s">
        <v>156</v>
      </c>
      <c r="H170" s="65"/>
      <c r="I170" s="76"/>
      <c r="J170" s="82"/>
      <c r="K170" s="66"/>
      <c r="L170" s="61">
        <f t="shared" si="5"/>
        <v>0</v>
      </c>
      <c r="M170" s="72"/>
      <c r="N170" s="73"/>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row>
    <row r="171" spans="1:45" s="64" customFormat="1" hidden="1">
      <c r="A171" s="65" t="s">
        <v>250</v>
      </c>
      <c r="B171" s="65" t="s">
        <v>251</v>
      </c>
      <c r="C171" s="83" t="str">
        <f t="shared" si="4"/>
        <v>Early Action Sites - Legal/Regulatory</v>
      </c>
      <c r="D171" s="65">
        <v>231900</v>
      </c>
      <c r="E171" s="65" t="s">
        <v>212</v>
      </c>
      <c r="F171" s="65" t="s">
        <v>155</v>
      </c>
      <c r="G171" s="65" t="s">
        <v>156</v>
      </c>
      <c r="H171" s="65" t="s">
        <v>139</v>
      </c>
      <c r="I171" s="76"/>
      <c r="J171" s="82"/>
      <c r="K171" s="66"/>
      <c r="L171" s="61">
        <f t="shared" si="5"/>
        <v>0</v>
      </c>
      <c r="M171" s="72"/>
      <c r="N171" s="73"/>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row>
    <row r="172" spans="1:45" s="64" customFormat="1" hidden="1">
      <c r="A172" s="65" t="s">
        <v>250</v>
      </c>
      <c r="B172" s="65" t="s">
        <v>251</v>
      </c>
      <c r="C172" s="83" t="str">
        <f t="shared" si="4"/>
        <v>Early Action Sites - Legal/Regulatory</v>
      </c>
      <c r="D172" s="65">
        <v>232100</v>
      </c>
      <c r="E172" s="65" t="s">
        <v>232</v>
      </c>
      <c r="F172" s="65" t="s">
        <v>155</v>
      </c>
      <c r="G172" s="65" t="s">
        <v>156</v>
      </c>
      <c r="H172" s="65" t="s">
        <v>139</v>
      </c>
      <c r="I172" s="76"/>
      <c r="J172" s="82"/>
      <c r="K172" s="66"/>
      <c r="L172" s="61">
        <f t="shared" si="5"/>
        <v>0</v>
      </c>
      <c r="M172" s="72"/>
      <c r="N172" s="73"/>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row>
    <row r="173" spans="1:45" s="64" customFormat="1" hidden="1">
      <c r="A173" s="65" t="s">
        <v>250</v>
      </c>
      <c r="B173" s="65" t="s">
        <v>251</v>
      </c>
      <c r="C173" s="83" t="str">
        <f t="shared" si="4"/>
        <v>Early Action Sites - Legal/Regulatory</v>
      </c>
      <c r="D173" s="65">
        <v>232110</v>
      </c>
      <c r="E173" s="65" t="s">
        <v>248</v>
      </c>
      <c r="F173" s="65" t="s">
        <v>155</v>
      </c>
      <c r="G173" s="65" t="s">
        <v>156</v>
      </c>
      <c r="H173" s="65" t="s">
        <v>139</v>
      </c>
      <c r="I173" s="76"/>
      <c r="J173" s="82"/>
      <c r="K173" s="66"/>
      <c r="L173" s="61">
        <f t="shared" si="5"/>
        <v>0</v>
      </c>
      <c r="M173" s="72"/>
      <c r="N173" s="73"/>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row>
    <row r="174" spans="1:45" s="64" customFormat="1" hidden="1">
      <c r="A174" s="65" t="s">
        <v>250</v>
      </c>
      <c r="B174" s="65" t="s">
        <v>251</v>
      </c>
      <c r="C174" s="83" t="str">
        <f t="shared" si="4"/>
        <v>Early Action Sites - Legal/Regulatory</v>
      </c>
      <c r="D174" s="65">
        <v>232120</v>
      </c>
      <c r="E174" s="65" t="s">
        <v>254</v>
      </c>
      <c r="F174" s="65" t="s">
        <v>155</v>
      </c>
      <c r="G174" s="65" t="s">
        <v>156</v>
      </c>
      <c r="H174" s="65" t="s">
        <v>139</v>
      </c>
      <c r="I174" s="76"/>
      <c r="J174" s="82"/>
      <c r="K174" s="66"/>
      <c r="L174" s="61">
        <f t="shared" si="5"/>
        <v>0</v>
      </c>
      <c r="M174" s="72"/>
      <c r="N174" s="73"/>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row>
    <row r="175" spans="1:45" s="64" customFormat="1" hidden="1">
      <c r="A175" s="65" t="s">
        <v>250</v>
      </c>
      <c r="B175" s="65" t="s">
        <v>251</v>
      </c>
      <c r="C175" s="83" t="str">
        <f t="shared" si="4"/>
        <v>Early Action Sites - Legal/Regulatory</v>
      </c>
      <c r="D175" s="65">
        <v>232130</v>
      </c>
      <c r="E175" s="65" t="s">
        <v>255</v>
      </c>
      <c r="F175" s="65" t="s">
        <v>155</v>
      </c>
      <c r="G175" s="65" t="s">
        <v>156</v>
      </c>
      <c r="H175" s="65" t="s">
        <v>139</v>
      </c>
      <c r="I175" s="76"/>
      <c r="J175" s="82"/>
      <c r="K175" s="66"/>
      <c r="L175" s="61">
        <f t="shared" si="5"/>
        <v>0</v>
      </c>
      <c r="M175" s="72"/>
      <c r="N175" s="73"/>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row>
    <row r="176" spans="1:45" s="64" customFormat="1" hidden="1">
      <c r="A176" s="65" t="s">
        <v>250</v>
      </c>
      <c r="B176" s="65" t="s">
        <v>251</v>
      </c>
      <c r="C176" s="83" t="str">
        <f t="shared" si="4"/>
        <v>Early Action Sites - Public Records Request</v>
      </c>
      <c r="D176" s="65">
        <v>241000</v>
      </c>
      <c r="E176" s="65" t="s">
        <v>213</v>
      </c>
      <c r="F176" s="65" t="s">
        <v>137</v>
      </c>
      <c r="G176" s="65" t="s">
        <v>138</v>
      </c>
      <c r="H176" s="65" t="s">
        <v>139</v>
      </c>
      <c r="I176" s="76"/>
      <c r="J176" s="82"/>
      <c r="K176" s="66"/>
      <c r="L176" s="61">
        <f t="shared" si="5"/>
        <v>0</v>
      </c>
      <c r="M176" s="72"/>
      <c r="N176" s="73"/>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row>
    <row r="177" spans="1:45" s="64" customFormat="1" hidden="1">
      <c r="A177" s="65" t="s">
        <v>250</v>
      </c>
      <c r="B177" s="65" t="s">
        <v>251</v>
      </c>
      <c r="C177" s="83" t="str">
        <f t="shared" si="4"/>
        <v>Early Action Sites - Outreach</v>
      </c>
      <c r="D177" s="65">
        <v>251000</v>
      </c>
      <c r="E177" s="65" t="s">
        <v>214</v>
      </c>
      <c r="F177" s="65" t="s">
        <v>137</v>
      </c>
      <c r="G177" s="65" t="s">
        <v>138</v>
      </c>
      <c r="H177" s="65" t="s">
        <v>139</v>
      </c>
      <c r="I177" s="76"/>
      <c r="J177" s="82"/>
      <c r="K177" s="66"/>
      <c r="L177" s="61">
        <f t="shared" si="5"/>
        <v>0</v>
      </c>
      <c r="M177" s="72"/>
      <c r="N177" s="73"/>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row>
    <row r="178" spans="1:45" s="64" customFormat="1" hidden="1">
      <c r="A178" s="65" t="s">
        <v>250</v>
      </c>
      <c r="B178" s="65" t="s">
        <v>251</v>
      </c>
      <c r="C178" s="83" t="str">
        <f t="shared" si="4"/>
        <v>Early Action Sites - Outreach</v>
      </c>
      <c r="D178" s="65">
        <v>251010</v>
      </c>
      <c r="E178" s="65" t="s">
        <v>215</v>
      </c>
      <c r="F178" s="65" t="s">
        <v>137</v>
      </c>
      <c r="G178" s="65" t="s">
        <v>138</v>
      </c>
      <c r="H178" s="65" t="s">
        <v>139</v>
      </c>
      <c r="I178" s="76"/>
      <c r="J178" s="82"/>
      <c r="K178" s="66"/>
      <c r="L178" s="61">
        <f t="shared" si="5"/>
        <v>0</v>
      </c>
      <c r="M178" s="72"/>
      <c r="N178" s="73"/>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row>
    <row r="179" spans="1:45" s="64" customFormat="1" hidden="1">
      <c r="A179" s="65" t="s">
        <v>250</v>
      </c>
      <c r="B179" s="65" t="s">
        <v>251</v>
      </c>
      <c r="C179" s="83" t="str">
        <f t="shared" si="4"/>
        <v>Early Action Sites - Cost Recovery</v>
      </c>
      <c r="D179" s="65">
        <v>301000</v>
      </c>
      <c r="E179" s="65" t="s">
        <v>216</v>
      </c>
      <c r="F179" s="65" t="s">
        <v>155</v>
      </c>
      <c r="G179" s="65" t="s">
        <v>156</v>
      </c>
      <c r="H179" s="65" t="s">
        <v>139</v>
      </c>
      <c r="I179" s="76"/>
      <c r="J179" s="82"/>
      <c r="K179" s="66"/>
      <c r="L179" s="61">
        <f t="shared" si="5"/>
        <v>0</v>
      </c>
      <c r="M179" s="72"/>
      <c r="N179" s="73"/>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row>
    <row r="180" spans="1:45" s="64" customFormat="1" hidden="1">
      <c r="A180" s="65" t="s">
        <v>250</v>
      </c>
      <c r="B180" s="65" t="s">
        <v>251</v>
      </c>
      <c r="C180" s="83" t="str">
        <f t="shared" si="4"/>
        <v>Early Action Sites - Payments</v>
      </c>
      <c r="D180" s="65">
        <v>321000</v>
      </c>
      <c r="E180" s="65" t="s">
        <v>217</v>
      </c>
      <c r="F180" s="65" t="s">
        <v>155</v>
      </c>
      <c r="G180" s="65" t="s">
        <v>156</v>
      </c>
      <c r="H180" s="65" t="s">
        <v>139</v>
      </c>
      <c r="I180" s="76"/>
      <c r="J180" s="82"/>
      <c r="K180" s="66"/>
      <c r="L180" s="61">
        <f t="shared" si="5"/>
        <v>0</v>
      </c>
      <c r="M180" s="72"/>
      <c r="N180" s="73"/>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row>
    <row r="181" spans="1:45" s="64" customFormat="1" hidden="1">
      <c r="A181" s="65" t="s">
        <v>250</v>
      </c>
      <c r="B181" s="65" t="s">
        <v>251</v>
      </c>
      <c r="C181" s="83" t="str">
        <f t="shared" si="4"/>
        <v>Early Action Sites - Payments</v>
      </c>
      <c r="D181" s="65">
        <v>321200</v>
      </c>
      <c r="E181" s="65" t="s">
        <v>249</v>
      </c>
      <c r="F181" s="65" t="s">
        <v>155</v>
      </c>
      <c r="G181" s="65" t="s">
        <v>156</v>
      </c>
      <c r="H181" s="65" t="s">
        <v>139</v>
      </c>
      <c r="I181" s="76"/>
      <c r="J181" s="82"/>
      <c r="K181" s="66"/>
      <c r="L181" s="61">
        <f t="shared" si="5"/>
        <v>0</v>
      </c>
      <c r="M181" s="72"/>
      <c r="N181" s="73"/>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row>
    <row r="182" spans="1:45" s="64" customFormat="1" hidden="1">
      <c r="A182" s="65" t="s">
        <v>250</v>
      </c>
      <c r="B182" s="65" t="s">
        <v>251</v>
      </c>
      <c r="C182" s="83" t="str">
        <f t="shared" si="4"/>
        <v>Early Action Sites - Payments</v>
      </c>
      <c r="D182" s="65">
        <v>321300</v>
      </c>
      <c r="E182" s="65" t="s">
        <v>218</v>
      </c>
      <c r="F182" s="65" t="s">
        <v>155</v>
      </c>
      <c r="G182" s="65" t="s">
        <v>156</v>
      </c>
      <c r="H182" s="65" t="s">
        <v>139</v>
      </c>
      <c r="I182" s="76"/>
      <c r="J182" s="82"/>
      <c r="K182" s="66"/>
      <c r="L182" s="61">
        <f t="shared" si="5"/>
        <v>0</v>
      </c>
      <c r="M182" s="72"/>
      <c r="N182" s="73"/>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row>
    <row r="183" spans="1:45" s="64" customFormat="1" hidden="1">
      <c r="A183" s="65" t="s">
        <v>250</v>
      </c>
      <c r="B183" s="65" t="s">
        <v>251</v>
      </c>
      <c r="C183" s="83" t="str">
        <f t="shared" si="4"/>
        <v>Early Action Sites - Payments</v>
      </c>
      <c r="D183" s="65">
        <v>321310</v>
      </c>
      <c r="E183" s="65" t="s">
        <v>219</v>
      </c>
      <c r="F183" s="65" t="s">
        <v>155</v>
      </c>
      <c r="G183" s="65" t="s">
        <v>156</v>
      </c>
      <c r="H183" s="65" t="s">
        <v>139</v>
      </c>
      <c r="I183" s="76"/>
      <c r="J183" s="82"/>
      <c r="K183" s="66"/>
      <c r="L183" s="61">
        <f t="shared" si="5"/>
        <v>0</v>
      </c>
      <c r="M183" s="72"/>
      <c r="N183" s="73"/>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row>
    <row r="184" spans="1:45" s="64" customFormat="1" hidden="1">
      <c r="A184" s="65" t="s">
        <v>250</v>
      </c>
      <c r="B184" s="65" t="s">
        <v>251</v>
      </c>
      <c r="C184" s="83" t="str">
        <f t="shared" si="4"/>
        <v>Early Action Sites - Payments</v>
      </c>
      <c r="D184" s="65">
        <v>321320</v>
      </c>
      <c r="E184" s="65" t="s">
        <v>220</v>
      </c>
      <c r="F184" s="65" t="s">
        <v>155</v>
      </c>
      <c r="G184" s="65" t="s">
        <v>156</v>
      </c>
      <c r="H184" s="65" t="s">
        <v>139</v>
      </c>
      <c r="I184" s="76"/>
      <c r="J184" s="82"/>
      <c r="K184" s="66"/>
      <c r="L184" s="61">
        <f t="shared" si="5"/>
        <v>0</v>
      </c>
      <c r="M184" s="72"/>
      <c r="N184" s="73"/>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row>
    <row r="185" spans="1:45" s="64" customFormat="1" hidden="1">
      <c r="A185" s="65" t="s">
        <v>250</v>
      </c>
      <c r="B185" s="65" t="s">
        <v>251</v>
      </c>
      <c r="C185" s="83" t="str">
        <f t="shared" si="4"/>
        <v>Early Action Sites - Payments</v>
      </c>
      <c r="D185" s="65">
        <v>321330</v>
      </c>
      <c r="E185" s="65" t="s">
        <v>221</v>
      </c>
      <c r="F185" s="65" t="s">
        <v>155</v>
      </c>
      <c r="G185" s="65" t="s">
        <v>156</v>
      </c>
      <c r="H185" s="65" t="s">
        <v>139</v>
      </c>
      <c r="I185" s="76"/>
      <c r="J185" s="82"/>
      <c r="K185" s="66"/>
      <c r="L185" s="61">
        <f t="shared" si="5"/>
        <v>0</v>
      </c>
      <c r="M185" s="72"/>
      <c r="N185" s="73"/>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row>
    <row r="186" spans="1:45" s="64" customFormat="1" hidden="1">
      <c r="A186" s="65" t="s">
        <v>250</v>
      </c>
      <c r="B186" s="65" t="s">
        <v>251</v>
      </c>
      <c r="C186" s="83" t="str">
        <f t="shared" si="4"/>
        <v>Early Action Sites - Payments</v>
      </c>
      <c r="D186" s="65">
        <v>321340</v>
      </c>
      <c r="E186" s="65" t="s">
        <v>222</v>
      </c>
      <c r="F186" s="65" t="s">
        <v>155</v>
      </c>
      <c r="G186" s="65" t="s">
        <v>156</v>
      </c>
      <c r="H186" s="65" t="s">
        <v>139</v>
      </c>
      <c r="I186" s="76"/>
      <c r="J186" s="82"/>
      <c r="K186" s="66"/>
      <c r="L186" s="61">
        <f t="shared" si="5"/>
        <v>0</v>
      </c>
      <c r="M186" s="72"/>
      <c r="N186" s="73"/>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row>
    <row r="187" spans="1:45" s="64" customFormat="1" hidden="1">
      <c r="A187" s="65" t="s">
        <v>250</v>
      </c>
      <c r="B187" s="65" t="s">
        <v>251</v>
      </c>
      <c r="C187" s="83" t="str">
        <f t="shared" si="4"/>
        <v>Early Action Sites - Contingency</v>
      </c>
      <c r="D187" s="65">
        <v>790000</v>
      </c>
      <c r="E187" s="65" t="s">
        <v>223</v>
      </c>
      <c r="F187" s="65" t="s">
        <v>137</v>
      </c>
      <c r="G187" s="65" t="s">
        <v>138</v>
      </c>
      <c r="H187" s="65"/>
      <c r="I187" s="76"/>
      <c r="J187" s="82"/>
      <c r="K187" s="66"/>
      <c r="L187" s="61">
        <f t="shared" si="5"/>
        <v>0</v>
      </c>
      <c r="M187" s="72"/>
      <c r="N187" s="73"/>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row>
    <row r="188" spans="1:45" s="64" customFormat="1" hidden="1">
      <c r="A188" s="65" t="s">
        <v>250</v>
      </c>
      <c r="B188" s="65" t="s">
        <v>251</v>
      </c>
      <c r="C188" s="83" t="str">
        <f t="shared" si="4"/>
        <v>Early Action Sites - Capitalized Alloc Sup Svs</v>
      </c>
      <c r="D188" s="65">
        <v>909000</v>
      </c>
      <c r="E188" s="65" t="s">
        <v>174</v>
      </c>
      <c r="F188" s="65" t="s">
        <v>137</v>
      </c>
      <c r="G188" s="65" t="s">
        <v>138</v>
      </c>
      <c r="H188" s="65"/>
      <c r="I188" s="76"/>
      <c r="J188" s="82"/>
      <c r="K188" s="66"/>
      <c r="L188" s="61">
        <f t="shared" si="5"/>
        <v>0</v>
      </c>
      <c r="M188" s="72"/>
      <c r="N188" s="73"/>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row>
    <row r="189" spans="1:45" s="64" customFormat="1" hidden="1">
      <c r="A189" s="65" t="s">
        <v>256</v>
      </c>
      <c r="B189" s="65" t="s">
        <v>257</v>
      </c>
      <c r="C189" s="83" t="str">
        <f t="shared" si="4"/>
        <v>Navigation - Dredge Production</v>
      </c>
      <c r="D189" s="65">
        <v>800010</v>
      </c>
      <c r="E189" s="65" t="s">
        <v>258</v>
      </c>
      <c r="F189" s="65" t="s">
        <v>155</v>
      </c>
      <c r="G189" s="65" t="s">
        <v>156</v>
      </c>
      <c r="H189" s="65" t="s">
        <v>139</v>
      </c>
      <c r="I189" s="76"/>
      <c r="J189" s="82"/>
      <c r="K189" s="66"/>
      <c r="L189" s="61">
        <f t="shared" si="5"/>
        <v>0</v>
      </c>
      <c r="M189" s="72"/>
      <c r="N189" s="73"/>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row>
    <row r="190" spans="1:45" s="64" customFormat="1" hidden="1">
      <c r="A190" s="65" t="s">
        <v>256</v>
      </c>
      <c r="B190" s="65" t="s">
        <v>257</v>
      </c>
      <c r="C190" s="83" t="str">
        <f t="shared" si="4"/>
        <v>Navigation - Dredge Production</v>
      </c>
      <c r="D190" s="65">
        <v>800020</v>
      </c>
      <c r="E190" s="65" t="s">
        <v>259</v>
      </c>
      <c r="F190" s="65" t="s">
        <v>155</v>
      </c>
      <c r="G190" s="65" t="s">
        <v>156</v>
      </c>
      <c r="H190" s="65" t="s">
        <v>139</v>
      </c>
      <c r="I190" s="76"/>
      <c r="J190" s="82"/>
      <c r="K190" s="66"/>
      <c r="L190" s="61">
        <f t="shared" si="5"/>
        <v>0</v>
      </c>
      <c r="M190" s="72"/>
      <c r="N190" s="73"/>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row>
    <row r="191" spans="1:45" s="64" customFormat="1" hidden="1">
      <c r="A191" s="65" t="s">
        <v>256</v>
      </c>
      <c r="B191" s="65" t="s">
        <v>257</v>
      </c>
      <c r="C191" s="83" t="str">
        <f t="shared" si="4"/>
        <v>Navigation - Dredge Production</v>
      </c>
      <c r="D191" s="65">
        <v>800030</v>
      </c>
      <c r="E191" s="65" t="s">
        <v>260</v>
      </c>
      <c r="F191" s="65" t="s">
        <v>155</v>
      </c>
      <c r="G191" s="65" t="s">
        <v>156</v>
      </c>
      <c r="H191" s="65" t="s">
        <v>139</v>
      </c>
      <c r="I191" s="76"/>
      <c r="J191" s="82"/>
      <c r="K191" s="66"/>
      <c r="L191" s="61">
        <f t="shared" si="5"/>
        <v>0</v>
      </c>
      <c r="M191" s="72"/>
      <c r="N191" s="73"/>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row>
    <row r="192" spans="1:45" s="64" customFormat="1" hidden="1">
      <c r="A192" s="65" t="s">
        <v>256</v>
      </c>
      <c r="B192" s="65" t="s">
        <v>257</v>
      </c>
      <c r="C192" s="83" t="str">
        <f t="shared" si="4"/>
        <v>Navigation - Dredge Production</v>
      </c>
      <c r="D192" s="65">
        <v>800040</v>
      </c>
      <c r="E192" s="65" t="s">
        <v>261</v>
      </c>
      <c r="F192" s="65" t="s">
        <v>155</v>
      </c>
      <c r="G192" s="65" t="s">
        <v>156</v>
      </c>
      <c r="H192" s="65"/>
      <c r="I192" s="76"/>
      <c r="J192" s="82"/>
      <c r="K192" s="66"/>
      <c r="L192" s="61">
        <f t="shared" si="5"/>
        <v>0</v>
      </c>
      <c r="M192" s="72"/>
      <c r="N192" s="73"/>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row>
    <row r="193" spans="1:45" s="64" customFormat="1" hidden="1">
      <c r="A193" s="65" t="s">
        <v>256</v>
      </c>
      <c r="B193" s="65" t="s">
        <v>257</v>
      </c>
      <c r="C193" s="83" t="str">
        <f t="shared" si="4"/>
        <v>Navigation - Dredge Production</v>
      </c>
      <c r="D193" s="65">
        <v>800050</v>
      </c>
      <c r="E193" s="65" t="s">
        <v>262</v>
      </c>
      <c r="F193" s="65" t="s">
        <v>155</v>
      </c>
      <c r="G193" s="65" t="s">
        <v>156</v>
      </c>
      <c r="H193" s="65"/>
      <c r="I193" s="76"/>
      <c r="J193" s="82"/>
      <c r="K193" s="66"/>
      <c r="L193" s="61">
        <f t="shared" si="5"/>
        <v>0</v>
      </c>
      <c r="M193" s="72"/>
      <c r="N193" s="73"/>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row>
    <row r="194" spans="1:45" s="64" customFormat="1" hidden="1">
      <c r="A194" s="65" t="s">
        <v>256</v>
      </c>
      <c r="B194" s="65" t="s">
        <v>257</v>
      </c>
      <c r="C194" s="83" t="str">
        <f t="shared" si="4"/>
        <v>Navigation - Dredge Production</v>
      </c>
      <c r="D194" s="65">
        <v>800060</v>
      </c>
      <c r="E194" s="65" t="s">
        <v>263</v>
      </c>
      <c r="F194" s="65" t="s">
        <v>155</v>
      </c>
      <c r="G194" s="65" t="s">
        <v>156</v>
      </c>
      <c r="H194" s="65"/>
      <c r="I194" s="76"/>
      <c r="J194" s="82"/>
      <c r="K194" s="66"/>
      <c r="L194" s="61">
        <f t="shared" si="5"/>
        <v>0</v>
      </c>
      <c r="M194" s="72"/>
      <c r="N194" s="73"/>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row>
    <row r="195" spans="1:45" s="64" customFormat="1" hidden="1">
      <c r="A195" s="65" t="s">
        <v>256</v>
      </c>
      <c r="B195" s="65" t="s">
        <v>257</v>
      </c>
      <c r="C195" s="83" t="str">
        <f t="shared" si="4"/>
        <v>Navigation - Dredge Production</v>
      </c>
      <c r="D195" s="65">
        <v>800070</v>
      </c>
      <c r="E195" s="65" t="s">
        <v>264</v>
      </c>
      <c r="F195" s="65" t="s">
        <v>155</v>
      </c>
      <c r="G195" s="65" t="s">
        <v>156</v>
      </c>
      <c r="H195" s="65"/>
      <c r="I195" s="76"/>
      <c r="J195" s="82"/>
      <c r="K195" s="66"/>
      <c r="L195" s="61">
        <f t="shared" si="5"/>
        <v>0</v>
      </c>
      <c r="M195" s="72"/>
      <c r="N195" s="73"/>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row>
    <row r="196" spans="1:45" s="64" customFormat="1" hidden="1">
      <c r="A196" s="65" t="s">
        <v>256</v>
      </c>
      <c r="B196" s="65" t="s">
        <v>257</v>
      </c>
      <c r="C196" s="83" t="str">
        <f t="shared" si="4"/>
        <v>Navigation - Dredge Production</v>
      </c>
      <c r="D196" s="65">
        <v>800080</v>
      </c>
      <c r="E196" s="65" t="s">
        <v>265</v>
      </c>
      <c r="F196" s="65" t="s">
        <v>155</v>
      </c>
      <c r="G196" s="65" t="s">
        <v>156</v>
      </c>
      <c r="H196" s="65"/>
      <c r="I196" s="76"/>
      <c r="J196" s="82"/>
      <c r="K196" s="66"/>
      <c r="L196" s="61">
        <f t="shared" si="5"/>
        <v>0</v>
      </c>
      <c r="M196" s="72"/>
      <c r="N196" s="73"/>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row>
    <row r="197" spans="1:45" s="64" customFormat="1" hidden="1">
      <c r="A197" s="65" t="s">
        <v>256</v>
      </c>
      <c r="B197" s="65" t="s">
        <v>257</v>
      </c>
      <c r="C197" s="83" t="str">
        <f t="shared" ref="C197:C260" si="6">B197 &amp; " - " &amp; LEFT(E197,FIND("-",E197)-1)</f>
        <v>Navigation - Major Maintenance</v>
      </c>
      <c r="D197" s="65">
        <v>810010</v>
      </c>
      <c r="E197" s="65" t="s">
        <v>266</v>
      </c>
      <c r="F197" s="65" t="s">
        <v>155</v>
      </c>
      <c r="G197" s="65" t="s">
        <v>156</v>
      </c>
      <c r="H197" s="65" t="s">
        <v>139</v>
      </c>
      <c r="I197" s="76"/>
      <c r="J197" s="82"/>
      <c r="K197" s="66"/>
      <c r="L197" s="61">
        <f t="shared" si="5"/>
        <v>0</v>
      </c>
      <c r="M197" s="72"/>
      <c r="N197" s="73"/>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row>
    <row r="198" spans="1:45" s="64" customFormat="1" hidden="1">
      <c r="A198" s="65" t="s">
        <v>256</v>
      </c>
      <c r="B198" s="65" t="s">
        <v>257</v>
      </c>
      <c r="C198" s="83" t="str">
        <f t="shared" si="6"/>
        <v>Navigation - Major Maintenance</v>
      </c>
      <c r="D198" s="65">
        <v>810020</v>
      </c>
      <c r="E198" s="65" t="s">
        <v>267</v>
      </c>
      <c r="F198" s="65" t="s">
        <v>155</v>
      </c>
      <c r="G198" s="65" t="s">
        <v>156</v>
      </c>
      <c r="H198" s="65" t="s">
        <v>139</v>
      </c>
      <c r="I198" s="76"/>
      <c r="J198" s="82"/>
      <c r="K198" s="66"/>
      <c r="L198" s="61">
        <f t="shared" ref="L198:L261" si="7">I198*J198</f>
        <v>0</v>
      </c>
      <c r="M198" s="72"/>
      <c r="N198" s="73"/>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row>
    <row r="199" spans="1:45" s="64" customFormat="1" hidden="1">
      <c r="A199" s="65" t="s">
        <v>256</v>
      </c>
      <c r="B199" s="65" t="s">
        <v>257</v>
      </c>
      <c r="C199" s="83" t="str">
        <f t="shared" si="6"/>
        <v>Navigation - Major Maintenance</v>
      </c>
      <c r="D199" s="65">
        <v>810030</v>
      </c>
      <c r="E199" s="65" t="s">
        <v>268</v>
      </c>
      <c r="F199" s="65" t="s">
        <v>155</v>
      </c>
      <c r="G199" s="65" t="s">
        <v>156</v>
      </c>
      <c r="H199" s="65" t="s">
        <v>139</v>
      </c>
      <c r="I199" s="76"/>
      <c r="J199" s="82"/>
      <c r="K199" s="66"/>
      <c r="L199" s="61">
        <f t="shared" si="7"/>
        <v>0</v>
      </c>
      <c r="M199" s="72"/>
      <c r="N199" s="73"/>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row>
    <row r="200" spans="1:45" s="64" customFormat="1" hidden="1">
      <c r="A200" s="65" t="s">
        <v>256</v>
      </c>
      <c r="B200" s="65" t="s">
        <v>257</v>
      </c>
      <c r="C200" s="83" t="str">
        <f t="shared" si="6"/>
        <v>Navigation - Major Maintenance</v>
      </c>
      <c r="D200" s="65">
        <v>810040</v>
      </c>
      <c r="E200" s="65" t="s">
        <v>269</v>
      </c>
      <c r="F200" s="65" t="s">
        <v>155</v>
      </c>
      <c r="G200" s="65" t="s">
        <v>156</v>
      </c>
      <c r="H200" s="65"/>
      <c r="I200" s="76"/>
      <c r="J200" s="82"/>
      <c r="K200" s="66"/>
      <c r="L200" s="61">
        <f t="shared" si="7"/>
        <v>0</v>
      </c>
      <c r="M200" s="72"/>
      <c r="N200" s="73"/>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row>
    <row r="201" spans="1:45" s="64" customFormat="1" hidden="1">
      <c r="A201" s="65" t="s">
        <v>256</v>
      </c>
      <c r="B201" s="65" t="s">
        <v>257</v>
      </c>
      <c r="C201" s="83" t="str">
        <f t="shared" si="6"/>
        <v>Navigation - Major Maintenance</v>
      </c>
      <c r="D201" s="65">
        <v>810050</v>
      </c>
      <c r="E201" s="65" t="s">
        <v>270</v>
      </c>
      <c r="F201" s="65" t="s">
        <v>155</v>
      </c>
      <c r="G201" s="65" t="s">
        <v>156</v>
      </c>
      <c r="H201" s="65"/>
      <c r="I201" s="76"/>
      <c r="J201" s="82"/>
      <c r="K201" s="66"/>
      <c r="L201" s="61">
        <f t="shared" si="7"/>
        <v>0</v>
      </c>
      <c r="M201" s="72"/>
      <c r="N201" s="73"/>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row>
    <row r="202" spans="1:45" s="64" customFormat="1" hidden="1">
      <c r="A202" s="65" t="s">
        <v>256</v>
      </c>
      <c r="B202" s="65" t="s">
        <v>257</v>
      </c>
      <c r="C202" s="83" t="str">
        <f t="shared" si="6"/>
        <v>Navigation - Major Maintenance</v>
      </c>
      <c r="D202" s="65">
        <v>810060</v>
      </c>
      <c r="E202" s="65" t="s">
        <v>271</v>
      </c>
      <c r="F202" s="65" t="s">
        <v>155</v>
      </c>
      <c r="G202" s="65" t="s">
        <v>156</v>
      </c>
      <c r="H202" s="65"/>
      <c r="I202" s="76"/>
      <c r="J202" s="82"/>
      <c r="K202" s="66"/>
      <c r="L202" s="61">
        <f t="shared" si="7"/>
        <v>0</v>
      </c>
      <c r="M202" s="72"/>
      <c r="N202" s="73"/>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row>
    <row r="203" spans="1:45" s="64" customFormat="1" hidden="1">
      <c r="A203" s="65" t="s">
        <v>256</v>
      </c>
      <c r="B203" s="65" t="s">
        <v>257</v>
      </c>
      <c r="C203" s="83" t="str">
        <f t="shared" si="6"/>
        <v>Navigation - Major Maintenance</v>
      </c>
      <c r="D203" s="65">
        <v>810070</v>
      </c>
      <c r="E203" s="65" t="s">
        <v>272</v>
      </c>
      <c r="F203" s="65" t="s">
        <v>155</v>
      </c>
      <c r="G203" s="65" t="s">
        <v>156</v>
      </c>
      <c r="H203" s="65"/>
      <c r="I203" s="76"/>
      <c r="J203" s="82"/>
      <c r="K203" s="66"/>
      <c r="L203" s="61">
        <f t="shared" si="7"/>
        <v>0</v>
      </c>
      <c r="M203" s="72"/>
      <c r="N203" s="73"/>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row>
    <row r="204" spans="1:45" s="64" customFormat="1" hidden="1">
      <c r="A204" s="65" t="s">
        <v>256</v>
      </c>
      <c r="B204" s="65" t="s">
        <v>257</v>
      </c>
      <c r="C204" s="83" t="str">
        <f t="shared" si="6"/>
        <v>Navigation - Major Maintenance</v>
      </c>
      <c r="D204" s="65">
        <v>810080</v>
      </c>
      <c r="E204" s="65" t="s">
        <v>273</v>
      </c>
      <c r="F204" s="65" t="s">
        <v>155</v>
      </c>
      <c r="G204" s="65" t="s">
        <v>156</v>
      </c>
      <c r="H204" s="65"/>
      <c r="I204" s="76"/>
      <c r="J204" s="82"/>
      <c r="K204" s="66"/>
      <c r="L204" s="61">
        <f t="shared" si="7"/>
        <v>0</v>
      </c>
      <c r="M204" s="72"/>
      <c r="N204" s="73"/>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row>
    <row r="205" spans="1:45" s="64" customFormat="1" hidden="1">
      <c r="A205" s="65" t="s">
        <v>256</v>
      </c>
      <c r="B205" s="65" t="s">
        <v>257</v>
      </c>
      <c r="C205" s="83" t="str">
        <f t="shared" si="6"/>
        <v>Navigation - Mob/Demob</v>
      </c>
      <c r="D205" s="65">
        <v>820010</v>
      </c>
      <c r="E205" s="65" t="s">
        <v>274</v>
      </c>
      <c r="F205" s="65" t="s">
        <v>155</v>
      </c>
      <c r="G205" s="65" t="s">
        <v>156</v>
      </c>
      <c r="H205" s="65" t="s">
        <v>139</v>
      </c>
      <c r="I205" s="76"/>
      <c r="J205" s="82"/>
      <c r="K205" s="66"/>
      <c r="L205" s="61">
        <f t="shared" si="7"/>
        <v>0</v>
      </c>
      <c r="M205" s="72"/>
      <c r="N205" s="73"/>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row>
    <row r="206" spans="1:45" s="64" customFormat="1" hidden="1">
      <c r="A206" s="65" t="s">
        <v>256</v>
      </c>
      <c r="B206" s="65" t="s">
        <v>257</v>
      </c>
      <c r="C206" s="83" t="str">
        <f t="shared" si="6"/>
        <v>Navigation - Mob/Demob</v>
      </c>
      <c r="D206" s="65">
        <v>820020</v>
      </c>
      <c r="E206" s="65" t="s">
        <v>275</v>
      </c>
      <c r="F206" s="65" t="s">
        <v>155</v>
      </c>
      <c r="G206" s="65" t="s">
        <v>156</v>
      </c>
      <c r="H206" s="65" t="s">
        <v>139</v>
      </c>
      <c r="I206" s="76"/>
      <c r="J206" s="82"/>
      <c r="K206" s="66"/>
      <c r="L206" s="61">
        <f t="shared" si="7"/>
        <v>0</v>
      </c>
      <c r="M206" s="72"/>
      <c r="N206" s="73"/>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row>
    <row r="207" spans="1:45" s="64" customFormat="1" hidden="1">
      <c r="A207" s="65" t="s">
        <v>256</v>
      </c>
      <c r="B207" s="65" t="s">
        <v>257</v>
      </c>
      <c r="C207" s="83" t="str">
        <f t="shared" si="6"/>
        <v>Navigation - Mob/Demob</v>
      </c>
      <c r="D207" s="65">
        <v>820030</v>
      </c>
      <c r="E207" s="65" t="s">
        <v>276</v>
      </c>
      <c r="F207" s="65" t="s">
        <v>155</v>
      </c>
      <c r="G207" s="65" t="s">
        <v>156</v>
      </c>
      <c r="H207" s="65" t="s">
        <v>139</v>
      </c>
      <c r="I207" s="76"/>
      <c r="J207" s="82"/>
      <c r="K207" s="66"/>
      <c r="L207" s="61">
        <f t="shared" si="7"/>
        <v>0</v>
      </c>
      <c r="M207" s="72"/>
      <c r="N207" s="73"/>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row>
    <row r="208" spans="1:45" s="64" customFormat="1" hidden="1">
      <c r="A208" s="65" t="s">
        <v>256</v>
      </c>
      <c r="B208" s="65" t="s">
        <v>257</v>
      </c>
      <c r="C208" s="83" t="str">
        <f t="shared" si="6"/>
        <v>Navigation - Mob/Demob</v>
      </c>
      <c r="D208" s="65">
        <v>820040</v>
      </c>
      <c r="E208" s="65" t="s">
        <v>277</v>
      </c>
      <c r="F208" s="65" t="s">
        <v>155</v>
      </c>
      <c r="G208" s="65" t="s">
        <v>156</v>
      </c>
      <c r="H208" s="65" t="s">
        <v>139</v>
      </c>
      <c r="I208" s="76"/>
      <c r="J208" s="82"/>
      <c r="K208" s="66"/>
      <c r="L208" s="61">
        <f t="shared" si="7"/>
        <v>0</v>
      </c>
      <c r="M208" s="72"/>
      <c r="N208" s="73"/>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row>
    <row r="209" spans="1:45" s="64" customFormat="1" hidden="1">
      <c r="A209" s="65" t="s">
        <v>256</v>
      </c>
      <c r="B209" s="65" t="s">
        <v>257</v>
      </c>
      <c r="C209" s="83" t="str">
        <f t="shared" si="6"/>
        <v>Navigation - Mob/Demob</v>
      </c>
      <c r="D209" s="65">
        <v>820050</v>
      </c>
      <c r="E209" s="65" t="s">
        <v>278</v>
      </c>
      <c r="F209" s="65" t="s">
        <v>155</v>
      </c>
      <c r="G209" s="65" t="s">
        <v>156</v>
      </c>
      <c r="H209" s="65"/>
      <c r="I209" s="76"/>
      <c r="J209" s="82"/>
      <c r="K209" s="66"/>
      <c r="L209" s="61">
        <f t="shared" si="7"/>
        <v>0</v>
      </c>
      <c r="M209" s="72"/>
      <c r="N209" s="73"/>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row>
    <row r="210" spans="1:45" s="64" customFormat="1" hidden="1">
      <c r="A210" s="65" t="s">
        <v>256</v>
      </c>
      <c r="B210" s="65" t="s">
        <v>257</v>
      </c>
      <c r="C210" s="83" t="str">
        <f t="shared" si="6"/>
        <v>Navigation - Mob/Demob</v>
      </c>
      <c r="D210" s="65">
        <v>820060</v>
      </c>
      <c r="E210" s="65" t="s">
        <v>279</v>
      </c>
      <c r="F210" s="65" t="s">
        <v>155</v>
      </c>
      <c r="G210" s="65" t="s">
        <v>156</v>
      </c>
      <c r="H210" s="65"/>
      <c r="I210" s="76"/>
      <c r="J210" s="82"/>
      <c r="K210" s="66"/>
      <c r="L210" s="61">
        <f t="shared" si="7"/>
        <v>0</v>
      </c>
      <c r="M210" s="72"/>
      <c r="N210" s="73"/>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row>
    <row r="211" spans="1:45" s="64" customFormat="1" hidden="1">
      <c r="A211" s="65" t="s">
        <v>256</v>
      </c>
      <c r="B211" s="65" t="s">
        <v>257</v>
      </c>
      <c r="C211" s="83" t="str">
        <f t="shared" si="6"/>
        <v>Navigation - Mob/Demob</v>
      </c>
      <c r="D211" s="65">
        <v>820070</v>
      </c>
      <c r="E211" s="65" t="s">
        <v>280</v>
      </c>
      <c r="F211" s="65" t="s">
        <v>155</v>
      </c>
      <c r="G211" s="65" t="s">
        <v>156</v>
      </c>
      <c r="H211" s="65"/>
      <c r="I211" s="76"/>
      <c r="J211" s="82"/>
      <c r="K211" s="66"/>
      <c r="L211" s="61">
        <f t="shared" si="7"/>
        <v>0</v>
      </c>
      <c r="M211" s="72"/>
      <c r="N211" s="73"/>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row>
    <row r="212" spans="1:45" s="64" customFormat="1" hidden="1">
      <c r="A212" s="65" t="s">
        <v>256</v>
      </c>
      <c r="B212" s="65" t="s">
        <v>257</v>
      </c>
      <c r="C212" s="83" t="str">
        <f t="shared" si="6"/>
        <v>Navigation - Mob/Demob</v>
      </c>
      <c r="D212" s="65">
        <v>820080</v>
      </c>
      <c r="E212" s="65" t="s">
        <v>281</v>
      </c>
      <c r="F212" s="65" t="s">
        <v>155</v>
      </c>
      <c r="G212" s="65" t="s">
        <v>156</v>
      </c>
      <c r="H212" s="65"/>
      <c r="I212" s="76"/>
      <c r="J212" s="82"/>
      <c r="K212" s="66"/>
      <c r="L212" s="61">
        <f t="shared" si="7"/>
        <v>0</v>
      </c>
      <c r="M212" s="72"/>
      <c r="N212" s="73"/>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row>
    <row r="213" spans="1:45" s="64" customFormat="1" hidden="1">
      <c r="A213" s="65" t="s">
        <v>256</v>
      </c>
      <c r="B213" s="65" t="s">
        <v>257</v>
      </c>
      <c r="C213" s="83" t="str">
        <f t="shared" si="6"/>
        <v>Navigation - Standby</v>
      </c>
      <c r="D213" s="65">
        <v>830010</v>
      </c>
      <c r="E213" s="65" t="s">
        <v>282</v>
      </c>
      <c r="F213" s="65" t="s">
        <v>155</v>
      </c>
      <c r="G213" s="65" t="s">
        <v>156</v>
      </c>
      <c r="H213" s="65" t="s">
        <v>139</v>
      </c>
      <c r="I213" s="76"/>
      <c r="J213" s="82"/>
      <c r="K213" s="66"/>
      <c r="L213" s="61">
        <f t="shared" si="7"/>
        <v>0</v>
      </c>
      <c r="M213" s="72"/>
      <c r="N213" s="73"/>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row>
    <row r="214" spans="1:45" s="64" customFormat="1" hidden="1">
      <c r="A214" s="65" t="s">
        <v>256</v>
      </c>
      <c r="B214" s="65" t="s">
        <v>257</v>
      </c>
      <c r="C214" s="83" t="str">
        <f t="shared" si="6"/>
        <v>Navigation - Standby</v>
      </c>
      <c r="D214" s="65">
        <v>830020</v>
      </c>
      <c r="E214" s="65" t="s">
        <v>283</v>
      </c>
      <c r="F214" s="65" t="s">
        <v>155</v>
      </c>
      <c r="G214" s="65" t="s">
        <v>156</v>
      </c>
      <c r="H214" s="65" t="s">
        <v>139</v>
      </c>
      <c r="I214" s="76"/>
      <c r="J214" s="82"/>
      <c r="K214" s="66"/>
      <c r="L214" s="61">
        <f t="shared" si="7"/>
        <v>0</v>
      </c>
      <c r="M214" s="72"/>
      <c r="N214" s="73"/>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row>
    <row r="215" spans="1:45" s="64" customFormat="1" hidden="1">
      <c r="A215" s="65" t="s">
        <v>256</v>
      </c>
      <c r="B215" s="65" t="s">
        <v>257</v>
      </c>
      <c r="C215" s="83" t="str">
        <f t="shared" si="6"/>
        <v>Navigation - Standby</v>
      </c>
      <c r="D215" s="65">
        <v>830030</v>
      </c>
      <c r="E215" s="65" t="s">
        <v>284</v>
      </c>
      <c r="F215" s="65" t="s">
        <v>155</v>
      </c>
      <c r="G215" s="65" t="s">
        <v>156</v>
      </c>
      <c r="H215" s="65" t="s">
        <v>139</v>
      </c>
      <c r="I215" s="76"/>
      <c r="J215" s="82"/>
      <c r="K215" s="66"/>
      <c r="L215" s="61">
        <f t="shared" si="7"/>
        <v>0</v>
      </c>
      <c r="M215" s="72"/>
      <c r="N215" s="73"/>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row>
    <row r="216" spans="1:45" s="64" customFormat="1" hidden="1">
      <c r="A216" s="65" t="s">
        <v>256</v>
      </c>
      <c r="B216" s="65" t="s">
        <v>257</v>
      </c>
      <c r="C216" s="83" t="str">
        <f t="shared" si="6"/>
        <v>Navigation - Standby</v>
      </c>
      <c r="D216" s="65">
        <v>830040</v>
      </c>
      <c r="E216" s="65" t="s">
        <v>285</v>
      </c>
      <c r="F216" s="65" t="s">
        <v>155</v>
      </c>
      <c r="G216" s="65" t="s">
        <v>156</v>
      </c>
      <c r="H216" s="65" t="s">
        <v>139</v>
      </c>
      <c r="I216" s="76"/>
      <c r="J216" s="82"/>
      <c r="K216" s="66"/>
      <c r="L216" s="61">
        <f t="shared" si="7"/>
        <v>0</v>
      </c>
      <c r="M216" s="72"/>
      <c r="N216" s="73"/>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row>
    <row r="217" spans="1:45" s="64" customFormat="1" hidden="1">
      <c r="A217" s="65" t="s">
        <v>256</v>
      </c>
      <c r="B217" s="65" t="s">
        <v>257</v>
      </c>
      <c r="C217" s="83" t="str">
        <f t="shared" si="6"/>
        <v>Navigation - Standby</v>
      </c>
      <c r="D217" s="65">
        <v>830050</v>
      </c>
      <c r="E217" s="65" t="s">
        <v>286</v>
      </c>
      <c r="F217" s="65" t="s">
        <v>155</v>
      </c>
      <c r="G217" s="65" t="s">
        <v>156</v>
      </c>
      <c r="H217" s="65"/>
      <c r="I217" s="76"/>
      <c r="J217" s="82"/>
      <c r="K217" s="66"/>
      <c r="L217" s="61">
        <f t="shared" si="7"/>
        <v>0</v>
      </c>
      <c r="M217" s="72"/>
      <c r="N217" s="73"/>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row>
    <row r="218" spans="1:45" s="64" customFormat="1" hidden="1">
      <c r="A218" s="65" t="s">
        <v>256</v>
      </c>
      <c r="B218" s="65" t="s">
        <v>257</v>
      </c>
      <c r="C218" s="83" t="str">
        <f t="shared" si="6"/>
        <v>Navigation - Standby</v>
      </c>
      <c r="D218" s="65">
        <v>830060</v>
      </c>
      <c r="E218" s="65" t="s">
        <v>287</v>
      </c>
      <c r="F218" s="65" t="s">
        <v>155</v>
      </c>
      <c r="G218" s="65" t="s">
        <v>156</v>
      </c>
      <c r="H218" s="65"/>
      <c r="I218" s="76"/>
      <c r="J218" s="82"/>
      <c r="K218" s="66"/>
      <c r="L218" s="61">
        <f t="shared" si="7"/>
        <v>0</v>
      </c>
      <c r="M218" s="72"/>
      <c r="N218" s="73"/>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row>
    <row r="219" spans="1:45" s="64" customFormat="1" hidden="1">
      <c r="A219" s="65" t="s">
        <v>256</v>
      </c>
      <c r="B219" s="65" t="s">
        <v>257</v>
      </c>
      <c r="C219" s="83" t="str">
        <f t="shared" si="6"/>
        <v>Navigation - Standby</v>
      </c>
      <c r="D219" s="65">
        <v>830070</v>
      </c>
      <c r="E219" s="65" t="s">
        <v>288</v>
      </c>
      <c r="F219" s="65" t="s">
        <v>155</v>
      </c>
      <c r="G219" s="65" t="s">
        <v>156</v>
      </c>
      <c r="H219" s="65"/>
      <c r="I219" s="76"/>
      <c r="J219" s="82"/>
      <c r="K219" s="66"/>
      <c r="L219" s="61">
        <f t="shared" si="7"/>
        <v>0</v>
      </c>
      <c r="M219" s="72"/>
      <c r="N219" s="73"/>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row>
    <row r="220" spans="1:45" s="64" customFormat="1" hidden="1">
      <c r="A220" s="65" t="s">
        <v>256</v>
      </c>
      <c r="B220" s="65" t="s">
        <v>257</v>
      </c>
      <c r="C220" s="83" t="str">
        <f t="shared" si="6"/>
        <v>Navigation - Standby</v>
      </c>
      <c r="D220" s="65">
        <v>830080</v>
      </c>
      <c r="E220" s="65" t="s">
        <v>289</v>
      </c>
      <c r="F220" s="65" t="s">
        <v>155</v>
      </c>
      <c r="G220" s="65" t="s">
        <v>156</v>
      </c>
      <c r="H220" s="65"/>
      <c r="I220" s="76"/>
      <c r="J220" s="82"/>
      <c r="K220" s="66"/>
      <c r="L220" s="61">
        <f t="shared" si="7"/>
        <v>0</v>
      </c>
      <c r="M220" s="72"/>
      <c r="N220" s="73"/>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row>
    <row r="221" spans="1:45" s="64" customFormat="1" hidden="1">
      <c r="A221" s="65" t="s">
        <v>256</v>
      </c>
      <c r="B221" s="65" t="s">
        <v>257</v>
      </c>
      <c r="C221" s="83" t="str">
        <f t="shared" si="6"/>
        <v>Navigation - Standby Full Crew</v>
      </c>
      <c r="D221" s="65">
        <v>840010</v>
      </c>
      <c r="E221" s="65" t="s">
        <v>290</v>
      </c>
      <c r="F221" s="65" t="s">
        <v>155</v>
      </c>
      <c r="G221" s="65" t="s">
        <v>156</v>
      </c>
      <c r="H221" s="65" t="s">
        <v>139</v>
      </c>
      <c r="I221" s="76"/>
      <c r="J221" s="82"/>
      <c r="K221" s="66"/>
      <c r="L221" s="61">
        <f t="shared" si="7"/>
        <v>0</v>
      </c>
      <c r="M221" s="72"/>
      <c r="N221" s="73"/>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row>
    <row r="222" spans="1:45" s="64" customFormat="1" hidden="1">
      <c r="A222" s="65" t="s">
        <v>256</v>
      </c>
      <c r="B222" s="65" t="s">
        <v>257</v>
      </c>
      <c r="C222" s="83" t="str">
        <f t="shared" si="6"/>
        <v>Navigation - Standby Full Crew</v>
      </c>
      <c r="D222" s="65">
        <v>840020</v>
      </c>
      <c r="E222" s="65" t="s">
        <v>291</v>
      </c>
      <c r="F222" s="65" t="s">
        <v>155</v>
      </c>
      <c r="G222" s="65" t="s">
        <v>156</v>
      </c>
      <c r="H222" s="65" t="s">
        <v>139</v>
      </c>
      <c r="I222" s="76"/>
      <c r="J222" s="82"/>
      <c r="K222" s="66"/>
      <c r="L222" s="61">
        <f t="shared" si="7"/>
        <v>0</v>
      </c>
      <c r="M222" s="72"/>
      <c r="N222" s="73"/>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row>
    <row r="223" spans="1:45" s="64" customFormat="1" hidden="1">
      <c r="A223" s="65" t="s">
        <v>256</v>
      </c>
      <c r="B223" s="65" t="s">
        <v>257</v>
      </c>
      <c r="C223" s="83" t="str">
        <f t="shared" si="6"/>
        <v>Navigation - Standby Full Crew</v>
      </c>
      <c r="D223" s="65">
        <v>840030</v>
      </c>
      <c r="E223" s="65" t="s">
        <v>292</v>
      </c>
      <c r="F223" s="65" t="s">
        <v>155</v>
      </c>
      <c r="G223" s="65" t="s">
        <v>156</v>
      </c>
      <c r="H223" s="65" t="s">
        <v>139</v>
      </c>
      <c r="I223" s="76"/>
      <c r="J223" s="82"/>
      <c r="K223" s="66"/>
      <c r="L223" s="61">
        <f t="shared" si="7"/>
        <v>0</v>
      </c>
      <c r="M223" s="72"/>
      <c r="N223" s="73"/>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row>
    <row r="224" spans="1:45" s="64" customFormat="1" hidden="1">
      <c r="A224" s="65" t="s">
        <v>256</v>
      </c>
      <c r="B224" s="65" t="s">
        <v>257</v>
      </c>
      <c r="C224" s="83" t="str">
        <f t="shared" si="6"/>
        <v>Navigation - Standby Full Crew</v>
      </c>
      <c r="D224" s="65">
        <v>840040</v>
      </c>
      <c r="E224" s="65" t="s">
        <v>293</v>
      </c>
      <c r="F224" s="65" t="s">
        <v>155</v>
      </c>
      <c r="G224" s="65" t="s">
        <v>156</v>
      </c>
      <c r="H224" s="65"/>
      <c r="I224" s="76"/>
      <c r="J224" s="82"/>
      <c r="K224" s="66"/>
      <c r="L224" s="61">
        <f t="shared" si="7"/>
        <v>0</v>
      </c>
      <c r="M224" s="72"/>
      <c r="N224" s="73"/>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row>
    <row r="225" spans="1:45" s="64" customFormat="1" hidden="1">
      <c r="A225" s="65" t="s">
        <v>256</v>
      </c>
      <c r="B225" s="65" t="s">
        <v>257</v>
      </c>
      <c r="C225" s="83" t="str">
        <f t="shared" si="6"/>
        <v>Navigation - Standby Full Crew</v>
      </c>
      <c r="D225" s="65">
        <v>840050</v>
      </c>
      <c r="E225" s="65" t="s">
        <v>294</v>
      </c>
      <c r="F225" s="65" t="s">
        <v>155</v>
      </c>
      <c r="G225" s="65" t="s">
        <v>156</v>
      </c>
      <c r="H225" s="65"/>
      <c r="I225" s="76"/>
      <c r="J225" s="82"/>
      <c r="K225" s="66"/>
      <c r="L225" s="61">
        <f t="shared" si="7"/>
        <v>0</v>
      </c>
      <c r="M225" s="72"/>
      <c r="N225" s="73"/>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row>
    <row r="226" spans="1:45" s="64" customFormat="1" hidden="1">
      <c r="A226" s="65" t="s">
        <v>256</v>
      </c>
      <c r="B226" s="65" t="s">
        <v>257</v>
      </c>
      <c r="C226" s="83" t="str">
        <f t="shared" si="6"/>
        <v>Navigation - Standby Full Crew</v>
      </c>
      <c r="D226" s="65">
        <v>840060</v>
      </c>
      <c r="E226" s="65" t="s">
        <v>295</v>
      </c>
      <c r="F226" s="65" t="s">
        <v>155</v>
      </c>
      <c r="G226" s="65" t="s">
        <v>156</v>
      </c>
      <c r="H226" s="65"/>
      <c r="I226" s="76"/>
      <c r="J226" s="82"/>
      <c r="K226" s="66"/>
      <c r="L226" s="61">
        <f t="shared" si="7"/>
        <v>0</v>
      </c>
      <c r="M226" s="72"/>
      <c r="N226" s="73"/>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row>
    <row r="227" spans="1:45" s="64" customFormat="1" hidden="1">
      <c r="A227" s="65" t="s">
        <v>256</v>
      </c>
      <c r="B227" s="65" t="s">
        <v>257</v>
      </c>
      <c r="C227" s="83" t="str">
        <f t="shared" si="6"/>
        <v>Navigation - Standby Full Crew</v>
      </c>
      <c r="D227" s="65">
        <v>840070</v>
      </c>
      <c r="E227" s="65" t="s">
        <v>296</v>
      </c>
      <c r="F227" s="65" t="s">
        <v>155</v>
      </c>
      <c r="G227" s="65" t="s">
        <v>156</v>
      </c>
      <c r="H227" s="65"/>
      <c r="I227" s="76"/>
      <c r="J227" s="82"/>
      <c r="K227" s="66"/>
      <c r="L227" s="61">
        <f t="shared" si="7"/>
        <v>0</v>
      </c>
      <c r="M227" s="72"/>
      <c r="N227" s="73"/>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row>
    <row r="228" spans="1:45" s="64" customFormat="1" hidden="1">
      <c r="A228" s="65" t="s">
        <v>256</v>
      </c>
      <c r="B228" s="65" t="s">
        <v>257</v>
      </c>
      <c r="C228" s="83" t="str">
        <f t="shared" si="6"/>
        <v>Navigation - Standby Full Crew</v>
      </c>
      <c r="D228" s="65">
        <v>840080</v>
      </c>
      <c r="E228" s="65" t="s">
        <v>297</v>
      </c>
      <c r="F228" s="65" t="s">
        <v>155</v>
      </c>
      <c r="G228" s="65" t="s">
        <v>156</v>
      </c>
      <c r="H228" s="65"/>
      <c r="I228" s="76"/>
      <c r="J228" s="82"/>
      <c r="K228" s="66"/>
      <c r="L228" s="61">
        <f t="shared" si="7"/>
        <v>0</v>
      </c>
      <c r="M228" s="72"/>
      <c r="N228" s="73"/>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row>
    <row r="229" spans="1:45" s="64" customFormat="1" hidden="1">
      <c r="A229" s="65" t="s">
        <v>256</v>
      </c>
      <c r="B229" s="65" t="s">
        <v>257</v>
      </c>
      <c r="C229" s="83" t="str">
        <f t="shared" si="6"/>
        <v>Navigation - Nav Office Operations</v>
      </c>
      <c r="D229" s="65">
        <v>850010</v>
      </c>
      <c r="E229" s="65" t="s">
        <v>298</v>
      </c>
      <c r="F229" s="65" t="s">
        <v>155</v>
      </c>
      <c r="G229" s="65" t="s">
        <v>156</v>
      </c>
      <c r="H229" s="65" t="s">
        <v>139</v>
      </c>
      <c r="I229" s="76"/>
      <c r="J229" s="82"/>
      <c r="K229" s="66"/>
      <c r="L229" s="61">
        <f t="shared" si="7"/>
        <v>0</v>
      </c>
      <c r="M229" s="72"/>
      <c r="N229" s="73"/>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row>
    <row r="230" spans="1:45" s="64" customFormat="1" hidden="1">
      <c r="A230" s="65" t="s">
        <v>256</v>
      </c>
      <c r="B230" s="65" t="s">
        <v>257</v>
      </c>
      <c r="C230" s="83" t="str">
        <f t="shared" si="6"/>
        <v>Navigation - Nav Office Operations</v>
      </c>
      <c r="D230" s="65">
        <v>850020</v>
      </c>
      <c r="E230" s="65" t="s">
        <v>299</v>
      </c>
      <c r="F230" s="65" t="s">
        <v>155</v>
      </c>
      <c r="G230" s="65" t="s">
        <v>156</v>
      </c>
      <c r="H230" s="65"/>
      <c r="I230" s="76"/>
      <c r="J230" s="82"/>
      <c r="K230" s="66"/>
      <c r="L230" s="61">
        <f t="shared" si="7"/>
        <v>0</v>
      </c>
      <c r="M230" s="72"/>
      <c r="N230" s="73"/>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row>
    <row r="231" spans="1:45" s="64" customFormat="1" hidden="1">
      <c r="A231" s="65" t="s">
        <v>256</v>
      </c>
      <c r="B231" s="65" t="s">
        <v>257</v>
      </c>
      <c r="C231" s="83" t="str">
        <f t="shared" si="6"/>
        <v>Navigation - Nav Office Operations</v>
      </c>
      <c r="D231" s="65">
        <v>850030</v>
      </c>
      <c r="E231" s="65" t="s">
        <v>300</v>
      </c>
      <c r="F231" s="65" t="s">
        <v>155</v>
      </c>
      <c r="G231" s="65" t="s">
        <v>156</v>
      </c>
      <c r="H231" s="65"/>
      <c r="I231" s="76"/>
      <c r="J231" s="82"/>
      <c r="K231" s="66"/>
      <c r="L231" s="61">
        <f t="shared" si="7"/>
        <v>0</v>
      </c>
      <c r="M231" s="72"/>
      <c r="N231" s="73"/>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row>
    <row r="232" spans="1:45" s="64" customFormat="1" hidden="1">
      <c r="A232" s="65" t="s">
        <v>256</v>
      </c>
      <c r="B232" s="65" t="s">
        <v>257</v>
      </c>
      <c r="C232" s="83" t="str">
        <f t="shared" si="6"/>
        <v>Navigation - Nav Office Operations</v>
      </c>
      <c r="D232" s="65">
        <v>850040</v>
      </c>
      <c r="E232" s="65" t="s">
        <v>301</v>
      </c>
      <c r="F232" s="65" t="s">
        <v>155</v>
      </c>
      <c r="G232" s="65" t="s">
        <v>156</v>
      </c>
      <c r="H232" s="65"/>
      <c r="I232" s="76"/>
      <c r="J232" s="82"/>
      <c r="K232" s="66"/>
      <c r="L232" s="61">
        <f t="shared" si="7"/>
        <v>0</v>
      </c>
      <c r="M232" s="72"/>
      <c r="N232" s="73"/>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row>
    <row r="233" spans="1:45" s="64" customFormat="1" hidden="1">
      <c r="A233" s="65" t="s">
        <v>256</v>
      </c>
      <c r="B233" s="65" t="s">
        <v>257</v>
      </c>
      <c r="C233" s="83" t="str">
        <f t="shared" si="6"/>
        <v>Navigation - Nav Office Operations</v>
      </c>
      <c r="D233" s="65">
        <v>850050</v>
      </c>
      <c r="E233" s="65" t="s">
        <v>302</v>
      </c>
      <c r="F233" s="65" t="s">
        <v>155</v>
      </c>
      <c r="G233" s="65" t="s">
        <v>156</v>
      </c>
      <c r="H233" s="65"/>
      <c r="I233" s="76"/>
      <c r="J233" s="82"/>
      <c r="K233" s="66"/>
      <c r="L233" s="61">
        <f t="shared" si="7"/>
        <v>0</v>
      </c>
      <c r="M233" s="72"/>
      <c r="N233" s="73"/>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row>
    <row r="234" spans="1:45" s="64" customFormat="1" hidden="1">
      <c r="A234" s="65" t="s">
        <v>256</v>
      </c>
      <c r="B234" s="65" t="s">
        <v>257</v>
      </c>
      <c r="C234" s="83" t="str">
        <f t="shared" si="6"/>
        <v>Navigation - Nav Office Operations</v>
      </c>
      <c r="D234" s="65">
        <v>850070</v>
      </c>
      <c r="E234" s="65" t="s">
        <v>303</v>
      </c>
      <c r="F234" s="65" t="s">
        <v>155</v>
      </c>
      <c r="G234" s="65" t="s">
        <v>156</v>
      </c>
      <c r="H234" s="65"/>
      <c r="I234" s="76"/>
      <c r="J234" s="82"/>
      <c r="K234" s="66"/>
      <c r="L234" s="61">
        <f t="shared" si="7"/>
        <v>0</v>
      </c>
      <c r="M234" s="72"/>
      <c r="N234" s="73"/>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row>
    <row r="235" spans="1:45" s="64" customFormat="1" hidden="1">
      <c r="A235" s="65" t="s">
        <v>256</v>
      </c>
      <c r="B235" s="65" t="s">
        <v>257</v>
      </c>
      <c r="C235" s="83" t="str">
        <f t="shared" si="6"/>
        <v>Navigation - Nav Div Overhead</v>
      </c>
      <c r="D235" s="65">
        <v>860010</v>
      </c>
      <c r="E235" s="65" t="s">
        <v>304</v>
      </c>
      <c r="F235" s="65" t="s">
        <v>155</v>
      </c>
      <c r="G235" s="65" t="s">
        <v>156</v>
      </c>
      <c r="H235" s="65"/>
      <c r="I235" s="76"/>
      <c r="J235" s="82"/>
      <c r="K235" s="66"/>
      <c r="L235" s="61">
        <f t="shared" si="7"/>
        <v>0</v>
      </c>
      <c r="M235" s="72"/>
      <c r="N235" s="73"/>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row>
    <row r="236" spans="1:45" s="64" customFormat="1" hidden="1">
      <c r="A236" s="65" t="s">
        <v>256</v>
      </c>
      <c r="B236" s="65" t="s">
        <v>257</v>
      </c>
      <c r="C236" s="83" t="str">
        <f t="shared" si="6"/>
        <v>Navigation - Nav Div Overhead</v>
      </c>
      <c r="D236" s="65">
        <v>860020</v>
      </c>
      <c r="E236" s="65" t="s">
        <v>305</v>
      </c>
      <c r="F236" s="65" t="s">
        <v>155</v>
      </c>
      <c r="G236" s="65" t="s">
        <v>156</v>
      </c>
      <c r="H236" s="65"/>
      <c r="I236" s="76"/>
      <c r="J236" s="82"/>
      <c r="K236" s="66"/>
      <c r="L236" s="61">
        <f t="shared" si="7"/>
        <v>0</v>
      </c>
      <c r="M236" s="72"/>
      <c r="N236" s="73"/>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row>
    <row r="237" spans="1:45" s="64" customFormat="1" hidden="1">
      <c r="A237" s="65" t="s">
        <v>256</v>
      </c>
      <c r="B237" s="65" t="s">
        <v>257</v>
      </c>
      <c r="C237" s="83" t="str">
        <f t="shared" si="6"/>
        <v>Navigation - Nav Div Overhead</v>
      </c>
      <c r="D237" s="65">
        <v>860030</v>
      </c>
      <c r="E237" s="65" t="s">
        <v>306</v>
      </c>
      <c r="F237" s="65" t="s">
        <v>155</v>
      </c>
      <c r="G237" s="65" t="s">
        <v>156</v>
      </c>
      <c r="H237" s="65"/>
      <c r="I237" s="76"/>
      <c r="J237" s="82"/>
      <c r="K237" s="66"/>
      <c r="L237" s="61">
        <f t="shared" si="7"/>
        <v>0</v>
      </c>
      <c r="M237" s="72"/>
      <c r="N237" s="73"/>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row>
    <row r="238" spans="1:45" s="64" customFormat="1" hidden="1">
      <c r="A238" s="65" t="s">
        <v>256</v>
      </c>
      <c r="B238" s="65" t="s">
        <v>257</v>
      </c>
      <c r="C238" s="83" t="str">
        <f t="shared" si="6"/>
        <v>Navigation - Nav Div Overhead</v>
      </c>
      <c r="D238" s="65">
        <v>860040</v>
      </c>
      <c r="E238" s="65" t="s">
        <v>307</v>
      </c>
      <c r="F238" s="65" t="s">
        <v>155</v>
      </c>
      <c r="G238" s="65" t="s">
        <v>156</v>
      </c>
      <c r="H238" s="65"/>
      <c r="I238" s="76"/>
      <c r="J238" s="82"/>
      <c r="K238" s="66"/>
      <c r="L238" s="61">
        <f t="shared" si="7"/>
        <v>0</v>
      </c>
      <c r="M238" s="72"/>
      <c r="N238" s="73"/>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row>
    <row r="239" spans="1:45" s="64" customFormat="1" hidden="1">
      <c r="A239" s="65" t="s">
        <v>256</v>
      </c>
      <c r="B239" s="65" t="s">
        <v>257</v>
      </c>
      <c r="C239" s="83" t="str">
        <f t="shared" si="6"/>
        <v>Navigation - Nav Div Overhead</v>
      </c>
      <c r="D239" s="65">
        <v>860050</v>
      </c>
      <c r="E239" s="65" t="s">
        <v>308</v>
      </c>
      <c r="F239" s="65" t="s">
        <v>155</v>
      </c>
      <c r="G239" s="65" t="s">
        <v>156</v>
      </c>
      <c r="H239" s="65"/>
      <c r="I239" s="76"/>
      <c r="J239" s="82"/>
      <c r="K239" s="66"/>
      <c r="L239" s="61">
        <f t="shared" si="7"/>
        <v>0</v>
      </c>
      <c r="M239" s="72"/>
      <c r="N239" s="73"/>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row>
    <row r="240" spans="1:45" s="64" customFormat="1" hidden="1">
      <c r="A240" s="65" t="s">
        <v>256</v>
      </c>
      <c r="B240" s="65" t="s">
        <v>257</v>
      </c>
      <c r="C240" s="83" t="str">
        <f t="shared" si="6"/>
        <v>Navigation - Nav Div Overhead</v>
      </c>
      <c r="D240" s="65">
        <v>860060</v>
      </c>
      <c r="E240" s="65" t="s">
        <v>309</v>
      </c>
      <c r="F240" s="65" t="s">
        <v>155</v>
      </c>
      <c r="G240" s="65" t="s">
        <v>156</v>
      </c>
      <c r="H240" s="65"/>
      <c r="I240" s="76"/>
      <c r="J240" s="82"/>
      <c r="K240" s="66"/>
      <c r="L240" s="61">
        <f t="shared" si="7"/>
        <v>0</v>
      </c>
      <c r="M240" s="72"/>
      <c r="N240" s="73"/>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row>
    <row r="241" spans="1:45" s="64" customFormat="1" hidden="1">
      <c r="A241" s="65" t="s">
        <v>256</v>
      </c>
      <c r="B241" s="65" t="s">
        <v>257</v>
      </c>
      <c r="C241" s="83" t="str">
        <f t="shared" si="6"/>
        <v>Navigation - Nav Div Overhead</v>
      </c>
      <c r="D241" s="65">
        <v>860090</v>
      </c>
      <c r="E241" s="65" t="s">
        <v>310</v>
      </c>
      <c r="F241" s="65" t="s">
        <v>155</v>
      </c>
      <c r="G241" s="65" t="s">
        <v>156</v>
      </c>
      <c r="H241" s="65" t="s">
        <v>139</v>
      </c>
      <c r="I241" s="76"/>
      <c r="J241" s="82"/>
      <c r="K241" s="66"/>
      <c r="L241" s="61">
        <f t="shared" si="7"/>
        <v>0</v>
      </c>
      <c r="M241" s="72"/>
      <c r="N241" s="73"/>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row>
    <row r="242" spans="1:45" s="64" customFormat="1" hidden="1">
      <c r="A242" s="65" t="s">
        <v>256</v>
      </c>
      <c r="B242" s="65" t="s">
        <v>257</v>
      </c>
      <c r="C242" s="83" t="str">
        <f t="shared" si="6"/>
        <v>Navigation - Interdepartment Support</v>
      </c>
      <c r="D242" s="65">
        <v>870010</v>
      </c>
      <c r="E242" s="65" t="s">
        <v>311</v>
      </c>
      <c r="F242" s="65" t="s">
        <v>155</v>
      </c>
      <c r="G242" s="65" t="s">
        <v>156</v>
      </c>
      <c r="H242" s="65" t="s">
        <v>139</v>
      </c>
      <c r="I242" s="76"/>
      <c r="J242" s="82"/>
      <c r="K242" s="66"/>
      <c r="L242" s="61">
        <f t="shared" si="7"/>
        <v>0</v>
      </c>
      <c r="M242" s="72"/>
      <c r="N242" s="73"/>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row>
    <row r="243" spans="1:45" s="64" customFormat="1" hidden="1">
      <c r="A243" s="65" t="s">
        <v>256</v>
      </c>
      <c r="B243" s="65" t="s">
        <v>257</v>
      </c>
      <c r="C243" s="83" t="str">
        <f t="shared" si="6"/>
        <v>Navigation - Interdepartment Support</v>
      </c>
      <c r="D243" s="65">
        <v>870020</v>
      </c>
      <c r="E243" s="65" t="s">
        <v>312</v>
      </c>
      <c r="F243" s="65" t="s">
        <v>155</v>
      </c>
      <c r="G243" s="65" t="s">
        <v>156</v>
      </c>
      <c r="H243" s="65" t="s">
        <v>139</v>
      </c>
      <c r="I243" s="76"/>
      <c r="J243" s="82"/>
      <c r="K243" s="66"/>
      <c r="L243" s="61">
        <f t="shared" si="7"/>
        <v>0</v>
      </c>
      <c r="M243" s="72"/>
      <c r="N243" s="73"/>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row>
    <row r="244" spans="1:45" s="64" customFormat="1" hidden="1">
      <c r="A244" s="65" t="s">
        <v>256</v>
      </c>
      <c r="B244" s="65" t="s">
        <v>257</v>
      </c>
      <c r="C244" s="83" t="str">
        <f t="shared" si="6"/>
        <v>Navigation - Interdepartment Support</v>
      </c>
      <c r="D244" s="65">
        <v>870030</v>
      </c>
      <c r="E244" s="65" t="s">
        <v>313</v>
      </c>
      <c r="F244" s="65" t="s">
        <v>155</v>
      </c>
      <c r="G244" s="65" t="s">
        <v>156</v>
      </c>
      <c r="H244" s="65" t="s">
        <v>139</v>
      </c>
      <c r="I244" s="76"/>
      <c r="J244" s="82"/>
      <c r="K244" s="66"/>
      <c r="L244" s="61">
        <f t="shared" si="7"/>
        <v>0</v>
      </c>
      <c r="M244" s="72"/>
      <c r="N244" s="73"/>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row>
    <row r="245" spans="1:45" s="64" customFormat="1" hidden="1">
      <c r="A245" s="65" t="s">
        <v>256</v>
      </c>
      <c r="B245" s="65" t="s">
        <v>257</v>
      </c>
      <c r="C245" s="83" t="str">
        <f t="shared" si="6"/>
        <v>Navigation - Interdepartment Support</v>
      </c>
      <c r="D245" s="65">
        <v>870040</v>
      </c>
      <c r="E245" s="65" t="s">
        <v>314</v>
      </c>
      <c r="F245" s="65" t="s">
        <v>155</v>
      </c>
      <c r="G245" s="65" t="s">
        <v>156</v>
      </c>
      <c r="H245" s="65" t="s">
        <v>139</v>
      </c>
      <c r="I245" s="76"/>
      <c r="J245" s="82"/>
      <c r="K245" s="66"/>
      <c r="L245" s="61">
        <f t="shared" si="7"/>
        <v>0</v>
      </c>
      <c r="M245" s="72"/>
      <c r="N245" s="73"/>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row>
    <row r="246" spans="1:45" s="64" customFormat="1" hidden="1">
      <c r="A246" s="65" t="s">
        <v>256</v>
      </c>
      <c r="B246" s="65" t="s">
        <v>257</v>
      </c>
      <c r="C246" s="83" t="str">
        <f t="shared" si="6"/>
        <v>Navigation - General &amp; Admin (G&amp;A) 15%</v>
      </c>
      <c r="D246" s="65">
        <v>880010</v>
      </c>
      <c r="E246" s="65" t="s">
        <v>315</v>
      </c>
      <c r="F246" s="65" t="s">
        <v>155</v>
      </c>
      <c r="G246" s="65" t="s">
        <v>156</v>
      </c>
      <c r="H246" s="65"/>
      <c r="I246" s="76"/>
      <c r="J246" s="82"/>
      <c r="K246" s="66"/>
      <c r="L246" s="61">
        <f t="shared" si="7"/>
        <v>0</v>
      </c>
      <c r="M246" s="72"/>
      <c r="N246" s="73"/>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row>
    <row r="247" spans="1:45" s="64" customFormat="1" hidden="1">
      <c r="A247" s="65" t="s">
        <v>256</v>
      </c>
      <c r="B247" s="65" t="s">
        <v>257</v>
      </c>
      <c r="C247" s="83" t="str">
        <f t="shared" si="6"/>
        <v>Navigation - General &amp; Admin (G&amp;A) 15%</v>
      </c>
      <c r="D247" s="65">
        <v>880020</v>
      </c>
      <c r="E247" s="65" t="s">
        <v>316</v>
      </c>
      <c r="F247" s="65" t="s">
        <v>155</v>
      </c>
      <c r="G247" s="65" t="s">
        <v>156</v>
      </c>
      <c r="H247" s="65"/>
      <c r="I247" s="76"/>
      <c r="J247" s="82"/>
      <c r="K247" s="66"/>
      <c r="L247" s="61">
        <f t="shared" si="7"/>
        <v>0</v>
      </c>
      <c r="M247" s="72"/>
      <c r="N247" s="73"/>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row>
    <row r="248" spans="1:45" s="64" customFormat="1" hidden="1">
      <c r="A248" s="65" t="s">
        <v>256</v>
      </c>
      <c r="B248" s="65" t="s">
        <v>257</v>
      </c>
      <c r="C248" s="83" t="str">
        <f t="shared" si="6"/>
        <v>Navigation - Other Reimbursements</v>
      </c>
      <c r="D248" s="65">
        <v>901400</v>
      </c>
      <c r="E248" s="65" t="s">
        <v>317</v>
      </c>
      <c r="F248" s="65" t="s">
        <v>155</v>
      </c>
      <c r="G248" s="65" t="s">
        <v>156</v>
      </c>
      <c r="H248" s="65"/>
      <c r="I248" s="76"/>
      <c r="J248" s="82"/>
      <c r="K248" s="66"/>
      <c r="L248" s="61">
        <f t="shared" si="7"/>
        <v>0</v>
      </c>
      <c r="M248" s="72"/>
      <c r="N248" s="73"/>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row>
    <row r="249" spans="1:45" s="64" customFormat="1" hidden="1">
      <c r="A249" s="65" t="s">
        <v>318</v>
      </c>
      <c r="B249" s="65" t="s">
        <v>319</v>
      </c>
      <c r="C249" s="83" t="str">
        <f t="shared" si="6"/>
        <v>Equipment Standard - Project Admin &amp; Mgmt</v>
      </c>
      <c r="D249" s="65">
        <v>101000</v>
      </c>
      <c r="E249" s="65" t="s">
        <v>136</v>
      </c>
      <c r="F249" s="65" t="s">
        <v>137</v>
      </c>
      <c r="G249" s="65" t="s">
        <v>138</v>
      </c>
      <c r="H249" s="65" t="s">
        <v>139</v>
      </c>
      <c r="I249" s="76"/>
      <c r="J249" s="82"/>
      <c r="K249" s="66"/>
      <c r="L249" s="61">
        <f t="shared" si="7"/>
        <v>0</v>
      </c>
      <c r="M249" s="72"/>
      <c r="N249" s="73"/>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row>
    <row r="250" spans="1:45" s="64" customFormat="1" hidden="1">
      <c r="A250" s="65" t="s">
        <v>318</v>
      </c>
      <c r="B250" s="65" t="s">
        <v>319</v>
      </c>
      <c r="C250" s="83" t="str">
        <f t="shared" si="6"/>
        <v>Equipment Standard - Design</v>
      </c>
      <c r="D250" s="65">
        <v>141000</v>
      </c>
      <c r="E250" s="65" t="s">
        <v>181</v>
      </c>
      <c r="F250" s="65" t="s">
        <v>144</v>
      </c>
      <c r="G250" s="65" t="s">
        <v>145</v>
      </c>
      <c r="H250" s="65" t="s">
        <v>139</v>
      </c>
      <c r="I250" s="76"/>
      <c r="J250" s="82"/>
      <c r="K250" s="66"/>
      <c r="L250" s="61">
        <f t="shared" si="7"/>
        <v>0</v>
      </c>
      <c r="M250" s="72"/>
      <c r="N250" s="73"/>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row>
    <row r="251" spans="1:45" s="64" customFormat="1" hidden="1">
      <c r="A251" s="65" t="s">
        <v>318</v>
      </c>
      <c r="B251" s="65" t="s">
        <v>319</v>
      </c>
      <c r="C251" s="83" t="str">
        <f t="shared" si="6"/>
        <v>Equipment Standard - Design</v>
      </c>
      <c r="D251" s="65">
        <v>141010</v>
      </c>
      <c r="E251" s="65" t="s">
        <v>143</v>
      </c>
      <c r="F251" s="65" t="s">
        <v>144</v>
      </c>
      <c r="G251" s="65" t="s">
        <v>145</v>
      </c>
      <c r="H251" s="65"/>
      <c r="I251" s="76"/>
      <c r="J251" s="82"/>
      <c r="K251" s="66"/>
      <c r="L251" s="61">
        <f t="shared" si="7"/>
        <v>0</v>
      </c>
      <c r="M251" s="72"/>
      <c r="N251" s="73"/>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row>
    <row r="252" spans="1:45" s="64" customFormat="1" hidden="1">
      <c r="A252" s="65" t="s">
        <v>318</v>
      </c>
      <c r="B252" s="65" t="s">
        <v>319</v>
      </c>
      <c r="C252" s="83" t="str">
        <f t="shared" si="6"/>
        <v>Equipment Standard - Design</v>
      </c>
      <c r="D252" s="65">
        <v>141100</v>
      </c>
      <c r="E252" s="65" t="s">
        <v>146</v>
      </c>
      <c r="F252" s="65" t="s">
        <v>144</v>
      </c>
      <c r="G252" s="65" t="s">
        <v>145</v>
      </c>
      <c r="H252" s="65" t="s">
        <v>139</v>
      </c>
      <c r="I252" s="76"/>
      <c r="J252" s="82"/>
      <c r="K252" s="66"/>
      <c r="L252" s="61">
        <f t="shared" si="7"/>
        <v>0</v>
      </c>
      <c r="M252" s="72"/>
      <c r="N252" s="73"/>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row>
    <row r="253" spans="1:45" s="64" customFormat="1" hidden="1">
      <c r="A253" s="65" t="s">
        <v>318</v>
      </c>
      <c r="B253" s="65" t="s">
        <v>319</v>
      </c>
      <c r="C253" s="83" t="str">
        <f t="shared" si="6"/>
        <v>Equipment Standard - Acquisition</v>
      </c>
      <c r="D253" s="65">
        <v>162300</v>
      </c>
      <c r="E253" s="65" t="s">
        <v>182</v>
      </c>
      <c r="F253" s="65" t="s">
        <v>155</v>
      </c>
      <c r="G253" s="65" t="s">
        <v>156</v>
      </c>
      <c r="H253" s="65" t="s">
        <v>139</v>
      </c>
      <c r="I253" s="76"/>
      <c r="J253" s="82"/>
      <c r="K253" s="66"/>
      <c r="L253" s="61">
        <f t="shared" si="7"/>
        <v>0</v>
      </c>
      <c r="M253" s="72"/>
      <c r="N253" s="73"/>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row>
    <row r="254" spans="1:45" s="64" customFormat="1" hidden="1">
      <c r="A254" s="65" t="s">
        <v>318</v>
      </c>
      <c r="B254" s="65" t="s">
        <v>319</v>
      </c>
      <c r="C254" s="83" t="str">
        <f t="shared" si="6"/>
        <v>Equipment Standard - Acquisition</v>
      </c>
      <c r="D254" s="65">
        <v>162400</v>
      </c>
      <c r="E254" s="65" t="s">
        <v>183</v>
      </c>
      <c r="F254" s="65" t="s">
        <v>155</v>
      </c>
      <c r="G254" s="65" t="s">
        <v>156</v>
      </c>
      <c r="H254" s="65" t="s">
        <v>139</v>
      </c>
      <c r="I254" s="76"/>
      <c r="J254" s="82"/>
      <c r="K254" s="66"/>
      <c r="L254" s="61">
        <f t="shared" si="7"/>
        <v>0</v>
      </c>
      <c r="M254" s="72"/>
      <c r="N254" s="73"/>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row>
    <row r="255" spans="1:45" s="64" customFormat="1" hidden="1">
      <c r="A255" s="65" t="s">
        <v>318</v>
      </c>
      <c r="B255" s="65" t="s">
        <v>319</v>
      </c>
      <c r="C255" s="83" t="str">
        <f t="shared" si="6"/>
        <v>Equipment Standard - Acquisition</v>
      </c>
      <c r="D255" s="65">
        <v>162500</v>
      </c>
      <c r="E255" s="65" t="s">
        <v>320</v>
      </c>
      <c r="F255" s="65" t="s">
        <v>155</v>
      </c>
      <c r="G255" s="65" t="s">
        <v>156</v>
      </c>
      <c r="H255" s="65" t="s">
        <v>139</v>
      </c>
      <c r="I255" s="76"/>
      <c r="J255" s="82"/>
      <c r="K255" s="66"/>
      <c r="L255" s="61">
        <f t="shared" si="7"/>
        <v>0</v>
      </c>
      <c r="M255" s="72"/>
      <c r="N255" s="73"/>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row>
    <row r="256" spans="1:45" s="64" customFormat="1" hidden="1">
      <c r="A256" s="65" t="s">
        <v>318</v>
      </c>
      <c r="B256" s="65" t="s">
        <v>319</v>
      </c>
      <c r="C256" s="83" t="str">
        <f t="shared" si="6"/>
        <v>Equipment Standard - Implementation</v>
      </c>
      <c r="D256" s="65">
        <v>181800</v>
      </c>
      <c r="E256" s="65" t="s">
        <v>321</v>
      </c>
      <c r="F256" s="65" t="s">
        <v>155</v>
      </c>
      <c r="G256" s="65" t="s">
        <v>156</v>
      </c>
      <c r="H256" s="65" t="s">
        <v>139</v>
      </c>
      <c r="I256" s="76"/>
      <c r="J256" s="82"/>
      <c r="K256" s="66"/>
      <c r="L256" s="61">
        <f t="shared" si="7"/>
        <v>0</v>
      </c>
      <c r="M256" s="72"/>
      <c r="N256" s="73"/>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row>
    <row r="257" spans="1:45" s="64" customFormat="1" hidden="1">
      <c r="A257" s="65" t="s">
        <v>318</v>
      </c>
      <c r="B257" s="65" t="s">
        <v>319</v>
      </c>
      <c r="C257" s="83" t="str">
        <f t="shared" si="6"/>
        <v>Equipment Standard - Construction</v>
      </c>
      <c r="D257" s="65">
        <v>191300</v>
      </c>
      <c r="E257" s="65" t="s">
        <v>158</v>
      </c>
      <c r="F257" s="65" t="s">
        <v>155</v>
      </c>
      <c r="G257" s="65" t="s">
        <v>156</v>
      </c>
      <c r="H257" s="65" t="s">
        <v>139</v>
      </c>
      <c r="I257" s="76"/>
      <c r="J257" s="82"/>
      <c r="K257" s="66"/>
      <c r="L257" s="61">
        <f t="shared" si="7"/>
        <v>0</v>
      </c>
      <c r="M257" s="72"/>
      <c r="N257" s="73"/>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row>
    <row r="258" spans="1:45" s="64" customFormat="1" hidden="1">
      <c r="A258" s="65" t="s">
        <v>318</v>
      </c>
      <c r="B258" s="65" t="s">
        <v>319</v>
      </c>
      <c r="C258" s="83" t="str">
        <f t="shared" si="6"/>
        <v>Equipment Standard - Contingency</v>
      </c>
      <c r="D258" s="65">
        <v>790000</v>
      </c>
      <c r="E258" s="65" t="s">
        <v>223</v>
      </c>
      <c r="F258" s="65" t="s">
        <v>137</v>
      </c>
      <c r="G258" s="65" t="s">
        <v>138</v>
      </c>
      <c r="H258" s="65"/>
      <c r="I258" s="76"/>
      <c r="J258" s="82"/>
      <c r="K258" s="66"/>
      <c r="L258" s="61">
        <f t="shared" si="7"/>
        <v>0</v>
      </c>
      <c r="M258" s="72"/>
      <c r="N258" s="73"/>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row>
    <row r="259" spans="1:45" s="64" customFormat="1" hidden="1">
      <c r="A259" s="65" t="s">
        <v>318</v>
      </c>
      <c r="B259" s="65" t="s">
        <v>319</v>
      </c>
      <c r="C259" s="83" t="str">
        <f t="shared" si="6"/>
        <v>Equipment Standard - Capitalized Alloc Sup Svs</v>
      </c>
      <c r="D259" s="65">
        <v>908550</v>
      </c>
      <c r="E259" s="65" t="s">
        <v>173</v>
      </c>
      <c r="F259" s="65" t="s">
        <v>137</v>
      </c>
      <c r="G259" s="65" t="s">
        <v>138</v>
      </c>
      <c r="H259" s="65"/>
      <c r="I259" s="76"/>
      <c r="J259" s="82"/>
      <c r="K259" s="66"/>
      <c r="L259" s="61">
        <f t="shared" si="7"/>
        <v>0</v>
      </c>
      <c r="M259" s="72"/>
      <c r="N259" s="73"/>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row>
    <row r="260" spans="1:45" s="64" customFormat="1" hidden="1">
      <c r="A260" s="65" t="s">
        <v>318</v>
      </c>
      <c r="B260" s="65" t="s">
        <v>319</v>
      </c>
      <c r="C260" s="83" t="str">
        <f t="shared" si="6"/>
        <v>Equipment Standard - Capitalized Alloc Sup Svs</v>
      </c>
      <c r="D260" s="65">
        <v>909000</v>
      </c>
      <c r="E260" s="65" t="s">
        <v>174</v>
      </c>
      <c r="F260" s="65" t="s">
        <v>137</v>
      </c>
      <c r="G260" s="65" t="s">
        <v>138</v>
      </c>
      <c r="H260" s="65"/>
      <c r="I260" s="76"/>
      <c r="J260" s="82"/>
      <c r="K260" s="66"/>
      <c r="L260" s="61">
        <f t="shared" si="7"/>
        <v>0</v>
      </c>
      <c r="M260" s="72"/>
      <c r="N260" s="73"/>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row>
    <row r="261" spans="1:45" s="64" customFormat="1" hidden="1">
      <c r="A261" s="65" t="s">
        <v>322</v>
      </c>
      <c r="B261" s="65" t="s">
        <v>323</v>
      </c>
      <c r="C261" s="83" t="str">
        <f t="shared" ref="C261:C324" si="8">B261 &amp; " - " &amp; LEFT(E261,FIND("-",E261)-1)</f>
        <v>Emergency - Insurance/FEMA Tracking</v>
      </c>
      <c r="D261" s="65">
        <v>391000</v>
      </c>
      <c r="E261" s="65" t="s">
        <v>324</v>
      </c>
      <c r="F261" s="65" t="s">
        <v>155</v>
      </c>
      <c r="G261" s="65" t="s">
        <v>156</v>
      </c>
      <c r="H261" s="65" t="s">
        <v>139</v>
      </c>
      <c r="I261" s="76"/>
      <c r="J261" s="82"/>
      <c r="K261" s="66"/>
      <c r="L261" s="61">
        <f t="shared" si="7"/>
        <v>0</v>
      </c>
      <c r="M261" s="72"/>
      <c r="N261" s="73"/>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row>
    <row r="262" spans="1:45" s="64" customFormat="1" hidden="1">
      <c r="A262" s="65" t="s">
        <v>322</v>
      </c>
      <c r="B262" s="65" t="s">
        <v>323</v>
      </c>
      <c r="C262" s="83" t="str">
        <f t="shared" si="8"/>
        <v>Emergency - Insurance/FEMA Tracking</v>
      </c>
      <c r="D262" s="65">
        <v>391100</v>
      </c>
      <c r="E262" s="65" t="s">
        <v>325</v>
      </c>
      <c r="F262" s="65" t="s">
        <v>155</v>
      </c>
      <c r="G262" s="65" t="s">
        <v>156</v>
      </c>
      <c r="H262" s="65" t="s">
        <v>139</v>
      </c>
      <c r="I262" s="76"/>
      <c r="J262" s="82"/>
      <c r="K262" s="66"/>
      <c r="L262" s="61">
        <f t="shared" ref="L262:L325" si="9">I262*J262</f>
        <v>0</v>
      </c>
      <c r="M262" s="72"/>
      <c r="N262" s="73"/>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row>
    <row r="263" spans="1:45" s="64" customFormat="1" hidden="1">
      <c r="A263" s="65" t="s">
        <v>322</v>
      </c>
      <c r="B263" s="65" t="s">
        <v>323</v>
      </c>
      <c r="C263" s="83" t="str">
        <f t="shared" si="8"/>
        <v>Emergency - Insurance/FEMA Tracking</v>
      </c>
      <c r="D263" s="65">
        <v>391200</v>
      </c>
      <c r="E263" s="65" t="s">
        <v>326</v>
      </c>
      <c r="F263" s="65" t="s">
        <v>155</v>
      </c>
      <c r="G263" s="65" t="s">
        <v>156</v>
      </c>
      <c r="H263" s="65" t="s">
        <v>139</v>
      </c>
      <c r="I263" s="76"/>
      <c r="J263" s="82"/>
      <c r="K263" s="66"/>
      <c r="L263" s="61">
        <f t="shared" si="9"/>
        <v>0</v>
      </c>
      <c r="M263" s="72"/>
      <c r="N263" s="73"/>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row>
    <row r="264" spans="1:45" s="64" customFormat="1" hidden="1">
      <c r="A264" s="65" t="s">
        <v>322</v>
      </c>
      <c r="B264" s="65" t="s">
        <v>323</v>
      </c>
      <c r="C264" s="83" t="str">
        <f t="shared" si="8"/>
        <v>Emergency - Insurance/FEMA Tracking</v>
      </c>
      <c r="D264" s="65">
        <v>391300</v>
      </c>
      <c r="E264" s="65" t="s">
        <v>327</v>
      </c>
      <c r="F264" s="65" t="s">
        <v>155</v>
      </c>
      <c r="G264" s="65" t="s">
        <v>156</v>
      </c>
      <c r="H264" s="65" t="s">
        <v>139</v>
      </c>
      <c r="I264" s="76"/>
      <c r="J264" s="82"/>
      <c r="K264" s="66"/>
      <c r="L264" s="61">
        <f t="shared" si="9"/>
        <v>0</v>
      </c>
      <c r="M264" s="72"/>
      <c r="N264" s="73"/>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row>
    <row r="265" spans="1:45" s="64" customFormat="1" hidden="1">
      <c r="A265" s="65" t="s">
        <v>322</v>
      </c>
      <c r="B265" s="65" t="s">
        <v>323</v>
      </c>
      <c r="C265" s="83" t="str">
        <f t="shared" si="8"/>
        <v>Emergency - Contingency</v>
      </c>
      <c r="D265" s="65">
        <v>790000</v>
      </c>
      <c r="E265" s="65" t="s">
        <v>223</v>
      </c>
      <c r="F265" s="65" t="s">
        <v>155</v>
      </c>
      <c r="G265" s="65" t="s">
        <v>156</v>
      </c>
      <c r="H265" s="65"/>
      <c r="I265" s="76"/>
      <c r="J265" s="82"/>
      <c r="K265" s="66"/>
      <c r="L265" s="61">
        <f t="shared" si="9"/>
        <v>0</v>
      </c>
      <c r="M265" s="72"/>
      <c r="N265" s="73"/>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row>
    <row r="266" spans="1:45" s="64" customFormat="1" hidden="1">
      <c r="A266" s="65" t="s">
        <v>328</v>
      </c>
      <c r="B266" s="65" t="s">
        <v>329</v>
      </c>
      <c r="C266" s="83" t="str">
        <f t="shared" si="8"/>
        <v>Reimbursements - Other Reimbursements</v>
      </c>
      <c r="D266" s="65">
        <v>901000</v>
      </c>
      <c r="E266" s="65" t="s">
        <v>330</v>
      </c>
      <c r="F266" s="65" t="s">
        <v>137</v>
      </c>
      <c r="G266" s="65" t="s">
        <v>138</v>
      </c>
      <c r="H266" s="65"/>
      <c r="I266" s="76"/>
      <c r="J266" s="82"/>
      <c r="K266" s="66"/>
      <c r="L266" s="61">
        <f t="shared" si="9"/>
        <v>0</v>
      </c>
      <c r="M266" s="72"/>
      <c r="N266" s="73"/>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row>
    <row r="267" spans="1:45" s="64" customFormat="1" hidden="1">
      <c r="A267" s="65" t="s">
        <v>328</v>
      </c>
      <c r="B267" s="65" t="s">
        <v>329</v>
      </c>
      <c r="C267" s="83" t="str">
        <f t="shared" si="8"/>
        <v>Reimbursements - Other Reimbursements</v>
      </c>
      <c r="D267" s="65">
        <v>901100</v>
      </c>
      <c r="E267" s="65" t="s">
        <v>331</v>
      </c>
      <c r="F267" s="65" t="s">
        <v>137</v>
      </c>
      <c r="G267" s="65" t="s">
        <v>138</v>
      </c>
      <c r="H267" s="65"/>
      <c r="I267" s="76"/>
      <c r="J267" s="82"/>
      <c r="K267" s="66"/>
      <c r="L267" s="61">
        <f t="shared" si="9"/>
        <v>0</v>
      </c>
      <c r="M267" s="72"/>
      <c r="N267" s="73"/>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row>
    <row r="268" spans="1:45" s="64" customFormat="1" hidden="1">
      <c r="A268" s="65" t="s">
        <v>328</v>
      </c>
      <c r="B268" s="65" t="s">
        <v>329</v>
      </c>
      <c r="C268" s="83" t="str">
        <f t="shared" si="8"/>
        <v>Reimbursements - Other Reimbursements</v>
      </c>
      <c r="D268" s="65">
        <v>901200</v>
      </c>
      <c r="E268" s="65" t="s">
        <v>332</v>
      </c>
      <c r="F268" s="65" t="s">
        <v>137</v>
      </c>
      <c r="G268" s="65" t="s">
        <v>138</v>
      </c>
      <c r="H268" s="65"/>
      <c r="I268" s="76"/>
      <c r="J268" s="82"/>
      <c r="K268" s="66"/>
      <c r="L268" s="61">
        <f t="shared" si="9"/>
        <v>0</v>
      </c>
      <c r="M268" s="72"/>
      <c r="N268" s="73"/>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row>
    <row r="269" spans="1:45" s="64" customFormat="1" hidden="1">
      <c r="A269" s="65" t="s">
        <v>328</v>
      </c>
      <c r="B269" s="65" t="s">
        <v>329</v>
      </c>
      <c r="C269" s="83" t="str">
        <f t="shared" si="8"/>
        <v>Reimbursements - Other Reimbursements</v>
      </c>
      <c r="D269" s="65">
        <v>901300</v>
      </c>
      <c r="E269" s="65" t="s">
        <v>333</v>
      </c>
      <c r="F269" s="65" t="s">
        <v>137</v>
      </c>
      <c r="G269" s="65" t="s">
        <v>138</v>
      </c>
      <c r="H269" s="65"/>
      <c r="I269" s="76"/>
      <c r="J269" s="82"/>
      <c r="K269" s="66"/>
      <c r="L269" s="61">
        <f t="shared" si="9"/>
        <v>0</v>
      </c>
      <c r="M269" s="72"/>
      <c r="N269" s="73"/>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row>
    <row r="270" spans="1:45" s="64" customFormat="1" hidden="1">
      <c r="A270" s="65" t="s">
        <v>328</v>
      </c>
      <c r="B270" s="65" t="s">
        <v>329</v>
      </c>
      <c r="C270" s="83" t="str">
        <f t="shared" si="8"/>
        <v>Reimbursements - Other Reimbursements</v>
      </c>
      <c r="D270" s="65">
        <v>901400</v>
      </c>
      <c r="E270" s="65" t="s">
        <v>317</v>
      </c>
      <c r="F270" s="65" t="s">
        <v>137</v>
      </c>
      <c r="G270" s="65" t="s">
        <v>138</v>
      </c>
      <c r="H270" s="65"/>
      <c r="I270" s="76"/>
      <c r="J270" s="82"/>
      <c r="K270" s="66"/>
      <c r="L270" s="61">
        <f t="shared" si="9"/>
        <v>0</v>
      </c>
      <c r="M270" s="72"/>
      <c r="N270" s="73"/>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row>
    <row r="271" spans="1:45" s="64" customFormat="1" hidden="1">
      <c r="A271" s="65" t="s">
        <v>328</v>
      </c>
      <c r="B271" s="65" t="s">
        <v>329</v>
      </c>
      <c r="C271" s="83" t="str">
        <f t="shared" si="8"/>
        <v>Reimbursements - Other Reimbursements</v>
      </c>
      <c r="D271" s="65">
        <v>901500</v>
      </c>
      <c r="E271" s="65" t="s">
        <v>334</v>
      </c>
      <c r="F271" s="65" t="s">
        <v>137</v>
      </c>
      <c r="G271" s="65" t="s">
        <v>138</v>
      </c>
      <c r="H271" s="65"/>
      <c r="I271" s="76"/>
      <c r="J271" s="82"/>
      <c r="K271" s="66"/>
      <c r="L271" s="61">
        <f t="shared" si="9"/>
        <v>0</v>
      </c>
      <c r="M271" s="72"/>
      <c r="N271" s="73"/>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row>
    <row r="272" spans="1:45" s="64" customFormat="1" hidden="1">
      <c r="A272" s="65" t="s">
        <v>328</v>
      </c>
      <c r="B272" s="65" t="s">
        <v>329</v>
      </c>
      <c r="C272" s="83" t="str">
        <f t="shared" si="8"/>
        <v>Reimbursements - Other Reimbursements</v>
      </c>
      <c r="D272" s="65">
        <v>901600</v>
      </c>
      <c r="E272" s="65" t="s">
        <v>335</v>
      </c>
      <c r="F272" s="65" t="s">
        <v>137</v>
      </c>
      <c r="G272" s="65" t="s">
        <v>138</v>
      </c>
      <c r="H272" s="65"/>
      <c r="I272" s="76"/>
      <c r="J272" s="82"/>
      <c r="K272" s="66"/>
      <c r="L272" s="61">
        <f t="shared" si="9"/>
        <v>0</v>
      </c>
      <c r="M272" s="72"/>
      <c r="N272" s="73"/>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row>
    <row r="273" spans="1:45" s="64" customFormat="1" hidden="1">
      <c r="A273" s="65" t="s">
        <v>328</v>
      </c>
      <c r="B273" s="65" t="s">
        <v>329</v>
      </c>
      <c r="C273" s="83" t="str">
        <f t="shared" si="8"/>
        <v>Reimbursements - Other Reimbursements</v>
      </c>
      <c r="D273" s="65">
        <v>901700</v>
      </c>
      <c r="E273" s="65" t="s">
        <v>336</v>
      </c>
      <c r="F273" s="65" t="s">
        <v>137</v>
      </c>
      <c r="G273" s="65" t="s">
        <v>138</v>
      </c>
      <c r="H273" s="65"/>
      <c r="I273" s="76"/>
      <c r="J273" s="82"/>
      <c r="K273" s="66"/>
      <c r="L273" s="61">
        <f t="shared" si="9"/>
        <v>0</v>
      </c>
      <c r="M273" s="72"/>
      <c r="N273" s="73"/>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row>
    <row r="274" spans="1:45" s="64" customFormat="1" hidden="1">
      <c r="A274" s="65" t="s">
        <v>328</v>
      </c>
      <c r="B274" s="65" t="s">
        <v>329</v>
      </c>
      <c r="C274" s="83" t="str">
        <f t="shared" si="8"/>
        <v>Reimbursements - Other Reimbursements</v>
      </c>
      <c r="D274" s="65">
        <v>901800</v>
      </c>
      <c r="E274" s="65" t="s">
        <v>337</v>
      </c>
      <c r="F274" s="65" t="s">
        <v>137</v>
      </c>
      <c r="G274" s="65" t="s">
        <v>138</v>
      </c>
      <c r="H274" s="65"/>
      <c r="I274" s="76"/>
      <c r="J274" s="82"/>
      <c r="K274" s="66"/>
      <c r="L274" s="61">
        <f t="shared" si="9"/>
        <v>0</v>
      </c>
      <c r="M274" s="72"/>
      <c r="N274" s="73"/>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row>
    <row r="275" spans="1:45" s="64" customFormat="1" hidden="1">
      <c r="A275" s="65" t="s">
        <v>328</v>
      </c>
      <c r="B275" s="65" t="s">
        <v>329</v>
      </c>
      <c r="C275" s="83" t="str">
        <f t="shared" si="8"/>
        <v>Reimbursements - Other Reimbursements</v>
      </c>
      <c r="D275" s="65">
        <v>901910</v>
      </c>
      <c r="E275" s="65" t="s">
        <v>338</v>
      </c>
      <c r="F275" s="65" t="s">
        <v>137</v>
      </c>
      <c r="G275" s="65" t="s">
        <v>138</v>
      </c>
      <c r="H275" s="65"/>
      <c r="I275" s="76"/>
      <c r="J275" s="82"/>
      <c r="K275" s="66"/>
      <c r="L275" s="61">
        <f t="shared" si="9"/>
        <v>0</v>
      </c>
      <c r="M275" s="72"/>
      <c r="N275" s="73"/>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row>
    <row r="276" spans="1:45" s="64" customFormat="1" hidden="1">
      <c r="A276" s="65" t="s">
        <v>328</v>
      </c>
      <c r="B276" s="65" t="s">
        <v>329</v>
      </c>
      <c r="C276" s="83" t="str">
        <f t="shared" si="8"/>
        <v>Reimbursements - Other Reimbursements</v>
      </c>
      <c r="D276" s="65">
        <v>901920</v>
      </c>
      <c r="E276" s="65" t="s">
        <v>339</v>
      </c>
      <c r="F276" s="65" t="s">
        <v>137</v>
      </c>
      <c r="G276" s="65" t="s">
        <v>138</v>
      </c>
      <c r="H276" s="65"/>
      <c r="I276" s="76"/>
      <c r="J276" s="82"/>
      <c r="K276" s="66"/>
      <c r="L276" s="61">
        <f t="shared" si="9"/>
        <v>0</v>
      </c>
      <c r="M276" s="72"/>
      <c r="N276" s="73"/>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row>
    <row r="277" spans="1:45" s="64" customFormat="1" hidden="1">
      <c r="A277" s="65" t="s">
        <v>328</v>
      </c>
      <c r="B277" s="65" t="s">
        <v>329</v>
      </c>
      <c r="C277" s="83" t="str">
        <f t="shared" si="8"/>
        <v>Reimbursements - Other Reimbursements</v>
      </c>
      <c r="D277" s="65">
        <v>901930</v>
      </c>
      <c r="E277" s="65" t="s">
        <v>340</v>
      </c>
      <c r="F277" s="65" t="s">
        <v>137</v>
      </c>
      <c r="G277" s="65" t="s">
        <v>138</v>
      </c>
      <c r="H277" s="65"/>
      <c r="I277" s="76"/>
      <c r="J277" s="82"/>
      <c r="K277" s="66"/>
      <c r="L277" s="61">
        <f t="shared" si="9"/>
        <v>0</v>
      </c>
      <c r="M277" s="72"/>
      <c r="N277" s="73"/>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row>
    <row r="278" spans="1:45" s="64" customFormat="1" hidden="1">
      <c r="A278" s="65" t="s">
        <v>328</v>
      </c>
      <c r="B278" s="65" t="s">
        <v>329</v>
      </c>
      <c r="C278" s="83" t="str">
        <f t="shared" si="8"/>
        <v>Reimbursements - Other Reimbursements</v>
      </c>
      <c r="D278" s="65">
        <v>901940</v>
      </c>
      <c r="E278" s="65" t="s">
        <v>341</v>
      </c>
      <c r="F278" s="65" t="s">
        <v>137</v>
      </c>
      <c r="G278" s="65" t="s">
        <v>138</v>
      </c>
      <c r="H278" s="65"/>
      <c r="I278" s="76"/>
      <c r="J278" s="82"/>
      <c r="K278" s="66"/>
      <c r="L278" s="61">
        <f t="shared" si="9"/>
        <v>0</v>
      </c>
      <c r="M278" s="72"/>
      <c r="N278" s="73"/>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row>
    <row r="279" spans="1:45" s="64" customFormat="1" hidden="1">
      <c r="A279" s="65" t="s">
        <v>328</v>
      </c>
      <c r="B279" s="65" t="s">
        <v>329</v>
      </c>
      <c r="C279" s="83" t="str">
        <f t="shared" si="8"/>
        <v>Reimbursements - Other Reimbursements</v>
      </c>
      <c r="D279" s="65">
        <v>902000</v>
      </c>
      <c r="E279" s="65" t="s">
        <v>342</v>
      </c>
      <c r="F279" s="65" t="s">
        <v>137</v>
      </c>
      <c r="G279" s="65" t="s">
        <v>138</v>
      </c>
      <c r="H279" s="65"/>
      <c r="I279" s="76"/>
      <c r="J279" s="82"/>
      <c r="K279" s="66"/>
      <c r="L279" s="61">
        <f t="shared" si="9"/>
        <v>0</v>
      </c>
      <c r="M279" s="72"/>
      <c r="N279" s="73"/>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row>
    <row r="280" spans="1:45" s="64" customFormat="1" hidden="1">
      <c r="A280" s="65" t="s">
        <v>328</v>
      </c>
      <c r="B280" s="65" t="s">
        <v>329</v>
      </c>
      <c r="C280" s="83" t="str">
        <f t="shared" si="8"/>
        <v>Reimbursements - Other Reimbursements</v>
      </c>
      <c r="D280" s="65">
        <v>902100</v>
      </c>
      <c r="E280" s="65" t="s">
        <v>343</v>
      </c>
      <c r="F280" s="65" t="s">
        <v>137</v>
      </c>
      <c r="G280" s="65" t="s">
        <v>138</v>
      </c>
      <c r="H280" s="65"/>
      <c r="I280" s="76"/>
      <c r="J280" s="82"/>
      <c r="K280" s="66"/>
      <c r="L280" s="61">
        <f t="shared" si="9"/>
        <v>0</v>
      </c>
      <c r="M280" s="72"/>
      <c r="N280" s="73"/>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row>
    <row r="281" spans="1:45" s="64" customFormat="1" hidden="1">
      <c r="A281" s="65" t="s">
        <v>328</v>
      </c>
      <c r="B281" s="65" t="s">
        <v>329</v>
      </c>
      <c r="C281" s="83" t="str">
        <f t="shared" si="8"/>
        <v>Reimbursements - Other Reimbursements</v>
      </c>
      <c r="D281" s="65">
        <v>902200</v>
      </c>
      <c r="E281" s="65" t="s">
        <v>344</v>
      </c>
      <c r="F281" s="65" t="s">
        <v>137</v>
      </c>
      <c r="G281" s="65" t="s">
        <v>138</v>
      </c>
      <c r="H281" s="65"/>
      <c r="I281" s="76"/>
      <c r="J281" s="82"/>
      <c r="K281" s="66"/>
      <c r="L281" s="61">
        <f t="shared" si="9"/>
        <v>0</v>
      </c>
      <c r="M281" s="72"/>
      <c r="N281" s="73"/>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row>
    <row r="282" spans="1:45" s="64" customFormat="1" hidden="1">
      <c r="A282" s="65" t="s">
        <v>328</v>
      </c>
      <c r="B282" s="65" t="s">
        <v>329</v>
      </c>
      <c r="C282" s="83" t="str">
        <f t="shared" si="8"/>
        <v>Reimbursements - Other Reimbursements</v>
      </c>
      <c r="D282" s="65">
        <v>902300</v>
      </c>
      <c r="E282" s="65" t="s">
        <v>345</v>
      </c>
      <c r="F282" s="65" t="s">
        <v>137</v>
      </c>
      <c r="G282" s="65" t="s">
        <v>138</v>
      </c>
      <c r="H282" s="65"/>
      <c r="I282" s="76"/>
      <c r="J282" s="82"/>
      <c r="K282" s="66"/>
      <c r="L282" s="61">
        <f t="shared" si="9"/>
        <v>0</v>
      </c>
      <c r="M282" s="72"/>
      <c r="N282" s="73"/>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row>
    <row r="283" spans="1:45" s="64" customFormat="1" hidden="1">
      <c r="A283" s="65" t="s">
        <v>328</v>
      </c>
      <c r="B283" s="65" t="s">
        <v>329</v>
      </c>
      <c r="C283" s="83" t="str">
        <f t="shared" si="8"/>
        <v>Reimbursements - Other Reimbursements</v>
      </c>
      <c r="D283" s="65">
        <v>902310</v>
      </c>
      <c r="E283" s="65" t="s">
        <v>346</v>
      </c>
      <c r="F283" s="65" t="s">
        <v>137</v>
      </c>
      <c r="G283" s="65" t="s">
        <v>138</v>
      </c>
      <c r="H283" s="65"/>
      <c r="I283" s="76"/>
      <c r="J283" s="82"/>
      <c r="K283" s="66"/>
      <c r="L283" s="61">
        <f t="shared" si="9"/>
        <v>0</v>
      </c>
      <c r="M283" s="72"/>
      <c r="N283" s="73"/>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row>
    <row r="284" spans="1:45" s="64" customFormat="1" hidden="1">
      <c r="A284" s="65" t="s">
        <v>328</v>
      </c>
      <c r="B284" s="65" t="s">
        <v>329</v>
      </c>
      <c r="C284" s="83" t="str">
        <f t="shared" si="8"/>
        <v>Reimbursements - Other Reimbursements</v>
      </c>
      <c r="D284" s="65">
        <v>902400</v>
      </c>
      <c r="E284" s="65" t="s">
        <v>347</v>
      </c>
      <c r="F284" s="65" t="s">
        <v>137</v>
      </c>
      <c r="G284" s="65" t="s">
        <v>138</v>
      </c>
      <c r="H284" s="65"/>
      <c r="I284" s="76"/>
      <c r="J284" s="82"/>
      <c r="K284" s="66"/>
      <c r="L284" s="61">
        <f t="shared" si="9"/>
        <v>0</v>
      </c>
      <c r="M284" s="72"/>
      <c r="N284" s="73"/>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row>
    <row r="285" spans="1:45" s="64" customFormat="1" hidden="1">
      <c r="A285" s="65" t="s">
        <v>328</v>
      </c>
      <c r="B285" s="65" t="s">
        <v>329</v>
      </c>
      <c r="C285" s="83" t="str">
        <f t="shared" si="8"/>
        <v>Reimbursements - Other Reimbursements</v>
      </c>
      <c r="D285" s="65">
        <v>902450</v>
      </c>
      <c r="E285" s="65" t="s">
        <v>348</v>
      </c>
      <c r="F285" s="65" t="s">
        <v>137</v>
      </c>
      <c r="G285" s="65" t="s">
        <v>138</v>
      </c>
      <c r="H285" s="65"/>
      <c r="I285" s="76"/>
      <c r="J285" s="82"/>
      <c r="K285" s="66"/>
      <c r="L285" s="61">
        <f t="shared" si="9"/>
        <v>0</v>
      </c>
      <c r="M285" s="72"/>
      <c r="N285" s="73"/>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row>
    <row r="286" spans="1:45" s="64" customFormat="1" hidden="1">
      <c r="A286" s="65" t="s">
        <v>349</v>
      </c>
      <c r="B286" s="65" t="s">
        <v>350</v>
      </c>
      <c r="C286" s="83" t="str">
        <f t="shared" si="8"/>
        <v>Channel Deepening - Project Admin &amp; Mgmt</v>
      </c>
      <c r="D286" s="65">
        <v>101000</v>
      </c>
      <c r="E286" s="65" t="s">
        <v>136</v>
      </c>
      <c r="F286" s="65" t="s">
        <v>137</v>
      </c>
      <c r="G286" s="65" t="s">
        <v>138</v>
      </c>
      <c r="H286" s="65" t="s">
        <v>139</v>
      </c>
      <c r="I286" s="76"/>
      <c r="J286" s="82"/>
      <c r="K286" s="66"/>
      <c r="L286" s="61">
        <f t="shared" si="9"/>
        <v>0</v>
      </c>
      <c r="M286" s="72"/>
      <c r="N286" s="73"/>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row>
    <row r="287" spans="1:45" s="64" customFormat="1" hidden="1">
      <c r="A287" s="65" t="s">
        <v>349</v>
      </c>
      <c r="B287" s="65" t="s">
        <v>350</v>
      </c>
      <c r="C287" s="83" t="str">
        <f t="shared" si="8"/>
        <v>Channel Deepening - Design</v>
      </c>
      <c r="D287" s="65">
        <v>141600</v>
      </c>
      <c r="E287" s="65" t="s">
        <v>147</v>
      </c>
      <c r="F287" s="65" t="s">
        <v>144</v>
      </c>
      <c r="G287" s="65" t="s">
        <v>145</v>
      </c>
      <c r="H287" s="65" t="s">
        <v>139</v>
      </c>
      <c r="I287" s="76"/>
      <c r="J287" s="82"/>
      <c r="K287" s="66"/>
      <c r="L287" s="61">
        <f t="shared" si="9"/>
        <v>0</v>
      </c>
      <c r="M287" s="72"/>
      <c r="N287" s="73"/>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row>
    <row r="288" spans="1:45" s="64" customFormat="1" hidden="1">
      <c r="A288" s="65" t="s">
        <v>349</v>
      </c>
      <c r="B288" s="65" t="s">
        <v>350</v>
      </c>
      <c r="C288" s="83" t="str">
        <f t="shared" si="8"/>
        <v>Channel Deepening - Design</v>
      </c>
      <c r="D288" s="65">
        <v>141800</v>
      </c>
      <c r="E288" s="65" t="s">
        <v>149</v>
      </c>
      <c r="F288" s="65" t="s">
        <v>144</v>
      </c>
      <c r="G288" s="65" t="s">
        <v>145</v>
      </c>
      <c r="H288" s="65" t="s">
        <v>139</v>
      </c>
      <c r="I288" s="76"/>
      <c r="J288" s="82"/>
      <c r="K288" s="66"/>
      <c r="L288" s="61">
        <f t="shared" si="9"/>
        <v>0</v>
      </c>
      <c r="M288" s="72"/>
      <c r="N288" s="73"/>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row>
    <row r="289" spans="1:45" s="64" customFormat="1" hidden="1">
      <c r="A289" s="65" t="s">
        <v>349</v>
      </c>
      <c r="B289" s="65" t="s">
        <v>350</v>
      </c>
      <c r="C289" s="83" t="str">
        <f t="shared" si="8"/>
        <v>Channel Deepening - Design</v>
      </c>
      <c r="D289" s="65">
        <v>141900</v>
      </c>
      <c r="E289" s="65" t="s">
        <v>150</v>
      </c>
      <c r="F289" s="65" t="s">
        <v>144</v>
      </c>
      <c r="G289" s="65" t="s">
        <v>145</v>
      </c>
      <c r="H289" s="65" t="s">
        <v>139</v>
      </c>
      <c r="I289" s="76"/>
      <c r="J289" s="82"/>
      <c r="K289" s="66"/>
      <c r="L289" s="61">
        <f t="shared" si="9"/>
        <v>0</v>
      </c>
      <c r="M289" s="72"/>
      <c r="N289" s="73"/>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row>
    <row r="290" spans="1:45" s="64" customFormat="1" hidden="1">
      <c r="A290" s="65" t="s">
        <v>349</v>
      </c>
      <c r="B290" s="65" t="s">
        <v>350</v>
      </c>
      <c r="C290" s="83" t="str">
        <f t="shared" si="8"/>
        <v>Channel Deepening - Construction</v>
      </c>
      <c r="D290" s="65">
        <v>191000</v>
      </c>
      <c r="E290" s="65" t="s">
        <v>351</v>
      </c>
      <c r="F290" s="65" t="s">
        <v>155</v>
      </c>
      <c r="G290" s="65" t="s">
        <v>156</v>
      </c>
      <c r="H290" s="65" t="s">
        <v>139</v>
      </c>
      <c r="I290" s="76"/>
      <c r="J290" s="82"/>
      <c r="K290" s="66"/>
      <c r="L290" s="61">
        <f t="shared" si="9"/>
        <v>0</v>
      </c>
      <c r="M290" s="72"/>
      <c r="N290" s="73"/>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row>
    <row r="291" spans="1:45" s="64" customFormat="1" hidden="1">
      <c r="A291" s="65" t="s">
        <v>349</v>
      </c>
      <c r="B291" s="65" t="s">
        <v>350</v>
      </c>
      <c r="C291" s="83" t="str">
        <f t="shared" si="8"/>
        <v>Channel Deepening - Construction</v>
      </c>
      <c r="D291" s="65">
        <v>191100</v>
      </c>
      <c r="E291" s="65" t="s">
        <v>154</v>
      </c>
      <c r="F291" s="65" t="s">
        <v>155</v>
      </c>
      <c r="G291" s="65" t="s">
        <v>156</v>
      </c>
      <c r="H291" s="65" t="s">
        <v>139</v>
      </c>
      <c r="I291" s="76"/>
      <c r="J291" s="82"/>
      <c r="K291" s="66"/>
      <c r="L291" s="61">
        <f t="shared" si="9"/>
        <v>0</v>
      </c>
      <c r="M291" s="72"/>
      <c r="N291" s="73"/>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row>
    <row r="292" spans="1:45" s="64" customFormat="1" hidden="1">
      <c r="A292" s="65" t="s">
        <v>349</v>
      </c>
      <c r="B292" s="65" t="s">
        <v>350</v>
      </c>
      <c r="C292" s="83" t="str">
        <f t="shared" si="8"/>
        <v>Channel Deepening - Construction</v>
      </c>
      <c r="D292" s="65">
        <v>191200</v>
      </c>
      <c r="E292" s="65" t="s">
        <v>157</v>
      </c>
      <c r="F292" s="65" t="s">
        <v>155</v>
      </c>
      <c r="G292" s="65" t="s">
        <v>156</v>
      </c>
      <c r="H292" s="65" t="s">
        <v>139</v>
      </c>
      <c r="I292" s="76"/>
      <c r="J292" s="82"/>
      <c r="K292" s="66"/>
      <c r="L292" s="61">
        <f t="shared" si="9"/>
        <v>0</v>
      </c>
      <c r="M292" s="72"/>
      <c r="N292" s="73"/>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row>
    <row r="293" spans="1:45" s="64" customFormat="1" hidden="1">
      <c r="A293" s="65" t="s">
        <v>349</v>
      </c>
      <c r="B293" s="65" t="s">
        <v>350</v>
      </c>
      <c r="C293" s="83" t="str">
        <f t="shared" si="8"/>
        <v>Channel Deepening - Construction</v>
      </c>
      <c r="D293" s="65">
        <v>191300</v>
      </c>
      <c r="E293" s="65" t="s">
        <v>158</v>
      </c>
      <c r="F293" s="65" t="s">
        <v>155</v>
      </c>
      <c r="G293" s="65" t="s">
        <v>156</v>
      </c>
      <c r="H293" s="65" t="s">
        <v>139</v>
      </c>
      <c r="I293" s="76"/>
      <c r="J293" s="82"/>
      <c r="K293" s="66"/>
      <c r="L293" s="61">
        <f t="shared" si="9"/>
        <v>0</v>
      </c>
      <c r="M293" s="72"/>
      <c r="N293" s="73"/>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row>
    <row r="294" spans="1:45" s="64" customFormat="1" hidden="1">
      <c r="A294" s="65" t="s">
        <v>349</v>
      </c>
      <c r="B294" s="65" t="s">
        <v>350</v>
      </c>
      <c r="C294" s="83" t="str">
        <f t="shared" si="8"/>
        <v>Channel Deepening - Construction</v>
      </c>
      <c r="D294" s="65">
        <v>191400</v>
      </c>
      <c r="E294" s="65" t="s">
        <v>159</v>
      </c>
      <c r="F294" s="65" t="s">
        <v>155</v>
      </c>
      <c r="G294" s="65" t="s">
        <v>156</v>
      </c>
      <c r="H294" s="65" t="s">
        <v>139</v>
      </c>
      <c r="I294" s="76"/>
      <c r="J294" s="82"/>
      <c r="K294" s="66"/>
      <c r="L294" s="61">
        <f t="shared" si="9"/>
        <v>0</v>
      </c>
      <c r="M294" s="72"/>
      <c r="N294" s="73"/>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row>
    <row r="295" spans="1:45" s="64" customFormat="1" hidden="1">
      <c r="A295" s="65" t="s">
        <v>349</v>
      </c>
      <c r="B295" s="65" t="s">
        <v>350</v>
      </c>
      <c r="C295" s="83" t="str">
        <f t="shared" si="8"/>
        <v>Channel Deepening - Construction</v>
      </c>
      <c r="D295" s="65">
        <v>191600</v>
      </c>
      <c r="E295" s="65" t="s">
        <v>161</v>
      </c>
      <c r="F295" s="65" t="s">
        <v>155</v>
      </c>
      <c r="G295" s="65" t="s">
        <v>156</v>
      </c>
      <c r="H295" s="65" t="s">
        <v>139</v>
      </c>
      <c r="I295" s="76"/>
      <c r="J295" s="82"/>
      <c r="K295" s="66"/>
      <c r="L295" s="61">
        <f t="shared" si="9"/>
        <v>0</v>
      </c>
      <c r="M295" s="72"/>
      <c r="N295" s="73"/>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row>
    <row r="296" spans="1:45" s="64" customFormat="1" hidden="1">
      <c r="A296" s="65" t="s">
        <v>349</v>
      </c>
      <c r="B296" s="65" t="s">
        <v>350</v>
      </c>
      <c r="C296" s="83" t="str">
        <f t="shared" si="8"/>
        <v>Channel Deepening - Construction</v>
      </c>
      <c r="D296" s="65">
        <v>191800</v>
      </c>
      <c r="E296" s="65" t="s">
        <v>162</v>
      </c>
      <c r="F296" s="65" t="s">
        <v>155</v>
      </c>
      <c r="G296" s="65" t="s">
        <v>156</v>
      </c>
      <c r="H296" s="65" t="s">
        <v>139</v>
      </c>
      <c r="I296" s="76"/>
      <c r="J296" s="82"/>
      <c r="K296" s="66"/>
      <c r="L296" s="61">
        <f t="shared" si="9"/>
        <v>0</v>
      </c>
      <c r="M296" s="72"/>
      <c r="N296" s="73"/>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row>
    <row r="297" spans="1:45" s="64" customFormat="1" hidden="1">
      <c r="A297" s="65" t="s">
        <v>349</v>
      </c>
      <c r="B297" s="65" t="s">
        <v>350</v>
      </c>
      <c r="C297" s="83" t="str">
        <f t="shared" si="8"/>
        <v>Channel Deepening - Construction</v>
      </c>
      <c r="D297" s="65">
        <v>192200</v>
      </c>
      <c r="E297" s="65" t="s">
        <v>352</v>
      </c>
      <c r="F297" s="65" t="s">
        <v>155</v>
      </c>
      <c r="G297" s="65" t="s">
        <v>156</v>
      </c>
      <c r="H297" s="65" t="s">
        <v>139</v>
      </c>
      <c r="I297" s="76"/>
      <c r="J297" s="82"/>
      <c r="K297" s="66"/>
      <c r="L297" s="61">
        <f t="shared" si="9"/>
        <v>0</v>
      </c>
      <c r="M297" s="72"/>
      <c r="N297" s="73"/>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row>
    <row r="298" spans="1:45" s="64" customFormat="1" hidden="1">
      <c r="A298" s="65" t="s">
        <v>349</v>
      </c>
      <c r="B298" s="65" t="s">
        <v>350</v>
      </c>
      <c r="C298" s="83" t="str">
        <f t="shared" si="8"/>
        <v>Channel Deepening - Construction</v>
      </c>
      <c r="D298" s="65">
        <v>192300</v>
      </c>
      <c r="E298" s="65" t="s">
        <v>353</v>
      </c>
      <c r="F298" s="65" t="s">
        <v>155</v>
      </c>
      <c r="G298" s="65" t="s">
        <v>156</v>
      </c>
      <c r="H298" s="65" t="s">
        <v>139</v>
      </c>
      <c r="I298" s="76"/>
      <c r="J298" s="82"/>
      <c r="K298" s="66"/>
      <c r="L298" s="61">
        <f t="shared" si="9"/>
        <v>0</v>
      </c>
      <c r="M298" s="72"/>
      <c r="N298" s="73"/>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row>
    <row r="299" spans="1:45" s="64" customFormat="1" hidden="1">
      <c r="A299" s="65" t="s">
        <v>349</v>
      </c>
      <c r="B299" s="65" t="s">
        <v>350</v>
      </c>
      <c r="C299" s="83" t="str">
        <f t="shared" si="8"/>
        <v>Channel Deepening - Permitting</v>
      </c>
      <c r="D299" s="65">
        <v>201000</v>
      </c>
      <c r="E299" s="65" t="s">
        <v>245</v>
      </c>
      <c r="F299" s="65" t="s">
        <v>155</v>
      </c>
      <c r="G299" s="65" t="s">
        <v>156</v>
      </c>
      <c r="H299" s="65" t="s">
        <v>139</v>
      </c>
      <c r="I299" s="76"/>
      <c r="J299" s="82"/>
      <c r="K299" s="66"/>
      <c r="L299" s="61">
        <f t="shared" si="9"/>
        <v>0</v>
      </c>
      <c r="M299" s="72"/>
      <c r="N299" s="73"/>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row>
    <row r="300" spans="1:45" s="64" customFormat="1" hidden="1">
      <c r="A300" s="65" t="s">
        <v>349</v>
      </c>
      <c r="B300" s="65" t="s">
        <v>350</v>
      </c>
      <c r="C300" s="83" t="str">
        <f t="shared" si="8"/>
        <v>Channel Deepening - Survey</v>
      </c>
      <c r="D300" s="65">
        <v>211500</v>
      </c>
      <c r="E300" s="65" t="s">
        <v>354</v>
      </c>
      <c r="F300" s="65" t="s">
        <v>155</v>
      </c>
      <c r="G300" s="65" t="s">
        <v>156</v>
      </c>
      <c r="H300" s="65" t="s">
        <v>139</v>
      </c>
      <c r="I300" s="76"/>
      <c r="J300" s="82"/>
      <c r="K300" s="66"/>
      <c r="L300" s="61">
        <f t="shared" si="9"/>
        <v>0</v>
      </c>
      <c r="M300" s="72"/>
      <c r="N300" s="73"/>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row>
    <row r="301" spans="1:45" s="64" customFormat="1" hidden="1">
      <c r="A301" s="65" t="s">
        <v>349</v>
      </c>
      <c r="B301" s="65" t="s">
        <v>350</v>
      </c>
      <c r="C301" s="83" t="str">
        <f t="shared" si="8"/>
        <v>Channel Deepening - Maintenance</v>
      </c>
      <c r="D301" s="65">
        <v>221000</v>
      </c>
      <c r="E301" s="65" t="s">
        <v>355</v>
      </c>
      <c r="F301" s="65" t="s">
        <v>155</v>
      </c>
      <c r="G301" s="65" t="s">
        <v>156</v>
      </c>
      <c r="H301" s="65" t="s">
        <v>139</v>
      </c>
      <c r="I301" s="76"/>
      <c r="J301" s="82"/>
      <c r="K301" s="66"/>
      <c r="L301" s="61">
        <f t="shared" si="9"/>
        <v>0</v>
      </c>
      <c r="M301" s="72"/>
      <c r="N301" s="73"/>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row>
    <row r="302" spans="1:45" s="64" customFormat="1" hidden="1">
      <c r="A302" s="65" t="s">
        <v>349</v>
      </c>
      <c r="B302" s="65" t="s">
        <v>350</v>
      </c>
      <c r="C302" s="83" t="str">
        <f t="shared" si="8"/>
        <v>Channel Deepening - Maintenance</v>
      </c>
      <c r="D302" s="65">
        <v>221400</v>
      </c>
      <c r="E302" s="65" t="s">
        <v>356</v>
      </c>
      <c r="F302" s="65" t="s">
        <v>155</v>
      </c>
      <c r="G302" s="65" t="s">
        <v>156</v>
      </c>
      <c r="H302" s="65" t="s">
        <v>139</v>
      </c>
      <c r="I302" s="76"/>
      <c r="J302" s="82"/>
      <c r="K302" s="66"/>
      <c r="L302" s="61">
        <f t="shared" si="9"/>
        <v>0</v>
      </c>
      <c r="M302" s="72"/>
      <c r="N302" s="73"/>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row>
    <row r="303" spans="1:45" s="64" customFormat="1" hidden="1">
      <c r="A303" s="65" t="s">
        <v>349</v>
      </c>
      <c r="B303" s="65" t="s">
        <v>350</v>
      </c>
      <c r="C303" s="83" t="str">
        <f t="shared" si="8"/>
        <v>Channel Deepening - Project Close Out</v>
      </c>
      <c r="D303" s="65">
        <v>781000</v>
      </c>
      <c r="E303" s="65" t="s">
        <v>195</v>
      </c>
      <c r="F303" s="65" t="s">
        <v>168</v>
      </c>
      <c r="G303" s="65" t="s">
        <v>169</v>
      </c>
      <c r="H303" s="65" t="s">
        <v>139</v>
      </c>
      <c r="I303" s="76"/>
      <c r="J303" s="82"/>
      <c r="K303" s="66"/>
      <c r="L303" s="61">
        <f t="shared" si="9"/>
        <v>0</v>
      </c>
      <c r="M303" s="72"/>
      <c r="N303" s="73"/>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row>
    <row r="304" spans="1:45" s="64" customFormat="1" hidden="1">
      <c r="A304" s="65" t="s">
        <v>349</v>
      </c>
      <c r="B304" s="65" t="s">
        <v>350</v>
      </c>
      <c r="C304" s="83" t="str">
        <f t="shared" si="8"/>
        <v>Channel Deepening - Contingency</v>
      </c>
      <c r="D304" s="65">
        <v>790000</v>
      </c>
      <c r="E304" s="65" t="s">
        <v>223</v>
      </c>
      <c r="F304" s="65" t="s">
        <v>137</v>
      </c>
      <c r="G304" s="65" t="s">
        <v>138</v>
      </c>
      <c r="H304" s="65"/>
      <c r="I304" s="76"/>
      <c r="J304" s="82"/>
      <c r="K304" s="66"/>
      <c r="L304" s="61">
        <f t="shared" si="9"/>
        <v>0</v>
      </c>
      <c r="M304" s="72"/>
      <c r="N304" s="73"/>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row>
    <row r="305" spans="1:45" s="64" customFormat="1" hidden="1">
      <c r="A305" s="65" t="s">
        <v>349</v>
      </c>
      <c r="B305" s="65" t="s">
        <v>350</v>
      </c>
      <c r="C305" s="83" t="str">
        <f t="shared" si="8"/>
        <v>Channel Deepening - Dredge Production</v>
      </c>
      <c r="D305" s="65">
        <v>800010</v>
      </c>
      <c r="E305" s="65" t="s">
        <v>258</v>
      </c>
      <c r="F305" s="65" t="s">
        <v>155</v>
      </c>
      <c r="G305" s="65" t="s">
        <v>156</v>
      </c>
      <c r="H305" s="65" t="s">
        <v>139</v>
      </c>
      <c r="I305" s="76"/>
      <c r="J305" s="82"/>
      <c r="K305" s="66"/>
      <c r="L305" s="61">
        <f t="shared" si="9"/>
        <v>0</v>
      </c>
      <c r="M305" s="72"/>
      <c r="N305" s="73"/>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row>
    <row r="306" spans="1:45" s="64" customFormat="1" hidden="1">
      <c r="A306" s="65" t="s">
        <v>349</v>
      </c>
      <c r="B306" s="65" t="s">
        <v>350</v>
      </c>
      <c r="C306" s="83" t="str">
        <f t="shared" si="8"/>
        <v>Channel Deepening - Dredge Production</v>
      </c>
      <c r="D306" s="65">
        <v>800020</v>
      </c>
      <c r="E306" s="65" t="s">
        <v>259</v>
      </c>
      <c r="F306" s="65" t="s">
        <v>155</v>
      </c>
      <c r="G306" s="65" t="s">
        <v>156</v>
      </c>
      <c r="H306" s="65" t="s">
        <v>139</v>
      </c>
      <c r="I306" s="76"/>
      <c r="J306" s="82"/>
      <c r="K306" s="66"/>
      <c r="L306" s="61">
        <f t="shared" si="9"/>
        <v>0</v>
      </c>
      <c r="M306" s="72"/>
      <c r="N306" s="73"/>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row>
    <row r="307" spans="1:45" s="64" customFormat="1" hidden="1">
      <c r="A307" s="65" t="s">
        <v>349</v>
      </c>
      <c r="B307" s="65" t="s">
        <v>350</v>
      </c>
      <c r="C307" s="83" t="str">
        <f t="shared" si="8"/>
        <v>Channel Deepening - Dredge Production</v>
      </c>
      <c r="D307" s="65">
        <v>800030</v>
      </c>
      <c r="E307" s="65" t="s">
        <v>260</v>
      </c>
      <c r="F307" s="65" t="s">
        <v>155</v>
      </c>
      <c r="G307" s="65" t="s">
        <v>156</v>
      </c>
      <c r="H307" s="65" t="s">
        <v>139</v>
      </c>
      <c r="I307" s="76"/>
      <c r="J307" s="82"/>
      <c r="K307" s="66"/>
      <c r="L307" s="61">
        <f t="shared" si="9"/>
        <v>0</v>
      </c>
      <c r="M307" s="72"/>
      <c r="N307" s="73"/>
      <c r="O307" s="52"/>
      <c r="P307" s="52"/>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row>
    <row r="308" spans="1:45" s="64" customFormat="1" hidden="1">
      <c r="A308" s="65" t="s">
        <v>349</v>
      </c>
      <c r="B308" s="65" t="s">
        <v>350</v>
      </c>
      <c r="C308" s="83" t="str">
        <f t="shared" si="8"/>
        <v>Channel Deepening - Dredge Production</v>
      </c>
      <c r="D308" s="65">
        <v>800040</v>
      </c>
      <c r="E308" s="65" t="s">
        <v>261</v>
      </c>
      <c r="F308" s="65" t="s">
        <v>155</v>
      </c>
      <c r="G308" s="65" t="s">
        <v>156</v>
      </c>
      <c r="H308" s="65"/>
      <c r="I308" s="76"/>
      <c r="J308" s="82"/>
      <c r="K308" s="66"/>
      <c r="L308" s="61">
        <f t="shared" si="9"/>
        <v>0</v>
      </c>
      <c r="M308" s="72"/>
      <c r="N308" s="73"/>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row>
    <row r="309" spans="1:45" s="64" customFormat="1" hidden="1">
      <c r="A309" s="65" t="s">
        <v>349</v>
      </c>
      <c r="B309" s="65" t="s">
        <v>350</v>
      </c>
      <c r="C309" s="83" t="str">
        <f t="shared" si="8"/>
        <v>Channel Deepening - Dredge Production</v>
      </c>
      <c r="D309" s="65">
        <v>800050</v>
      </c>
      <c r="E309" s="65" t="s">
        <v>262</v>
      </c>
      <c r="F309" s="65" t="s">
        <v>155</v>
      </c>
      <c r="G309" s="65" t="s">
        <v>156</v>
      </c>
      <c r="H309" s="65"/>
      <c r="I309" s="76"/>
      <c r="J309" s="82"/>
      <c r="K309" s="66"/>
      <c r="L309" s="61">
        <f t="shared" si="9"/>
        <v>0</v>
      </c>
      <c r="M309" s="72"/>
      <c r="N309" s="73"/>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row>
    <row r="310" spans="1:45" s="64" customFormat="1" hidden="1">
      <c r="A310" s="65" t="s">
        <v>349</v>
      </c>
      <c r="B310" s="65" t="s">
        <v>350</v>
      </c>
      <c r="C310" s="83" t="str">
        <f t="shared" si="8"/>
        <v>Channel Deepening - Dredge Production</v>
      </c>
      <c r="D310" s="65">
        <v>800060</v>
      </c>
      <c r="E310" s="65" t="s">
        <v>263</v>
      </c>
      <c r="F310" s="65" t="s">
        <v>155</v>
      </c>
      <c r="G310" s="65" t="s">
        <v>156</v>
      </c>
      <c r="H310" s="65"/>
      <c r="I310" s="76"/>
      <c r="J310" s="82"/>
      <c r="K310" s="66"/>
      <c r="L310" s="61">
        <f t="shared" si="9"/>
        <v>0</v>
      </c>
      <c r="M310" s="72"/>
      <c r="N310" s="73"/>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row>
    <row r="311" spans="1:45" s="64" customFormat="1" hidden="1">
      <c r="A311" s="65" t="s">
        <v>349</v>
      </c>
      <c r="B311" s="65" t="s">
        <v>350</v>
      </c>
      <c r="C311" s="83" t="str">
        <f t="shared" si="8"/>
        <v>Channel Deepening - Dredge Production</v>
      </c>
      <c r="D311" s="65">
        <v>800070</v>
      </c>
      <c r="E311" s="65" t="s">
        <v>264</v>
      </c>
      <c r="F311" s="65" t="s">
        <v>155</v>
      </c>
      <c r="G311" s="65" t="s">
        <v>156</v>
      </c>
      <c r="H311" s="65"/>
      <c r="I311" s="76"/>
      <c r="J311" s="82"/>
      <c r="K311" s="66"/>
      <c r="L311" s="61">
        <f t="shared" si="9"/>
        <v>0</v>
      </c>
      <c r="M311" s="72"/>
      <c r="N311" s="73"/>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row>
    <row r="312" spans="1:45" s="64" customFormat="1" hidden="1">
      <c r="A312" s="65" t="s">
        <v>349</v>
      </c>
      <c r="B312" s="65" t="s">
        <v>350</v>
      </c>
      <c r="C312" s="83" t="str">
        <f t="shared" si="8"/>
        <v>Channel Deepening - Dredge Production</v>
      </c>
      <c r="D312" s="65">
        <v>800080</v>
      </c>
      <c r="E312" s="65" t="s">
        <v>265</v>
      </c>
      <c r="F312" s="65" t="s">
        <v>155</v>
      </c>
      <c r="G312" s="65" t="s">
        <v>156</v>
      </c>
      <c r="H312" s="65"/>
      <c r="I312" s="76"/>
      <c r="J312" s="82"/>
      <c r="K312" s="66"/>
      <c r="L312" s="61">
        <f t="shared" si="9"/>
        <v>0</v>
      </c>
      <c r="M312" s="72"/>
      <c r="N312" s="73"/>
      <c r="O312" s="52"/>
      <c r="P312" s="52"/>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row>
    <row r="313" spans="1:45" s="64" customFormat="1" hidden="1">
      <c r="A313" s="65" t="s">
        <v>349</v>
      </c>
      <c r="B313" s="65" t="s">
        <v>350</v>
      </c>
      <c r="C313" s="83" t="str">
        <f t="shared" si="8"/>
        <v>Channel Deepening - Major Maintenance</v>
      </c>
      <c r="D313" s="65">
        <v>810010</v>
      </c>
      <c r="E313" s="65" t="s">
        <v>266</v>
      </c>
      <c r="F313" s="65" t="s">
        <v>155</v>
      </c>
      <c r="G313" s="65" t="s">
        <v>156</v>
      </c>
      <c r="H313" s="65" t="s">
        <v>139</v>
      </c>
      <c r="I313" s="76"/>
      <c r="J313" s="82"/>
      <c r="K313" s="66"/>
      <c r="L313" s="61">
        <f t="shared" si="9"/>
        <v>0</v>
      </c>
      <c r="M313" s="72"/>
      <c r="N313" s="73"/>
      <c r="O313" s="52"/>
      <c r="P313" s="52"/>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row>
    <row r="314" spans="1:45" s="64" customFormat="1" hidden="1">
      <c r="A314" s="65" t="s">
        <v>349</v>
      </c>
      <c r="B314" s="65" t="s">
        <v>350</v>
      </c>
      <c r="C314" s="83" t="str">
        <f t="shared" si="8"/>
        <v>Channel Deepening - Major Maintenance</v>
      </c>
      <c r="D314" s="65">
        <v>810020</v>
      </c>
      <c r="E314" s="65" t="s">
        <v>267</v>
      </c>
      <c r="F314" s="65" t="s">
        <v>155</v>
      </c>
      <c r="G314" s="65" t="s">
        <v>156</v>
      </c>
      <c r="H314" s="65" t="s">
        <v>139</v>
      </c>
      <c r="I314" s="76"/>
      <c r="J314" s="82"/>
      <c r="K314" s="66"/>
      <c r="L314" s="61">
        <f t="shared" si="9"/>
        <v>0</v>
      </c>
      <c r="M314" s="72"/>
      <c r="N314" s="73"/>
      <c r="O314" s="52"/>
      <c r="P314" s="52"/>
      <c r="Q314" s="52"/>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2"/>
      <c r="AQ314" s="52"/>
      <c r="AR314" s="52"/>
      <c r="AS314" s="52"/>
    </row>
    <row r="315" spans="1:45" s="64" customFormat="1" hidden="1">
      <c r="A315" s="65" t="s">
        <v>349</v>
      </c>
      <c r="B315" s="65" t="s">
        <v>350</v>
      </c>
      <c r="C315" s="83" t="str">
        <f t="shared" si="8"/>
        <v>Channel Deepening - Major Maintenance</v>
      </c>
      <c r="D315" s="65">
        <v>810030</v>
      </c>
      <c r="E315" s="65" t="s">
        <v>268</v>
      </c>
      <c r="F315" s="65" t="s">
        <v>155</v>
      </c>
      <c r="G315" s="65" t="s">
        <v>156</v>
      </c>
      <c r="H315" s="65" t="s">
        <v>139</v>
      </c>
      <c r="I315" s="76"/>
      <c r="J315" s="82"/>
      <c r="K315" s="66"/>
      <c r="L315" s="61">
        <f t="shared" si="9"/>
        <v>0</v>
      </c>
      <c r="M315" s="72"/>
      <c r="N315" s="73"/>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row>
    <row r="316" spans="1:45" s="64" customFormat="1" hidden="1">
      <c r="A316" s="65" t="s">
        <v>349</v>
      </c>
      <c r="B316" s="65" t="s">
        <v>350</v>
      </c>
      <c r="C316" s="83" t="str">
        <f t="shared" si="8"/>
        <v>Channel Deepening - Major Maintenance</v>
      </c>
      <c r="D316" s="65">
        <v>810040</v>
      </c>
      <c r="E316" s="65" t="s">
        <v>269</v>
      </c>
      <c r="F316" s="65" t="s">
        <v>155</v>
      </c>
      <c r="G316" s="65" t="s">
        <v>156</v>
      </c>
      <c r="H316" s="65"/>
      <c r="I316" s="76"/>
      <c r="J316" s="82"/>
      <c r="K316" s="66"/>
      <c r="L316" s="61">
        <f t="shared" si="9"/>
        <v>0</v>
      </c>
      <c r="M316" s="72"/>
      <c r="N316" s="73"/>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row>
    <row r="317" spans="1:45" s="64" customFormat="1" hidden="1">
      <c r="A317" s="65" t="s">
        <v>349</v>
      </c>
      <c r="B317" s="65" t="s">
        <v>350</v>
      </c>
      <c r="C317" s="83" t="str">
        <f t="shared" si="8"/>
        <v>Channel Deepening - Major Maintenance</v>
      </c>
      <c r="D317" s="65">
        <v>810050</v>
      </c>
      <c r="E317" s="65" t="s">
        <v>270</v>
      </c>
      <c r="F317" s="65" t="s">
        <v>155</v>
      </c>
      <c r="G317" s="65" t="s">
        <v>156</v>
      </c>
      <c r="H317" s="65"/>
      <c r="I317" s="76"/>
      <c r="J317" s="82"/>
      <c r="K317" s="66"/>
      <c r="L317" s="61">
        <f t="shared" si="9"/>
        <v>0</v>
      </c>
      <c r="M317" s="72"/>
      <c r="N317" s="73"/>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row>
    <row r="318" spans="1:45" s="64" customFormat="1" hidden="1">
      <c r="A318" s="65" t="s">
        <v>349</v>
      </c>
      <c r="B318" s="65" t="s">
        <v>350</v>
      </c>
      <c r="C318" s="83" t="str">
        <f t="shared" si="8"/>
        <v>Channel Deepening - Major Maintenance</v>
      </c>
      <c r="D318" s="65">
        <v>810060</v>
      </c>
      <c r="E318" s="65" t="s">
        <v>271</v>
      </c>
      <c r="F318" s="65" t="s">
        <v>155</v>
      </c>
      <c r="G318" s="65" t="s">
        <v>156</v>
      </c>
      <c r="H318" s="65"/>
      <c r="I318" s="76"/>
      <c r="J318" s="82"/>
      <c r="K318" s="66"/>
      <c r="L318" s="61">
        <f t="shared" si="9"/>
        <v>0</v>
      </c>
      <c r="M318" s="72"/>
      <c r="N318" s="73"/>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row>
    <row r="319" spans="1:45" s="64" customFormat="1" hidden="1">
      <c r="A319" s="65" t="s">
        <v>349</v>
      </c>
      <c r="B319" s="65" t="s">
        <v>350</v>
      </c>
      <c r="C319" s="83" t="str">
        <f t="shared" si="8"/>
        <v>Channel Deepening - Major Maintenance</v>
      </c>
      <c r="D319" s="65">
        <v>810070</v>
      </c>
      <c r="E319" s="65" t="s">
        <v>272</v>
      </c>
      <c r="F319" s="65" t="s">
        <v>155</v>
      </c>
      <c r="G319" s="65" t="s">
        <v>156</v>
      </c>
      <c r="H319" s="65"/>
      <c r="I319" s="76"/>
      <c r="J319" s="82"/>
      <c r="K319" s="66"/>
      <c r="L319" s="61">
        <f t="shared" si="9"/>
        <v>0</v>
      </c>
      <c r="M319" s="72"/>
      <c r="N319" s="73"/>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row>
    <row r="320" spans="1:45" s="64" customFormat="1" hidden="1">
      <c r="A320" s="65" t="s">
        <v>349</v>
      </c>
      <c r="B320" s="65" t="s">
        <v>350</v>
      </c>
      <c r="C320" s="83" t="str">
        <f t="shared" si="8"/>
        <v>Channel Deepening - Major Maintenance</v>
      </c>
      <c r="D320" s="65">
        <v>810080</v>
      </c>
      <c r="E320" s="65" t="s">
        <v>273</v>
      </c>
      <c r="F320" s="65" t="s">
        <v>155</v>
      </c>
      <c r="G320" s="65" t="s">
        <v>156</v>
      </c>
      <c r="H320" s="65"/>
      <c r="I320" s="76"/>
      <c r="J320" s="82"/>
      <c r="K320" s="66"/>
      <c r="L320" s="61">
        <f t="shared" si="9"/>
        <v>0</v>
      </c>
      <c r="M320" s="72"/>
      <c r="N320" s="73"/>
      <c r="O320" s="52"/>
      <c r="P320" s="52"/>
      <c r="Q320" s="52"/>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2"/>
      <c r="AQ320" s="52"/>
      <c r="AR320" s="52"/>
      <c r="AS320" s="52"/>
    </row>
    <row r="321" spans="1:45" s="64" customFormat="1" hidden="1">
      <c r="A321" s="65" t="s">
        <v>349</v>
      </c>
      <c r="B321" s="65" t="s">
        <v>350</v>
      </c>
      <c r="C321" s="83" t="str">
        <f t="shared" si="8"/>
        <v>Channel Deepening - Mob/Demob</v>
      </c>
      <c r="D321" s="65">
        <v>820010</v>
      </c>
      <c r="E321" s="65" t="s">
        <v>274</v>
      </c>
      <c r="F321" s="65" t="s">
        <v>155</v>
      </c>
      <c r="G321" s="65" t="s">
        <v>156</v>
      </c>
      <c r="H321" s="65" t="s">
        <v>139</v>
      </c>
      <c r="I321" s="76"/>
      <c r="J321" s="82"/>
      <c r="K321" s="66"/>
      <c r="L321" s="61">
        <f t="shared" si="9"/>
        <v>0</v>
      </c>
      <c r="M321" s="72"/>
      <c r="N321" s="73"/>
      <c r="O321" s="52"/>
      <c r="P321" s="52"/>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row>
    <row r="322" spans="1:45" s="64" customFormat="1" hidden="1">
      <c r="A322" s="65" t="s">
        <v>349</v>
      </c>
      <c r="B322" s="65" t="s">
        <v>350</v>
      </c>
      <c r="C322" s="83" t="str">
        <f t="shared" si="8"/>
        <v>Channel Deepening - Mob/Demob</v>
      </c>
      <c r="D322" s="65">
        <v>820020</v>
      </c>
      <c r="E322" s="65" t="s">
        <v>275</v>
      </c>
      <c r="F322" s="65" t="s">
        <v>155</v>
      </c>
      <c r="G322" s="65" t="s">
        <v>156</v>
      </c>
      <c r="H322" s="65" t="s">
        <v>139</v>
      </c>
      <c r="I322" s="76"/>
      <c r="J322" s="82"/>
      <c r="K322" s="66"/>
      <c r="L322" s="61">
        <f t="shared" si="9"/>
        <v>0</v>
      </c>
      <c r="M322" s="72"/>
      <c r="N322" s="73"/>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row>
    <row r="323" spans="1:45" s="64" customFormat="1" hidden="1">
      <c r="A323" s="65" t="s">
        <v>349</v>
      </c>
      <c r="B323" s="65" t="s">
        <v>350</v>
      </c>
      <c r="C323" s="83" t="str">
        <f t="shared" si="8"/>
        <v>Channel Deepening - Mob/Demob</v>
      </c>
      <c r="D323" s="65">
        <v>820030</v>
      </c>
      <c r="E323" s="65" t="s">
        <v>276</v>
      </c>
      <c r="F323" s="65" t="s">
        <v>155</v>
      </c>
      <c r="G323" s="65" t="s">
        <v>156</v>
      </c>
      <c r="H323" s="65" t="s">
        <v>139</v>
      </c>
      <c r="I323" s="76"/>
      <c r="J323" s="82"/>
      <c r="K323" s="66"/>
      <c r="L323" s="61">
        <f t="shared" si="9"/>
        <v>0</v>
      </c>
      <c r="M323" s="72"/>
      <c r="N323" s="73"/>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row>
    <row r="324" spans="1:45" s="64" customFormat="1" hidden="1">
      <c r="A324" s="65" t="s">
        <v>349</v>
      </c>
      <c r="B324" s="65" t="s">
        <v>350</v>
      </c>
      <c r="C324" s="83" t="str">
        <f t="shared" si="8"/>
        <v>Channel Deepening - Mob/Demob</v>
      </c>
      <c r="D324" s="65">
        <v>820040</v>
      </c>
      <c r="E324" s="65" t="s">
        <v>277</v>
      </c>
      <c r="F324" s="65" t="s">
        <v>155</v>
      </c>
      <c r="G324" s="65" t="s">
        <v>156</v>
      </c>
      <c r="H324" s="65" t="s">
        <v>139</v>
      </c>
      <c r="I324" s="76"/>
      <c r="J324" s="82"/>
      <c r="K324" s="66"/>
      <c r="L324" s="61">
        <f t="shared" si="9"/>
        <v>0</v>
      </c>
      <c r="M324" s="72"/>
      <c r="N324" s="73"/>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row>
    <row r="325" spans="1:45" s="64" customFormat="1" hidden="1">
      <c r="A325" s="65" t="s">
        <v>349</v>
      </c>
      <c r="B325" s="65" t="s">
        <v>350</v>
      </c>
      <c r="C325" s="83" t="str">
        <f t="shared" ref="C325:C388" si="10">B325 &amp; " - " &amp; LEFT(E325,FIND("-",E325)-1)</f>
        <v>Channel Deepening - Mob/Demob</v>
      </c>
      <c r="D325" s="65">
        <v>820050</v>
      </c>
      <c r="E325" s="65" t="s">
        <v>278</v>
      </c>
      <c r="F325" s="65" t="s">
        <v>155</v>
      </c>
      <c r="G325" s="65" t="s">
        <v>156</v>
      </c>
      <c r="H325" s="65"/>
      <c r="I325" s="76"/>
      <c r="J325" s="82"/>
      <c r="K325" s="66"/>
      <c r="L325" s="61">
        <f t="shared" si="9"/>
        <v>0</v>
      </c>
      <c r="M325" s="72"/>
      <c r="N325" s="73"/>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row>
    <row r="326" spans="1:45" s="64" customFormat="1" hidden="1">
      <c r="A326" s="65" t="s">
        <v>349</v>
      </c>
      <c r="B326" s="65" t="s">
        <v>350</v>
      </c>
      <c r="C326" s="83" t="str">
        <f t="shared" si="10"/>
        <v>Channel Deepening - Mob/Demob</v>
      </c>
      <c r="D326" s="65">
        <v>820060</v>
      </c>
      <c r="E326" s="65" t="s">
        <v>279</v>
      </c>
      <c r="F326" s="65" t="s">
        <v>155</v>
      </c>
      <c r="G326" s="65" t="s">
        <v>156</v>
      </c>
      <c r="H326" s="65"/>
      <c r="I326" s="76"/>
      <c r="J326" s="82"/>
      <c r="K326" s="66"/>
      <c r="L326" s="61">
        <f t="shared" ref="L326:L389" si="11">I326*J326</f>
        <v>0</v>
      </c>
      <c r="M326" s="72"/>
      <c r="N326" s="73"/>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row>
    <row r="327" spans="1:45" s="64" customFormat="1" hidden="1">
      <c r="A327" s="65" t="s">
        <v>349</v>
      </c>
      <c r="B327" s="65" t="s">
        <v>350</v>
      </c>
      <c r="C327" s="83" t="str">
        <f t="shared" si="10"/>
        <v>Channel Deepening - Mob/Demob</v>
      </c>
      <c r="D327" s="65">
        <v>820070</v>
      </c>
      <c r="E327" s="65" t="s">
        <v>280</v>
      </c>
      <c r="F327" s="65" t="s">
        <v>155</v>
      </c>
      <c r="G327" s="65" t="s">
        <v>156</v>
      </c>
      <c r="H327" s="65"/>
      <c r="I327" s="76"/>
      <c r="J327" s="82"/>
      <c r="K327" s="66"/>
      <c r="L327" s="61">
        <f t="shared" si="11"/>
        <v>0</v>
      </c>
      <c r="M327" s="72"/>
      <c r="N327" s="73"/>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row>
    <row r="328" spans="1:45" s="64" customFormat="1" hidden="1">
      <c r="A328" s="65" t="s">
        <v>349</v>
      </c>
      <c r="B328" s="65" t="s">
        <v>350</v>
      </c>
      <c r="C328" s="83" t="str">
        <f t="shared" si="10"/>
        <v>Channel Deepening - Mob/Demob</v>
      </c>
      <c r="D328" s="65">
        <v>820080</v>
      </c>
      <c r="E328" s="65" t="s">
        <v>281</v>
      </c>
      <c r="F328" s="65" t="s">
        <v>155</v>
      </c>
      <c r="G328" s="65" t="s">
        <v>156</v>
      </c>
      <c r="H328" s="65"/>
      <c r="I328" s="76"/>
      <c r="J328" s="82"/>
      <c r="K328" s="66"/>
      <c r="L328" s="61">
        <f t="shared" si="11"/>
        <v>0</v>
      </c>
      <c r="M328" s="72"/>
      <c r="N328" s="73"/>
      <c r="O328" s="52"/>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row>
    <row r="329" spans="1:45" s="64" customFormat="1" hidden="1">
      <c r="A329" s="65" t="s">
        <v>349</v>
      </c>
      <c r="B329" s="65" t="s">
        <v>350</v>
      </c>
      <c r="C329" s="83" t="str">
        <f t="shared" si="10"/>
        <v>Channel Deepening - Standby</v>
      </c>
      <c r="D329" s="65">
        <v>830010</v>
      </c>
      <c r="E329" s="65" t="s">
        <v>282</v>
      </c>
      <c r="F329" s="65" t="s">
        <v>155</v>
      </c>
      <c r="G329" s="65" t="s">
        <v>156</v>
      </c>
      <c r="H329" s="65" t="s">
        <v>139</v>
      </c>
      <c r="I329" s="76"/>
      <c r="J329" s="82"/>
      <c r="K329" s="66"/>
      <c r="L329" s="61">
        <f t="shared" si="11"/>
        <v>0</v>
      </c>
      <c r="M329" s="72"/>
      <c r="N329" s="73"/>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row>
    <row r="330" spans="1:45" s="64" customFormat="1" hidden="1">
      <c r="A330" s="65" t="s">
        <v>349</v>
      </c>
      <c r="B330" s="65" t="s">
        <v>350</v>
      </c>
      <c r="C330" s="83" t="str">
        <f t="shared" si="10"/>
        <v>Channel Deepening - Standby</v>
      </c>
      <c r="D330" s="65">
        <v>830020</v>
      </c>
      <c r="E330" s="65" t="s">
        <v>283</v>
      </c>
      <c r="F330" s="65" t="s">
        <v>155</v>
      </c>
      <c r="G330" s="65" t="s">
        <v>156</v>
      </c>
      <c r="H330" s="65" t="s">
        <v>139</v>
      </c>
      <c r="I330" s="76"/>
      <c r="J330" s="82"/>
      <c r="K330" s="66"/>
      <c r="L330" s="61">
        <f t="shared" si="11"/>
        <v>0</v>
      </c>
      <c r="M330" s="72"/>
      <c r="N330" s="73"/>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row>
    <row r="331" spans="1:45" s="64" customFormat="1" hidden="1">
      <c r="A331" s="65" t="s">
        <v>349</v>
      </c>
      <c r="B331" s="65" t="s">
        <v>350</v>
      </c>
      <c r="C331" s="83" t="str">
        <f t="shared" si="10"/>
        <v>Channel Deepening - Standby</v>
      </c>
      <c r="D331" s="65">
        <v>830030</v>
      </c>
      <c r="E331" s="65" t="s">
        <v>284</v>
      </c>
      <c r="F331" s="65" t="s">
        <v>155</v>
      </c>
      <c r="G331" s="65" t="s">
        <v>156</v>
      </c>
      <c r="H331" s="65" t="s">
        <v>139</v>
      </c>
      <c r="I331" s="76"/>
      <c r="J331" s="82"/>
      <c r="K331" s="66"/>
      <c r="L331" s="61">
        <f t="shared" si="11"/>
        <v>0</v>
      </c>
      <c r="M331" s="72"/>
      <c r="N331" s="73"/>
      <c r="O331" s="52"/>
      <c r="P331" s="52"/>
      <c r="Q331" s="52"/>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2"/>
      <c r="AQ331" s="52"/>
      <c r="AR331" s="52"/>
      <c r="AS331" s="52"/>
    </row>
    <row r="332" spans="1:45" s="64" customFormat="1" hidden="1">
      <c r="A332" s="65" t="s">
        <v>349</v>
      </c>
      <c r="B332" s="65" t="s">
        <v>350</v>
      </c>
      <c r="C332" s="83" t="str">
        <f t="shared" si="10"/>
        <v>Channel Deepening - Standby</v>
      </c>
      <c r="D332" s="65">
        <v>830040</v>
      </c>
      <c r="E332" s="65" t="s">
        <v>285</v>
      </c>
      <c r="F332" s="65" t="s">
        <v>155</v>
      </c>
      <c r="G332" s="65" t="s">
        <v>156</v>
      </c>
      <c r="H332" s="65" t="s">
        <v>139</v>
      </c>
      <c r="I332" s="76"/>
      <c r="J332" s="82"/>
      <c r="K332" s="66"/>
      <c r="L332" s="61">
        <f t="shared" si="11"/>
        <v>0</v>
      </c>
      <c r="M332" s="72"/>
      <c r="N332" s="73"/>
      <c r="O332" s="52"/>
      <c r="P332" s="52"/>
      <c r="Q332" s="52"/>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2"/>
      <c r="AQ332" s="52"/>
      <c r="AR332" s="52"/>
      <c r="AS332" s="52"/>
    </row>
    <row r="333" spans="1:45" s="64" customFormat="1" hidden="1">
      <c r="A333" s="65" t="s">
        <v>349</v>
      </c>
      <c r="B333" s="65" t="s">
        <v>350</v>
      </c>
      <c r="C333" s="83" t="str">
        <f t="shared" si="10"/>
        <v>Channel Deepening - Standby</v>
      </c>
      <c r="D333" s="65">
        <v>830050</v>
      </c>
      <c r="E333" s="65" t="s">
        <v>286</v>
      </c>
      <c r="F333" s="65" t="s">
        <v>155</v>
      </c>
      <c r="G333" s="65" t="s">
        <v>156</v>
      </c>
      <c r="H333" s="65"/>
      <c r="I333" s="76"/>
      <c r="J333" s="82"/>
      <c r="K333" s="66"/>
      <c r="L333" s="61">
        <f t="shared" si="11"/>
        <v>0</v>
      </c>
      <c r="M333" s="72"/>
      <c r="N333" s="73"/>
      <c r="O333" s="52"/>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row>
    <row r="334" spans="1:45" s="64" customFormat="1" hidden="1">
      <c r="A334" s="65" t="s">
        <v>349</v>
      </c>
      <c r="B334" s="65" t="s">
        <v>350</v>
      </c>
      <c r="C334" s="83" t="str">
        <f t="shared" si="10"/>
        <v>Channel Deepening - Standby</v>
      </c>
      <c r="D334" s="65">
        <v>830060</v>
      </c>
      <c r="E334" s="65" t="s">
        <v>287</v>
      </c>
      <c r="F334" s="65" t="s">
        <v>155</v>
      </c>
      <c r="G334" s="65" t="s">
        <v>156</v>
      </c>
      <c r="H334" s="65"/>
      <c r="I334" s="76"/>
      <c r="J334" s="82"/>
      <c r="K334" s="66"/>
      <c r="L334" s="61">
        <f t="shared" si="11"/>
        <v>0</v>
      </c>
      <c r="M334" s="72"/>
      <c r="N334" s="73"/>
      <c r="O334" s="52"/>
      <c r="P334" s="52"/>
      <c r="Q334" s="52"/>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row>
    <row r="335" spans="1:45" s="64" customFormat="1" hidden="1">
      <c r="A335" s="65" t="s">
        <v>349</v>
      </c>
      <c r="B335" s="65" t="s">
        <v>350</v>
      </c>
      <c r="C335" s="83" t="str">
        <f t="shared" si="10"/>
        <v>Channel Deepening - Standby</v>
      </c>
      <c r="D335" s="65">
        <v>830070</v>
      </c>
      <c r="E335" s="65" t="s">
        <v>288</v>
      </c>
      <c r="F335" s="65" t="s">
        <v>155</v>
      </c>
      <c r="G335" s="65" t="s">
        <v>156</v>
      </c>
      <c r="H335" s="65"/>
      <c r="I335" s="76"/>
      <c r="J335" s="82"/>
      <c r="K335" s="66"/>
      <c r="L335" s="61">
        <f t="shared" si="11"/>
        <v>0</v>
      </c>
      <c r="M335" s="72"/>
      <c r="N335" s="73"/>
      <c r="O335" s="52"/>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row>
    <row r="336" spans="1:45" s="64" customFormat="1" hidden="1">
      <c r="A336" s="65" t="s">
        <v>349</v>
      </c>
      <c r="B336" s="65" t="s">
        <v>350</v>
      </c>
      <c r="C336" s="83" t="str">
        <f t="shared" si="10"/>
        <v>Channel Deepening - Standby</v>
      </c>
      <c r="D336" s="65">
        <v>830080</v>
      </c>
      <c r="E336" s="65" t="s">
        <v>289</v>
      </c>
      <c r="F336" s="65" t="s">
        <v>155</v>
      </c>
      <c r="G336" s="65" t="s">
        <v>156</v>
      </c>
      <c r="H336" s="65"/>
      <c r="I336" s="76"/>
      <c r="J336" s="82"/>
      <c r="K336" s="66"/>
      <c r="L336" s="61">
        <f t="shared" si="11"/>
        <v>0</v>
      </c>
      <c r="M336" s="72"/>
      <c r="N336" s="73"/>
      <c r="O336" s="52"/>
      <c r="P336" s="52"/>
      <c r="Q336" s="52"/>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2"/>
      <c r="AQ336" s="52"/>
      <c r="AR336" s="52"/>
      <c r="AS336" s="52"/>
    </row>
    <row r="337" spans="1:45" s="64" customFormat="1" hidden="1">
      <c r="A337" s="65" t="s">
        <v>349</v>
      </c>
      <c r="B337" s="65" t="s">
        <v>350</v>
      </c>
      <c r="C337" s="83" t="str">
        <f t="shared" si="10"/>
        <v>Channel Deepening - Standby Full Crew</v>
      </c>
      <c r="D337" s="65">
        <v>840010</v>
      </c>
      <c r="E337" s="65" t="s">
        <v>290</v>
      </c>
      <c r="F337" s="65" t="s">
        <v>155</v>
      </c>
      <c r="G337" s="65" t="s">
        <v>156</v>
      </c>
      <c r="H337" s="65" t="s">
        <v>139</v>
      </c>
      <c r="I337" s="76"/>
      <c r="J337" s="82"/>
      <c r="K337" s="66"/>
      <c r="L337" s="61">
        <f t="shared" si="11"/>
        <v>0</v>
      </c>
      <c r="M337" s="72"/>
      <c r="N337" s="73"/>
      <c r="O337" s="52"/>
      <c r="P337" s="52"/>
      <c r="Q337" s="52"/>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2"/>
      <c r="AQ337" s="52"/>
      <c r="AR337" s="52"/>
      <c r="AS337" s="52"/>
    </row>
    <row r="338" spans="1:45" s="64" customFormat="1" hidden="1">
      <c r="A338" s="65" t="s">
        <v>349</v>
      </c>
      <c r="B338" s="65" t="s">
        <v>350</v>
      </c>
      <c r="C338" s="83" t="str">
        <f t="shared" si="10"/>
        <v>Channel Deepening - Standby Full Crew</v>
      </c>
      <c r="D338" s="65">
        <v>840020</v>
      </c>
      <c r="E338" s="65" t="s">
        <v>291</v>
      </c>
      <c r="F338" s="65" t="s">
        <v>155</v>
      </c>
      <c r="G338" s="65" t="s">
        <v>156</v>
      </c>
      <c r="H338" s="65" t="s">
        <v>139</v>
      </c>
      <c r="I338" s="76"/>
      <c r="J338" s="82"/>
      <c r="K338" s="66"/>
      <c r="L338" s="61">
        <f t="shared" si="11"/>
        <v>0</v>
      </c>
      <c r="M338" s="72"/>
      <c r="N338" s="73"/>
      <c r="O338" s="52"/>
      <c r="P338" s="52"/>
      <c r="Q338" s="52"/>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2"/>
      <c r="AQ338" s="52"/>
      <c r="AR338" s="52"/>
      <c r="AS338" s="52"/>
    </row>
    <row r="339" spans="1:45" s="64" customFormat="1" hidden="1">
      <c r="A339" s="65" t="s">
        <v>349</v>
      </c>
      <c r="B339" s="65" t="s">
        <v>350</v>
      </c>
      <c r="C339" s="83" t="str">
        <f t="shared" si="10"/>
        <v>Channel Deepening - Standby Full Crew</v>
      </c>
      <c r="D339" s="65">
        <v>840030</v>
      </c>
      <c r="E339" s="65" t="s">
        <v>292</v>
      </c>
      <c r="F339" s="65" t="s">
        <v>155</v>
      </c>
      <c r="G339" s="65" t="s">
        <v>156</v>
      </c>
      <c r="H339" s="65" t="s">
        <v>139</v>
      </c>
      <c r="I339" s="76"/>
      <c r="J339" s="82"/>
      <c r="K339" s="66"/>
      <c r="L339" s="61">
        <f t="shared" si="11"/>
        <v>0</v>
      </c>
      <c r="M339" s="72"/>
      <c r="N339" s="73"/>
      <c r="O339" s="52"/>
      <c r="P339" s="52"/>
      <c r="Q339" s="52"/>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2"/>
      <c r="AQ339" s="52"/>
      <c r="AR339" s="52"/>
      <c r="AS339" s="52"/>
    </row>
    <row r="340" spans="1:45" s="64" customFormat="1" hidden="1">
      <c r="A340" s="65" t="s">
        <v>349</v>
      </c>
      <c r="B340" s="65" t="s">
        <v>350</v>
      </c>
      <c r="C340" s="83" t="str">
        <f t="shared" si="10"/>
        <v>Channel Deepening - Standby Full Crew</v>
      </c>
      <c r="D340" s="65">
        <v>840040</v>
      </c>
      <c r="E340" s="65" t="s">
        <v>293</v>
      </c>
      <c r="F340" s="65" t="s">
        <v>155</v>
      </c>
      <c r="G340" s="65" t="s">
        <v>156</v>
      </c>
      <c r="H340" s="65"/>
      <c r="I340" s="76"/>
      <c r="J340" s="82"/>
      <c r="K340" s="66"/>
      <c r="L340" s="61">
        <f t="shared" si="11"/>
        <v>0</v>
      </c>
      <c r="M340" s="72"/>
      <c r="N340" s="73"/>
      <c r="O340" s="52"/>
      <c r="P340" s="52"/>
      <c r="Q340" s="52"/>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2"/>
      <c r="AQ340" s="52"/>
      <c r="AR340" s="52"/>
      <c r="AS340" s="52"/>
    </row>
    <row r="341" spans="1:45" s="64" customFormat="1" hidden="1">
      <c r="A341" s="65" t="s">
        <v>349</v>
      </c>
      <c r="B341" s="65" t="s">
        <v>350</v>
      </c>
      <c r="C341" s="83" t="str">
        <f t="shared" si="10"/>
        <v>Channel Deepening - Standby Full Crew</v>
      </c>
      <c r="D341" s="65">
        <v>840050</v>
      </c>
      <c r="E341" s="65" t="s">
        <v>294</v>
      </c>
      <c r="F341" s="65" t="s">
        <v>155</v>
      </c>
      <c r="G341" s="65" t="s">
        <v>156</v>
      </c>
      <c r="H341" s="65"/>
      <c r="I341" s="76"/>
      <c r="J341" s="82"/>
      <c r="K341" s="66"/>
      <c r="L341" s="61">
        <f t="shared" si="11"/>
        <v>0</v>
      </c>
      <c r="M341" s="72"/>
      <c r="N341" s="73"/>
      <c r="O341" s="52"/>
      <c r="P341" s="52"/>
      <c r="Q341" s="52"/>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2"/>
      <c r="AQ341" s="52"/>
      <c r="AR341" s="52"/>
      <c r="AS341" s="52"/>
    </row>
    <row r="342" spans="1:45" s="64" customFormat="1" hidden="1">
      <c r="A342" s="65" t="s">
        <v>349</v>
      </c>
      <c r="B342" s="65" t="s">
        <v>350</v>
      </c>
      <c r="C342" s="83" t="str">
        <f t="shared" si="10"/>
        <v>Channel Deepening - Standby Full Crew</v>
      </c>
      <c r="D342" s="65">
        <v>840060</v>
      </c>
      <c r="E342" s="65" t="s">
        <v>295</v>
      </c>
      <c r="F342" s="65" t="s">
        <v>155</v>
      </c>
      <c r="G342" s="65" t="s">
        <v>156</v>
      </c>
      <c r="H342" s="65"/>
      <c r="I342" s="76"/>
      <c r="J342" s="82"/>
      <c r="K342" s="66"/>
      <c r="L342" s="61">
        <f t="shared" si="11"/>
        <v>0</v>
      </c>
      <c r="M342" s="72"/>
      <c r="N342" s="73"/>
      <c r="O342" s="52"/>
      <c r="P342" s="52"/>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2"/>
      <c r="AQ342" s="52"/>
      <c r="AR342" s="52"/>
      <c r="AS342" s="52"/>
    </row>
    <row r="343" spans="1:45" s="64" customFormat="1" hidden="1">
      <c r="A343" s="65" t="s">
        <v>349</v>
      </c>
      <c r="B343" s="65" t="s">
        <v>350</v>
      </c>
      <c r="C343" s="83" t="str">
        <f t="shared" si="10"/>
        <v>Channel Deepening - Standby Full Crew</v>
      </c>
      <c r="D343" s="65">
        <v>840070</v>
      </c>
      <c r="E343" s="65" t="s">
        <v>296</v>
      </c>
      <c r="F343" s="65" t="s">
        <v>155</v>
      </c>
      <c r="G343" s="65" t="s">
        <v>156</v>
      </c>
      <c r="H343" s="65"/>
      <c r="I343" s="76"/>
      <c r="J343" s="82"/>
      <c r="K343" s="66"/>
      <c r="L343" s="61">
        <f t="shared" si="11"/>
        <v>0</v>
      </c>
      <c r="M343" s="72"/>
      <c r="N343" s="73"/>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2"/>
      <c r="AQ343" s="52"/>
      <c r="AR343" s="52"/>
      <c r="AS343" s="52"/>
    </row>
    <row r="344" spans="1:45" s="64" customFormat="1" hidden="1">
      <c r="A344" s="65" t="s">
        <v>349</v>
      </c>
      <c r="B344" s="65" t="s">
        <v>350</v>
      </c>
      <c r="C344" s="83" t="str">
        <f t="shared" si="10"/>
        <v>Channel Deepening - Standby Full Crew</v>
      </c>
      <c r="D344" s="65">
        <v>840080</v>
      </c>
      <c r="E344" s="65" t="s">
        <v>297</v>
      </c>
      <c r="F344" s="65" t="s">
        <v>155</v>
      </c>
      <c r="G344" s="65" t="s">
        <v>156</v>
      </c>
      <c r="H344" s="65"/>
      <c r="I344" s="76"/>
      <c r="J344" s="82"/>
      <c r="K344" s="66"/>
      <c r="L344" s="61">
        <f t="shared" si="11"/>
        <v>0</v>
      </c>
      <c r="M344" s="72"/>
      <c r="N344" s="73"/>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row>
    <row r="345" spans="1:45" s="64" customFormat="1" hidden="1">
      <c r="A345" s="65" t="s">
        <v>349</v>
      </c>
      <c r="B345" s="65" t="s">
        <v>350</v>
      </c>
      <c r="C345" s="83" t="str">
        <f t="shared" si="10"/>
        <v>Channel Deepening - Nav Office Operations</v>
      </c>
      <c r="D345" s="65">
        <v>850010</v>
      </c>
      <c r="E345" s="65" t="s">
        <v>298</v>
      </c>
      <c r="F345" s="65" t="s">
        <v>155</v>
      </c>
      <c r="G345" s="65" t="s">
        <v>156</v>
      </c>
      <c r="H345" s="65" t="s">
        <v>139</v>
      </c>
      <c r="I345" s="76"/>
      <c r="J345" s="82"/>
      <c r="K345" s="66"/>
      <c r="L345" s="61">
        <f t="shared" si="11"/>
        <v>0</v>
      </c>
      <c r="M345" s="72"/>
      <c r="N345" s="73"/>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row>
    <row r="346" spans="1:45" s="64" customFormat="1" hidden="1">
      <c r="A346" s="65" t="s">
        <v>349</v>
      </c>
      <c r="B346" s="65" t="s">
        <v>350</v>
      </c>
      <c r="C346" s="83" t="str">
        <f t="shared" si="10"/>
        <v>Channel Deepening - Nav Office Operations</v>
      </c>
      <c r="D346" s="65">
        <v>850020</v>
      </c>
      <c r="E346" s="65" t="s">
        <v>299</v>
      </c>
      <c r="F346" s="65" t="s">
        <v>155</v>
      </c>
      <c r="G346" s="65" t="s">
        <v>156</v>
      </c>
      <c r="H346" s="65"/>
      <c r="I346" s="76"/>
      <c r="J346" s="82"/>
      <c r="K346" s="66"/>
      <c r="L346" s="61">
        <f t="shared" si="11"/>
        <v>0</v>
      </c>
      <c r="M346" s="72"/>
      <c r="N346" s="73"/>
      <c r="O346" s="52"/>
      <c r="P346" s="52"/>
      <c r="Q346" s="52"/>
      <c r="R346" s="52"/>
      <c r="S346" s="52"/>
      <c r="T346" s="52"/>
      <c r="U346" s="52"/>
      <c r="V346" s="52"/>
      <c r="W346" s="52"/>
      <c r="X346" s="52"/>
      <c r="Y346" s="52"/>
      <c r="Z346" s="52"/>
      <c r="AA346" s="52"/>
      <c r="AB346" s="52"/>
      <c r="AC346" s="52"/>
      <c r="AD346" s="52"/>
      <c r="AE346" s="52"/>
      <c r="AF346" s="52"/>
      <c r="AG346" s="52"/>
      <c r="AH346" s="52"/>
      <c r="AI346" s="52"/>
      <c r="AJ346" s="52"/>
      <c r="AK346" s="52"/>
      <c r="AL346" s="52"/>
      <c r="AM346" s="52"/>
      <c r="AN346" s="52"/>
      <c r="AO346" s="52"/>
      <c r="AP346" s="52"/>
      <c r="AQ346" s="52"/>
      <c r="AR346" s="52"/>
      <c r="AS346" s="52"/>
    </row>
    <row r="347" spans="1:45" s="64" customFormat="1" hidden="1">
      <c r="A347" s="65" t="s">
        <v>349</v>
      </c>
      <c r="B347" s="65" t="s">
        <v>350</v>
      </c>
      <c r="C347" s="83" t="str">
        <f t="shared" si="10"/>
        <v>Channel Deepening - Nav Office Operations</v>
      </c>
      <c r="D347" s="65">
        <v>850030</v>
      </c>
      <c r="E347" s="65" t="s">
        <v>300</v>
      </c>
      <c r="F347" s="65" t="s">
        <v>155</v>
      </c>
      <c r="G347" s="65" t="s">
        <v>156</v>
      </c>
      <c r="H347" s="65"/>
      <c r="I347" s="76"/>
      <c r="J347" s="82"/>
      <c r="K347" s="66"/>
      <c r="L347" s="61">
        <f t="shared" si="11"/>
        <v>0</v>
      </c>
      <c r="M347" s="72"/>
      <c r="N347" s="73"/>
      <c r="O347" s="52"/>
      <c r="P347" s="52"/>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c r="AP347" s="52"/>
      <c r="AQ347" s="52"/>
      <c r="AR347" s="52"/>
      <c r="AS347" s="52"/>
    </row>
    <row r="348" spans="1:45" s="64" customFormat="1" hidden="1">
      <c r="A348" s="65" t="s">
        <v>349</v>
      </c>
      <c r="B348" s="65" t="s">
        <v>350</v>
      </c>
      <c r="C348" s="83" t="str">
        <f t="shared" si="10"/>
        <v>Channel Deepening - Nav Office Operations</v>
      </c>
      <c r="D348" s="65">
        <v>850040</v>
      </c>
      <c r="E348" s="65" t="s">
        <v>301</v>
      </c>
      <c r="F348" s="65" t="s">
        <v>155</v>
      </c>
      <c r="G348" s="65" t="s">
        <v>156</v>
      </c>
      <c r="H348" s="65"/>
      <c r="I348" s="76"/>
      <c r="J348" s="82"/>
      <c r="K348" s="66"/>
      <c r="L348" s="61">
        <f t="shared" si="11"/>
        <v>0</v>
      </c>
      <c r="M348" s="72"/>
      <c r="N348" s="73"/>
      <c r="O348" s="52"/>
      <c r="P348" s="52"/>
      <c r="Q348" s="52"/>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52"/>
      <c r="AP348" s="52"/>
      <c r="AQ348" s="52"/>
      <c r="AR348" s="52"/>
      <c r="AS348" s="52"/>
    </row>
    <row r="349" spans="1:45" s="64" customFormat="1" hidden="1">
      <c r="A349" s="65" t="s">
        <v>349</v>
      </c>
      <c r="B349" s="65" t="s">
        <v>350</v>
      </c>
      <c r="C349" s="83" t="str">
        <f t="shared" si="10"/>
        <v>Channel Deepening - Nav Office Operations</v>
      </c>
      <c r="D349" s="65">
        <v>850050</v>
      </c>
      <c r="E349" s="65" t="s">
        <v>302</v>
      </c>
      <c r="F349" s="65" t="s">
        <v>155</v>
      </c>
      <c r="G349" s="65" t="s">
        <v>156</v>
      </c>
      <c r="H349" s="65"/>
      <c r="I349" s="76"/>
      <c r="J349" s="82"/>
      <c r="K349" s="66"/>
      <c r="L349" s="61">
        <f t="shared" si="11"/>
        <v>0</v>
      </c>
      <c r="M349" s="72"/>
      <c r="N349" s="73"/>
      <c r="O349" s="52"/>
      <c r="P349" s="52"/>
      <c r="Q349" s="52"/>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52"/>
      <c r="AP349" s="52"/>
      <c r="AQ349" s="52"/>
      <c r="AR349" s="52"/>
      <c r="AS349" s="52"/>
    </row>
    <row r="350" spans="1:45" s="64" customFormat="1" hidden="1">
      <c r="A350" s="65" t="s">
        <v>349</v>
      </c>
      <c r="B350" s="65" t="s">
        <v>350</v>
      </c>
      <c r="C350" s="83" t="str">
        <f t="shared" si="10"/>
        <v>Channel Deepening - Nav Office Operations</v>
      </c>
      <c r="D350" s="65">
        <v>850070</v>
      </c>
      <c r="E350" s="65" t="s">
        <v>303</v>
      </c>
      <c r="F350" s="65" t="s">
        <v>155</v>
      </c>
      <c r="G350" s="65" t="s">
        <v>156</v>
      </c>
      <c r="H350" s="65"/>
      <c r="I350" s="76"/>
      <c r="J350" s="82"/>
      <c r="K350" s="66"/>
      <c r="L350" s="61">
        <f t="shared" si="11"/>
        <v>0</v>
      </c>
      <c r="M350" s="72"/>
      <c r="N350" s="73"/>
      <c r="O350" s="52"/>
      <c r="P350" s="52"/>
      <c r="Q350" s="52"/>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52"/>
      <c r="AP350" s="52"/>
      <c r="AQ350" s="52"/>
      <c r="AR350" s="52"/>
      <c r="AS350" s="52"/>
    </row>
    <row r="351" spans="1:45" s="64" customFormat="1" hidden="1">
      <c r="A351" s="65" t="s">
        <v>349</v>
      </c>
      <c r="B351" s="65" t="s">
        <v>350</v>
      </c>
      <c r="C351" s="83" t="str">
        <f t="shared" si="10"/>
        <v>Channel Deepening - Nav Div Overhead</v>
      </c>
      <c r="D351" s="65">
        <v>860010</v>
      </c>
      <c r="E351" s="65" t="s">
        <v>304</v>
      </c>
      <c r="F351" s="65" t="s">
        <v>155</v>
      </c>
      <c r="G351" s="65" t="s">
        <v>156</v>
      </c>
      <c r="H351" s="65"/>
      <c r="I351" s="76"/>
      <c r="J351" s="82"/>
      <c r="K351" s="66"/>
      <c r="L351" s="61">
        <f t="shared" si="11"/>
        <v>0</v>
      </c>
      <c r="M351" s="72"/>
      <c r="N351" s="73"/>
      <c r="O351" s="52"/>
      <c r="P351" s="52"/>
      <c r="Q351" s="52"/>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2"/>
      <c r="AQ351" s="52"/>
      <c r="AR351" s="52"/>
      <c r="AS351" s="52"/>
    </row>
    <row r="352" spans="1:45" s="64" customFormat="1" hidden="1">
      <c r="A352" s="65" t="s">
        <v>349</v>
      </c>
      <c r="B352" s="65" t="s">
        <v>350</v>
      </c>
      <c r="C352" s="83" t="str">
        <f t="shared" si="10"/>
        <v>Channel Deepening - Nav Div Overhead</v>
      </c>
      <c r="D352" s="65">
        <v>860020</v>
      </c>
      <c r="E352" s="65" t="s">
        <v>305</v>
      </c>
      <c r="F352" s="65" t="s">
        <v>155</v>
      </c>
      <c r="G352" s="65" t="s">
        <v>156</v>
      </c>
      <c r="H352" s="65"/>
      <c r="I352" s="76"/>
      <c r="J352" s="82"/>
      <c r="K352" s="66"/>
      <c r="L352" s="61">
        <f t="shared" si="11"/>
        <v>0</v>
      </c>
      <c r="M352" s="72"/>
      <c r="N352" s="73"/>
      <c r="O352" s="52"/>
      <c r="P352" s="52"/>
      <c r="Q352" s="52"/>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2"/>
      <c r="AQ352" s="52"/>
      <c r="AR352" s="52"/>
      <c r="AS352" s="52"/>
    </row>
    <row r="353" spans="1:45" s="64" customFormat="1" hidden="1">
      <c r="A353" s="65" t="s">
        <v>349</v>
      </c>
      <c r="B353" s="65" t="s">
        <v>350</v>
      </c>
      <c r="C353" s="83" t="str">
        <f t="shared" si="10"/>
        <v>Channel Deepening - Nav Div Overhead</v>
      </c>
      <c r="D353" s="65">
        <v>860030</v>
      </c>
      <c r="E353" s="65" t="s">
        <v>306</v>
      </c>
      <c r="F353" s="65" t="s">
        <v>155</v>
      </c>
      <c r="G353" s="65" t="s">
        <v>156</v>
      </c>
      <c r="H353" s="65"/>
      <c r="I353" s="76"/>
      <c r="J353" s="82"/>
      <c r="K353" s="66"/>
      <c r="L353" s="61">
        <f t="shared" si="11"/>
        <v>0</v>
      </c>
      <c r="M353" s="72"/>
      <c r="N353" s="73"/>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2"/>
      <c r="AQ353" s="52"/>
      <c r="AR353" s="52"/>
      <c r="AS353" s="52"/>
    </row>
    <row r="354" spans="1:45" s="64" customFormat="1" hidden="1">
      <c r="A354" s="65" t="s">
        <v>349</v>
      </c>
      <c r="B354" s="65" t="s">
        <v>350</v>
      </c>
      <c r="C354" s="83" t="str">
        <f t="shared" si="10"/>
        <v>Channel Deepening - Nav Div Overhead</v>
      </c>
      <c r="D354" s="65">
        <v>860040</v>
      </c>
      <c r="E354" s="65" t="s">
        <v>307</v>
      </c>
      <c r="F354" s="65" t="s">
        <v>155</v>
      </c>
      <c r="G354" s="65" t="s">
        <v>156</v>
      </c>
      <c r="H354" s="65"/>
      <c r="I354" s="76"/>
      <c r="J354" s="82"/>
      <c r="K354" s="66"/>
      <c r="L354" s="61">
        <f t="shared" si="11"/>
        <v>0</v>
      </c>
      <c r="M354" s="72"/>
      <c r="N354" s="73"/>
      <c r="O354" s="52"/>
      <c r="P354" s="52"/>
      <c r="Q354" s="52"/>
      <c r="R354" s="52"/>
      <c r="S354" s="52"/>
      <c r="T354" s="52"/>
      <c r="U354" s="52"/>
      <c r="V354" s="52"/>
      <c r="W354" s="52"/>
      <c r="X354" s="52"/>
      <c r="Y354" s="52"/>
      <c r="Z354" s="52"/>
      <c r="AA354" s="52"/>
      <c r="AB354" s="52"/>
      <c r="AC354" s="52"/>
      <c r="AD354" s="52"/>
      <c r="AE354" s="52"/>
      <c r="AF354" s="52"/>
      <c r="AG354" s="52"/>
      <c r="AH354" s="52"/>
      <c r="AI354" s="52"/>
      <c r="AJ354" s="52"/>
      <c r="AK354" s="52"/>
      <c r="AL354" s="52"/>
      <c r="AM354" s="52"/>
      <c r="AN354" s="52"/>
      <c r="AO354" s="52"/>
      <c r="AP354" s="52"/>
      <c r="AQ354" s="52"/>
      <c r="AR354" s="52"/>
      <c r="AS354" s="52"/>
    </row>
    <row r="355" spans="1:45" s="64" customFormat="1" hidden="1">
      <c r="A355" s="65" t="s">
        <v>349</v>
      </c>
      <c r="B355" s="65" t="s">
        <v>350</v>
      </c>
      <c r="C355" s="83" t="str">
        <f t="shared" si="10"/>
        <v>Channel Deepening - Nav Div Overhead</v>
      </c>
      <c r="D355" s="65">
        <v>860050</v>
      </c>
      <c r="E355" s="65" t="s">
        <v>308</v>
      </c>
      <c r="F355" s="65" t="s">
        <v>155</v>
      </c>
      <c r="G355" s="65" t="s">
        <v>156</v>
      </c>
      <c r="H355" s="65"/>
      <c r="I355" s="76"/>
      <c r="J355" s="82"/>
      <c r="K355" s="66"/>
      <c r="L355" s="61">
        <f t="shared" si="11"/>
        <v>0</v>
      </c>
      <c r="M355" s="72"/>
      <c r="N355" s="73"/>
      <c r="O355" s="52"/>
      <c r="P355" s="52"/>
      <c r="Q355" s="52"/>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2"/>
      <c r="AQ355" s="52"/>
      <c r="AR355" s="52"/>
      <c r="AS355" s="52"/>
    </row>
    <row r="356" spans="1:45" s="64" customFormat="1" hidden="1">
      <c r="A356" s="65" t="s">
        <v>349</v>
      </c>
      <c r="B356" s="65" t="s">
        <v>350</v>
      </c>
      <c r="C356" s="83" t="str">
        <f t="shared" si="10"/>
        <v>Channel Deepening - Nav Div Overhead</v>
      </c>
      <c r="D356" s="65">
        <v>860060</v>
      </c>
      <c r="E356" s="65" t="s">
        <v>309</v>
      </c>
      <c r="F356" s="65" t="s">
        <v>155</v>
      </c>
      <c r="G356" s="65" t="s">
        <v>156</v>
      </c>
      <c r="H356" s="65"/>
      <c r="I356" s="76"/>
      <c r="J356" s="82"/>
      <c r="K356" s="66"/>
      <c r="L356" s="61">
        <f t="shared" si="11"/>
        <v>0</v>
      </c>
      <c r="M356" s="72"/>
      <c r="N356" s="73"/>
      <c r="O356" s="52"/>
      <c r="P356" s="52"/>
      <c r="Q356" s="52"/>
      <c r="R356" s="52"/>
      <c r="S356" s="52"/>
      <c r="T356" s="52"/>
      <c r="U356" s="52"/>
      <c r="V356" s="52"/>
      <c r="W356" s="52"/>
      <c r="X356" s="52"/>
      <c r="Y356" s="52"/>
      <c r="Z356" s="52"/>
      <c r="AA356" s="52"/>
      <c r="AB356" s="52"/>
      <c r="AC356" s="52"/>
      <c r="AD356" s="52"/>
      <c r="AE356" s="52"/>
      <c r="AF356" s="52"/>
      <c r="AG356" s="52"/>
      <c r="AH356" s="52"/>
      <c r="AI356" s="52"/>
      <c r="AJ356" s="52"/>
      <c r="AK356" s="52"/>
      <c r="AL356" s="52"/>
      <c r="AM356" s="52"/>
      <c r="AN356" s="52"/>
      <c r="AO356" s="52"/>
      <c r="AP356" s="52"/>
      <c r="AQ356" s="52"/>
      <c r="AR356" s="52"/>
      <c r="AS356" s="52"/>
    </row>
    <row r="357" spans="1:45" s="64" customFormat="1" hidden="1">
      <c r="A357" s="65" t="s">
        <v>349</v>
      </c>
      <c r="B357" s="65" t="s">
        <v>350</v>
      </c>
      <c r="C357" s="83" t="str">
        <f t="shared" si="10"/>
        <v>Channel Deepening - Nav Div Overhead</v>
      </c>
      <c r="D357" s="65">
        <v>860090</v>
      </c>
      <c r="E357" s="65" t="s">
        <v>310</v>
      </c>
      <c r="F357" s="65" t="s">
        <v>155</v>
      </c>
      <c r="G357" s="65" t="s">
        <v>156</v>
      </c>
      <c r="H357" s="65" t="s">
        <v>139</v>
      </c>
      <c r="I357" s="76"/>
      <c r="J357" s="82"/>
      <c r="K357" s="66"/>
      <c r="L357" s="61">
        <f t="shared" si="11"/>
        <v>0</v>
      </c>
      <c r="M357" s="72"/>
      <c r="N357" s="73"/>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row>
    <row r="358" spans="1:45" s="64" customFormat="1" hidden="1">
      <c r="A358" s="65" t="s">
        <v>349</v>
      </c>
      <c r="B358" s="65" t="s">
        <v>350</v>
      </c>
      <c r="C358" s="83" t="str">
        <f t="shared" si="10"/>
        <v>Channel Deepening - Interdepartment Support</v>
      </c>
      <c r="D358" s="65">
        <v>870010</v>
      </c>
      <c r="E358" s="65" t="s">
        <v>311</v>
      </c>
      <c r="F358" s="65" t="s">
        <v>155</v>
      </c>
      <c r="G358" s="65" t="s">
        <v>156</v>
      </c>
      <c r="H358" s="65" t="s">
        <v>139</v>
      </c>
      <c r="I358" s="76"/>
      <c r="J358" s="82"/>
      <c r="K358" s="66"/>
      <c r="L358" s="61">
        <f t="shared" si="11"/>
        <v>0</v>
      </c>
      <c r="M358" s="72"/>
      <c r="N358" s="73"/>
      <c r="O358" s="52"/>
      <c r="P358" s="52"/>
      <c r="Q358" s="52"/>
      <c r="R358" s="52"/>
      <c r="S358" s="52"/>
      <c r="T358" s="52"/>
      <c r="U358" s="52"/>
      <c r="V358" s="52"/>
      <c r="W358" s="52"/>
      <c r="X358" s="52"/>
      <c r="Y358" s="52"/>
      <c r="Z358" s="52"/>
      <c r="AA358" s="52"/>
      <c r="AB358" s="52"/>
      <c r="AC358" s="52"/>
      <c r="AD358" s="52"/>
      <c r="AE358" s="52"/>
      <c r="AF358" s="52"/>
      <c r="AG358" s="52"/>
      <c r="AH358" s="52"/>
      <c r="AI358" s="52"/>
      <c r="AJ358" s="52"/>
      <c r="AK358" s="52"/>
      <c r="AL358" s="52"/>
      <c r="AM358" s="52"/>
      <c r="AN358" s="52"/>
      <c r="AO358" s="52"/>
      <c r="AP358" s="52"/>
      <c r="AQ358" s="52"/>
      <c r="AR358" s="52"/>
      <c r="AS358" s="52"/>
    </row>
    <row r="359" spans="1:45" s="64" customFormat="1" hidden="1">
      <c r="A359" s="65" t="s">
        <v>349</v>
      </c>
      <c r="B359" s="65" t="s">
        <v>350</v>
      </c>
      <c r="C359" s="83" t="str">
        <f t="shared" si="10"/>
        <v>Channel Deepening - Interdepartment Support</v>
      </c>
      <c r="D359" s="65">
        <v>870020</v>
      </c>
      <c r="E359" s="65" t="s">
        <v>312</v>
      </c>
      <c r="F359" s="65" t="s">
        <v>155</v>
      </c>
      <c r="G359" s="65" t="s">
        <v>156</v>
      </c>
      <c r="H359" s="65" t="s">
        <v>139</v>
      </c>
      <c r="I359" s="76"/>
      <c r="J359" s="82"/>
      <c r="K359" s="66"/>
      <c r="L359" s="61">
        <f t="shared" si="11"/>
        <v>0</v>
      </c>
      <c r="M359" s="72"/>
      <c r="N359" s="73"/>
      <c r="O359" s="52"/>
      <c r="P359" s="52"/>
      <c r="Q359" s="52"/>
      <c r="R359" s="52"/>
      <c r="S359" s="52"/>
      <c r="T359" s="52"/>
      <c r="U359" s="52"/>
      <c r="V359" s="52"/>
      <c r="W359" s="52"/>
      <c r="X359" s="52"/>
      <c r="Y359" s="52"/>
      <c r="Z359" s="52"/>
      <c r="AA359" s="52"/>
      <c r="AB359" s="52"/>
      <c r="AC359" s="52"/>
      <c r="AD359" s="52"/>
      <c r="AE359" s="52"/>
      <c r="AF359" s="52"/>
      <c r="AG359" s="52"/>
      <c r="AH359" s="52"/>
      <c r="AI359" s="52"/>
      <c r="AJ359" s="52"/>
      <c r="AK359" s="52"/>
      <c r="AL359" s="52"/>
      <c r="AM359" s="52"/>
      <c r="AN359" s="52"/>
      <c r="AO359" s="52"/>
      <c r="AP359" s="52"/>
      <c r="AQ359" s="52"/>
      <c r="AR359" s="52"/>
      <c r="AS359" s="52"/>
    </row>
    <row r="360" spans="1:45" s="64" customFormat="1" hidden="1">
      <c r="A360" s="65" t="s">
        <v>349</v>
      </c>
      <c r="B360" s="65" t="s">
        <v>350</v>
      </c>
      <c r="C360" s="83" t="str">
        <f t="shared" si="10"/>
        <v>Channel Deepening - Interdepartment Support</v>
      </c>
      <c r="D360" s="65">
        <v>870030</v>
      </c>
      <c r="E360" s="65" t="s">
        <v>313</v>
      </c>
      <c r="F360" s="65" t="s">
        <v>155</v>
      </c>
      <c r="G360" s="65" t="s">
        <v>156</v>
      </c>
      <c r="H360" s="65" t="s">
        <v>139</v>
      </c>
      <c r="I360" s="76"/>
      <c r="J360" s="82"/>
      <c r="K360" s="66"/>
      <c r="L360" s="61">
        <f t="shared" si="11"/>
        <v>0</v>
      </c>
      <c r="M360" s="72"/>
      <c r="N360" s="73"/>
      <c r="O360" s="52"/>
      <c r="P360" s="52"/>
      <c r="Q360" s="52"/>
      <c r="R360" s="52"/>
      <c r="S360" s="52"/>
      <c r="T360" s="52"/>
      <c r="U360" s="52"/>
      <c r="V360" s="52"/>
      <c r="W360" s="52"/>
      <c r="X360" s="52"/>
      <c r="Y360" s="52"/>
      <c r="Z360" s="52"/>
      <c r="AA360" s="52"/>
      <c r="AB360" s="52"/>
      <c r="AC360" s="52"/>
      <c r="AD360" s="52"/>
      <c r="AE360" s="52"/>
      <c r="AF360" s="52"/>
      <c r="AG360" s="52"/>
      <c r="AH360" s="52"/>
      <c r="AI360" s="52"/>
      <c r="AJ360" s="52"/>
      <c r="AK360" s="52"/>
      <c r="AL360" s="52"/>
      <c r="AM360" s="52"/>
      <c r="AN360" s="52"/>
      <c r="AO360" s="52"/>
      <c r="AP360" s="52"/>
      <c r="AQ360" s="52"/>
      <c r="AR360" s="52"/>
      <c r="AS360" s="52"/>
    </row>
    <row r="361" spans="1:45" s="64" customFormat="1" hidden="1">
      <c r="A361" s="65" t="s">
        <v>349</v>
      </c>
      <c r="B361" s="65" t="s">
        <v>350</v>
      </c>
      <c r="C361" s="83" t="str">
        <f t="shared" si="10"/>
        <v>Channel Deepening - Interdepartment Support</v>
      </c>
      <c r="D361" s="65">
        <v>870040</v>
      </c>
      <c r="E361" s="65" t="s">
        <v>314</v>
      </c>
      <c r="F361" s="65" t="s">
        <v>155</v>
      </c>
      <c r="G361" s="65" t="s">
        <v>156</v>
      </c>
      <c r="H361" s="65" t="s">
        <v>139</v>
      </c>
      <c r="I361" s="76"/>
      <c r="J361" s="82"/>
      <c r="K361" s="66"/>
      <c r="L361" s="61">
        <f t="shared" si="11"/>
        <v>0</v>
      </c>
      <c r="M361" s="72"/>
      <c r="N361" s="73"/>
      <c r="O361" s="52"/>
      <c r="P361" s="52"/>
      <c r="Q361" s="52"/>
      <c r="R361" s="52"/>
      <c r="S361" s="52"/>
      <c r="T361" s="52"/>
      <c r="U361" s="52"/>
      <c r="V361" s="52"/>
      <c r="W361" s="52"/>
      <c r="X361" s="52"/>
      <c r="Y361" s="52"/>
      <c r="Z361" s="52"/>
      <c r="AA361" s="52"/>
      <c r="AB361" s="52"/>
      <c r="AC361" s="52"/>
      <c r="AD361" s="52"/>
      <c r="AE361" s="52"/>
      <c r="AF361" s="52"/>
      <c r="AG361" s="52"/>
      <c r="AH361" s="52"/>
      <c r="AI361" s="52"/>
      <c r="AJ361" s="52"/>
      <c r="AK361" s="52"/>
      <c r="AL361" s="52"/>
      <c r="AM361" s="52"/>
      <c r="AN361" s="52"/>
      <c r="AO361" s="52"/>
      <c r="AP361" s="52"/>
      <c r="AQ361" s="52"/>
      <c r="AR361" s="52"/>
      <c r="AS361" s="52"/>
    </row>
    <row r="362" spans="1:45" s="64" customFormat="1" hidden="1">
      <c r="A362" s="65" t="s">
        <v>349</v>
      </c>
      <c r="B362" s="65" t="s">
        <v>350</v>
      </c>
      <c r="C362" s="83" t="str">
        <f t="shared" si="10"/>
        <v>Channel Deepening - General &amp; Admin (G&amp;A) 15%</v>
      </c>
      <c r="D362" s="65">
        <v>880010</v>
      </c>
      <c r="E362" s="65" t="s">
        <v>315</v>
      </c>
      <c r="F362" s="65" t="s">
        <v>155</v>
      </c>
      <c r="G362" s="65" t="s">
        <v>156</v>
      </c>
      <c r="H362" s="65"/>
      <c r="I362" s="76"/>
      <c r="J362" s="82"/>
      <c r="K362" s="66"/>
      <c r="L362" s="61">
        <f t="shared" si="11"/>
        <v>0</v>
      </c>
      <c r="M362" s="72"/>
      <c r="N362" s="73"/>
      <c r="O362" s="52"/>
      <c r="P362" s="52"/>
      <c r="Q362" s="52"/>
      <c r="R362" s="52"/>
      <c r="S362" s="52"/>
      <c r="T362" s="52"/>
      <c r="U362" s="52"/>
      <c r="V362" s="52"/>
      <c r="W362" s="52"/>
      <c r="X362" s="52"/>
      <c r="Y362" s="52"/>
      <c r="Z362" s="52"/>
      <c r="AA362" s="52"/>
      <c r="AB362" s="52"/>
      <c r="AC362" s="52"/>
      <c r="AD362" s="52"/>
      <c r="AE362" s="52"/>
      <c r="AF362" s="52"/>
      <c r="AG362" s="52"/>
      <c r="AH362" s="52"/>
      <c r="AI362" s="52"/>
      <c r="AJ362" s="52"/>
      <c r="AK362" s="52"/>
      <c r="AL362" s="52"/>
      <c r="AM362" s="52"/>
      <c r="AN362" s="52"/>
      <c r="AO362" s="52"/>
      <c r="AP362" s="52"/>
      <c r="AQ362" s="52"/>
      <c r="AR362" s="52"/>
      <c r="AS362" s="52"/>
    </row>
    <row r="363" spans="1:45" s="64" customFormat="1" hidden="1">
      <c r="A363" s="65" t="s">
        <v>349</v>
      </c>
      <c r="B363" s="65" t="s">
        <v>350</v>
      </c>
      <c r="C363" s="83" t="str">
        <f t="shared" si="10"/>
        <v>Channel Deepening - General &amp; Admin (G&amp;A) 15%</v>
      </c>
      <c r="D363" s="65">
        <v>880020</v>
      </c>
      <c r="E363" s="65" t="s">
        <v>316</v>
      </c>
      <c r="F363" s="65" t="s">
        <v>155</v>
      </c>
      <c r="G363" s="65" t="s">
        <v>156</v>
      </c>
      <c r="H363" s="65"/>
      <c r="I363" s="76"/>
      <c r="J363" s="82"/>
      <c r="K363" s="66"/>
      <c r="L363" s="61">
        <f t="shared" si="11"/>
        <v>0</v>
      </c>
      <c r="M363" s="72"/>
      <c r="N363" s="73"/>
      <c r="O363" s="52"/>
      <c r="P363" s="52"/>
      <c r="Q363" s="52"/>
      <c r="R363" s="52"/>
      <c r="S363" s="52"/>
      <c r="T363" s="52"/>
      <c r="U363" s="52"/>
      <c r="V363" s="52"/>
      <c r="W363" s="52"/>
      <c r="X363" s="52"/>
      <c r="Y363" s="52"/>
      <c r="Z363" s="52"/>
      <c r="AA363" s="52"/>
      <c r="AB363" s="52"/>
      <c r="AC363" s="52"/>
      <c r="AD363" s="52"/>
      <c r="AE363" s="52"/>
      <c r="AF363" s="52"/>
      <c r="AG363" s="52"/>
      <c r="AH363" s="52"/>
      <c r="AI363" s="52"/>
      <c r="AJ363" s="52"/>
      <c r="AK363" s="52"/>
      <c r="AL363" s="52"/>
      <c r="AM363" s="52"/>
      <c r="AN363" s="52"/>
      <c r="AO363" s="52"/>
      <c r="AP363" s="52"/>
      <c r="AQ363" s="52"/>
      <c r="AR363" s="52"/>
      <c r="AS363" s="52"/>
    </row>
    <row r="364" spans="1:45" s="64" customFormat="1" hidden="1">
      <c r="A364" s="65" t="s">
        <v>349</v>
      </c>
      <c r="B364" s="65" t="s">
        <v>350</v>
      </c>
      <c r="C364" s="83" t="str">
        <f t="shared" si="10"/>
        <v>Channel Deepening - Other Reimbursements</v>
      </c>
      <c r="D364" s="65">
        <v>901910</v>
      </c>
      <c r="E364" s="65" t="s">
        <v>338</v>
      </c>
      <c r="F364" s="65" t="s">
        <v>137</v>
      </c>
      <c r="G364" s="65" t="s">
        <v>138</v>
      </c>
      <c r="H364" s="65"/>
      <c r="I364" s="76"/>
      <c r="J364" s="82"/>
      <c r="K364" s="66"/>
      <c r="L364" s="61">
        <f t="shared" si="11"/>
        <v>0</v>
      </c>
      <c r="M364" s="72"/>
      <c r="N364" s="73"/>
      <c r="O364" s="52"/>
      <c r="P364" s="52"/>
      <c r="Q364" s="52"/>
      <c r="R364" s="52"/>
      <c r="S364" s="52"/>
      <c r="T364" s="52"/>
      <c r="U364" s="52"/>
      <c r="V364" s="52"/>
      <c r="W364" s="52"/>
      <c r="X364" s="52"/>
      <c r="Y364" s="52"/>
      <c r="Z364" s="52"/>
      <c r="AA364" s="52"/>
      <c r="AB364" s="52"/>
      <c r="AC364" s="52"/>
      <c r="AD364" s="52"/>
      <c r="AE364" s="52"/>
      <c r="AF364" s="52"/>
      <c r="AG364" s="52"/>
      <c r="AH364" s="52"/>
      <c r="AI364" s="52"/>
      <c r="AJ364" s="52"/>
      <c r="AK364" s="52"/>
      <c r="AL364" s="52"/>
      <c r="AM364" s="52"/>
      <c r="AN364" s="52"/>
      <c r="AO364" s="52"/>
      <c r="AP364" s="52"/>
      <c r="AQ364" s="52"/>
      <c r="AR364" s="52"/>
      <c r="AS364" s="52"/>
    </row>
    <row r="365" spans="1:45" s="64" customFormat="1" hidden="1">
      <c r="A365" s="65" t="s">
        <v>349</v>
      </c>
      <c r="B365" s="65" t="s">
        <v>350</v>
      </c>
      <c r="C365" s="83" t="str">
        <f t="shared" si="10"/>
        <v>Channel Deepening - Other Reimbursements</v>
      </c>
      <c r="D365" s="65">
        <v>901920</v>
      </c>
      <c r="E365" s="65" t="s">
        <v>339</v>
      </c>
      <c r="F365" s="65" t="s">
        <v>137</v>
      </c>
      <c r="G365" s="65" t="s">
        <v>138</v>
      </c>
      <c r="H365" s="65"/>
      <c r="I365" s="76"/>
      <c r="J365" s="82"/>
      <c r="K365" s="66"/>
      <c r="L365" s="61">
        <f t="shared" si="11"/>
        <v>0</v>
      </c>
      <c r="M365" s="72"/>
      <c r="N365" s="73"/>
      <c r="O365" s="52"/>
      <c r="P365" s="52"/>
      <c r="Q365" s="52"/>
      <c r="R365" s="52"/>
      <c r="S365" s="52"/>
      <c r="T365" s="52"/>
      <c r="U365" s="52"/>
      <c r="V365" s="52"/>
      <c r="W365" s="52"/>
      <c r="X365" s="52"/>
      <c r="Y365" s="52"/>
      <c r="Z365" s="52"/>
      <c r="AA365" s="52"/>
      <c r="AB365" s="52"/>
      <c r="AC365" s="52"/>
      <c r="AD365" s="52"/>
      <c r="AE365" s="52"/>
      <c r="AF365" s="52"/>
      <c r="AG365" s="52"/>
      <c r="AH365" s="52"/>
      <c r="AI365" s="52"/>
      <c r="AJ365" s="52"/>
      <c r="AK365" s="52"/>
      <c r="AL365" s="52"/>
      <c r="AM365" s="52"/>
      <c r="AN365" s="52"/>
      <c r="AO365" s="52"/>
      <c r="AP365" s="52"/>
      <c r="AQ365" s="52"/>
      <c r="AR365" s="52"/>
      <c r="AS365" s="52"/>
    </row>
    <row r="366" spans="1:45" s="64" customFormat="1" hidden="1">
      <c r="A366" s="65" t="s">
        <v>349</v>
      </c>
      <c r="B366" s="65" t="s">
        <v>350</v>
      </c>
      <c r="C366" s="83" t="str">
        <f t="shared" si="10"/>
        <v>Channel Deepening - Other Reimbursements</v>
      </c>
      <c r="D366" s="65">
        <v>901930</v>
      </c>
      <c r="E366" s="65" t="s">
        <v>340</v>
      </c>
      <c r="F366" s="65" t="s">
        <v>137</v>
      </c>
      <c r="G366" s="65" t="s">
        <v>138</v>
      </c>
      <c r="H366" s="65"/>
      <c r="I366" s="76"/>
      <c r="J366" s="82"/>
      <c r="K366" s="66"/>
      <c r="L366" s="61">
        <f t="shared" si="11"/>
        <v>0</v>
      </c>
      <c r="M366" s="72"/>
      <c r="N366" s="73"/>
      <c r="O366" s="52"/>
      <c r="P366" s="52"/>
      <c r="Q366" s="52"/>
      <c r="R366" s="52"/>
      <c r="S366" s="52"/>
      <c r="T366" s="52"/>
      <c r="U366" s="52"/>
      <c r="V366" s="52"/>
      <c r="W366" s="52"/>
      <c r="X366" s="52"/>
      <c r="Y366" s="52"/>
      <c r="Z366" s="52"/>
      <c r="AA366" s="52"/>
      <c r="AB366" s="52"/>
      <c r="AC366" s="52"/>
      <c r="AD366" s="52"/>
      <c r="AE366" s="52"/>
      <c r="AF366" s="52"/>
      <c r="AG366" s="52"/>
      <c r="AH366" s="52"/>
      <c r="AI366" s="52"/>
      <c r="AJ366" s="52"/>
      <c r="AK366" s="52"/>
      <c r="AL366" s="52"/>
      <c r="AM366" s="52"/>
      <c r="AN366" s="52"/>
      <c r="AO366" s="52"/>
      <c r="AP366" s="52"/>
      <c r="AQ366" s="52"/>
      <c r="AR366" s="52"/>
      <c r="AS366" s="52"/>
    </row>
    <row r="367" spans="1:45" s="64" customFormat="1" hidden="1">
      <c r="A367" s="65" t="s">
        <v>349</v>
      </c>
      <c r="B367" s="65" t="s">
        <v>350</v>
      </c>
      <c r="C367" s="83" t="str">
        <f t="shared" si="10"/>
        <v>Channel Deepening - Other Reimbursements</v>
      </c>
      <c r="D367" s="65">
        <v>901940</v>
      </c>
      <c r="E367" s="65" t="s">
        <v>341</v>
      </c>
      <c r="F367" s="65" t="s">
        <v>137</v>
      </c>
      <c r="G367" s="65" t="s">
        <v>138</v>
      </c>
      <c r="H367" s="65"/>
      <c r="I367" s="76"/>
      <c r="J367" s="82"/>
      <c r="K367" s="66"/>
      <c r="L367" s="61">
        <f t="shared" si="11"/>
        <v>0</v>
      </c>
      <c r="M367" s="72"/>
      <c r="N367" s="73"/>
      <c r="O367" s="52"/>
      <c r="P367" s="52"/>
      <c r="Q367" s="52"/>
      <c r="R367" s="52"/>
      <c r="S367" s="52"/>
      <c r="T367" s="52"/>
      <c r="U367" s="52"/>
      <c r="V367" s="52"/>
      <c r="W367" s="52"/>
      <c r="X367" s="52"/>
      <c r="Y367" s="52"/>
      <c r="Z367" s="52"/>
      <c r="AA367" s="52"/>
      <c r="AB367" s="52"/>
      <c r="AC367" s="52"/>
      <c r="AD367" s="52"/>
      <c r="AE367" s="52"/>
      <c r="AF367" s="52"/>
      <c r="AG367" s="52"/>
      <c r="AH367" s="52"/>
      <c r="AI367" s="52"/>
      <c r="AJ367" s="52"/>
      <c r="AK367" s="52"/>
      <c r="AL367" s="52"/>
      <c r="AM367" s="52"/>
      <c r="AN367" s="52"/>
      <c r="AO367" s="52"/>
      <c r="AP367" s="52"/>
      <c r="AQ367" s="52"/>
      <c r="AR367" s="52"/>
      <c r="AS367" s="52"/>
    </row>
    <row r="368" spans="1:45" s="64" customFormat="1" hidden="1">
      <c r="A368" s="65" t="s">
        <v>349</v>
      </c>
      <c r="B368" s="65" t="s">
        <v>350</v>
      </c>
      <c r="C368" s="83" t="str">
        <f t="shared" si="10"/>
        <v>Channel Deepening - Other Reimbursements</v>
      </c>
      <c r="D368" s="65">
        <v>902000</v>
      </c>
      <c r="E368" s="65" t="s">
        <v>342</v>
      </c>
      <c r="F368" s="65" t="s">
        <v>137</v>
      </c>
      <c r="G368" s="65" t="s">
        <v>138</v>
      </c>
      <c r="H368" s="65"/>
      <c r="I368" s="76"/>
      <c r="J368" s="82"/>
      <c r="K368" s="66"/>
      <c r="L368" s="61">
        <f t="shared" si="11"/>
        <v>0</v>
      </c>
      <c r="M368" s="72"/>
      <c r="N368" s="73"/>
      <c r="O368" s="52"/>
      <c r="P368" s="52"/>
      <c r="Q368" s="52"/>
      <c r="R368" s="52"/>
      <c r="S368" s="52"/>
      <c r="T368" s="52"/>
      <c r="U368" s="52"/>
      <c r="V368" s="52"/>
      <c r="W368" s="52"/>
      <c r="X368" s="52"/>
      <c r="Y368" s="52"/>
      <c r="Z368" s="52"/>
      <c r="AA368" s="52"/>
      <c r="AB368" s="52"/>
      <c r="AC368" s="52"/>
      <c r="AD368" s="52"/>
      <c r="AE368" s="52"/>
      <c r="AF368" s="52"/>
      <c r="AG368" s="52"/>
      <c r="AH368" s="52"/>
      <c r="AI368" s="52"/>
      <c r="AJ368" s="52"/>
      <c r="AK368" s="52"/>
      <c r="AL368" s="52"/>
      <c r="AM368" s="52"/>
      <c r="AN368" s="52"/>
      <c r="AO368" s="52"/>
      <c r="AP368" s="52"/>
      <c r="AQ368" s="52"/>
      <c r="AR368" s="52"/>
      <c r="AS368" s="52"/>
    </row>
    <row r="369" spans="1:45" s="64" customFormat="1" hidden="1">
      <c r="A369" s="65" t="s">
        <v>349</v>
      </c>
      <c r="B369" s="65" t="s">
        <v>350</v>
      </c>
      <c r="C369" s="83" t="str">
        <f t="shared" si="10"/>
        <v>Channel Deepening - Other Reimbursements</v>
      </c>
      <c r="D369" s="65">
        <v>902100</v>
      </c>
      <c r="E369" s="65" t="s">
        <v>343</v>
      </c>
      <c r="F369" s="65" t="s">
        <v>137</v>
      </c>
      <c r="G369" s="65" t="s">
        <v>138</v>
      </c>
      <c r="H369" s="65"/>
      <c r="I369" s="76"/>
      <c r="J369" s="82"/>
      <c r="K369" s="66"/>
      <c r="L369" s="61">
        <f t="shared" si="11"/>
        <v>0</v>
      </c>
      <c r="M369" s="72"/>
      <c r="N369" s="73"/>
      <c r="O369" s="52"/>
      <c r="P369" s="52"/>
      <c r="Q369" s="52"/>
      <c r="R369" s="52"/>
      <c r="S369" s="52"/>
      <c r="T369" s="52"/>
      <c r="U369" s="52"/>
      <c r="V369" s="52"/>
      <c r="W369" s="52"/>
      <c r="X369" s="52"/>
      <c r="Y369" s="52"/>
      <c r="Z369" s="52"/>
      <c r="AA369" s="52"/>
      <c r="AB369" s="52"/>
      <c r="AC369" s="52"/>
      <c r="AD369" s="52"/>
      <c r="AE369" s="52"/>
      <c r="AF369" s="52"/>
      <c r="AG369" s="52"/>
      <c r="AH369" s="52"/>
      <c r="AI369" s="52"/>
      <c r="AJ369" s="52"/>
      <c r="AK369" s="52"/>
      <c r="AL369" s="52"/>
      <c r="AM369" s="52"/>
      <c r="AN369" s="52"/>
      <c r="AO369" s="52"/>
      <c r="AP369" s="52"/>
      <c r="AQ369" s="52"/>
      <c r="AR369" s="52"/>
      <c r="AS369" s="52"/>
    </row>
    <row r="370" spans="1:45" s="64" customFormat="1" hidden="1">
      <c r="A370" s="65" t="s">
        <v>349</v>
      </c>
      <c r="B370" s="65" t="s">
        <v>350</v>
      </c>
      <c r="C370" s="83" t="str">
        <f t="shared" si="10"/>
        <v>Channel Deepening - Other Reimbursements</v>
      </c>
      <c r="D370" s="65">
        <v>902200</v>
      </c>
      <c r="E370" s="65" t="s">
        <v>344</v>
      </c>
      <c r="F370" s="65" t="s">
        <v>137</v>
      </c>
      <c r="G370" s="65" t="s">
        <v>138</v>
      </c>
      <c r="H370" s="65"/>
      <c r="I370" s="76"/>
      <c r="J370" s="82"/>
      <c r="K370" s="66"/>
      <c r="L370" s="61">
        <f t="shared" si="11"/>
        <v>0</v>
      </c>
      <c r="M370" s="72"/>
      <c r="N370" s="73"/>
      <c r="O370" s="52"/>
      <c r="P370" s="52"/>
      <c r="Q370" s="52"/>
      <c r="R370" s="52"/>
      <c r="S370" s="52"/>
      <c r="T370" s="52"/>
      <c r="U370" s="52"/>
      <c r="V370" s="52"/>
      <c r="W370" s="52"/>
      <c r="X370" s="52"/>
      <c r="Y370" s="52"/>
      <c r="Z370" s="52"/>
      <c r="AA370" s="52"/>
      <c r="AB370" s="52"/>
      <c r="AC370" s="52"/>
      <c r="AD370" s="52"/>
      <c r="AE370" s="52"/>
      <c r="AF370" s="52"/>
      <c r="AG370" s="52"/>
      <c r="AH370" s="52"/>
      <c r="AI370" s="52"/>
      <c r="AJ370" s="52"/>
      <c r="AK370" s="52"/>
      <c r="AL370" s="52"/>
      <c r="AM370" s="52"/>
      <c r="AN370" s="52"/>
      <c r="AO370" s="52"/>
      <c r="AP370" s="52"/>
      <c r="AQ370" s="52"/>
      <c r="AR370" s="52"/>
      <c r="AS370" s="52"/>
    </row>
    <row r="371" spans="1:45" s="64" customFormat="1" hidden="1">
      <c r="A371" s="65" t="s">
        <v>357</v>
      </c>
      <c r="B371" s="65" t="s">
        <v>358</v>
      </c>
      <c r="C371" s="83" t="str">
        <f t="shared" si="10"/>
        <v>Properties - Acquisition</v>
      </c>
      <c r="D371" s="65">
        <v>161000</v>
      </c>
      <c r="E371" s="65" t="s">
        <v>359</v>
      </c>
      <c r="F371" s="65" t="s">
        <v>155</v>
      </c>
      <c r="G371" s="65" t="s">
        <v>156</v>
      </c>
      <c r="H371" s="65" t="s">
        <v>139</v>
      </c>
      <c r="I371" s="76"/>
      <c r="J371" s="82"/>
      <c r="K371" s="66"/>
      <c r="L371" s="61">
        <f t="shared" si="11"/>
        <v>0</v>
      </c>
      <c r="M371" s="72"/>
      <c r="N371" s="73"/>
      <c r="O371" s="52"/>
      <c r="P371" s="52"/>
      <c r="Q371" s="52"/>
      <c r="R371" s="52"/>
      <c r="S371" s="52"/>
      <c r="T371" s="52"/>
      <c r="U371" s="52"/>
      <c r="V371" s="52"/>
      <c r="W371" s="52"/>
      <c r="X371" s="52"/>
      <c r="Y371" s="52"/>
      <c r="Z371" s="52"/>
      <c r="AA371" s="52"/>
      <c r="AB371" s="52"/>
      <c r="AC371" s="52"/>
      <c r="AD371" s="52"/>
      <c r="AE371" s="52"/>
      <c r="AF371" s="52"/>
      <c r="AG371" s="52"/>
      <c r="AH371" s="52"/>
      <c r="AI371" s="52"/>
      <c r="AJ371" s="52"/>
      <c r="AK371" s="52"/>
      <c r="AL371" s="52"/>
      <c r="AM371" s="52"/>
      <c r="AN371" s="52"/>
      <c r="AO371" s="52"/>
      <c r="AP371" s="52"/>
      <c r="AQ371" s="52"/>
      <c r="AR371" s="52"/>
      <c r="AS371" s="52"/>
    </row>
    <row r="372" spans="1:45" s="64" customFormat="1" hidden="1">
      <c r="A372" s="65" t="s">
        <v>357</v>
      </c>
      <c r="B372" s="65" t="s">
        <v>358</v>
      </c>
      <c r="C372" s="83" t="str">
        <f t="shared" si="10"/>
        <v>Properties - Acquisition</v>
      </c>
      <c r="D372" s="65">
        <v>161110</v>
      </c>
      <c r="E372" s="65" t="s">
        <v>360</v>
      </c>
      <c r="F372" s="65" t="s">
        <v>155</v>
      </c>
      <c r="G372" s="65" t="s">
        <v>156</v>
      </c>
      <c r="H372" s="65"/>
      <c r="I372" s="76"/>
      <c r="J372" s="82"/>
      <c r="K372" s="66"/>
      <c r="L372" s="61">
        <f t="shared" si="11"/>
        <v>0</v>
      </c>
      <c r="M372" s="72"/>
      <c r="N372" s="73"/>
      <c r="O372" s="52"/>
      <c r="P372" s="52"/>
      <c r="Q372" s="52"/>
      <c r="R372" s="52"/>
      <c r="S372" s="52"/>
      <c r="T372" s="52"/>
      <c r="U372" s="52"/>
      <c r="V372" s="52"/>
      <c r="W372" s="52"/>
      <c r="X372" s="52"/>
      <c r="Y372" s="52"/>
      <c r="Z372" s="52"/>
      <c r="AA372" s="52"/>
      <c r="AB372" s="52"/>
      <c r="AC372" s="52"/>
      <c r="AD372" s="52"/>
      <c r="AE372" s="52"/>
      <c r="AF372" s="52"/>
      <c r="AG372" s="52"/>
      <c r="AH372" s="52"/>
      <c r="AI372" s="52"/>
      <c r="AJ372" s="52"/>
      <c r="AK372" s="52"/>
      <c r="AL372" s="52"/>
      <c r="AM372" s="52"/>
      <c r="AN372" s="52"/>
      <c r="AO372" s="52"/>
      <c r="AP372" s="52"/>
      <c r="AQ372" s="52"/>
      <c r="AR372" s="52"/>
      <c r="AS372" s="52"/>
    </row>
    <row r="373" spans="1:45" s="64" customFormat="1" hidden="1">
      <c r="A373" s="65" t="s">
        <v>357</v>
      </c>
      <c r="B373" s="65" t="s">
        <v>358</v>
      </c>
      <c r="C373" s="83" t="str">
        <f t="shared" si="10"/>
        <v>Properties - Acquisition</v>
      </c>
      <c r="D373" s="65">
        <v>161200</v>
      </c>
      <c r="E373" s="65" t="s">
        <v>361</v>
      </c>
      <c r="F373" s="65" t="s">
        <v>155</v>
      </c>
      <c r="G373" s="65" t="s">
        <v>156</v>
      </c>
      <c r="H373" s="65" t="s">
        <v>139</v>
      </c>
      <c r="I373" s="76"/>
      <c r="J373" s="82"/>
      <c r="K373" s="66"/>
      <c r="L373" s="61">
        <f t="shared" si="11"/>
        <v>0</v>
      </c>
      <c r="M373" s="72"/>
      <c r="N373" s="73"/>
      <c r="O373" s="52"/>
      <c r="P373" s="52"/>
      <c r="Q373" s="52"/>
      <c r="R373" s="52"/>
      <c r="S373" s="52"/>
      <c r="T373" s="52"/>
      <c r="U373" s="52"/>
      <c r="V373" s="52"/>
      <c r="W373" s="52"/>
      <c r="X373" s="52"/>
      <c r="Y373" s="52"/>
      <c r="Z373" s="52"/>
      <c r="AA373" s="52"/>
      <c r="AB373" s="52"/>
      <c r="AC373" s="52"/>
      <c r="AD373" s="52"/>
      <c r="AE373" s="52"/>
      <c r="AF373" s="52"/>
      <c r="AG373" s="52"/>
      <c r="AH373" s="52"/>
      <c r="AI373" s="52"/>
      <c r="AJ373" s="52"/>
      <c r="AK373" s="52"/>
      <c r="AL373" s="52"/>
      <c r="AM373" s="52"/>
      <c r="AN373" s="52"/>
      <c r="AO373" s="52"/>
      <c r="AP373" s="52"/>
      <c r="AQ373" s="52"/>
      <c r="AR373" s="52"/>
      <c r="AS373" s="52"/>
    </row>
    <row r="374" spans="1:45" s="64" customFormat="1" hidden="1">
      <c r="A374" s="65" t="s">
        <v>357</v>
      </c>
      <c r="B374" s="65" t="s">
        <v>358</v>
      </c>
      <c r="C374" s="83" t="str">
        <f t="shared" si="10"/>
        <v>Properties - Acquisition</v>
      </c>
      <c r="D374" s="65">
        <v>161300</v>
      </c>
      <c r="E374" s="65" t="s">
        <v>362</v>
      </c>
      <c r="F374" s="65" t="s">
        <v>155</v>
      </c>
      <c r="G374" s="65" t="s">
        <v>156</v>
      </c>
      <c r="H374" s="65" t="s">
        <v>139</v>
      </c>
      <c r="I374" s="76"/>
      <c r="J374" s="82"/>
      <c r="K374" s="66"/>
      <c r="L374" s="61">
        <f t="shared" si="11"/>
        <v>0</v>
      </c>
      <c r="M374" s="72"/>
      <c r="N374" s="73"/>
      <c r="O374" s="52"/>
      <c r="P374" s="52"/>
      <c r="Q374" s="52"/>
      <c r="R374" s="52"/>
      <c r="S374" s="52"/>
      <c r="T374" s="52"/>
      <c r="U374" s="52"/>
      <c r="V374" s="52"/>
      <c r="W374" s="52"/>
      <c r="X374" s="52"/>
      <c r="Y374" s="52"/>
      <c r="Z374" s="52"/>
      <c r="AA374" s="52"/>
      <c r="AB374" s="52"/>
      <c r="AC374" s="52"/>
      <c r="AD374" s="52"/>
      <c r="AE374" s="52"/>
      <c r="AF374" s="52"/>
      <c r="AG374" s="52"/>
      <c r="AH374" s="52"/>
      <c r="AI374" s="52"/>
      <c r="AJ374" s="52"/>
      <c r="AK374" s="52"/>
      <c r="AL374" s="52"/>
      <c r="AM374" s="52"/>
      <c r="AN374" s="52"/>
      <c r="AO374" s="52"/>
      <c r="AP374" s="52"/>
      <c r="AQ374" s="52"/>
      <c r="AR374" s="52"/>
      <c r="AS374" s="52"/>
    </row>
    <row r="375" spans="1:45" s="64" customFormat="1" hidden="1">
      <c r="A375" s="65" t="s">
        <v>357</v>
      </c>
      <c r="B375" s="65" t="s">
        <v>358</v>
      </c>
      <c r="C375" s="83" t="str">
        <f t="shared" si="10"/>
        <v>Properties - Acquisition</v>
      </c>
      <c r="D375" s="65">
        <v>161400</v>
      </c>
      <c r="E375" s="65" t="s">
        <v>363</v>
      </c>
      <c r="F375" s="65" t="s">
        <v>155</v>
      </c>
      <c r="G375" s="65" t="s">
        <v>156</v>
      </c>
      <c r="H375" s="65" t="s">
        <v>139</v>
      </c>
      <c r="I375" s="76"/>
      <c r="J375" s="82"/>
      <c r="K375" s="66"/>
      <c r="L375" s="61">
        <f t="shared" si="11"/>
        <v>0</v>
      </c>
      <c r="M375" s="72"/>
      <c r="N375" s="73"/>
      <c r="O375" s="52"/>
      <c r="P375" s="52"/>
      <c r="Q375" s="52"/>
      <c r="R375" s="52"/>
      <c r="S375" s="52"/>
      <c r="T375" s="52"/>
      <c r="U375" s="52"/>
      <c r="V375" s="52"/>
      <c r="W375" s="52"/>
      <c r="X375" s="52"/>
      <c r="Y375" s="52"/>
      <c r="Z375" s="52"/>
      <c r="AA375" s="52"/>
      <c r="AB375" s="52"/>
      <c r="AC375" s="52"/>
      <c r="AD375" s="52"/>
      <c r="AE375" s="52"/>
      <c r="AF375" s="52"/>
      <c r="AG375" s="52"/>
      <c r="AH375" s="52"/>
      <c r="AI375" s="52"/>
      <c r="AJ375" s="52"/>
      <c r="AK375" s="52"/>
      <c r="AL375" s="52"/>
      <c r="AM375" s="52"/>
      <c r="AN375" s="52"/>
      <c r="AO375" s="52"/>
      <c r="AP375" s="52"/>
      <c r="AQ375" s="52"/>
      <c r="AR375" s="52"/>
      <c r="AS375" s="52"/>
    </row>
    <row r="376" spans="1:45" s="64" customFormat="1" hidden="1">
      <c r="A376" s="65" t="s">
        <v>357</v>
      </c>
      <c r="B376" s="65" t="s">
        <v>358</v>
      </c>
      <c r="C376" s="83" t="str">
        <f t="shared" si="10"/>
        <v>Properties - Acquisition</v>
      </c>
      <c r="D376" s="65">
        <v>161500</v>
      </c>
      <c r="E376" s="65" t="s">
        <v>364</v>
      </c>
      <c r="F376" s="65" t="s">
        <v>155</v>
      </c>
      <c r="G376" s="65" t="s">
        <v>156</v>
      </c>
      <c r="H376" s="65" t="s">
        <v>139</v>
      </c>
      <c r="I376" s="76"/>
      <c r="J376" s="82"/>
      <c r="K376" s="66"/>
      <c r="L376" s="61">
        <f t="shared" si="11"/>
        <v>0</v>
      </c>
      <c r="M376" s="72"/>
      <c r="N376" s="73"/>
      <c r="O376" s="52"/>
      <c r="P376" s="52"/>
      <c r="Q376" s="52"/>
      <c r="R376" s="52"/>
      <c r="S376" s="52"/>
      <c r="T376" s="52"/>
      <c r="U376" s="52"/>
      <c r="V376" s="52"/>
      <c r="W376" s="52"/>
      <c r="X376" s="52"/>
      <c r="Y376" s="52"/>
      <c r="Z376" s="52"/>
      <c r="AA376" s="52"/>
      <c r="AB376" s="52"/>
      <c r="AC376" s="52"/>
      <c r="AD376" s="52"/>
      <c r="AE376" s="52"/>
      <c r="AF376" s="52"/>
      <c r="AG376" s="52"/>
      <c r="AH376" s="52"/>
      <c r="AI376" s="52"/>
      <c r="AJ376" s="52"/>
      <c r="AK376" s="52"/>
      <c r="AL376" s="52"/>
      <c r="AM376" s="52"/>
      <c r="AN376" s="52"/>
      <c r="AO376" s="52"/>
      <c r="AP376" s="52"/>
      <c r="AQ376" s="52"/>
      <c r="AR376" s="52"/>
      <c r="AS376" s="52"/>
    </row>
    <row r="377" spans="1:45" s="64" customFormat="1" hidden="1">
      <c r="A377" s="65" t="s">
        <v>357</v>
      </c>
      <c r="B377" s="65" t="s">
        <v>358</v>
      </c>
      <c r="C377" s="83" t="str">
        <f t="shared" si="10"/>
        <v>Properties - Acquisition</v>
      </c>
      <c r="D377" s="65">
        <v>161700</v>
      </c>
      <c r="E377" s="65" t="s">
        <v>365</v>
      </c>
      <c r="F377" s="65" t="s">
        <v>155</v>
      </c>
      <c r="G377" s="65" t="s">
        <v>156</v>
      </c>
      <c r="H377" s="65" t="s">
        <v>139</v>
      </c>
      <c r="I377" s="76"/>
      <c r="J377" s="82"/>
      <c r="K377" s="66"/>
      <c r="L377" s="61">
        <f t="shared" si="11"/>
        <v>0</v>
      </c>
      <c r="M377" s="72"/>
      <c r="N377" s="73"/>
      <c r="O377" s="52"/>
      <c r="P377" s="52"/>
      <c r="Q377" s="52"/>
      <c r="R377" s="52"/>
      <c r="S377" s="52"/>
      <c r="T377" s="52"/>
      <c r="U377" s="52"/>
      <c r="V377" s="52"/>
      <c r="W377" s="52"/>
      <c r="X377" s="52"/>
      <c r="Y377" s="52"/>
      <c r="Z377" s="52"/>
      <c r="AA377" s="52"/>
      <c r="AB377" s="52"/>
      <c r="AC377" s="52"/>
      <c r="AD377" s="52"/>
      <c r="AE377" s="52"/>
      <c r="AF377" s="52"/>
      <c r="AG377" s="52"/>
      <c r="AH377" s="52"/>
      <c r="AI377" s="52"/>
      <c r="AJ377" s="52"/>
      <c r="AK377" s="52"/>
      <c r="AL377" s="52"/>
      <c r="AM377" s="52"/>
      <c r="AN377" s="52"/>
      <c r="AO377" s="52"/>
      <c r="AP377" s="52"/>
      <c r="AQ377" s="52"/>
      <c r="AR377" s="52"/>
      <c r="AS377" s="52"/>
    </row>
    <row r="378" spans="1:45" s="64" customFormat="1" hidden="1">
      <c r="A378" s="65" t="s">
        <v>357</v>
      </c>
      <c r="B378" s="65" t="s">
        <v>358</v>
      </c>
      <c r="C378" s="83" t="str">
        <f t="shared" si="10"/>
        <v>Properties - Acquisition</v>
      </c>
      <c r="D378" s="65">
        <v>162200</v>
      </c>
      <c r="E378" s="65" t="s">
        <v>366</v>
      </c>
      <c r="F378" s="65" t="s">
        <v>155</v>
      </c>
      <c r="G378" s="65" t="s">
        <v>156</v>
      </c>
      <c r="H378" s="65" t="s">
        <v>139</v>
      </c>
      <c r="I378" s="76"/>
      <c r="J378" s="82"/>
      <c r="K378" s="66"/>
      <c r="L378" s="61">
        <f t="shared" si="11"/>
        <v>0</v>
      </c>
      <c r="M378" s="72"/>
      <c r="N378" s="73"/>
      <c r="O378" s="52"/>
      <c r="P378" s="52"/>
      <c r="Q378" s="52"/>
      <c r="R378" s="52"/>
      <c r="S378" s="52"/>
      <c r="T378" s="52"/>
      <c r="U378" s="52"/>
      <c r="V378" s="52"/>
      <c r="W378" s="52"/>
      <c r="X378" s="52"/>
      <c r="Y378" s="52"/>
      <c r="Z378" s="52"/>
      <c r="AA378" s="52"/>
      <c r="AB378" s="52"/>
      <c r="AC378" s="52"/>
      <c r="AD378" s="52"/>
      <c r="AE378" s="52"/>
      <c r="AF378" s="52"/>
      <c r="AG378" s="52"/>
      <c r="AH378" s="52"/>
      <c r="AI378" s="52"/>
      <c r="AJ378" s="52"/>
      <c r="AK378" s="52"/>
      <c r="AL378" s="52"/>
      <c r="AM378" s="52"/>
      <c r="AN378" s="52"/>
      <c r="AO378" s="52"/>
      <c r="AP378" s="52"/>
      <c r="AQ378" s="52"/>
      <c r="AR378" s="52"/>
      <c r="AS378" s="52"/>
    </row>
    <row r="379" spans="1:45" s="64" customFormat="1" hidden="1">
      <c r="A379" s="65" t="s">
        <v>357</v>
      </c>
      <c r="B379" s="65" t="s">
        <v>358</v>
      </c>
      <c r="C379" s="83" t="str">
        <f t="shared" si="10"/>
        <v>Properties - Development</v>
      </c>
      <c r="D379" s="65">
        <v>171510</v>
      </c>
      <c r="E379" s="65" t="s">
        <v>186</v>
      </c>
      <c r="F379" s="65" t="s">
        <v>155</v>
      </c>
      <c r="G379" s="65" t="s">
        <v>156</v>
      </c>
      <c r="H379" s="65"/>
      <c r="I379" s="76"/>
      <c r="J379" s="82"/>
      <c r="K379" s="66"/>
      <c r="L379" s="61">
        <f t="shared" si="11"/>
        <v>0</v>
      </c>
      <c r="M379" s="72"/>
      <c r="N379" s="73"/>
      <c r="O379" s="52"/>
      <c r="P379" s="52"/>
      <c r="Q379" s="52"/>
      <c r="R379" s="52"/>
      <c r="S379" s="52"/>
      <c r="T379" s="52"/>
      <c r="U379" s="52"/>
      <c r="V379" s="52"/>
      <c r="W379" s="52"/>
      <c r="X379" s="52"/>
      <c r="Y379" s="52"/>
      <c r="Z379" s="52"/>
      <c r="AA379" s="52"/>
      <c r="AB379" s="52"/>
      <c r="AC379" s="52"/>
      <c r="AD379" s="52"/>
      <c r="AE379" s="52"/>
      <c r="AF379" s="52"/>
      <c r="AG379" s="52"/>
      <c r="AH379" s="52"/>
      <c r="AI379" s="52"/>
      <c r="AJ379" s="52"/>
      <c r="AK379" s="52"/>
      <c r="AL379" s="52"/>
      <c r="AM379" s="52"/>
      <c r="AN379" s="52"/>
      <c r="AO379" s="52"/>
      <c r="AP379" s="52"/>
      <c r="AQ379" s="52"/>
      <c r="AR379" s="52"/>
      <c r="AS379" s="52"/>
    </row>
    <row r="380" spans="1:45" s="64" customFormat="1" hidden="1">
      <c r="A380" s="65" t="s">
        <v>357</v>
      </c>
      <c r="B380" s="65" t="s">
        <v>358</v>
      </c>
      <c r="C380" s="83" t="str">
        <f t="shared" si="10"/>
        <v>Properties - Implementation</v>
      </c>
      <c r="D380" s="65">
        <v>181000</v>
      </c>
      <c r="E380" s="65" t="s">
        <v>206</v>
      </c>
      <c r="F380" s="65" t="s">
        <v>155</v>
      </c>
      <c r="G380" s="65" t="s">
        <v>156</v>
      </c>
      <c r="H380" s="65" t="s">
        <v>139</v>
      </c>
      <c r="I380" s="76"/>
      <c r="J380" s="82"/>
      <c r="K380" s="66"/>
      <c r="L380" s="61">
        <f t="shared" si="11"/>
        <v>0</v>
      </c>
      <c r="M380" s="72"/>
      <c r="N380" s="73"/>
      <c r="O380" s="52"/>
      <c r="P380" s="52"/>
      <c r="Q380" s="52"/>
      <c r="R380" s="52"/>
      <c r="S380" s="52"/>
      <c r="T380" s="52"/>
      <c r="U380" s="52"/>
      <c r="V380" s="52"/>
      <c r="W380" s="52"/>
      <c r="X380" s="52"/>
      <c r="Y380" s="52"/>
      <c r="Z380" s="52"/>
      <c r="AA380" s="52"/>
      <c r="AB380" s="52"/>
      <c r="AC380" s="52"/>
      <c r="AD380" s="52"/>
      <c r="AE380" s="52"/>
      <c r="AF380" s="52"/>
      <c r="AG380" s="52"/>
      <c r="AH380" s="52"/>
      <c r="AI380" s="52"/>
      <c r="AJ380" s="52"/>
      <c r="AK380" s="52"/>
      <c r="AL380" s="52"/>
      <c r="AM380" s="52"/>
      <c r="AN380" s="52"/>
      <c r="AO380" s="52"/>
      <c r="AP380" s="52"/>
      <c r="AQ380" s="52"/>
      <c r="AR380" s="52"/>
      <c r="AS380" s="52"/>
    </row>
    <row r="381" spans="1:45" s="64" customFormat="1" hidden="1">
      <c r="A381" s="65" t="s">
        <v>357</v>
      </c>
      <c r="B381" s="65" t="s">
        <v>358</v>
      </c>
      <c r="C381" s="83" t="str">
        <f t="shared" si="10"/>
        <v>Properties - Implementation</v>
      </c>
      <c r="D381" s="65">
        <v>181100</v>
      </c>
      <c r="E381" s="65" t="s">
        <v>207</v>
      </c>
      <c r="F381" s="65" t="s">
        <v>155</v>
      </c>
      <c r="G381" s="65" t="s">
        <v>156</v>
      </c>
      <c r="H381" s="65" t="s">
        <v>139</v>
      </c>
      <c r="I381" s="76"/>
      <c r="J381" s="82"/>
      <c r="K381" s="66"/>
      <c r="L381" s="61">
        <f t="shared" si="11"/>
        <v>0</v>
      </c>
      <c r="M381" s="72"/>
      <c r="N381" s="73"/>
      <c r="O381" s="52"/>
      <c r="P381" s="52"/>
      <c r="Q381" s="52"/>
      <c r="R381" s="52"/>
      <c r="S381" s="52"/>
      <c r="T381" s="52"/>
      <c r="U381" s="52"/>
      <c r="V381" s="52"/>
      <c r="W381" s="52"/>
      <c r="X381" s="52"/>
      <c r="Y381" s="52"/>
      <c r="Z381" s="52"/>
      <c r="AA381" s="52"/>
      <c r="AB381" s="52"/>
      <c r="AC381" s="52"/>
      <c r="AD381" s="52"/>
      <c r="AE381" s="52"/>
      <c r="AF381" s="52"/>
      <c r="AG381" s="52"/>
      <c r="AH381" s="52"/>
      <c r="AI381" s="52"/>
      <c r="AJ381" s="52"/>
      <c r="AK381" s="52"/>
      <c r="AL381" s="52"/>
      <c r="AM381" s="52"/>
      <c r="AN381" s="52"/>
      <c r="AO381" s="52"/>
      <c r="AP381" s="52"/>
      <c r="AQ381" s="52"/>
      <c r="AR381" s="52"/>
      <c r="AS381" s="52"/>
    </row>
    <row r="382" spans="1:45" s="64" customFormat="1" hidden="1">
      <c r="A382" s="65" t="s">
        <v>357</v>
      </c>
      <c r="B382" s="65" t="s">
        <v>358</v>
      </c>
      <c r="C382" s="83" t="str">
        <f t="shared" si="10"/>
        <v>Properties - Implementation</v>
      </c>
      <c r="D382" s="65">
        <v>181200</v>
      </c>
      <c r="E382" s="65" t="s">
        <v>208</v>
      </c>
      <c r="F382" s="65" t="s">
        <v>155</v>
      </c>
      <c r="G382" s="65" t="s">
        <v>156</v>
      </c>
      <c r="H382" s="65" t="s">
        <v>139</v>
      </c>
      <c r="I382" s="76"/>
      <c r="J382" s="82"/>
      <c r="K382" s="66"/>
      <c r="L382" s="61">
        <f t="shared" si="11"/>
        <v>0</v>
      </c>
      <c r="M382" s="72"/>
      <c r="N382" s="73"/>
      <c r="O382" s="52"/>
      <c r="P382" s="52"/>
      <c r="Q382" s="52"/>
      <c r="R382" s="52"/>
      <c r="S382" s="52"/>
      <c r="T382" s="52"/>
      <c r="U382" s="52"/>
      <c r="V382" s="52"/>
      <c r="W382" s="52"/>
      <c r="X382" s="52"/>
      <c r="Y382" s="52"/>
      <c r="Z382" s="52"/>
      <c r="AA382" s="52"/>
      <c r="AB382" s="52"/>
      <c r="AC382" s="52"/>
      <c r="AD382" s="52"/>
      <c r="AE382" s="52"/>
      <c r="AF382" s="52"/>
      <c r="AG382" s="52"/>
      <c r="AH382" s="52"/>
      <c r="AI382" s="52"/>
      <c r="AJ382" s="52"/>
      <c r="AK382" s="52"/>
      <c r="AL382" s="52"/>
      <c r="AM382" s="52"/>
      <c r="AN382" s="52"/>
      <c r="AO382" s="52"/>
      <c r="AP382" s="52"/>
      <c r="AQ382" s="52"/>
      <c r="AR382" s="52"/>
      <c r="AS382" s="52"/>
    </row>
    <row r="383" spans="1:45" s="64" customFormat="1" hidden="1">
      <c r="A383" s="65" t="s">
        <v>357</v>
      </c>
      <c r="B383" s="65" t="s">
        <v>358</v>
      </c>
      <c r="C383" s="83" t="str">
        <f t="shared" si="10"/>
        <v>Properties - Implementation</v>
      </c>
      <c r="D383" s="65">
        <v>181300</v>
      </c>
      <c r="E383" s="65" t="s">
        <v>229</v>
      </c>
      <c r="F383" s="65" t="s">
        <v>155</v>
      </c>
      <c r="G383" s="65" t="s">
        <v>156</v>
      </c>
      <c r="H383" s="65" t="s">
        <v>139</v>
      </c>
      <c r="I383" s="76"/>
      <c r="J383" s="82"/>
      <c r="K383" s="66"/>
      <c r="L383" s="61">
        <f t="shared" si="11"/>
        <v>0</v>
      </c>
      <c r="M383" s="72"/>
      <c r="N383" s="73"/>
      <c r="O383" s="52"/>
      <c r="P383" s="52"/>
      <c r="Q383" s="52"/>
      <c r="R383" s="52"/>
      <c r="S383" s="52"/>
      <c r="T383" s="52"/>
      <c r="U383" s="52"/>
      <c r="V383" s="52"/>
      <c r="W383" s="52"/>
      <c r="X383" s="52"/>
      <c r="Y383" s="52"/>
      <c r="Z383" s="52"/>
      <c r="AA383" s="52"/>
      <c r="AB383" s="52"/>
      <c r="AC383" s="52"/>
      <c r="AD383" s="52"/>
      <c r="AE383" s="52"/>
      <c r="AF383" s="52"/>
      <c r="AG383" s="52"/>
      <c r="AH383" s="52"/>
      <c r="AI383" s="52"/>
      <c r="AJ383" s="52"/>
      <c r="AK383" s="52"/>
      <c r="AL383" s="52"/>
      <c r="AM383" s="52"/>
      <c r="AN383" s="52"/>
      <c r="AO383" s="52"/>
      <c r="AP383" s="52"/>
      <c r="AQ383" s="52"/>
      <c r="AR383" s="52"/>
      <c r="AS383" s="52"/>
    </row>
    <row r="384" spans="1:45" s="64" customFormat="1" hidden="1">
      <c r="A384" s="65" t="s">
        <v>357</v>
      </c>
      <c r="B384" s="65" t="s">
        <v>358</v>
      </c>
      <c r="C384" s="83" t="str">
        <f t="shared" si="10"/>
        <v>Properties - Implementation</v>
      </c>
      <c r="D384" s="65">
        <v>181310</v>
      </c>
      <c r="E384" s="65" t="s">
        <v>253</v>
      </c>
      <c r="F384" s="65" t="s">
        <v>155</v>
      </c>
      <c r="G384" s="65" t="s">
        <v>156</v>
      </c>
      <c r="H384" s="65" t="s">
        <v>139</v>
      </c>
      <c r="I384" s="76"/>
      <c r="J384" s="82"/>
      <c r="K384" s="66"/>
      <c r="L384" s="61">
        <f t="shared" si="11"/>
        <v>0</v>
      </c>
      <c r="M384" s="72"/>
      <c r="N384" s="73"/>
      <c r="O384" s="52"/>
      <c r="P384" s="52"/>
      <c r="Q384" s="52"/>
      <c r="R384" s="52"/>
      <c r="S384" s="52"/>
      <c r="T384" s="52"/>
      <c r="U384" s="52"/>
      <c r="V384" s="52"/>
      <c r="W384" s="52"/>
      <c r="X384" s="52"/>
      <c r="Y384" s="52"/>
      <c r="Z384" s="52"/>
      <c r="AA384" s="52"/>
      <c r="AB384" s="52"/>
      <c r="AC384" s="52"/>
      <c r="AD384" s="52"/>
      <c r="AE384" s="52"/>
      <c r="AF384" s="52"/>
      <c r="AG384" s="52"/>
      <c r="AH384" s="52"/>
      <c r="AI384" s="52"/>
      <c r="AJ384" s="52"/>
      <c r="AK384" s="52"/>
      <c r="AL384" s="52"/>
      <c r="AM384" s="52"/>
      <c r="AN384" s="52"/>
      <c r="AO384" s="52"/>
      <c r="AP384" s="52"/>
      <c r="AQ384" s="52"/>
      <c r="AR384" s="52"/>
      <c r="AS384" s="52"/>
    </row>
    <row r="385" spans="1:45" s="64" customFormat="1" hidden="1">
      <c r="A385" s="65" t="s">
        <v>357</v>
      </c>
      <c r="B385" s="65" t="s">
        <v>358</v>
      </c>
      <c r="C385" s="83" t="str">
        <f t="shared" si="10"/>
        <v>Properties - Implementation</v>
      </c>
      <c r="D385" s="65">
        <v>181320</v>
      </c>
      <c r="E385" s="65" t="s">
        <v>230</v>
      </c>
      <c r="F385" s="65" t="s">
        <v>155</v>
      </c>
      <c r="G385" s="65" t="s">
        <v>156</v>
      </c>
      <c r="H385" s="65" t="s">
        <v>139</v>
      </c>
      <c r="I385" s="76"/>
      <c r="J385" s="82"/>
      <c r="K385" s="66"/>
      <c r="L385" s="61">
        <f t="shared" si="11"/>
        <v>0</v>
      </c>
      <c r="M385" s="72"/>
      <c r="N385" s="73"/>
      <c r="O385" s="52"/>
      <c r="P385" s="52"/>
      <c r="Q385" s="52"/>
      <c r="R385" s="52"/>
      <c r="S385" s="52"/>
      <c r="T385" s="52"/>
      <c r="U385" s="52"/>
      <c r="V385" s="52"/>
      <c r="W385" s="52"/>
      <c r="X385" s="52"/>
      <c r="Y385" s="52"/>
      <c r="Z385" s="52"/>
      <c r="AA385" s="52"/>
      <c r="AB385" s="52"/>
      <c r="AC385" s="52"/>
      <c r="AD385" s="52"/>
      <c r="AE385" s="52"/>
      <c r="AF385" s="52"/>
      <c r="AG385" s="52"/>
      <c r="AH385" s="52"/>
      <c r="AI385" s="52"/>
      <c r="AJ385" s="52"/>
      <c r="AK385" s="52"/>
      <c r="AL385" s="52"/>
      <c r="AM385" s="52"/>
      <c r="AN385" s="52"/>
      <c r="AO385" s="52"/>
      <c r="AP385" s="52"/>
      <c r="AQ385" s="52"/>
      <c r="AR385" s="52"/>
      <c r="AS385" s="52"/>
    </row>
    <row r="386" spans="1:45" s="64" customFormat="1" hidden="1">
      <c r="A386" s="65" t="s">
        <v>357</v>
      </c>
      <c r="B386" s="65" t="s">
        <v>358</v>
      </c>
      <c r="C386" s="83" t="str">
        <f t="shared" si="10"/>
        <v>Properties - Maintenance</v>
      </c>
      <c r="D386" s="65">
        <v>221400</v>
      </c>
      <c r="E386" s="65" t="s">
        <v>356</v>
      </c>
      <c r="F386" s="65" t="s">
        <v>155</v>
      </c>
      <c r="G386" s="65" t="s">
        <v>156</v>
      </c>
      <c r="H386" s="65" t="s">
        <v>139</v>
      </c>
      <c r="I386" s="76"/>
      <c r="J386" s="82"/>
      <c r="K386" s="66"/>
      <c r="L386" s="61">
        <f t="shared" si="11"/>
        <v>0</v>
      </c>
      <c r="M386" s="72"/>
      <c r="N386" s="73"/>
      <c r="O386" s="52"/>
      <c r="P386" s="52"/>
      <c r="Q386" s="52"/>
      <c r="R386" s="52"/>
      <c r="S386" s="52"/>
      <c r="T386" s="52"/>
      <c r="U386" s="52"/>
      <c r="V386" s="52"/>
      <c r="W386" s="52"/>
      <c r="X386" s="52"/>
      <c r="Y386" s="52"/>
      <c r="Z386" s="52"/>
      <c r="AA386" s="52"/>
      <c r="AB386" s="52"/>
      <c r="AC386" s="52"/>
      <c r="AD386" s="52"/>
      <c r="AE386" s="52"/>
      <c r="AF386" s="52"/>
      <c r="AG386" s="52"/>
      <c r="AH386" s="52"/>
      <c r="AI386" s="52"/>
      <c r="AJ386" s="52"/>
      <c r="AK386" s="52"/>
      <c r="AL386" s="52"/>
      <c r="AM386" s="52"/>
      <c r="AN386" s="52"/>
      <c r="AO386" s="52"/>
      <c r="AP386" s="52"/>
      <c r="AQ386" s="52"/>
      <c r="AR386" s="52"/>
      <c r="AS386" s="52"/>
    </row>
    <row r="387" spans="1:45" s="64" customFormat="1" hidden="1">
      <c r="A387" s="65" t="s">
        <v>357</v>
      </c>
      <c r="B387" s="65" t="s">
        <v>358</v>
      </c>
      <c r="C387" s="83" t="str">
        <f t="shared" si="10"/>
        <v>Properties - Maintenance</v>
      </c>
      <c r="D387" s="65">
        <v>221500</v>
      </c>
      <c r="E387" s="65" t="s">
        <v>367</v>
      </c>
      <c r="F387" s="65" t="s">
        <v>155</v>
      </c>
      <c r="G387" s="65" t="s">
        <v>156</v>
      </c>
      <c r="H387" s="65" t="s">
        <v>139</v>
      </c>
      <c r="I387" s="76"/>
      <c r="J387" s="82"/>
      <c r="K387" s="66"/>
      <c r="L387" s="61">
        <f t="shared" si="11"/>
        <v>0</v>
      </c>
      <c r="M387" s="72"/>
      <c r="N387" s="73"/>
      <c r="O387" s="52"/>
      <c r="P387" s="52"/>
      <c r="Q387" s="52"/>
      <c r="R387" s="52"/>
      <c r="S387" s="52"/>
      <c r="T387" s="52"/>
      <c r="U387" s="52"/>
      <c r="V387" s="52"/>
      <c r="W387" s="52"/>
      <c r="X387" s="52"/>
      <c r="Y387" s="52"/>
      <c r="Z387" s="52"/>
      <c r="AA387" s="52"/>
      <c r="AB387" s="52"/>
      <c r="AC387" s="52"/>
      <c r="AD387" s="52"/>
      <c r="AE387" s="52"/>
      <c r="AF387" s="52"/>
      <c r="AG387" s="52"/>
      <c r="AH387" s="52"/>
      <c r="AI387" s="52"/>
      <c r="AJ387" s="52"/>
      <c r="AK387" s="52"/>
      <c r="AL387" s="52"/>
      <c r="AM387" s="52"/>
      <c r="AN387" s="52"/>
      <c r="AO387" s="52"/>
      <c r="AP387" s="52"/>
      <c r="AQ387" s="52"/>
      <c r="AR387" s="52"/>
      <c r="AS387" s="52"/>
    </row>
    <row r="388" spans="1:45" s="64" customFormat="1" hidden="1">
      <c r="A388" s="65" t="s">
        <v>357</v>
      </c>
      <c r="B388" s="65" t="s">
        <v>358</v>
      </c>
      <c r="C388" s="83" t="str">
        <f t="shared" si="10"/>
        <v>Properties - Cost Recovery</v>
      </c>
      <c r="D388" s="65">
        <v>301000</v>
      </c>
      <c r="E388" s="65" t="s">
        <v>216</v>
      </c>
      <c r="F388" s="65" t="s">
        <v>155</v>
      </c>
      <c r="G388" s="65" t="s">
        <v>156</v>
      </c>
      <c r="H388" s="65" t="s">
        <v>139</v>
      </c>
      <c r="I388" s="76"/>
      <c r="J388" s="82"/>
      <c r="K388" s="66"/>
      <c r="L388" s="61">
        <f t="shared" si="11"/>
        <v>0</v>
      </c>
      <c r="M388" s="72"/>
      <c r="N388" s="73"/>
      <c r="O388" s="52"/>
      <c r="P388" s="52"/>
      <c r="Q388" s="52"/>
      <c r="R388" s="52"/>
      <c r="S388" s="52"/>
      <c r="T388" s="52"/>
      <c r="U388" s="52"/>
      <c r="V388" s="52"/>
      <c r="W388" s="52"/>
      <c r="X388" s="52"/>
      <c r="Y388" s="52"/>
      <c r="Z388" s="52"/>
      <c r="AA388" s="52"/>
      <c r="AB388" s="52"/>
      <c r="AC388" s="52"/>
      <c r="AD388" s="52"/>
      <c r="AE388" s="52"/>
      <c r="AF388" s="52"/>
      <c r="AG388" s="52"/>
      <c r="AH388" s="52"/>
      <c r="AI388" s="52"/>
      <c r="AJ388" s="52"/>
      <c r="AK388" s="52"/>
      <c r="AL388" s="52"/>
      <c r="AM388" s="52"/>
      <c r="AN388" s="52"/>
      <c r="AO388" s="52"/>
      <c r="AP388" s="52"/>
      <c r="AQ388" s="52"/>
      <c r="AR388" s="52"/>
      <c r="AS388" s="52"/>
    </row>
    <row r="389" spans="1:45" s="64" customFormat="1" hidden="1">
      <c r="A389" s="65" t="s">
        <v>357</v>
      </c>
      <c r="B389" s="65" t="s">
        <v>358</v>
      </c>
      <c r="C389" s="83" t="str">
        <f t="shared" ref="C389:C452" si="12">B389 &amp; " - " &amp; LEFT(E389,FIND("-",E389)-1)</f>
        <v>Properties - Cost Recovery</v>
      </c>
      <c r="D389" s="65">
        <v>301100</v>
      </c>
      <c r="E389" s="65" t="s">
        <v>242</v>
      </c>
      <c r="F389" s="65" t="s">
        <v>155</v>
      </c>
      <c r="G389" s="65" t="s">
        <v>156</v>
      </c>
      <c r="H389" s="65" t="s">
        <v>139</v>
      </c>
      <c r="I389" s="76"/>
      <c r="J389" s="82"/>
      <c r="K389" s="66"/>
      <c r="L389" s="61">
        <f t="shared" si="11"/>
        <v>0</v>
      </c>
      <c r="M389" s="72"/>
      <c r="N389" s="73"/>
      <c r="O389" s="52"/>
      <c r="P389" s="52"/>
      <c r="Q389" s="52"/>
      <c r="R389" s="52"/>
      <c r="S389" s="52"/>
      <c r="T389" s="52"/>
      <c r="U389" s="52"/>
      <c r="V389" s="52"/>
      <c r="W389" s="52"/>
      <c r="X389" s="52"/>
      <c r="Y389" s="52"/>
      <c r="Z389" s="52"/>
      <c r="AA389" s="52"/>
      <c r="AB389" s="52"/>
      <c r="AC389" s="52"/>
      <c r="AD389" s="52"/>
      <c r="AE389" s="52"/>
      <c r="AF389" s="52"/>
      <c r="AG389" s="52"/>
      <c r="AH389" s="52"/>
      <c r="AI389" s="52"/>
      <c r="AJ389" s="52"/>
      <c r="AK389" s="52"/>
      <c r="AL389" s="52"/>
      <c r="AM389" s="52"/>
      <c r="AN389" s="52"/>
      <c r="AO389" s="52"/>
      <c r="AP389" s="52"/>
      <c r="AQ389" s="52"/>
      <c r="AR389" s="52"/>
      <c r="AS389" s="52"/>
    </row>
    <row r="390" spans="1:45" s="64" customFormat="1" hidden="1">
      <c r="A390" s="65" t="s">
        <v>357</v>
      </c>
      <c r="B390" s="65" t="s">
        <v>358</v>
      </c>
      <c r="C390" s="83" t="str">
        <f t="shared" si="12"/>
        <v>Properties - Project Close Out</v>
      </c>
      <c r="D390" s="65">
        <v>781000</v>
      </c>
      <c r="E390" s="65" t="s">
        <v>195</v>
      </c>
      <c r="F390" s="65" t="s">
        <v>168</v>
      </c>
      <c r="G390" s="65" t="s">
        <v>169</v>
      </c>
      <c r="H390" s="65" t="s">
        <v>139</v>
      </c>
      <c r="I390" s="76"/>
      <c r="J390" s="82"/>
      <c r="K390" s="66"/>
      <c r="L390" s="61">
        <f t="shared" ref="L390:L453" si="13">I390*J390</f>
        <v>0</v>
      </c>
      <c r="M390" s="72"/>
      <c r="N390" s="73"/>
      <c r="O390" s="52"/>
      <c r="P390" s="52"/>
      <c r="Q390" s="52"/>
      <c r="R390" s="52"/>
      <c r="S390" s="52"/>
      <c r="T390" s="52"/>
      <c r="U390" s="52"/>
      <c r="V390" s="52"/>
      <c r="W390" s="52"/>
      <c r="X390" s="52"/>
      <c r="Y390" s="52"/>
      <c r="Z390" s="52"/>
      <c r="AA390" s="52"/>
      <c r="AB390" s="52"/>
      <c r="AC390" s="52"/>
      <c r="AD390" s="52"/>
      <c r="AE390" s="52"/>
      <c r="AF390" s="52"/>
      <c r="AG390" s="52"/>
      <c r="AH390" s="52"/>
      <c r="AI390" s="52"/>
      <c r="AJ390" s="52"/>
      <c r="AK390" s="52"/>
      <c r="AL390" s="52"/>
      <c r="AM390" s="52"/>
      <c r="AN390" s="52"/>
      <c r="AO390" s="52"/>
      <c r="AP390" s="52"/>
      <c r="AQ390" s="52"/>
      <c r="AR390" s="52"/>
      <c r="AS390" s="52"/>
    </row>
    <row r="391" spans="1:45" s="64" customFormat="1" hidden="1">
      <c r="A391" s="65" t="s">
        <v>357</v>
      </c>
      <c r="B391" s="65" t="s">
        <v>358</v>
      </c>
      <c r="C391" s="83" t="str">
        <f t="shared" si="12"/>
        <v>Properties - Contingency</v>
      </c>
      <c r="D391" s="65">
        <v>790000</v>
      </c>
      <c r="E391" s="65" t="s">
        <v>223</v>
      </c>
      <c r="F391" s="65" t="s">
        <v>137</v>
      </c>
      <c r="G391" s="65" t="s">
        <v>138</v>
      </c>
      <c r="H391" s="65"/>
      <c r="I391" s="76"/>
      <c r="J391" s="82"/>
      <c r="K391" s="66"/>
      <c r="L391" s="61">
        <f t="shared" si="13"/>
        <v>0</v>
      </c>
      <c r="M391" s="72"/>
      <c r="N391" s="73"/>
      <c r="O391" s="52"/>
      <c r="P391" s="52"/>
      <c r="Q391" s="52"/>
      <c r="R391" s="52"/>
      <c r="S391" s="52"/>
      <c r="T391" s="52"/>
      <c r="U391" s="52"/>
      <c r="V391" s="52"/>
      <c r="W391" s="52"/>
      <c r="X391" s="52"/>
      <c r="Y391" s="52"/>
      <c r="Z391" s="52"/>
      <c r="AA391" s="52"/>
      <c r="AB391" s="52"/>
      <c r="AC391" s="52"/>
      <c r="AD391" s="52"/>
      <c r="AE391" s="52"/>
      <c r="AF391" s="52"/>
      <c r="AG391" s="52"/>
      <c r="AH391" s="52"/>
      <c r="AI391" s="52"/>
      <c r="AJ391" s="52"/>
      <c r="AK391" s="52"/>
      <c r="AL391" s="52"/>
      <c r="AM391" s="52"/>
      <c r="AN391" s="52"/>
      <c r="AO391" s="52"/>
      <c r="AP391" s="52"/>
      <c r="AQ391" s="52"/>
      <c r="AR391" s="52"/>
      <c r="AS391" s="52"/>
    </row>
    <row r="392" spans="1:45" s="64" customFormat="1" hidden="1">
      <c r="A392" s="65" t="s">
        <v>357</v>
      </c>
      <c r="B392" s="65" t="s">
        <v>358</v>
      </c>
      <c r="C392" s="83" t="str">
        <f t="shared" si="12"/>
        <v>Properties - Capitalized Alloc Sup Svs</v>
      </c>
      <c r="D392" s="65">
        <v>908550</v>
      </c>
      <c r="E392" s="65" t="s">
        <v>173</v>
      </c>
      <c r="F392" s="65" t="s">
        <v>137</v>
      </c>
      <c r="G392" s="65" t="s">
        <v>138</v>
      </c>
      <c r="H392" s="65"/>
      <c r="I392" s="76"/>
      <c r="J392" s="82"/>
      <c r="K392" s="66"/>
      <c r="L392" s="61">
        <f t="shared" si="13"/>
        <v>0</v>
      </c>
      <c r="M392" s="72"/>
      <c r="N392" s="73"/>
      <c r="O392" s="52"/>
      <c r="P392" s="52"/>
      <c r="Q392" s="52"/>
      <c r="R392" s="52"/>
      <c r="S392" s="52"/>
      <c r="T392" s="52"/>
      <c r="U392" s="52"/>
      <c r="V392" s="52"/>
      <c r="W392" s="52"/>
      <c r="X392" s="52"/>
      <c r="Y392" s="52"/>
      <c r="Z392" s="52"/>
      <c r="AA392" s="52"/>
      <c r="AB392" s="52"/>
      <c r="AC392" s="52"/>
      <c r="AD392" s="52"/>
      <c r="AE392" s="52"/>
      <c r="AF392" s="52"/>
      <c r="AG392" s="52"/>
      <c r="AH392" s="52"/>
      <c r="AI392" s="52"/>
      <c r="AJ392" s="52"/>
      <c r="AK392" s="52"/>
      <c r="AL392" s="52"/>
      <c r="AM392" s="52"/>
      <c r="AN392" s="52"/>
      <c r="AO392" s="52"/>
      <c r="AP392" s="52"/>
      <c r="AQ392" s="52"/>
      <c r="AR392" s="52"/>
      <c r="AS392" s="52"/>
    </row>
    <row r="393" spans="1:45" s="64" customFormat="1" hidden="1">
      <c r="A393" s="65" t="s">
        <v>357</v>
      </c>
      <c r="B393" s="65" t="s">
        <v>358</v>
      </c>
      <c r="C393" s="83" t="str">
        <f t="shared" si="12"/>
        <v>Properties - Capitalized Alloc Sup Svs</v>
      </c>
      <c r="D393" s="65">
        <v>909000</v>
      </c>
      <c r="E393" s="65" t="s">
        <v>174</v>
      </c>
      <c r="F393" s="65" t="s">
        <v>137</v>
      </c>
      <c r="G393" s="65" t="s">
        <v>138</v>
      </c>
      <c r="H393" s="65"/>
      <c r="I393" s="76"/>
      <c r="J393" s="82"/>
      <c r="K393" s="66"/>
      <c r="L393" s="61">
        <f t="shared" si="13"/>
        <v>0</v>
      </c>
      <c r="M393" s="72"/>
      <c r="N393" s="73"/>
      <c r="O393" s="52"/>
      <c r="P393" s="52"/>
      <c r="Q393" s="52"/>
      <c r="R393" s="52"/>
      <c r="S393" s="52"/>
      <c r="T393" s="52"/>
      <c r="U393" s="52"/>
      <c r="V393" s="52"/>
      <c r="W393" s="52"/>
      <c r="X393" s="52"/>
      <c r="Y393" s="52"/>
      <c r="Z393" s="52"/>
      <c r="AA393" s="52"/>
      <c r="AB393" s="52"/>
      <c r="AC393" s="52"/>
      <c r="AD393" s="52"/>
      <c r="AE393" s="52"/>
      <c r="AF393" s="52"/>
      <c r="AG393" s="52"/>
      <c r="AH393" s="52"/>
      <c r="AI393" s="52"/>
      <c r="AJ393" s="52"/>
      <c r="AK393" s="52"/>
      <c r="AL393" s="52"/>
      <c r="AM393" s="52"/>
      <c r="AN393" s="52"/>
      <c r="AO393" s="52"/>
      <c r="AP393" s="52"/>
      <c r="AQ393" s="52"/>
      <c r="AR393" s="52"/>
      <c r="AS393" s="52"/>
    </row>
    <row r="394" spans="1:45" s="64" customFormat="1" hidden="1">
      <c r="A394" s="65" t="s">
        <v>368</v>
      </c>
      <c r="B394" s="65" t="s">
        <v>369</v>
      </c>
      <c r="C394" s="83" t="str">
        <f t="shared" si="12"/>
        <v>Master Planning - Project Admin &amp; Mgmt</v>
      </c>
      <c r="D394" s="65">
        <v>101000</v>
      </c>
      <c r="E394" s="65" t="s">
        <v>136</v>
      </c>
      <c r="F394" s="65" t="s">
        <v>137</v>
      </c>
      <c r="G394" s="65" t="s">
        <v>138</v>
      </c>
      <c r="H394" s="65" t="s">
        <v>139</v>
      </c>
      <c r="I394" s="76"/>
      <c r="J394" s="82"/>
      <c r="K394" s="66"/>
      <c r="L394" s="61">
        <f t="shared" si="13"/>
        <v>0</v>
      </c>
      <c r="M394" s="72"/>
      <c r="N394" s="73"/>
      <c r="O394" s="52"/>
      <c r="P394" s="52"/>
      <c r="Q394" s="52"/>
      <c r="R394" s="52"/>
      <c r="S394" s="52"/>
      <c r="T394" s="52"/>
      <c r="U394" s="52"/>
      <c r="V394" s="52"/>
      <c r="W394" s="52"/>
      <c r="X394" s="52"/>
      <c r="Y394" s="52"/>
      <c r="Z394" s="52"/>
      <c r="AA394" s="52"/>
      <c r="AB394" s="52"/>
      <c r="AC394" s="52"/>
      <c r="AD394" s="52"/>
      <c r="AE394" s="52"/>
      <c r="AF394" s="52"/>
      <c r="AG394" s="52"/>
      <c r="AH394" s="52"/>
      <c r="AI394" s="52"/>
      <c r="AJ394" s="52"/>
      <c r="AK394" s="52"/>
      <c r="AL394" s="52"/>
      <c r="AM394" s="52"/>
      <c r="AN394" s="52"/>
      <c r="AO394" s="52"/>
      <c r="AP394" s="52"/>
      <c r="AQ394" s="52"/>
      <c r="AR394" s="52"/>
      <c r="AS394" s="52"/>
    </row>
    <row r="395" spans="1:45" s="64" customFormat="1" hidden="1">
      <c r="A395" s="65" t="s">
        <v>368</v>
      </c>
      <c r="B395" s="65" t="s">
        <v>369</v>
      </c>
      <c r="C395" s="83" t="str">
        <f t="shared" si="12"/>
        <v>Master Planning - Project Admin &amp; Mgmt</v>
      </c>
      <c r="D395" s="65">
        <v>101200</v>
      </c>
      <c r="E395" s="65" t="s">
        <v>176</v>
      </c>
      <c r="F395" s="65" t="s">
        <v>137</v>
      </c>
      <c r="G395" s="65" t="s">
        <v>138</v>
      </c>
      <c r="H395" s="65" t="s">
        <v>139</v>
      </c>
      <c r="I395" s="76"/>
      <c r="J395" s="82"/>
      <c r="K395" s="66"/>
      <c r="L395" s="61">
        <f t="shared" si="13"/>
        <v>0</v>
      </c>
      <c r="M395" s="72"/>
      <c r="N395" s="73"/>
      <c r="O395" s="52"/>
      <c r="P395" s="52"/>
      <c r="Q395" s="52"/>
      <c r="R395" s="52"/>
      <c r="S395" s="52"/>
      <c r="T395" s="52"/>
      <c r="U395" s="52"/>
      <c r="V395" s="52"/>
      <c r="W395" s="52"/>
      <c r="X395" s="52"/>
      <c r="Y395" s="52"/>
      <c r="Z395" s="52"/>
      <c r="AA395" s="52"/>
      <c r="AB395" s="52"/>
      <c r="AC395" s="52"/>
      <c r="AD395" s="52"/>
      <c r="AE395" s="52"/>
      <c r="AF395" s="52"/>
      <c r="AG395" s="52"/>
      <c r="AH395" s="52"/>
      <c r="AI395" s="52"/>
      <c r="AJ395" s="52"/>
      <c r="AK395" s="52"/>
      <c r="AL395" s="52"/>
      <c r="AM395" s="52"/>
      <c r="AN395" s="52"/>
      <c r="AO395" s="52"/>
      <c r="AP395" s="52"/>
      <c r="AQ395" s="52"/>
      <c r="AR395" s="52"/>
      <c r="AS395" s="52"/>
    </row>
    <row r="396" spans="1:45" s="64" customFormat="1" hidden="1">
      <c r="A396" s="65" t="s">
        <v>368</v>
      </c>
      <c r="B396" s="65" t="s">
        <v>369</v>
      </c>
      <c r="C396" s="83" t="str">
        <f t="shared" si="12"/>
        <v>Master Planning - Planning</v>
      </c>
      <c r="D396" s="65">
        <v>151000</v>
      </c>
      <c r="E396" s="65" t="s">
        <v>370</v>
      </c>
      <c r="F396" s="65" t="s">
        <v>144</v>
      </c>
      <c r="G396" s="65" t="s">
        <v>145</v>
      </c>
      <c r="H396" s="65" t="s">
        <v>139</v>
      </c>
      <c r="I396" s="76"/>
      <c r="J396" s="82"/>
      <c r="K396" s="66"/>
      <c r="L396" s="61">
        <f t="shared" si="13"/>
        <v>0</v>
      </c>
      <c r="M396" s="72"/>
      <c r="N396" s="73"/>
      <c r="O396" s="52"/>
      <c r="P396" s="52"/>
      <c r="Q396" s="52"/>
      <c r="R396" s="52"/>
      <c r="S396" s="52"/>
      <c r="T396" s="52"/>
      <c r="U396" s="52"/>
      <c r="V396" s="52"/>
      <c r="W396" s="52"/>
      <c r="X396" s="52"/>
      <c r="Y396" s="52"/>
      <c r="Z396" s="52"/>
      <c r="AA396" s="52"/>
      <c r="AB396" s="52"/>
      <c r="AC396" s="52"/>
      <c r="AD396" s="52"/>
      <c r="AE396" s="52"/>
      <c r="AF396" s="52"/>
      <c r="AG396" s="52"/>
      <c r="AH396" s="52"/>
      <c r="AI396" s="52"/>
      <c r="AJ396" s="52"/>
      <c r="AK396" s="52"/>
      <c r="AL396" s="52"/>
      <c r="AM396" s="52"/>
      <c r="AN396" s="52"/>
      <c r="AO396" s="52"/>
      <c r="AP396" s="52"/>
      <c r="AQ396" s="52"/>
      <c r="AR396" s="52"/>
      <c r="AS396" s="52"/>
    </row>
    <row r="397" spans="1:45" s="64" customFormat="1" hidden="1">
      <c r="A397" s="65" t="s">
        <v>368</v>
      </c>
      <c r="B397" s="65" t="s">
        <v>369</v>
      </c>
      <c r="C397" s="83" t="str">
        <f t="shared" si="12"/>
        <v>Master Planning - Planning</v>
      </c>
      <c r="D397" s="65">
        <v>151100</v>
      </c>
      <c r="E397" s="65" t="s">
        <v>199</v>
      </c>
      <c r="F397" s="65" t="s">
        <v>144</v>
      </c>
      <c r="G397" s="65" t="s">
        <v>145</v>
      </c>
      <c r="H397" s="65" t="s">
        <v>139</v>
      </c>
      <c r="I397" s="76"/>
      <c r="J397" s="82"/>
      <c r="K397" s="66"/>
      <c r="L397" s="61">
        <f t="shared" si="13"/>
        <v>0</v>
      </c>
      <c r="M397" s="72"/>
      <c r="N397" s="73"/>
      <c r="O397" s="52"/>
      <c r="P397" s="52"/>
      <c r="Q397" s="52"/>
      <c r="R397" s="52"/>
      <c r="S397" s="52"/>
      <c r="T397" s="52"/>
      <c r="U397" s="52"/>
      <c r="V397" s="52"/>
      <c r="W397" s="52"/>
      <c r="X397" s="52"/>
      <c r="Y397" s="52"/>
      <c r="Z397" s="52"/>
      <c r="AA397" s="52"/>
      <c r="AB397" s="52"/>
      <c r="AC397" s="52"/>
      <c r="AD397" s="52"/>
      <c r="AE397" s="52"/>
      <c r="AF397" s="52"/>
      <c r="AG397" s="52"/>
      <c r="AH397" s="52"/>
      <c r="AI397" s="52"/>
      <c r="AJ397" s="52"/>
      <c r="AK397" s="52"/>
      <c r="AL397" s="52"/>
      <c r="AM397" s="52"/>
      <c r="AN397" s="52"/>
      <c r="AO397" s="52"/>
      <c r="AP397" s="52"/>
      <c r="AQ397" s="52"/>
      <c r="AR397" s="52"/>
      <c r="AS397" s="52"/>
    </row>
    <row r="398" spans="1:45" s="64" customFormat="1" hidden="1">
      <c r="A398" s="65" t="s">
        <v>368</v>
      </c>
      <c r="B398" s="65" t="s">
        <v>369</v>
      </c>
      <c r="C398" s="83" t="str">
        <f t="shared" si="12"/>
        <v>Master Planning - Planning</v>
      </c>
      <c r="D398" s="65">
        <v>151400</v>
      </c>
      <c r="E398" s="65" t="s">
        <v>371</v>
      </c>
      <c r="F398" s="65" t="s">
        <v>144</v>
      </c>
      <c r="G398" s="65" t="s">
        <v>145</v>
      </c>
      <c r="H398" s="65" t="s">
        <v>139</v>
      </c>
      <c r="I398" s="76"/>
      <c r="J398" s="82"/>
      <c r="K398" s="66"/>
      <c r="L398" s="61">
        <f t="shared" si="13"/>
        <v>0</v>
      </c>
      <c r="M398" s="72"/>
      <c r="N398" s="73"/>
      <c r="O398" s="52"/>
      <c r="P398" s="52"/>
      <c r="Q398" s="52"/>
      <c r="R398" s="52"/>
      <c r="S398" s="52"/>
      <c r="T398" s="52"/>
      <c r="U398" s="52"/>
      <c r="V398" s="52"/>
      <c r="W398" s="52"/>
      <c r="X398" s="52"/>
      <c r="Y398" s="52"/>
      <c r="Z398" s="52"/>
      <c r="AA398" s="52"/>
      <c r="AB398" s="52"/>
      <c r="AC398" s="52"/>
      <c r="AD398" s="52"/>
      <c r="AE398" s="52"/>
      <c r="AF398" s="52"/>
      <c r="AG398" s="52"/>
      <c r="AH398" s="52"/>
      <c r="AI398" s="52"/>
      <c r="AJ398" s="52"/>
      <c r="AK398" s="52"/>
      <c r="AL398" s="52"/>
      <c r="AM398" s="52"/>
      <c r="AN398" s="52"/>
      <c r="AO398" s="52"/>
      <c r="AP398" s="52"/>
      <c r="AQ398" s="52"/>
      <c r="AR398" s="52"/>
      <c r="AS398" s="52"/>
    </row>
    <row r="399" spans="1:45" s="64" customFormat="1" hidden="1">
      <c r="A399" s="65" t="s">
        <v>368</v>
      </c>
      <c r="B399" s="65" t="s">
        <v>369</v>
      </c>
      <c r="C399" s="83" t="str">
        <f t="shared" si="12"/>
        <v>Master Planning - Planning</v>
      </c>
      <c r="D399" s="65">
        <v>151500</v>
      </c>
      <c r="E399" s="65" t="s">
        <v>372</v>
      </c>
      <c r="F399" s="65" t="s">
        <v>144</v>
      </c>
      <c r="G399" s="65" t="s">
        <v>145</v>
      </c>
      <c r="H399" s="65" t="s">
        <v>139</v>
      </c>
      <c r="I399" s="76"/>
      <c r="J399" s="82"/>
      <c r="K399" s="66"/>
      <c r="L399" s="61">
        <f t="shared" si="13"/>
        <v>0</v>
      </c>
      <c r="M399" s="72"/>
      <c r="N399" s="73"/>
      <c r="O399" s="52"/>
      <c r="P399" s="52"/>
      <c r="Q399" s="52"/>
      <c r="R399" s="52"/>
      <c r="S399" s="52"/>
      <c r="T399" s="52"/>
      <c r="U399" s="52"/>
      <c r="V399" s="52"/>
      <c r="W399" s="52"/>
      <c r="X399" s="52"/>
      <c r="Y399" s="52"/>
      <c r="Z399" s="52"/>
      <c r="AA399" s="52"/>
      <c r="AB399" s="52"/>
      <c r="AC399" s="52"/>
      <c r="AD399" s="52"/>
      <c r="AE399" s="52"/>
      <c r="AF399" s="52"/>
      <c r="AG399" s="52"/>
      <c r="AH399" s="52"/>
      <c r="AI399" s="52"/>
      <c r="AJ399" s="52"/>
      <c r="AK399" s="52"/>
      <c r="AL399" s="52"/>
      <c r="AM399" s="52"/>
      <c r="AN399" s="52"/>
      <c r="AO399" s="52"/>
      <c r="AP399" s="52"/>
      <c r="AQ399" s="52"/>
      <c r="AR399" s="52"/>
      <c r="AS399" s="52"/>
    </row>
    <row r="400" spans="1:45" s="64" customFormat="1" hidden="1">
      <c r="A400" s="65" t="s">
        <v>368</v>
      </c>
      <c r="B400" s="65" t="s">
        <v>369</v>
      </c>
      <c r="C400" s="83" t="str">
        <f t="shared" si="12"/>
        <v>Master Planning - Survey</v>
      </c>
      <c r="D400" s="65">
        <v>211200</v>
      </c>
      <c r="E400" s="65" t="s">
        <v>373</v>
      </c>
      <c r="F400" s="65" t="s">
        <v>155</v>
      </c>
      <c r="G400" s="65" t="s">
        <v>156</v>
      </c>
      <c r="H400" s="65" t="s">
        <v>139</v>
      </c>
      <c r="I400" s="76"/>
      <c r="J400" s="82"/>
      <c r="K400" s="66"/>
      <c r="L400" s="61">
        <f t="shared" si="13"/>
        <v>0</v>
      </c>
      <c r="M400" s="72"/>
      <c r="N400" s="73"/>
      <c r="O400" s="52"/>
      <c r="P400" s="52"/>
      <c r="Q400" s="52"/>
      <c r="R400" s="52"/>
      <c r="S400" s="52"/>
      <c r="T400" s="52"/>
      <c r="U400" s="52"/>
      <c r="V400" s="52"/>
      <c r="W400" s="52"/>
      <c r="X400" s="52"/>
      <c r="Y400" s="52"/>
      <c r="Z400" s="52"/>
      <c r="AA400" s="52"/>
      <c r="AB400" s="52"/>
      <c r="AC400" s="52"/>
      <c r="AD400" s="52"/>
      <c r="AE400" s="52"/>
      <c r="AF400" s="52"/>
      <c r="AG400" s="52"/>
      <c r="AH400" s="52"/>
      <c r="AI400" s="52"/>
      <c r="AJ400" s="52"/>
      <c r="AK400" s="52"/>
      <c r="AL400" s="52"/>
      <c r="AM400" s="52"/>
      <c r="AN400" s="52"/>
      <c r="AO400" s="52"/>
      <c r="AP400" s="52"/>
      <c r="AQ400" s="52"/>
      <c r="AR400" s="52"/>
      <c r="AS400" s="52"/>
    </row>
    <row r="401" spans="1:45" s="64" customFormat="1" hidden="1">
      <c r="A401" s="65" t="s">
        <v>368</v>
      </c>
      <c r="B401" s="65" t="s">
        <v>369</v>
      </c>
      <c r="C401" s="83" t="str">
        <f t="shared" si="12"/>
        <v>Master Planning - Outreach</v>
      </c>
      <c r="D401" s="65">
        <v>251000</v>
      </c>
      <c r="E401" s="65" t="s">
        <v>214</v>
      </c>
      <c r="F401" s="65" t="s">
        <v>137</v>
      </c>
      <c r="G401" s="65" t="s">
        <v>138</v>
      </c>
      <c r="H401" s="65" t="s">
        <v>139</v>
      </c>
      <c r="I401" s="76"/>
      <c r="J401" s="82"/>
      <c r="K401" s="66"/>
      <c r="L401" s="61">
        <f t="shared" si="13"/>
        <v>0</v>
      </c>
      <c r="M401" s="72"/>
      <c r="N401" s="73"/>
      <c r="O401" s="52"/>
      <c r="P401" s="52"/>
      <c r="Q401" s="52"/>
      <c r="R401" s="52"/>
      <c r="S401" s="52"/>
      <c r="T401" s="52"/>
      <c r="U401" s="52"/>
      <c r="V401" s="52"/>
      <c r="W401" s="52"/>
      <c r="X401" s="52"/>
      <c r="Y401" s="52"/>
      <c r="Z401" s="52"/>
      <c r="AA401" s="52"/>
      <c r="AB401" s="52"/>
      <c r="AC401" s="52"/>
      <c r="AD401" s="52"/>
      <c r="AE401" s="52"/>
      <c r="AF401" s="52"/>
      <c r="AG401" s="52"/>
      <c r="AH401" s="52"/>
      <c r="AI401" s="52"/>
      <c r="AJ401" s="52"/>
      <c r="AK401" s="52"/>
      <c r="AL401" s="52"/>
      <c r="AM401" s="52"/>
      <c r="AN401" s="52"/>
      <c r="AO401" s="52"/>
      <c r="AP401" s="52"/>
      <c r="AQ401" s="52"/>
      <c r="AR401" s="52"/>
      <c r="AS401" s="52"/>
    </row>
    <row r="402" spans="1:45" s="64" customFormat="1" hidden="1">
      <c r="A402" s="65" t="s">
        <v>368</v>
      </c>
      <c r="B402" s="65" t="s">
        <v>369</v>
      </c>
      <c r="C402" s="83" t="str">
        <f t="shared" si="12"/>
        <v>Master Planning - Project Close Out</v>
      </c>
      <c r="D402" s="65">
        <v>781000</v>
      </c>
      <c r="E402" s="65" t="s">
        <v>195</v>
      </c>
      <c r="F402" s="65" t="s">
        <v>168</v>
      </c>
      <c r="G402" s="65" t="s">
        <v>169</v>
      </c>
      <c r="H402" s="65" t="s">
        <v>139</v>
      </c>
      <c r="I402" s="76"/>
      <c r="J402" s="82"/>
      <c r="K402" s="66"/>
      <c r="L402" s="61">
        <f t="shared" si="13"/>
        <v>0</v>
      </c>
      <c r="M402" s="72"/>
      <c r="N402" s="73"/>
      <c r="O402" s="52"/>
      <c r="P402" s="52"/>
      <c r="Q402" s="52"/>
      <c r="R402" s="52"/>
      <c r="S402" s="52"/>
      <c r="T402" s="52"/>
      <c r="U402" s="52"/>
      <c r="V402" s="52"/>
      <c r="W402" s="52"/>
      <c r="X402" s="52"/>
      <c r="Y402" s="52"/>
      <c r="Z402" s="52"/>
      <c r="AA402" s="52"/>
      <c r="AB402" s="52"/>
      <c r="AC402" s="52"/>
      <c r="AD402" s="52"/>
      <c r="AE402" s="52"/>
      <c r="AF402" s="52"/>
      <c r="AG402" s="52"/>
      <c r="AH402" s="52"/>
      <c r="AI402" s="52"/>
      <c r="AJ402" s="52"/>
      <c r="AK402" s="52"/>
      <c r="AL402" s="52"/>
      <c r="AM402" s="52"/>
      <c r="AN402" s="52"/>
      <c r="AO402" s="52"/>
      <c r="AP402" s="52"/>
      <c r="AQ402" s="52"/>
      <c r="AR402" s="52"/>
      <c r="AS402" s="52"/>
    </row>
    <row r="403" spans="1:45" s="64" customFormat="1" hidden="1">
      <c r="A403" s="65" t="s">
        <v>368</v>
      </c>
      <c r="B403" s="65" t="s">
        <v>369</v>
      </c>
      <c r="C403" s="83" t="str">
        <f t="shared" si="12"/>
        <v>Master Planning - Contingency</v>
      </c>
      <c r="D403" s="65">
        <v>790000</v>
      </c>
      <c r="E403" s="65" t="s">
        <v>223</v>
      </c>
      <c r="F403" s="65" t="s">
        <v>137</v>
      </c>
      <c r="G403" s="65" t="s">
        <v>138</v>
      </c>
      <c r="H403" s="65"/>
      <c r="I403" s="76"/>
      <c r="J403" s="82"/>
      <c r="K403" s="66"/>
      <c r="L403" s="61">
        <f t="shared" si="13"/>
        <v>0</v>
      </c>
      <c r="M403" s="72"/>
      <c r="N403" s="73"/>
      <c r="O403" s="52"/>
      <c r="P403" s="52"/>
      <c r="Q403" s="52"/>
      <c r="R403" s="52"/>
      <c r="S403" s="52"/>
      <c r="T403" s="52"/>
      <c r="U403" s="52"/>
      <c r="V403" s="52"/>
      <c r="W403" s="52"/>
      <c r="X403" s="52"/>
      <c r="Y403" s="52"/>
      <c r="Z403" s="52"/>
      <c r="AA403" s="52"/>
      <c r="AB403" s="52"/>
      <c r="AC403" s="52"/>
      <c r="AD403" s="52"/>
      <c r="AE403" s="52"/>
      <c r="AF403" s="52"/>
      <c r="AG403" s="52"/>
      <c r="AH403" s="52"/>
      <c r="AI403" s="52"/>
      <c r="AJ403" s="52"/>
      <c r="AK403" s="52"/>
      <c r="AL403" s="52"/>
      <c r="AM403" s="52"/>
      <c r="AN403" s="52"/>
      <c r="AO403" s="52"/>
      <c r="AP403" s="52"/>
      <c r="AQ403" s="52"/>
      <c r="AR403" s="52"/>
      <c r="AS403" s="52"/>
    </row>
    <row r="404" spans="1:45" s="64" customFormat="1" hidden="1">
      <c r="A404" s="65" t="s">
        <v>368</v>
      </c>
      <c r="B404" s="65" t="s">
        <v>369</v>
      </c>
      <c r="C404" s="83" t="str">
        <f t="shared" si="12"/>
        <v>Master Planning - Capitalized Alloc Sup Svs</v>
      </c>
      <c r="D404" s="65">
        <v>909000</v>
      </c>
      <c r="E404" s="65" t="s">
        <v>174</v>
      </c>
      <c r="F404" s="65" t="s">
        <v>137</v>
      </c>
      <c r="G404" s="65" t="s">
        <v>138</v>
      </c>
      <c r="H404" s="65"/>
      <c r="I404" s="76">
        <v>63</v>
      </c>
      <c r="J404" s="82"/>
      <c r="K404" s="66"/>
      <c r="L404" s="61">
        <f t="shared" si="13"/>
        <v>0</v>
      </c>
      <c r="M404" s="72"/>
      <c r="N404" s="73"/>
      <c r="O404" s="52"/>
      <c r="P404" s="52"/>
      <c r="Q404" s="52"/>
      <c r="R404" s="52"/>
      <c r="S404" s="52"/>
      <c r="T404" s="52"/>
      <c r="U404" s="52"/>
      <c r="V404" s="52"/>
      <c r="W404" s="52"/>
      <c r="X404" s="52"/>
      <c r="Y404" s="52"/>
      <c r="Z404" s="52"/>
      <c r="AA404" s="52"/>
      <c r="AB404" s="52"/>
      <c r="AC404" s="52"/>
      <c r="AD404" s="52"/>
      <c r="AE404" s="52"/>
      <c r="AF404" s="52"/>
      <c r="AG404" s="52"/>
      <c r="AH404" s="52"/>
      <c r="AI404" s="52"/>
      <c r="AJ404" s="52"/>
      <c r="AK404" s="52"/>
      <c r="AL404" s="52"/>
      <c r="AM404" s="52"/>
      <c r="AN404" s="52"/>
      <c r="AO404" s="52"/>
      <c r="AP404" s="52"/>
      <c r="AQ404" s="52"/>
      <c r="AR404" s="52"/>
      <c r="AS404" s="52"/>
    </row>
    <row r="405" spans="1:45" s="64" customFormat="1" hidden="1">
      <c r="A405" s="65" t="s">
        <v>374</v>
      </c>
      <c r="B405" s="65" t="s">
        <v>375</v>
      </c>
      <c r="C405" s="83" t="str">
        <f t="shared" si="12"/>
        <v>Business Case Planning - Project Admin &amp; Mgmt</v>
      </c>
      <c r="D405" s="65">
        <v>101000</v>
      </c>
      <c r="E405" s="65" t="s">
        <v>136</v>
      </c>
      <c r="F405" s="65" t="s">
        <v>137</v>
      </c>
      <c r="G405" s="65" t="s">
        <v>138</v>
      </c>
      <c r="H405" s="65" t="s">
        <v>139</v>
      </c>
      <c r="I405" s="76"/>
      <c r="J405" s="82"/>
      <c r="K405" s="66"/>
      <c r="L405" s="61">
        <f t="shared" si="13"/>
        <v>0</v>
      </c>
      <c r="M405" s="72"/>
      <c r="N405" s="73"/>
      <c r="O405" s="52"/>
      <c r="P405" s="52"/>
      <c r="Q405" s="52"/>
      <c r="R405" s="52"/>
      <c r="S405" s="52"/>
      <c r="T405" s="52"/>
      <c r="U405" s="52"/>
      <c r="V405" s="52"/>
      <c r="W405" s="52"/>
      <c r="X405" s="52"/>
      <c r="Y405" s="52"/>
      <c r="Z405" s="52"/>
      <c r="AA405" s="52"/>
      <c r="AB405" s="52"/>
      <c r="AC405" s="52"/>
      <c r="AD405" s="52"/>
      <c r="AE405" s="52"/>
      <c r="AF405" s="52"/>
      <c r="AG405" s="52"/>
      <c r="AH405" s="52"/>
      <c r="AI405" s="52"/>
      <c r="AJ405" s="52"/>
      <c r="AK405" s="52"/>
      <c r="AL405" s="52"/>
      <c r="AM405" s="52"/>
      <c r="AN405" s="52"/>
      <c r="AO405" s="52"/>
      <c r="AP405" s="52"/>
      <c r="AQ405" s="52"/>
      <c r="AR405" s="52"/>
      <c r="AS405" s="52"/>
    </row>
    <row r="406" spans="1:45" s="64" customFormat="1" hidden="1">
      <c r="A406" s="65" t="s">
        <v>374</v>
      </c>
      <c r="B406" s="65" t="s">
        <v>375</v>
      </c>
      <c r="C406" s="83" t="str">
        <f t="shared" si="12"/>
        <v>Business Case Planning - Analysis &amp; Requirements Defin.</v>
      </c>
      <c r="D406" s="65">
        <v>121000</v>
      </c>
      <c r="E406" s="65" t="s">
        <v>177</v>
      </c>
      <c r="F406" s="65" t="s">
        <v>134</v>
      </c>
      <c r="G406" s="65" t="s">
        <v>178</v>
      </c>
      <c r="H406" s="65" t="s">
        <v>139</v>
      </c>
      <c r="I406" s="76"/>
      <c r="J406" s="82"/>
      <c r="K406" s="66"/>
      <c r="L406" s="61">
        <f t="shared" si="13"/>
        <v>0</v>
      </c>
      <c r="M406" s="72"/>
      <c r="N406" s="73"/>
      <c r="O406" s="52"/>
      <c r="P406" s="52"/>
      <c r="Q406" s="52"/>
      <c r="R406" s="52"/>
      <c r="S406" s="52"/>
      <c r="T406" s="52"/>
      <c r="U406" s="52"/>
      <c r="V406" s="52"/>
      <c r="W406" s="52"/>
      <c r="X406" s="52"/>
      <c r="Y406" s="52"/>
      <c r="Z406" s="52"/>
      <c r="AA406" s="52"/>
      <c r="AB406" s="52"/>
      <c r="AC406" s="52"/>
      <c r="AD406" s="52"/>
      <c r="AE406" s="52"/>
      <c r="AF406" s="52"/>
      <c r="AG406" s="52"/>
      <c r="AH406" s="52"/>
      <c r="AI406" s="52"/>
      <c r="AJ406" s="52"/>
      <c r="AK406" s="52"/>
      <c r="AL406" s="52"/>
      <c r="AM406" s="52"/>
      <c r="AN406" s="52"/>
      <c r="AO406" s="52"/>
      <c r="AP406" s="52"/>
      <c r="AQ406" s="52"/>
      <c r="AR406" s="52"/>
      <c r="AS406" s="52"/>
    </row>
    <row r="407" spans="1:45" s="64" customFormat="1" hidden="1">
      <c r="A407" s="65" t="s">
        <v>374</v>
      </c>
      <c r="B407" s="65" t="s">
        <v>375</v>
      </c>
      <c r="C407" s="83" t="str">
        <f t="shared" si="12"/>
        <v>Business Case Planning - Design</v>
      </c>
      <c r="D407" s="65">
        <v>141000</v>
      </c>
      <c r="E407" s="65" t="s">
        <v>181</v>
      </c>
      <c r="F407" s="65" t="s">
        <v>144</v>
      </c>
      <c r="G407" s="65" t="s">
        <v>145</v>
      </c>
      <c r="H407" s="65" t="s">
        <v>139</v>
      </c>
      <c r="I407" s="76"/>
      <c r="J407" s="82"/>
      <c r="K407" s="66"/>
      <c r="L407" s="61">
        <f t="shared" si="13"/>
        <v>0</v>
      </c>
      <c r="M407" s="72"/>
      <c r="N407" s="73"/>
      <c r="O407" s="52"/>
      <c r="P407" s="52"/>
      <c r="Q407" s="52"/>
      <c r="R407" s="52"/>
      <c r="S407" s="52"/>
      <c r="T407" s="52"/>
      <c r="U407" s="52"/>
      <c r="V407" s="52"/>
      <c r="W407" s="52"/>
      <c r="X407" s="52"/>
      <c r="Y407" s="52"/>
      <c r="Z407" s="52"/>
      <c r="AA407" s="52"/>
      <c r="AB407" s="52"/>
      <c r="AC407" s="52"/>
      <c r="AD407" s="52"/>
      <c r="AE407" s="52"/>
      <c r="AF407" s="52"/>
      <c r="AG407" s="52"/>
      <c r="AH407" s="52"/>
      <c r="AI407" s="52"/>
      <c r="AJ407" s="52"/>
      <c r="AK407" s="52"/>
      <c r="AL407" s="52"/>
      <c r="AM407" s="52"/>
      <c r="AN407" s="52"/>
      <c r="AO407" s="52"/>
      <c r="AP407" s="52"/>
      <c r="AQ407" s="52"/>
      <c r="AR407" s="52"/>
      <c r="AS407" s="52"/>
    </row>
    <row r="408" spans="1:45" s="64" customFormat="1" hidden="1">
      <c r="A408" s="65" t="s">
        <v>374</v>
      </c>
      <c r="B408" s="65" t="s">
        <v>375</v>
      </c>
      <c r="C408" s="83" t="str">
        <f t="shared" si="12"/>
        <v>Business Case Planning - Construction</v>
      </c>
      <c r="D408" s="65">
        <v>191000</v>
      </c>
      <c r="E408" s="65" t="s">
        <v>351</v>
      </c>
      <c r="F408" s="65" t="s">
        <v>155</v>
      </c>
      <c r="G408" s="65" t="s">
        <v>156</v>
      </c>
      <c r="H408" s="65" t="s">
        <v>139</v>
      </c>
      <c r="I408" s="76"/>
      <c r="J408" s="82"/>
      <c r="K408" s="66"/>
      <c r="L408" s="61">
        <f t="shared" si="13"/>
        <v>0</v>
      </c>
      <c r="M408" s="72"/>
      <c r="N408" s="73"/>
      <c r="O408" s="52"/>
      <c r="P408" s="52"/>
      <c r="Q408" s="52"/>
      <c r="R408" s="52"/>
      <c r="S408" s="52"/>
      <c r="T408" s="52"/>
      <c r="U408" s="52"/>
      <c r="V408" s="52"/>
      <c r="W408" s="52"/>
      <c r="X408" s="52"/>
      <c r="Y408" s="52"/>
      <c r="Z408" s="52"/>
      <c r="AA408" s="52"/>
      <c r="AB408" s="52"/>
      <c r="AC408" s="52"/>
      <c r="AD408" s="52"/>
      <c r="AE408" s="52"/>
      <c r="AF408" s="52"/>
      <c r="AG408" s="52"/>
      <c r="AH408" s="52"/>
      <c r="AI408" s="52"/>
      <c r="AJ408" s="52"/>
      <c r="AK408" s="52"/>
      <c r="AL408" s="52"/>
      <c r="AM408" s="52"/>
      <c r="AN408" s="52"/>
      <c r="AO408" s="52"/>
      <c r="AP408" s="52"/>
      <c r="AQ408" s="52"/>
      <c r="AR408" s="52"/>
      <c r="AS408" s="52"/>
    </row>
    <row r="409" spans="1:45" s="64" customFormat="1" hidden="1">
      <c r="A409" s="65" t="s">
        <v>374</v>
      </c>
      <c r="B409" s="65" t="s">
        <v>375</v>
      </c>
      <c r="C409" s="83" t="str">
        <f t="shared" si="12"/>
        <v>Business Case Planning - Project Close Out</v>
      </c>
      <c r="D409" s="65">
        <v>781000</v>
      </c>
      <c r="E409" s="65" t="s">
        <v>195</v>
      </c>
      <c r="F409" s="65" t="s">
        <v>168</v>
      </c>
      <c r="G409" s="65" t="s">
        <v>169</v>
      </c>
      <c r="H409" s="65" t="s">
        <v>139</v>
      </c>
      <c r="I409" s="76"/>
      <c r="J409" s="82"/>
      <c r="K409" s="66"/>
      <c r="L409" s="61">
        <f t="shared" si="13"/>
        <v>0</v>
      </c>
      <c r="M409" s="72"/>
      <c r="N409" s="73"/>
      <c r="O409" s="52"/>
      <c r="P409" s="52"/>
      <c r="Q409" s="52"/>
      <c r="R409" s="52"/>
      <c r="S409" s="52"/>
      <c r="T409" s="52"/>
      <c r="U409" s="52"/>
      <c r="V409" s="52"/>
      <c r="W409" s="52"/>
      <c r="X409" s="52"/>
      <c r="Y409" s="52"/>
      <c r="Z409" s="52"/>
      <c r="AA409" s="52"/>
      <c r="AB409" s="52"/>
      <c r="AC409" s="52"/>
      <c r="AD409" s="52"/>
      <c r="AE409" s="52"/>
      <c r="AF409" s="52"/>
      <c r="AG409" s="52"/>
      <c r="AH409" s="52"/>
      <c r="AI409" s="52"/>
      <c r="AJ409" s="52"/>
      <c r="AK409" s="52"/>
      <c r="AL409" s="52"/>
      <c r="AM409" s="52"/>
      <c r="AN409" s="52"/>
      <c r="AO409" s="52"/>
      <c r="AP409" s="52"/>
      <c r="AQ409" s="52"/>
      <c r="AR409" s="52"/>
      <c r="AS409" s="52"/>
    </row>
    <row r="410" spans="1:45" s="64" customFormat="1" hidden="1">
      <c r="A410" s="65" t="s">
        <v>374</v>
      </c>
      <c r="B410" s="65" t="s">
        <v>375</v>
      </c>
      <c r="C410" s="83" t="str">
        <f t="shared" si="12"/>
        <v>Business Case Planning - Contingency</v>
      </c>
      <c r="D410" s="65">
        <v>790000</v>
      </c>
      <c r="E410" s="65" t="s">
        <v>223</v>
      </c>
      <c r="F410" s="65" t="s">
        <v>137</v>
      </c>
      <c r="G410" s="65" t="s">
        <v>138</v>
      </c>
      <c r="H410" s="65"/>
      <c r="I410" s="76"/>
      <c r="J410" s="82"/>
      <c r="K410" s="66"/>
      <c r="L410" s="61">
        <f t="shared" si="13"/>
        <v>0</v>
      </c>
      <c r="M410" s="72"/>
      <c r="N410" s="73"/>
      <c r="O410" s="52"/>
      <c r="P410" s="52"/>
      <c r="Q410" s="52"/>
      <c r="R410" s="52"/>
      <c r="S410" s="52"/>
      <c r="T410" s="52"/>
      <c r="U410" s="52"/>
      <c r="V410" s="52"/>
      <c r="W410" s="52"/>
      <c r="X410" s="52"/>
      <c r="Y410" s="52"/>
      <c r="Z410" s="52"/>
      <c r="AA410" s="52"/>
      <c r="AB410" s="52"/>
      <c r="AC410" s="52"/>
      <c r="AD410" s="52"/>
      <c r="AE410" s="52"/>
      <c r="AF410" s="52"/>
      <c r="AG410" s="52"/>
      <c r="AH410" s="52"/>
      <c r="AI410" s="52"/>
      <c r="AJ410" s="52"/>
      <c r="AK410" s="52"/>
      <c r="AL410" s="52"/>
      <c r="AM410" s="52"/>
      <c r="AN410" s="52"/>
      <c r="AO410" s="52"/>
      <c r="AP410" s="52"/>
      <c r="AQ410" s="52"/>
      <c r="AR410" s="52"/>
      <c r="AS410" s="52"/>
    </row>
    <row r="411" spans="1:45" s="64" customFormat="1" hidden="1">
      <c r="A411" s="65" t="s">
        <v>376</v>
      </c>
      <c r="B411" s="65" t="s">
        <v>377</v>
      </c>
      <c r="C411" s="83" t="str">
        <f t="shared" si="12"/>
        <v>MW Master Chart April 2016 - Project Admin &amp; Mgmt</v>
      </c>
      <c r="D411" s="65">
        <v>101000</v>
      </c>
      <c r="E411" s="65" t="s">
        <v>136</v>
      </c>
      <c r="F411" s="65" t="s">
        <v>168</v>
      </c>
      <c r="G411" s="65" t="s">
        <v>169</v>
      </c>
      <c r="H411" s="65" t="s">
        <v>139</v>
      </c>
      <c r="I411" s="76"/>
      <c r="J411" s="82"/>
      <c r="K411" s="66"/>
      <c r="L411" s="61">
        <f t="shared" si="13"/>
        <v>0</v>
      </c>
      <c r="M411" s="72"/>
      <c r="N411" s="73"/>
      <c r="O411" s="52"/>
      <c r="P411" s="52"/>
      <c r="Q411" s="52"/>
      <c r="R411" s="52"/>
      <c r="S411" s="52"/>
      <c r="T411" s="52"/>
      <c r="U411" s="52"/>
      <c r="V411" s="52"/>
      <c r="W411" s="52"/>
      <c r="X411" s="52"/>
      <c r="Y411" s="52"/>
      <c r="Z411" s="52"/>
      <c r="AA411" s="52"/>
      <c r="AB411" s="52"/>
      <c r="AC411" s="52"/>
      <c r="AD411" s="52"/>
      <c r="AE411" s="52"/>
      <c r="AF411" s="52"/>
      <c r="AG411" s="52"/>
      <c r="AH411" s="52"/>
      <c r="AI411" s="52"/>
      <c r="AJ411" s="52"/>
      <c r="AK411" s="52"/>
      <c r="AL411" s="52"/>
      <c r="AM411" s="52"/>
      <c r="AN411" s="52"/>
      <c r="AO411" s="52"/>
      <c r="AP411" s="52"/>
      <c r="AQ411" s="52"/>
      <c r="AR411" s="52"/>
      <c r="AS411" s="52"/>
    </row>
    <row r="412" spans="1:45" s="64" customFormat="1" hidden="1">
      <c r="A412" s="65" t="s">
        <v>376</v>
      </c>
      <c r="B412" s="65" t="s">
        <v>377</v>
      </c>
      <c r="C412" s="83" t="str">
        <f t="shared" si="12"/>
        <v>MW Master Chart April 2016 - Project Admin &amp; Mgmt</v>
      </c>
      <c r="D412" s="65">
        <v>101010</v>
      </c>
      <c r="E412" s="65" t="s">
        <v>235</v>
      </c>
      <c r="F412" s="65" t="s">
        <v>168</v>
      </c>
      <c r="G412" s="65" t="s">
        <v>169</v>
      </c>
      <c r="H412" s="65" t="s">
        <v>139</v>
      </c>
      <c r="I412" s="76"/>
      <c r="J412" s="82"/>
      <c r="K412" s="66"/>
      <c r="L412" s="61">
        <f t="shared" si="13"/>
        <v>0</v>
      </c>
      <c r="M412" s="72"/>
      <c r="N412" s="73"/>
      <c r="O412" s="52"/>
      <c r="P412" s="52"/>
      <c r="Q412" s="52"/>
      <c r="R412" s="52"/>
      <c r="S412" s="52"/>
      <c r="T412" s="52"/>
      <c r="U412" s="52"/>
      <c r="V412" s="52"/>
      <c r="W412" s="52"/>
      <c r="X412" s="52"/>
      <c r="Y412" s="52"/>
      <c r="Z412" s="52"/>
      <c r="AA412" s="52"/>
      <c r="AB412" s="52"/>
      <c r="AC412" s="52"/>
      <c r="AD412" s="52"/>
      <c r="AE412" s="52"/>
      <c r="AF412" s="52"/>
      <c r="AG412" s="52"/>
      <c r="AH412" s="52"/>
      <c r="AI412" s="52"/>
      <c r="AJ412" s="52"/>
      <c r="AK412" s="52"/>
      <c r="AL412" s="52"/>
      <c r="AM412" s="52"/>
      <c r="AN412" s="52"/>
      <c r="AO412" s="52"/>
      <c r="AP412" s="52"/>
      <c r="AQ412" s="52"/>
      <c r="AR412" s="52"/>
      <c r="AS412" s="52"/>
    </row>
    <row r="413" spans="1:45" s="64" customFormat="1" hidden="1">
      <c r="A413" s="65" t="s">
        <v>376</v>
      </c>
      <c r="B413" s="65" t="s">
        <v>377</v>
      </c>
      <c r="C413" s="83" t="str">
        <f t="shared" si="12"/>
        <v>MW Master Chart April 2016 - Project Admin &amp; Mgmt</v>
      </c>
      <c r="D413" s="65">
        <v>101020</v>
      </c>
      <c r="E413" s="65" t="s">
        <v>236</v>
      </c>
      <c r="F413" s="65" t="s">
        <v>168</v>
      </c>
      <c r="G413" s="65" t="s">
        <v>169</v>
      </c>
      <c r="H413" s="65" t="s">
        <v>139</v>
      </c>
      <c r="I413" s="76"/>
      <c r="J413" s="82"/>
      <c r="K413" s="66"/>
      <c r="L413" s="61">
        <f t="shared" si="13"/>
        <v>0</v>
      </c>
      <c r="M413" s="72"/>
      <c r="N413" s="73"/>
      <c r="O413" s="52"/>
      <c r="P413" s="52"/>
      <c r="Q413" s="52"/>
      <c r="R413" s="52"/>
      <c r="S413" s="52"/>
      <c r="T413" s="52"/>
      <c r="U413" s="52"/>
      <c r="V413" s="52"/>
      <c r="W413" s="52"/>
      <c r="X413" s="52"/>
      <c r="Y413" s="52"/>
      <c r="Z413" s="52"/>
      <c r="AA413" s="52"/>
      <c r="AB413" s="52"/>
      <c r="AC413" s="52"/>
      <c r="AD413" s="52"/>
      <c r="AE413" s="52"/>
      <c r="AF413" s="52"/>
      <c r="AG413" s="52"/>
      <c r="AH413" s="52"/>
      <c r="AI413" s="52"/>
      <c r="AJ413" s="52"/>
      <c r="AK413" s="52"/>
      <c r="AL413" s="52"/>
      <c r="AM413" s="52"/>
      <c r="AN413" s="52"/>
      <c r="AO413" s="52"/>
      <c r="AP413" s="52"/>
      <c r="AQ413" s="52"/>
      <c r="AR413" s="52"/>
      <c r="AS413" s="52"/>
    </row>
    <row r="414" spans="1:45" s="64" customFormat="1" hidden="1">
      <c r="A414" s="65" t="s">
        <v>376</v>
      </c>
      <c r="B414" s="65" t="s">
        <v>377</v>
      </c>
      <c r="C414" s="83" t="str">
        <f t="shared" si="12"/>
        <v>MW Master Chart April 2016 - Project Admin &amp; Mgmt</v>
      </c>
      <c r="D414" s="65">
        <v>101100</v>
      </c>
      <c r="E414" s="65" t="s">
        <v>378</v>
      </c>
      <c r="F414" s="65" t="s">
        <v>168</v>
      </c>
      <c r="G414" s="65" t="s">
        <v>169</v>
      </c>
      <c r="H414" s="65" t="s">
        <v>139</v>
      </c>
      <c r="I414" s="76"/>
      <c r="J414" s="82"/>
      <c r="K414" s="66"/>
      <c r="L414" s="61">
        <f t="shared" si="13"/>
        <v>0</v>
      </c>
      <c r="M414" s="72"/>
      <c r="N414" s="73"/>
      <c r="O414" s="52"/>
      <c r="P414" s="52"/>
      <c r="Q414" s="52"/>
      <c r="R414" s="52"/>
      <c r="S414" s="52"/>
      <c r="T414" s="52"/>
      <c r="U414" s="52"/>
      <c r="V414" s="52"/>
      <c r="W414" s="52"/>
      <c r="X414" s="52"/>
      <c r="Y414" s="52"/>
      <c r="Z414" s="52"/>
      <c r="AA414" s="52"/>
      <c r="AB414" s="52"/>
      <c r="AC414" s="52"/>
      <c r="AD414" s="52"/>
      <c r="AE414" s="52"/>
      <c r="AF414" s="52"/>
      <c r="AG414" s="52"/>
      <c r="AH414" s="52"/>
      <c r="AI414" s="52"/>
      <c r="AJ414" s="52"/>
      <c r="AK414" s="52"/>
      <c r="AL414" s="52"/>
      <c r="AM414" s="52"/>
      <c r="AN414" s="52"/>
      <c r="AO414" s="52"/>
      <c r="AP414" s="52"/>
      <c r="AQ414" s="52"/>
      <c r="AR414" s="52"/>
      <c r="AS414" s="52"/>
    </row>
    <row r="415" spans="1:45" s="64" customFormat="1" hidden="1">
      <c r="A415" s="65" t="s">
        <v>376</v>
      </c>
      <c r="B415" s="65" t="s">
        <v>377</v>
      </c>
      <c r="C415" s="83" t="str">
        <f t="shared" si="12"/>
        <v>MW Master Chart April 2016 - Project Admin &amp; Mgmt</v>
      </c>
      <c r="D415" s="65">
        <v>101200</v>
      </c>
      <c r="E415" s="65" t="s">
        <v>176</v>
      </c>
      <c r="F415" s="65" t="s">
        <v>168</v>
      </c>
      <c r="G415" s="65" t="s">
        <v>169</v>
      </c>
      <c r="H415" s="65" t="s">
        <v>139</v>
      </c>
      <c r="I415" s="76"/>
      <c r="J415" s="82"/>
      <c r="K415" s="66"/>
      <c r="L415" s="61">
        <f t="shared" si="13"/>
        <v>0</v>
      </c>
      <c r="M415" s="72"/>
      <c r="N415" s="73"/>
      <c r="O415" s="52"/>
      <c r="P415" s="52"/>
      <c r="Q415" s="52"/>
      <c r="R415" s="52"/>
      <c r="S415" s="52"/>
      <c r="T415" s="52"/>
      <c r="U415" s="52"/>
      <c r="V415" s="52"/>
      <c r="W415" s="52"/>
      <c r="X415" s="52"/>
      <c r="Y415" s="52"/>
      <c r="Z415" s="52"/>
      <c r="AA415" s="52"/>
      <c r="AB415" s="52"/>
      <c r="AC415" s="52"/>
      <c r="AD415" s="52"/>
      <c r="AE415" s="52"/>
      <c r="AF415" s="52"/>
      <c r="AG415" s="52"/>
      <c r="AH415" s="52"/>
      <c r="AI415" s="52"/>
      <c r="AJ415" s="52"/>
      <c r="AK415" s="52"/>
      <c r="AL415" s="52"/>
      <c r="AM415" s="52"/>
      <c r="AN415" s="52"/>
      <c r="AO415" s="52"/>
      <c r="AP415" s="52"/>
      <c r="AQ415" s="52"/>
      <c r="AR415" s="52"/>
      <c r="AS415" s="52"/>
    </row>
    <row r="416" spans="1:45" s="64" customFormat="1" hidden="1">
      <c r="A416" s="65" t="s">
        <v>376</v>
      </c>
      <c r="B416" s="65" t="s">
        <v>377</v>
      </c>
      <c r="C416" s="83" t="str">
        <f t="shared" si="12"/>
        <v>MW Master Chart April 2016 - Project Admin &amp; Mgmt</v>
      </c>
      <c r="D416" s="65">
        <v>101300</v>
      </c>
      <c r="E416" s="65" t="s">
        <v>379</v>
      </c>
      <c r="F416" s="65" t="s">
        <v>168</v>
      </c>
      <c r="G416" s="65" t="s">
        <v>169</v>
      </c>
      <c r="H416" s="65" t="s">
        <v>139</v>
      </c>
      <c r="I416" s="76"/>
      <c r="J416" s="82"/>
      <c r="K416" s="66"/>
      <c r="L416" s="61">
        <f t="shared" si="13"/>
        <v>0</v>
      </c>
      <c r="M416" s="72"/>
      <c r="N416" s="73"/>
      <c r="O416" s="52"/>
      <c r="P416" s="52"/>
      <c r="Q416" s="52"/>
      <c r="R416" s="52"/>
      <c r="S416" s="52"/>
      <c r="T416" s="52"/>
      <c r="U416" s="52"/>
      <c r="V416" s="52"/>
      <c r="W416" s="52"/>
      <c r="X416" s="52"/>
      <c r="Y416" s="52"/>
      <c r="Z416" s="52"/>
      <c r="AA416" s="52"/>
      <c r="AB416" s="52"/>
      <c r="AC416" s="52"/>
      <c r="AD416" s="52"/>
      <c r="AE416" s="52"/>
      <c r="AF416" s="52"/>
      <c r="AG416" s="52"/>
      <c r="AH416" s="52"/>
      <c r="AI416" s="52"/>
      <c r="AJ416" s="52"/>
      <c r="AK416" s="52"/>
      <c r="AL416" s="52"/>
      <c r="AM416" s="52"/>
      <c r="AN416" s="52"/>
      <c r="AO416" s="52"/>
      <c r="AP416" s="52"/>
      <c r="AQ416" s="52"/>
      <c r="AR416" s="52"/>
      <c r="AS416" s="52"/>
    </row>
    <row r="417" spans="1:45" s="64" customFormat="1" hidden="1">
      <c r="A417" s="65" t="s">
        <v>376</v>
      </c>
      <c r="B417" s="65" t="s">
        <v>377</v>
      </c>
      <c r="C417" s="83" t="str">
        <f t="shared" si="12"/>
        <v>MW Master Chart April 2016 - Project Admin &amp; Mgmt</v>
      </c>
      <c r="D417" s="65">
        <v>101400</v>
      </c>
      <c r="E417" s="65" t="s">
        <v>141</v>
      </c>
      <c r="F417" s="65" t="s">
        <v>168</v>
      </c>
      <c r="G417" s="65" t="s">
        <v>169</v>
      </c>
      <c r="H417" s="65" t="s">
        <v>139</v>
      </c>
      <c r="I417" s="76"/>
      <c r="J417" s="82"/>
      <c r="K417" s="66"/>
      <c r="L417" s="61">
        <f t="shared" si="13"/>
        <v>0</v>
      </c>
      <c r="M417" s="72"/>
      <c r="N417" s="73"/>
      <c r="O417" s="52"/>
      <c r="P417" s="52"/>
      <c r="Q417" s="52"/>
      <c r="R417" s="52"/>
      <c r="S417" s="52"/>
      <c r="T417" s="52"/>
      <c r="U417" s="52"/>
      <c r="V417" s="52"/>
      <c r="W417" s="52"/>
      <c r="X417" s="52"/>
      <c r="Y417" s="52"/>
      <c r="Z417" s="52"/>
      <c r="AA417" s="52"/>
      <c r="AB417" s="52"/>
      <c r="AC417" s="52"/>
      <c r="AD417" s="52"/>
      <c r="AE417" s="52"/>
      <c r="AF417" s="52"/>
      <c r="AG417" s="52"/>
      <c r="AH417" s="52"/>
      <c r="AI417" s="52"/>
      <c r="AJ417" s="52"/>
      <c r="AK417" s="52"/>
      <c r="AL417" s="52"/>
      <c r="AM417" s="52"/>
      <c r="AN417" s="52"/>
      <c r="AO417" s="52"/>
      <c r="AP417" s="52"/>
      <c r="AQ417" s="52"/>
      <c r="AR417" s="52"/>
      <c r="AS417" s="52"/>
    </row>
    <row r="418" spans="1:45" s="64" customFormat="1" hidden="1">
      <c r="A418" s="65" t="s">
        <v>376</v>
      </c>
      <c r="B418" s="65" t="s">
        <v>377</v>
      </c>
      <c r="C418" s="83" t="str">
        <f t="shared" si="12"/>
        <v>MW Master Chart April 2016 - Project Admin &amp; Mgmt</v>
      </c>
      <c r="D418" s="65">
        <v>101500</v>
      </c>
      <c r="E418" s="65" t="s">
        <v>142</v>
      </c>
      <c r="F418" s="65" t="s">
        <v>168</v>
      </c>
      <c r="G418" s="65" t="s">
        <v>169</v>
      </c>
      <c r="H418" s="65" t="s">
        <v>139</v>
      </c>
      <c r="I418" s="76"/>
      <c r="J418" s="82"/>
      <c r="K418" s="66"/>
      <c r="L418" s="61">
        <f t="shared" si="13"/>
        <v>0</v>
      </c>
      <c r="M418" s="72"/>
      <c r="N418" s="73"/>
      <c r="O418" s="52"/>
      <c r="P418" s="52"/>
      <c r="Q418" s="52"/>
      <c r="R418" s="52"/>
      <c r="S418" s="52"/>
      <c r="T418" s="52"/>
      <c r="U418" s="52"/>
      <c r="V418" s="52"/>
      <c r="W418" s="52"/>
      <c r="X418" s="52"/>
      <c r="Y418" s="52"/>
      <c r="Z418" s="52"/>
      <c r="AA418" s="52"/>
      <c r="AB418" s="52"/>
      <c r="AC418" s="52"/>
      <c r="AD418" s="52"/>
      <c r="AE418" s="52"/>
      <c r="AF418" s="52"/>
      <c r="AG418" s="52"/>
      <c r="AH418" s="52"/>
      <c r="AI418" s="52"/>
      <c r="AJ418" s="52"/>
      <c r="AK418" s="52"/>
      <c r="AL418" s="52"/>
      <c r="AM418" s="52"/>
      <c r="AN418" s="52"/>
      <c r="AO418" s="52"/>
      <c r="AP418" s="52"/>
      <c r="AQ418" s="52"/>
      <c r="AR418" s="52"/>
      <c r="AS418" s="52"/>
    </row>
    <row r="419" spans="1:45" s="64" customFormat="1" hidden="1">
      <c r="A419" s="65" t="s">
        <v>376</v>
      </c>
      <c r="B419" s="65" t="s">
        <v>377</v>
      </c>
      <c r="C419" s="83" t="str">
        <f t="shared" si="12"/>
        <v>MW Master Chart April 2016 - Project Admin &amp; Mgmt</v>
      </c>
      <c r="D419" s="65">
        <v>101600</v>
      </c>
      <c r="E419" s="65" t="s">
        <v>380</v>
      </c>
      <c r="F419" s="65" t="s">
        <v>168</v>
      </c>
      <c r="G419" s="65" t="s">
        <v>169</v>
      </c>
      <c r="H419" s="65" t="s">
        <v>139</v>
      </c>
      <c r="I419" s="76"/>
      <c r="J419" s="82"/>
      <c r="K419" s="66"/>
      <c r="L419" s="61">
        <f t="shared" si="13"/>
        <v>0</v>
      </c>
      <c r="M419" s="72"/>
      <c r="N419" s="73"/>
      <c r="O419" s="52"/>
      <c r="P419" s="52"/>
      <c r="Q419" s="52"/>
      <c r="R419" s="52"/>
      <c r="S419" s="52"/>
      <c r="T419" s="52"/>
      <c r="U419" s="52"/>
      <c r="V419" s="52"/>
      <c r="W419" s="52"/>
      <c r="X419" s="52"/>
      <c r="Y419" s="52"/>
      <c r="Z419" s="52"/>
      <c r="AA419" s="52"/>
      <c r="AB419" s="52"/>
      <c r="AC419" s="52"/>
      <c r="AD419" s="52"/>
      <c r="AE419" s="52"/>
      <c r="AF419" s="52"/>
      <c r="AG419" s="52"/>
      <c r="AH419" s="52"/>
      <c r="AI419" s="52"/>
      <c r="AJ419" s="52"/>
      <c r="AK419" s="52"/>
      <c r="AL419" s="52"/>
      <c r="AM419" s="52"/>
      <c r="AN419" s="52"/>
      <c r="AO419" s="52"/>
      <c r="AP419" s="52"/>
      <c r="AQ419" s="52"/>
      <c r="AR419" s="52"/>
      <c r="AS419" s="52"/>
    </row>
    <row r="420" spans="1:45" s="64" customFormat="1" hidden="1">
      <c r="A420" s="65" t="s">
        <v>376</v>
      </c>
      <c r="B420" s="65" t="s">
        <v>377</v>
      </c>
      <c r="C420" s="83" t="str">
        <f t="shared" si="12"/>
        <v>MW Master Chart April 2016 - Project Admin &amp; Mgmt</v>
      </c>
      <c r="D420" s="65">
        <v>101700</v>
      </c>
      <c r="E420" s="65" t="s">
        <v>381</v>
      </c>
      <c r="F420" s="65" t="s">
        <v>168</v>
      </c>
      <c r="G420" s="65" t="s">
        <v>169</v>
      </c>
      <c r="H420" s="65" t="s">
        <v>139</v>
      </c>
      <c r="I420" s="76"/>
      <c r="J420" s="82"/>
      <c r="K420" s="66"/>
      <c r="L420" s="61">
        <f t="shared" si="13"/>
        <v>0</v>
      </c>
      <c r="M420" s="72"/>
      <c r="N420" s="73"/>
      <c r="O420" s="52"/>
      <c r="P420" s="52"/>
      <c r="Q420" s="52"/>
      <c r="R420" s="52"/>
      <c r="S420" s="52"/>
      <c r="T420" s="52"/>
      <c r="U420" s="52"/>
      <c r="V420" s="52"/>
      <c r="W420" s="52"/>
      <c r="X420" s="52"/>
      <c r="Y420" s="52"/>
      <c r="Z420" s="52"/>
      <c r="AA420" s="52"/>
      <c r="AB420" s="52"/>
      <c r="AC420" s="52"/>
      <c r="AD420" s="52"/>
      <c r="AE420" s="52"/>
      <c r="AF420" s="52"/>
      <c r="AG420" s="52"/>
      <c r="AH420" s="52"/>
      <c r="AI420" s="52"/>
      <c r="AJ420" s="52"/>
      <c r="AK420" s="52"/>
      <c r="AL420" s="52"/>
      <c r="AM420" s="52"/>
      <c r="AN420" s="52"/>
      <c r="AO420" s="52"/>
      <c r="AP420" s="52"/>
      <c r="AQ420" s="52"/>
      <c r="AR420" s="52"/>
      <c r="AS420" s="52"/>
    </row>
    <row r="421" spans="1:45" s="64" customFormat="1" hidden="1">
      <c r="A421" s="65" t="s">
        <v>376</v>
      </c>
      <c r="B421" s="65" t="s">
        <v>377</v>
      </c>
      <c r="C421" s="83" t="str">
        <f t="shared" si="12"/>
        <v>MW Master Chart April 2016 - Analysis &amp; Requirements Defin.</v>
      </c>
      <c r="D421" s="65">
        <v>121000</v>
      </c>
      <c r="E421" s="65" t="s">
        <v>177</v>
      </c>
      <c r="F421" s="65" t="s">
        <v>134</v>
      </c>
      <c r="G421" s="65" t="s">
        <v>178</v>
      </c>
      <c r="H421" s="65" t="s">
        <v>139</v>
      </c>
      <c r="I421" s="76"/>
      <c r="J421" s="82"/>
      <c r="K421" s="66"/>
      <c r="L421" s="61">
        <f t="shared" si="13"/>
        <v>0</v>
      </c>
      <c r="M421" s="72"/>
      <c r="N421" s="73"/>
      <c r="O421" s="52"/>
      <c r="P421" s="52"/>
      <c r="Q421" s="52"/>
      <c r="R421" s="52"/>
      <c r="S421" s="52"/>
      <c r="T421" s="52"/>
      <c r="U421" s="52"/>
      <c r="V421" s="52"/>
      <c r="W421" s="52"/>
      <c r="X421" s="52"/>
      <c r="Y421" s="52"/>
      <c r="Z421" s="52"/>
      <c r="AA421" s="52"/>
      <c r="AB421" s="52"/>
      <c r="AC421" s="52"/>
      <c r="AD421" s="52"/>
      <c r="AE421" s="52"/>
      <c r="AF421" s="52"/>
      <c r="AG421" s="52"/>
      <c r="AH421" s="52"/>
      <c r="AI421" s="52"/>
      <c r="AJ421" s="52"/>
      <c r="AK421" s="52"/>
      <c r="AL421" s="52"/>
      <c r="AM421" s="52"/>
      <c r="AN421" s="52"/>
      <c r="AO421" s="52"/>
      <c r="AP421" s="52"/>
      <c r="AQ421" s="52"/>
      <c r="AR421" s="52"/>
      <c r="AS421" s="52"/>
    </row>
    <row r="422" spans="1:45" s="64" customFormat="1" hidden="1">
      <c r="A422" s="65" t="s">
        <v>376</v>
      </c>
      <c r="B422" s="65" t="s">
        <v>377</v>
      </c>
      <c r="C422" s="83" t="str">
        <f t="shared" si="12"/>
        <v>MW Master Chart April 2016 - Analysis &amp; Requirements Defin.</v>
      </c>
      <c r="D422" s="65">
        <v>121100</v>
      </c>
      <c r="E422" s="65" t="s">
        <v>382</v>
      </c>
      <c r="F422" s="65" t="s">
        <v>134</v>
      </c>
      <c r="G422" s="65" t="s">
        <v>178</v>
      </c>
      <c r="H422" s="65" t="s">
        <v>139</v>
      </c>
      <c r="I422" s="76"/>
      <c r="J422" s="82"/>
      <c r="K422" s="66"/>
      <c r="L422" s="61">
        <f t="shared" si="13"/>
        <v>0</v>
      </c>
      <c r="M422" s="72"/>
      <c r="N422" s="73"/>
      <c r="O422" s="52"/>
      <c r="P422" s="52"/>
      <c r="Q422" s="52"/>
      <c r="R422" s="52"/>
      <c r="S422" s="52"/>
      <c r="T422" s="52"/>
      <c r="U422" s="52"/>
      <c r="V422" s="52"/>
      <c r="W422" s="52"/>
      <c r="X422" s="52"/>
      <c r="Y422" s="52"/>
      <c r="Z422" s="52"/>
      <c r="AA422" s="52"/>
      <c r="AB422" s="52"/>
      <c r="AC422" s="52"/>
      <c r="AD422" s="52"/>
      <c r="AE422" s="52"/>
      <c r="AF422" s="52"/>
      <c r="AG422" s="52"/>
      <c r="AH422" s="52"/>
      <c r="AI422" s="52"/>
      <c r="AJ422" s="52"/>
      <c r="AK422" s="52"/>
      <c r="AL422" s="52"/>
      <c r="AM422" s="52"/>
      <c r="AN422" s="52"/>
      <c r="AO422" s="52"/>
      <c r="AP422" s="52"/>
      <c r="AQ422" s="52"/>
      <c r="AR422" s="52"/>
      <c r="AS422" s="52"/>
    </row>
    <row r="423" spans="1:45" s="64" customFormat="1" hidden="1">
      <c r="A423" s="65" t="s">
        <v>376</v>
      </c>
      <c r="B423" s="65" t="s">
        <v>377</v>
      </c>
      <c r="C423" s="83" t="str">
        <f t="shared" si="12"/>
        <v>MW Master Chart April 2016 - Analysis &amp; Requirements Defin.</v>
      </c>
      <c r="D423" s="65">
        <v>121200</v>
      </c>
      <c r="E423" s="65" t="s">
        <v>179</v>
      </c>
      <c r="F423" s="65" t="s">
        <v>134</v>
      </c>
      <c r="G423" s="65" t="s">
        <v>178</v>
      </c>
      <c r="H423" s="65" t="s">
        <v>139</v>
      </c>
      <c r="I423" s="76"/>
      <c r="J423" s="82"/>
      <c r="K423" s="66"/>
      <c r="L423" s="61">
        <f t="shared" si="13"/>
        <v>0</v>
      </c>
      <c r="M423" s="72"/>
      <c r="N423" s="73"/>
      <c r="O423" s="52"/>
      <c r="P423" s="52"/>
      <c r="Q423" s="52"/>
      <c r="R423" s="52"/>
      <c r="S423" s="52"/>
      <c r="T423" s="52"/>
      <c r="U423" s="52"/>
      <c r="V423" s="52"/>
      <c r="W423" s="52"/>
      <c r="X423" s="52"/>
      <c r="Y423" s="52"/>
      <c r="Z423" s="52"/>
      <c r="AA423" s="52"/>
      <c r="AB423" s="52"/>
      <c r="AC423" s="52"/>
      <c r="AD423" s="52"/>
      <c r="AE423" s="52"/>
      <c r="AF423" s="52"/>
      <c r="AG423" s="52"/>
      <c r="AH423" s="52"/>
      <c r="AI423" s="52"/>
      <c r="AJ423" s="52"/>
      <c r="AK423" s="52"/>
      <c r="AL423" s="52"/>
      <c r="AM423" s="52"/>
      <c r="AN423" s="52"/>
      <c r="AO423" s="52"/>
      <c r="AP423" s="52"/>
      <c r="AQ423" s="52"/>
      <c r="AR423" s="52"/>
      <c r="AS423" s="52"/>
    </row>
    <row r="424" spans="1:45" s="64" customFormat="1" hidden="1">
      <c r="A424" s="65" t="s">
        <v>376</v>
      </c>
      <c r="B424" s="65" t="s">
        <v>377</v>
      </c>
      <c r="C424" s="83" t="str">
        <f t="shared" si="12"/>
        <v>MW Master Chart April 2016 - Security</v>
      </c>
      <c r="D424" s="65">
        <v>131000</v>
      </c>
      <c r="E424" s="65" t="s">
        <v>180</v>
      </c>
      <c r="F424" s="65" t="s">
        <v>168</v>
      </c>
      <c r="G424" s="65" t="s">
        <v>169</v>
      </c>
      <c r="H424" s="65" t="s">
        <v>139</v>
      </c>
      <c r="I424" s="76"/>
      <c r="J424" s="82"/>
      <c r="K424" s="66"/>
      <c r="L424" s="61">
        <f t="shared" si="13"/>
        <v>0</v>
      </c>
      <c r="M424" s="72"/>
      <c r="N424" s="73"/>
      <c r="O424" s="52"/>
      <c r="P424" s="52"/>
      <c r="Q424" s="52"/>
      <c r="R424" s="52"/>
      <c r="S424" s="52"/>
      <c r="T424" s="52"/>
      <c r="U424" s="52"/>
      <c r="V424" s="52"/>
      <c r="W424" s="52"/>
      <c r="X424" s="52"/>
      <c r="Y424" s="52"/>
      <c r="Z424" s="52"/>
      <c r="AA424" s="52"/>
      <c r="AB424" s="52"/>
      <c r="AC424" s="52"/>
      <c r="AD424" s="52"/>
      <c r="AE424" s="52"/>
      <c r="AF424" s="52"/>
      <c r="AG424" s="52"/>
      <c r="AH424" s="52"/>
      <c r="AI424" s="52"/>
      <c r="AJ424" s="52"/>
      <c r="AK424" s="52"/>
      <c r="AL424" s="52"/>
      <c r="AM424" s="52"/>
      <c r="AN424" s="52"/>
      <c r="AO424" s="52"/>
      <c r="AP424" s="52"/>
      <c r="AQ424" s="52"/>
      <c r="AR424" s="52"/>
      <c r="AS424" s="52"/>
    </row>
    <row r="425" spans="1:45" s="64" customFormat="1" hidden="1">
      <c r="A425" s="65" t="s">
        <v>376</v>
      </c>
      <c r="B425" s="65" t="s">
        <v>377</v>
      </c>
      <c r="C425" s="83" t="str">
        <f t="shared" si="12"/>
        <v>MW Master Chart April 2016 - Design</v>
      </c>
      <c r="D425" s="65">
        <v>141000</v>
      </c>
      <c r="E425" s="65" t="s">
        <v>181</v>
      </c>
      <c r="F425" s="65" t="s">
        <v>144</v>
      </c>
      <c r="G425" s="65" t="s">
        <v>145</v>
      </c>
      <c r="H425" s="65" t="s">
        <v>139</v>
      </c>
      <c r="I425" s="76"/>
      <c r="J425" s="82"/>
      <c r="K425" s="66"/>
      <c r="L425" s="61">
        <f t="shared" si="13"/>
        <v>0</v>
      </c>
      <c r="M425" s="72"/>
      <c r="N425" s="73"/>
      <c r="O425" s="52"/>
      <c r="P425" s="52"/>
      <c r="Q425" s="52"/>
      <c r="R425" s="52"/>
      <c r="S425" s="52"/>
      <c r="T425" s="52"/>
      <c r="U425" s="52"/>
      <c r="V425" s="52"/>
      <c r="W425" s="52"/>
      <c r="X425" s="52"/>
      <c r="Y425" s="52"/>
      <c r="Z425" s="52"/>
      <c r="AA425" s="52"/>
      <c r="AB425" s="52"/>
      <c r="AC425" s="52"/>
      <c r="AD425" s="52"/>
      <c r="AE425" s="52"/>
      <c r="AF425" s="52"/>
      <c r="AG425" s="52"/>
      <c r="AH425" s="52"/>
      <c r="AI425" s="52"/>
      <c r="AJ425" s="52"/>
      <c r="AK425" s="52"/>
      <c r="AL425" s="52"/>
      <c r="AM425" s="52"/>
      <c r="AN425" s="52"/>
      <c r="AO425" s="52"/>
      <c r="AP425" s="52"/>
      <c r="AQ425" s="52"/>
      <c r="AR425" s="52"/>
      <c r="AS425" s="52"/>
    </row>
    <row r="426" spans="1:45" s="64" customFormat="1" hidden="1">
      <c r="A426" s="65" t="s">
        <v>376</v>
      </c>
      <c r="B426" s="65" t="s">
        <v>377</v>
      </c>
      <c r="C426" s="83" t="str">
        <f t="shared" si="12"/>
        <v>MW Master Chart April 2016 - Design</v>
      </c>
      <c r="D426" s="65">
        <v>141010</v>
      </c>
      <c r="E426" s="65" t="s">
        <v>143</v>
      </c>
      <c r="F426" s="65" t="s">
        <v>144</v>
      </c>
      <c r="G426" s="65" t="s">
        <v>145</v>
      </c>
      <c r="H426" s="65"/>
      <c r="I426" s="76"/>
      <c r="J426" s="82"/>
      <c r="K426" s="66"/>
      <c r="L426" s="61">
        <f t="shared" si="13"/>
        <v>0</v>
      </c>
      <c r="M426" s="72"/>
      <c r="N426" s="73"/>
      <c r="O426" s="52"/>
      <c r="P426" s="52"/>
      <c r="Q426" s="52"/>
      <c r="R426" s="52"/>
      <c r="S426" s="52"/>
      <c r="T426" s="52"/>
      <c r="U426" s="52"/>
      <c r="V426" s="52"/>
      <c r="W426" s="52"/>
      <c r="X426" s="52"/>
      <c r="Y426" s="52"/>
      <c r="Z426" s="52"/>
      <c r="AA426" s="52"/>
      <c r="AB426" s="52"/>
      <c r="AC426" s="52"/>
      <c r="AD426" s="52"/>
      <c r="AE426" s="52"/>
      <c r="AF426" s="52"/>
      <c r="AG426" s="52"/>
      <c r="AH426" s="52"/>
      <c r="AI426" s="52"/>
      <c r="AJ426" s="52"/>
      <c r="AK426" s="52"/>
      <c r="AL426" s="52"/>
      <c r="AM426" s="52"/>
      <c r="AN426" s="52"/>
      <c r="AO426" s="52"/>
      <c r="AP426" s="52"/>
      <c r="AQ426" s="52"/>
      <c r="AR426" s="52"/>
      <c r="AS426" s="52"/>
    </row>
    <row r="427" spans="1:45" s="64" customFormat="1" hidden="1">
      <c r="A427" s="65" t="s">
        <v>376</v>
      </c>
      <c r="B427" s="65" t="s">
        <v>377</v>
      </c>
      <c r="C427" s="83" t="str">
        <f t="shared" si="12"/>
        <v>MW Master Chart April 2016 - Design</v>
      </c>
      <c r="D427" s="65">
        <v>141100</v>
      </c>
      <c r="E427" s="65" t="s">
        <v>146</v>
      </c>
      <c r="F427" s="65" t="s">
        <v>144</v>
      </c>
      <c r="G427" s="65" t="s">
        <v>145</v>
      </c>
      <c r="H427" s="65" t="s">
        <v>139</v>
      </c>
      <c r="I427" s="76"/>
      <c r="J427" s="82"/>
      <c r="K427" s="66"/>
      <c r="L427" s="61">
        <f t="shared" si="13"/>
        <v>0</v>
      </c>
      <c r="M427" s="72"/>
      <c r="N427" s="73"/>
      <c r="O427" s="52"/>
      <c r="P427" s="52"/>
      <c r="Q427" s="52"/>
      <c r="R427" s="52"/>
      <c r="S427" s="52"/>
      <c r="T427" s="52"/>
      <c r="U427" s="52"/>
      <c r="V427" s="52"/>
      <c r="W427" s="52"/>
      <c r="X427" s="52"/>
      <c r="Y427" s="52"/>
      <c r="Z427" s="52"/>
      <c r="AA427" s="52"/>
      <c r="AB427" s="52"/>
      <c r="AC427" s="52"/>
      <c r="AD427" s="52"/>
      <c r="AE427" s="52"/>
      <c r="AF427" s="52"/>
      <c r="AG427" s="52"/>
      <c r="AH427" s="52"/>
      <c r="AI427" s="52"/>
      <c r="AJ427" s="52"/>
      <c r="AK427" s="52"/>
      <c r="AL427" s="52"/>
      <c r="AM427" s="52"/>
      <c r="AN427" s="52"/>
      <c r="AO427" s="52"/>
      <c r="AP427" s="52"/>
      <c r="AQ427" s="52"/>
      <c r="AR427" s="52"/>
      <c r="AS427" s="52"/>
    </row>
    <row r="428" spans="1:45" s="64" customFormat="1" hidden="1">
      <c r="A428" s="65" t="s">
        <v>376</v>
      </c>
      <c r="B428" s="65" t="s">
        <v>377</v>
      </c>
      <c r="C428" s="83" t="str">
        <f t="shared" si="12"/>
        <v>MW Master Chart April 2016 - Design</v>
      </c>
      <c r="D428" s="65">
        <v>141200</v>
      </c>
      <c r="E428" s="65" t="s">
        <v>383</v>
      </c>
      <c r="F428" s="65" t="s">
        <v>144</v>
      </c>
      <c r="G428" s="65" t="s">
        <v>145</v>
      </c>
      <c r="H428" s="65" t="s">
        <v>139</v>
      </c>
      <c r="I428" s="76"/>
      <c r="J428" s="82"/>
      <c r="K428" s="66"/>
      <c r="L428" s="61">
        <f t="shared" si="13"/>
        <v>0</v>
      </c>
      <c r="M428" s="72"/>
      <c r="N428" s="73"/>
      <c r="O428" s="52"/>
      <c r="P428" s="52"/>
      <c r="Q428" s="52"/>
      <c r="R428" s="52"/>
      <c r="S428" s="52"/>
      <c r="T428" s="52"/>
      <c r="U428" s="52"/>
      <c r="V428" s="52"/>
      <c r="W428" s="52"/>
      <c r="X428" s="52"/>
      <c r="Y428" s="52"/>
      <c r="Z428" s="52"/>
      <c r="AA428" s="52"/>
      <c r="AB428" s="52"/>
      <c r="AC428" s="52"/>
      <c r="AD428" s="52"/>
      <c r="AE428" s="52"/>
      <c r="AF428" s="52"/>
      <c r="AG428" s="52"/>
      <c r="AH428" s="52"/>
      <c r="AI428" s="52"/>
      <c r="AJ428" s="52"/>
      <c r="AK428" s="52"/>
      <c r="AL428" s="52"/>
      <c r="AM428" s="52"/>
      <c r="AN428" s="52"/>
      <c r="AO428" s="52"/>
      <c r="AP428" s="52"/>
      <c r="AQ428" s="52"/>
      <c r="AR428" s="52"/>
      <c r="AS428" s="52"/>
    </row>
    <row r="429" spans="1:45" s="64" customFormat="1" hidden="1">
      <c r="A429" s="65" t="s">
        <v>376</v>
      </c>
      <c r="B429" s="65" t="s">
        <v>377</v>
      </c>
      <c r="C429" s="83" t="str">
        <f t="shared" si="12"/>
        <v>MW Master Chart April 2016 - Design</v>
      </c>
      <c r="D429" s="65">
        <v>141400</v>
      </c>
      <c r="E429" s="65" t="s">
        <v>197</v>
      </c>
      <c r="F429" s="65" t="s">
        <v>144</v>
      </c>
      <c r="G429" s="65" t="s">
        <v>145</v>
      </c>
      <c r="H429" s="65" t="s">
        <v>139</v>
      </c>
      <c r="I429" s="76"/>
      <c r="J429" s="82"/>
      <c r="K429" s="66"/>
      <c r="L429" s="61">
        <f t="shared" si="13"/>
        <v>0</v>
      </c>
      <c r="M429" s="72"/>
      <c r="N429" s="73"/>
      <c r="O429" s="52"/>
      <c r="P429" s="52"/>
      <c r="Q429" s="52"/>
      <c r="R429" s="52"/>
      <c r="S429" s="52"/>
      <c r="T429" s="52"/>
      <c r="U429" s="52"/>
      <c r="V429" s="52"/>
      <c r="W429" s="52"/>
      <c r="X429" s="52"/>
      <c r="Y429" s="52"/>
      <c r="Z429" s="52"/>
      <c r="AA429" s="52"/>
      <c r="AB429" s="52"/>
      <c r="AC429" s="52"/>
      <c r="AD429" s="52"/>
      <c r="AE429" s="52"/>
      <c r="AF429" s="52"/>
      <c r="AG429" s="52"/>
      <c r="AH429" s="52"/>
      <c r="AI429" s="52"/>
      <c r="AJ429" s="52"/>
      <c r="AK429" s="52"/>
      <c r="AL429" s="52"/>
      <c r="AM429" s="52"/>
      <c r="AN429" s="52"/>
      <c r="AO429" s="52"/>
      <c r="AP429" s="52"/>
      <c r="AQ429" s="52"/>
      <c r="AR429" s="52"/>
      <c r="AS429" s="52"/>
    </row>
    <row r="430" spans="1:45" s="64" customFormat="1" hidden="1">
      <c r="A430" s="65" t="s">
        <v>376</v>
      </c>
      <c r="B430" s="65" t="s">
        <v>377</v>
      </c>
      <c r="C430" s="83" t="str">
        <f t="shared" si="12"/>
        <v>MW Master Chart April 2016 - Design</v>
      </c>
      <c r="D430" s="65">
        <v>141500</v>
      </c>
      <c r="E430" s="65" t="s">
        <v>225</v>
      </c>
      <c r="F430" s="65" t="s">
        <v>144</v>
      </c>
      <c r="G430" s="65" t="s">
        <v>145</v>
      </c>
      <c r="H430" s="65" t="s">
        <v>139</v>
      </c>
      <c r="I430" s="76"/>
      <c r="J430" s="82"/>
      <c r="K430" s="66"/>
      <c r="L430" s="61">
        <f t="shared" si="13"/>
        <v>0</v>
      </c>
      <c r="M430" s="72"/>
      <c r="N430" s="73"/>
      <c r="O430" s="52"/>
      <c r="P430" s="52"/>
      <c r="Q430" s="52"/>
      <c r="R430" s="52"/>
      <c r="S430" s="52"/>
      <c r="T430" s="52"/>
      <c r="U430" s="52"/>
      <c r="V430" s="52"/>
      <c r="W430" s="52"/>
      <c r="X430" s="52"/>
      <c r="Y430" s="52"/>
      <c r="Z430" s="52"/>
      <c r="AA430" s="52"/>
      <c r="AB430" s="52"/>
      <c r="AC430" s="52"/>
      <c r="AD430" s="52"/>
      <c r="AE430" s="52"/>
      <c r="AF430" s="52"/>
      <c r="AG430" s="52"/>
      <c r="AH430" s="52"/>
      <c r="AI430" s="52"/>
      <c r="AJ430" s="52"/>
      <c r="AK430" s="52"/>
      <c r="AL430" s="52"/>
      <c r="AM430" s="52"/>
      <c r="AN430" s="52"/>
      <c r="AO430" s="52"/>
      <c r="AP430" s="52"/>
      <c r="AQ430" s="52"/>
      <c r="AR430" s="52"/>
      <c r="AS430" s="52"/>
    </row>
    <row r="431" spans="1:45" s="64" customFormat="1" hidden="1">
      <c r="A431" s="65" t="s">
        <v>376</v>
      </c>
      <c r="B431" s="65" t="s">
        <v>377</v>
      </c>
      <c r="C431" s="83" t="str">
        <f t="shared" si="12"/>
        <v>MW Master Chart April 2016 - Design</v>
      </c>
      <c r="D431" s="65">
        <v>141510</v>
      </c>
      <c r="E431" s="65" t="s">
        <v>226</v>
      </c>
      <c r="F431" s="65" t="s">
        <v>144</v>
      </c>
      <c r="G431" s="65" t="s">
        <v>145</v>
      </c>
      <c r="H431" s="65" t="s">
        <v>139</v>
      </c>
      <c r="I431" s="76"/>
      <c r="J431" s="82"/>
      <c r="K431" s="66"/>
      <c r="L431" s="61">
        <f t="shared" si="13"/>
        <v>0</v>
      </c>
      <c r="M431" s="72"/>
      <c r="N431" s="73"/>
      <c r="O431" s="52"/>
      <c r="P431" s="52"/>
      <c r="Q431" s="52"/>
      <c r="R431" s="52"/>
      <c r="S431" s="52"/>
      <c r="T431" s="52"/>
      <c r="U431" s="52"/>
      <c r="V431" s="52"/>
      <c r="W431" s="52"/>
      <c r="X431" s="52"/>
      <c r="Y431" s="52"/>
      <c r="Z431" s="52"/>
      <c r="AA431" s="52"/>
      <c r="AB431" s="52"/>
      <c r="AC431" s="52"/>
      <c r="AD431" s="52"/>
      <c r="AE431" s="52"/>
      <c r="AF431" s="52"/>
      <c r="AG431" s="52"/>
      <c r="AH431" s="52"/>
      <c r="AI431" s="52"/>
      <c r="AJ431" s="52"/>
      <c r="AK431" s="52"/>
      <c r="AL431" s="52"/>
      <c r="AM431" s="52"/>
      <c r="AN431" s="52"/>
      <c r="AO431" s="52"/>
      <c r="AP431" s="52"/>
      <c r="AQ431" s="52"/>
      <c r="AR431" s="52"/>
      <c r="AS431" s="52"/>
    </row>
    <row r="432" spans="1:45" s="64" customFormat="1" hidden="1">
      <c r="A432" s="65" t="s">
        <v>376</v>
      </c>
      <c r="B432" s="65" t="s">
        <v>377</v>
      </c>
      <c r="C432" s="83" t="str">
        <f t="shared" si="12"/>
        <v>MW Master Chart April 2016 - Design</v>
      </c>
      <c r="D432" s="65">
        <v>141600</v>
      </c>
      <c r="E432" s="65" t="s">
        <v>147</v>
      </c>
      <c r="F432" s="65" t="s">
        <v>144</v>
      </c>
      <c r="G432" s="65" t="s">
        <v>145</v>
      </c>
      <c r="H432" s="65" t="s">
        <v>139</v>
      </c>
      <c r="I432" s="76"/>
      <c r="J432" s="82"/>
      <c r="K432" s="66"/>
      <c r="L432" s="61">
        <f t="shared" si="13"/>
        <v>0</v>
      </c>
      <c r="M432" s="72"/>
      <c r="N432" s="73"/>
      <c r="O432" s="52"/>
      <c r="P432" s="52"/>
      <c r="Q432" s="52"/>
      <c r="R432" s="52"/>
      <c r="S432" s="52"/>
      <c r="T432" s="52"/>
      <c r="U432" s="52"/>
      <c r="V432" s="52"/>
      <c r="W432" s="52"/>
      <c r="X432" s="52"/>
      <c r="Y432" s="52"/>
      <c r="Z432" s="52"/>
      <c r="AA432" s="52"/>
      <c r="AB432" s="52"/>
      <c r="AC432" s="52"/>
      <c r="AD432" s="52"/>
      <c r="AE432" s="52"/>
      <c r="AF432" s="52"/>
      <c r="AG432" s="52"/>
      <c r="AH432" s="52"/>
      <c r="AI432" s="52"/>
      <c r="AJ432" s="52"/>
      <c r="AK432" s="52"/>
      <c r="AL432" s="52"/>
      <c r="AM432" s="52"/>
      <c r="AN432" s="52"/>
      <c r="AO432" s="52"/>
      <c r="AP432" s="52"/>
      <c r="AQ432" s="52"/>
      <c r="AR432" s="52"/>
      <c r="AS432" s="52"/>
    </row>
    <row r="433" spans="1:45" s="64" customFormat="1" hidden="1">
      <c r="A433" s="65" t="s">
        <v>376</v>
      </c>
      <c r="B433" s="65" t="s">
        <v>377</v>
      </c>
      <c r="C433" s="83" t="str">
        <f t="shared" si="12"/>
        <v>MW Master Chart April 2016 - Design</v>
      </c>
      <c r="D433" s="65">
        <v>141700</v>
      </c>
      <c r="E433" s="65" t="s">
        <v>148</v>
      </c>
      <c r="F433" s="65" t="s">
        <v>144</v>
      </c>
      <c r="G433" s="65" t="s">
        <v>145</v>
      </c>
      <c r="H433" s="65" t="s">
        <v>139</v>
      </c>
      <c r="I433" s="76"/>
      <c r="J433" s="82"/>
      <c r="K433" s="66"/>
      <c r="L433" s="61">
        <f t="shared" si="13"/>
        <v>0</v>
      </c>
      <c r="M433" s="72"/>
      <c r="N433" s="73"/>
      <c r="O433" s="52"/>
      <c r="P433" s="52"/>
      <c r="Q433" s="52"/>
      <c r="R433" s="52"/>
      <c r="S433" s="52"/>
      <c r="T433" s="52"/>
      <c r="U433" s="52"/>
      <c r="V433" s="52"/>
      <c r="W433" s="52"/>
      <c r="X433" s="52"/>
      <c r="Y433" s="52"/>
      <c r="Z433" s="52"/>
      <c r="AA433" s="52"/>
      <c r="AB433" s="52"/>
      <c r="AC433" s="52"/>
      <c r="AD433" s="52"/>
      <c r="AE433" s="52"/>
      <c r="AF433" s="52"/>
      <c r="AG433" s="52"/>
      <c r="AH433" s="52"/>
      <c r="AI433" s="52"/>
      <c r="AJ433" s="52"/>
      <c r="AK433" s="52"/>
      <c r="AL433" s="52"/>
      <c r="AM433" s="52"/>
      <c r="AN433" s="52"/>
      <c r="AO433" s="52"/>
      <c r="AP433" s="52"/>
      <c r="AQ433" s="52"/>
      <c r="AR433" s="52"/>
      <c r="AS433" s="52"/>
    </row>
    <row r="434" spans="1:45" s="64" customFormat="1" hidden="1">
      <c r="A434" s="65" t="s">
        <v>376</v>
      </c>
      <c r="B434" s="65" t="s">
        <v>377</v>
      </c>
      <c r="C434" s="83" t="str">
        <f t="shared" si="12"/>
        <v>MW Master Chart April 2016 - Design</v>
      </c>
      <c r="D434" s="65">
        <v>141800</v>
      </c>
      <c r="E434" s="65" t="s">
        <v>149</v>
      </c>
      <c r="F434" s="65" t="s">
        <v>144</v>
      </c>
      <c r="G434" s="65" t="s">
        <v>145</v>
      </c>
      <c r="H434" s="65" t="s">
        <v>139</v>
      </c>
      <c r="I434" s="76"/>
      <c r="J434" s="82"/>
      <c r="K434" s="66"/>
      <c r="L434" s="61">
        <f t="shared" si="13"/>
        <v>0</v>
      </c>
      <c r="M434" s="72"/>
      <c r="N434" s="73"/>
      <c r="O434" s="52"/>
      <c r="P434" s="52"/>
      <c r="Q434" s="52"/>
      <c r="R434" s="52"/>
      <c r="S434" s="52"/>
      <c r="T434" s="52"/>
      <c r="U434" s="52"/>
      <c r="V434" s="52"/>
      <c r="W434" s="52"/>
      <c r="X434" s="52"/>
      <c r="Y434" s="52"/>
      <c r="Z434" s="52"/>
      <c r="AA434" s="52"/>
      <c r="AB434" s="52"/>
      <c r="AC434" s="52"/>
      <c r="AD434" s="52"/>
      <c r="AE434" s="52"/>
      <c r="AF434" s="52"/>
      <c r="AG434" s="52"/>
      <c r="AH434" s="52"/>
      <c r="AI434" s="52"/>
      <c r="AJ434" s="52"/>
      <c r="AK434" s="52"/>
      <c r="AL434" s="52"/>
      <c r="AM434" s="52"/>
      <c r="AN434" s="52"/>
      <c r="AO434" s="52"/>
      <c r="AP434" s="52"/>
      <c r="AQ434" s="52"/>
      <c r="AR434" s="52"/>
      <c r="AS434" s="52"/>
    </row>
    <row r="435" spans="1:45" s="64" customFormat="1" hidden="1">
      <c r="A435" s="65" t="s">
        <v>376</v>
      </c>
      <c r="B435" s="65" t="s">
        <v>377</v>
      </c>
      <c r="C435" s="83" t="str">
        <f t="shared" si="12"/>
        <v>MW Master Chart April 2016 - Design</v>
      </c>
      <c r="D435" s="65">
        <v>141900</v>
      </c>
      <c r="E435" s="65" t="s">
        <v>150</v>
      </c>
      <c r="F435" s="65" t="s">
        <v>144</v>
      </c>
      <c r="G435" s="65" t="s">
        <v>145</v>
      </c>
      <c r="H435" s="65" t="s">
        <v>139</v>
      </c>
      <c r="I435" s="76"/>
      <c r="J435" s="82"/>
      <c r="K435" s="66"/>
      <c r="L435" s="61">
        <f t="shared" si="13"/>
        <v>0</v>
      </c>
      <c r="M435" s="72"/>
      <c r="N435" s="73"/>
      <c r="O435" s="52"/>
      <c r="P435" s="52"/>
      <c r="Q435" s="52"/>
      <c r="R435" s="52"/>
      <c r="S435" s="52"/>
      <c r="T435" s="52"/>
      <c r="U435" s="52"/>
      <c r="V435" s="52"/>
      <c r="W435" s="52"/>
      <c r="X435" s="52"/>
      <c r="Y435" s="52"/>
      <c r="Z435" s="52"/>
      <c r="AA435" s="52"/>
      <c r="AB435" s="52"/>
      <c r="AC435" s="52"/>
      <c r="AD435" s="52"/>
      <c r="AE435" s="52"/>
      <c r="AF435" s="52"/>
      <c r="AG435" s="52"/>
      <c r="AH435" s="52"/>
      <c r="AI435" s="52"/>
      <c r="AJ435" s="52"/>
      <c r="AK435" s="52"/>
      <c r="AL435" s="52"/>
      <c r="AM435" s="52"/>
      <c r="AN435" s="52"/>
      <c r="AO435" s="52"/>
      <c r="AP435" s="52"/>
      <c r="AQ435" s="52"/>
      <c r="AR435" s="52"/>
      <c r="AS435" s="52"/>
    </row>
    <row r="436" spans="1:45" s="64" customFormat="1" hidden="1">
      <c r="A436" s="65" t="s">
        <v>376</v>
      </c>
      <c r="B436" s="65" t="s">
        <v>377</v>
      </c>
      <c r="C436" s="83" t="str">
        <f t="shared" si="12"/>
        <v>MW Master Chart April 2016 - Design</v>
      </c>
      <c r="D436" s="65">
        <v>142000</v>
      </c>
      <c r="E436" s="65" t="s">
        <v>384</v>
      </c>
      <c r="F436" s="65" t="s">
        <v>144</v>
      </c>
      <c r="G436" s="65" t="s">
        <v>145</v>
      </c>
      <c r="H436" s="65" t="s">
        <v>139</v>
      </c>
      <c r="I436" s="76"/>
      <c r="J436" s="82"/>
      <c r="K436" s="66"/>
      <c r="L436" s="61">
        <f t="shared" si="13"/>
        <v>0</v>
      </c>
      <c r="M436" s="72"/>
      <c r="N436" s="73"/>
      <c r="O436" s="52"/>
      <c r="P436" s="52"/>
      <c r="Q436" s="52"/>
      <c r="R436" s="52"/>
      <c r="S436" s="52"/>
      <c r="T436" s="52"/>
      <c r="U436" s="52"/>
      <c r="V436" s="52"/>
      <c r="W436" s="52"/>
      <c r="X436" s="52"/>
      <c r="Y436" s="52"/>
      <c r="Z436" s="52"/>
      <c r="AA436" s="52"/>
      <c r="AB436" s="52"/>
      <c r="AC436" s="52"/>
      <c r="AD436" s="52"/>
      <c r="AE436" s="52"/>
      <c r="AF436" s="52"/>
      <c r="AG436" s="52"/>
      <c r="AH436" s="52"/>
      <c r="AI436" s="52"/>
      <c r="AJ436" s="52"/>
      <c r="AK436" s="52"/>
      <c r="AL436" s="52"/>
      <c r="AM436" s="52"/>
      <c r="AN436" s="52"/>
      <c r="AO436" s="52"/>
      <c r="AP436" s="52"/>
      <c r="AQ436" s="52"/>
      <c r="AR436" s="52"/>
      <c r="AS436" s="52"/>
    </row>
    <row r="437" spans="1:45" s="64" customFormat="1" hidden="1">
      <c r="A437" s="65" t="s">
        <v>376</v>
      </c>
      <c r="B437" s="65" t="s">
        <v>377</v>
      </c>
      <c r="C437" s="83" t="str">
        <f t="shared" si="12"/>
        <v>MW Master Chart April 2016 - Design</v>
      </c>
      <c r="D437" s="65">
        <v>142100</v>
      </c>
      <c r="E437" s="65" t="s">
        <v>151</v>
      </c>
      <c r="F437" s="65" t="s">
        <v>144</v>
      </c>
      <c r="G437" s="65" t="s">
        <v>145</v>
      </c>
      <c r="H437" s="65" t="s">
        <v>139</v>
      </c>
      <c r="I437" s="76"/>
      <c r="J437" s="82"/>
      <c r="K437" s="66"/>
      <c r="L437" s="61">
        <f t="shared" si="13"/>
        <v>0</v>
      </c>
      <c r="M437" s="72"/>
      <c r="N437" s="73"/>
      <c r="O437" s="52"/>
      <c r="P437" s="52"/>
      <c r="Q437" s="52"/>
      <c r="R437" s="52"/>
      <c r="S437" s="52"/>
      <c r="T437" s="52"/>
      <c r="U437" s="52"/>
      <c r="V437" s="52"/>
      <c r="W437" s="52"/>
      <c r="X437" s="52"/>
      <c r="Y437" s="52"/>
      <c r="Z437" s="52"/>
      <c r="AA437" s="52"/>
      <c r="AB437" s="52"/>
      <c r="AC437" s="52"/>
      <c r="AD437" s="52"/>
      <c r="AE437" s="52"/>
      <c r="AF437" s="52"/>
      <c r="AG437" s="52"/>
      <c r="AH437" s="52"/>
      <c r="AI437" s="52"/>
      <c r="AJ437" s="52"/>
      <c r="AK437" s="52"/>
      <c r="AL437" s="52"/>
      <c r="AM437" s="52"/>
      <c r="AN437" s="52"/>
      <c r="AO437" s="52"/>
      <c r="AP437" s="52"/>
      <c r="AQ437" s="52"/>
      <c r="AR437" s="52"/>
      <c r="AS437" s="52"/>
    </row>
    <row r="438" spans="1:45" s="64" customFormat="1" hidden="1">
      <c r="A438" s="65" t="s">
        <v>376</v>
      </c>
      <c r="B438" s="65" t="s">
        <v>377</v>
      </c>
      <c r="C438" s="83" t="str">
        <f t="shared" si="12"/>
        <v>MW Master Chart April 2016 - Design</v>
      </c>
      <c r="D438" s="65">
        <v>142600</v>
      </c>
      <c r="E438" s="65" t="s">
        <v>152</v>
      </c>
      <c r="F438" s="65" t="s">
        <v>144</v>
      </c>
      <c r="G438" s="65" t="s">
        <v>145</v>
      </c>
      <c r="H438" s="65" t="s">
        <v>139</v>
      </c>
      <c r="I438" s="76"/>
      <c r="J438" s="82"/>
      <c r="K438" s="66"/>
      <c r="L438" s="61">
        <f t="shared" si="13"/>
        <v>0</v>
      </c>
      <c r="M438" s="72"/>
      <c r="N438" s="73"/>
      <c r="O438" s="52"/>
      <c r="P438" s="52"/>
      <c r="Q438" s="52"/>
      <c r="R438" s="52"/>
      <c r="S438" s="52"/>
      <c r="T438" s="52"/>
      <c r="U438" s="52"/>
      <c r="V438" s="52"/>
      <c r="W438" s="52"/>
      <c r="X438" s="52"/>
      <c r="Y438" s="52"/>
      <c r="Z438" s="52"/>
      <c r="AA438" s="52"/>
      <c r="AB438" s="52"/>
      <c r="AC438" s="52"/>
      <c r="AD438" s="52"/>
      <c r="AE438" s="52"/>
      <c r="AF438" s="52"/>
      <c r="AG438" s="52"/>
      <c r="AH438" s="52"/>
      <c r="AI438" s="52"/>
      <c r="AJ438" s="52"/>
      <c r="AK438" s="52"/>
      <c r="AL438" s="52"/>
      <c r="AM438" s="52"/>
      <c r="AN438" s="52"/>
      <c r="AO438" s="52"/>
      <c r="AP438" s="52"/>
      <c r="AQ438" s="52"/>
      <c r="AR438" s="52"/>
      <c r="AS438" s="52"/>
    </row>
    <row r="439" spans="1:45" s="64" customFormat="1" hidden="1">
      <c r="A439" s="65" t="s">
        <v>376</v>
      </c>
      <c r="B439" s="65" t="s">
        <v>377</v>
      </c>
      <c r="C439" s="83" t="str">
        <f t="shared" si="12"/>
        <v>MW Master Chart April 2016 - Design</v>
      </c>
      <c r="D439" s="65">
        <v>142700</v>
      </c>
      <c r="E439" s="65" t="s">
        <v>198</v>
      </c>
      <c r="F439" s="65" t="s">
        <v>144</v>
      </c>
      <c r="G439" s="65" t="s">
        <v>145</v>
      </c>
      <c r="H439" s="65" t="s">
        <v>139</v>
      </c>
      <c r="I439" s="76"/>
      <c r="J439" s="82"/>
      <c r="K439" s="66"/>
      <c r="L439" s="61">
        <f t="shared" si="13"/>
        <v>0</v>
      </c>
      <c r="M439" s="72"/>
      <c r="N439" s="73"/>
      <c r="O439" s="52"/>
      <c r="P439" s="52"/>
      <c r="Q439" s="52"/>
      <c r="R439" s="52"/>
      <c r="S439" s="52"/>
      <c r="T439" s="52"/>
      <c r="U439" s="52"/>
      <c r="V439" s="52"/>
      <c r="W439" s="52"/>
      <c r="X439" s="52"/>
      <c r="Y439" s="52"/>
      <c r="Z439" s="52"/>
      <c r="AA439" s="52"/>
      <c r="AB439" s="52"/>
      <c r="AC439" s="52"/>
      <c r="AD439" s="52"/>
      <c r="AE439" s="52"/>
      <c r="AF439" s="52"/>
      <c r="AG439" s="52"/>
      <c r="AH439" s="52"/>
      <c r="AI439" s="52"/>
      <c r="AJ439" s="52"/>
      <c r="AK439" s="52"/>
      <c r="AL439" s="52"/>
      <c r="AM439" s="52"/>
      <c r="AN439" s="52"/>
      <c r="AO439" s="52"/>
      <c r="AP439" s="52"/>
      <c r="AQ439" s="52"/>
      <c r="AR439" s="52"/>
      <c r="AS439" s="52"/>
    </row>
    <row r="440" spans="1:45" s="64" customFormat="1" hidden="1">
      <c r="A440" s="65" t="s">
        <v>376</v>
      </c>
      <c r="B440" s="65" t="s">
        <v>377</v>
      </c>
      <c r="C440" s="83" t="str">
        <f t="shared" si="12"/>
        <v>MW Master Chart April 2016 - Design</v>
      </c>
      <c r="D440" s="65">
        <v>142900</v>
      </c>
      <c r="E440" s="65" t="s">
        <v>385</v>
      </c>
      <c r="F440" s="65" t="s">
        <v>144</v>
      </c>
      <c r="G440" s="65" t="s">
        <v>145</v>
      </c>
      <c r="H440" s="65" t="s">
        <v>139</v>
      </c>
      <c r="I440" s="76"/>
      <c r="J440" s="82"/>
      <c r="K440" s="66"/>
      <c r="L440" s="61">
        <f t="shared" si="13"/>
        <v>0</v>
      </c>
      <c r="M440" s="72"/>
      <c r="N440" s="73"/>
      <c r="O440" s="52"/>
      <c r="P440" s="52"/>
      <c r="Q440" s="52"/>
      <c r="R440" s="52"/>
      <c r="S440" s="52"/>
      <c r="T440" s="52"/>
      <c r="U440" s="52"/>
      <c r="V440" s="52"/>
      <c r="W440" s="52"/>
      <c r="X440" s="52"/>
      <c r="Y440" s="52"/>
      <c r="Z440" s="52"/>
      <c r="AA440" s="52"/>
      <c r="AB440" s="52"/>
      <c r="AC440" s="52"/>
      <c r="AD440" s="52"/>
      <c r="AE440" s="52"/>
      <c r="AF440" s="52"/>
      <c r="AG440" s="52"/>
      <c r="AH440" s="52"/>
      <c r="AI440" s="52"/>
      <c r="AJ440" s="52"/>
      <c r="AK440" s="52"/>
      <c r="AL440" s="52"/>
      <c r="AM440" s="52"/>
      <c r="AN440" s="52"/>
      <c r="AO440" s="52"/>
      <c r="AP440" s="52"/>
      <c r="AQ440" s="52"/>
      <c r="AR440" s="52"/>
      <c r="AS440" s="52"/>
    </row>
    <row r="441" spans="1:45" s="64" customFormat="1" hidden="1">
      <c r="A441" s="65" t="s">
        <v>376</v>
      </c>
      <c r="B441" s="65" t="s">
        <v>377</v>
      </c>
      <c r="C441" s="83" t="str">
        <f t="shared" si="12"/>
        <v>MW Master Chart April 2016 - Planning</v>
      </c>
      <c r="D441" s="65">
        <v>151000</v>
      </c>
      <c r="E441" s="65" t="s">
        <v>370</v>
      </c>
      <c r="F441" s="65" t="s">
        <v>144</v>
      </c>
      <c r="G441" s="65" t="s">
        <v>145</v>
      </c>
      <c r="H441" s="65" t="s">
        <v>139</v>
      </c>
      <c r="I441" s="76"/>
      <c r="J441" s="82"/>
      <c r="K441" s="66"/>
      <c r="L441" s="61">
        <f t="shared" si="13"/>
        <v>0</v>
      </c>
      <c r="M441" s="72"/>
      <c r="N441" s="73"/>
      <c r="O441" s="52"/>
      <c r="P441" s="52"/>
      <c r="Q441" s="52"/>
      <c r="R441" s="52"/>
      <c r="S441" s="52"/>
      <c r="T441" s="52"/>
      <c r="U441" s="52"/>
      <c r="V441" s="52"/>
      <c r="W441" s="52"/>
      <c r="X441" s="52"/>
      <c r="Y441" s="52"/>
      <c r="Z441" s="52"/>
      <c r="AA441" s="52"/>
      <c r="AB441" s="52"/>
      <c r="AC441" s="52"/>
      <c r="AD441" s="52"/>
      <c r="AE441" s="52"/>
      <c r="AF441" s="52"/>
      <c r="AG441" s="52"/>
      <c r="AH441" s="52"/>
      <c r="AI441" s="52"/>
      <c r="AJ441" s="52"/>
      <c r="AK441" s="52"/>
      <c r="AL441" s="52"/>
      <c r="AM441" s="52"/>
      <c r="AN441" s="52"/>
      <c r="AO441" s="52"/>
      <c r="AP441" s="52"/>
      <c r="AQ441" s="52"/>
      <c r="AR441" s="52"/>
      <c r="AS441" s="52"/>
    </row>
    <row r="442" spans="1:45" s="64" customFormat="1" hidden="1">
      <c r="A442" s="65" t="s">
        <v>376</v>
      </c>
      <c r="B442" s="65" t="s">
        <v>377</v>
      </c>
      <c r="C442" s="83" t="str">
        <f t="shared" si="12"/>
        <v>MW Master Chart April 2016 - Planning</v>
      </c>
      <c r="D442" s="65">
        <v>151100</v>
      </c>
      <c r="E442" s="65" t="s">
        <v>199</v>
      </c>
      <c r="F442" s="65" t="s">
        <v>144</v>
      </c>
      <c r="G442" s="65" t="s">
        <v>145</v>
      </c>
      <c r="H442" s="65" t="s">
        <v>139</v>
      </c>
      <c r="I442" s="76"/>
      <c r="J442" s="82"/>
      <c r="K442" s="66"/>
      <c r="L442" s="61">
        <f t="shared" si="13"/>
        <v>0</v>
      </c>
      <c r="M442" s="72"/>
      <c r="N442" s="73"/>
      <c r="O442" s="52"/>
      <c r="P442" s="52"/>
      <c r="Q442" s="52"/>
      <c r="R442" s="52"/>
      <c r="S442" s="52"/>
      <c r="T442" s="52"/>
      <c r="U442" s="52"/>
      <c r="V442" s="52"/>
      <c r="W442" s="52"/>
      <c r="X442" s="52"/>
      <c r="Y442" s="52"/>
      <c r="Z442" s="52"/>
      <c r="AA442" s="52"/>
      <c r="AB442" s="52"/>
      <c r="AC442" s="52"/>
      <c r="AD442" s="52"/>
      <c r="AE442" s="52"/>
      <c r="AF442" s="52"/>
      <c r="AG442" s="52"/>
      <c r="AH442" s="52"/>
      <c r="AI442" s="52"/>
      <c r="AJ442" s="52"/>
      <c r="AK442" s="52"/>
      <c r="AL442" s="52"/>
      <c r="AM442" s="52"/>
      <c r="AN442" s="52"/>
      <c r="AO442" s="52"/>
      <c r="AP442" s="52"/>
      <c r="AQ442" s="52"/>
      <c r="AR442" s="52"/>
      <c r="AS442" s="52"/>
    </row>
    <row r="443" spans="1:45" s="64" customFormat="1" hidden="1">
      <c r="A443" s="65" t="s">
        <v>376</v>
      </c>
      <c r="B443" s="65" t="s">
        <v>377</v>
      </c>
      <c r="C443" s="83" t="str">
        <f t="shared" si="12"/>
        <v>MW Master Chart April 2016 - Planning</v>
      </c>
      <c r="D443" s="65">
        <v>151110</v>
      </c>
      <c r="E443" s="65" t="s">
        <v>200</v>
      </c>
      <c r="F443" s="65" t="s">
        <v>144</v>
      </c>
      <c r="G443" s="65" t="s">
        <v>145</v>
      </c>
      <c r="H443" s="65" t="s">
        <v>139</v>
      </c>
      <c r="I443" s="76"/>
      <c r="J443" s="82"/>
      <c r="K443" s="66"/>
      <c r="L443" s="61">
        <f t="shared" si="13"/>
        <v>0</v>
      </c>
      <c r="M443" s="72"/>
      <c r="N443" s="73"/>
      <c r="O443" s="52"/>
      <c r="P443" s="52"/>
      <c r="Q443" s="52"/>
      <c r="R443" s="52"/>
      <c r="S443" s="52"/>
      <c r="T443" s="52"/>
      <c r="U443" s="52"/>
      <c r="V443" s="52"/>
      <c r="W443" s="52"/>
      <c r="X443" s="52"/>
      <c r="Y443" s="52"/>
      <c r="Z443" s="52"/>
      <c r="AA443" s="52"/>
      <c r="AB443" s="52"/>
      <c r="AC443" s="52"/>
      <c r="AD443" s="52"/>
      <c r="AE443" s="52"/>
      <c r="AF443" s="52"/>
      <c r="AG443" s="52"/>
      <c r="AH443" s="52"/>
      <c r="AI443" s="52"/>
      <c r="AJ443" s="52"/>
      <c r="AK443" s="52"/>
      <c r="AL443" s="52"/>
      <c r="AM443" s="52"/>
      <c r="AN443" s="52"/>
      <c r="AO443" s="52"/>
      <c r="AP443" s="52"/>
      <c r="AQ443" s="52"/>
      <c r="AR443" s="52"/>
      <c r="AS443" s="52"/>
    </row>
    <row r="444" spans="1:45" s="64" customFormat="1" hidden="1">
      <c r="A444" s="65" t="s">
        <v>376</v>
      </c>
      <c r="B444" s="65" t="s">
        <v>377</v>
      </c>
      <c r="C444" s="83" t="str">
        <f t="shared" si="12"/>
        <v>MW Master Chart April 2016 - Planning</v>
      </c>
      <c r="D444" s="65">
        <v>151120</v>
      </c>
      <c r="E444" s="65" t="s">
        <v>227</v>
      </c>
      <c r="F444" s="65" t="s">
        <v>144</v>
      </c>
      <c r="G444" s="65" t="s">
        <v>145</v>
      </c>
      <c r="H444" s="65" t="s">
        <v>139</v>
      </c>
      <c r="I444" s="76"/>
      <c r="J444" s="82"/>
      <c r="K444" s="66"/>
      <c r="L444" s="61">
        <f t="shared" si="13"/>
        <v>0</v>
      </c>
      <c r="M444" s="72"/>
      <c r="N444" s="73"/>
      <c r="O444" s="52"/>
      <c r="P444" s="52"/>
      <c r="Q444" s="52"/>
      <c r="R444" s="52"/>
      <c r="S444" s="52"/>
      <c r="T444" s="52"/>
      <c r="U444" s="52"/>
      <c r="V444" s="52"/>
      <c r="W444" s="52"/>
      <c r="X444" s="52"/>
      <c r="Y444" s="52"/>
      <c r="Z444" s="52"/>
      <c r="AA444" s="52"/>
      <c r="AB444" s="52"/>
      <c r="AC444" s="52"/>
      <c r="AD444" s="52"/>
      <c r="AE444" s="52"/>
      <c r="AF444" s="52"/>
      <c r="AG444" s="52"/>
      <c r="AH444" s="52"/>
      <c r="AI444" s="52"/>
      <c r="AJ444" s="52"/>
      <c r="AK444" s="52"/>
      <c r="AL444" s="52"/>
      <c r="AM444" s="52"/>
      <c r="AN444" s="52"/>
      <c r="AO444" s="52"/>
      <c r="AP444" s="52"/>
      <c r="AQ444" s="52"/>
      <c r="AR444" s="52"/>
      <c r="AS444" s="52"/>
    </row>
    <row r="445" spans="1:45" s="64" customFormat="1" hidden="1">
      <c r="A445" s="65" t="s">
        <v>376</v>
      </c>
      <c r="B445" s="65" t="s">
        <v>377</v>
      </c>
      <c r="C445" s="83" t="str">
        <f t="shared" si="12"/>
        <v>MW Master Chart April 2016 - Planning</v>
      </c>
      <c r="D445" s="65">
        <v>151130</v>
      </c>
      <c r="E445" s="65" t="s">
        <v>228</v>
      </c>
      <c r="F445" s="65" t="s">
        <v>144</v>
      </c>
      <c r="G445" s="65" t="s">
        <v>145</v>
      </c>
      <c r="H445" s="65" t="s">
        <v>139</v>
      </c>
      <c r="I445" s="76"/>
      <c r="J445" s="82"/>
      <c r="K445" s="66"/>
      <c r="L445" s="61">
        <f t="shared" si="13"/>
        <v>0</v>
      </c>
      <c r="M445" s="72"/>
      <c r="N445" s="73"/>
      <c r="O445" s="52"/>
      <c r="P445" s="52"/>
      <c r="Q445" s="52"/>
      <c r="R445" s="52"/>
      <c r="S445" s="52"/>
      <c r="T445" s="52"/>
      <c r="U445" s="52"/>
      <c r="V445" s="52"/>
      <c r="W445" s="52"/>
      <c r="X445" s="52"/>
      <c r="Y445" s="52"/>
      <c r="Z445" s="52"/>
      <c r="AA445" s="52"/>
      <c r="AB445" s="52"/>
      <c r="AC445" s="52"/>
      <c r="AD445" s="52"/>
      <c r="AE445" s="52"/>
      <c r="AF445" s="52"/>
      <c r="AG445" s="52"/>
      <c r="AH445" s="52"/>
      <c r="AI445" s="52"/>
      <c r="AJ445" s="52"/>
      <c r="AK445" s="52"/>
      <c r="AL445" s="52"/>
      <c r="AM445" s="52"/>
      <c r="AN445" s="52"/>
      <c r="AO445" s="52"/>
      <c r="AP445" s="52"/>
      <c r="AQ445" s="52"/>
      <c r="AR445" s="52"/>
      <c r="AS445" s="52"/>
    </row>
    <row r="446" spans="1:45" s="64" customFormat="1" hidden="1">
      <c r="A446" s="65" t="s">
        <v>376</v>
      </c>
      <c r="B446" s="65" t="s">
        <v>377</v>
      </c>
      <c r="C446" s="83" t="str">
        <f t="shared" si="12"/>
        <v>MW Master Chart April 2016 - Planning</v>
      </c>
      <c r="D446" s="65">
        <v>151140</v>
      </c>
      <c r="E446" s="65" t="s">
        <v>386</v>
      </c>
      <c r="F446" s="65" t="s">
        <v>144</v>
      </c>
      <c r="G446" s="65" t="s">
        <v>145</v>
      </c>
      <c r="H446" s="65" t="s">
        <v>139</v>
      </c>
      <c r="I446" s="76"/>
      <c r="J446" s="82"/>
      <c r="K446" s="66"/>
      <c r="L446" s="61">
        <f t="shared" si="13"/>
        <v>0</v>
      </c>
      <c r="M446" s="72"/>
      <c r="N446" s="73"/>
      <c r="O446" s="52"/>
      <c r="P446" s="52"/>
      <c r="Q446" s="52"/>
      <c r="R446" s="52"/>
      <c r="S446" s="52"/>
      <c r="T446" s="52"/>
      <c r="U446" s="52"/>
      <c r="V446" s="52"/>
      <c r="W446" s="52"/>
      <c r="X446" s="52"/>
      <c r="Y446" s="52"/>
      <c r="Z446" s="52"/>
      <c r="AA446" s="52"/>
      <c r="AB446" s="52"/>
      <c r="AC446" s="52"/>
      <c r="AD446" s="52"/>
      <c r="AE446" s="52"/>
      <c r="AF446" s="52"/>
      <c r="AG446" s="52"/>
      <c r="AH446" s="52"/>
      <c r="AI446" s="52"/>
      <c r="AJ446" s="52"/>
      <c r="AK446" s="52"/>
      <c r="AL446" s="52"/>
      <c r="AM446" s="52"/>
      <c r="AN446" s="52"/>
      <c r="AO446" s="52"/>
      <c r="AP446" s="52"/>
      <c r="AQ446" s="52"/>
      <c r="AR446" s="52"/>
      <c r="AS446" s="52"/>
    </row>
    <row r="447" spans="1:45" s="64" customFormat="1" hidden="1">
      <c r="A447" s="65" t="s">
        <v>376</v>
      </c>
      <c r="B447" s="65" t="s">
        <v>377</v>
      </c>
      <c r="C447" s="83" t="str">
        <f t="shared" si="12"/>
        <v>MW Master Chart April 2016 - Planning</v>
      </c>
      <c r="D447" s="65">
        <v>151150</v>
      </c>
      <c r="E447" s="65" t="s">
        <v>387</v>
      </c>
      <c r="F447" s="65" t="s">
        <v>144</v>
      </c>
      <c r="G447" s="65" t="s">
        <v>145</v>
      </c>
      <c r="H447" s="65" t="s">
        <v>139</v>
      </c>
      <c r="I447" s="76"/>
      <c r="J447" s="82"/>
      <c r="K447" s="66"/>
      <c r="L447" s="61">
        <f t="shared" si="13"/>
        <v>0</v>
      </c>
      <c r="M447" s="72"/>
      <c r="N447" s="73"/>
      <c r="O447" s="52"/>
      <c r="P447" s="52"/>
      <c r="Q447" s="52"/>
      <c r="R447" s="52"/>
      <c r="S447" s="52"/>
      <c r="T447" s="52"/>
      <c r="U447" s="52"/>
      <c r="V447" s="52"/>
      <c r="W447" s="52"/>
      <c r="X447" s="52"/>
      <c r="Y447" s="52"/>
      <c r="Z447" s="52"/>
      <c r="AA447" s="52"/>
      <c r="AB447" s="52"/>
      <c r="AC447" s="52"/>
      <c r="AD447" s="52"/>
      <c r="AE447" s="52"/>
      <c r="AF447" s="52"/>
      <c r="AG447" s="52"/>
      <c r="AH447" s="52"/>
      <c r="AI447" s="52"/>
      <c r="AJ447" s="52"/>
      <c r="AK447" s="52"/>
      <c r="AL447" s="52"/>
      <c r="AM447" s="52"/>
      <c r="AN447" s="52"/>
      <c r="AO447" s="52"/>
      <c r="AP447" s="52"/>
      <c r="AQ447" s="52"/>
      <c r="AR447" s="52"/>
      <c r="AS447" s="52"/>
    </row>
    <row r="448" spans="1:45" s="64" customFormat="1" hidden="1">
      <c r="A448" s="65" t="s">
        <v>376</v>
      </c>
      <c r="B448" s="65" t="s">
        <v>377</v>
      </c>
      <c r="C448" s="83" t="str">
        <f t="shared" si="12"/>
        <v>MW Master Chart April 2016 - Planning</v>
      </c>
      <c r="D448" s="65">
        <v>151200</v>
      </c>
      <c r="E448" s="65" t="s">
        <v>201</v>
      </c>
      <c r="F448" s="65" t="s">
        <v>144</v>
      </c>
      <c r="G448" s="65" t="s">
        <v>145</v>
      </c>
      <c r="H448" s="65" t="s">
        <v>139</v>
      </c>
      <c r="I448" s="76"/>
      <c r="J448" s="82"/>
      <c r="K448" s="66"/>
      <c r="L448" s="61">
        <f t="shared" si="13"/>
        <v>0</v>
      </c>
      <c r="M448" s="72"/>
      <c r="N448" s="73"/>
      <c r="O448" s="52"/>
      <c r="P448" s="52"/>
      <c r="Q448" s="52"/>
      <c r="R448" s="52"/>
      <c r="S448" s="52"/>
      <c r="T448" s="52"/>
      <c r="U448" s="52"/>
      <c r="V448" s="52"/>
      <c r="W448" s="52"/>
      <c r="X448" s="52"/>
      <c r="Y448" s="52"/>
      <c r="Z448" s="52"/>
      <c r="AA448" s="52"/>
      <c r="AB448" s="52"/>
      <c r="AC448" s="52"/>
      <c r="AD448" s="52"/>
      <c r="AE448" s="52"/>
      <c r="AF448" s="52"/>
      <c r="AG448" s="52"/>
      <c r="AH448" s="52"/>
      <c r="AI448" s="52"/>
      <c r="AJ448" s="52"/>
      <c r="AK448" s="52"/>
      <c r="AL448" s="52"/>
      <c r="AM448" s="52"/>
      <c r="AN448" s="52"/>
      <c r="AO448" s="52"/>
      <c r="AP448" s="52"/>
      <c r="AQ448" s="52"/>
      <c r="AR448" s="52"/>
      <c r="AS448" s="52"/>
    </row>
    <row r="449" spans="1:45" s="64" customFormat="1" hidden="1">
      <c r="A449" s="65" t="s">
        <v>376</v>
      </c>
      <c r="B449" s="65" t="s">
        <v>377</v>
      </c>
      <c r="C449" s="83" t="str">
        <f t="shared" si="12"/>
        <v>MW Master Chart April 2016 - Planning</v>
      </c>
      <c r="D449" s="65">
        <v>151210</v>
      </c>
      <c r="E449" s="65" t="s">
        <v>252</v>
      </c>
      <c r="F449" s="65" t="s">
        <v>144</v>
      </c>
      <c r="G449" s="65" t="s">
        <v>145</v>
      </c>
      <c r="H449" s="65" t="s">
        <v>139</v>
      </c>
      <c r="I449" s="76"/>
      <c r="J449" s="82"/>
      <c r="K449" s="66"/>
      <c r="L449" s="61">
        <f t="shared" si="13"/>
        <v>0</v>
      </c>
      <c r="M449" s="72"/>
      <c r="N449" s="73"/>
      <c r="O449" s="52"/>
      <c r="P449" s="52"/>
      <c r="Q449" s="52"/>
      <c r="R449" s="52"/>
      <c r="S449" s="52"/>
      <c r="T449" s="52"/>
      <c r="U449" s="52"/>
      <c r="V449" s="52"/>
      <c r="W449" s="52"/>
      <c r="X449" s="52"/>
      <c r="Y449" s="52"/>
      <c r="Z449" s="52"/>
      <c r="AA449" s="52"/>
      <c r="AB449" s="52"/>
      <c r="AC449" s="52"/>
      <c r="AD449" s="52"/>
      <c r="AE449" s="52"/>
      <c r="AF449" s="52"/>
      <c r="AG449" s="52"/>
      <c r="AH449" s="52"/>
      <c r="AI449" s="52"/>
      <c r="AJ449" s="52"/>
      <c r="AK449" s="52"/>
      <c r="AL449" s="52"/>
      <c r="AM449" s="52"/>
      <c r="AN449" s="52"/>
      <c r="AO449" s="52"/>
      <c r="AP449" s="52"/>
      <c r="AQ449" s="52"/>
      <c r="AR449" s="52"/>
      <c r="AS449" s="52"/>
    </row>
    <row r="450" spans="1:45" s="64" customFormat="1" hidden="1">
      <c r="A450" s="65" t="s">
        <v>376</v>
      </c>
      <c r="B450" s="65" t="s">
        <v>377</v>
      </c>
      <c r="C450" s="83" t="str">
        <f t="shared" si="12"/>
        <v>MW Master Chart April 2016 - Planning</v>
      </c>
      <c r="D450" s="65">
        <v>151240</v>
      </c>
      <c r="E450" s="65" t="s">
        <v>237</v>
      </c>
      <c r="F450" s="65" t="s">
        <v>144</v>
      </c>
      <c r="G450" s="65" t="s">
        <v>145</v>
      </c>
      <c r="H450" s="65" t="s">
        <v>139</v>
      </c>
      <c r="I450" s="76"/>
      <c r="J450" s="82"/>
      <c r="K450" s="66"/>
      <c r="L450" s="61">
        <f t="shared" si="13"/>
        <v>0</v>
      </c>
      <c r="M450" s="72"/>
      <c r="N450" s="73"/>
      <c r="O450" s="52"/>
      <c r="P450" s="52"/>
      <c r="Q450" s="52"/>
      <c r="R450" s="52"/>
      <c r="S450" s="52"/>
      <c r="T450" s="52"/>
      <c r="U450" s="52"/>
      <c r="V450" s="52"/>
      <c r="W450" s="52"/>
      <c r="X450" s="52"/>
      <c r="Y450" s="52"/>
      <c r="Z450" s="52"/>
      <c r="AA450" s="52"/>
      <c r="AB450" s="52"/>
      <c r="AC450" s="52"/>
      <c r="AD450" s="52"/>
      <c r="AE450" s="52"/>
      <c r="AF450" s="52"/>
      <c r="AG450" s="52"/>
      <c r="AH450" s="52"/>
      <c r="AI450" s="52"/>
      <c r="AJ450" s="52"/>
      <c r="AK450" s="52"/>
      <c r="AL450" s="52"/>
      <c r="AM450" s="52"/>
      <c r="AN450" s="52"/>
      <c r="AO450" s="52"/>
      <c r="AP450" s="52"/>
      <c r="AQ450" s="52"/>
      <c r="AR450" s="52"/>
      <c r="AS450" s="52"/>
    </row>
    <row r="451" spans="1:45" s="64" customFormat="1" hidden="1">
      <c r="A451" s="65" t="s">
        <v>376</v>
      </c>
      <c r="B451" s="65" t="s">
        <v>377</v>
      </c>
      <c r="C451" s="83" t="str">
        <f t="shared" si="12"/>
        <v>MW Master Chart April 2016 - Planning</v>
      </c>
      <c r="D451" s="65">
        <v>151300</v>
      </c>
      <c r="E451" s="65" t="s">
        <v>202</v>
      </c>
      <c r="F451" s="65" t="s">
        <v>144</v>
      </c>
      <c r="G451" s="65" t="s">
        <v>145</v>
      </c>
      <c r="H451" s="65" t="s">
        <v>139</v>
      </c>
      <c r="I451" s="76"/>
      <c r="J451" s="82"/>
      <c r="K451" s="66"/>
      <c r="L451" s="61">
        <f t="shared" si="13"/>
        <v>0</v>
      </c>
      <c r="M451" s="72"/>
      <c r="N451" s="73"/>
      <c r="O451" s="52"/>
      <c r="P451" s="52"/>
      <c r="Q451" s="52"/>
      <c r="R451" s="52"/>
      <c r="S451" s="52"/>
      <c r="T451" s="52"/>
      <c r="U451" s="52"/>
      <c r="V451" s="52"/>
      <c r="W451" s="52"/>
      <c r="X451" s="52"/>
      <c r="Y451" s="52"/>
      <c r="Z451" s="52"/>
      <c r="AA451" s="52"/>
      <c r="AB451" s="52"/>
      <c r="AC451" s="52"/>
      <c r="AD451" s="52"/>
      <c r="AE451" s="52"/>
      <c r="AF451" s="52"/>
      <c r="AG451" s="52"/>
      <c r="AH451" s="52"/>
      <c r="AI451" s="52"/>
      <c r="AJ451" s="52"/>
      <c r="AK451" s="52"/>
      <c r="AL451" s="52"/>
      <c r="AM451" s="52"/>
      <c r="AN451" s="52"/>
      <c r="AO451" s="52"/>
      <c r="AP451" s="52"/>
      <c r="AQ451" s="52"/>
      <c r="AR451" s="52"/>
      <c r="AS451" s="52"/>
    </row>
    <row r="452" spans="1:45" s="64" customFormat="1" hidden="1">
      <c r="A452" s="65" t="s">
        <v>376</v>
      </c>
      <c r="B452" s="65" t="s">
        <v>377</v>
      </c>
      <c r="C452" s="83" t="str">
        <f t="shared" si="12"/>
        <v>MW Master Chart April 2016 - Planning</v>
      </c>
      <c r="D452" s="65">
        <v>151310</v>
      </c>
      <c r="E452" s="65" t="s">
        <v>203</v>
      </c>
      <c r="F452" s="65" t="s">
        <v>144</v>
      </c>
      <c r="G452" s="65" t="s">
        <v>145</v>
      </c>
      <c r="H452" s="65" t="s">
        <v>139</v>
      </c>
      <c r="I452" s="76"/>
      <c r="J452" s="82"/>
      <c r="K452" s="66"/>
      <c r="L452" s="61">
        <f t="shared" si="13"/>
        <v>0</v>
      </c>
      <c r="M452" s="72"/>
      <c r="N452" s="73"/>
      <c r="O452" s="52"/>
      <c r="P452" s="52"/>
      <c r="Q452" s="52"/>
      <c r="R452" s="52"/>
      <c r="S452" s="52"/>
      <c r="T452" s="52"/>
      <c r="U452" s="52"/>
      <c r="V452" s="52"/>
      <c r="W452" s="52"/>
      <c r="X452" s="52"/>
      <c r="Y452" s="52"/>
      <c r="Z452" s="52"/>
      <c r="AA452" s="52"/>
      <c r="AB452" s="52"/>
      <c r="AC452" s="52"/>
      <c r="AD452" s="52"/>
      <c r="AE452" s="52"/>
      <c r="AF452" s="52"/>
      <c r="AG452" s="52"/>
      <c r="AH452" s="52"/>
      <c r="AI452" s="52"/>
      <c r="AJ452" s="52"/>
      <c r="AK452" s="52"/>
      <c r="AL452" s="52"/>
      <c r="AM452" s="52"/>
      <c r="AN452" s="52"/>
      <c r="AO452" s="52"/>
      <c r="AP452" s="52"/>
      <c r="AQ452" s="52"/>
      <c r="AR452" s="52"/>
      <c r="AS452" s="52"/>
    </row>
    <row r="453" spans="1:45" s="64" customFormat="1" hidden="1">
      <c r="A453" s="65" t="s">
        <v>376</v>
      </c>
      <c r="B453" s="65" t="s">
        <v>377</v>
      </c>
      <c r="C453" s="83" t="str">
        <f t="shared" ref="C453:C516" si="14">B453 &amp; " - " &amp; LEFT(E453,FIND("-",E453)-1)</f>
        <v>MW Master Chart April 2016 - Planning</v>
      </c>
      <c r="D453" s="65">
        <v>151320</v>
      </c>
      <c r="E453" s="65" t="s">
        <v>204</v>
      </c>
      <c r="F453" s="65" t="s">
        <v>144</v>
      </c>
      <c r="G453" s="65" t="s">
        <v>145</v>
      </c>
      <c r="H453" s="65" t="s">
        <v>139</v>
      </c>
      <c r="I453" s="76"/>
      <c r="J453" s="82"/>
      <c r="K453" s="66"/>
      <c r="L453" s="61">
        <f t="shared" si="13"/>
        <v>0</v>
      </c>
      <c r="M453" s="72"/>
      <c r="N453" s="73"/>
      <c r="O453" s="52"/>
      <c r="P453" s="52"/>
      <c r="Q453" s="52"/>
      <c r="R453" s="52"/>
      <c r="S453" s="52"/>
      <c r="T453" s="52"/>
      <c r="U453" s="52"/>
      <c r="V453" s="52"/>
      <c r="W453" s="52"/>
      <c r="X453" s="52"/>
      <c r="Y453" s="52"/>
      <c r="Z453" s="52"/>
      <c r="AA453" s="52"/>
      <c r="AB453" s="52"/>
      <c r="AC453" s="52"/>
      <c r="AD453" s="52"/>
      <c r="AE453" s="52"/>
      <c r="AF453" s="52"/>
      <c r="AG453" s="52"/>
      <c r="AH453" s="52"/>
      <c r="AI453" s="52"/>
      <c r="AJ453" s="52"/>
      <c r="AK453" s="52"/>
      <c r="AL453" s="52"/>
      <c r="AM453" s="52"/>
      <c r="AN453" s="52"/>
      <c r="AO453" s="52"/>
      <c r="AP453" s="52"/>
      <c r="AQ453" s="52"/>
      <c r="AR453" s="52"/>
      <c r="AS453" s="52"/>
    </row>
    <row r="454" spans="1:45" s="64" customFormat="1" hidden="1">
      <c r="A454" s="65" t="s">
        <v>376</v>
      </c>
      <c r="B454" s="65" t="s">
        <v>377</v>
      </c>
      <c r="C454" s="83" t="str">
        <f t="shared" si="14"/>
        <v>MW Master Chart April 2016 - Planning</v>
      </c>
      <c r="D454" s="65">
        <v>151400</v>
      </c>
      <c r="E454" s="65" t="s">
        <v>371</v>
      </c>
      <c r="F454" s="65" t="s">
        <v>144</v>
      </c>
      <c r="G454" s="65" t="s">
        <v>145</v>
      </c>
      <c r="H454" s="65" t="s">
        <v>139</v>
      </c>
      <c r="I454" s="76"/>
      <c r="J454" s="82"/>
      <c r="K454" s="66"/>
      <c r="L454" s="61">
        <f t="shared" ref="L454:L517" si="15">I454*J454</f>
        <v>0</v>
      </c>
      <c r="M454" s="72"/>
      <c r="N454" s="73"/>
      <c r="O454" s="52"/>
      <c r="P454" s="52"/>
      <c r="Q454" s="52"/>
      <c r="R454" s="52"/>
      <c r="S454" s="52"/>
      <c r="T454" s="52"/>
      <c r="U454" s="52"/>
      <c r="V454" s="52"/>
      <c r="W454" s="52"/>
      <c r="X454" s="52"/>
      <c r="Y454" s="52"/>
      <c r="Z454" s="52"/>
      <c r="AA454" s="52"/>
      <c r="AB454" s="52"/>
      <c r="AC454" s="52"/>
      <c r="AD454" s="52"/>
      <c r="AE454" s="52"/>
      <c r="AF454" s="52"/>
      <c r="AG454" s="52"/>
      <c r="AH454" s="52"/>
      <c r="AI454" s="52"/>
      <c r="AJ454" s="52"/>
      <c r="AK454" s="52"/>
      <c r="AL454" s="52"/>
      <c r="AM454" s="52"/>
      <c r="AN454" s="52"/>
      <c r="AO454" s="52"/>
      <c r="AP454" s="52"/>
      <c r="AQ454" s="52"/>
      <c r="AR454" s="52"/>
      <c r="AS454" s="52"/>
    </row>
    <row r="455" spans="1:45" s="64" customFormat="1" hidden="1">
      <c r="A455" s="65" t="s">
        <v>376</v>
      </c>
      <c r="B455" s="65" t="s">
        <v>377</v>
      </c>
      <c r="C455" s="83" t="str">
        <f t="shared" si="14"/>
        <v>MW Master Chart April 2016 - Planning</v>
      </c>
      <c r="D455" s="65">
        <v>151410</v>
      </c>
      <c r="E455" s="65" t="s">
        <v>388</v>
      </c>
      <c r="F455" s="65" t="s">
        <v>144</v>
      </c>
      <c r="G455" s="65" t="s">
        <v>145</v>
      </c>
      <c r="H455" s="65" t="s">
        <v>139</v>
      </c>
      <c r="I455" s="76"/>
      <c r="J455" s="82"/>
      <c r="K455" s="66"/>
      <c r="L455" s="61">
        <f t="shared" si="15"/>
        <v>0</v>
      </c>
      <c r="M455" s="72"/>
      <c r="N455" s="73"/>
      <c r="O455" s="52"/>
      <c r="P455" s="52"/>
      <c r="Q455" s="52"/>
      <c r="R455" s="52"/>
      <c r="S455" s="52"/>
      <c r="T455" s="52"/>
      <c r="U455" s="52"/>
      <c r="V455" s="52"/>
      <c r="W455" s="52"/>
      <c r="X455" s="52"/>
      <c r="Y455" s="52"/>
      <c r="Z455" s="52"/>
      <c r="AA455" s="52"/>
      <c r="AB455" s="52"/>
      <c r="AC455" s="52"/>
      <c r="AD455" s="52"/>
      <c r="AE455" s="52"/>
      <c r="AF455" s="52"/>
      <c r="AG455" s="52"/>
      <c r="AH455" s="52"/>
      <c r="AI455" s="52"/>
      <c r="AJ455" s="52"/>
      <c r="AK455" s="52"/>
      <c r="AL455" s="52"/>
      <c r="AM455" s="52"/>
      <c r="AN455" s="52"/>
      <c r="AO455" s="52"/>
      <c r="AP455" s="52"/>
      <c r="AQ455" s="52"/>
      <c r="AR455" s="52"/>
      <c r="AS455" s="52"/>
    </row>
    <row r="456" spans="1:45" s="64" customFormat="1" hidden="1">
      <c r="A456" s="65" t="s">
        <v>376</v>
      </c>
      <c r="B456" s="65" t="s">
        <v>377</v>
      </c>
      <c r="C456" s="83" t="str">
        <f t="shared" si="14"/>
        <v>MW Master Chart April 2016 - Planning</v>
      </c>
      <c r="D456" s="65">
        <v>151420</v>
      </c>
      <c r="E456" s="65" t="s">
        <v>389</v>
      </c>
      <c r="F456" s="65" t="s">
        <v>144</v>
      </c>
      <c r="G456" s="65" t="s">
        <v>145</v>
      </c>
      <c r="H456" s="65" t="s">
        <v>139</v>
      </c>
      <c r="I456" s="76"/>
      <c r="J456" s="82"/>
      <c r="K456" s="66"/>
      <c r="L456" s="61">
        <f t="shared" si="15"/>
        <v>0</v>
      </c>
      <c r="M456" s="72"/>
      <c r="N456" s="73"/>
      <c r="O456" s="52"/>
      <c r="P456" s="52"/>
      <c r="Q456" s="52"/>
      <c r="R456" s="52"/>
      <c r="S456" s="52"/>
      <c r="T456" s="52"/>
      <c r="U456" s="52"/>
      <c r="V456" s="52"/>
      <c r="W456" s="52"/>
      <c r="X456" s="52"/>
      <c r="Y456" s="52"/>
      <c r="Z456" s="52"/>
      <c r="AA456" s="52"/>
      <c r="AB456" s="52"/>
      <c r="AC456" s="52"/>
      <c r="AD456" s="52"/>
      <c r="AE456" s="52"/>
      <c r="AF456" s="52"/>
      <c r="AG456" s="52"/>
      <c r="AH456" s="52"/>
      <c r="AI456" s="52"/>
      <c r="AJ456" s="52"/>
      <c r="AK456" s="52"/>
      <c r="AL456" s="52"/>
      <c r="AM456" s="52"/>
      <c r="AN456" s="52"/>
      <c r="AO456" s="52"/>
      <c r="AP456" s="52"/>
      <c r="AQ456" s="52"/>
      <c r="AR456" s="52"/>
      <c r="AS456" s="52"/>
    </row>
    <row r="457" spans="1:45" s="64" customFormat="1" hidden="1">
      <c r="A457" s="65" t="s">
        <v>376</v>
      </c>
      <c r="B457" s="65" t="s">
        <v>377</v>
      </c>
      <c r="C457" s="83" t="str">
        <f t="shared" si="14"/>
        <v>MW Master Chart April 2016 - Planning</v>
      </c>
      <c r="D457" s="65">
        <v>151500</v>
      </c>
      <c r="E457" s="65" t="s">
        <v>372</v>
      </c>
      <c r="F457" s="65" t="s">
        <v>144</v>
      </c>
      <c r="G457" s="65" t="s">
        <v>145</v>
      </c>
      <c r="H457" s="65" t="s">
        <v>139</v>
      </c>
      <c r="I457" s="76"/>
      <c r="J457" s="82"/>
      <c r="K457" s="66"/>
      <c r="L457" s="61">
        <f t="shared" si="15"/>
        <v>0</v>
      </c>
      <c r="M457" s="72"/>
      <c r="N457" s="73"/>
      <c r="O457" s="52"/>
      <c r="P457" s="52"/>
      <c r="Q457" s="52"/>
      <c r="R457" s="52"/>
      <c r="S457" s="52"/>
      <c r="T457" s="52"/>
      <c r="U457" s="52"/>
      <c r="V457" s="52"/>
      <c r="W457" s="52"/>
      <c r="X457" s="52"/>
      <c r="Y457" s="52"/>
      <c r="Z457" s="52"/>
      <c r="AA457" s="52"/>
      <c r="AB457" s="52"/>
      <c r="AC457" s="52"/>
      <c r="AD457" s="52"/>
      <c r="AE457" s="52"/>
      <c r="AF457" s="52"/>
      <c r="AG457" s="52"/>
      <c r="AH457" s="52"/>
      <c r="AI457" s="52"/>
      <c r="AJ457" s="52"/>
      <c r="AK457" s="52"/>
      <c r="AL457" s="52"/>
      <c r="AM457" s="52"/>
      <c r="AN457" s="52"/>
      <c r="AO457" s="52"/>
      <c r="AP457" s="52"/>
      <c r="AQ457" s="52"/>
      <c r="AR457" s="52"/>
      <c r="AS457" s="52"/>
    </row>
    <row r="458" spans="1:45" s="64" customFormat="1" hidden="1">
      <c r="A458" s="65" t="s">
        <v>376</v>
      </c>
      <c r="B458" s="65" t="s">
        <v>377</v>
      </c>
      <c r="C458" s="83" t="str">
        <f t="shared" si="14"/>
        <v>MW Master Chart April 2016 - Planning</v>
      </c>
      <c r="D458" s="65">
        <v>151510</v>
      </c>
      <c r="E458" s="65" t="s">
        <v>390</v>
      </c>
      <c r="F458" s="65" t="s">
        <v>144</v>
      </c>
      <c r="G458" s="65" t="s">
        <v>145</v>
      </c>
      <c r="H458" s="65" t="s">
        <v>139</v>
      </c>
      <c r="I458" s="76"/>
      <c r="J458" s="82"/>
      <c r="K458" s="66"/>
      <c r="L458" s="61">
        <f t="shared" si="15"/>
        <v>0</v>
      </c>
      <c r="M458" s="72"/>
      <c r="N458" s="73"/>
      <c r="O458" s="52"/>
      <c r="P458" s="52"/>
      <c r="Q458" s="52"/>
      <c r="R458" s="52"/>
      <c r="S458" s="52"/>
      <c r="T458" s="52"/>
      <c r="U458" s="52"/>
      <c r="V458" s="52"/>
      <c r="W458" s="52"/>
      <c r="X458" s="52"/>
      <c r="Y458" s="52"/>
      <c r="Z458" s="52"/>
      <c r="AA458" s="52"/>
      <c r="AB458" s="52"/>
      <c r="AC458" s="52"/>
      <c r="AD458" s="52"/>
      <c r="AE458" s="52"/>
      <c r="AF458" s="52"/>
      <c r="AG458" s="52"/>
      <c r="AH458" s="52"/>
      <c r="AI458" s="52"/>
      <c r="AJ458" s="52"/>
      <c r="AK458" s="52"/>
      <c r="AL458" s="52"/>
      <c r="AM458" s="52"/>
      <c r="AN458" s="52"/>
      <c r="AO458" s="52"/>
      <c r="AP458" s="52"/>
      <c r="AQ458" s="52"/>
      <c r="AR458" s="52"/>
      <c r="AS458" s="52"/>
    </row>
    <row r="459" spans="1:45" s="64" customFormat="1" hidden="1">
      <c r="A459" s="65" t="s">
        <v>376</v>
      </c>
      <c r="B459" s="65" t="s">
        <v>377</v>
      </c>
      <c r="C459" s="83" t="str">
        <f t="shared" si="14"/>
        <v>MW Master Chart April 2016 - Planning</v>
      </c>
      <c r="D459" s="65">
        <v>151520</v>
      </c>
      <c r="E459" s="65" t="s">
        <v>391</v>
      </c>
      <c r="F459" s="65" t="s">
        <v>144</v>
      </c>
      <c r="G459" s="65" t="s">
        <v>145</v>
      </c>
      <c r="H459" s="65" t="s">
        <v>139</v>
      </c>
      <c r="I459" s="76"/>
      <c r="J459" s="82"/>
      <c r="K459" s="66"/>
      <c r="L459" s="61">
        <f t="shared" si="15"/>
        <v>0</v>
      </c>
      <c r="M459" s="72"/>
      <c r="N459" s="73"/>
      <c r="O459" s="52"/>
      <c r="P459" s="52"/>
      <c r="Q459" s="52"/>
      <c r="R459" s="52"/>
      <c r="S459" s="52"/>
      <c r="T459" s="52"/>
      <c r="U459" s="52"/>
      <c r="V459" s="52"/>
      <c r="W459" s="52"/>
      <c r="X459" s="52"/>
      <c r="Y459" s="52"/>
      <c r="Z459" s="52"/>
      <c r="AA459" s="52"/>
      <c r="AB459" s="52"/>
      <c r="AC459" s="52"/>
      <c r="AD459" s="52"/>
      <c r="AE459" s="52"/>
      <c r="AF459" s="52"/>
      <c r="AG459" s="52"/>
      <c r="AH459" s="52"/>
      <c r="AI459" s="52"/>
      <c r="AJ459" s="52"/>
      <c r="AK459" s="52"/>
      <c r="AL459" s="52"/>
      <c r="AM459" s="52"/>
      <c r="AN459" s="52"/>
      <c r="AO459" s="52"/>
      <c r="AP459" s="52"/>
      <c r="AQ459" s="52"/>
      <c r="AR459" s="52"/>
      <c r="AS459" s="52"/>
    </row>
    <row r="460" spans="1:45" s="64" customFormat="1" hidden="1">
      <c r="A460" s="65" t="s">
        <v>376</v>
      </c>
      <c r="B460" s="65" t="s">
        <v>377</v>
      </c>
      <c r="C460" s="83" t="str">
        <f t="shared" si="14"/>
        <v>MW Master Chart April 2016 - Planning</v>
      </c>
      <c r="D460" s="65">
        <v>151530</v>
      </c>
      <c r="E460" s="65" t="s">
        <v>392</v>
      </c>
      <c r="F460" s="65" t="s">
        <v>144</v>
      </c>
      <c r="G460" s="65" t="s">
        <v>145</v>
      </c>
      <c r="H460" s="65" t="s">
        <v>139</v>
      </c>
      <c r="I460" s="76"/>
      <c r="J460" s="82"/>
      <c r="K460" s="66"/>
      <c r="L460" s="61">
        <f t="shared" si="15"/>
        <v>0</v>
      </c>
      <c r="M460" s="72"/>
      <c r="N460" s="73"/>
      <c r="O460" s="52"/>
      <c r="P460" s="52"/>
      <c r="Q460" s="52"/>
      <c r="R460" s="52"/>
      <c r="S460" s="52"/>
      <c r="T460" s="52"/>
      <c r="U460" s="52"/>
      <c r="V460" s="52"/>
      <c r="W460" s="52"/>
      <c r="X460" s="52"/>
      <c r="Y460" s="52"/>
      <c r="Z460" s="52"/>
      <c r="AA460" s="52"/>
      <c r="AB460" s="52"/>
      <c r="AC460" s="52"/>
      <c r="AD460" s="52"/>
      <c r="AE460" s="52"/>
      <c r="AF460" s="52"/>
      <c r="AG460" s="52"/>
      <c r="AH460" s="52"/>
      <c r="AI460" s="52"/>
      <c r="AJ460" s="52"/>
      <c r="AK460" s="52"/>
      <c r="AL460" s="52"/>
      <c r="AM460" s="52"/>
      <c r="AN460" s="52"/>
      <c r="AO460" s="52"/>
      <c r="AP460" s="52"/>
      <c r="AQ460" s="52"/>
      <c r="AR460" s="52"/>
      <c r="AS460" s="52"/>
    </row>
    <row r="461" spans="1:45" s="64" customFormat="1" hidden="1">
      <c r="A461" s="65" t="s">
        <v>376</v>
      </c>
      <c r="B461" s="65" t="s">
        <v>377</v>
      </c>
      <c r="C461" s="83" t="str">
        <f t="shared" si="14"/>
        <v>MW Master Chart April 2016 - Planning</v>
      </c>
      <c r="D461" s="65">
        <v>151600</v>
      </c>
      <c r="E461" s="65" t="s">
        <v>205</v>
      </c>
      <c r="F461" s="65" t="s">
        <v>144</v>
      </c>
      <c r="G461" s="65" t="s">
        <v>145</v>
      </c>
      <c r="H461" s="65" t="s">
        <v>139</v>
      </c>
      <c r="I461" s="76"/>
      <c r="J461" s="82"/>
      <c r="K461" s="66"/>
      <c r="L461" s="61">
        <f t="shared" si="15"/>
        <v>0</v>
      </c>
      <c r="M461" s="72"/>
      <c r="N461" s="73"/>
      <c r="O461" s="52"/>
      <c r="P461" s="52"/>
      <c r="Q461" s="52"/>
      <c r="R461" s="52"/>
      <c r="S461" s="52"/>
      <c r="T461" s="52"/>
      <c r="U461" s="52"/>
      <c r="V461" s="52"/>
      <c r="W461" s="52"/>
      <c r="X461" s="52"/>
      <c r="Y461" s="52"/>
      <c r="Z461" s="52"/>
      <c r="AA461" s="52"/>
      <c r="AB461" s="52"/>
      <c r="AC461" s="52"/>
      <c r="AD461" s="52"/>
      <c r="AE461" s="52"/>
      <c r="AF461" s="52"/>
      <c r="AG461" s="52"/>
      <c r="AH461" s="52"/>
      <c r="AI461" s="52"/>
      <c r="AJ461" s="52"/>
      <c r="AK461" s="52"/>
      <c r="AL461" s="52"/>
      <c r="AM461" s="52"/>
      <c r="AN461" s="52"/>
      <c r="AO461" s="52"/>
      <c r="AP461" s="52"/>
      <c r="AQ461" s="52"/>
      <c r="AR461" s="52"/>
      <c r="AS461" s="52"/>
    </row>
    <row r="462" spans="1:45" s="64" customFormat="1" hidden="1">
      <c r="A462" s="65" t="s">
        <v>376</v>
      </c>
      <c r="B462" s="65" t="s">
        <v>377</v>
      </c>
      <c r="C462" s="83" t="str">
        <f t="shared" si="14"/>
        <v>MW Master Chart April 2016 - Planning</v>
      </c>
      <c r="D462" s="65">
        <v>151800</v>
      </c>
      <c r="E462" s="65" t="s">
        <v>393</v>
      </c>
      <c r="F462" s="65" t="s">
        <v>144</v>
      </c>
      <c r="G462" s="65" t="s">
        <v>145</v>
      </c>
      <c r="H462" s="65" t="s">
        <v>139</v>
      </c>
      <c r="I462" s="76"/>
      <c r="J462" s="82"/>
      <c r="K462" s="66"/>
      <c r="L462" s="61">
        <f t="shared" si="15"/>
        <v>0</v>
      </c>
      <c r="M462" s="72"/>
      <c r="N462" s="73"/>
      <c r="O462" s="52"/>
      <c r="P462" s="52"/>
      <c r="Q462" s="52"/>
      <c r="R462" s="52"/>
      <c r="S462" s="52"/>
      <c r="T462" s="52"/>
      <c r="U462" s="52"/>
      <c r="V462" s="52"/>
      <c r="W462" s="52"/>
      <c r="X462" s="52"/>
      <c r="Y462" s="52"/>
      <c r="Z462" s="52"/>
      <c r="AA462" s="52"/>
      <c r="AB462" s="52"/>
      <c r="AC462" s="52"/>
      <c r="AD462" s="52"/>
      <c r="AE462" s="52"/>
      <c r="AF462" s="52"/>
      <c r="AG462" s="52"/>
      <c r="AH462" s="52"/>
      <c r="AI462" s="52"/>
      <c r="AJ462" s="52"/>
      <c r="AK462" s="52"/>
      <c r="AL462" s="52"/>
      <c r="AM462" s="52"/>
      <c r="AN462" s="52"/>
      <c r="AO462" s="52"/>
      <c r="AP462" s="52"/>
      <c r="AQ462" s="52"/>
      <c r="AR462" s="52"/>
      <c r="AS462" s="52"/>
    </row>
    <row r="463" spans="1:45" s="64" customFormat="1" hidden="1">
      <c r="A463" s="65" t="s">
        <v>376</v>
      </c>
      <c r="B463" s="65" t="s">
        <v>377</v>
      </c>
      <c r="C463" s="83" t="str">
        <f t="shared" si="14"/>
        <v>MW Master Chart April 2016 - Planning</v>
      </c>
      <c r="D463" s="65">
        <v>151900</v>
      </c>
      <c r="E463" s="65" t="s">
        <v>238</v>
      </c>
      <c r="F463" s="65" t="s">
        <v>144</v>
      </c>
      <c r="G463" s="65" t="s">
        <v>145</v>
      </c>
      <c r="H463" s="65" t="s">
        <v>139</v>
      </c>
      <c r="I463" s="76"/>
      <c r="J463" s="82"/>
      <c r="K463" s="66"/>
      <c r="L463" s="61">
        <f t="shared" si="15"/>
        <v>0</v>
      </c>
      <c r="M463" s="72"/>
      <c r="N463" s="73"/>
      <c r="O463" s="52"/>
      <c r="P463" s="52"/>
      <c r="Q463" s="52"/>
      <c r="R463" s="52"/>
      <c r="S463" s="52"/>
      <c r="T463" s="52"/>
      <c r="U463" s="52"/>
      <c r="V463" s="52"/>
      <c r="W463" s="52"/>
      <c r="X463" s="52"/>
      <c r="Y463" s="52"/>
      <c r="Z463" s="52"/>
      <c r="AA463" s="52"/>
      <c r="AB463" s="52"/>
      <c r="AC463" s="52"/>
      <c r="AD463" s="52"/>
      <c r="AE463" s="52"/>
      <c r="AF463" s="52"/>
      <c r="AG463" s="52"/>
      <c r="AH463" s="52"/>
      <c r="AI463" s="52"/>
      <c r="AJ463" s="52"/>
      <c r="AK463" s="52"/>
      <c r="AL463" s="52"/>
      <c r="AM463" s="52"/>
      <c r="AN463" s="52"/>
      <c r="AO463" s="52"/>
      <c r="AP463" s="52"/>
      <c r="AQ463" s="52"/>
      <c r="AR463" s="52"/>
      <c r="AS463" s="52"/>
    </row>
    <row r="464" spans="1:45" s="64" customFormat="1" hidden="1">
      <c r="A464" s="65" t="s">
        <v>376</v>
      </c>
      <c r="B464" s="65" t="s">
        <v>377</v>
      </c>
      <c r="C464" s="83" t="str">
        <f t="shared" si="14"/>
        <v>MW Master Chart April 2016 - Planning</v>
      </c>
      <c r="D464" s="65">
        <v>152200</v>
      </c>
      <c r="E464" s="65" t="s">
        <v>394</v>
      </c>
      <c r="F464" s="65" t="s">
        <v>144</v>
      </c>
      <c r="G464" s="65" t="s">
        <v>145</v>
      </c>
      <c r="H464" s="65" t="s">
        <v>139</v>
      </c>
      <c r="I464" s="76"/>
      <c r="J464" s="82"/>
      <c r="K464" s="66"/>
      <c r="L464" s="61">
        <f t="shared" si="15"/>
        <v>0</v>
      </c>
      <c r="M464" s="72"/>
      <c r="N464" s="73"/>
      <c r="O464" s="52"/>
      <c r="P464" s="52"/>
      <c r="Q464" s="52"/>
      <c r="R464" s="52"/>
      <c r="S464" s="52"/>
      <c r="T464" s="52"/>
      <c r="U464" s="52"/>
      <c r="V464" s="52"/>
      <c r="W464" s="52"/>
      <c r="X464" s="52"/>
      <c r="Y464" s="52"/>
      <c r="Z464" s="52"/>
      <c r="AA464" s="52"/>
      <c r="AB464" s="52"/>
      <c r="AC464" s="52"/>
      <c r="AD464" s="52"/>
      <c r="AE464" s="52"/>
      <c r="AF464" s="52"/>
      <c r="AG464" s="52"/>
      <c r="AH464" s="52"/>
      <c r="AI464" s="52"/>
      <c r="AJ464" s="52"/>
      <c r="AK464" s="52"/>
      <c r="AL464" s="52"/>
      <c r="AM464" s="52"/>
      <c r="AN464" s="52"/>
      <c r="AO464" s="52"/>
      <c r="AP464" s="52"/>
      <c r="AQ464" s="52"/>
      <c r="AR464" s="52"/>
      <c r="AS464" s="52"/>
    </row>
    <row r="465" spans="1:45" s="64" customFormat="1" hidden="1">
      <c r="A465" s="65" t="s">
        <v>376</v>
      </c>
      <c r="B465" s="65" t="s">
        <v>377</v>
      </c>
      <c r="C465" s="83" t="str">
        <f t="shared" si="14"/>
        <v>MW Master Chart April 2016 - Planning</v>
      </c>
      <c r="D465" s="65">
        <v>152500</v>
      </c>
      <c r="E465" s="65" t="s">
        <v>395</v>
      </c>
      <c r="F465" s="65" t="s">
        <v>144</v>
      </c>
      <c r="G465" s="65" t="s">
        <v>145</v>
      </c>
      <c r="H465" s="65" t="s">
        <v>139</v>
      </c>
      <c r="I465" s="76"/>
      <c r="J465" s="82"/>
      <c r="K465" s="66"/>
      <c r="L465" s="61">
        <f t="shared" si="15"/>
        <v>0</v>
      </c>
      <c r="M465" s="72"/>
      <c r="N465" s="73"/>
      <c r="O465" s="52"/>
      <c r="P465" s="52"/>
      <c r="Q465" s="52"/>
      <c r="R465" s="52"/>
      <c r="S465" s="52"/>
      <c r="T465" s="52"/>
      <c r="U465" s="52"/>
      <c r="V465" s="52"/>
      <c r="W465" s="52"/>
      <c r="X465" s="52"/>
      <c r="Y465" s="52"/>
      <c r="Z465" s="52"/>
      <c r="AA465" s="52"/>
      <c r="AB465" s="52"/>
      <c r="AC465" s="52"/>
      <c r="AD465" s="52"/>
      <c r="AE465" s="52"/>
      <c r="AF465" s="52"/>
      <c r="AG465" s="52"/>
      <c r="AH465" s="52"/>
      <c r="AI465" s="52"/>
      <c r="AJ465" s="52"/>
      <c r="AK465" s="52"/>
      <c r="AL465" s="52"/>
      <c r="AM465" s="52"/>
      <c r="AN465" s="52"/>
      <c r="AO465" s="52"/>
      <c r="AP465" s="52"/>
      <c r="AQ465" s="52"/>
      <c r="AR465" s="52"/>
      <c r="AS465" s="52"/>
    </row>
    <row r="466" spans="1:45" s="64" customFormat="1" hidden="1">
      <c r="A466" s="65" t="s">
        <v>376</v>
      </c>
      <c r="B466" s="65" t="s">
        <v>377</v>
      </c>
      <c r="C466" s="83" t="str">
        <f t="shared" si="14"/>
        <v>MW Master Chart April 2016 - Acquisition</v>
      </c>
      <c r="D466" s="65">
        <v>161000</v>
      </c>
      <c r="E466" s="65" t="s">
        <v>359</v>
      </c>
      <c r="F466" s="65" t="s">
        <v>155</v>
      </c>
      <c r="G466" s="65" t="s">
        <v>156</v>
      </c>
      <c r="H466" s="65" t="s">
        <v>139</v>
      </c>
      <c r="I466" s="76"/>
      <c r="J466" s="82"/>
      <c r="K466" s="66"/>
      <c r="L466" s="61">
        <f t="shared" si="15"/>
        <v>0</v>
      </c>
      <c r="M466" s="72"/>
      <c r="N466" s="73"/>
      <c r="O466" s="52"/>
      <c r="P466" s="52"/>
      <c r="Q466" s="52"/>
      <c r="R466" s="52"/>
      <c r="S466" s="52"/>
      <c r="T466" s="52"/>
      <c r="U466" s="52"/>
      <c r="V466" s="52"/>
      <c r="W466" s="52"/>
      <c r="X466" s="52"/>
      <c r="Y466" s="52"/>
      <c r="Z466" s="52"/>
      <c r="AA466" s="52"/>
      <c r="AB466" s="52"/>
      <c r="AC466" s="52"/>
      <c r="AD466" s="52"/>
      <c r="AE466" s="52"/>
      <c r="AF466" s="52"/>
      <c r="AG466" s="52"/>
      <c r="AH466" s="52"/>
      <c r="AI466" s="52"/>
      <c r="AJ466" s="52"/>
      <c r="AK466" s="52"/>
      <c r="AL466" s="52"/>
      <c r="AM466" s="52"/>
      <c r="AN466" s="52"/>
      <c r="AO466" s="52"/>
      <c r="AP466" s="52"/>
      <c r="AQ466" s="52"/>
      <c r="AR466" s="52"/>
      <c r="AS466" s="52"/>
    </row>
    <row r="467" spans="1:45" s="64" customFormat="1" hidden="1">
      <c r="A467" s="65" t="s">
        <v>376</v>
      </c>
      <c r="B467" s="65" t="s">
        <v>377</v>
      </c>
      <c r="C467" s="83" t="str">
        <f t="shared" si="14"/>
        <v>MW Master Chart April 2016 - Acquisition</v>
      </c>
      <c r="D467" s="65">
        <v>161110</v>
      </c>
      <c r="E467" s="65" t="s">
        <v>360</v>
      </c>
      <c r="F467" s="65" t="s">
        <v>155</v>
      </c>
      <c r="G467" s="65" t="s">
        <v>156</v>
      </c>
      <c r="H467" s="65"/>
      <c r="I467" s="76"/>
      <c r="J467" s="82"/>
      <c r="K467" s="66"/>
      <c r="L467" s="61">
        <f t="shared" si="15"/>
        <v>0</v>
      </c>
      <c r="M467" s="72"/>
      <c r="N467" s="73"/>
      <c r="O467" s="52"/>
      <c r="P467" s="52"/>
      <c r="Q467" s="52"/>
      <c r="R467" s="52"/>
      <c r="S467" s="52"/>
      <c r="T467" s="52"/>
      <c r="U467" s="52"/>
      <c r="V467" s="52"/>
      <c r="W467" s="52"/>
      <c r="X467" s="52"/>
      <c r="Y467" s="52"/>
      <c r="Z467" s="52"/>
      <c r="AA467" s="52"/>
      <c r="AB467" s="52"/>
      <c r="AC467" s="52"/>
      <c r="AD467" s="52"/>
      <c r="AE467" s="52"/>
      <c r="AF467" s="52"/>
      <c r="AG467" s="52"/>
      <c r="AH467" s="52"/>
      <c r="AI467" s="52"/>
      <c r="AJ467" s="52"/>
      <c r="AK467" s="52"/>
      <c r="AL467" s="52"/>
      <c r="AM467" s="52"/>
      <c r="AN467" s="52"/>
      <c r="AO467" s="52"/>
      <c r="AP467" s="52"/>
      <c r="AQ467" s="52"/>
      <c r="AR467" s="52"/>
      <c r="AS467" s="52"/>
    </row>
    <row r="468" spans="1:45" s="64" customFormat="1" hidden="1">
      <c r="A468" s="65" t="s">
        <v>376</v>
      </c>
      <c r="B468" s="65" t="s">
        <v>377</v>
      </c>
      <c r="C468" s="83" t="str">
        <f t="shared" si="14"/>
        <v>MW Master Chart April 2016 - Acquisition</v>
      </c>
      <c r="D468" s="65">
        <v>161200</v>
      </c>
      <c r="E468" s="65" t="s">
        <v>361</v>
      </c>
      <c r="F468" s="65" t="s">
        <v>155</v>
      </c>
      <c r="G468" s="65" t="s">
        <v>156</v>
      </c>
      <c r="H468" s="65" t="s">
        <v>139</v>
      </c>
      <c r="I468" s="76"/>
      <c r="J468" s="82"/>
      <c r="K468" s="66"/>
      <c r="L468" s="61">
        <f t="shared" si="15"/>
        <v>0</v>
      </c>
      <c r="M468" s="72"/>
      <c r="N468" s="73"/>
      <c r="O468" s="52"/>
      <c r="P468" s="52"/>
      <c r="Q468" s="52"/>
      <c r="R468" s="52"/>
      <c r="S468" s="52"/>
      <c r="T468" s="52"/>
      <c r="U468" s="52"/>
      <c r="V468" s="52"/>
      <c r="W468" s="52"/>
      <c r="X468" s="52"/>
      <c r="Y468" s="52"/>
      <c r="Z468" s="52"/>
      <c r="AA468" s="52"/>
      <c r="AB468" s="52"/>
      <c r="AC468" s="52"/>
      <c r="AD468" s="52"/>
      <c r="AE468" s="52"/>
      <c r="AF468" s="52"/>
      <c r="AG468" s="52"/>
      <c r="AH468" s="52"/>
      <c r="AI468" s="52"/>
      <c r="AJ468" s="52"/>
      <c r="AK468" s="52"/>
      <c r="AL468" s="52"/>
      <c r="AM468" s="52"/>
      <c r="AN468" s="52"/>
      <c r="AO468" s="52"/>
      <c r="AP468" s="52"/>
      <c r="AQ468" s="52"/>
      <c r="AR468" s="52"/>
      <c r="AS468" s="52"/>
    </row>
    <row r="469" spans="1:45" s="64" customFormat="1" hidden="1">
      <c r="A469" s="65" t="s">
        <v>376</v>
      </c>
      <c r="B469" s="65" t="s">
        <v>377</v>
      </c>
      <c r="C469" s="83" t="str">
        <f t="shared" si="14"/>
        <v>MW Master Chart April 2016 - Acquisition</v>
      </c>
      <c r="D469" s="65">
        <v>161300</v>
      </c>
      <c r="E469" s="65" t="s">
        <v>362</v>
      </c>
      <c r="F469" s="65" t="s">
        <v>155</v>
      </c>
      <c r="G469" s="65" t="s">
        <v>156</v>
      </c>
      <c r="H469" s="65" t="s">
        <v>139</v>
      </c>
      <c r="I469" s="76"/>
      <c r="J469" s="82"/>
      <c r="K469" s="66"/>
      <c r="L469" s="61">
        <f t="shared" si="15"/>
        <v>0</v>
      </c>
      <c r="M469" s="72"/>
      <c r="N469" s="73"/>
      <c r="O469" s="52"/>
      <c r="P469" s="52"/>
      <c r="Q469" s="52"/>
      <c r="R469" s="52"/>
      <c r="S469" s="52"/>
      <c r="T469" s="52"/>
      <c r="U469" s="52"/>
      <c r="V469" s="52"/>
      <c r="W469" s="52"/>
      <c r="X469" s="52"/>
      <c r="Y469" s="52"/>
      <c r="Z469" s="52"/>
      <c r="AA469" s="52"/>
      <c r="AB469" s="52"/>
      <c r="AC469" s="52"/>
      <c r="AD469" s="52"/>
      <c r="AE469" s="52"/>
      <c r="AF469" s="52"/>
      <c r="AG469" s="52"/>
      <c r="AH469" s="52"/>
      <c r="AI469" s="52"/>
      <c r="AJ469" s="52"/>
      <c r="AK469" s="52"/>
      <c r="AL469" s="52"/>
      <c r="AM469" s="52"/>
      <c r="AN469" s="52"/>
      <c r="AO469" s="52"/>
      <c r="AP469" s="52"/>
      <c r="AQ469" s="52"/>
      <c r="AR469" s="52"/>
      <c r="AS469" s="52"/>
    </row>
    <row r="470" spans="1:45" s="64" customFormat="1" hidden="1">
      <c r="A470" s="65" t="s">
        <v>376</v>
      </c>
      <c r="B470" s="65" t="s">
        <v>377</v>
      </c>
      <c r="C470" s="83" t="str">
        <f t="shared" si="14"/>
        <v>MW Master Chart April 2016 - Acquisition</v>
      </c>
      <c r="D470" s="65">
        <v>161400</v>
      </c>
      <c r="E470" s="65" t="s">
        <v>363</v>
      </c>
      <c r="F470" s="65" t="s">
        <v>155</v>
      </c>
      <c r="G470" s="65" t="s">
        <v>156</v>
      </c>
      <c r="H470" s="65" t="s">
        <v>139</v>
      </c>
      <c r="I470" s="76"/>
      <c r="J470" s="82"/>
      <c r="K470" s="66"/>
      <c r="L470" s="61">
        <f t="shared" si="15"/>
        <v>0</v>
      </c>
      <c r="M470" s="72"/>
      <c r="N470" s="73"/>
      <c r="O470" s="52"/>
      <c r="P470" s="52"/>
      <c r="Q470" s="52"/>
      <c r="R470" s="52"/>
      <c r="S470" s="52"/>
      <c r="T470" s="52"/>
      <c r="U470" s="52"/>
      <c r="V470" s="52"/>
      <c r="W470" s="52"/>
      <c r="X470" s="52"/>
      <c r="Y470" s="52"/>
      <c r="Z470" s="52"/>
      <c r="AA470" s="52"/>
      <c r="AB470" s="52"/>
      <c r="AC470" s="52"/>
      <c r="AD470" s="52"/>
      <c r="AE470" s="52"/>
      <c r="AF470" s="52"/>
      <c r="AG470" s="52"/>
      <c r="AH470" s="52"/>
      <c r="AI470" s="52"/>
      <c r="AJ470" s="52"/>
      <c r="AK470" s="52"/>
      <c r="AL470" s="52"/>
      <c r="AM470" s="52"/>
      <c r="AN470" s="52"/>
      <c r="AO470" s="52"/>
      <c r="AP470" s="52"/>
      <c r="AQ470" s="52"/>
      <c r="AR470" s="52"/>
      <c r="AS470" s="52"/>
    </row>
    <row r="471" spans="1:45" s="64" customFormat="1" hidden="1">
      <c r="A471" s="65" t="s">
        <v>376</v>
      </c>
      <c r="B471" s="65" t="s">
        <v>377</v>
      </c>
      <c r="C471" s="83" t="str">
        <f t="shared" si="14"/>
        <v>MW Master Chart April 2016 - Acquisition</v>
      </c>
      <c r="D471" s="65">
        <v>161500</v>
      </c>
      <c r="E471" s="65" t="s">
        <v>364</v>
      </c>
      <c r="F471" s="65" t="s">
        <v>155</v>
      </c>
      <c r="G471" s="65" t="s">
        <v>156</v>
      </c>
      <c r="H471" s="65" t="s">
        <v>139</v>
      </c>
      <c r="I471" s="76"/>
      <c r="J471" s="82"/>
      <c r="K471" s="66"/>
      <c r="L471" s="61">
        <f t="shared" si="15"/>
        <v>0</v>
      </c>
      <c r="M471" s="72"/>
      <c r="N471" s="73"/>
      <c r="O471" s="52"/>
      <c r="P471" s="52"/>
      <c r="Q471" s="52"/>
      <c r="R471" s="52"/>
      <c r="S471" s="52"/>
      <c r="T471" s="52"/>
      <c r="U471" s="52"/>
      <c r="V471" s="52"/>
      <c r="W471" s="52"/>
      <c r="X471" s="52"/>
      <c r="Y471" s="52"/>
      <c r="Z471" s="52"/>
      <c r="AA471" s="52"/>
      <c r="AB471" s="52"/>
      <c r="AC471" s="52"/>
      <c r="AD471" s="52"/>
      <c r="AE471" s="52"/>
      <c r="AF471" s="52"/>
      <c r="AG471" s="52"/>
      <c r="AH471" s="52"/>
      <c r="AI471" s="52"/>
      <c r="AJ471" s="52"/>
      <c r="AK471" s="52"/>
      <c r="AL471" s="52"/>
      <c r="AM471" s="52"/>
      <c r="AN471" s="52"/>
      <c r="AO471" s="52"/>
      <c r="AP471" s="52"/>
      <c r="AQ471" s="52"/>
      <c r="AR471" s="52"/>
      <c r="AS471" s="52"/>
    </row>
    <row r="472" spans="1:45" s="64" customFormat="1" hidden="1">
      <c r="A472" s="65" t="s">
        <v>376</v>
      </c>
      <c r="B472" s="65" t="s">
        <v>377</v>
      </c>
      <c r="C472" s="83" t="str">
        <f t="shared" si="14"/>
        <v>MW Master Chart April 2016 - Acquisition</v>
      </c>
      <c r="D472" s="65">
        <v>161700</v>
      </c>
      <c r="E472" s="65" t="s">
        <v>365</v>
      </c>
      <c r="F472" s="65" t="s">
        <v>155</v>
      </c>
      <c r="G472" s="65" t="s">
        <v>156</v>
      </c>
      <c r="H472" s="65" t="s">
        <v>139</v>
      </c>
      <c r="I472" s="76"/>
      <c r="J472" s="82"/>
      <c r="K472" s="66"/>
      <c r="L472" s="61">
        <f t="shared" si="15"/>
        <v>0</v>
      </c>
      <c r="M472" s="72"/>
      <c r="N472" s="73"/>
      <c r="O472" s="52"/>
      <c r="P472" s="52"/>
      <c r="Q472" s="52"/>
      <c r="R472" s="52"/>
      <c r="S472" s="52"/>
      <c r="T472" s="52"/>
      <c r="U472" s="52"/>
      <c r="V472" s="52"/>
      <c r="W472" s="52"/>
      <c r="X472" s="52"/>
      <c r="Y472" s="52"/>
      <c r="Z472" s="52"/>
      <c r="AA472" s="52"/>
      <c r="AB472" s="52"/>
      <c r="AC472" s="52"/>
      <c r="AD472" s="52"/>
      <c r="AE472" s="52"/>
      <c r="AF472" s="52"/>
      <c r="AG472" s="52"/>
      <c r="AH472" s="52"/>
      <c r="AI472" s="52"/>
      <c r="AJ472" s="52"/>
      <c r="AK472" s="52"/>
      <c r="AL472" s="52"/>
      <c r="AM472" s="52"/>
      <c r="AN472" s="52"/>
      <c r="AO472" s="52"/>
      <c r="AP472" s="52"/>
      <c r="AQ472" s="52"/>
      <c r="AR472" s="52"/>
      <c r="AS472" s="52"/>
    </row>
    <row r="473" spans="1:45" s="64" customFormat="1" hidden="1">
      <c r="A473" s="65" t="s">
        <v>376</v>
      </c>
      <c r="B473" s="65" t="s">
        <v>377</v>
      </c>
      <c r="C473" s="83" t="str">
        <f t="shared" si="14"/>
        <v>MW Master Chart April 2016 - Acquisition</v>
      </c>
      <c r="D473" s="65">
        <v>162200</v>
      </c>
      <c r="E473" s="65" t="s">
        <v>366</v>
      </c>
      <c r="F473" s="65" t="s">
        <v>155</v>
      </c>
      <c r="G473" s="65" t="s">
        <v>156</v>
      </c>
      <c r="H473" s="65" t="s">
        <v>139</v>
      </c>
      <c r="I473" s="76"/>
      <c r="J473" s="82"/>
      <c r="K473" s="66"/>
      <c r="L473" s="61">
        <f t="shared" si="15"/>
        <v>0</v>
      </c>
      <c r="M473" s="72"/>
      <c r="N473" s="73"/>
      <c r="O473" s="52"/>
      <c r="P473" s="52"/>
      <c r="Q473" s="52"/>
      <c r="R473" s="52"/>
      <c r="S473" s="52"/>
      <c r="T473" s="52"/>
      <c r="U473" s="52"/>
      <c r="V473" s="52"/>
      <c r="W473" s="52"/>
      <c r="X473" s="52"/>
      <c r="Y473" s="52"/>
      <c r="Z473" s="52"/>
      <c r="AA473" s="52"/>
      <c r="AB473" s="52"/>
      <c r="AC473" s="52"/>
      <c r="AD473" s="52"/>
      <c r="AE473" s="52"/>
      <c r="AF473" s="52"/>
      <c r="AG473" s="52"/>
      <c r="AH473" s="52"/>
      <c r="AI473" s="52"/>
      <c r="AJ473" s="52"/>
      <c r="AK473" s="52"/>
      <c r="AL473" s="52"/>
      <c r="AM473" s="52"/>
      <c r="AN473" s="52"/>
      <c r="AO473" s="52"/>
      <c r="AP473" s="52"/>
      <c r="AQ473" s="52"/>
      <c r="AR473" s="52"/>
      <c r="AS473" s="52"/>
    </row>
    <row r="474" spans="1:45" s="64" customFormat="1" hidden="1">
      <c r="A474" s="65" t="s">
        <v>376</v>
      </c>
      <c r="B474" s="65" t="s">
        <v>377</v>
      </c>
      <c r="C474" s="83" t="str">
        <f t="shared" si="14"/>
        <v>MW Master Chart April 2016 - Acquisition</v>
      </c>
      <c r="D474" s="65">
        <v>162300</v>
      </c>
      <c r="E474" s="65" t="s">
        <v>182</v>
      </c>
      <c r="F474" s="65" t="s">
        <v>155</v>
      </c>
      <c r="G474" s="65" t="s">
        <v>156</v>
      </c>
      <c r="H474" s="65" t="s">
        <v>139</v>
      </c>
      <c r="I474" s="76"/>
      <c r="J474" s="82"/>
      <c r="K474" s="66"/>
      <c r="L474" s="61">
        <f t="shared" si="15"/>
        <v>0</v>
      </c>
      <c r="M474" s="72"/>
      <c r="N474" s="73"/>
      <c r="O474" s="52"/>
      <c r="P474" s="52"/>
      <c r="Q474" s="52"/>
      <c r="R474" s="52"/>
      <c r="S474" s="52"/>
      <c r="T474" s="52"/>
      <c r="U474" s="52"/>
      <c r="V474" s="52"/>
      <c r="W474" s="52"/>
      <c r="X474" s="52"/>
      <c r="Y474" s="52"/>
      <c r="Z474" s="52"/>
      <c r="AA474" s="52"/>
      <c r="AB474" s="52"/>
      <c r="AC474" s="52"/>
      <c r="AD474" s="52"/>
      <c r="AE474" s="52"/>
      <c r="AF474" s="52"/>
      <c r="AG474" s="52"/>
      <c r="AH474" s="52"/>
      <c r="AI474" s="52"/>
      <c r="AJ474" s="52"/>
      <c r="AK474" s="52"/>
      <c r="AL474" s="52"/>
      <c r="AM474" s="52"/>
      <c r="AN474" s="52"/>
      <c r="AO474" s="52"/>
      <c r="AP474" s="52"/>
      <c r="AQ474" s="52"/>
      <c r="AR474" s="52"/>
      <c r="AS474" s="52"/>
    </row>
    <row r="475" spans="1:45" s="64" customFormat="1" hidden="1">
      <c r="A475" s="65" t="s">
        <v>376</v>
      </c>
      <c r="B475" s="65" t="s">
        <v>377</v>
      </c>
      <c r="C475" s="83" t="str">
        <f t="shared" si="14"/>
        <v>MW Master Chart April 2016 - Acquisition</v>
      </c>
      <c r="D475" s="65">
        <v>162400</v>
      </c>
      <c r="E475" s="65" t="s">
        <v>183</v>
      </c>
      <c r="F475" s="65" t="s">
        <v>155</v>
      </c>
      <c r="G475" s="65" t="s">
        <v>156</v>
      </c>
      <c r="H475" s="65" t="s">
        <v>139</v>
      </c>
      <c r="I475" s="76"/>
      <c r="J475" s="82"/>
      <c r="K475" s="66"/>
      <c r="L475" s="61">
        <f t="shared" si="15"/>
        <v>0</v>
      </c>
      <c r="M475" s="72"/>
      <c r="N475" s="73"/>
      <c r="O475" s="52"/>
      <c r="P475" s="52"/>
      <c r="Q475" s="52"/>
      <c r="R475" s="52"/>
      <c r="S475" s="52"/>
      <c r="T475" s="52"/>
      <c r="U475" s="52"/>
      <c r="V475" s="52"/>
      <c r="W475" s="52"/>
      <c r="X475" s="52"/>
      <c r="Y475" s="52"/>
      <c r="Z475" s="52"/>
      <c r="AA475" s="52"/>
      <c r="AB475" s="52"/>
      <c r="AC475" s="52"/>
      <c r="AD475" s="52"/>
      <c r="AE475" s="52"/>
      <c r="AF475" s="52"/>
      <c r="AG475" s="52"/>
      <c r="AH475" s="52"/>
      <c r="AI475" s="52"/>
      <c r="AJ475" s="52"/>
      <c r="AK475" s="52"/>
      <c r="AL475" s="52"/>
      <c r="AM475" s="52"/>
      <c r="AN475" s="52"/>
      <c r="AO475" s="52"/>
      <c r="AP475" s="52"/>
      <c r="AQ475" s="52"/>
      <c r="AR475" s="52"/>
      <c r="AS475" s="52"/>
    </row>
    <row r="476" spans="1:45" s="64" customFormat="1" hidden="1">
      <c r="A476" s="65" t="s">
        <v>376</v>
      </c>
      <c r="B476" s="65" t="s">
        <v>377</v>
      </c>
      <c r="C476" s="83" t="str">
        <f t="shared" si="14"/>
        <v>MW Master Chart April 2016 - Acquisition</v>
      </c>
      <c r="D476" s="65">
        <v>162500</v>
      </c>
      <c r="E476" s="65" t="s">
        <v>320</v>
      </c>
      <c r="F476" s="65" t="s">
        <v>155</v>
      </c>
      <c r="G476" s="65" t="s">
        <v>156</v>
      </c>
      <c r="H476" s="65" t="s">
        <v>139</v>
      </c>
      <c r="I476" s="76"/>
      <c r="J476" s="82"/>
      <c r="K476" s="66"/>
      <c r="L476" s="61">
        <f t="shared" si="15"/>
        <v>0</v>
      </c>
      <c r="M476" s="72"/>
      <c r="N476" s="73"/>
      <c r="O476" s="52"/>
      <c r="P476" s="52"/>
      <c r="Q476" s="52"/>
      <c r="R476" s="52"/>
      <c r="S476" s="52"/>
      <c r="T476" s="52"/>
      <c r="U476" s="52"/>
      <c r="V476" s="52"/>
      <c r="W476" s="52"/>
      <c r="X476" s="52"/>
      <c r="Y476" s="52"/>
      <c r="Z476" s="52"/>
      <c r="AA476" s="52"/>
      <c r="AB476" s="52"/>
      <c r="AC476" s="52"/>
      <c r="AD476" s="52"/>
      <c r="AE476" s="52"/>
      <c r="AF476" s="52"/>
      <c r="AG476" s="52"/>
      <c r="AH476" s="52"/>
      <c r="AI476" s="52"/>
      <c r="AJ476" s="52"/>
      <c r="AK476" s="52"/>
      <c r="AL476" s="52"/>
      <c r="AM476" s="52"/>
      <c r="AN476" s="52"/>
      <c r="AO476" s="52"/>
      <c r="AP476" s="52"/>
      <c r="AQ476" s="52"/>
      <c r="AR476" s="52"/>
      <c r="AS476" s="52"/>
    </row>
    <row r="477" spans="1:45" s="64" customFormat="1" hidden="1">
      <c r="A477" s="65" t="s">
        <v>376</v>
      </c>
      <c r="B477" s="65" t="s">
        <v>377</v>
      </c>
      <c r="C477" s="83" t="str">
        <f t="shared" si="14"/>
        <v>MW Master Chart April 2016 - Development</v>
      </c>
      <c r="D477" s="65">
        <v>171000</v>
      </c>
      <c r="E477" s="65" t="s">
        <v>184</v>
      </c>
      <c r="F477" s="65" t="s">
        <v>155</v>
      </c>
      <c r="G477" s="65" t="s">
        <v>156</v>
      </c>
      <c r="H477" s="65" t="s">
        <v>139</v>
      </c>
      <c r="I477" s="76"/>
      <c r="J477" s="82"/>
      <c r="K477" s="66"/>
      <c r="L477" s="61">
        <f t="shared" si="15"/>
        <v>0</v>
      </c>
      <c r="M477" s="72"/>
      <c r="N477" s="73"/>
      <c r="O477" s="52"/>
      <c r="P477" s="52"/>
      <c r="Q477" s="52"/>
      <c r="R477" s="52"/>
      <c r="S477" s="52"/>
      <c r="T477" s="52"/>
      <c r="U477" s="52"/>
      <c r="V477" s="52"/>
      <c r="W477" s="52"/>
      <c r="X477" s="52"/>
      <c r="Y477" s="52"/>
      <c r="Z477" s="52"/>
      <c r="AA477" s="52"/>
      <c r="AB477" s="52"/>
      <c r="AC477" s="52"/>
      <c r="AD477" s="52"/>
      <c r="AE477" s="52"/>
      <c r="AF477" s="52"/>
      <c r="AG477" s="52"/>
      <c r="AH477" s="52"/>
      <c r="AI477" s="52"/>
      <c r="AJ477" s="52"/>
      <c r="AK477" s="52"/>
      <c r="AL477" s="52"/>
      <c r="AM477" s="52"/>
      <c r="AN477" s="52"/>
      <c r="AO477" s="52"/>
      <c r="AP477" s="52"/>
      <c r="AQ477" s="52"/>
      <c r="AR477" s="52"/>
      <c r="AS477" s="52"/>
    </row>
    <row r="478" spans="1:45" s="64" customFormat="1" hidden="1">
      <c r="A478" s="65" t="s">
        <v>376</v>
      </c>
      <c r="B478" s="65" t="s">
        <v>377</v>
      </c>
      <c r="C478" s="83" t="str">
        <f t="shared" si="14"/>
        <v>MW Master Chart April 2016 - Development</v>
      </c>
      <c r="D478" s="65">
        <v>171100</v>
      </c>
      <c r="E478" s="65" t="s">
        <v>185</v>
      </c>
      <c r="F478" s="65" t="s">
        <v>155</v>
      </c>
      <c r="G478" s="65" t="s">
        <v>156</v>
      </c>
      <c r="H478" s="65" t="s">
        <v>139</v>
      </c>
      <c r="I478" s="76"/>
      <c r="J478" s="82"/>
      <c r="K478" s="66"/>
      <c r="L478" s="61">
        <f t="shared" si="15"/>
        <v>0</v>
      </c>
      <c r="M478" s="72"/>
      <c r="N478" s="73"/>
      <c r="O478" s="52"/>
      <c r="P478" s="52"/>
      <c r="Q478" s="52"/>
      <c r="R478" s="52"/>
      <c r="S478" s="52"/>
      <c r="T478" s="52"/>
      <c r="U478" s="52"/>
      <c r="V478" s="52"/>
      <c r="W478" s="52"/>
      <c r="X478" s="52"/>
      <c r="Y478" s="52"/>
      <c r="Z478" s="52"/>
      <c r="AA478" s="52"/>
      <c r="AB478" s="52"/>
      <c r="AC478" s="52"/>
      <c r="AD478" s="52"/>
      <c r="AE478" s="52"/>
      <c r="AF478" s="52"/>
      <c r="AG478" s="52"/>
      <c r="AH478" s="52"/>
      <c r="AI478" s="52"/>
      <c r="AJ478" s="52"/>
      <c r="AK478" s="52"/>
      <c r="AL478" s="52"/>
      <c r="AM478" s="52"/>
      <c r="AN478" s="52"/>
      <c r="AO478" s="52"/>
      <c r="AP478" s="52"/>
      <c r="AQ478" s="52"/>
      <c r="AR478" s="52"/>
      <c r="AS478" s="52"/>
    </row>
    <row r="479" spans="1:45" s="64" customFormat="1" hidden="1">
      <c r="A479" s="65" t="s">
        <v>376</v>
      </c>
      <c r="B479" s="65" t="s">
        <v>377</v>
      </c>
      <c r="C479" s="83" t="str">
        <f t="shared" si="14"/>
        <v>MW Master Chart April 2016 - Development</v>
      </c>
      <c r="D479" s="65">
        <v>171200</v>
      </c>
      <c r="E479" s="65" t="s">
        <v>396</v>
      </c>
      <c r="F479" s="65" t="s">
        <v>155</v>
      </c>
      <c r="G479" s="65" t="s">
        <v>156</v>
      </c>
      <c r="H479" s="65" t="s">
        <v>139</v>
      </c>
      <c r="I479" s="76"/>
      <c r="J479" s="82"/>
      <c r="K479" s="66"/>
      <c r="L479" s="61">
        <f t="shared" si="15"/>
        <v>0</v>
      </c>
      <c r="M479" s="72"/>
      <c r="N479" s="73"/>
      <c r="O479" s="52"/>
      <c r="P479" s="52"/>
      <c r="Q479" s="52"/>
      <c r="R479" s="52"/>
      <c r="S479" s="52"/>
      <c r="T479" s="52"/>
      <c r="U479" s="52"/>
      <c r="V479" s="52"/>
      <c r="W479" s="52"/>
      <c r="X479" s="52"/>
      <c r="Y479" s="52"/>
      <c r="Z479" s="52"/>
      <c r="AA479" s="52"/>
      <c r="AB479" s="52"/>
      <c r="AC479" s="52"/>
      <c r="AD479" s="52"/>
      <c r="AE479" s="52"/>
      <c r="AF479" s="52"/>
      <c r="AG479" s="52"/>
      <c r="AH479" s="52"/>
      <c r="AI479" s="52"/>
      <c r="AJ479" s="52"/>
      <c r="AK479" s="52"/>
      <c r="AL479" s="52"/>
      <c r="AM479" s="52"/>
      <c r="AN479" s="52"/>
      <c r="AO479" s="52"/>
      <c r="AP479" s="52"/>
      <c r="AQ479" s="52"/>
      <c r="AR479" s="52"/>
      <c r="AS479" s="52"/>
    </row>
    <row r="480" spans="1:45" s="64" customFormat="1" hidden="1">
      <c r="A480" s="65" t="s">
        <v>376</v>
      </c>
      <c r="B480" s="65" t="s">
        <v>377</v>
      </c>
      <c r="C480" s="83" t="str">
        <f t="shared" si="14"/>
        <v>MW Master Chart April 2016 - Development</v>
      </c>
      <c r="D480" s="65">
        <v>171300</v>
      </c>
      <c r="E480" s="65" t="s">
        <v>397</v>
      </c>
      <c r="F480" s="65" t="s">
        <v>155</v>
      </c>
      <c r="G480" s="65" t="s">
        <v>156</v>
      </c>
      <c r="H480" s="65" t="s">
        <v>139</v>
      </c>
      <c r="I480" s="76"/>
      <c r="J480" s="82"/>
      <c r="K480" s="66"/>
      <c r="L480" s="61">
        <f t="shared" si="15"/>
        <v>0</v>
      </c>
      <c r="M480" s="72"/>
      <c r="N480" s="73"/>
      <c r="O480" s="52"/>
      <c r="P480" s="52"/>
      <c r="Q480" s="52"/>
      <c r="R480" s="52"/>
      <c r="S480" s="52"/>
      <c r="T480" s="52"/>
      <c r="U480" s="52"/>
      <c r="V480" s="52"/>
      <c r="W480" s="52"/>
      <c r="X480" s="52"/>
      <c r="Y480" s="52"/>
      <c r="Z480" s="52"/>
      <c r="AA480" s="52"/>
      <c r="AB480" s="52"/>
      <c r="AC480" s="52"/>
      <c r="AD480" s="52"/>
      <c r="AE480" s="52"/>
      <c r="AF480" s="52"/>
      <c r="AG480" s="52"/>
      <c r="AH480" s="52"/>
      <c r="AI480" s="52"/>
      <c r="AJ480" s="52"/>
      <c r="AK480" s="52"/>
      <c r="AL480" s="52"/>
      <c r="AM480" s="52"/>
      <c r="AN480" s="52"/>
      <c r="AO480" s="52"/>
      <c r="AP480" s="52"/>
      <c r="AQ480" s="52"/>
      <c r="AR480" s="52"/>
      <c r="AS480" s="52"/>
    </row>
    <row r="481" spans="1:45" s="64" customFormat="1" hidden="1">
      <c r="A481" s="65" t="s">
        <v>376</v>
      </c>
      <c r="B481" s="65" t="s">
        <v>377</v>
      </c>
      <c r="C481" s="83" t="str">
        <f t="shared" si="14"/>
        <v>MW Master Chart April 2016 - Development</v>
      </c>
      <c r="D481" s="65">
        <v>171400</v>
      </c>
      <c r="E481" s="65" t="s">
        <v>398</v>
      </c>
      <c r="F481" s="65" t="s">
        <v>155</v>
      </c>
      <c r="G481" s="65" t="s">
        <v>156</v>
      </c>
      <c r="H481" s="65" t="s">
        <v>139</v>
      </c>
      <c r="I481" s="76"/>
      <c r="J481" s="82"/>
      <c r="K481" s="66"/>
      <c r="L481" s="61">
        <f t="shared" si="15"/>
        <v>0</v>
      </c>
      <c r="M481" s="72"/>
      <c r="N481" s="73"/>
      <c r="O481" s="52"/>
      <c r="P481" s="52"/>
      <c r="Q481" s="52"/>
      <c r="R481" s="52"/>
      <c r="S481" s="52"/>
      <c r="T481" s="52"/>
      <c r="U481" s="52"/>
      <c r="V481" s="52"/>
      <c r="W481" s="52"/>
      <c r="X481" s="52"/>
      <c r="Y481" s="52"/>
      <c r="Z481" s="52"/>
      <c r="AA481" s="52"/>
      <c r="AB481" s="52"/>
      <c r="AC481" s="52"/>
      <c r="AD481" s="52"/>
      <c r="AE481" s="52"/>
      <c r="AF481" s="52"/>
      <c r="AG481" s="52"/>
      <c r="AH481" s="52"/>
      <c r="AI481" s="52"/>
      <c r="AJ481" s="52"/>
      <c r="AK481" s="52"/>
      <c r="AL481" s="52"/>
      <c r="AM481" s="52"/>
      <c r="AN481" s="52"/>
      <c r="AO481" s="52"/>
      <c r="AP481" s="52"/>
      <c r="AQ481" s="52"/>
      <c r="AR481" s="52"/>
      <c r="AS481" s="52"/>
    </row>
    <row r="482" spans="1:45" s="64" customFormat="1" hidden="1">
      <c r="A482" s="65" t="s">
        <v>376</v>
      </c>
      <c r="B482" s="65" t="s">
        <v>377</v>
      </c>
      <c r="C482" s="83" t="str">
        <f t="shared" si="14"/>
        <v>MW Master Chart April 2016 - Development</v>
      </c>
      <c r="D482" s="65">
        <v>171500</v>
      </c>
      <c r="E482" s="65" t="s">
        <v>153</v>
      </c>
      <c r="F482" s="65" t="s">
        <v>144</v>
      </c>
      <c r="G482" s="65" t="s">
        <v>145</v>
      </c>
      <c r="H482" s="65" t="s">
        <v>139</v>
      </c>
      <c r="I482" s="76"/>
      <c r="J482" s="82"/>
      <c r="K482" s="66"/>
      <c r="L482" s="61">
        <f t="shared" si="15"/>
        <v>0</v>
      </c>
      <c r="M482" s="72"/>
      <c r="N482" s="73"/>
      <c r="O482" s="52"/>
      <c r="P482" s="52"/>
      <c r="Q482" s="52"/>
      <c r="R482" s="52"/>
      <c r="S482" s="52"/>
      <c r="T482" s="52"/>
      <c r="U482" s="52"/>
      <c r="V482" s="52"/>
      <c r="W482" s="52"/>
      <c r="X482" s="52"/>
      <c r="Y482" s="52"/>
      <c r="Z482" s="52"/>
      <c r="AA482" s="52"/>
      <c r="AB482" s="52"/>
      <c r="AC482" s="52"/>
      <c r="AD482" s="52"/>
      <c r="AE482" s="52"/>
      <c r="AF482" s="52"/>
      <c r="AG482" s="52"/>
      <c r="AH482" s="52"/>
      <c r="AI482" s="52"/>
      <c r="AJ482" s="52"/>
      <c r="AK482" s="52"/>
      <c r="AL482" s="52"/>
      <c r="AM482" s="52"/>
      <c r="AN482" s="52"/>
      <c r="AO482" s="52"/>
      <c r="AP482" s="52"/>
      <c r="AQ482" s="52"/>
      <c r="AR482" s="52"/>
      <c r="AS482" s="52"/>
    </row>
    <row r="483" spans="1:45" s="64" customFormat="1" hidden="1">
      <c r="A483" s="65" t="s">
        <v>376</v>
      </c>
      <c r="B483" s="65" t="s">
        <v>377</v>
      </c>
      <c r="C483" s="83" t="str">
        <f t="shared" si="14"/>
        <v>MW Master Chart April 2016 - Development</v>
      </c>
      <c r="D483" s="65">
        <v>171510</v>
      </c>
      <c r="E483" s="65" t="s">
        <v>186</v>
      </c>
      <c r="F483" s="65" t="s">
        <v>155</v>
      </c>
      <c r="G483" s="65" t="s">
        <v>156</v>
      </c>
      <c r="H483" s="65"/>
      <c r="I483" s="76"/>
      <c r="J483" s="82"/>
      <c r="K483" s="66"/>
      <c r="L483" s="61">
        <f t="shared" si="15"/>
        <v>0</v>
      </c>
      <c r="M483" s="72"/>
      <c r="N483" s="73"/>
      <c r="O483" s="52"/>
      <c r="P483" s="52"/>
      <c r="Q483" s="52"/>
      <c r="R483" s="52"/>
      <c r="S483" s="52"/>
      <c r="T483" s="52"/>
      <c r="U483" s="52"/>
      <c r="V483" s="52"/>
      <c r="W483" s="52"/>
      <c r="X483" s="52"/>
      <c r="Y483" s="52"/>
      <c r="Z483" s="52"/>
      <c r="AA483" s="52"/>
      <c r="AB483" s="52"/>
      <c r="AC483" s="52"/>
      <c r="AD483" s="52"/>
      <c r="AE483" s="52"/>
      <c r="AF483" s="52"/>
      <c r="AG483" s="52"/>
      <c r="AH483" s="52"/>
      <c r="AI483" s="52"/>
      <c r="AJ483" s="52"/>
      <c r="AK483" s="52"/>
      <c r="AL483" s="52"/>
      <c r="AM483" s="52"/>
      <c r="AN483" s="52"/>
      <c r="AO483" s="52"/>
      <c r="AP483" s="52"/>
      <c r="AQ483" s="52"/>
      <c r="AR483" s="52"/>
      <c r="AS483" s="52"/>
    </row>
    <row r="484" spans="1:45" s="64" customFormat="1" hidden="1">
      <c r="A484" s="65" t="s">
        <v>376</v>
      </c>
      <c r="B484" s="65" t="s">
        <v>377</v>
      </c>
      <c r="C484" s="83" t="str">
        <f t="shared" si="14"/>
        <v>MW Master Chart April 2016 - Development</v>
      </c>
      <c r="D484" s="65">
        <v>171600</v>
      </c>
      <c r="E484" s="65" t="s">
        <v>399</v>
      </c>
      <c r="F484" s="65" t="s">
        <v>155</v>
      </c>
      <c r="G484" s="65" t="s">
        <v>156</v>
      </c>
      <c r="H484" s="65" t="s">
        <v>139</v>
      </c>
      <c r="I484" s="76"/>
      <c r="J484" s="82"/>
      <c r="K484" s="66"/>
      <c r="L484" s="61">
        <f t="shared" si="15"/>
        <v>0</v>
      </c>
      <c r="M484" s="72"/>
      <c r="N484" s="73"/>
      <c r="O484" s="52"/>
      <c r="P484" s="52"/>
      <c r="Q484" s="52"/>
      <c r="R484" s="52"/>
      <c r="S484" s="52"/>
      <c r="T484" s="52"/>
      <c r="U484" s="52"/>
      <c r="V484" s="52"/>
      <c r="W484" s="52"/>
      <c r="X484" s="52"/>
      <c r="Y484" s="52"/>
      <c r="Z484" s="52"/>
      <c r="AA484" s="52"/>
      <c r="AB484" s="52"/>
      <c r="AC484" s="52"/>
      <c r="AD484" s="52"/>
      <c r="AE484" s="52"/>
      <c r="AF484" s="52"/>
      <c r="AG484" s="52"/>
      <c r="AH484" s="52"/>
      <c r="AI484" s="52"/>
      <c r="AJ484" s="52"/>
      <c r="AK484" s="52"/>
      <c r="AL484" s="52"/>
      <c r="AM484" s="52"/>
      <c r="AN484" s="52"/>
      <c r="AO484" s="52"/>
      <c r="AP484" s="52"/>
      <c r="AQ484" s="52"/>
      <c r="AR484" s="52"/>
      <c r="AS484" s="52"/>
    </row>
    <row r="485" spans="1:45" s="64" customFormat="1" hidden="1">
      <c r="A485" s="65" t="s">
        <v>376</v>
      </c>
      <c r="B485" s="65" t="s">
        <v>377</v>
      </c>
      <c r="C485" s="83" t="str">
        <f t="shared" si="14"/>
        <v>MW Master Chart April 2016 - Development</v>
      </c>
      <c r="D485" s="65">
        <v>171700</v>
      </c>
      <c r="E485" s="65" t="s">
        <v>400</v>
      </c>
      <c r="F485" s="65" t="s">
        <v>155</v>
      </c>
      <c r="G485" s="65" t="s">
        <v>156</v>
      </c>
      <c r="H485" s="65" t="s">
        <v>139</v>
      </c>
      <c r="I485" s="76"/>
      <c r="J485" s="82"/>
      <c r="K485" s="66"/>
      <c r="L485" s="61">
        <f t="shared" si="15"/>
        <v>0</v>
      </c>
      <c r="M485" s="72"/>
      <c r="N485" s="73"/>
      <c r="O485" s="52"/>
      <c r="P485" s="52"/>
      <c r="Q485" s="52"/>
      <c r="R485" s="52"/>
      <c r="S485" s="52"/>
      <c r="T485" s="52"/>
      <c r="U485" s="52"/>
      <c r="V485" s="52"/>
      <c r="W485" s="52"/>
      <c r="X485" s="52"/>
      <c r="Y485" s="52"/>
      <c r="Z485" s="52"/>
      <c r="AA485" s="52"/>
      <c r="AB485" s="52"/>
      <c r="AC485" s="52"/>
      <c r="AD485" s="52"/>
      <c r="AE485" s="52"/>
      <c r="AF485" s="52"/>
      <c r="AG485" s="52"/>
      <c r="AH485" s="52"/>
      <c r="AI485" s="52"/>
      <c r="AJ485" s="52"/>
      <c r="AK485" s="52"/>
      <c r="AL485" s="52"/>
      <c r="AM485" s="52"/>
      <c r="AN485" s="52"/>
      <c r="AO485" s="52"/>
      <c r="AP485" s="52"/>
      <c r="AQ485" s="52"/>
      <c r="AR485" s="52"/>
      <c r="AS485" s="52"/>
    </row>
    <row r="486" spans="1:45" s="64" customFormat="1" hidden="1">
      <c r="A486" s="65" t="s">
        <v>376</v>
      </c>
      <c r="B486" s="65" t="s">
        <v>377</v>
      </c>
      <c r="C486" s="83" t="str">
        <f t="shared" si="14"/>
        <v>MW Master Chart April 2016 - Development</v>
      </c>
      <c r="D486" s="65">
        <v>171800</v>
      </c>
      <c r="E486" s="65" t="s">
        <v>401</v>
      </c>
      <c r="F486" s="65" t="s">
        <v>155</v>
      </c>
      <c r="G486" s="65" t="s">
        <v>156</v>
      </c>
      <c r="H486" s="65" t="s">
        <v>139</v>
      </c>
      <c r="I486" s="76"/>
      <c r="J486" s="82"/>
      <c r="K486" s="66"/>
      <c r="L486" s="61">
        <f t="shared" si="15"/>
        <v>0</v>
      </c>
      <c r="M486" s="72"/>
      <c r="N486" s="73"/>
      <c r="O486" s="52"/>
      <c r="P486" s="52"/>
      <c r="Q486" s="52"/>
      <c r="R486" s="52"/>
      <c r="S486" s="52"/>
      <c r="T486" s="52"/>
      <c r="U486" s="52"/>
      <c r="V486" s="52"/>
      <c r="W486" s="52"/>
      <c r="X486" s="52"/>
      <c r="Y486" s="52"/>
      <c r="Z486" s="52"/>
      <c r="AA486" s="52"/>
      <c r="AB486" s="52"/>
      <c r="AC486" s="52"/>
      <c r="AD486" s="52"/>
      <c r="AE486" s="52"/>
      <c r="AF486" s="52"/>
      <c r="AG486" s="52"/>
      <c r="AH486" s="52"/>
      <c r="AI486" s="52"/>
      <c r="AJ486" s="52"/>
      <c r="AK486" s="52"/>
      <c r="AL486" s="52"/>
      <c r="AM486" s="52"/>
      <c r="AN486" s="52"/>
      <c r="AO486" s="52"/>
      <c r="AP486" s="52"/>
      <c r="AQ486" s="52"/>
      <c r="AR486" s="52"/>
      <c r="AS486" s="52"/>
    </row>
    <row r="487" spans="1:45" s="64" customFormat="1" hidden="1">
      <c r="A487" s="65" t="s">
        <v>376</v>
      </c>
      <c r="B487" s="65" t="s">
        <v>377</v>
      </c>
      <c r="C487" s="83" t="str">
        <f t="shared" si="14"/>
        <v>MW Master Chart April 2016 - Development</v>
      </c>
      <c r="D487" s="65">
        <v>171900</v>
      </c>
      <c r="E487" s="65" t="s">
        <v>402</v>
      </c>
      <c r="F487" s="65" t="s">
        <v>155</v>
      </c>
      <c r="G487" s="65" t="s">
        <v>156</v>
      </c>
      <c r="H487" s="65" t="s">
        <v>139</v>
      </c>
      <c r="I487" s="76"/>
      <c r="J487" s="82"/>
      <c r="K487" s="66"/>
      <c r="L487" s="61">
        <f t="shared" si="15"/>
        <v>0</v>
      </c>
      <c r="M487" s="72"/>
      <c r="N487" s="73"/>
      <c r="O487" s="52"/>
      <c r="P487" s="52"/>
      <c r="Q487" s="52"/>
      <c r="R487" s="52"/>
      <c r="S487" s="52"/>
      <c r="T487" s="52"/>
      <c r="U487" s="52"/>
      <c r="V487" s="52"/>
      <c r="W487" s="52"/>
      <c r="X487" s="52"/>
      <c r="Y487" s="52"/>
      <c r="Z487" s="52"/>
      <c r="AA487" s="52"/>
      <c r="AB487" s="52"/>
      <c r="AC487" s="52"/>
      <c r="AD487" s="52"/>
      <c r="AE487" s="52"/>
      <c r="AF487" s="52"/>
      <c r="AG487" s="52"/>
      <c r="AH487" s="52"/>
      <c r="AI487" s="52"/>
      <c r="AJ487" s="52"/>
      <c r="AK487" s="52"/>
      <c r="AL487" s="52"/>
      <c r="AM487" s="52"/>
      <c r="AN487" s="52"/>
      <c r="AO487" s="52"/>
      <c r="AP487" s="52"/>
      <c r="AQ487" s="52"/>
      <c r="AR487" s="52"/>
      <c r="AS487" s="52"/>
    </row>
    <row r="488" spans="1:45" s="64" customFormat="1" hidden="1">
      <c r="A488" s="65" t="s">
        <v>376</v>
      </c>
      <c r="B488" s="65" t="s">
        <v>377</v>
      </c>
      <c r="C488" s="83" t="str">
        <f t="shared" si="14"/>
        <v>MW Master Chart April 2016 - Development</v>
      </c>
      <c r="D488" s="65">
        <v>171910</v>
      </c>
      <c r="E488" s="65" t="s">
        <v>403</v>
      </c>
      <c r="F488" s="65" t="s">
        <v>155</v>
      </c>
      <c r="G488" s="65" t="s">
        <v>156</v>
      </c>
      <c r="H488" s="65" t="s">
        <v>139</v>
      </c>
      <c r="I488" s="76"/>
      <c r="J488" s="82"/>
      <c r="K488" s="66"/>
      <c r="L488" s="61">
        <f t="shared" si="15"/>
        <v>0</v>
      </c>
      <c r="M488" s="72"/>
      <c r="N488" s="73"/>
      <c r="O488" s="52"/>
      <c r="P488" s="52"/>
      <c r="Q488" s="52"/>
      <c r="R488" s="52"/>
      <c r="S488" s="52"/>
      <c r="T488" s="52"/>
      <c r="U488" s="52"/>
      <c r="V488" s="52"/>
      <c r="W488" s="52"/>
      <c r="X488" s="52"/>
      <c r="Y488" s="52"/>
      <c r="Z488" s="52"/>
      <c r="AA488" s="52"/>
      <c r="AB488" s="52"/>
      <c r="AC488" s="52"/>
      <c r="AD488" s="52"/>
      <c r="AE488" s="52"/>
      <c r="AF488" s="52"/>
      <c r="AG488" s="52"/>
      <c r="AH488" s="52"/>
      <c r="AI488" s="52"/>
      <c r="AJ488" s="52"/>
      <c r="AK488" s="52"/>
      <c r="AL488" s="52"/>
      <c r="AM488" s="52"/>
      <c r="AN488" s="52"/>
      <c r="AO488" s="52"/>
      <c r="AP488" s="52"/>
      <c r="AQ488" s="52"/>
      <c r="AR488" s="52"/>
      <c r="AS488" s="52"/>
    </row>
    <row r="489" spans="1:45" s="64" customFormat="1" hidden="1">
      <c r="A489" s="65" t="s">
        <v>376</v>
      </c>
      <c r="B489" s="65" t="s">
        <v>377</v>
      </c>
      <c r="C489" s="83" t="str">
        <f t="shared" si="14"/>
        <v>MW Master Chart April 2016 - Development</v>
      </c>
      <c r="D489" s="65">
        <v>172100</v>
      </c>
      <c r="E489" s="65" t="s">
        <v>404</v>
      </c>
      <c r="F489" s="65" t="s">
        <v>155</v>
      </c>
      <c r="G489" s="65" t="s">
        <v>156</v>
      </c>
      <c r="H489" s="65" t="s">
        <v>139</v>
      </c>
      <c r="I489" s="76"/>
      <c r="J489" s="82"/>
      <c r="K489" s="66"/>
      <c r="L489" s="61">
        <f t="shared" si="15"/>
        <v>0</v>
      </c>
      <c r="M489" s="72"/>
      <c r="N489" s="73"/>
      <c r="O489" s="52"/>
      <c r="P489" s="52"/>
      <c r="Q489" s="52"/>
      <c r="R489" s="52"/>
      <c r="S489" s="52"/>
      <c r="T489" s="52"/>
      <c r="U489" s="52"/>
      <c r="V489" s="52"/>
      <c r="W489" s="52"/>
      <c r="X489" s="52"/>
      <c r="Y489" s="52"/>
      <c r="Z489" s="52"/>
      <c r="AA489" s="52"/>
      <c r="AB489" s="52"/>
      <c r="AC489" s="52"/>
      <c r="AD489" s="52"/>
      <c r="AE489" s="52"/>
      <c r="AF489" s="52"/>
      <c r="AG489" s="52"/>
      <c r="AH489" s="52"/>
      <c r="AI489" s="52"/>
      <c r="AJ489" s="52"/>
      <c r="AK489" s="52"/>
      <c r="AL489" s="52"/>
      <c r="AM489" s="52"/>
      <c r="AN489" s="52"/>
      <c r="AO489" s="52"/>
      <c r="AP489" s="52"/>
      <c r="AQ489" s="52"/>
      <c r="AR489" s="52"/>
      <c r="AS489" s="52"/>
    </row>
    <row r="490" spans="1:45" s="64" customFormat="1" hidden="1">
      <c r="A490" s="65" t="s">
        <v>376</v>
      </c>
      <c r="B490" s="65" t="s">
        <v>377</v>
      </c>
      <c r="C490" s="83" t="str">
        <f t="shared" si="14"/>
        <v>MW Master Chart April 2016 - Development</v>
      </c>
      <c r="D490" s="65">
        <v>172200</v>
      </c>
      <c r="E490" s="65" t="s">
        <v>405</v>
      </c>
      <c r="F490" s="65" t="s">
        <v>155</v>
      </c>
      <c r="G490" s="65" t="s">
        <v>156</v>
      </c>
      <c r="H490" s="65" t="s">
        <v>139</v>
      </c>
      <c r="I490" s="76"/>
      <c r="J490" s="82"/>
      <c r="K490" s="66"/>
      <c r="L490" s="61">
        <f t="shared" si="15"/>
        <v>0</v>
      </c>
      <c r="M490" s="72"/>
      <c r="N490" s="73"/>
      <c r="O490" s="52"/>
      <c r="P490" s="52"/>
      <c r="Q490" s="52"/>
      <c r="R490" s="52"/>
      <c r="S490" s="52"/>
      <c r="T490" s="52"/>
      <c r="U490" s="52"/>
      <c r="V490" s="52"/>
      <c r="W490" s="52"/>
      <c r="X490" s="52"/>
      <c r="Y490" s="52"/>
      <c r="Z490" s="52"/>
      <c r="AA490" s="52"/>
      <c r="AB490" s="52"/>
      <c r="AC490" s="52"/>
      <c r="AD490" s="52"/>
      <c r="AE490" s="52"/>
      <c r="AF490" s="52"/>
      <c r="AG490" s="52"/>
      <c r="AH490" s="52"/>
      <c r="AI490" s="52"/>
      <c r="AJ490" s="52"/>
      <c r="AK490" s="52"/>
      <c r="AL490" s="52"/>
      <c r="AM490" s="52"/>
      <c r="AN490" s="52"/>
      <c r="AO490" s="52"/>
      <c r="AP490" s="52"/>
      <c r="AQ490" s="52"/>
      <c r="AR490" s="52"/>
      <c r="AS490" s="52"/>
    </row>
    <row r="491" spans="1:45" s="64" customFormat="1" hidden="1">
      <c r="A491" s="65" t="s">
        <v>376</v>
      </c>
      <c r="B491" s="65" t="s">
        <v>377</v>
      </c>
      <c r="C491" s="83" t="str">
        <f t="shared" si="14"/>
        <v>MW Master Chart April 2016 - Development</v>
      </c>
      <c r="D491" s="65">
        <v>172300</v>
      </c>
      <c r="E491" s="65" t="s">
        <v>406</v>
      </c>
      <c r="F491" s="65" t="s">
        <v>155</v>
      </c>
      <c r="G491" s="65" t="s">
        <v>156</v>
      </c>
      <c r="H491" s="65" t="s">
        <v>139</v>
      </c>
      <c r="I491" s="76"/>
      <c r="J491" s="82"/>
      <c r="K491" s="66"/>
      <c r="L491" s="61">
        <f t="shared" si="15"/>
        <v>0</v>
      </c>
      <c r="M491" s="72"/>
      <c r="N491" s="73"/>
      <c r="O491" s="52"/>
      <c r="P491" s="52"/>
      <c r="Q491" s="52"/>
      <c r="R491" s="52"/>
      <c r="S491" s="52"/>
      <c r="T491" s="52"/>
      <c r="U491" s="52"/>
      <c r="V491" s="52"/>
      <c r="W491" s="52"/>
      <c r="X491" s="52"/>
      <c r="Y491" s="52"/>
      <c r="Z491" s="52"/>
      <c r="AA491" s="52"/>
      <c r="AB491" s="52"/>
      <c r="AC491" s="52"/>
      <c r="AD491" s="52"/>
      <c r="AE491" s="52"/>
      <c r="AF491" s="52"/>
      <c r="AG491" s="52"/>
      <c r="AH491" s="52"/>
      <c r="AI491" s="52"/>
      <c r="AJ491" s="52"/>
      <c r="AK491" s="52"/>
      <c r="AL491" s="52"/>
      <c r="AM491" s="52"/>
      <c r="AN491" s="52"/>
      <c r="AO491" s="52"/>
      <c r="AP491" s="52"/>
      <c r="AQ491" s="52"/>
      <c r="AR491" s="52"/>
      <c r="AS491" s="52"/>
    </row>
    <row r="492" spans="1:45" s="64" customFormat="1" hidden="1">
      <c r="A492" s="65" t="s">
        <v>376</v>
      </c>
      <c r="B492" s="65" t="s">
        <v>377</v>
      </c>
      <c r="C492" s="83" t="str">
        <f t="shared" si="14"/>
        <v>MW Master Chart April 2016 - Development</v>
      </c>
      <c r="D492" s="65">
        <v>172400</v>
      </c>
      <c r="E492" s="65" t="s">
        <v>407</v>
      </c>
      <c r="F492" s="65" t="s">
        <v>155</v>
      </c>
      <c r="G492" s="65" t="s">
        <v>156</v>
      </c>
      <c r="H492" s="65" t="s">
        <v>139</v>
      </c>
      <c r="I492" s="76"/>
      <c r="J492" s="82"/>
      <c r="K492" s="66"/>
      <c r="L492" s="61">
        <f t="shared" si="15"/>
        <v>0</v>
      </c>
      <c r="M492" s="72"/>
      <c r="N492" s="73"/>
      <c r="O492" s="52"/>
      <c r="P492" s="52"/>
      <c r="Q492" s="52"/>
      <c r="R492" s="52"/>
      <c r="S492" s="52"/>
      <c r="T492" s="52"/>
      <c r="U492" s="52"/>
      <c r="V492" s="52"/>
      <c r="W492" s="52"/>
      <c r="X492" s="52"/>
      <c r="Y492" s="52"/>
      <c r="Z492" s="52"/>
      <c r="AA492" s="52"/>
      <c r="AB492" s="52"/>
      <c r="AC492" s="52"/>
      <c r="AD492" s="52"/>
      <c r="AE492" s="52"/>
      <c r="AF492" s="52"/>
      <c r="AG492" s="52"/>
      <c r="AH492" s="52"/>
      <c r="AI492" s="52"/>
      <c r="AJ492" s="52"/>
      <c r="AK492" s="52"/>
      <c r="AL492" s="52"/>
      <c r="AM492" s="52"/>
      <c r="AN492" s="52"/>
      <c r="AO492" s="52"/>
      <c r="AP492" s="52"/>
      <c r="AQ492" s="52"/>
      <c r="AR492" s="52"/>
      <c r="AS492" s="52"/>
    </row>
    <row r="493" spans="1:45" s="64" customFormat="1" hidden="1">
      <c r="A493" s="65" t="s">
        <v>376</v>
      </c>
      <c r="B493" s="65" t="s">
        <v>377</v>
      </c>
      <c r="C493" s="83" t="str">
        <f t="shared" si="14"/>
        <v>MW Master Chart April 2016 - Implementation</v>
      </c>
      <c r="D493" s="65">
        <v>181000</v>
      </c>
      <c r="E493" s="65" t="s">
        <v>206</v>
      </c>
      <c r="F493" s="65" t="s">
        <v>155</v>
      </c>
      <c r="G493" s="65" t="s">
        <v>156</v>
      </c>
      <c r="H493" s="65" t="s">
        <v>139</v>
      </c>
      <c r="I493" s="76"/>
      <c r="J493" s="82"/>
      <c r="K493" s="66"/>
      <c r="L493" s="61">
        <f t="shared" si="15"/>
        <v>0</v>
      </c>
      <c r="M493" s="72"/>
      <c r="N493" s="73"/>
      <c r="O493" s="52"/>
      <c r="P493" s="52"/>
      <c r="Q493" s="52"/>
      <c r="R493" s="52"/>
      <c r="S493" s="52"/>
      <c r="T493" s="52"/>
      <c r="U493" s="52"/>
      <c r="V493" s="52"/>
      <c r="W493" s="52"/>
      <c r="X493" s="52"/>
      <c r="Y493" s="52"/>
      <c r="Z493" s="52"/>
      <c r="AA493" s="52"/>
      <c r="AB493" s="52"/>
      <c r="AC493" s="52"/>
      <c r="AD493" s="52"/>
      <c r="AE493" s="52"/>
      <c r="AF493" s="52"/>
      <c r="AG493" s="52"/>
      <c r="AH493" s="52"/>
      <c r="AI493" s="52"/>
      <c r="AJ493" s="52"/>
      <c r="AK493" s="52"/>
      <c r="AL493" s="52"/>
      <c r="AM493" s="52"/>
      <c r="AN493" s="52"/>
      <c r="AO493" s="52"/>
      <c r="AP493" s="52"/>
      <c r="AQ493" s="52"/>
      <c r="AR493" s="52"/>
      <c r="AS493" s="52"/>
    </row>
    <row r="494" spans="1:45" s="64" customFormat="1" hidden="1">
      <c r="A494" s="65" t="s">
        <v>376</v>
      </c>
      <c r="B494" s="65" t="s">
        <v>377</v>
      </c>
      <c r="C494" s="83" t="str">
        <f t="shared" si="14"/>
        <v>MW Master Chart April 2016 - Implementation</v>
      </c>
      <c r="D494" s="65">
        <v>181100</v>
      </c>
      <c r="E494" s="65" t="s">
        <v>207</v>
      </c>
      <c r="F494" s="65" t="s">
        <v>155</v>
      </c>
      <c r="G494" s="65" t="s">
        <v>156</v>
      </c>
      <c r="H494" s="65" t="s">
        <v>139</v>
      </c>
      <c r="I494" s="76"/>
      <c r="J494" s="82"/>
      <c r="K494" s="66"/>
      <c r="L494" s="61">
        <f t="shared" si="15"/>
        <v>0</v>
      </c>
      <c r="M494" s="72"/>
      <c r="N494" s="73"/>
      <c r="O494" s="52"/>
      <c r="P494" s="52"/>
      <c r="Q494" s="52"/>
      <c r="R494" s="52"/>
      <c r="S494" s="52"/>
      <c r="T494" s="52"/>
      <c r="U494" s="52"/>
      <c r="V494" s="52"/>
      <c r="W494" s="52"/>
      <c r="X494" s="52"/>
      <c r="Y494" s="52"/>
      <c r="Z494" s="52"/>
      <c r="AA494" s="52"/>
      <c r="AB494" s="52"/>
      <c r="AC494" s="52"/>
      <c r="AD494" s="52"/>
      <c r="AE494" s="52"/>
      <c r="AF494" s="52"/>
      <c r="AG494" s="52"/>
      <c r="AH494" s="52"/>
      <c r="AI494" s="52"/>
      <c r="AJ494" s="52"/>
      <c r="AK494" s="52"/>
      <c r="AL494" s="52"/>
      <c r="AM494" s="52"/>
      <c r="AN494" s="52"/>
      <c r="AO494" s="52"/>
      <c r="AP494" s="52"/>
      <c r="AQ494" s="52"/>
      <c r="AR494" s="52"/>
      <c r="AS494" s="52"/>
    </row>
    <row r="495" spans="1:45" s="64" customFormat="1" hidden="1">
      <c r="A495" s="65" t="s">
        <v>376</v>
      </c>
      <c r="B495" s="65" t="s">
        <v>377</v>
      </c>
      <c r="C495" s="83" t="str">
        <f t="shared" si="14"/>
        <v>MW Master Chart April 2016 - Implementation</v>
      </c>
      <c r="D495" s="65">
        <v>181200</v>
      </c>
      <c r="E495" s="65" t="s">
        <v>208</v>
      </c>
      <c r="F495" s="65" t="s">
        <v>155</v>
      </c>
      <c r="G495" s="65" t="s">
        <v>156</v>
      </c>
      <c r="H495" s="65" t="s">
        <v>139</v>
      </c>
      <c r="I495" s="76"/>
      <c r="J495" s="82"/>
      <c r="K495" s="66"/>
      <c r="L495" s="61">
        <f t="shared" si="15"/>
        <v>0</v>
      </c>
      <c r="M495" s="72"/>
      <c r="N495" s="73"/>
      <c r="O495" s="52"/>
      <c r="P495" s="52"/>
      <c r="Q495" s="52"/>
      <c r="R495" s="52"/>
      <c r="S495" s="52"/>
      <c r="T495" s="52"/>
      <c r="U495" s="52"/>
      <c r="V495" s="52"/>
      <c r="W495" s="52"/>
      <c r="X495" s="52"/>
      <c r="Y495" s="52"/>
      <c r="Z495" s="52"/>
      <c r="AA495" s="52"/>
      <c r="AB495" s="52"/>
      <c r="AC495" s="52"/>
      <c r="AD495" s="52"/>
      <c r="AE495" s="52"/>
      <c r="AF495" s="52"/>
      <c r="AG495" s="52"/>
      <c r="AH495" s="52"/>
      <c r="AI495" s="52"/>
      <c r="AJ495" s="52"/>
      <c r="AK495" s="52"/>
      <c r="AL495" s="52"/>
      <c r="AM495" s="52"/>
      <c r="AN495" s="52"/>
      <c r="AO495" s="52"/>
      <c r="AP495" s="52"/>
      <c r="AQ495" s="52"/>
      <c r="AR495" s="52"/>
      <c r="AS495" s="52"/>
    </row>
    <row r="496" spans="1:45" s="64" customFormat="1" hidden="1">
      <c r="A496" s="65" t="s">
        <v>376</v>
      </c>
      <c r="B496" s="65" t="s">
        <v>377</v>
      </c>
      <c r="C496" s="83" t="str">
        <f t="shared" si="14"/>
        <v>MW Master Chart April 2016 - Implementation</v>
      </c>
      <c r="D496" s="65">
        <v>181300</v>
      </c>
      <c r="E496" s="65" t="s">
        <v>229</v>
      </c>
      <c r="F496" s="65" t="s">
        <v>155</v>
      </c>
      <c r="G496" s="65" t="s">
        <v>156</v>
      </c>
      <c r="H496" s="65" t="s">
        <v>139</v>
      </c>
      <c r="I496" s="76"/>
      <c r="J496" s="82"/>
      <c r="K496" s="66"/>
      <c r="L496" s="61">
        <f t="shared" si="15"/>
        <v>0</v>
      </c>
      <c r="M496" s="72"/>
      <c r="N496" s="73"/>
      <c r="O496" s="52"/>
      <c r="P496" s="52"/>
      <c r="Q496" s="52"/>
      <c r="R496" s="52"/>
      <c r="S496" s="52"/>
      <c r="T496" s="52"/>
      <c r="U496" s="52"/>
      <c r="V496" s="52"/>
      <c r="W496" s="52"/>
      <c r="X496" s="52"/>
      <c r="Y496" s="52"/>
      <c r="Z496" s="52"/>
      <c r="AA496" s="52"/>
      <c r="AB496" s="52"/>
      <c r="AC496" s="52"/>
      <c r="AD496" s="52"/>
      <c r="AE496" s="52"/>
      <c r="AF496" s="52"/>
      <c r="AG496" s="52"/>
      <c r="AH496" s="52"/>
      <c r="AI496" s="52"/>
      <c r="AJ496" s="52"/>
      <c r="AK496" s="52"/>
      <c r="AL496" s="52"/>
      <c r="AM496" s="52"/>
      <c r="AN496" s="52"/>
      <c r="AO496" s="52"/>
      <c r="AP496" s="52"/>
      <c r="AQ496" s="52"/>
      <c r="AR496" s="52"/>
      <c r="AS496" s="52"/>
    </row>
    <row r="497" spans="1:45" s="64" customFormat="1" hidden="1">
      <c r="A497" s="65" t="s">
        <v>376</v>
      </c>
      <c r="B497" s="65" t="s">
        <v>377</v>
      </c>
      <c r="C497" s="83" t="str">
        <f t="shared" si="14"/>
        <v>MW Master Chart April 2016 - Implementation</v>
      </c>
      <c r="D497" s="65">
        <v>181310</v>
      </c>
      <c r="E497" s="65" t="s">
        <v>253</v>
      </c>
      <c r="F497" s="65" t="s">
        <v>155</v>
      </c>
      <c r="G497" s="65" t="s">
        <v>156</v>
      </c>
      <c r="H497" s="65" t="s">
        <v>139</v>
      </c>
      <c r="I497" s="76"/>
      <c r="J497" s="82"/>
      <c r="K497" s="66"/>
      <c r="L497" s="61">
        <f t="shared" si="15"/>
        <v>0</v>
      </c>
      <c r="M497" s="72"/>
      <c r="N497" s="73"/>
      <c r="O497" s="52"/>
      <c r="P497" s="52"/>
      <c r="Q497" s="52"/>
      <c r="R497" s="52"/>
      <c r="S497" s="52"/>
      <c r="T497" s="52"/>
      <c r="U497" s="52"/>
      <c r="V497" s="52"/>
      <c r="W497" s="52"/>
      <c r="X497" s="52"/>
      <c r="Y497" s="52"/>
      <c r="Z497" s="52"/>
      <c r="AA497" s="52"/>
      <c r="AB497" s="52"/>
      <c r="AC497" s="52"/>
      <c r="AD497" s="52"/>
      <c r="AE497" s="52"/>
      <c r="AF497" s="52"/>
      <c r="AG497" s="52"/>
      <c r="AH497" s="52"/>
      <c r="AI497" s="52"/>
      <c r="AJ497" s="52"/>
      <c r="AK497" s="52"/>
      <c r="AL497" s="52"/>
      <c r="AM497" s="52"/>
      <c r="AN497" s="52"/>
      <c r="AO497" s="52"/>
      <c r="AP497" s="52"/>
      <c r="AQ497" s="52"/>
      <c r="AR497" s="52"/>
      <c r="AS497" s="52"/>
    </row>
    <row r="498" spans="1:45" s="64" customFormat="1" hidden="1">
      <c r="A498" s="65" t="s">
        <v>376</v>
      </c>
      <c r="B498" s="65" t="s">
        <v>377</v>
      </c>
      <c r="C498" s="83" t="str">
        <f t="shared" si="14"/>
        <v>MW Master Chart April 2016 - Implementation</v>
      </c>
      <c r="D498" s="65">
        <v>181320</v>
      </c>
      <c r="E498" s="65" t="s">
        <v>230</v>
      </c>
      <c r="F498" s="65" t="s">
        <v>155</v>
      </c>
      <c r="G498" s="65" t="s">
        <v>156</v>
      </c>
      <c r="H498" s="65" t="s">
        <v>139</v>
      </c>
      <c r="I498" s="76"/>
      <c r="J498" s="82"/>
      <c r="K498" s="66"/>
      <c r="L498" s="61">
        <f t="shared" si="15"/>
        <v>0</v>
      </c>
      <c r="M498" s="72"/>
      <c r="N498" s="73"/>
      <c r="O498" s="52"/>
      <c r="P498" s="52"/>
      <c r="Q498" s="52"/>
      <c r="R498" s="52"/>
      <c r="S498" s="52"/>
      <c r="T498" s="52"/>
      <c r="U498" s="52"/>
      <c r="V498" s="52"/>
      <c r="W498" s="52"/>
      <c r="X498" s="52"/>
      <c r="Y498" s="52"/>
      <c r="Z498" s="52"/>
      <c r="AA498" s="52"/>
      <c r="AB498" s="52"/>
      <c r="AC498" s="52"/>
      <c r="AD498" s="52"/>
      <c r="AE498" s="52"/>
      <c r="AF498" s="52"/>
      <c r="AG498" s="52"/>
      <c r="AH498" s="52"/>
      <c r="AI498" s="52"/>
      <c r="AJ498" s="52"/>
      <c r="AK498" s="52"/>
      <c r="AL498" s="52"/>
      <c r="AM498" s="52"/>
      <c r="AN498" s="52"/>
      <c r="AO498" s="52"/>
      <c r="AP498" s="52"/>
      <c r="AQ498" s="52"/>
      <c r="AR498" s="52"/>
      <c r="AS498" s="52"/>
    </row>
    <row r="499" spans="1:45" s="64" customFormat="1" hidden="1">
      <c r="A499" s="65" t="s">
        <v>376</v>
      </c>
      <c r="B499" s="65" t="s">
        <v>377</v>
      </c>
      <c r="C499" s="83" t="str">
        <f t="shared" si="14"/>
        <v>MW Master Chart April 2016 - Implementation</v>
      </c>
      <c r="D499" s="65">
        <v>181400</v>
      </c>
      <c r="E499" s="65" t="s">
        <v>187</v>
      </c>
      <c r="F499" s="65" t="s">
        <v>155</v>
      </c>
      <c r="G499" s="65" t="s">
        <v>156</v>
      </c>
      <c r="H499" s="65" t="s">
        <v>139</v>
      </c>
      <c r="I499" s="76"/>
      <c r="J499" s="82"/>
      <c r="K499" s="66"/>
      <c r="L499" s="61">
        <f t="shared" si="15"/>
        <v>0</v>
      </c>
      <c r="M499" s="72"/>
      <c r="N499" s="73"/>
      <c r="O499" s="52"/>
      <c r="P499" s="52"/>
      <c r="Q499" s="52"/>
      <c r="R499" s="52"/>
      <c r="S499" s="52"/>
      <c r="T499" s="52"/>
      <c r="U499" s="52"/>
      <c r="V499" s="52"/>
      <c r="W499" s="52"/>
      <c r="X499" s="52"/>
      <c r="Y499" s="52"/>
      <c r="Z499" s="52"/>
      <c r="AA499" s="52"/>
      <c r="AB499" s="52"/>
      <c r="AC499" s="52"/>
      <c r="AD499" s="52"/>
      <c r="AE499" s="52"/>
      <c r="AF499" s="52"/>
      <c r="AG499" s="52"/>
      <c r="AH499" s="52"/>
      <c r="AI499" s="52"/>
      <c r="AJ499" s="52"/>
      <c r="AK499" s="52"/>
      <c r="AL499" s="52"/>
      <c r="AM499" s="52"/>
      <c r="AN499" s="52"/>
      <c r="AO499" s="52"/>
      <c r="AP499" s="52"/>
      <c r="AQ499" s="52"/>
      <c r="AR499" s="52"/>
      <c r="AS499" s="52"/>
    </row>
    <row r="500" spans="1:45" s="64" customFormat="1" hidden="1">
      <c r="A500" s="65" t="s">
        <v>376</v>
      </c>
      <c r="B500" s="65" t="s">
        <v>377</v>
      </c>
      <c r="C500" s="83" t="str">
        <f t="shared" si="14"/>
        <v>MW Master Chart April 2016 - Implementation</v>
      </c>
      <c r="D500" s="65">
        <v>181500</v>
      </c>
      <c r="E500" s="65" t="s">
        <v>408</v>
      </c>
      <c r="F500" s="65" t="s">
        <v>155</v>
      </c>
      <c r="G500" s="65" t="s">
        <v>156</v>
      </c>
      <c r="H500" s="65" t="s">
        <v>139</v>
      </c>
      <c r="I500" s="76"/>
      <c r="J500" s="82"/>
      <c r="K500" s="66"/>
      <c r="L500" s="61">
        <f t="shared" si="15"/>
        <v>0</v>
      </c>
      <c r="M500" s="72"/>
      <c r="N500" s="73"/>
      <c r="O500" s="52"/>
      <c r="P500" s="52"/>
      <c r="Q500" s="52"/>
      <c r="R500" s="52"/>
      <c r="S500" s="52"/>
      <c r="T500" s="52"/>
      <c r="U500" s="52"/>
      <c r="V500" s="52"/>
      <c r="W500" s="52"/>
      <c r="X500" s="52"/>
      <c r="Y500" s="52"/>
      <c r="Z500" s="52"/>
      <c r="AA500" s="52"/>
      <c r="AB500" s="52"/>
      <c r="AC500" s="52"/>
      <c r="AD500" s="52"/>
      <c r="AE500" s="52"/>
      <c r="AF500" s="52"/>
      <c r="AG500" s="52"/>
      <c r="AH500" s="52"/>
      <c r="AI500" s="52"/>
      <c r="AJ500" s="52"/>
      <c r="AK500" s="52"/>
      <c r="AL500" s="52"/>
      <c r="AM500" s="52"/>
      <c r="AN500" s="52"/>
      <c r="AO500" s="52"/>
      <c r="AP500" s="52"/>
      <c r="AQ500" s="52"/>
      <c r="AR500" s="52"/>
      <c r="AS500" s="52"/>
    </row>
    <row r="501" spans="1:45" s="64" customFormat="1" hidden="1">
      <c r="A501" s="65" t="s">
        <v>376</v>
      </c>
      <c r="B501" s="65" t="s">
        <v>377</v>
      </c>
      <c r="C501" s="83" t="str">
        <f t="shared" si="14"/>
        <v>MW Master Chart April 2016 - Implementation</v>
      </c>
      <c r="D501" s="65">
        <v>181600</v>
      </c>
      <c r="E501" s="65" t="s">
        <v>188</v>
      </c>
      <c r="F501" s="65" t="s">
        <v>155</v>
      </c>
      <c r="G501" s="65" t="s">
        <v>156</v>
      </c>
      <c r="H501" s="65" t="s">
        <v>139</v>
      </c>
      <c r="I501" s="76"/>
      <c r="J501" s="82"/>
      <c r="K501" s="66"/>
      <c r="L501" s="61">
        <f t="shared" si="15"/>
        <v>0</v>
      </c>
      <c r="M501" s="72"/>
      <c r="N501" s="73"/>
      <c r="O501" s="52"/>
      <c r="P501" s="52"/>
      <c r="Q501" s="52"/>
      <c r="R501" s="52"/>
      <c r="S501" s="52"/>
      <c r="T501" s="52"/>
      <c r="U501" s="52"/>
      <c r="V501" s="52"/>
      <c r="W501" s="52"/>
      <c r="X501" s="52"/>
      <c r="Y501" s="52"/>
      <c r="Z501" s="52"/>
      <c r="AA501" s="52"/>
      <c r="AB501" s="52"/>
      <c r="AC501" s="52"/>
      <c r="AD501" s="52"/>
      <c r="AE501" s="52"/>
      <c r="AF501" s="52"/>
      <c r="AG501" s="52"/>
      <c r="AH501" s="52"/>
      <c r="AI501" s="52"/>
      <c r="AJ501" s="52"/>
      <c r="AK501" s="52"/>
      <c r="AL501" s="52"/>
      <c r="AM501" s="52"/>
      <c r="AN501" s="52"/>
      <c r="AO501" s="52"/>
      <c r="AP501" s="52"/>
      <c r="AQ501" s="52"/>
      <c r="AR501" s="52"/>
      <c r="AS501" s="52"/>
    </row>
    <row r="502" spans="1:45" s="64" customFormat="1" hidden="1">
      <c r="A502" s="65" t="s">
        <v>376</v>
      </c>
      <c r="B502" s="65" t="s">
        <v>377</v>
      </c>
      <c r="C502" s="83" t="str">
        <f t="shared" si="14"/>
        <v>MW Master Chart April 2016 - Implementation</v>
      </c>
      <c r="D502" s="65">
        <v>181700</v>
      </c>
      <c r="E502" s="65" t="s">
        <v>189</v>
      </c>
      <c r="F502" s="65" t="s">
        <v>155</v>
      </c>
      <c r="G502" s="65" t="s">
        <v>156</v>
      </c>
      <c r="H502" s="65" t="s">
        <v>139</v>
      </c>
      <c r="I502" s="76"/>
      <c r="J502" s="82"/>
      <c r="K502" s="66"/>
      <c r="L502" s="61">
        <f t="shared" si="15"/>
        <v>0</v>
      </c>
      <c r="M502" s="72"/>
      <c r="N502" s="73"/>
      <c r="O502" s="52"/>
      <c r="P502" s="52"/>
      <c r="Q502" s="52"/>
      <c r="R502" s="52"/>
      <c r="S502" s="52"/>
      <c r="T502" s="52"/>
      <c r="U502" s="52"/>
      <c r="V502" s="52"/>
      <c r="W502" s="52"/>
      <c r="X502" s="52"/>
      <c r="Y502" s="52"/>
      <c r="Z502" s="52"/>
      <c r="AA502" s="52"/>
      <c r="AB502" s="52"/>
      <c r="AC502" s="52"/>
      <c r="AD502" s="52"/>
      <c r="AE502" s="52"/>
      <c r="AF502" s="52"/>
      <c r="AG502" s="52"/>
      <c r="AH502" s="52"/>
      <c r="AI502" s="52"/>
      <c r="AJ502" s="52"/>
      <c r="AK502" s="52"/>
      <c r="AL502" s="52"/>
      <c r="AM502" s="52"/>
      <c r="AN502" s="52"/>
      <c r="AO502" s="52"/>
      <c r="AP502" s="52"/>
      <c r="AQ502" s="52"/>
      <c r="AR502" s="52"/>
      <c r="AS502" s="52"/>
    </row>
    <row r="503" spans="1:45" s="64" customFormat="1" hidden="1">
      <c r="A503" s="65" t="s">
        <v>376</v>
      </c>
      <c r="B503" s="65" t="s">
        <v>377</v>
      </c>
      <c r="C503" s="83" t="str">
        <f t="shared" si="14"/>
        <v>MW Master Chart April 2016 - Implementation</v>
      </c>
      <c r="D503" s="65">
        <v>181800</v>
      </c>
      <c r="E503" s="65" t="s">
        <v>321</v>
      </c>
      <c r="F503" s="65" t="s">
        <v>155</v>
      </c>
      <c r="G503" s="65" t="s">
        <v>156</v>
      </c>
      <c r="H503" s="65" t="s">
        <v>139</v>
      </c>
      <c r="I503" s="76"/>
      <c r="J503" s="82"/>
      <c r="K503" s="66"/>
      <c r="L503" s="61">
        <f t="shared" si="15"/>
        <v>0</v>
      </c>
      <c r="M503" s="72"/>
      <c r="N503" s="73"/>
      <c r="O503" s="52"/>
      <c r="P503" s="52"/>
      <c r="Q503" s="52"/>
      <c r="R503" s="52"/>
      <c r="S503" s="52"/>
      <c r="T503" s="52"/>
      <c r="U503" s="52"/>
      <c r="V503" s="52"/>
      <c r="W503" s="52"/>
      <c r="X503" s="52"/>
      <c r="Y503" s="52"/>
      <c r="Z503" s="52"/>
      <c r="AA503" s="52"/>
      <c r="AB503" s="52"/>
      <c r="AC503" s="52"/>
      <c r="AD503" s="52"/>
      <c r="AE503" s="52"/>
      <c r="AF503" s="52"/>
      <c r="AG503" s="52"/>
      <c r="AH503" s="52"/>
      <c r="AI503" s="52"/>
      <c r="AJ503" s="52"/>
      <c r="AK503" s="52"/>
      <c r="AL503" s="52"/>
      <c r="AM503" s="52"/>
      <c r="AN503" s="52"/>
      <c r="AO503" s="52"/>
      <c r="AP503" s="52"/>
      <c r="AQ503" s="52"/>
      <c r="AR503" s="52"/>
      <c r="AS503" s="52"/>
    </row>
    <row r="504" spans="1:45" s="64" customFormat="1" hidden="1">
      <c r="A504" s="65" t="s">
        <v>376</v>
      </c>
      <c r="B504" s="65" t="s">
        <v>377</v>
      </c>
      <c r="C504" s="83" t="str">
        <f t="shared" si="14"/>
        <v>MW Master Chart April 2016 - Construction</v>
      </c>
      <c r="D504" s="65">
        <v>191000</v>
      </c>
      <c r="E504" s="65" t="s">
        <v>351</v>
      </c>
      <c r="F504" s="65" t="s">
        <v>155</v>
      </c>
      <c r="G504" s="65" t="s">
        <v>156</v>
      </c>
      <c r="H504" s="65" t="s">
        <v>139</v>
      </c>
      <c r="I504" s="76"/>
      <c r="J504" s="82"/>
      <c r="K504" s="66"/>
      <c r="L504" s="61">
        <f t="shared" si="15"/>
        <v>0</v>
      </c>
      <c r="M504" s="72"/>
      <c r="N504" s="73"/>
      <c r="O504" s="52"/>
      <c r="P504" s="52"/>
      <c r="Q504" s="52"/>
      <c r="R504" s="52"/>
      <c r="S504" s="52"/>
      <c r="T504" s="52"/>
      <c r="U504" s="52"/>
      <c r="V504" s="52"/>
      <c r="W504" s="52"/>
      <c r="X504" s="52"/>
      <c r="Y504" s="52"/>
      <c r="Z504" s="52"/>
      <c r="AA504" s="52"/>
      <c r="AB504" s="52"/>
      <c r="AC504" s="52"/>
      <c r="AD504" s="52"/>
      <c r="AE504" s="52"/>
      <c r="AF504" s="52"/>
      <c r="AG504" s="52"/>
      <c r="AH504" s="52"/>
      <c r="AI504" s="52"/>
      <c r="AJ504" s="52"/>
      <c r="AK504" s="52"/>
      <c r="AL504" s="52"/>
      <c r="AM504" s="52"/>
      <c r="AN504" s="52"/>
      <c r="AO504" s="52"/>
      <c r="AP504" s="52"/>
      <c r="AQ504" s="52"/>
      <c r="AR504" s="52"/>
      <c r="AS504" s="52"/>
    </row>
    <row r="505" spans="1:45" s="64" customFormat="1" hidden="1">
      <c r="A505" s="65" t="s">
        <v>376</v>
      </c>
      <c r="B505" s="65" t="s">
        <v>377</v>
      </c>
      <c r="C505" s="83" t="str">
        <f t="shared" si="14"/>
        <v>MW Master Chart April 2016 - Construction</v>
      </c>
      <c r="D505" s="65">
        <v>191100</v>
      </c>
      <c r="E505" s="65" t="s">
        <v>154</v>
      </c>
      <c r="F505" s="65" t="s">
        <v>155</v>
      </c>
      <c r="G505" s="65" t="s">
        <v>156</v>
      </c>
      <c r="H505" s="65" t="s">
        <v>139</v>
      </c>
      <c r="I505" s="76"/>
      <c r="J505" s="82"/>
      <c r="K505" s="66"/>
      <c r="L505" s="61">
        <f t="shared" si="15"/>
        <v>0</v>
      </c>
      <c r="M505" s="72"/>
      <c r="N505" s="73"/>
      <c r="O505" s="52"/>
      <c r="P505" s="52"/>
      <c r="Q505" s="52"/>
      <c r="R505" s="52"/>
      <c r="S505" s="52"/>
      <c r="T505" s="52"/>
      <c r="U505" s="52"/>
      <c r="V505" s="52"/>
      <c r="W505" s="52"/>
      <c r="X505" s="52"/>
      <c r="Y505" s="52"/>
      <c r="Z505" s="52"/>
      <c r="AA505" s="52"/>
      <c r="AB505" s="52"/>
      <c r="AC505" s="52"/>
      <c r="AD505" s="52"/>
      <c r="AE505" s="52"/>
      <c r="AF505" s="52"/>
      <c r="AG505" s="52"/>
      <c r="AH505" s="52"/>
      <c r="AI505" s="52"/>
      <c r="AJ505" s="52"/>
      <c r="AK505" s="52"/>
      <c r="AL505" s="52"/>
      <c r="AM505" s="52"/>
      <c r="AN505" s="52"/>
      <c r="AO505" s="52"/>
      <c r="AP505" s="52"/>
      <c r="AQ505" s="52"/>
      <c r="AR505" s="52"/>
      <c r="AS505" s="52"/>
    </row>
    <row r="506" spans="1:45" s="64" customFormat="1" hidden="1">
      <c r="A506" s="65" t="s">
        <v>376</v>
      </c>
      <c r="B506" s="65" t="s">
        <v>377</v>
      </c>
      <c r="C506" s="83" t="str">
        <f t="shared" si="14"/>
        <v>MW Master Chart April 2016 - Construction</v>
      </c>
      <c r="D506" s="65">
        <v>191200</v>
      </c>
      <c r="E506" s="65" t="s">
        <v>157</v>
      </c>
      <c r="F506" s="65" t="s">
        <v>155</v>
      </c>
      <c r="G506" s="65" t="s">
        <v>156</v>
      </c>
      <c r="H506" s="65" t="s">
        <v>139</v>
      </c>
      <c r="I506" s="76"/>
      <c r="J506" s="82"/>
      <c r="K506" s="66"/>
      <c r="L506" s="61">
        <f t="shared" si="15"/>
        <v>0</v>
      </c>
      <c r="M506" s="72"/>
      <c r="N506" s="73"/>
      <c r="O506" s="52"/>
      <c r="P506" s="52"/>
      <c r="Q506" s="52"/>
      <c r="R506" s="52"/>
      <c r="S506" s="52"/>
      <c r="T506" s="52"/>
      <c r="U506" s="52"/>
      <c r="V506" s="52"/>
      <c r="W506" s="52"/>
      <c r="X506" s="52"/>
      <c r="Y506" s="52"/>
      <c r="Z506" s="52"/>
      <c r="AA506" s="52"/>
      <c r="AB506" s="52"/>
      <c r="AC506" s="52"/>
      <c r="AD506" s="52"/>
      <c r="AE506" s="52"/>
      <c r="AF506" s="52"/>
      <c r="AG506" s="52"/>
      <c r="AH506" s="52"/>
      <c r="AI506" s="52"/>
      <c r="AJ506" s="52"/>
      <c r="AK506" s="52"/>
      <c r="AL506" s="52"/>
      <c r="AM506" s="52"/>
      <c r="AN506" s="52"/>
      <c r="AO506" s="52"/>
      <c r="AP506" s="52"/>
      <c r="AQ506" s="52"/>
      <c r="AR506" s="52"/>
      <c r="AS506" s="52"/>
    </row>
    <row r="507" spans="1:45" s="64" customFormat="1" hidden="1">
      <c r="A507" s="65" t="s">
        <v>376</v>
      </c>
      <c r="B507" s="65" t="s">
        <v>377</v>
      </c>
      <c r="C507" s="83" t="str">
        <f t="shared" si="14"/>
        <v>MW Master Chart April 2016 - Construction</v>
      </c>
      <c r="D507" s="65">
        <v>191300</v>
      </c>
      <c r="E507" s="65" t="s">
        <v>158</v>
      </c>
      <c r="F507" s="65" t="s">
        <v>155</v>
      </c>
      <c r="G507" s="65" t="s">
        <v>156</v>
      </c>
      <c r="H507" s="65" t="s">
        <v>139</v>
      </c>
      <c r="I507" s="76"/>
      <c r="J507" s="82"/>
      <c r="K507" s="66"/>
      <c r="L507" s="61">
        <f t="shared" si="15"/>
        <v>0</v>
      </c>
      <c r="M507" s="72"/>
      <c r="N507" s="73"/>
      <c r="O507" s="52"/>
      <c r="P507" s="52"/>
      <c r="Q507" s="52"/>
      <c r="R507" s="52"/>
      <c r="S507" s="52"/>
      <c r="T507" s="52"/>
      <c r="U507" s="52"/>
      <c r="V507" s="52"/>
      <c r="W507" s="52"/>
      <c r="X507" s="52"/>
      <c r="Y507" s="52"/>
      <c r="Z507" s="52"/>
      <c r="AA507" s="52"/>
      <c r="AB507" s="52"/>
      <c r="AC507" s="52"/>
      <c r="AD507" s="52"/>
      <c r="AE507" s="52"/>
      <c r="AF507" s="52"/>
      <c r="AG507" s="52"/>
      <c r="AH507" s="52"/>
      <c r="AI507" s="52"/>
      <c r="AJ507" s="52"/>
      <c r="AK507" s="52"/>
      <c r="AL507" s="52"/>
      <c r="AM507" s="52"/>
      <c r="AN507" s="52"/>
      <c r="AO507" s="52"/>
      <c r="AP507" s="52"/>
      <c r="AQ507" s="52"/>
      <c r="AR507" s="52"/>
      <c r="AS507" s="52"/>
    </row>
    <row r="508" spans="1:45" s="64" customFormat="1" hidden="1">
      <c r="A508" s="65" t="s">
        <v>376</v>
      </c>
      <c r="B508" s="65" t="s">
        <v>377</v>
      </c>
      <c r="C508" s="83" t="str">
        <f t="shared" si="14"/>
        <v>MW Master Chart April 2016 - Construction</v>
      </c>
      <c r="D508" s="65">
        <v>191400</v>
      </c>
      <c r="E508" s="65" t="s">
        <v>159</v>
      </c>
      <c r="F508" s="65" t="s">
        <v>155</v>
      </c>
      <c r="G508" s="65" t="s">
        <v>156</v>
      </c>
      <c r="H508" s="65" t="s">
        <v>139</v>
      </c>
      <c r="I508" s="76"/>
      <c r="J508" s="82"/>
      <c r="K508" s="66"/>
      <c r="L508" s="61">
        <f t="shared" si="15"/>
        <v>0</v>
      </c>
      <c r="M508" s="72"/>
      <c r="N508" s="73"/>
      <c r="O508" s="52"/>
      <c r="P508" s="52"/>
      <c r="Q508" s="52"/>
      <c r="R508" s="52"/>
      <c r="S508" s="52"/>
      <c r="T508" s="52"/>
      <c r="U508" s="52"/>
      <c r="V508" s="52"/>
      <c r="W508" s="52"/>
      <c r="X508" s="52"/>
      <c r="Y508" s="52"/>
      <c r="Z508" s="52"/>
      <c r="AA508" s="52"/>
      <c r="AB508" s="52"/>
      <c r="AC508" s="52"/>
      <c r="AD508" s="52"/>
      <c r="AE508" s="52"/>
      <c r="AF508" s="52"/>
      <c r="AG508" s="52"/>
      <c r="AH508" s="52"/>
      <c r="AI508" s="52"/>
      <c r="AJ508" s="52"/>
      <c r="AK508" s="52"/>
      <c r="AL508" s="52"/>
      <c r="AM508" s="52"/>
      <c r="AN508" s="52"/>
      <c r="AO508" s="52"/>
      <c r="AP508" s="52"/>
      <c r="AQ508" s="52"/>
      <c r="AR508" s="52"/>
      <c r="AS508" s="52"/>
    </row>
    <row r="509" spans="1:45" s="64" customFormat="1" hidden="1">
      <c r="A509" s="65" t="s">
        <v>376</v>
      </c>
      <c r="B509" s="65" t="s">
        <v>377</v>
      </c>
      <c r="C509" s="83" t="str">
        <f t="shared" si="14"/>
        <v>MW Master Chart April 2016 - Construction</v>
      </c>
      <c r="D509" s="65">
        <v>191500</v>
      </c>
      <c r="E509" s="65" t="s">
        <v>160</v>
      </c>
      <c r="F509" s="65" t="s">
        <v>155</v>
      </c>
      <c r="G509" s="65" t="s">
        <v>156</v>
      </c>
      <c r="H509" s="65" t="s">
        <v>139</v>
      </c>
      <c r="I509" s="76"/>
      <c r="J509" s="82"/>
      <c r="K509" s="66"/>
      <c r="L509" s="61">
        <f t="shared" si="15"/>
        <v>0</v>
      </c>
      <c r="M509" s="72"/>
      <c r="N509" s="73"/>
      <c r="O509" s="52"/>
      <c r="P509" s="52"/>
      <c r="Q509" s="52"/>
      <c r="R509" s="52"/>
      <c r="S509" s="52"/>
      <c r="T509" s="52"/>
      <c r="U509" s="52"/>
      <c r="V509" s="52"/>
      <c r="W509" s="52"/>
      <c r="X509" s="52"/>
      <c r="Y509" s="52"/>
      <c r="Z509" s="52"/>
      <c r="AA509" s="52"/>
      <c r="AB509" s="52"/>
      <c r="AC509" s="52"/>
      <c r="AD509" s="52"/>
      <c r="AE509" s="52"/>
      <c r="AF509" s="52"/>
      <c r="AG509" s="52"/>
      <c r="AH509" s="52"/>
      <c r="AI509" s="52"/>
      <c r="AJ509" s="52"/>
      <c r="AK509" s="52"/>
      <c r="AL509" s="52"/>
      <c r="AM509" s="52"/>
      <c r="AN509" s="52"/>
      <c r="AO509" s="52"/>
      <c r="AP509" s="52"/>
      <c r="AQ509" s="52"/>
      <c r="AR509" s="52"/>
      <c r="AS509" s="52"/>
    </row>
    <row r="510" spans="1:45" s="64" customFormat="1" hidden="1">
      <c r="A510" s="65" t="s">
        <v>376</v>
      </c>
      <c r="B510" s="65" t="s">
        <v>377</v>
      </c>
      <c r="C510" s="83" t="str">
        <f t="shared" si="14"/>
        <v>MW Master Chart April 2016 - Construction</v>
      </c>
      <c r="D510" s="65">
        <v>191600</v>
      </c>
      <c r="E510" s="65" t="s">
        <v>161</v>
      </c>
      <c r="F510" s="65" t="s">
        <v>155</v>
      </c>
      <c r="G510" s="65" t="s">
        <v>156</v>
      </c>
      <c r="H510" s="65" t="s">
        <v>139</v>
      </c>
      <c r="I510" s="76"/>
      <c r="J510" s="82"/>
      <c r="K510" s="66"/>
      <c r="L510" s="61">
        <f t="shared" si="15"/>
        <v>0</v>
      </c>
      <c r="M510" s="72"/>
      <c r="N510" s="73"/>
      <c r="O510" s="52"/>
      <c r="P510" s="52"/>
      <c r="Q510" s="52"/>
      <c r="R510" s="52"/>
      <c r="S510" s="52"/>
      <c r="T510" s="52"/>
      <c r="U510" s="52"/>
      <c r="V510" s="52"/>
      <c r="W510" s="52"/>
      <c r="X510" s="52"/>
      <c r="Y510" s="52"/>
      <c r="Z510" s="52"/>
      <c r="AA510" s="52"/>
      <c r="AB510" s="52"/>
      <c r="AC510" s="52"/>
      <c r="AD510" s="52"/>
      <c r="AE510" s="52"/>
      <c r="AF510" s="52"/>
      <c r="AG510" s="52"/>
      <c r="AH510" s="52"/>
      <c r="AI510" s="52"/>
      <c r="AJ510" s="52"/>
      <c r="AK510" s="52"/>
      <c r="AL510" s="52"/>
      <c r="AM510" s="52"/>
      <c r="AN510" s="52"/>
      <c r="AO510" s="52"/>
      <c r="AP510" s="52"/>
      <c r="AQ510" s="52"/>
      <c r="AR510" s="52"/>
      <c r="AS510" s="52"/>
    </row>
    <row r="511" spans="1:45" s="64" customFormat="1" hidden="1">
      <c r="A511" s="65" t="s">
        <v>376</v>
      </c>
      <c r="B511" s="65" t="s">
        <v>377</v>
      </c>
      <c r="C511" s="83" t="str">
        <f t="shared" si="14"/>
        <v>MW Master Chart April 2016 - Construction</v>
      </c>
      <c r="D511" s="65">
        <v>191700</v>
      </c>
      <c r="E511" s="65" t="s">
        <v>409</v>
      </c>
      <c r="F511" s="65" t="s">
        <v>155</v>
      </c>
      <c r="G511" s="65" t="s">
        <v>156</v>
      </c>
      <c r="H511" s="65" t="s">
        <v>139</v>
      </c>
      <c r="I511" s="76"/>
      <c r="J511" s="82"/>
      <c r="K511" s="66"/>
      <c r="L511" s="61">
        <f t="shared" si="15"/>
        <v>0</v>
      </c>
      <c r="M511" s="72"/>
      <c r="N511" s="73"/>
      <c r="O511" s="52"/>
      <c r="P511" s="52"/>
      <c r="Q511" s="52"/>
      <c r="R511" s="52"/>
      <c r="S511" s="52"/>
      <c r="T511" s="52"/>
      <c r="U511" s="52"/>
      <c r="V511" s="52"/>
      <c r="W511" s="52"/>
      <c r="X511" s="52"/>
      <c r="Y511" s="52"/>
      <c r="Z511" s="52"/>
      <c r="AA511" s="52"/>
      <c r="AB511" s="52"/>
      <c r="AC511" s="52"/>
      <c r="AD511" s="52"/>
      <c r="AE511" s="52"/>
      <c r="AF511" s="52"/>
      <c r="AG511" s="52"/>
      <c r="AH511" s="52"/>
      <c r="AI511" s="52"/>
      <c r="AJ511" s="52"/>
      <c r="AK511" s="52"/>
      <c r="AL511" s="52"/>
      <c r="AM511" s="52"/>
      <c r="AN511" s="52"/>
      <c r="AO511" s="52"/>
      <c r="AP511" s="52"/>
      <c r="AQ511" s="52"/>
      <c r="AR511" s="52"/>
      <c r="AS511" s="52"/>
    </row>
    <row r="512" spans="1:45" s="64" customFormat="1" hidden="1">
      <c r="A512" s="65" t="s">
        <v>376</v>
      </c>
      <c r="B512" s="65" t="s">
        <v>377</v>
      </c>
      <c r="C512" s="83" t="str">
        <f t="shared" si="14"/>
        <v>MW Master Chart April 2016 - Construction</v>
      </c>
      <c r="D512" s="65">
        <v>191800</v>
      </c>
      <c r="E512" s="65" t="s">
        <v>162</v>
      </c>
      <c r="F512" s="65" t="s">
        <v>155</v>
      </c>
      <c r="G512" s="65" t="s">
        <v>156</v>
      </c>
      <c r="H512" s="65" t="s">
        <v>139</v>
      </c>
      <c r="I512" s="76"/>
      <c r="J512" s="82"/>
      <c r="K512" s="66"/>
      <c r="L512" s="61">
        <f t="shared" si="15"/>
        <v>0</v>
      </c>
      <c r="M512" s="72"/>
      <c r="N512" s="73"/>
      <c r="O512" s="52"/>
      <c r="P512" s="52"/>
      <c r="Q512" s="52"/>
      <c r="R512" s="52"/>
      <c r="S512" s="52"/>
      <c r="T512" s="52"/>
      <c r="U512" s="52"/>
      <c r="V512" s="52"/>
      <c r="W512" s="52"/>
      <c r="X512" s="52"/>
      <c r="Y512" s="52"/>
      <c r="Z512" s="52"/>
      <c r="AA512" s="52"/>
      <c r="AB512" s="52"/>
      <c r="AC512" s="52"/>
      <c r="AD512" s="52"/>
      <c r="AE512" s="52"/>
      <c r="AF512" s="52"/>
      <c r="AG512" s="52"/>
      <c r="AH512" s="52"/>
      <c r="AI512" s="52"/>
      <c r="AJ512" s="52"/>
      <c r="AK512" s="52"/>
      <c r="AL512" s="52"/>
      <c r="AM512" s="52"/>
      <c r="AN512" s="52"/>
      <c r="AO512" s="52"/>
      <c r="AP512" s="52"/>
      <c r="AQ512" s="52"/>
      <c r="AR512" s="52"/>
      <c r="AS512" s="52"/>
    </row>
    <row r="513" spans="1:45" s="64" customFormat="1" hidden="1">
      <c r="A513" s="65" t="s">
        <v>376</v>
      </c>
      <c r="B513" s="65" t="s">
        <v>377</v>
      </c>
      <c r="C513" s="83" t="str">
        <f t="shared" si="14"/>
        <v>MW Master Chart April 2016 - Construction</v>
      </c>
      <c r="D513" s="65">
        <v>191810</v>
      </c>
      <c r="E513" s="65" t="s">
        <v>163</v>
      </c>
      <c r="F513" s="65" t="s">
        <v>155</v>
      </c>
      <c r="G513" s="65" t="s">
        <v>156</v>
      </c>
      <c r="H513" s="65"/>
      <c r="I513" s="76"/>
      <c r="J513" s="82"/>
      <c r="K513" s="66"/>
      <c r="L513" s="61">
        <f t="shared" si="15"/>
        <v>0</v>
      </c>
      <c r="M513" s="72"/>
      <c r="N513" s="73"/>
      <c r="O513" s="52"/>
      <c r="P513" s="52"/>
      <c r="Q513" s="52"/>
      <c r="R513" s="52"/>
      <c r="S513" s="52"/>
      <c r="T513" s="52"/>
      <c r="U513" s="52"/>
      <c r="V513" s="52"/>
      <c r="W513" s="52"/>
      <c r="X513" s="52"/>
      <c r="Y513" s="52"/>
      <c r="Z513" s="52"/>
      <c r="AA513" s="52"/>
      <c r="AB513" s="52"/>
      <c r="AC513" s="52"/>
      <c r="AD513" s="52"/>
      <c r="AE513" s="52"/>
      <c r="AF513" s="52"/>
      <c r="AG513" s="52"/>
      <c r="AH513" s="52"/>
      <c r="AI513" s="52"/>
      <c r="AJ513" s="52"/>
      <c r="AK513" s="52"/>
      <c r="AL513" s="52"/>
      <c r="AM513" s="52"/>
      <c r="AN513" s="52"/>
      <c r="AO513" s="52"/>
      <c r="AP513" s="52"/>
      <c r="AQ513" s="52"/>
      <c r="AR513" s="52"/>
      <c r="AS513" s="52"/>
    </row>
    <row r="514" spans="1:45" s="64" customFormat="1" hidden="1">
      <c r="A514" s="65" t="s">
        <v>376</v>
      </c>
      <c r="B514" s="65" t="s">
        <v>377</v>
      </c>
      <c r="C514" s="83" t="str">
        <f t="shared" si="14"/>
        <v>MW Master Chart April 2016 - Construction</v>
      </c>
      <c r="D514" s="65">
        <v>191900</v>
      </c>
      <c r="E514" s="65" t="s">
        <v>164</v>
      </c>
      <c r="F514" s="65" t="s">
        <v>155</v>
      </c>
      <c r="G514" s="65" t="s">
        <v>156</v>
      </c>
      <c r="H514" s="65" t="s">
        <v>139</v>
      </c>
      <c r="I514" s="76"/>
      <c r="J514" s="82"/>
      <c r="K514" s="66"/>
      <c r="L514" s="61">
        <f t="shared" si="15"/>
        <v>0</v>
      </c>
      <c r="M514" s="72"/>
      <c r="N514" s="73"/>
      <c r="O514" s="52"/>
      <c r="P514" s="52"/>
      <c r="Q514" s="52"/>
      <c r="R514" s="52"/>
      <c r="S514" s="52"/>
      <c r="T514" s="52"/>
      <c r="U514" s="52"/>
      <c r="V514" s="52"/>
      <c r="W514" s="52"/>
      <c r="X514" s="52"/>
      <c r="Y514" s="52"/>
      <c r="Z514" s="52"/>
      <c r="AA514" s="52"/>
      <c r="AB514" s="52"/>
      <c r="AC514" s="52"/>
      <c r="AD514" s="52"/>
      <c r="AE514" s="52"/>
      <c r="AF514" s="52"/>
      <c r="AG514" s="52"/>
      <c r="AH514" s="52"/>
      <c r="AI514" s="52"/>
      <c r="AJ514" s="52"/>
      <c r="AK514" s="52"/>
      <c r="AL514" s="52"/>
      <c r="AM514" s="52"/>
      <c r="AN514" s="52"/>
      <c r="AO514" s="52"/>
      <c r="AP514" s="52"/>
      <c r="AQ514" s="52"/>
      <c r="AR514" s="52"/>
      <c r="AS514" s="52"/>
    </row>
    <row r="515" spans="1:45" s="64" customFormat="1" hidden="1">
      <c r="A515" s="65" t="s">
        <v>376</v>
      </c>
      <c r="B515" s="65" t="s">
        <v>377</v>
      </c>
      <c r="C515" s="83" t="str">
        <f t="shared" si="14"/>
        <v>MW Master Chart April 2016 - Construction</v>
      </c>
      <c r="D515" s="65">
        <v>192000</v>
      </c>
      <c r="E515" s="65" t="s">
        <v>165</v>
      </c>
      <c r="F515" s="65" t="s">
        <v>155</v>
      </c>
      <c r="G515" s="65" t="s">
        <v>156</v>
      </c>
      <c r="H515" s="65" t="s">
        <v>139</v>
      </c>
      <c r="I515" s="76"/>
      <c r="J515" s="82"/>
      <c r="K515" s="66"/>
      <c r="L515" s="61">
        <f t="shared" si="15"/>
        <v>0</v>
      </c>
      <c r="M515" s="72"/>
      <c r="N515" s="73"/>
      <c r="O515" s="52"/>
      <c r="P515" s="52"/>
      <c r="Q515" s="52"/>
      <c r="R515" s="52"/>
      <c r="S515" s="52"/>
      <c r="T515" s="52"/>
      <c r="U515" s="52"/>
      <c r="V515" s="52"/>
      <c r="W515" s="52"/>
      <c r="X515" s="52"/>
      <c r="Y515" s="52"/>
      <c r="Z515" s="52"/>
      <c r="AA515" s="52"/>
      <c r="AB515" s="52"/>
      <c r="AC515" s="52"/>
      <c r="AD515" s="52"/>
      <c r="AE515" s="52"/>
      <c r="AF515" s="52"/>
      <c r="AG515" s="52"/>
      <c r="AH515" s="52"/>
      <c r="AI515" s="52"/>
      <c r="AJ515" s="52"/>
      <c r="AK515" s="52"/>
      <c r="AL515" s="52"/>
      <c r="AM515" s="52"/>
      <c r="AN515" s="52"/>
      <c r="AO515" s="52"/>
      <c r="AP515" s="52"/>
      <c r="AQ515" s="52"/>
      <c r="AR515" s="52"/>
      <c r="AS515" s="52"/>
    </row>
    <row r="516" spans="1:45" s="64" customFormat="1" hidden="1">
      <c r="A516" s="65" t="s">
        <v>376</v>
      </c>
      <c r="B516" s="65" t="s">
        <v>377</v>
      </c>
      <c r="C516" s="83" t="str">
        <f t="shared" si="14"/>
        <v>MW Master Chart April 2016 - Construction</v>
      </c>
      <c r="D516" s="65">
        <v>192200</v>
      </c>
      <c r="E516" s="65" t="s">
        <v>352</v>
      </c>
      <c r="F516" s="65" t="s">
        <v>155</v>
      </c>
      <c r="G516" s="65" t="s">
        <v>156</v>
      </c>
      <c r="H516" s="65" t="s">
        <v>139</v>
      </c>
      <c r="I516" s="76"/>
      <c r="J516" s="82"/>
      <c r="K516" s="66"/>
      <c r="L516" s="61">
        <f t="shared" si="15"/>
        <v>0</v>
      </c>
      <c r="M516" s="72"/>
      <c r="N516" s="73"/>
      <c r="O516" s="52"/>
      <c r="P516" s="52"/>
      <c r="Q516" s="52"/>
      <c r="R516" s="52"/>
      <c r="S516" s="52"/>
      <c r="T516" s="52"/>
      <c r="U516" s="52"/>
      <c r="V516" s="52"/>
      <c r="W516" s="52"/>
      <c r="X516" s="52"/>
      <c r="Y516" s="52"/>
      <c r="Z516" s="52"/>
      <c r="AA516" s="52"/>
      <c r="AB516" s="52"/>
      <c r="AC516" s="52"/>
      <c r="AD516" s="52"/>
      <c r="AE516" s="52"/>
      <c r="AF516" s="52"/>
      <c r="AG516" s="52"/>
      <c r="AH516" s="52"/>
      <c r="AI516" s="52"/>
      <c r="AJ516" s="52"/>
      <c r="AK516" s="52"/>
      <c r="AL516" s="52"/>
      <c r="AM516" s="52"/>
      <c r="AN516" s="52"/>
      <c r="AO516" s="52"/>
      <c r="AP516" s="52"/>
      <c r="AQ516" s="52"/>
      <c r="AR516" s="52"/>
      <c r="AS516" s="52"/>
    </row>
    <row r="517" spans="1:45" s="64" customFormat="1" hidden="1">
      <c r="A517" s="65" t="s">
        <v>376</v>
      </c>
      <c r="B517" s="65" t="s">
        <v>377</v>
      </c>
      <c r="C517" s="83" t="str">
        <f t="shared" ref="C517:C580" si="16">B517 &amp; " - " &amp; LEFT(E517,FIND("-",E517)-1)</f>
        <v>MW Master Chart April 2016 - Construction</v>
      </c>
      <c r="D517" s="65">
        <v>192300</v>
      </c>
      <c r="E517" s="65" t="s">
        <v>353</v>
      </c>
      <c r="F517" s="65" t="s">
        <v>155</v>
      </c>
      <c r="G517" s="65" t="s">
        <v>156</v>
      </c>
      <c r="H517" s="65" t="s">
        <v>139</v>
      </c>
      <c r="I517" s="76"/>
      <c r="J517" s="82"/>
      <c r="K517" s="66"/>
      <c r="L517" s="61">
        <f t="shared" si="15"/>
        <v>0</v>
      </c>
      <c r="M517" s="72"/>
      <c r="N517" s="73"/>
      <c r="O517" s="52"/>
      <c r="P517" s="52"/>
      <c r="Q517" s="52"/>
      <c r="R517" s="52"/>
      <c r="S517" s="52"/>
      <c r="T517" s="52"/>
      <c r="U517" s="52"/>
      <c r="V517" s="52"/>
      <c r="W517" s="52"/>
      <c r="X517" s="52"/>
      <c r="Y517" s="52"/>
      <c r="Z517" s="52"/>
      <c r="AA517" s="52"/>
      <c r="AB517" s="52"/>
      <c r="AC517" s="52"/>
      <c r="AD517" s="52"/>
      <c r="AE517" s="52"/>
      <c r="AF517" s="52"/>
      <c r="AG517" s="52"/>
      <c r="AH517" s="52"/>
      <c r="AI517" s="52"/>
      <c r="AJ517" s="52"/>
      <c r="AK517" s="52"/>
      <c r="AL517" s="52"/>
      <c r="AM517" s="52"/>
      <c r="AN517" s="52"/>
      <c r="AO517" s="52"/>
      <c r="AP517" s="52"/>
      <c r="AQ517" s="52"/>
      <c r="AR517" s="52"/>
      <c r="AS517" s="52"/>
    </row>
    <row r="518" spans="1:45" s="64" customFormat="1" hidden="1">
      <c r="A518" s="65" t="s">
        <v>376</v>
      </c>
      <c r="B518" s="65" t="s">
        <v>377</v>
      </c>
      <c r="C518" s="83" t="str">
        <f t="shared" si="16"/>
        <v>MW Master Chart April 2016 - Construction</v>
      </c>
      <c r="D518" s="65">
        <v>192510</v>
      </c>
      <c r="E518" s="65" t="s">
        <v>410</v>
      </c>
      <c r="F518" s="65" t="s">
        <v>155</v>
      </c>
      <c r="G518" s="65" t="s">
        <v>156</v>
      </c>
      <c r="H518" s="65"/>
      <c r="I518" s="76"/>
      <c r="J518" s="82"/>
      <c r="K518" s="66"/>
      <c r="L518" s="61">
        <f t="shared" ref="L518:L581" si="17">I518*J518</f>
        <v>0</v>
      </c>
      <c r="M518" s="72"/>
      <c r="N518" s="73"/>
      <c r="O518" s="52"/>
      <c r="P518" s="52"/>
      <c r="Q518" s="52"/>
      <c r="R518" s="52"/>
      <c r="S518" s="52"/>
      <c r="T518" s="52"/>
      <c r="U518" s="52"/>
      <c r="V518" s="52"/>
      <c r="W518" s="52"/>
      <c r="X518" s="52"/>
      <c r="Y518" s="52"/>
      <c r="Z518" s="52"/>
      <c r="AA518" s="52"/>
      <c r="AB518" s="52"/>
      <c r="AC518" s="52"/>
      <c r="AD518" s="52"/>
      <c r="AE518" s="52"/>
      <c r="AF518" s="52"/>
      <c r="AG518" s="52"/>
      <c r="AH518" s="52"/>
      <c r="AI518" s="52"/>
      <c r="AJ518" s="52"/>
      <c r="AK518" s="52"/>
      <c r="AL518" s="52"/>
      <c r="AM518" s="52"/>
      <c r="AN518" s="52"/>
      <c r="AO518" s="52"/>
      <c r="AP518" s="52"/>
      <c r="AQ518" s="52"/>
      <c r="AR518" s="52"/>
      <c r="AS518" s="52"/>
    </row>
    <row r="519" spans="1:45" s="64" customFormat="1" hidden="1">
      <c r="A519" s="65" t="s">
        <v>376</v>
      </c>
      <c r="B519" s="65" t="s">
        <v>377</v>
      </c>
      <c r="C519" s="83" t="str">
        <f t="shared" si="16"/>
        <v>MW Master Chart April 2016 - Construction</v>
      </c>
      <c r="D519" s="65">
        <v>192520</v>
      </c>
      <c r="E519" s="65" t="s">
        <v>411</v>
      </c>
      <c r="F519" s="65" t="s">
        <v>155</v>
      </c>
      <c r="G519" s="65" t="s">
        <v>156</v>
      </c>
      <c r="H519" s="65"/>
      <c r="I519" s="76"/>
      <c r="J519" s="82"/>
      <c r="K519" s="66"/>
      <c r="L519" s="61">
        <f t="shared" si="17"/>
        <v>0</v>
      </c>
      <c r="M519" s="72"/>
      <c r="N519" s="73"/>
      <c r="O519" s="52"/>
      <c r="P519" s="52"/>
      <c r="Q519" s="52"/>
      <c r="R519" s="52"/>
      <c r="S519" s="52"/>
      <c r="T519" s="52"/>
      <c r="U519" s="52"/>
      <c r="V519" s="52"/>
      <c r="W519" s="52"/>
      <c r="X519" s="52"/>
      <c r="Y519" s="52"/>
      <c r="Z519" s="52"/>
      <c r="AA519" s="52"/>
      <c r="AB519" s="52"/>
      <c r="AC519" s="52"/>
      <c r="AD519" s="52"/>
      <c r="AE519" s="52"/>
      <c r="AF519" s="52"/>
      <c r="AG519" s="52"/>
      <c r="AH519" s="52"/>
      <c r="AI519" s="52"/>
      <c r="AJ519" s="52"/>
      <c r="AK519" s="52"/>
      <c r="AL519" s="52"/>
      <c r="AM519" s="52"/>
      <c r="AN519" s="52"/>
      <c r="AO519" s="52"/>
      <c r="AP519" s="52"/>
      <c r="AQ519" s="52"/>
      <c r="AR519" s="52"/>
      <c r="AS519" s="52"/>
    </row>
    <row r="520" spans="1:45" s="64" customFormat="1" hidden="1">
      <c r="A520" s="65" t="s">
        <v>376</v>
      </c>
      <c r="B520" s="65" t="s">
        <v>377</v>
      </c>
      <c r="C520" s="83" t="str">
        <f t="shared" si="16"/>
        <v>MW Master Chart April 2016 - Construction</v>
      </c>
      <c r="D520" s="65">
        <v>192530</v>
      </c>
      <c r="E520" s="65" t="s">
        <v>412</v>
      </c>
      <c r="F520" s="65" t="s">
        <v>155</v>
      </c>
      <c r="G520" s="65" t="s">
        <v>156</v>
      </c>
      <c r="H520" s="65"/>
      <c r="I520" s="76"/>
      <c r="J520" s="82"/>
      <c r="K520" s="66"/>
      <c r="L520" s="61">
        <f t="shared" si="17"/>
        <v>0</v>
      </c>
      <c r="M520" s="72"/>
      <c r="N520" s="73"/>
      <c r="O520" s="52"/>
      <c r="P520" s="52"/>
      <c r="Q520" s="52"/>
      <c r="R520" s="52"/>
      <c r="S520" s="52"/>
      <c r="T520" s="52"/>
      <c r="U520" s="52"/>
      <c r="V520" s="52"/>
      <c r="W520" s="52"/>
      <c r="X520" s="52"/>
      <c r="Y520" s="52"/>
      <c r="Z520" s="52"/>
      <c r="AA520" s="52"/>
      <c r="AB520" s="52"/>
      <c r="AC520" s="52"/>
      <c r="AD520" s="52"/>
      <c r="AE520" s="52"/>
      <c r="AF520" s="52"/>
      <c r="AG520" s="52"/>
      <c r="AH520" s="52"/>
      <c r="AI520" s="52"/>
      <c r="AJ520" s="52"/>
      <c r="AK520" s="52"/>
      <c r="AL520" s="52"/>
      <c r="AM520" s="52"/>
      <c r="AN520" s="52"/>
      <c r="AO520" s="52"/>
      <c r="AP520" s="52"/>
      <c r="AQ520" s="52"/>
      <c r="AR520" s="52"/>
      <c r="AS520" s="52"/>
    </row>
    <row r="521" spans="1:45" s="64" customFormat="1" hidden="1">
      <c r="A521" s="65" t="s">
        <v>376</v>
      </c>
      <c r="B521" s="65" t="s">
        <v>377</v>
      </c>
      <c r="C521" s="83" t="str">
        <f t="shared" si="16"/>
        <v>MW Master Chart April 2016 - Construction</v>
      </c>
      <c r="D521" s="65">
        <v>192540</v>
      </c>
      <c r="E521" s="65" t="s">
        <v>413</v>
      </c>
      <c r="F521" s="65" t="s">
        <v>155</v>
      </c>
      <c r="G521" s="65" t="s">
        <v>156</v>
      </c>
      <c r="H521" s="65"/>
      <c r="I521" s="76"/>
      <c r="J521" s="82"/>
      <c r="K521" s="66"/>
      <c r="L521" s="61">
        <f t="shared" si="17"/>
        <v>0</v>
      </c>
      <c r="M521" s="72"/>
      <c r="N521" s="73"/>
      <c r="O521" s="52"/>
      <c r="P521" s="52"/>
      <c r="Q521" s="52"/>
      <c r="R521" s="52"/>
      <c r="S521" s="52"/>
      <c r="T521" s="52"/>
      <c r="U521" s="52"/>
      <c r="V521" s="52"/>
      <c r="W521" s="52"/>
      <c r="X521" s="52"/>
      <c r="Y521" s="52"/>
      <c r="Z521" s="52"/>
      <c r="AA521" s="52"/>
      <c r="AB521" s="52"/>
      <c r="AC521" s="52"/>
      <c r="AD521" s="52"/>
      <c r="AE521" s="52"/>
      <c r="AF521" s="52"/>
      <c r="AG521" s="52"/>
      <c r="AH521" s="52"/>
      <c r="AI521" s="52"/>
      <c r="AJ521" s="52"/>
      <c r="AK521" s="52"/>
      <c r="AL521" s="52"/>
      <c r="AM521" s="52"/>
      <c r="AN521" s="52"/>
      <c r="AO521" s="52"/>
      <c r="AP521" s="52"/>
      <c r="AQ521" s="52"/>
      <c r="AR521" s="52"/>
      <c r="AS521" s="52"/>
    </row>
    <row r="522" spans="1:45" s="64" customFormat="1" hidden="1">
      <c r="A522" s="65" t="s">
        <v>376</v>
      </c>
      <c r="B522" s="65" t="s">
        <v>377</v>
      </c>
      <c r="C522" s="83" t="str">
        <f t="shared" si="16"/>
        <v>MW Master Chart April 2016 - Construction</v>
      </c>
      <c r="D522" s="65">
        <v>192550</v>
      </c>
      <c r="E522" s="65" t="s">
        <v>414</v>
      </c>
      <c r="F522" s="65" t="s">
        <v>155</v>
      </c>
      <c r="G522" s="65" t="s">
        <v>156</v>
      </c>
      <c r="H522" s="65"/>
      <c r="I522" s="76"/>
      <c r="J522" s="82"/>
      <c r="K522" s="66"/>
      <c r="L522" s="61">
        <f t="shared" si="17"/>
        <v>0</v>
      </c>
      <c r="M522" s="72"/>
      <c r="N522" s="73"/>
      <c r="O522" s="52"/>
      <c r="P522" s="52"/>
      <c r="Q522" s="52"/>
      <c r="R522" s="52"/>
      <c r="S522" s="52"/>
      <c r="T522" s="52"/>
      <c r="U522" s="52"/>
      <c r="V522" s="52"/>
      <c r="W522" s="52"/>
      <c r="X522" s="52"/>
      <c r="Y522" s="52"/>
      <c r="Z522" s="52"/>
      <c r="AA522" s="52"/>
      <c r="AB522" s="52"/>
      <c r="AC522" s="52"/>
      <c r="AD522" s="52"/>
      <c r="AE522" s="52"/>
      <c r="AF522" s="52"/>
      <c r="AG522" s="52"/>
      <c r="AH522" s="52"/>
      <c r="AI522" s="52"/>
      <c r="AJ522" s="52"/>
      <c r="AK522" s="52"/>
      <c r="AL522" s="52"/>
      <c r="AM522" s="52"/>
      <c r="AN522" s="52"/>
      <c r="AO522" s="52"/>
      <c r="AP522" s="52"/>
      <c r="AQ522" s="52"/>
      <c r="AR522" s="52"/>
      <c r="AS522" s="52"/>
    </row>
    <row r="523" spans="1:45" s="64" customFormat="1" hidden="1">
      <c r="A523" s="65" t="s">
        <v>376</v>
      </c>
      <c r="B523" s="65" t="s">
        <v>377</v>
      </c>
      <c r="C523" s="83" t="str">
        <f t="shared" si="16"/>
        <v>MW Master Chart April 2016 - Construction</v>
      </c>
      <c r="D523" s="65">
        <v>192560</v>
      </c>
      <c r="E523" s="65" t="s">
        <v>415</v>
      </c>
      <c r="F523" s="65" t="s">
        <v>155</v>
      </c>
      <c r="G523" s="65" t="s">
        <v>156</v>
      </c>
      <c r="H523" s="65"/>
      <c r="I523" s="76"/>
      <c r="J523" s="82"/>
      <c r="K523" s="66"/>
      <c r="L523" s="61">
        <f t="shared" si="17"/>
        <v>0</v>
      </c>
      <c r="M523" s="72"/>
      <c r="N523" s="73"/>
      <c r="O523" s="52"/>
      <c r="P523" s="52"/>
      <c r="Q523" s="52"/>
      <c r="R523" s="52"/>
      <c r="S523" s="52"/>
      <c r="T523" s="52"/>
      <c r="U523" s="52"/>
      <c r="V523" s="52"/>
      <c r="W523" s="52"/>
      <c r="X523" s="52"/>
      <c r="Y523" s="52"/>
      <c r="Z523" s="52"/>
      <c r="AA523" s="52"/>
      <c r="AB523" s="52"/>
      <c r="AC523" s="52"/>
      <c r="AD523" s="52"/>
      <c r="AE523" s="52"/>
      <c r="AF523" s="52"/>
      <c r="AG523" s="52"/>
      <c r="AH523" s="52"/>
      <c r="AI523" s="52"/>
      <c r="AJ523" s="52"/>
      <c r="AK523" s="52"/>
      <c r="AL523" s="52"/>
      <c r="AM523" s="52"/>
      <c r="AN523" s="52"/>
      <c r="AO523" s="52"/>
      <c r="AP523" s="52"/>
      <c r="AQ523" s="52"/>
      <c r="AR523" s="52"/>
      <c r="AS523" s="52"/>
    </row>
    <row r="524" spans="1:45" s="64" customFormat="1" hidden="1">
      <c r="A524" s="65" t="s">
        <v>376</v>
      </c>
      <c r="B524" s="65" t="s">
        <v>377</v>
      </c>
      <c r="C524" s="83" t="str">
        <f t="shared" si="16"/>
        <v>MW Master Chart April 2016 - Construction</v>
      </c>
      <c r="D524" s="65">
        <v>192600</v>
      </c>
      <c r="E524" s="65" t="s">
        <v>416</v>
      </c>
      <c r="F524" s="65" t="s">
        <v>155</v>
      </c>
      <c r="G524" s="65" t="s">
        <v>156</v>
      </c>
      <c r="H524" s="65" t="s">
        <v>139</v>
      </c>
      <c r="I524" s="76"/>
      <c r="J524" s="82"/>
      <c r="K524" s="66"/>
      <c r="L524" s="61">
        <f t="shared" si="17"/>
        <v>0</v>
      </c>
      <c r="M524" s="72"/>
      <c r="N524" s="73"/>
      <c r="O524" s="52"/>
      <c r="P524" s="52"/>
      <c r="Q524" s="52"/>
      <c r="R524" s="52"/>
      <c r="S524" s="52"/>
      <c r="T524" s="52"/>
      <c r="U524" s="52"/>
      <c r="V524" s="52"/>
      <c r="W524" s="52"/>
      <c r="X524" s="52"/>
      <c r="Y524" s="52"/>
      <c r="Z524" s="52"/>
      <c r="AA524" s="52"/>
      <c r="AB524" s="52"/>
      <c r="AC524" s="52"/>
      <c r="AD524" s="52"/>
      <c r="AE524" s="52"/>
      <c r="AF524" s="52"/>
      <c r="AG524" s="52"/>
      <c r="AH524" s="52"/>
      <c r="AI524" s="52"/>
      <c r="AJ524" s="52"/>
      <c r="AK524" s="52"/>
      <c r="AL524" s="52"/>
      <c r="AM524" s="52"/>
      <c r="AN524" s="52"/>
      <c r="AO524" s="52"/>
      <c r="AP524" s="52"/>
      <c r="AQ524" s="52"/>
      <c r="AR524" s="52"/>
      <c r="AS524" s="52"/>
    </row>
    <row r="525" spans="1:45" s="64" customFormat="1" hidden="1">
      <c r="A525" s="65" t="s">
        <v>376</v>
      </c>
      <c r="B525" s="65" t="s">
        <v>377</v>
      </c>
      <c r="C525" s="83" t="str">
        <f t="shared" si="16"/>
        <v>MW Master Chart April 2016 - Construction</v>
      </c>
      <c r="D525" s="65">
        <v>192610</v>
      </c>
      <c r="E525" s="65" t="s">
        <v>417</v>
      </c>
      <c r="F525" s="65" t="s">
        <v>155</v>
      </c>
      <c r="G525" s="65" t="s">
        <v>156</v>
      </c>
      <c r="H525" s="65"/>
      <c r="I525" s="76"/>
      <c r="J525" s="82"/>
      <c r="K525" s="66"/>
      <c r="L525" s="61">
        <f t="shared" si="17"/>
        <v>0</v>
      </c>
      <c r="M525" s="72"/>
      <c r="N525" s="73"/>
      <c r="O525" s="52"/>
      <c r="P525" s="52"/>
      <c r="Q525" s="52"/>
      <c r="R525" s="52"/>
      <c r="S525" s="52"/>
      <c r="T525" s="52"/>
      <c r="U525" s="52"/>
      <c r="V525" s="52"/>
      <c r="W525" s="52"/>
      <c r="X525" s="52"/>
      <c r="Y525" s="52"/>
      <c r="Z525" s="52"/>
      <c r="AA525" s="52"/>
      <c r="AB525" s="52"/>
      <c r="AC525" s="52"/>
      <c r="AD525" s="52"/>
      <c r="AE525" s="52"/>
      <c r="AF525" s="52"/>
      <c r="AG525" s="52"/>
      <c r="AH525" s="52"/>
      <c r="AI525" s="52"/>
      <c r="AJ525" s="52"/>
      <c r="AK525" s="52"/>
      <c r="AL525" s="52"/>
      <c r="AM525" s="52"/>
      <c r="AN525" s="52"/>
      <c r="AO525" s="52"/>
      <c r="AP525" s="52"/>
      <c r="AQ525" s="52"/>
      <c r="AR525" s="52"/>
      <c r="AS525" s="52"/>
    </row>
    <row r="526" spans="1:45" s="64" customFormat="1" hidden="1">
      <c r="A526" s="65" t="s">
        <v>376</v>
      </c>
      <c r="B526" s="65" t="s">
        <v>377</v>
      </c>
      <c r="C526" s="83" t="str">
        <f t="shared" si="16"/>
        <v>MW Master Chart April 2016 - Construction</v>
      </c>
      <c r="D526" s="65">
        <v>192620</v>
      </c>
      <c r="E526" s="65" t="s">
        <v>418</v>
      </c>
      <c r="F526" s="65" t="s">
        <v>155</v>
      </c>
      <c r="G526" s="65" t="s">
        <v>156</v>
      </c>
      <c r="H526" s="65"/>
      <c r="I526" s="76"/>
      <c r="J526" s="82"/>
      <c r="K526" s="66"/>
      <c r="L526" s="61">
        <f t="shared" si="17"/>
        <v>0</v>
      </c>
      <c r="M526" s="72"/>
      <c r="N526" s="73"/>
      <c r="O526" s="52"/>
      <c r="P526" s="52"/>
      <c r="Q526" s="52"/>
      <c r="R526" s="52"/>
      <c r="S526" s="52"/>
      <c r="T526" s="52"/>
      <c r="U526" s="52"/>
      <c r="V526" s="52"/>
      <c r="W526" s="52"/>
      <c r="X526" s="52"/>
      <c r="Y526" s="52"/>
      <c r="Z526" s="52"/>
      <c r="AA526" s="52"/>
      <c r="AB526" s="52"/>
      <c r="AC526" s="52"/>
      <c r="AD526" s="52"/>
      <c r="AE526" s="52"/>
      <c r="AF526" s="52"/>
      <c r="AG526" s="52"/>
      <c r="AH526" s="52"/>
      <c r="AI526" s="52"/>
      <c r="AJ526" s="52"/>
      <c r="AK526" s="52"/>
      <c r="AL526" s="52"/>
      <c r="AM526" s="52"/>
      <c r="AN526" s="52"/>
      <c r="AO526" s="52"/>
      <c r="AP526" s="52"/>
      <c r="AQ526" s="52"/>
      <c r="AR526" s="52"/>
      <c r="AS526" s="52"/>
    </row>
    <row r="527" spans="1:45" s="64" customFormat="1" hidden="1">
      <c r="A527" s="65" t="s">
        <v>376</v>
      </c>
      <c r="B527" s="65" t="s">
        <v>377</v>
      </c>
      <c r="C527" s="83" t="str">
        <f t="shared" si="16"/>
        <v>MW Master Chart April 2016 - Construction</v>
      </c>
      <c r="D527" s="65">
        <v>192630</v>
      </c>
      <c r="E527" s="65" t="s">
        <v>419</v>
      </c>
      <c r="F527" s="65" t="s">
        <v>155</v>
      </c>
      <c r="G527" s="65" t="s">
        <v>156</v>
      </c>
      <c r="H527" s="65"/>
      <c r="I527" s="76"/>
      <c r="J527" s="82"/>
      <c r="K527" s="66"/>
      <c r="L527" s="61">
        <f t="shared" si="17"/>
        <v>0</v>
      </c>
      <c r="M527" s="72"/>
      <c r="N527" s="73"/>
      <c r="O527" s="52"/>
      <c r="P527" s="52"/>
      <c r="Q527" s="52"/>
      <c r="R527" s="52"/>
      <c r="S527" s="52"/>
      <c r="T527" s="52"/>
      <c r="U527" s="52"/>
      <c r="V527" s="52"/>
      <c r="W527" s="52"/>
      <c r="X527" s="52"/>
      <c r="Y527" s="52"/>
      <c r="Z527" s="52"/>
      <c r="AA527" s="52"/>
      <c r="AB527" s="52"/>
      <c r="AC527" s="52"/>
      <c r="AD527" s="52"/>
      <c r="AE527" s="52"/>
      <c r="AF527" s="52"/>
      <c r="AG527" s="52"/>
      <c r="AH527" s="52"/>
      <c r="AI527" s="52"/>
      <c r="AJ527" s="52"/>
      <c r="AK527" s="52"/>
      <c r="AL527" s="52"/>
      <c r="AM527" s="52"/>
      <c r="AN527" s="52"/>
      <c r="AO527" s="52"/>
      <c r="AP527" s="52"/>
      <c r="AQ527" s="52"/>
      <c r="AR527" s="52"/>
      <c r="AS527" s="52"/>
    </row>
    <row r="528" spans="1:45" s="64" customFormat="1" hidden="1">
      <c r="A528" s="65" t="s">
        <v>376</v>
      </c>
      <c r="B528" s="65" t="s">
        <v>377</v>
      </c>
      <c r="C528" s="83" t="str">
        <f t="shared" si="16"/>
        <v>MW Master Chart April 2016 - Construction</v>
      </c>
      <c r="D528" s="65">
        <v>192640</v>
      </c>
      <c r="E528" s="65" t="s">
        <v>420</v>
      </c>
      <c r="F528" s="65" t="s">
        <v>155</v>
      </c>
      <c r="G528" s="65" t="s">
        <v>156</v>
      </c>
      <c r="H528" s="65"/>
      <c r="I528" s="76"/>
      <c r="J528" s="82"/>
      <c r="K528" s="66"/>
      <c r="L528" s="61">
        <f t="shared" si="17"/>
        <v>0</v>
      </c>
      <c r="M528" s="72"/>
      <c r="N528" s="73"/>
      <c r="O528" s="52"/>
      <c r="P528" s="52"/>
      <c r="Q528" s="52"/>
      <c r="R528" s="52"/>
      <c r="S528" s="52"/>
      <c r="T528" s="52"/>
      <c r="U528" s="52"/>
      <c r="V528" s="52"/>
      <c r="W528" s="52"/>
      <c r="X528" s="52"/>
      <c r="Y528" s="52"/>
      <c r="Z528" s="52"/>
      <c r="AA528" s="52"/>
      <c r="AB528" s="52"/>
      <c r="AC528" s="52"/>
      <c r="AD528" s="52"/>
      <c r="AE528" s="52"/>
      <c r="AF528" s="52"/>
      <c r="AG528" s="52"/>
      <c r="AH528" s="52"/>
      <c r="AI528" s="52"/>
      <c r="AJ528" s="52"/>
      <c r="AK528" s="52"/>
      <c r="AL528" s="52"/>
      <c r="AM528" s="52"/>
      <c r="AN528" s="52"/>
      <c r="AO528" s="52"/>
      <c r="AP528" s="52"/>
      <c r="AQ528" s="52"/>
      <c r="AR528" s="52"/>
      <c r="AS528" s="52"/>
    </row>
    <row r="529" spans="1:45" s="64" customFormat="1" hidden="1">
      <c r="A529" s="65" t="s">
        <v>376</v>
      </c>
      <c r="B529" s="65" t="s">
        <v>377</v>
      </c>
      <c r="C529" s="83" t="str">
        <f t="shared" si="16"/>
        <v>MW Master Chart April 2016 - Construction</v>
      </c>
      <c r="D529" s="65">
        <v>192650</v>
      </c>
      <c r="E529" s="65" t="s">
        <v>421</v>
      </c>
      <c r="F529" s="65" t="s">
        <v>155</v>
      </c>
      <c r="G529" s="65" t="s">
        <v>156</v>
      </c>
      <c r="H529" s="65"/>
      <c r="I529" s="76"/>
      <c r="J529" s="82"/>
      <c r="K529" s="66"/>
      <c r="L529" s="61">
        <f t="shared" si="17"/>
        <v>0</v>
      </c>
      <c r="M529" s="72"/>
      <c r="N529" s="73"/>
      <c r="O529" s="52"/>
      <c r="P529" s="52"/>
      <c r="Q529" s="52"/>
      <c r="R529" s="52"/>
      <c r="S529" s="52"/>
      <c r="T529" s="52"/>
      <c r="U529" s="52"/>
      <c r="V529" s="52"/>
      <c r="W529" s="52"/>
      <c r="X529" s="52"/>
      <c r="Y529" s="52"/>
      <c r="Z529" s="52"/>
      <c r="AA529" s="52"/>
      <c r="AB529" s="52"/>
      <c r="AC529" s="52"/>
      <c r="AD529" s="52"/>
      <c r="AE529" s="52"/>
      <c r="AF529" s="52"/>
      <c r="AG529" s="52"/>
      <c r="AH529" s="52"/>
      <c r="AI529" s="52"/>
      <c r="AJ529" s="52"/>
      <c r="AK529" s="52"/>
      <c r="AL529" s="52"/>
      <c r="AM529" s="52"/>
      <c r="AN529" s="52"/>
      <c r="AO529" s="52"/>
      <c r="AP529" s="52"/>
      <c r="AQ529" s="52"/>
      <c r="AR529" s="52"/>
      <c r="AS529" s="52"/>
    </row>
    <row r="530" spans="1:45" s="64" customFormat="1" hidden="1">
      <c r="A530" s="65" t="s">
        <v>376</v>
      </c>
      <c r="B530" s="65" t="s">
        <v>377</v>
      </c>
      <c r="C530" s="83" t="str">
        <f t="shared" si="16"/>
        <v>MW Master Chart April 2016 - Construction</v>
      </c>
      <c r="D530" s="65">
        <v>192710</v>
      </c>
      <c r="E530" s="65" t="s">
        <v>422</v>
      </c>
      <c r="F530" s="65" t="s">
        <v>155</v>
      </c>
      <c r="G530" s="65" t="s">
        <v>156</v>
      </c>
      <c r="H530" s="65"/>
      <c r="I530" s="76"/>
      <c r="J530" s="82"/>
      <c r="K530" s="66"/>
      <c r="L530" s="61">
        <f t="shared" si="17"/>
        <v>0</v>
      </c>
      <c r="M530" s="72"/>
      <c r="N530" s="73"/>
      <c r="O530" s="52"/>
      <c r="P530" s="52"/>
      <c r="Q530" s="52"/>
      <c r="R530" s="52"/>
      <c r="S530" s="52"/>
      <c r="T530" s="52"/>
      <c r="U530" s="52"/>
      <c r="V530" s="52"/>
      <c r="W530" s="52"/>
      <c r="X530" s="52"/>
      <c r="Y530" s="52"/>
      <c r="Z530" s="52"/>
      <c r="AA530" s="52"/>
      <c r="AB530" s="52"/>
      <c r="AC530" s="52"/>
      <c r="AD530" s="52"/>
      <c r="AE530" s="52"/>
      <c r="AF530" s="52"/>
      <c r="AG530" s="52"/>
      <c r="AH530" s="52"/>
      <c r="AI530" s="52"/>
      <c r="AJ530" s="52"/>
      <c r="AK530" s="52"/>
      <c r="AL530" s="52"/>
      <c r="AM530" s="52"/>
      <c r="AN530" s="52"/>
      <c r="AO530" s="52"/>
      <c r="AP530" s="52"/>
      <c r="AQ530" s="52"/>
      <c r="AR530" s="52"/>
      <c r="AS530" s="52"/>
    </row>
    <row r="531" spans="1:45" s="64" customFormat="1" hidden="1">
      <c r="A531" s="65" t="s">
        <v>376</v>
      </c>
      <c r="B531" s="65" t="s">
        <v>377</v>
      </c>
      <c r="C531" s="83" t="str">
        <f t="shared" si="16"/>
        <v>MW Master Chart April 2016 - Permitting</v>
      </c>
      <c r="D531" s="65">
        <v>201000</v>
      </c>
      <c r="E531" s="65" t="s">
        <v>245</v>
      </c>
      <c r="F531" s="65" t="s">
        <v>155</v>
      </c>
      <c r="G531" s="65" t="s">
        <v>156</v>
      </c>
      <c r="H531" s="65" t="s">
        <v>139</v>
      </c>
      <c r="I531" s="76"/>
      <c r="J531" s="82"/>
      <c r="K531" s="66"/>
      <c r="L531" s="61">
        <f t="shared" si="17"/>
        <v>0</v>
      </c>
      <c r="M531" s="72"/>
      <c r="N531" s="73"/>
      <c r="O531" s="52"/>
      <c r="P531" s="52"/>
      <c r="Q531" s="52"/>
      <c r="R531" s="52"/>
      <c r="S531" s="52"/>
      <c r="T531" s="52"/>
      <c r="U531" s="52"/>
      <c r="V531" s="52"/>
      <c r="W531" s="52"/>
      <c r="X531" s="52"/>
      <c r="Y531" s="52"/>
      <c r="Z531" s="52"/>
      <c r="AA531" s="52"/>
      <c r="AB531" s="52"/>
      <c r="AC531" s="52"/>
      <c r="AD531" s="52"/>
      <c r="AE531" s="52"/>
      <c r="AF531" s="52"/>
      <c r="AG531" s="52"/>
      <c r="AH531" s="52"/>
      <c r="AI531" s="52"/>
      <c r="AJ531" s="52"/>
      <c r="AK531" s="52"/>
      <c r="AL531" s="52"/>
      <c r="AM531" s="52"/>
      <c r="AN531" s="52"/>
      <c r="AO531" s="52"/>
      <c r="AP531" s="52"/>
      <c r="AQ531" s="52"/>
      <c r="AR531" s="52"/>
      <c r="AS531" s="52"/>
    </row>
    <row r="532" spans="1:45" s="64" customFormat="1" hidden="1">
      <c r="A532" s="65" t="s">
        <v>376</v>
      </c>
      <c r="B532" s="65" t="s">
        <v>377</v>
      </c>
      <c r="C532" s="83" t="str">
        <f t="shared" si="16"/>
        <v>MW Master Chart April 2016 - Permitting</v>
      </c>
      <c r="D532" s="65">
        <v>201100</v>
      </c>
      <c r="E532" s="65" t="s">
        <v>423</v>
      </c>
      <c r="F532" s="65" t="s">
        <v>155</v>
      </c>
      <c r="G532" s="65" t="s">
        <v>156</v>
      </c>
      <c r="H532" s="65" t="s">
        <v>139</v>
      </c>
      <c r="I532" s="76"/>
      <c r="J532" s="82"/>
      <c r="K532" s="66"/>
      <c r="L532" s="61">
        <f t="shared" si="17"/>
        <v>0</v>
      </c>
      <c r="M532" s="72"/>
      <c r="N532" s="73"/>
      <c r="O532" s="52"/>
      <c r="P532" s="52"/>
      <c r="Q532" s="52"/>
      <c r="R532" s="52"/>
      <c r="S532" s="52"/>
      <c r="T532" s="52"/>
      <c r="U532" s="52"/>
      <c r="V532" s="52"/>
      <c r="W532" s="52"/>
      <c r="X532" s="52"/>
      <c r="Y532" s="52"/>
      <c r="Z532" s="52"/>
      <c r="AA532" s="52"/>
      <c r="AB532" s="52"/>
      <c r="AC532" s="52"/>
      <c r="AD532" s="52"/>
      <c r="AE532" s="52"/>
      <c r="AF532" s="52"/>
      <c r="AG532" s="52"/>
      <c r="AH532" s="52"/>
      <c r="AI532" s="52"/>
      <c r="AJ532" s="52"/>
      <c r="AK532" s="52"/>
      <c r="AL532" s="52"/>
      <c r="AM532" s="52"/>
      <c r="AN532" s="52"/>
      <c r="AO532" s="52"/>
      <c r="AP532" s="52"/>
      <c r="AQ532" s="52"/>
      <c r="AR532" s="52"/>
      <c r="AS532" s="52"/>
    </row>
    <row r="533" spans="1:45" s="64" customFormat="1" hidden="1">
      <c r="A533" s="65" t="s">
        <v>376</v>
      </c>
      <c r="B533" s="65" t="s">
        <v>377</v>
      </c>
      <c r="C533" s="83" t="str">
        <f t="shared" si="16"/>
        <v>MW Master Chart April 2016 - Permitting</v>
      </c>
      <c r="D533" s="65">
        <v>201200</v>
      </c>
      <c r="E533" s="65" t="s">
        <v>424</v>
      </c>
      <c r="F533" s="65" t="s">
        <v>155</v>
      </c>
      <c r="G533" s="65" t="s">
        <v>156</v>
      </c>
      <c r="H533" s="65" t="s">
        <v>139</v>
      </c>
      <c r="I533" s="76"/>
      <c r="J533" s="82"/>
      <c r="K533" s="66"/>
      <c r="L533" s="61">
        <f t="shared" si="17"/>
        <v>0</v>
      </c>
      <c r="M533" s="72"/>
      <c r="N533" s="73"/>
      <c r="O533" s="52"/>
      <c r="P533" s="52"/>
      <c r="Q533" s="52"/>
      <c r="R533" s="52"/>
      <c r="S533" s="52"/>
      <c r="T533" s="52"/>
      <c r="U533" s="52"/>
      <c r="V533" s="52"/>
      <c r="W533" s="52"/>
      <c r="X533" s="52"/>
      <c r="Y533" s="52"/>
      <c r="Z533" s="52"/>
      <c r="AA533" s="52"/>
      <c r="AB533" s="52"/>
      <c r="AC533" s="52"/>
      <c r="AD533" s="52"/>
      <c r="AE533" s="52"/>
      <c r="AF533" s="52"/>
      <c r="AG533" s="52"/>
      <c r="AH533" s="52"/>
      <c r="AI533" s="52"/>
      <c r="AJ533" s="52"/>
      <c r="AK533" s="52"/>
      <c r="AL533" s="52"/>
      <c r="AM533" s="52"/>
      <c r="AN533" s="52"/>
      <c r="AO533" s="52"/>
      <c r="AP533" s="52"/>
      <c r="AQ533" s="52"/>
      <c r="AR533" s="52"/>
      <c r="AS533" s="52"/>
    </row>
    <row r="534" spans="1:45" s="64" customFormat="1" hidden="1">
      <c r="A534" s="65" t="s">
        <v>376</v>
      </c>
      <c r="B534" s="65" t="s">
        <v>377</v>
      </c>
      <c r="C534" s="83" t="str">
        <f t="shared" si="16"/>
        <v>MW Master Chart April 2016 - Permitting</v>
      </c>
      <c r="D534" s="65">
        <v>201300</v>
      </c>
      <c r="E534" s="65" t="s">
        <v>425</v>
      </c>
      <c r="F534" s="65" t="s">
        <v>155</v>
      </c>
      <c r="G534" s="65" t="s">
        <v>156</v>
      </c>
      <c r="H534" s="65" t="s">
        <v>139</v>
      </c>
      <c r="I534" s="76"/>
      <c r="J534" s="82"/>
      <c r="K534" s="66"/>
      <c r="L534" s="61">
        <f t="shared" si="17"/>
        <v>0</v>
      </c>
      <c r="M534" s="72"/>
      <c r="N534" s="73"/>
      <c r="O534" s="52"/>
      <c r="P534" s="52"/>
      <c r="Q534" s="52"/>
      <c r="R534" s="52"/>
      <c r="S534" s="52"/>
      <c r="T534" s="52"/>
      <c r="U534" s="52"/>
      <c r="V534" s="52"/>
      <c r="W534" s="52"/>
      <c r="X534" s="52"/>
      <c r="Y534" s="52"/>
      <c r="Z534" s="52"/>
      <c r="AA534" s="52"/>
      <c r="AB534" s="52"/>
      <c r="AC534" s="52"/>
      <c r="AD534" s="52"/>
      <c r="AE534" s="52"/>
      <c r="AF534" s="52"/>
      <c r="AG534" s="52"/>
      <c r="AH534" s="52"/>
      <c r="AI534" s="52"/>
      <c r="AJ534" s="52"/>
      <c r="AK534" s="52"/>
      <c r="AL534" s="52"/>
      <c r="AM534" s="52"/>
      <c r="AN534" s="52"/>
      <c r="AO534" s="52"/>
      <c r="AP534" s="52"/>
      <c r="AQ534" s="52"/>
      <c r="AR534" s="52"/>
      <c r="AS534" s="52"/>
    </row>
    <row r="535" spans="1:45" s="64" customFormat="1" hidden="1">
      <c r="A535" s="65" t="s">
        <v>376</v>
      </c>
      <c r="B535" s="65" t="s">
        <v>377</v>
      </c>
      <c r="C535" s="83" t="str">
        <f t="shared" si="16"/>
        <v>MW Master Chart April 2016 - Permitting</v>
      </c>
      <c r="D535" s="65">
        <v>201400</v>
      </c>
      <c r="E535" s="65" t="s">
        <v>166</v>
      </c>
      <c r="F535" s="65" t="s">
        <v>137</v>
      </c>
      <c r="G535" s="65" t="s">
        <v>138</v>
      </c>
      <c r="H535" s="65" t="s">
        <v>139</v>
      </c>
      <c r="I535" s="76"/>
      <c r="J535" s="82"/>
      <c r="K535" s="66"/>
      <c r="L535" s="61">
        <f t="shared" si="17"/>
        <v>0</v>
      </c>
      <c r="M535" s="72"/>
      <c r="N535" s="73"/>
      <c r="O535" s="52"/>
      <c r="P535" s="52"/>
      <c r="Q535" s="52"/>
      <c r="R535" s="52"/>
      <c r="S535" s="52"/>
      <c r="T535" s="52"/>
      <c r="U535" s="52"/>
      <c r="V535" s="52"/>
      <c r="W535" s="52"/>
      <c r="X535" s="52"/>
      <c r="Y535" s="52"/>
      <c r="Z535" s="52"/>
      <c r="AA535" s="52"/>
      <c r="AB535" s="52"/>
      <c r="AC535" s="52"/>
      <c r="AD535" s="52"/>
      <c r="AE535" s="52"/>
      <c r="AF535" s="52"/>
      <c r="AG535" s="52"/>
      <c r="AH535" s="52"/>
      <c r="AI535" s="52"/>
      <c r="AJ535" s="52"/>
      <c r="AK535" s="52"/>
      <c r="AL535" s="52"/>
      <c r="AM535" s="52"/>
      <c r="AN535" s="52"/>
      <c r="AO535" s="52"/>
      <c r="AP535" s="52"/>
      <c r="AQ535" s="52"/>
      <c r="AR535" s="52"/>
      <c r="AS535" s="52"/>
    </row>
    <row r="536" spans="1:45" s="64" customFormat="1" hidden="1">
      <c r="A536" s="65" t="s">
        <v>376</v>
      </c>
      <c r="B536" s="65" t="s">
        <v>377</v>
      </c>
      <c r="C536" s="83" t="str">
        <f t="shared" si="16"/>
        <v>MW Master Chart April 2016 - Survey</v>
      </c>
      <c r="D536" s="65">
        <v>211200</v>
      </c>
      <c r="E536" s="65" t="s">
        <v>373</v>
      </c>
      <c r="F536" s="65" t="s">
        <v>155</v>
      </c>
      <c r="G536" s="65" t="s">
        <v>156</v>
      </c>
      <c r="H536" s="65" t="s">
        <v>139</v>
      </c>
      <c r="I536" s="76"/>
      <c r="J536" s="82"/>
      <c r="K536" s="66"/>
      <c r="L536" s="61">
        <f t="shared" si="17"/>
        <v>0</v>
      </c>
      <c r="M536" s="72"/>
      <c r="N536" s="73"/>
      <c r="O536" s="52"/>
      <c r="P536" s="52"/>
      <c r="Q536" s="52"/>
      <c r="R536" s="52"/>
      <c r="S536" s="52"/>
      <c r="T536" s="52"/>
      <c r="U536" s="52"/>
      <c r="V536" s="52"/>
      <c r="W536" s="52"/>
      <c r="X536" s="52"/>
      <c r="Y536" s="52"/>
      <c r="Z536" s="52"/>
      <c r="AA536" s="52"/>
      <c r="AB536" s="52"/>
      <c r="AC536" s="52"/>
      <c r="AD536" s="52"/>
      <c r="AE536" s="52"/>
      <c r="AF536" s="52"/>
      <c r="AG536" s="52"/>
      <c r="AH536" s="52"/>
      <c r="AI536" s="52"/>
      <c r="AJ536" s="52"/>
      <c r="AK536" s="52"/>
      <c r="AL536" s="52"/>
      <c r="AM536" s="52"/>
      <c r="AN536" s="52"/>
      <c r="AO536" s="52"/>
      <c r="AP536" s="52"/>
      <c r="AQ536" s="52"/>
      <c r="AR536" s="52"/>
      <c r="AS536" s="52"/>
    </row>
    <row r="537" spans="1:45" s="64" customFormat="1" hidden="1">
      <c r="A537" s="65" t="s">
        <v>376</v>
      </c>
      <c r="B537" s="65" t="s">
        <v>377</v>
      </c>
      <c r="C537" s="83" t="str">
        <f t="shared" si="16"/>
        <v>MW Master Chart April 2016 - Survey</v>
      </c>
      <c r="D537" s="65">
        <v>211210</v>
      </c>
      <c r="E537" s="65" t="s">
        <v>426</v>
      </c>
      <c r="F537" s="65" t="s">
        <v>155</v>
      </c>
      <c r="G537" s="65" t="s">
        <v>156</v>
      </c>
      <c r="H537" s="65" t="s">
        <v>139</v>
      </c>
      <c r="I537" s="76"/>
      <c r="J537" s="82"/>
      <c r="K537" s="66"/>
      <c r="L537" s="61">
        <f t="shared" si="17"/>
        <v>0</v>
      </c>
      <c r="M537" s="72"/>
      <c r="N537" s="73"/>
      <c r="O537" s="52"/>
      <c r="P537" s="52"/>
      <c r="Q537" s="52"/>
      <c r="R537" s="52"/>
      <c r="S537" s="52"/>
      <c r="T537" s="52"/>
      <c r="U537" s="52"/>
      <c r="V537" s="52"/>
      <c r="W537" s="52"/>
      <c r="X537" s="52"/>
      <c r="Y537" s="52"/>
      <c r="Z537" s="52"/>
      <c r="AA537" s="52"/>
      <c r="AB537" s="52"/>
      <c r="AC537" s="52"/>
      <c r="AD537" s="52"/>
      <c r="AE537" s="52"/>
      <c r="AF537" s="52"/>
      <c r="AG537" s="52"/>
      <c r="AH537" s="52"/>
      <c r="AI537" s="52"/>
      <c r="AJ537" s="52"/>
      <c r="AK537" s="52"/>
      <c r="AL537" s="52"/>
      <c r="AM537" s="52"/>
      <c r="AN537" s="52"/>
      <c r="AO537" s="52"/>
      <c r="AP537" s="52"/>
      <c r="AQ537" s="52"/>
      <c r="AR537" s="52"/>
      <c r="AS537" s="52"/>
    </row>
    <row r="538" spans="1:45" s="64" customFormat="1" hidden="1">
      <c r="A538" s="65" t="s">
        <v>376</v>
      </c>
      <c r="B538" s="65" t="s">
        <v>377</v>
      </c>
      <c r="C538" s="83" t="str">
        <f t="shared" si="16"/>
        <v>MW Master Chart April 2016 - Survey</v>
      </c>
      <c r="D538" s="65">
        <v>211220</v>
      </c>
      <c r="E538" s="65" t="s">
        <v>427</v>
      </c>
      <c r="F538" s="65" t="s">
        <v>155</v>
      </c>
      <c r="G538" s="65" t="s">
        <v>156</v>
      </c>
      <c r="H538" s="65" t="s">
        <v>139</v>
      </c>
      <c r="I538" s="76"/>
      <c r="J538" s="82"/>
      <c r="K538" s="66"/>
      <c r="L538" s="61">
        <f t="shared" si="17"/>
        <v>0</v>
      </c>
      <c r="M538" s="72"/>
      <c r="N538" s="73"/>
      <c r="O538" s="52"/>
      <c r="P538" s="52"/>
      <c r="Q538" s="52"/>
      <c r="R538" s="52"/>
      <c r="S538" s="52"/>
      <c r="T538" s="52"/>
      <c r="U538" s="52"/>
      <c r="V538" s="52"/>
      <c r="W538" s="52"/>
      <c r="X538" s="52"/>
      <c r="Y538" s="52"/>
      <c r="Z538" s="52"/>
      <c r="AA538" s="52"/>
      <c r="AB538" s="52"/>
      <c r="AC538" s="52"/>
      <c r="AD538" s="52"/>
      <c r="AE538" s="52"/>
      <c r="AF538" s="52"/>
      <c r="AG538" s="52"/>
      <c r="AH538" s="52"/>
      <c r="AI538" s="52"/>
      <c r="AJ538" s="52"/>
      <c r="AK538" s="52"/>
      <c r="AL538" s="52"/>
      <c r="AM538" s="52"/>
      <c r="AN538" s="52"/>
      <c r="AO538" s="52"/>
      <c r="AP538" s="52"/>
      <c r="AQ538" s="52"/>
      <c r="AR538" s="52"/>
      <c r="AS538" s="52"/>
    </row>
    <row r="539" spans="1:45" s="64" customFormat="1" hidden="1">
      <c r="A539" s="65" t="s">
        <v>376</v>
      </c>
      <c r="B539" s="65" t="s">
        <v>377</v>
      </c>
      <c r="C539" s="83" t="str">
        <f t="shared" si="16"/>
        <v>MW Master Chart April 2016 - Survey</v>
      </c>
      <c r="D539" s="65">
        <v>211230</v>
      </c>
      <c r="E539" s="65" t="s">
        <v>428</v>
      </c>
      <c r="F539" s="65" t="s">
        <v>155</v>
      </c>
      <c r="G539" s="65" t="s">
        <v>156</v>
      </c>
      <c r="H539" s="65" t="s">
        <v>139</v>
      </c>
      <c r="I539" s="76"/>
      <c r="J539" s="82"/>
      <c r="K539" s="66"/>
      <c r="L539" s="61">
        <f t="shared" si="17"/>
        <v>0</v>
      </c>
      <c r="M539" s="72"/>
      <c r="N539" s="73"/>
      <c r="O539" s="52"/>
      <c r="P539" s="52"/>
      <c r="Q539" s="52"/>
      <c r="R539" s="52"/>
      <c r="S539" s="52"/>
      <c r="T539" s="52"/>
      <c r="U539" s="52"/>
      <c r="V539" s="52"/>
      <c r="W539" s="52"/>
      <c r="X539" s="52"/>
      <c r="Y539" s="52"/>
      <c r="Z539" s="52"/>
      <c r="AA539" s="52"/>
      <c r="AB539" s="52"/>
      <c r="AC539" s="52"/>
      <c r="AD539" s="52"/>
      <c r="AE539" s="52"/>
      <c r="AF539" s="52"/>
      <c r="AG539" s="52"/>
      <c r="AH539" s="52"/>
      <c r="AI539" s="52"/>
      <c r="AJ539" s="52"/>
      <c r="AK539" s="52"/>
      <c r="AL539" s="52"/>
      <c r="AM539" s="52"/>
      <c r="AN539" s="52"/>
      <c r="AO539" s="52"/>
      <c r="AP539" s="52"/>
      <c r="AQ539" s="52"/>
      <c r="AR539" s="52"/>
      <c r="AS539" s="52"/>
    </row>
    <row r="540" spans="1:45" s="64" customFormat="1" hidden="1">
      <c r="A540" s="65" t="s">
        <v>376</v>
      </c>
      <c r="B540" s="65" t="s">
        <v>377</v>
      </c>
      <c r="C540" s="83" t="str">
        <f t="shared" si="16"/>
        <v>MW Master Chart April 2016 - Survey</v>
      </c>
      <c r="D540" s="65">
        <v>211240</v>
      </c>
      <c r="E540" s="65" t="s">
        <v>429</v>
      </c>
      <c r="F540" s="65" t="s">
        <v>155</v>
      </c>
      <c r="G540" s="65" t="s">
        <v>156</v>
      </c>
      <c r="H540" s="65" t="s">
        <v>139</v>
      </c>
      <c r="I540" s="76"/>
      <c r="J540" s="82"/>
      <c r="K540" s="66"/>
      <c r="L540" s="61">
        <f t="shared" si="17"/>
        <v>0</v>
      </c>
      <c r="M540" s="72"/>
      <c r="N540" s="73"/>
      <c r="O540" s="52"/>
      <c r="P540" s="52"/>
      <c r="Q540" s="52"/>
      <c r="R540" s="52"/>
      <c r="S540" s="52"/>
      <c r="T540" s="52"/>
      <c r="U540" s="52"/>
      <c r="V540" s="52"/>
      <c r="W540" s="52"/>
      <c r="X540" s="52"/>
      <c r="Y540" s="52"/>
      <c r="Z540" s="52"/>
      <c r="AA540" s="52"/>
      <c r="AB540" s="52"/>
      <c r="AC540" s="52"/>
      <c r="AD540" s="52"/>
      <c r="AE540" s="52"/>
      <c r="AF540" s="52"/>
      <c r="AG540" s="52"/>
      <c r="AH540" s="52"/>
      <c r="AI540" s="52"/>
      <c r="AJ540" s="52"/>
      <c r="AK540" s="52"/>
      <c r="AL540" s="52"/>
      <c r="AM540" s="52"/>
      <c r="AN540" s="52"/>
      <c r="AO540" s="52"/>
      <c r="AP540" s="52"/>
      <c r="AQ540" s="52"/>
      <c r="AR540" s="52"/>
      <c r="AS540" s="52"/>
    </row>
    <row r="541" spans="1:45" s="64" customFormat="1" hidden="1">
      <c r="A541" s="65" t="s">
        <v>376</v>
      </c>
      <c r="B541" s="65" t="s">
        <v>377</v>
      </c>
      <c r="C541" s="83" t="str">
        <f t="shared" si="16"/>
        <v>MW Master Chart April 2016 - Survey</v>
      </c>
      <c r="D541" s="65">
        <v>211500</v>
      </c>
      <c r="E541" s="65" t="s">
        <v>354</v>
      </c>
      <c r="F541" s="65" t="s">
        <v>155</v>
      </c>
      <c r="G541" s="65" t="s">
        <v>156</v>
      </c>
      <c r="H541" s="65" t="s">
        <v>139</v>
      </c>
      <c r="I541" s="76"/>
      <c r="J541" s="82"/>
      <c r="K541" s="66"/>
      <c r="L541" s="61">
        <f t="shared" si="17"/>
        <v>0</v>
      </c>
      <c r="M541" s="72"/>
      <c r="N541" s="73"/>
      <c r="O541" s="52"/>
      <c r="P541" s="52"/>
      <c r="Q541" s="52"/>
      <c r="R541" s="52"/>
      <c r="S541" s="52"/>
      <c r="T541" s="52"/>
      <c r="U541" s="52"/>
      <c r="V541" s="52"/>
      <c r="W541" s="52"/>
      <c r="X541" s="52"/>
      <c r="Y541" s="52"/>
      <c r="Z541" s="52"/>
      <c r="AA541" s="52"/>
      <c r="AB541" s="52"/>
      <c r="AC541" s="52"/>
      <c r="AD541" s="52"/>
      <c r="AE541" s="52"/>
      <c r="AF541" s="52"/>
      <c r="AG541" s="52"/>
      <c r="AH541" s="52"/>
      <c r="AI541" s="52"/>
      <c r="AJ541" s="52"/>
      <c r="AK541" s="52"/>
      <c r="AL541" s="52"/>
      <c r="AM541" s="52"/>
      <c r="AN541" s="52"/>
      <c r="AO541" s="52"/>
      <c r="AP541" s="52"/>
      <c r="AQ541" s="52"/>
      <c r="AR541" s="52"/>
      <c r="AS541" s="52"/>
    </row>
    <row r="542" spans="1:45" s="64" customFormat="1" hidden="1">
      <c r="A542" s="65" t="s">
        <v>376</v>
      </c>
      <c r="B542" s="65" t="s">
        <v>377</v>
      </c>
      <c r="C542" s="83" t="str">
        <f t="shared" si="16"/>
        <v>MW Master Chart April 2016 - Maintenance</v>
      </c>
      <c r="D542" s="65">
        <v>221000</v>
      </c>
      <c r="E542" s="65" t="s">
        <v>355</v>
      </c>
      <c r="F542" s="65" t="s">
        <v>155</v>
      </c>
      <c r="G542" s="65" t="s">
        <v>156</v>
      </c>
      <c r="H542" s="65" t="s">
        <v>139</v>
      </c>
      <c r="I542" s="76"/>
      <c r="J542" s="82"/>
      <c r="K542" s="66"/>
      <c r="L542" s="61">
        <f t="shared" si="17"/>
        <v>0</v>
      </c>
      <c r="M542" s="72"/>
      <c r="N542" s="73"/>
      <c r="O542" s="52"/>
      <c r="P542" s="52"/>
      <c r="Q542" s="52"/>
      <c r="R542" s="52"/>
      <c r="S542" s="52"/>
      <c r="T542" s="52"/>
      <c r="U542" s="52"/>
      <c r="V542" s="52"/>
      <c r="W542" s="52"/>
      <c r="X542" s="52"/>
      <c r="Y542" s="52"/>
      <c r="Z542" s="52"/>
      <c r="AA542" s="52"/>
      <c r="AB542" s="52"/>
      <c r="AC542" s="52"/>
      <c r="AD542" s="52"/>
      <c r="AE542" s="52"/>
      <c r="AF542" s="52"/>
      <c r="AG542" s="52"/>
      <c r="AH542" s="52"/>
      <c r="AI542" s="52"/>
      <c r="AJ542" s="52"/>
      <c r="AK542" s="52"/>
      <c r="AL542" s="52"/>
      <c r="AM542" s="52"/>
      <c r="AN542" s="52"/>
      <c r="AO542" s="52"/>
      <c r="AP542" s="52"/>
      <c r="AQ542" s="52"/>
      <c r="AR542" s="52"/>
      <c r="AS542" s="52"/>
    </row>
    <row r="543" spans="1:45" s="64" customFormat="1" hidden="1">
      <c r="A543" s="65" t="s">
        <v>376</v>
      </c>
      <c r="B543" s="65" t="s">
        <v>377</v>
      </c>
      <c r="C543" s="83" t="str">
        <f t="shared" si="16"/>
        <v>MW Master Chart April 2016 - Maintenance</v>
      </c>
      <c r="D543" s="65">
        <v>221400</v>
      </c>
      <c r="E543" s="65" t="s">
        <v>356</v>
      </c>
      <c r="F543" s="65" t="s">
        <v>155</v>
      </c>
      <c r="G543" s="65" t="s">
        <v>156</v>
      </c>
      <c r="H543" s="65" t="s">
        <v>139</v>
      </c>
      <c r="I543" s="76"/>
      <c r="J543" s="82"/>
      <c r="K543" s="66"/>
      <c r="L543" s="61">
        <f t="shared" si="17"/>
        <v>0</v>
      </c>
      <c r="M543" s="72"/>
      <c r="N543" s="73"/>
      <c r="O543" s="52"/>
      <c r="P543" s="52"/>
      <c r="Q543" s="52"/>
      <c r="R543" s="52"/>
      <c r="S543" s="52"/>
      <c r="T543" s="52"/>
      <c r="U543" s="52"/>
      <c r="V543" s="52"/>
      <c r="W543" s="52"/>
      <c r="X543" s="52"/>
      <c r="Y543" s="52"/>
      <c r="Z543" s="52"/>
      <c r="AA543" s="52"/>
      <c r="AB543" s="52"/>
      <c r="AC543" s="52"/>
      <c r="AD543" s="52"/>
      <c r="AE543" s="52"/>
      <c r="AF543" s="52"/>
      <c r="AG543" s="52"/>
      <c r="AH543" s="52"/>
      <c r="AI543" s="52"/>
      <c r="AJ543" s="52"/>
      <c r="AK543" s="52"/>
      <c r="AL543" s="52"/>
      <c r="AM543" s="52"/>
      <c r="AN543" s="52"/>
      <c r="AO543" s="52"/>
      <c r="AP543" s="52"/>
      <c r="AQ543" s="52"/>
      <c r="AR543" s="52"/>
      <c r="AS543" s="52"/>
    </row>
    <row r="544" spans="1:45" s="64" customFormat="1" hidden="1">
      <c r="A544" s="65" t="s">
        <v>376</v>
      </c>
      <c r="B544" s="65" t="s">
        <v>377</v>
      </c>
      <c r="C544" s="83" t="str">
        <f t="shared" si="16"/>
        <v>MW Master Chart April 2016 - Maintenance</v>
      </c>
      <c r="D544" s="65">
        <v>221500</v>
      </c>
      <c r="E544" s="65" t="s">
        <v>367</v>
      </c>
      <c r="F544" s="65" t="s">
        <v>155</v>
      </c>
      <c r="G544" s="65" t="s">
        <v>156</v>
      </c>
      <c r="H544" s="65" t="s">
        <v>139</v>
      </c>
      <c r="I544" s="76"/>
      <c r="J544" s="82"/>
      <c r="K544" s="66"/>
      <c r="L544" s="61">
        <f t="shared" si="17"/>
        <v>0</v>
      </c>
      <c r="M544" s="72"/>
      <c r="N544" s="73"/>
      <c r="O544" s="52"/>
      <c r="P544" s="52"/>
      <c r="Q544" s="52"/>
      <c r="R544" s="52"/>
      <c r="S544" s="52"/>
      <c r="T544" s="52"/>
      <c r="U544" s="52"/>
      <c r="V544" s="52"/>
      <c r="W544" s="52"/>
      <c r="X544" s="52"/>
      <c r="Y544" s="52"/>
      <c r="Z544" s="52"/>
      <c r="AA544" s="52"/>
      <c r="AB544" s="52"/>
      <c r="AC544" s="52"/>
      <c r="AD544" s="52"/>
      <c r="AE544" s="52"/>
      <c r="AF544" s="52"/>
      <c r="AG544" s="52"/>
      <c r="AH544" s="52"/>
      <c r="AI544" s="52"/>
      <c r="AJ544" s="52"/>
      <c r="AK544" s="52"/>
      <c r="AL544" s="52"/>
      <c r="AM544" s="52"/>
      <c r="AN544" s="52"/>
      <c r="AO544" s="52"/>
      <c r="AP544" s="52"/>
      <c r="AQ544" s="52"/>
      <c r="AR544" s="52"/>
      <c r="AS544" s="52"/>
    </row>
    <row r="545" spans="1:45" s="64" customFormat="1" hidden="1">
      <c r="A545" s="65" t="s">
        <v>376</v>
      </c>
      <c r="B545" s="65" t="s">
        <v>377</v>
      </c>
      <c r="C545" s="83" t="str">
        <f t="shared" si="16"/>
        <v>MW Master Chart April 2016 - Legal/Regulatory</v>
      </c>
      <c r="D545" s="65">
        <v>231000</v>
      </c>
      <c r="E545" s="65" t="s">
        <v>231</v>
      </c>
      <c r="F545" s="65" t="s">
        <v>155</v>
      </c>
      <c r="G545" s="65" t="s">
        <v>156</v>
      </c>
      <c r="H545" s="65" t="s">
        <v>139</v>
      </c>
      <c r="I545" s="76"/>
      <c r="J545" s="82"/>
      <c r="K545" s="66"/>
      <c r="L545" s="61">
        <f t="shared" si="17"/>
        <v>0</v>
      </c>
      <c r="M545" s="72"/>
      <c r="N545" s="73"/>
      <c r="O545" s="52"/>
      <c r="P545" s="52"/>
      <c r="Q545" s="52"/>
      <c r="R545" s="52"/>
      <c r="S545" s="52"/>
      <c r="T545" s="52"/>
      <c r="U545" s="52"/>
      <c r="V545" s="52"/>
      <c r="W545" s="52"/>
      <c r="X545" s="52"/>
      <c r="Y545" s="52"/>
      <c r="Z545" s="52"/>
      <c r="AA545" s="52"/>
      <c r="AB545" s="52"/>
      <c r="AC545" s="52"/>
      <c r="AD545" s="52"/>
      <c r="AE545" s="52"/>
      <c r="AF545" s="52"/>
      <c r="AG545" s="52"/>
      <c r="AH545" s="52"/>
      <c r="AI545" s="52"/>
      <c r="AJ545" s="52"/>
      <c r="AK545" s="52"/>
      <c r="AL545" s="52"/>
      <c r="AM545" s="52"/>
      <c r="AN545" s="52"/>
      <c r="AO545" s="52"/>
      <c r="AP545" s="52"/>
      <c r="AQ545" s="52"/>
      <c r="AR545" s="52"/>
      <c r="AS545" s="52"/>
    </row>
    <row r="546" spans="1:45" s="64" customFormat="1" hidden="1">
      <c r="A546" s="65" t="s">
        <v>376</v>
      </c>
      <c r="B546" s="65" t="s">
        <v>377</v>
      </c>
      <c r="C546" s="83" t="str">
        <f t="shared" si="16"/>
        <v>MW Master Chart April 2016 - Legal/Regulatory</v>
      </c>
      <c r="D546" s="65">
        <v>231300</v>
      </c>
      <c r="E546" s="65" t="s">
        <v>209</v>
      </c>
      <c r="F546" s="65" t="s">
        <v>155</v>
      </c>
      <c r="G546" s="65" t="s">
        <v>156</v>
      </c>
      <c r="H546" s="65" t="s">
        <v>139</v>
      </c>
      <c r="I546" s="76"/>
      <c r="J546" s="82"/>
      <c r="K546" s="66"/>
      <c r="L546" s="61">
        <f t="shared" si="17"/>
        <v>0</v>
      </c>
      <c r="M546" s="72"/>
      <c r="N546" s="73"/>
      <c r="O546" s="52"/>
      <c r="P546" s="52"/>
      <c r="Q546" s="52"/>
      <c r="R546" s="52"/>
      <c r="S546" s="52"/>
      <c r="T546" s="52"/>
      <c r="U546" s="52"/>
      <c r="V546" s="52"/>
      <c r="W546" s="52"/>
      <c r="X546" s="52"/>
      <c r="Y546" s="52"/>
      <c r="Z546" s="52"/>
      <c r="AA546" s="52"/>
      <c r="AB546" s="52"/>
      <c r="AC546" s="52"/>
      <c r="AD546" s="52"/>
      <c r="AE546" s="52"/>
      <c r="AF546" s="52"/>
      <c r="AG546" s="52"/>
      <c r="AH546" s="52"/>
      <c r="AI546" s="52"/>
      <c r="AJ546" s="52"/>
      <c r="AK546" s="52"/>
      <c r="AL546" s="52"/>
      <c r="AM546" s="52"/>
      <c r="AN546" s="52"/>
      <c r="AO546" s="52"/>
      <c r="AP546" s="52"/>
      <c r="AQ546" s="52"/>
      <c r="AR546" s="52"/>
      <c r="AS546" s="52"/>
    </row>
    <row r="547" spans="1:45" s="64" customFormat="1" hidden="1">
      <c r="A547" s="65" t="s">
        <v>376</v>
      </c>
      <c r="B547" s="65" t="s">
        <v>377</v>
      </c>
      <c r="C547" s="83" t="str">
        <f t="shared" si="16"/>
        <v>MW Master Chart April 2016 - Legal/Regulatory</v>
      </c>
      <c r="D547" s="65">
        <v>231400</v>
      </c>
      <c r="E547" s="65" t="s">
        <v>210</v>
      </c>
      <c r="F547" s="65" t="s">
        <v>155</v>
      </c>
      <c r="G547" s="65" t="s">
        <v>156</v>
      </c>
      <c r="H547" s="65" t="s">
        <v>139</v>
      </c>
      <c r="I547" s="76"/>
      <c r="J547" s="82"/>
      <c r="K547" s="66"/>
      <c r="L547" s="61">
        <f t="shared" si="17"/>
        <v>0</v>
      </c>
      <c r="M547" s="72"/>
      <c r="N547" s="73"/>
      <c r="O547" s="52"/>
      <c r="P547" s="52"/>
      <c r="Q547" s="52"/>
      <c r="R547" s="52"/>
      <c r="S547" s="52"/>
      <c r="T547" s="52"/>
      <c r="U547" s="52"/>
      <c r="V547" s="52"/>
      <c r="W547" s="52"/>
      <c r="X547" s="52"/>
      <c r="Y547" s="52"/>
      <c r="Z547" s="52"/>
      <c r="AA547" s="52"/>
      <c r="AB547" s="52"/>
      <c r="AC547" s="52"/>
      <c r="AD547" s="52"/>
      <c r="AE547" s="52"/>
      <c r="AF547" s="52"/>
      <c r="AG547" s="52"/>
      <c r="AH547" s="52"/>
      <c r="AI547" s="52"/>
      <c r="AJ547" s="52"/>
      <c r="AK547" s="52"/>
      <c r="AL547" s="52"/>
      <c r="AM547" s="52"/>
      <c r="AN547" s="52"/>
      <c r="AO547" s="52"/>
      <c r="AP547" s="52"/>
      <c r="AQ547" s="52"/>
      <c r="AR547" s="52"/>
      <c r="AS547" s="52"/>
    </row>
    <row r="548" spans="1:45" s="64" customFormat="1" hidden="1">
      <c r="A548" s="65" t="s">
        <v>376</v>
      </c>
      <c r="B548" s="65" t="s">
        <v>377</v>
      </c>
      <c r="C548" s="83" t="str">
        <f t="shared" si="16"/>
        <v>MW Master Chart April 2016 - Legal/Regulatory</v>
      </c>
      <c r="D548" s="65">
        <v>231500</v>
      </c>
      <c r="E548" s="65" t="s">
        <v>430</v>
      </c>
      <c r="F548" s="65" t="s">
        <v>155</v>
      </c>
      <c r="G548" s="65" t="s">
        <v>156</v>
      </c>
      <c r="H548" s="65" t="s">
        <v>139</v>
      </c>
      <c r="I548" s="76"/>
      <c r="J548" s="82"/>
      <c r="K548" s="66"/>
      <c r="L548" s="61">
        <f t="shared" si="17"/>
        <v>0</v>
      </c>
      <c r="M548" s="72"/>
      <c r="N548" s="73"/>
      <c r="O548" s="52"/>
      <c r="P548" s="52"/>
      <c r="Q548" s="52"/>
      <c r="R548" s="52"/>
      <c r="S548" s="52"/>
      <c r="T548" s="52"/>
      <c r="U548" s="52"/>
      <c r="V548" s="52"/>
      <c r="W548" s="52"/>
      <c r="X548" s="52"/>
      <c r="Y548" s="52"/>
      <c r="Z548" s="52"/>
      <c r="AA548" s="52"/>
      <c r="AB548" s="52"/>
      <c r="AC548" s="52"/>
      <c r="AD548" s="52"/>
      <c r="AE548" s="52"/>
      <c r="AF548" s="52"/>
      <c r="AG548" s="52"/>
      <c r="AH548" s="52"/>
      <c r="AI548" s="52"/>
      <c r="AJ548" s="52"/>
      <c r="AK548" s="52"/>
      <c r="AL548" s="52"/>
      <c r="AM548" s="52"/>
      <c r="AN548" s="52"/>
      <c r="AO548" s="52"/>
      <c r="AP548" s="52"/>
      <c r="AQ548" s="52"/>
      <c r="AR548" s="52"/>
      <c r="AS548" s="52"/>
    </row>
    <row r="549" spans="1:45" s="64" customFormat="1" hidden="1">
      <c r="A549" s="65" t="s">
        <v>376</v>
      </c>
      <c r="B549" s="65" t="s">
        <v>377</v>
      </c>
      <c r="C549" s="83" t="str">
        <f t="shared" si="16"/>
        <v>MW Master Chart April 2016 - Legal/Regulatory</v>
      </c>
      <c r="D549" s="65">
        <v>231600</v>
      </c>
      <c r="E549" s="65" t="s">
        <v>211</v>
      </c>
      <c r="F549" s="65" t="s">
        <v>155</v>
      </c>
      <c r="G549" s="65" t="s">
        <v>156</v>
      </c>
      <c r="H549" s="65" t="s">
        <v>139</v>
      </c>
      <c r="I549" s="76"/>
      <c r="J549" s="82"/>
      <c r="K549" s="66"/>
      <c r="L549" s="61">
        <f t="shared" si="17"/>
        <v>0</v>
      </c>
      <c r="M549" s="72"/>
      <c r="N549" s="73"/>
      <c r="O549" s="52"/>
      <c r="P549" s="52"/>
      <c r="Q549" s="52"/>
      <c r="R549" s="52"/>
      <c r="S549" s="52"/>
      <c r="T549" s="52"/>
      <c r="U549" s="52"/>
      <c r="V549" s="52"/>
      <c r="W549" s="52"/>
      <c r="X549" s="52"/>
      <c r="Y549" s="52"/>
      <c r="Z549" s="52"/>
      <c r="AA549" s="52"/>
      <c r="AB549" s="52"/>
      <c r="AC549" s="52"/>
      <c r="AD549" s="52"/>
      <c r="AE549" s="52"/>
      <c r="AF549" s="52"/>
      <c r="AG549" s="52"/>
      <c r="AH549" s="52"/>
      <c r="AI549" s="52"/>
      <c r="AJ549" s="52"/>
      <c r="AK549" s="52"/>
      <c r="AL549" s="52"/>
      <c r="AM549" s="52"/>
      <c r="AN549" s="52"/>
      <c r="AO549" s="52"/>
      <c r="AP549" s="52"/>
      <c r="AQ549" s="52"/>
      <c r="AR549" s="52"/>
      <c r="AS549" s="52"/>
    </row>
    <row r="550" spans="1:45" s="64" customFormat="1" hidden="1">
      <c r="A550" s="65" t="s">
        <v>376</v>
      </c>
      <c r="B550" s="65" t="s">
        <v>377</v>
      </c>
      <c r="C550" s="83" t="str">
        <f t="shared" si="16"/>
        <v>MW Master Chart April 2016 - Legal/Regulatory</v>
      </c>
      <c r="D550" s="65">
        <v>231900</v>
      </c>
      <c r="E550" s="65" t="s">
        <v>212</v>
      </c>
      <c r="F550" s="65" t="s">
        <v>155</v>
      </c>
      <c r="G550" s="65" t="s">
        <v>156</v>
      </c>
      <c r="H550" s="65" t="s">
        <v>139</v>
      </c>
      <c r="I550" s="76"/>
      <c r="J550" s="82"/>
      <c r="K550" s="66"/>
      <c r="L550" s="61">
        <f t="shared" si="17"/>
        <v>0</v>
      </c>
      <c r="M550" s="72"/>
      <c r="N550" s="73"/>
      <c r="O550" s="52"/>
      <c r="P550" s="52"/>
      <c r="Q550" s="52"/>
      <c r="R550" s="52"/>
      <c r="S550" s="52"/>
      <c r="T550" s="52"/>
      <c r="U550" s="52"/>
      <c r="V550" s="52"/>
      <c r="W550" s="52"/>
      <c r="X550" s="52"/>
      <c r="Y550" s="52"/>
      <c r="Z550" s="52"/>
      <c r="AA550" s="52"/>
      <c r="AB550" s="52"/>
      <c r="AC550" s="52"/>
      <c r="AD550" s="52"/>
      <c r="AE550" s="52"/>
      <c r="AF550" s="52"/>
      <c r="AG550" s="52"/>
      <c r="AH550" s="52"/>
      <c r="AI550" s="52"/>
      <c r="AJ550" s="52"/>
      <c r="AK550" s="52"/>
      <c r="AL550" s="52"/>
      <c r="AM550" s="52"/>
      <c r="AN550" s="52"/>
      <c r="AO550" s="52"/>
      <c r="AP550" s="52"/>
      <c r="AQ550" s="52"/>
      <c r="AR550" s="52"/>
      <c r="AS550" s="52"/>
    </row>
    <row r="551" spans="1:45" s="64" customFormat="1" hidden="1">
      <c r="A551" s="65" t="s">
        <v>376</v>
      </c>
      <c r="B551" s="65" t="s">
        <v>377</v>
      </c>
      <c r="C551" s="83" t="str">
        <f t="shared" si="16"/>
        <v>MW Master Chart April 2016 - Legal/Regulatory</v>
      </c>
      <c r="D551" s="65">
        <v>232000</v>
      </c>
      <c r="E551" s="65" t="s">
        <v>246</v>
      </c>
      <c r="F551" s="65" t="s">
        <v>155</v>
      </c>
      <c r="G551" s="65" t="s">
        <v>156</v>
      </c>
      <c r="H551" s="65" t="s">
        <v>139</v>
      </c>
      <c r="I551" s="76"/>
      <c r="J551" s="82"/>
      <c r="K551" s="66"/>
      <c r="L551" s="61">
        <f t="shared" si="17"/>
        <v>0</v>
      </c>
      <c r="M551" s="72"/>
      <c r="N551" s="73"/>
      <c r="O551" s="52"/>
      <c r="P551" s="52"/>
      <c r="Q551" s="52"/>
      <c r="R551" s="52"/>
      <c r="S551" s="52"/>
      <c r="T551" s="52"/>
      <c r="U551" s="52"/>
      <c r="V551" s="52"/>
      <c r="W551" s="52"/>
      <c r="X551" s="52"/>
      <c r="Y551" s="52"/>
      <c r="Z551" s="52"/>
      <c r="AA551" s="52"/>
      <c r="AB551" s="52"/>
      <c r="AC551" s="52"/>
      <c r="AD551" s="52"/>
      <c r="AE551" s="52"/>
      <c r="AF551" s="52"/>
      <c r="AG551" s="52"/>
      <c r="AH551" s="52"/>
      <c r="AI551" s="52"/>
      <c r="AJ551" s="52"/>
      <c r="AK551" s="52"/>
      <c r="AL551" s="52"/>
      <c r="AM551" s="52"/>
      <c r="AN551" s="52"/>
      <c r="AO551" s="52"/>
      <c r="AP551" s="52"/>
      <c r="AQ551" s="52"/>
      <c r="AR551" s="52"/>
      <c r="AS551" s="52"/>
    </row>
    <row r="552" spans="1:45" s="64" customFormat="1" hidden="1">
      <c r="A552" s="65" t="s">
        <v>376</v>
      </c>
      <c r="B552" s="65" t="s">
        <v>377</v>
      </c>
      <c r="C552" s="83" t="str">
        <f t="shared" si="16"/>
        <v>MW Master Chart April 2016 - Legal/Regulatory</v>
      </c>
      <c r="D552" s="65">
        <v>232010</v>
      </c>
      <c r="E552" s="65" t="s">
        <v>247</v>
      </c>
      <c r="F552" s="65" t="s">
        <v>155</v>
      </c>
      <c r="G552" s="65" t="s">
        <v>156</v>
      </c>
      <c r="H552" s="65" t="s">
        <v>139</v>
      </c>
      <c r="I552" s="76"/>
      <c r="J552" s="82"/>
      <c r="K552" s="66"/>
      <c r="L552" s="61">
        <f t="shared" si="17"/>
        <v>0</v>
      </c>
      <c r="M552" s="72"/>
      <c r="N552" s="73"/>
      <c r="O552" s="52"/>
      <c r="P552" s="52"/>
      <c r="Q552" s="52"/>
      <c r="R552" s="52"/>
      <c r="S552" s="52"/>
      <c r="T552" s="52"/>
      <c r="U552" s="52"/>
      <c r="V552" s="52"/>
      <c r="W552" s="52"/>
      <c r="X552" s="52"/>
      <c r="Y552" s="52"/>
      <c r="Z552" s="52"/>
      <c r="AA552" s="52"/>
      <c r="AB552" s="52"/>
      <c r="AC552" s="52"/>
      <c r="AD552" s="52"/>
      <c r="AE552" s="52"/>
      <c r="AF552" s="52"/>
      <c r="AG552" s="52"/>
      <c r="AH552" s="52"/>
      <c r="AI552" s="52"/>
      <c r="AJ552" s="52"/>
      <c r="AK552" s="52"/>
      <c r="AL552" s="52"/>
      <c r="AM552" s="52"/>
      <c r="AN552" s="52"/>
      <c r="AO552" s="52"/>
      <c r="AP552" s="52"/>
      <c r="AQ552" s="52"/>
      <c r="AR552" s="52"/>
      <c r="AS552" s="52"/>
    </row>
    <row r="553" spans="1:45" s="64" customFormat="1" hidden="1">
      <c r="A553" s="65" t="s">
        <v>376</v>
      </c>
      <c r="B553" s="65" t="s">
        <v>377</v>
      </c>
      <c r="C553" s="83" t="str">
        <f t="shared" si="16"/>
        <v>MW Master Chart April 2016 - Legal/Regulatory</v>
      </c>
      <c r="D553" s="65">
        <v>232015</v>
      </c>
      <c r="E553" s="65" t="s">
        <v>431</v>
      </c>
      <c r="F553" s="65" t="s">
        <v>155</v>
      </c>
      <c r="G553" s="65" t="s">
        <v>156</v>
      </c>
      <c r="H553" s="65" t="s">
        <v>139</v>
      </c>
      <c r="I553" s="76"/>
      <c r="J553" s="82"/>
      <c r="K553" s="66"/>
      <c r="L553" s="61">
        <f t="shared" si="17"/>
        <v>0</v>
      </c>
      <c r="M553" s="72"/>
      <c r="N553" s="73"/>
      <c r="O553" s="52"/>
      <c r="P553" s="52"/>
      <c r="Q553" s="52"/>
      <c r="R553" s="52"/>
      <c r="S553" s="52"/>
      <c r="T553" s="52"/>
      <c r="U553" s="52"/>
      <c r="V553" s="52"/>
      <c r="W553" s="52"/>
      <c r="X553" s="52"/>
      <c r="Y553" s="52"/>
      <c r="Z553" s="52"/>
      <c r="AA553" s="52"/>
      <c r="AB553" s="52"/>
      <c r="AC553" s="52"/>
      <c r="AD553" s="52"/>
      <c r="AE553" s="52"/>
      <c r="AF553" s="52"/>
      <c r="AG553" s="52"/>
      <c r="AH553" s="52"/>
      <c r="AI553" s="52"/>
      <c r="AJ553" s="52"/>
      <c r="AK553" s="52"/>
      <c r="AL553" s="52"/>
      <c r="AM553" s="52"/>
      <c r="AN553" s="52"/>
      <c r="AO553" s="52"/>
      <c r="AP553" s="52"/>
      <c r="AQ553" s="52"/>
      <c r="AR553" s="52"/>
      <c r="AS553" s="52"/>
    </row>
    <row r="554" spans="1:45" s="64" customFormat="1" hidden="1">
      <c r="A554" s="65" t="s">
        <v>376</v>
      </c>
      <c r="B554" s="65" t="s">
        <v>377</v>
      </c>
      <c r="C554" s="83" t="str">
        <f t="shared" si="16"/>
        <v>MW Master Chart April 2016 - Legal/Regulatory</v>
      </c>
      <c r="D554" s="65">
        <v>232100</v>
      </c>
      <c r="E554" s="65" t="s">
        <v>232</v>
      </c>
      <c r="F554" s="65" t="s">
        <v>155</v>
      </c>
      <c r="G554" s="65" t="s">
        <v>156</v>
      </c>
      <c r="H554" s="65" t="s">
        <v>139</v>
      </c>
      <c r="I554" s="76"/>
      <c r="J554" s="82"/>
      <c r="K554" s="66"/>
      <c r="L554" s="61">
        <f t="shared" si="17"/>
        <v>0</v>
      </c>
      <c r="M554" s="72"/>
      <c r="N554" s="73"/>
      <c r="O554" s="52"/>
      <c r="P554" s="52"/>
      <c r="Q554" s="52"/>
      <c r="R554" s="52"/>
      <c r="S554" s="52"/>
      <c r="T554" s="52"/>
      <c r="U554" s="52"/>
      <c r="V554" s="52"/>
      <c r="W554" s="52"/>
      <c r="X554" s="52"/>
      <c r="Y554" s="52"/>
      <c r="Z554" s="52"/>
      <c r="AA554" s="52"/>
      <c r="AB554" s="52"/>
      <c r="AC554" s="52"/>
      <c r="AD554" s="52"/>
      <c r="AE554" s="52"/>
      <c r="AF554" s="52"/>
      <c r="AG554" s="52"/>
      <c r="AH554" s="52"/>
      <c r="AI554" s="52"/>
      <c r="AJ554" s="52"/>
      <c r="AK554" s="52"/>
      <c r="AL554" s="52"/>
      <c r="AM554" s="52"/>
      <c r="AN554" s="52"/>
      <c r="AO554" s="52"/>
      <c r="AP554" s="52"/>
      <c r="AQ554" s="52"/>
      <c r="AR554" s="52"/>
      <c r="AS554" s="52"/>
    </row>
    <row r="555" spans="1:45" s="64" customFormat="1" hidden="1">
      <c r="A555" s="65" t="s">
        <v>376</v>
      </c>
      <c r="B555" s="65" t="s">
        <v>377</v>
      </c>
      <c r="C555" s="83" t="str">
        <f t="shared" si="16"/>
        <v>MW Master Chart April 2016 - Legal/Regulatory</v>
      </c>
      <c r="D555" s="65">
        <v>232110</v>
      </c>
      <c r="E555" s="65" t="s">
        <v>248</v>
      </c>
      <c r="F555" s="65" t="s">
        <v>155</v>
      </c>
      <c r="G555" s="65" t="s">
        <v>156</v>
      </c>
      <c r="H555" s="65" t="s">
        <v>139</v>
      </c>
      <c r="I555" s="76"/>
      <c r="J555" s="82"/>
      <c r="K555" s="66"/>
      <c r="L555" s="61">
        <f t="shared" si="17"/>
        <v>0</v>
      </c>
      <c r="M555" s="72"/>
      <c r="N555" s="73"/>
      <c r="O555" s="52"/>
      <c r="P555" s="52"/>
      <c r="Q555" s="52"/>
      <c r="R555" s="52"/>
      <c r="S555" s="52"/>
      <c r="T555" s="52"/>
      <c r="U555" s="52"/>
      <c r="V555" s="52"/>
      <c r="W555" s="52"/>
      <c r="X555" s="52"/>
      <c r="Y555" s="52"/>
      <c r="Z555" s="52"/>
      <c r="AA555" s="52"/>
      <c r="AB555" s="52"/>
      <c r="AC555" s="52"/>
      <c r="AD555" s="52"/>
      <c r="AE555" s="52"/>
      <c r="AF555" s="52"/>
      <c r="AG555" s="52"/>
      <c r="AH555" s="52"/>
      <c r="AI555" s="52"/>
      <c r="AJ555" s="52"/>
      <c r="AK555" s="52"/>
      <c r="AL555" s="52"/>
      <c r="AM555" s="52"/>
      <c r="AN555" s="52"/>
      <c r="AO555" s="52"/>
      <c r="AP555" s="52"/>
      <c r="AQ555" s="52"/>
      <c r="AR555" s="52"/>
      <c r="AS555" s="52"/>
    </row>
    <row r="556" spans="1:45" s="64" customFormat="1" hidden="1">
      <c r="A556" s="65" t="s">
        <v>376</v>
      </c>
      <c r="B556" s="65" t="s">
        <v>377</v>
      </c>
      <c r="C556" s="83" t="str">
        <f t="shared" si="16"/>
        <v>MW Master Chart April 2016 - Legal/Regulatory</v>
      </c>
      <c r="D556" s="65">
        <v>232120</v>
      </c>
      <c r="E556" s="65" t="s">
        <v>254</v>
      </c>
      <c r="F556" s="65" t="s">
        <v>155</v>
      </c>
      <c r="G556" s="65" t="s">
        <v>156</v>
      </c>
      <c r="H556" s="65" t="s">
        <v>139</v>
      </c>
      <c r="I556" s="76"/>
      <c r="J556" s="82"/>
      <c r="K556" s="66"/>
      <c r="L556" s="61">
        <f t="shared" si="17"/>
        <v>0</v>
      </c>
      <c r="M556" s="72"/>
      <c r="N556" s="73"/>
      <c r="O556" s="52"/>
      <c r="P556" s="52"/>
      <c r="Q556" s="52"/>
      <c r="R556" s="52"/>
      <c r="S556" s="52"/>
      <c r="T556" s="52"/>
      <c r="U556" s="52"/>
      <c r="V556" s="52"/>
      <c r="W556" s="52"/>
      <c r="X556" s="52"/>
      <c r="Y556" s="52"/>
      <c r="Z556" s="52"/>
      <c r="AA556" s="52"/>
      <c r="AB556" s="52"/>
      <c r="AC556" s="52"/>
      <c r="AD556" s="52"/>
      <c r="AE556" s="52"/>
      <c r="AF556" s="52"/>
      <c r="AG556" s="52"/>
      <c r="AH556" s="52"/>
      <c r="AI556" s="52"/>
      <c r="AJ556" s="52"/>
      <c r="AK556" s="52"/>
      <c r="AL556" s="52"/>
      <c r="AM556" s="52"/>
      <c r="AN556" s="52"/>
      <c r="AO556" s="52"/>
      <c r="AP556" s="52"/>
      <c r="AQ556" s="52"/>
      <c r="AR556" s="52"/>
      <c r="AS556" s="52"/>
    </row>
    <row r="557" spans="1:45" s="64" customFormat="1" hidden="1">
      <c r="A557" s="65" t="s">
        <v>376</v>
      </c>
      <c r="B557" s="65" t="s">
        <v>377</v>
      </c>
      <c r="C557" s="83" t="str">
        <f t="shared" si="16"/>
        <v>MW Master Chart April 2016 - Legal/Regulatory</v>
      </c>
      <c r="D557" s="65">
        <v>232130</v>
      </c>
      <c r="E557" s="65" t="s">
        <v>255</v>
      </c>
      <c r="F557" s="65" t="s">
        <v>155</v>
      </c>
      <c r="G557" s="65" t="s">
        <v>156</v>
      </c>
      <c r="H557" s="65" t="s">
        <v>139</v>
      </c>
      <c r="I557" s="76"/>
      <c r="J557" s="82"/>
      <c r="K557" s="66"/>
      <c r="L557" s="61">
        <f t="shared" si="17"/>
        <v>0</v>
      </c>
      <c r="M557" s="72"/>
      <c r="N557" s="73"/>
      <c r="O557" s="52"/>
      <c r="P557" s="52"/>
      <c r="Q557" s="52"/>
      <c r="R557" s="52"/>
      <c r="S557" s="52"/>
      <c r="T557" s="52"/>
      <c r="U557" s="52"/>
      <c r="V557" s="52"/>
      <c r="W557" s="52"/>
      <c r="X557" s="52"/>
      <c r="Y557" s="52"/>
      <c r="Z557" s="52"/>
      <c r="AA557" s="52"/>
      <c r="AB557" s="52"/>
      <c r="AC557" s="52"/>
      <c r="AD557" s="52"/>
      <c r="AE557" s="52"/>
      <c r="AF557" s="52"/>
      <c r="AG557" s="52"/>
      <c r="AH557" s="52"/>
      <c r="AI557" s="52"/>
      <c r="AJ557" s="52"/>
      <c r="AK557" s="52"/>
      <c r="AL557" s="52"/>
      <c r="AM557" s="52"/>
      <c r="AN557" s="52"/>
      <c r="AO557" s="52"/>
      <c r="AP557" s="52"/>
      <c r="AQ557" s="52"/>
      <c r="AR557" s="52"/>
      <c r="AS557" s="52"/>
    </row>
    <row r="558" spans="1:45" s="64" customFormat="1" hidden="1">
      <c r="A558" s="65" t="s">
        <v>376</v>
      </c>
      <c r="B558" s="65" t="s">
        <v>377</v>
      </c>
      <c r="C558" s="83" t="str">
        <f t="shared" si="16"/>
        <v>MW Master Chart April 2016 - Legal/Regulatory</v>
      </c>
      <c r="D558" s="65">
        <v>232140</v>
      </c>
      <c r="E558" s="65" t="s">
        <v>233</v>
      </c>
      <c r="F558" s="65" t="s">
        <v>155</v>
      </c>
      <c r="G558" s="65" t="s">
        <v>156</v>
      </c>
      <c r="H558" s="65" t="s">
        <v>139</v>
      </c>
      <c r="I558" s="76"/>
      <c r="J558" s="82"/>
      <c r="K558" s="66"/>
      <c r="L558" s="61">
        <f t="shared" si="17"/>
        <v>0</v>
      </c>
      <c r="M558" s="72"/>
      <c r="N558" s="73"/>
      <c r="O558" s="52"/>
      <c r="P558" s="52"/>
      <c r="Q558" s="52"/>
      <c r="R558" s="52"/>
      <c r="S558" s="52"/>
      <c r="T558" s="52"/>
      <c r="U558" s="52"/>
      <c r="V558" s="52"/>
      <c r="W558" s="52"/>
      <c r="X558" s="52"/>
      <c r="Y558" s="52"/>
      <c r="Z558" s="52"/>
      <c r="AA558" s="52"/>
      <c r="AB558" s="52"/>
      <c r="AC558" s="52"/>
      <c r="AD558" s="52"/>
      <c r="AE558" s="52"/>
      <c r="AF558" s="52"/>
      <c r="AG558" s="52"/>
      <c r="AH558" s="52"/>
      <c r="AI558" s="52"/>
      <c r="AJ558" s="52"/>
      <c r="AK558" s="52"/>
      <c r="AL558" s="52"/>
      <c r="AM558" s="52"/>
      <c r="AN558" s="52"/>
      <c r="AO558" s="52"/>
      <c r="AP558" s="52"/>
      <c r="AQ558" s="52"/>
      <c r="AR558" s="52"/>
      <c r="AS558" s="52"/>
    </row>
    <row r="559" spans="1:45" s="64" customFormat="1" hidden="1">
      <c r="A559" s="65" t="s">
        <v>376</v>
      </c>
      <c r="B559" s="65" t="s">
        <v>377</v>
      </c>
      <c r="C559" s="83" t="str">
        <f t="shared" si="16"/>
        <v>MW Master Chart April 2016 - Legal/Regulatory</v>
      </c>
      <c r="D559" s="65">
        <v>232300</v>
      </c>
      <c r="E559" s="65" t="s">
        <v>432</v>
      </c>
      <c r="F559" s="65" t="s">
        <v>155</v>
      </c>
      <c r="G559" s="65" t="s">
        <v>156</v>
      </c>
      <c r="H559" s="65" t="s">
        <v>139</v>
      </c>
      <c r="I559" s="76"/>
      <c r="J559" s="82"/>
      <c r="K559" s="66"/>
      <c r="L559" s="61">
        <f t="shared" si="17"/>
        <v>0</v>
      </c>
      <c r="M559" s="72"/>
      <c r="N559" s="73"/>
      <c r="O559" s="52"/>
      <c r="P559" s="52"/>
      <c r="Q559" s="52"/>
      <c r="R559" s="52"/>
      <c r="S559" s="52"/>
      <c r="T559" s="52"/>
      <c r="U559" s="52"/>
      <c r="V559" s="52"/>
      <c r="W559" s="52"/>
      <c r="X559" s="52"/>
      <c r="Y559" s="52"/>
      <c r="Z559" s="52"/>
      <c r="AA559" s="52"/>
      <c r="AB559" s="52"/>
      <c r="AC559" s="52"/>
      <c r="AD559" s="52"/>
      <c r="AE559" s="52"/>
      <c r="AF559" s="52"/>
      <c r="AG559" s="52"/>
      <c r="AH559" s="52"/>
      <c r="AI559" s="52"/>
      <c r="AJ559" s="52"/>
      <c r="AK559" s="52"/>
      <c r="AL559" s="52"/>
      <c r="AM559" s="52"/>
      <c r="AN559" s="52"/>
      <c r="AO559" s="52"/>
      <c r="AP559" s="52"/>
      <c r="AQ559" s="52"/>
      <c r="AR559" s="52"/>
      <c r="AS559" s="52"/>
    </row>
    <row r="560" spans="1:45" s="64" customFormat="1" hidden="1">
      <c r="A560" s="65" t="s">
        <v>376</v>
      </c>
      <c r="B560" s="65" t="s">
        <v>377</v>
      </c>
      <c r="C560" s="83" t="str">
        <f t="shared" si="16"/>
        <v>MW Master Chart April 2016 - Legal/Regulatory</v>
      </c>
      <c r="D560" s="65">
        <v>232400</v>
      </c>
      <c r="E560" s="65" t="s">
        <v>433</v>
      </c>
      <c r="F560" s="65" t="s">
        <v>155</v>
      </c>
      <c r="G560" s="65" t="s">
        <v>156</v>
      </c>
      <c r="H560" s="65" t="s">
        <v>139</v>
      </c>
      <c r="I560" s="76"/>
      <c r="J560" s="82"/>
      <c r="K560" s="66"/>
      <c r="L560" s="61">
        <f t="shared" si="17"/>
        <v>0</v>
      </c>
      <c r="M560" s="72"/>
      <c r="N560" s="73"/>
      <c r="O560" s="52"/>
      <c r="P560" s="52"/>
      <c r="Q560" s="52"/>
      <c r="R560" s="52"/>
      <c r="S560" s="52"/>
      <c r="T560" s="52"/>
      <c r="U560" s="52"/>
      <c r="V560" s="52"/>
      <c r="W560" s="52"/>
      <c r="X560" s="52"/>
      <c r="Y560" s="52"/>
      <c r="Z560" s="52"/>
      <c r="AA560" s="52"/>
      <c r="AB560" s="52"/>
      <c r="AC560" s="52"/>
      <c r="AD560" s="52"/>
      <c r="AE560" s="52"/>
      <c r="AF560" s="52"/>
      <c r="AG560" s="52"/>
      <c r="AH560" s="52"/>
      <c r="AI560" s="52"/>
      <c r="AJ560" s="52"/>
      <c r="AK560" s="52"/>
      <c r="AL560" s="52"/>
      <c r="AM560" s="52"/>
      <c r="AN560" s="52"/>
      <c r="AO560" s="52"/>
      <c r="AP560" s="52"/>
      <c r="AQ560" s="52"/>
      <c r="AR560" s="52"/>
      <c r="AS560" s="52"/>
    </row>
    <row r="561" spans="1:45" s="64" customFormat="1" hidden="1">
      <c r="A561" s="65" t="s">
        <v>376</v>
      </c>
      <c r="B561" s="65" t="s">
        <v>377</v>
      </c>
      <c r="C561" s="83" t="str">
        <f t="shared" si="16"/>
        <v>MW Master Chart April 2016 - Public Records Request</v>
      </c>
      <c r="D561" s="65">
        <v>241000</v>
      </c>
      <c r="E561" s="65" t="s">
        <v>213</v>
      </c>
      <c r="F561" s="65" t="s">
        <v>168</v>
      </c>
      <c r="G561" s="65" t="s">
        <v>169</v>
      </c>
      <c r="H561" s="65" t="s">
        <v>139</v>
      </c>
      <c r="I561" s="76"/>
      <c r="J561" s="82"/>
      <c r="K561" s="66"/>
      <c r="L561" s="61">
        <f t="shared" si="17"/>
        <v>0</v>
      </c>
      <c r="M561" s="72"/>
      <c r="N561" s="73"/>
      <c r="O561" s="52"/>
      <c r="P561" s="52"/>
      <c r="Q561" s="52"/>
      <c r="R561" s="52"/>
      <c r="S561" s="52"/>
      <c r="T561" s="52"/>
      <c r="U561" s="52"/>
      <c r="V561" s="52"/>
      <c r="W561" s="52"/>
      <c r="X561" s="52"/>
      <c r="Y561" s="52"/>
      <c r="Z561" s="52"/>
      <c r="AA561" s="52"/>
      <c r="AB561" s="52"/>
      <c r="AC561" s="52"/>
      <c r="AD561" s="52"/>
      <c r="AE561" s="52"/>
      <c r="AF561" s="52"/>
      <c r="AG561" s="52"/>
      <c r="AH561" s="52"/>
      <c r="AI561" s="52"/>
      <c r="AJ561" s="52"/>
      <c r="AK561" s="52"/>
      <c r="AL561" s="52"/>
      <c r="AM561" s="52"/>
      <c r="AN561" s="52"/>
      <c r="AO561" s="52"/>
      <c r="AP561" s="52"/>
      <c r="AQ561" s="52"/>
      <c r="AR561" s="52"/>
      <c r="AS561" s="52"/>
    </row>
    <row r="562" spans="1:45" s="64" customFormat="1" hidden="1">
      <c r="A562" s="65" t="s">
        <v>376</v>
      </c>
      <c r="B562" s="65" t="s">
        <v>377</v>
      </c>
      <c r="C562" s="83" t="str">
        <f t="shared" si="16"/>
        <v>MW Master Chart April 2016 - Outreach</v>
      </c>
      <c r="D562" s="65">
        <v>251000</v>
      </c>
      <c r="E562" s="65" t="s">
        <v>214</v>
      </c>
      <c r="F562" s="65" t="s">
        <v>168</v>
      </c>
      <c r="G562" s="65" t="s">
        <v>169</v>
      </c>
      <c r="H562" s="65" t="s">
        <v>139</v>
      </c>
      <c r="I562" s="76"/>
      <c r="J562" s="82"/>
      <c r="K562" s="66"/>
      <c r="L562" s="61">
        <f t="shared" si="17"/>
        <v>0</v>
      </c>
      <c r="M562" s="72"/>
      <c r="N562" s="73"/>
      <c r="O562" s="52"/>
      <c r="P562" s="52"/>
      <c r="Q562" s="52"/>
      <c r="R562" s="52"/>
      <c r="S562" s="52"/>
      <c r="T562" s="52"/>
      <c r="U562" s="52"/>
      <c r="V562" s="52"/>
      <c r="W562" s="52"/>
      <c r="X562" s="52"/>
      <c r="Y562" s="52"/>
      <c r="Z562" s="52"/>
      <c r="AA562" s="52"/>
      <c r="AB562" s="52"/>
      <c r="AC562" s="52"/>
      <c r="AD562" s="52"/>
      <c r="AE562" s="52"/>
      <c r="AF562" s="52"/>
      <c r="AG562" s="52"/>
      <c r="AH562" s="52"/>
      <c r="AI562" s="52"/>
      <c r="AJ562" s="52"/>
      <c r="AK562" s="52"/>
      <c r="AL562" s="52"/>
      <c r="AM562" s="52"/>
      <c r="AN562" s="52"/>
      <c r="AO562" s="52"/>
      <c r="AP562" s="52"/>
      <c r="AQ562" s="52"/>
      <c r="AR562" s="52"/>
      <c r="AS562" s="52"/>
    </row>
    <row r="563" spans="1:45" s="64" customFormat="1" hidden="1">
      <c r="A563" s="65" t="s">
        <v>376</v>
      </c>
      <c r="B563" s="65" t="s">
        <v>377</v>
      </c>
      <c r="C563" s="83" t="str">
        <f t="shared" si="16"/>
        <v>MW Master Chart April 2016 - Outreach</v>
      </c>
      <c r="D563" s="65">
        <v>251010</v>
      </c>
      <c r="E563" s="65" t="s">
        <v>215</v>
      </c>
      <c r="F563" s="65" t="s">
        <v>168</v>
      </c>
      <c r="G563" s="65" t="s">
        <v>169</v>
      </c>
      <c r="H563" s="65" t="s">
        <v>139</v>
      </c>
      <c r="I563" s="76"/>
      <c r="J563" s="82"/>
      <c r="K563" s="66"/>
      <c r="L563" s="61">
        <f t="shared" si="17"/>
        <v>0</v>
      </c>
      <c r="M563" s="72"/>
      <c r="N563" s="73"/>
      <c r="O563" s="52"/>
      <c r="P563" s="52"/>
      <c r="Q563" s="52"/>
      <c r="R563" s="52"/>
      <c r="S563" s="52"/>
      <c r="T563" s="52"/>
      <c r="U563" s="52"/>
      <c r="V563" s="52"/>
      <c r="W563" s="52"/>
      <c r="X563" s="52"/>
      <c r="Y563" s="52"/>
      <c r="Z563" s="52"/>
      <c r="AA563" s="52"/>
      <c r="AB563" s="52"/>
      <c r="AC563" s="52"/>
      <c r="AD563" s="52"/>
      <c r="AE563" s="52"/>
      <c r="AF563" s="52"/>
      <c r="AG563" s="52"/>
      <c r="AH563" s="52"/>
      <c r="AI563" s="52"/>
      <c r="AJ563" s="52"/>
      <c r="AK563" s="52"/>
      <c r="AL563" s="52"/>
      <c r="AM563" s="52"/>
      <c r="AN563" s="52"/>
      <c r="AO563" s="52"/>
      <c r="AP563" s="52"/>
      <c r="AQ563" s="52"/>
      <c r="AR563" s="52"/>
      <c r="AS563" s="52"/>
    </row>
    <row r="564" spans="1:45" s="64" customFormat="1" hidden="1">
      <c r="A564" s="65" t="s">
        <v>376</v>
      </c>
      <c r="B564" s="65" t="s">
        <v>377</v>
      </c>
      <c r="C564" s="83" t="str">
        <f t="shared" si="16"/>
        <v>MW Master Chart April 2016 - Documentation</v>
      </c>
      <c r="D564" s="65">
        <v>261000</v>
      </c>
      <c r="E564" s="65" t="s">
        <v>190</v>
      </c>
      <c r="F564" s="65" t="s">
        <v>155</v>
      </c>
      <c r="G564" s="65" t="s">
        <v>156</v>
      </c>
      <c r="H564" s="65" t="s">
        <v>139</v>
      </c>
      <c r="I564" s="76"/>
      <c r="J564" s="82"/>
      <c r="K564" s="66"/>
      <c r="L564" s="61">
        <f t="shared" si="17"/>
        <v>0</v>
      </c>
      <c r="M564" s="72"/>
      <c r="N564" s="73"/>
      <c r="O564" s="52"/>
      <c r="P564" s="52"/>
      <c r="Q564" s="52"/>
      <c r="R564" s="52"/>
      <c r="S564" s="52"/>
      <c r="T564" s="52"/>
      <c r="U564" s="52"/>
      <c r="V564" s="52"/>
      <c r="W564" s="52"/>
      <c r="X564" s="52"/>
      <c r="Y564" s="52"/>
      <c r="Z564" s="52"/>
      <c r="AA564" s="52"/>
      <c r="AB564" s="52"/>
      <c r="AC564" s="52"/>
      <c r="AD564" s="52"/>
      <c r="AE564" s="52"/>
      <c r="AF564" s="52"/>
      <c r="AG564" s="52"/>
      <c r="AH564" s="52"/>
      <c r="AI564" s="52"/>
      <c r="AJ564" s="52"/>
      <c r="AK564" s="52"/>
      <c r="AL564" s="52"/>
      <c r="AM564" s="52"/>
      <c r="AN564" s="52"/>
      <c r="AO564" s="52"/>
      <c r="AP564" s="52"/>
      <c r="AQ564" s="52"/>
      <c r="AR564" s="52"/>
      <c r="AS564" s="52"/>
    </row>
    <row r="565" spans="1:45" s="64" customFormat="1" hidden="1">
      <c r="A565" s="65" t="s">
        <v>376</v>
      </c>
      <c r="B565" s="65" t="s">
        <v>377</v>
      </c>
      <c r="C565" s="83" t="str">
        <f t="shared" si="16"/>
        <v>MW Master Chart April 2016 - Documentation</v>
      </c>
      <c r="D565" s="65">
        <v>261400</v>
      </c>
      <c r="E565" s="65" t="s">
        <v>191</v>
      </c>
      <c r="F565" s="65" t="s">
        <v>155</v>
      </c>
      <c r="G565" s="65" t="s">
        <v>156</v>
      </c>
      <c r="H565" s="65" t="s">
        <v>139</v>
      </c>
      <c r="I565" s="76"/>
      <c r="J565" s="82"/>
      <c r="K565" s="66"/>
      <c r="L565" s="61">
        <f t="shared" si="17"/>
        <v>0</v>
      </c>
      <c r="M565" s="72"/>
      <c r="N565" s="73"/>
      <c r="O565" s="52"/>
      <c r="P565" s="52"/>
      <c r="Q565" s="52"/>
      <c r="R565" s="52"/>
      <c r="S565" s="52"/>
      <c r="T565" s="52"/>
      <c r="U565" s="52"/>
      <c r="V565" s="52"/>
      <c r="W565" s="52"/>
      <c r="X565" s="52"/>
      <c r="Y565" s="52"/>
      <c r="Z565" s="52"/>
      <c r="AA565" s="52"/>
      <c r="AB565" s="52"/>
      <c r="AC565" s="52"/>
      <c r="AD565" s="52"/>
      <c r="AE565" s="52"/>
      <c r="AF565" s="52"/>
      <c r="AG565" s="52"/>
      <c r="AH565" s="52"/>
      <c r="AI565" s="52"/>
      <c r="AJ565" s="52"/>
      <c r="AK565" s="52"/>
      <c r="AL565" s="52"/>
      <c r="AM565" s="52"/>
      <c r="AN565" s="52"/>
      <c r="AO565" s="52"/>
      <c r="AP565" s="52"/>
      <c r="AQ565" s="52"/>
      <c r="AR565" s="52"/>
      <c r="AS565" s="52"/>
    </row>
    <row r="566" spans="1:45" s="64" customFormat="1" hidden="1">
      <c r="A566" s="65" t="s">
        <v>376</v>
      </c>
      <c r="B566" s="65" t="s">
        <v>377</v>
      </c>
      <c r="C566" s="83" t="str">
        <f t="shared" si="16"/>
        <v>MW Master Chart April 2016 - Records Management</v>
      </c>
      <c r="D566" s="65">
        <v>271000</v>
      </c>
      <c r="E566" s="65" t="s">
        <v>239</v>
      </c>
      <c r="F566" s="65" t="s">
        <v>155</v>
      </c>
      <c r="G566" s="65" t="s">
        <v>156</v>
      </c>
      <c r="H566" s="65" t="s">
        <v>139</v>
      </c>
      <c r="I566" s="76"/>
      <c r="J566" s="82"/>
      <c r="K566" s="66"/>
      <c r="L566" s="61">
        <f t="shared" si="17"/>
        <v>0</v>
      </c>
      <c r="M566" s="72"/>
      <c r="N566" s="73"/>
      <c r="O566" s="52"/>
      <c r="P566" s="52"/>
      <c r="Q566" s="52"/>
      <c r="R566" s="52"/>
      <c r="S566" s="52"/>
      <c r="T566" s="52"/>
      <c r="U566" s="52"/>
      <c r="V566" s="52"/>
      <c r="W566" s="52"/>
      <c r="X566" s="52"/>
      <c r="Y566" s="52"/>
      <c r="Z566" s="52"/>
      <c r="AA566" s="52"/>
      <c r="AB566" s="52"/>
      <c r="AC566" s="52"/>
      <c r="AD566" s="52"/>
      <c r="AE566" s="52"/>
      <c r="AF566" s="52"/>
      <c r="AG566" s="52"/>
      <c r="AH566" s="52"/>
      <c r="AI566" s="52"/>
      <c r="AJ566" s="52"/>
      <c r="AK566" s="52"/>
      <c r="AL566" s="52"/>
      <c r="AM566" s="52"/>
      <c r="AN566" s="52"/>
      <c r="AO566" s="52"/>
      <c r="AP566" s="52"/>
      <c r="AQ566" s="52"/>
      <c r="AR566" s="52"/>
      <c r="AS566" s="52"/>
    </row>
    <row r="567" spans="1:45" s="64" customFormat="1" hidden="1">
      <c r="A567" s="65" t="s">
        <v>376</v>
      </c>
      <c r="B567" s="65" t="s">
        <v>377</v>
      </c>
      <c r="C567" s="83" t="str">
        <f t="shared" si="16"/>
        <v>MW Master Chart April 2016 - Records Management</v>
      </c>
      <c r="D567" s="65">
        <v>271100</v>
      </c>
      <c r="E567" s="65" t="s">
        <v>240</v>
      </c>
      <c r="F567" s="65" t="s">
        <v>155</v>
      </c>
      <c r="G567" s="65" t="s">
        <v>156</v>
      </c>
      <c r="H567" s="65" t="s">
        <v>139</v>
      </c>
      <c r="I567" s="76"/>
      <c r="J567" s="82"/>
      <c r="K567" s="66"/>
      <c r="L567" s="61">
        <f t="shared" si="17"/>
        <v>0</v>
      </c>
      <c r="M567" s="72"/>
      <c r="N567" s="73"/>
      <c r="O567" s="52"/>
      <c r="P567" s="52"/>
      <c r="Q567" s="52"/>
      <c r="R567" s="52"/>
      <c r="S567" s="52"/>
      <c r="T567" s="52"/>
      <c r="U567" s="52"/>
      <c r="V567" s="52"/>
      <c r="W567" s="52"/>
      <c r="X567" s="52"/>
      <c r="Y567" s="52"/>
      <c r="Z567" s="52"/>
      <c r="AA567" s="52"/>
      <c r="AB567" s="52"/>
      <c r="AC567" s="52"/>
      <c r="AD567" s="52"/>
      <c r="AE567" s="52"/>
      <c r="AF567" s="52"/>
      <c r="AG567" s="52"/>
      <c r="AH567" s="52"/>
      <c r="AI567" s="52"/>
      <c r="AJ567" s="52"/>
      <c r="AK567" s="52"/>
      <c r="AL567" s="52"/>
      <c r="AM567" s="52"/>
      <c r="AN567" s="52"/>
      <c r="AO567" s="52"/>
      <c r="AP567" s="52"/>
      <c r="AQ567" s="52"/>
      <c r="AR567" s="52"/>
      <c r="AS567" s="52"/>
    </row>
    <row r="568" spans="1:45" s="64" customFormat="1" hidden="1">
      <c r="A568" s="65" t="s">
        <v>376</v>
      </c>
      <c r="B568" s="65" t="s">
        <v>377</v>
      </c>
      <c r="C568" s="83" t="str">
        <f t="shared" si="16"/>
        <v>MW Master Chart April 2016 - Records Management</v>
      </c>
      <c r="D568" s="65">
        <v>271300</v>
      </c>
      <c r="E568" s="65" t="s">
        <v>241</v>
      </c>
      <c r="F568" s="65" t="s">
        <v>155</v>
      </c>
      <c r="G568" s="65" t="s">
        <v>156</v>
      </c>
      <c r="H568" s="65" t="s">
        <v>139</v>
      </c>
      <c r="I568" s="76"/>
      <c r="J568" s="82"/>
      <c r="K568" s="66"/>
      <c r="L568" s="61">
        <f t="shared" si="17"/>
        <v>0</v>
      </c>
      <c r="M568" s="72"/>
      <c r="N568" s="73"/>
      <c r="O568" s="52"/>
      <c r="P568" s="52"/>
      <c r="Q568" s="52"/>
      <c r="R568" s="52"/>
      <c r="S568" s="52"/>
      <c r="T568" s="52"/>
      <c r="U568" s="52"/>
      <c r="V568" s="52"/>
      <c r="W568" s="52"/>
      <c r="X568" s="52"/>
      <c r="Y568" s="52"/>
      <c r="Z568" s="52"/>
      <c r="AA568" s="52"/>
      <c r="AB568" s="52"/>
      <c r="AC568" s="52"/>
      <c r="AD568" s="52"/>
      <c r="AE568" s="52"/>
      <c r="AF568" s="52"/>
      <c r="AG568" s="52"/>
      <c r="AH568" s="52"/>
      <c r="AI568" s="52"/>
      <c r="AJ568" s="52"/>
      <c r="AK568" s="52"/>
      <c r="AL568" s="52"/>
      <c r="AM568" s="52"/>
      <c r="AN568" s="52"/>
      <c r="AO568" s="52"/>
      <c r="AP568" s="52"/>
      <c r="AQ568" s="52"/>
      <c r="AR568" s="52"/>
      <c r="AS568" s="52"/>
    </row>
    <row r="569" spans="1:45" s="64" customFormat="1" hidden="1">
      <c r="A569" s="65" t="s">
        <v>376</v>
      </c>
      <c r="B569" s="65" t="s">
        <v>377</v>
      </c>
      <c r="C569" s="83" t="str">
        <f t="shared" si="16"/>
        <v>MW Master Chart April 2016 - Testing</v>
      </c>
      <c r="D569" s="65">
        <v>281000</v>
      </c>
      <c r="E569" s="65" t="s">
        <v>192</v>
      </c>
      <c r="F569" s="65" t="s">
        <v>155</v>
      </c>
      <c r="G569" s="65" t="s">
        <v>156</v>
      </c>
      <c r="H569" s="65" t="s">
        <v>139</v>
      </c>
      <c r="I569" s="76"/>
      <c r="J569" s="82"/>
      <c r="K569" s="66"/>
      <c r="L569" s="61">
        <f t="shared" si="17"/>
        <v>0</v>
      </c>
      <c r="M569" s="72"/>
      <c r="N569" s="73"/>
      <c r="O569" s="52"/>
      <c r="P569" s="52"/>
      <c r="Q569" s="52"/>
      <c r="R569" s="52"/>
      <c r="S569" s="52"/>
      <c r="T569" s="52"/>
      <c r="U569" s="52"/>
      <c r="V569" s="52"/>
      <c r="W569" s="52"/>
      <c r="X569" s="52"/>
      <c r="Y569" s="52"/>
      <c r="Z569" s="52"/>
      <c r="AA569" s="52"/>
      <c r="AB569" s="52"/>
      <c r="AC569" s="52"/>
      <c r="AD569" s="52"/>
      <c r="AE569" s="52"/>
      <c r="AF569" s="52"/>
      <c r="AG569" s="52"/>
      <c r="AH569" s="52"/>
      <c r="AI569" s="52"/>
      <c r="AJ569" s="52"/>
      <c r="AK569" s="52"/>
      <c r="AL569" s="52"/>
      <c r="AM569" s="52"/>
      <c r="AN569" s="52"/>
      <c r="AO569" s="52"/>
      <c r="AP569" s="52"/>
      <c r="AQ569" s="52"/>
      <c r="AR569" s="52"/>
      <c r="AS569" s="52"/>
    </row>
    <row r="570" spans="1:45" s="64" customFormat="1" hidden="1">
      <c r="A570" s="65" t="s">
        <v>376</v>
      </c>
      <c r="B570" s="65" t="s">
        <v>377</v>
      </c>
      <c r="C570" s="83" t="str">
        <f t="shared" si="16"/>
        <v>MW Master Chart April 2016 - Training</v>
      </c>
      <c r="D570" s="65">
        <v>291000</v>
      </c>
      <c r="E570" s="65" t="s">
        <v>193</v>
      </c>
      <c r="F570" s="65" t="s">
        <v>155</v>
      </c>
      <c r="G570" s="65" t="s">
        <v>156</v>
      </c>
      <c r="H570" s="65" t="s">
        <v>139</v>
      </c>
      <c r="I570" s="76"/>
      <c r="J570" s="82"/>
      <c r="K570" s="66"/>
      <c r="L570" s="61">
        <f t="shared" si="17"/>
        <v>0</v>
      </c>
      <c r="M570" s="72"/>
      <c r="N570" s="73"/>
      <c r="O570" s="52"/>
      <c r="P570" s="52"/>
      <c r="Q570" s="52"/>
      <c r="R570" s="52"/>
      <c r="S570" s="52"/>
      <c r="T570" s="52"/>
      <c r="U570" s="52"/>
      <c r="V570" s="52"/>
      <c r="W570" s="52"/>
      <c r="X570" s="52"/>
      <c r="Y570" s="52"/>
      <c r="Z570" s="52"/>
      <c r="AA570" s="52"/>
      <c r="AB570" s="52"/>
      <c r="AC570" s="52"/>
      <c r="AD570" s="52"/>
      <c r="AE570" s="52"/>
      <c r="AF570" s="52"/>
      <c r="AG570" s="52"/>
      <c r="AH570" s="52"/>
      <c r="AI570" s="52"/>
      <c r="AJ570" s="52"/>
      <c r="AK570" s="52"/>
      <c r="AL570" s="52"/>
      <c r="AM570" s="52"/>
      <c r="AN570" s="52"/>
      <c r="AO570" s="52"/>
      <c r="AP570" s="52"/>
      <c r="AQ570" s="52"/>
      <c r="AR570" s="52"/>
      <c r="AS570" s="52"/>
    </row>
    <row r="571" spans="1:45" s="64" customFormat="1" hidden="1">
      <c r="A571" s="65" t="s">
        <v>376</v>
      </c>
      <c r="B571" s="65" t="s">
        <v>377</v>
      </c>
      <c r="C571" s="83" t="str">
        <f t="shared" si="16"/>
        <v>MW Master Chart April 2016 - Training</v>
      </c>
      <c r="D571" s="65">
        <v>291100</v>
      </c>
      <c r="E571" s="65" t="s">
        <v>434</v>
      </c>
      <c r="F571" s="65" t="s">
        <v>155</v>
      </c>
      <c r="G571" s="65" t="s">
        <v>156</v>
      </c>
      <c r="H571" s="65" t="s">
        <v>139</v>
      </c>
      <c r="I571" s="76"/>
      <c r="J571" s="82"/>
      <c r="K571" s="66"/>
      <c r="L571" s="61">
        <f t="shared" si="17"/>
        <v>0</v>
      </c>
      <c r="M571" s="72"/>
      <c r="N571" s="73"/>
      <c r="O571" s="52"/>
      <c r="P571" s="52"/>
      <c r="Q571" s="52"/>
      <c r="R571" s="52"/>
      <c r="S571" s="52"/>
      <c r="T571" s="52"/>
      <c r="U571" s="52"/>
      <c r="V571" s="52"/>
      <c r="W571" s="52"/>
      <c r="X571" s="52"/>
      <c r="Y571" s="52"/>
      <c r="Z571" s="52"/>
      <c r="AA571" s="52"/>
      <c r="AB571" s="52"/>
      <c r="AC571" s="52"/>
      <c r="AD571" s="52"/>
      <c r="AE571" s="52"/>
      <c r="AF571" s="52"/>
      <c r="AG571" s="52"/>
      <c r="AH571" s="52"/>
      <c r="AI571" s="52"/>
      <c r="AJ571" s="52"/>
      <c r="AK571" s="52"/>
      <c r="AL571" s="52"/>
      <c r="AM571" s="52"/>
      <c r="AN571" s="52"/>
      <c r="AO571" s="52"/>
      <c r="AP571" s="52"/>
      <c r="AQ571" s="52"/>
      <c r="AR571" s="52"/>
      <c r="AS571" s="52"/>
    </row>
    <row r="572" spans="1:45" s="64" customFormat="1" hidden="1">
      <c r="A572" s="65" t="s">
        <v>376</v>
      </c>
      <c r="B572" s="65" t="s">
        <v>377</v>
      </c>
      <c r="C572" s="83" t="str">
        <f t="shared" si="16"/>
        <v>MW Master Chart April 2016 - Training</v>
      </c>
      <c r="D572" s="65">
        <v>291200</v>
      </c>
      <c r="E572" s="65" t="s">
        <v>194</v>
      </c>
      <c r="F572" s="65" t="s">
        <v>155</v>
      </c>
      <c r="G572" s="65" t="s">
        <v>156</v>
      </c>
      <c r="H572" s="65" t="s">
        <v>139</v>
      </c>
      <c r="I572" s="76"/>
      <c r="J572" s="82"/>
      <c r="K572" s="66"/>
      <c r="L572" s="61">
        <f t="shared" si="17"/>
        <v>0</v>
      </c>
      <c r="M572" s="72"/>
      <c r="N572" s="73"/>
      <c r="O572" s="52"/>
      <c r="P572" s="52"/>
      <c r="Q572" s="52"/>
      <c r="R572" s="52"/>
      <c r="S572" s="52"/>
      <c r="T572" s="52"/>
      <c r="U572" s="52"/>
      <c r="V572" s="52"/>
      <c r="W572" s="52"/>
      <c r="X572" s="52"/>
      <c r="Y572" s="52"/>
      <c r="Z572" s="52"/>
      <c r="AA572" s="52"/>
      <c r="AB572" s="52"/>
      <c r="AC572" s="52"/>
      <c r="AD572" s="52"/>
      <c r="AE572" s="52"/>
      <c r="AF572" s="52"/>
      <c r="AG572" s="52"/>
      <c r="AH572" s="52"/>
      <c r="AI572" s="52"/>
      <c r="AJ572" s="52"/>
      <c r="AK572" s="52"/>
      <c r="AL572" s="52"/>
      <c r="AM572" s="52"/>
      <c r="AN572" s="52"/>
      <c r="AO572" s="52"/>
      <c r="AP572" s="52"/>
      <c r="AQ572" s="52"/>
      <c r="AR572" s="52"/>
      <c r="AS572" s="52"/>
    </row>
    <row r="573" spans="1:45" s="64" customFormat="1" hidden="1">
      <c r="A573" s="65" t="s">
        <v>376</v>
      </c>
      <c r="B573" s="65" t="s">
        <v>377</v>
      </c>
      <c r="C573" s="83" t="str">
        <f t="shared" si="16"/>
        <v>MW Master Chart April 2016 - Training</v>
      </c>
      <c r="D573" s="65">
        <v>291500</v>
      </c>
      <c r="E573" s="65" t="s">
        <v>435</v>
      </c>
      <c r="F573" s="65" t="s">
        <v>155</v>
      </c>
      <c r="G573" s="65" t="s">
        <v>156</v>
      </c>
      <c r="H573" s="65" t="s">
        <v>139</v>
      </c>
      <c r="I573" s="76"/>
      <c r="J573" s="82"/>
      <c r="K573" s="66"/>
      <c r="L573" s="61">
        <f t="shared" si="17"/>
        <v>0</v>
      </c>
      <c r="M573" s="72"/>
      <c r="N573" s="73"/>
      <c r="O573" s="52"/>
      <c r="P573" s="52"/>
      <c r="Q573" s="52"/>
      <c r="R573" s="52"/>
      <c r="S573" s="52"/>
      <c r="T573" s="52"/>
      <c r="U573" s="52"/>
      <c r="V573" s="52"/>
      <c r="W573" s="52"/>
      <c r="X573" s="52"/>
      <c r="Y573" s="52"/>
      <c r="Z573" s="52"/>
      <c r="AA573" s="52"/>
      <c r="AB573" s="52"/>
      <c r="AC573" s="52"/>
      <c r="AD573" s="52"/>
      <c r="AE573" s="52"/>
      <c r="AF573" s="52"/>
      <c r="AG573" s="52"/>
      <c r="AH573" s="52"/>
      <c r="AI573" s="52"/>
      <c r="AJ573" s="52"/>
      <c r="AK573" s="52"/>
      <c r="AL573" s="52"/>
      <c r="AM573" s="52"/>
      <c r="AN573" s="52"/>
      <c r="AO573" s="52"/>
      <c r="AP573" s="52"/>
      <c r="AQ573" s="52"/>
      <c r="AR573" s="52"/>
      <c r="AS573" s="52"/>
    </row>
    <row r="574" spans="1:45" s="64" customFormat="1" hidden="1">
      <c r="A574" s="65" t="s">
        <v>376</v>
      </c>
      <c r="B574" s="65" t="s">
        <v>377</v>
      </c>
      <c r="C574" s="83" t="str">
        <f t="shared" si="16"/>
        <v>MW Master Chart April 2016 - Cost Recovery</v>
      </c>
      <c r="D574" s="65">
        <v>301000</v>
      </c>
      <c r="E574" s="65" t="s">
        <v>216</v>
      </c>
      <c r="F574" s="65" t="s">
        <v>155</v>
      </c>
      <c r="G574" s="65" t="s">
        <v>156</v>
      </c>
      <c r="H574" s="65" t="s">
        <v>139</v>
      </c>
      <c r="I574" s="76"/>
      <c r="J574" s="82"/>
      <c r="K574" s="66"/>
      <c r="L574" s="61">
        <f t="shared" si="17"/>
        <v>0</v>
      </c>
      <c r="M574" s="72"/>
      <c r="N574" s="73"/>
      <c r="O574" s="52"/>
      <c r="P574" s="52"/>
      <c r="Q574" s="52"/>
      <c r="R574" s="52"/>
      <c r="S574" s="52"/>
      <c r="T574" s="52"/>
      <c r="U574" s="52"/>
      <c r="V574" s="52"/>
      <c r="W574" s="52"/>
      <c r="X574" s="52"/>
      <c r="Y574" s="52"/>
      <c r="Z574" s="52"/>
      <c r="AA574" s="52"/>
      <c r="AB574" s="52"/>
      <c r="AC574" s="52"/>
      <c r="AD574" s="52"/>
      <c r="AE574" s="52"/>
      <c r="AF574" s="52"/>
      <c r="AG574" s="52"/>
      <c r="AH574" s="52"/>
      <c r="AI574" s="52"/>
      <c r="AJ574" s="52"/>
      <c r="AK574" s="52"/>
      <c r="AL574" s="52"/>
      <c r="AM574" s="52"/>
      <c r="AN574" s="52"/>
      <c r="AO574" s="52"/>
      <c r="AP574" s="52"/>
      <c r="AQ574" s="52"/>
      <c r="AR574" s="52"/>
      <c r="AS574" s="52"/>
    </row>
    <row r="575" spans="1:45" s="64" customFormat="1" hidden="1">
      <c r="A575" s="65" t="s">
        <v>376</v>
      </c>
      <c r="B575" s="65" t="s">
        <v>377</v>
      </c>
      <c r="C575" s="83" t="str">
        <f t="shared" si="16"/>
        <v>MW Master Chart April 2016 - Cost Recovery</v>
      </c>
      <c r="D575" s="65">
        <v>301050</v>
      </c>
      <c r="E575" s="65" t="s">
        <v>436</v>
      </c>
      <c r="F575" s="65" t="s">
        <v>155</v>
      </c>
      <c r="G575" s="65" t="s">
        <v>156</v>
      </c>
      <c r="H575" s="65" t="s">
        <v>139</v>
      </c>
      <c r="I575" s="76"/>
      <c r="J575" s="82"/>
      <c r="K575" s="66"/>
      <c r="L575" s="61">
        <f t="shared" si="17"/>
        <v>0</v>
      </c>
      <c r="M575" s="72"/>
      <c r="N575" s="73"/>
      <c r="O575" s="52"/>
      <c r="P575" s="52"/>
      <c r="Q575" s="52"/>
      <c r="R575" s="52"/>
      <c r="S575" s="52"/>
      <c r="T575" s="52"/>
      <c r="U575" s="52"/>
      <c r="V575" s="52"/>
      <c r="W575" s="52"/>
      <c r="X575" s="52"/>
      <c r="Y575" s="52"/>
      <c r="Z575" s="52"/>
      <c r="AA575" s="52"/>
      <c r="AB575" s="52"/>
      <c r="AC575" s="52"/>
      <c r="AD575" s="52"/>
      <c r="AE575" s="52"/>
      <c r="AF575" s="52"/>
      <c r="AG575" s="52"/>
      <c r="AH575" s="52"/>
      <c r="AI575" s="52"/>
      <c r="AJ575" s="52"/>
      <c r="AK575" s="52"/>
      <c r="AL575" s="52"/>
      <c r="AM575" s="52"/>
      <c r="AN575" s="52"/>
      <c r="AO575" s="52"/>
      <c r="AP575" s="52"/>
      <c r="AQ575" s="52"/>
      <c r="AR575" s="52"/>
      <c r="AS575" s="52"/>
    </row>
    <row r="576" spans="1:45" s="64" customFormat="1" hidden="1">
      <c r="A576" s="65" t="s">
        <v>376</v>
      </c>
      <c r="B576" s="65" t="s">
        <v>377</v>
      </c>
      <c r="C576" s="83" t="str">
        <f t="shared" si="16"/>
        <v>MW Master Chart April 2016 - Cost Recovery</v>
      </c>
      <c r="D576" s="65">
        <v>301100</v>
      </c>
      <c r="E576" s="65" t="s">
        <v>242</v>
      </c>
      <c r="F576" s="65" t="s">
        <v>155</v>
      </c>
      <c r="G576" s="65" t="s">
        <v>156</v>
      </c>
      <c r="H576" s="65" t="s">
        <v>139</v>
      </c>
      <c r="I576" s="76"/>
      <c r="J576" s="82"/>
      <c r="K576" s="66"/>
      <c r="L576" s="61">
        <f t="shared" si="17"/>
        <v>0</v>
      </c>
      <c r="M576" s="72"/>
      <c r="N576" s="73"/>
      <c r="O576" s="52"/>
      <c r="P576" s="52"/>
      <c r="Q576" s="52"/>
      <c r="R576" s="52"/>
      <c r="S576" s="52"/>
      <c r="T576" s="52"/>
      <c r="U576" s="52"/>
      <c r="V576" s="52"/>
      <c r="W576" s="52"/>
      <c r="X576" s="52"/>
      <c r="Y576" s="52"/>
      <c r="Z576" s="52"/>
      <c r="AA576" s="52"/>
      <c r="AB576" s="52"/>
      <c r="AC576" s="52"/>
      <c r="AD576" s="52"/>
      <c r="AE576" s="52"/>
      <c r="AF576" s="52"/>
      <c r="AG576" s="52"/>
      <c r="AH576" s="52"/>
      <c r="AI576" s="52"/>
      <c r="AJ576" s="52"/>
      <c r="AK576" s="52"/>
      <c r="AL576" s="52"/>
      <c r="AM576" s="52"/>
      <c r="AN576" s="52"/>
      <c r="AO576" s="52"/>
      <c r="AP576" s="52"/>
      <c r="AQ576" s="52"/>
      <c r="AR576" s="52"/>
      <c r="AS576" s="52"/>
    </row>
    <row r="577" spans="1:45" s="64" customFormat="1" hidden="1">
      <c r="A577" s="65" t="s">
        <v>376</v>
      </c>
      <c r="B577" s="65" t="s">
        <v>377</v>
      </c>
      <c r="C577" s="83" t="str">
        <f t="shared" si="16"/>
        <v>MW Master Chart April 2016 - Operations</v>
      </c>
      <c r="D577" s="65">
        <v>311000</v>
      </c>
      <c r="E577" s="65" t="s">
        <v>437</v>
      </c>
      <c r="F577" s="65" t="s">
        <v>155</v>
      </c>
      <c r="G577" s="65" t="s">
        <v>156</v>
      </c>
      <c r="H577" s="65" t="s">
        <v>139</v>
      </c>
      <c r="I577" s="76"/>
      <c r="J577" s="82"/>
      <c r="K577" s="66"/>
      <c r="L577" s="61">
        <f t="shared" si="17"/>
        <v>0</v>
      </c>
      <c r="M577" s="72"/>
      <c r="N577" s="73"/>
      <c r="O577" s="52"/>
      <c r="P577" s="52"/>
      <c r="Q577" s="52"/>
      <c r="R577" s="52"/>
      <c r="S577" s="52"/>
      <c r="T577" s="52"/>
      <c r="U577" s="52"/>
      <c r="V577" s="52"/>
      <c r="W577" s="52"/>
      <c r="X577" s="52"/>
      <c r="Y577" s="52"/>
      <c r="Z577" s="52"/>
      <c r="AA577" s="52"/>
      <c r="AB577" s="52"/>
      <c r="AC577" s="52"/>
      <c r="AD577" s="52"/>
      <c r="AE577" s="52"/>
      <c r="AF577" s="52"/>
      <c r="AG577" s="52"/>
      <c r="AH577" s="52"/>
      <c r="AI577" s="52"/>
      <c r="AJ577" s="52"/>
      <c r="AK577" s="52"/>
      <c r="AL577" s="52"/>
      <c r="AM577" s="52"/>
      <c r="AN577" s="52"/>
      <c r="AO577" s="52"/>
      <c r="AP577" s="52"/>
      <c r="AQ577" s="52"/>
      <c r="AR577" s="52"/>
      <c r="AS577" s="52"/>
    </row>
    <row r="578" spans="1:45" s="64" customFormat="1" hidden="1">
      <c r="A578" s="65" t="s">
        <v>376</v>
      </c>
      <c r="B578" s="65" t="s">
        <v>377</v>
      </c>
      <c r="C578" s="83" t="str">
        <f t="shared" si="16"/>
        <v>MW Master Chart April 2016 - Operations</v>
      </c>
      <c r="D578" s="65">
        <v>311100</v>
      </c>
      <c r="E578" s="65" t="s">
        <v>438</v>
      </c>
      <c r="F578" s="65" t="s">
        <v>155</v>
      </c>
      <c r="G578" s="65" t="s">
        <v>156</v>
      </c>
      <c r="H578" s="65" t="s">
        <v>139</v>
      </c>
      <c r="I578" s="76"/>
      <c r="J578" s="82"/>
      <c r="K578" s="66"/>
      <c r="L578" s="61">
        <f t="shared" si="17"/>
        <v>0</v>
      </c>
      <c r="M578" s="72"/>
      <c r="N578" s="73"/>
      <c r="O578" s="52"/>
      <c r="P578" s="52"/>
      <c r="Q578" s="52"/>
      <c r="R578" s="52"/>
      <c r="S578" s="52"/>
      <c r="T578" s="52"/>
      <c r="U578" s="52"/>
      <c r="V578" s="52"/>
      <c r="W578" s="52"/>
      <c r="X578" s="52"/>
      <c r="Y578" s="52"/>
      <c r="Z578" s="52"/>
      <c r="AA578" s="52"/>
      <c r="AB578" s="52"/>
      <c r="AC578" s="52"/>
      <c r="AD578" s="52"/>
      <c r="AE578" s="52"/>
      <c r="AF578" s="52"/>
      <c r="AG578" s="52"/>
      <c r="AH578" s="52"/>
      <c r="AI578" s="52"/>
      <c r="AJ578" s="52"/>
      <c r="AK578" s="52"/>
      <c r="AL578" s="52"/>
      <c r="AM578" s="52"/>
      <c r="AN578" s="52"/>
      <c r="AO578" s="52"/>
      <c r="AP578" s="52"/>
      <c r="AQ578" s="52"/>
      <c r="AR578" s="52"/>
      <c r="AS578" s="52"/>
    </row>
    <row r="579" spans="1:45" s="64" customFormat="1" hidden="1">
      <c r="A579" s="65" t="s">
        <v>376</v>
      </c>
      <c r="B579" s="65" t="s">
        <v>377</v>
      </c>
      <c r="C579" s="83" t="str">
        <f t="shared" si="16"/>
        <v>MW Master Chart April 2016 - Operations</v>
      </c>
      <c r="D579" s="65">
        <v>311300</v>
      </c>
      <c r="E579" s="65" t="s">
        <v>439</v>
      </c>
      <c r="F579" s="65" t="s">
        <v>155</v>
      </c>
      <c r="G579" s="65" t="s">
        <v>156</v>
      </c>
      <c r="H579" s="65" t="s">
        <v>139</v>
      </c>
      <c r="I579" s="76"/>
      <c r="J579" s="82"/>
      <c r="K579" s="66"/>
      <c r="L579" s="61">
        <f t="shared" si="17"/>
        <v>0</v>
      </c>
      <c r="M579" s="72"/>
      <c r="N579" s="73"/>
      <c r="O579" s="52"/>
      <c r="P579" s="52"/>
      <c r="Q579" s="52"/>
      <c r="R579" s="52"/>
      <c r="S579" s="52"/>
      <c r="T579" s="52"/>
      <c r="U579" s="52"/>
      <c r="V579" s="52"/>
      <c r="W579" s="52"/>
      <c r="X579" s="52"/>
      <c r="Y579" s="52"/>
      <c r="Z579" s="52"/>
      <c r="AA579" s="52"/>
      <c r="AB579" s="52"/>
      <c r="AC579" s="52"/>
      <c r="AD579" s="52"/>
      <c r="AE579" s="52"/>
      <c r="AF579" s="52"/>
      <c r="AG579" s="52"/>
      <c r="AH579" s="52"/>
      <c r="AI579" s="52"/>
      <c r="AJ579" s="52"/>
      <c r="AK579" s="52"/>
      <c r="AL579" s="52"/>
      <c r="AM579" s="52"/>
      <c r="AN579" s="52"/>
      <c r="AO579" s="52"/>
      <c r="AP579" s="52"/>
      <c r="AQ579" s="52"/>
      <c r="AR579" s="52"/>
      <c r="AS579" s="52"/>
    </row>
    <row r="580" spans="1:45" s="64" customFormat="1" hidden="1">
      <c r="A580" s="65" t="s">
        <v>376</v>
      </c>
      <c r="B580" s="65" t="s">
        <v>377</v>
      </c>
      <c r="C580" s="83" t="str">
        <f t="shared" si="16"/>
        <v>MW Master Chart April 2016 - Operations</v>
      </c>
      <c r="D580" s="65">
        <v>311500</v>
      </c>
      <c r="E580" s="65" t="s">
        <v>440</v>
      </c>
      <c r="F580" s="65" t="s">
        <v>155</v>
      </c>
      <c r="G580" s="65" t="s">
        <v>156</v>
      </c>
      <c r="H580" s="65" t="s">
        <v>139</v>
      </c>
      <c r="I580" s="76"/>
      <c r="J580" s="82"/>
      <c r="K580" s="66"/>
      <c r="L580" s="61">
        <f t="shared" si="17"/>
        <v>0</v>
      </c>
      <c r="M580" s="72"/>
      <c r="N580" s="73"/>
      <c r="O580" s="52"/>
      <c r="P580" s="52"/>
      <c r="Q580" s="52"/>
      <c r="R580" s="52"/>
      <c r="S580" s="52"/>
      <c r="T580" s="52"/>
      <c r="U580" s="52"/>
      <c r="V580" s="52"/>
      <c r="W580" s="52"/>
      <c r="X580" s="52"/>
      <c r="Y580" s="52"/>
      <c r="Z580" s="52"/>
      <c r="AA580" s="52"/>
      <c r="AB580" s="52"/>
      <c r="AC580" s="52"/>
      <c r="AD580" s="52"/>
      <c r="AE580" s="52"/>
      <c r="AF580" s="52"/>
      <c r="AG580" s="52"/>
      <c r="AH580" s="52"/>
      <c r="AI580" s="52"/>
      <c r="AJ580" s="52"/>
      <c r="AK580" s="52"/>
      <c r="AL580" s="52"/>
      <c r="AM580" s="52"/>
      <c r="AN580" s="52"/>
      <c r="AO580" s="52"/>
      <c r="AP580" s="52"/>
      <c r="AQ580" s="52"/>
      <c r="AR580" s="52"/>
      <c r="AS580" s="52"/>
    </row>
    <row r="581" spans="1:45" s="64" customFormat="1" hidden="1">
      <c r="A581" s="65" t="s">
        <v>376</v>
      </c>
      <c r="B581" s="65" t="s">
        <v>377</v>
      </c>
      <c r="C581" s="83" t="str">
        <f t="shared" ref="C581:C644" si="18">B581 &amp; " - " &amp; LEFT(E581,FIND("-",E581)-1)</f>
        <v>MW Master Chart April 2016 - Operations</v>
      </c>
      <c r="D581" s="65">
        <v>311700</v>
      </c>
      <c r="E581" s="65" t="s">
        <v>441</v>
      </c>
      <c r="F581" s="65" t="s">
        <v>155</v>
      </c>
      <c r="G581" s="65" t="s">
        <v>156</v>
      </c>
      <c r="H581" s="65" t="s">
        <v>139</v>
      </c>
      <c r="I581" s="76"/>
      <c r="J581" s="82"/>
      <c r="K581" s="66"/>
      <c r="L581" s="61">
        <f t="shared" si="17"/>
        <v>0</v>
      </c>
      <c r="M581" s="72"/>
      <c r="N581" s="73"/>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row>
    <row r="582" spans="1:45" s="64" customFormat="1" hidden="1">
      <c r="A582" s="65" t="s">
        <v>376</v>
      </c>
      <c r="B582" s="65" t="s">
        <v>377</v>
      </c>
      <c r="C582" s="83" t="str">
        <f t="shared" si="18"/>
        <v>MW Master Chart April 2016 - Prop Mgmt Revenues</v>
      </c>
      <c r="D582" s="65">
        <v>311910</v>
      </c>
      <c r="E582" s="65" t="s">
        <v>442</v>
      </c>
      <c r="F582" s="65" t="s">
        <v>155</v>
      </c>
      <c r="G582" s="65" t="s">
        <v>156</v>
      </c>
      <c r="H582" s="65"/>
      <c r="I582" s="76"/>
      <c r="J582" s="82"/>
      <c r="K582" s="66"/>
      <c r="L582" s="61">
        <f t="shared" ref="L582:L645" si="19">I582*J582</f>
        <v>0</v>
      </c>
      <c r="M582" s="72"/>
      <c r="N582" s="73"/>
      <c r="O582" s="52"/>
      <c r="P582" s="52"/>
      <c r="Q582" s="52"/>
      <c r="R582" s="52"/>
      <c r="S582" s="52"/>
      <c r="T582" s="52"/>
      <c r="U582" s="52"/>
      <c r="V582" s="52"/>
      <c r="W582" s="52"/>
      <c r="X582" s="52"/>
      <c r="Y582" s="52"/>
      <c r="Z582" s="52"/>
      <c r="AA582" s="52"/>
      <c r="AB582" s="52"/>
      <c r="AC582" s="52"/>
      <c r="AD582" s="52"/>
      <c r="AE582" s="52"/>
      <c r="AF582" s="52"/>
      <c r="AG582" s="52"/>
      <c r="AH582" s="52"/>
      <c r="AI582" s="52"/>
      <c r="AJ582" s="52"/>
      <c r="AK582" s="52"/>
      <c r="AL582" s="52"/>
      <c r="AM582" s="52"/>
      <c r="AN582" s="52"/>
      <c r="AO582" s="52"/>
      <c r="AP582" s="52"/>
      <c r="AQ582" s="52"/>
      <c r="AR582" s="52"/>
      <c r="AS582" s="52"/>
    </row>
    <row r="583" spans="1:45" s="64" customFormat="1" hidden="1">
      <c r="A583" s="65" t="s">
        <v>376</v>
      </c>
      <c r="B583" s="65" t="s">
        <v>377</v>
      </c>
      <c r="C583" s="83" t="str">
        <f t="shared" si="18"/>
        <v>MW Master Chart April 2016 - Prop Mgmt Revenues</v>
      </c>
      <c r="D583" s="65">
        <v>311920</v>
      </c>
      <c r="E583" s="65" t="s">
        <v>443</v>
      </c>
      <c r="F583" s="65" t="s">
        <v>155</v>
      </c>
      <c r="G583" s="65" t="s">
        <v>156</v>
      </c>
      <c r="H583" s="65"/>
      <c r="I583" s="76"/>
      <c r="J583" s="82"/>
      <c r="K583" s="66"/>
      <c r="L583" s="61">
        <f t="shared" si="19"/>
        <v>0</v>
      </c>
      <c r="M583" s="72"/>
      <c r="N583" s="73"/>
      <c r="O583" s="52"/>
      <c r="P583" s="52"/>
      <c r="Q583" s="52"/>
      <c r="R583" s="52"/>
      <c r="S583" s="52"/>
      <c r="T583" s="52"/>
      <c r="U583" s="52"/>
      <c r="V583" s="52"/>
      <c r="W583" s="52"/>
      <c r="X583" s="52"/>
      <c r="Y583" s="52"/>
      <c r="Z583" s="52"/>
      <c r="AA583" s="52"/>
      <c r="AB583" s="52"/>
      <c r="AC583" s="52"/>
      <c r="AD583" s="52"/>
      <c r="AE583" s="52"/>
      <c r="AF583" s="52"/>
      <c r="AG583" s="52"/>
      <c r="AH583" s="52"/>
      <c r="AI583" s="52"/>
      <c r="AJ583" s="52"/>
      <c r="AK583" s="52"/>
      <c r="AL583" s="52"/>
      <c r="AM583" s="52"/>
      <c r="AN583" s="52"/>
      <c r="AO583" s="52"/>
      <c r="AP583" s="52"/>
      <c r="AQ583" s="52"/>
      <c r="AR583" s="52"/>
      <c r="AS583" s="52"/>
    </row>
    <row r="584" spans="1:45" s="64" customFormat="1" hidden="1">
      <c r="A584" s="65" t="s">
        <v>376</v>
      </c>
      <c r="B584" s="65" t="s">
        <v>377</v>
      </c>
      <c r="C584" s="83" t="str">
        <f t="shared" si="18"/>
        <v>MW Master Chart April 2016 - Prop Mgmt Revenues</v>
      </c>
      <c r="D584" s="65">
        <v>311930</v>
      </c>
      <c r="E584" s="65" t="s">
        <v>444</v>
      </c>
      <c r="F584" s="65" t="s">
        <v>155</v>
      </c>
      <c r="G584" s="65" t="s">
        <v>156</v>
      </c>
      <c r="H584" s="65"/>
      <c r="I584" s="76"/>
      <c r="J584" s="82"/>
      <c r="K584" s="66"/>
      <c r="L584" s="61">
        <f t="shared" si="19"/>
        <v>0</v>
      </c>
      <c r="M584" s="72"/>
      <c r="N584" s="73"/>
      <c r="O584" s="52"/>
      <c r="P584" s="52"/>
      <c r="Q584" s="52"/>
      <c r="R584" s="52"/>
      <c r="S584" s="52"/>
      <c r="T584" s="52"/>
      <c r="U584" s="52"/>
      <c r="V584" s="52"/>
      <c r="W584" s="52"/>
      <c r="X584" s="52"/>
      <c r="Y584" s="52"/>
      <c r="Z584" s="52"/>
      <c r="AA584" s="52"/>
      <c r="AB584" s="52"/>
      <c r="AC584" s="52"/>
      <c r="AD584" s="52"/>
      <c r="AE584" s="52"/>
      <c r="AF584" s="52"/>
      <c r="AG584" s="52"/>
      <c r="AH584" s="52"/>
      <c r="AI584" s="52"/>
      <c r="AJ584" s="52"/>
      <c r="AK584" s="52"/>
      <c r="AL584" s="52"/>
      <c r="AM584" s="52"/>
      <c r="AN584" s="52"/>
      <c r="AO584" s="52"/>
      <c r="AP584" s="52"/>
      <c r="AQ584" s="52"/>
      <c r="AR584" s="52"/>
      <c r="AS584" s="52"/>
    </row>
    <row r="585" spans="1:45" s="64" customFormat="1" hidden="1">
      <c r="A585" s="65" t="s">
        <v>376</v>
      </c>
      <c r="B585" s="65" t="s">
        <v>377</v>
      </c>
      <c r="C585" s="83" t="str">
        <f t="shared" si="18"/>
        <v>MW Master Chart April 2016 - Prop Mgmt Expenses</v>
      </c>
      <c r="D585" s="65">
        <v>312010</v>
      </c>
      <c r="E585" s="65" t="s">
        <v>445</v>
      </c>
      <c r="F585" s="65" t="s">
        <v>155</v>
      </c>
      <c r="G585" s="65" t="s">
        <v>156</v>
      </c>
      <c r="H585" s="65" t="s">
        <v>139</v>
      </c>
      <c r="I585" s="76"/>
      <c r="J585" s="82"/>
      <c r="K585" s="66"/>
      <c r="L585" s="61">
        <f t="shared" si="19"/>
        <v>0</v>
      </c>
      <c r="M585" s="72"/>
      <c r="N585" s="73"/>
      <c r="O585" s="52"/>
      <c r="P585" s="52"/>
      <c r="Q585" s="52"/>
      <c r="R585" s="52"/>
      <c r="S585" s="52"/>
      <c r="T585" s="52"/>
      <c r="U585" s="52"/>
      <c r="V585" s="52"/>
      <c r="W585" s="52"/>
      <c r="X585" s="52"/>
      <c r="Y585" s="52"/>
      <c r="Z585" s="52"/>
      <c r="AA585" s="52"/>
      <c r="AB585" s="52"/>
      <c r="AC585" s="52"/>
      <c r="AD585" s="52"/>
      <c r="AE585" s="52"/>
      <c r="AF585" s="52"/>
      <c r="AG585" s="52"/>
      <c r="AH585" s="52"/>
      <c r="AI585" s="52"/>
      <c r="AJ585" s="52"/>
      <c r="AK585" s="52"/>
      <c r="AL585" s="52"/>
      <c r="AM585" s="52"/>
      <c r="AN585" s="52"/>
      <c r="AO585" s="52"/>
      <c r="AP585" s="52"/>
      <c r="AQ585" s="52"/>
      <c r="AR585" s="52"/>
      <c r="AS585" s="52"/>
    </row>
    <row r="586" spans="1:45" s="64" customFormat="1" hidden="1">
      <c r="A586" s="65" t="s">
        <v>376</v>
      </c>
      <c r="B586" s="65" t="s">
        <v>377</v>
      </c>
      <c r="C586" s="83" t="str">
        <f t="shared" si="18"/>
        <v>MW Master Chart April 2016 - Sand Sales Expenses</v>
      </c>
      <c r="D586" s="65">
        <v>312021</v>
      </c>
      <c r="E586" s="65" t="s">
        <v>446</v>
      </c>
      <c r="F586" s="65" t="s">
        <v>155</v>
      </c>
      <c r="G586" s="65" t="s">
        <v>156</v>
      </c>
      <c r="H586" s="65" t="s">
        <v>139</v>
      </c>
      <c r="I586" s="76"/>
      <c r="J586" s="82"/>
      <c r="K586" s="66"/>
      <c r="L586" s="61">
        <f t="shared" si="19"/>
        <v>0</v>
      </c>
      <c r="M586" s="72"/>
      <c r="N586" s="73"/>
      <c r="O586" s="52"/>
      <c r="P586" s="52"/>
      <c r="Q586" s="52"/>
      <c r="R586" s="52"/>
      <c r="S586" s="52"/>
      <c r="T586" s="52"/>
      <c r="U586" s="52"/>
      <c r="V586" s="52"/>
      <c r="W586" s="52"/>
      <c r="X586" s="52"/>
      <c r="Y586" s="52"/>
      <c r="Z586" s="52"/>
      <c r="AA586" s="52"/>
      <c r="AB586" s="52"/>
      <c r="AC586" s="52"/>
      <c r="AD586" s="52"/>
      <c r="AE586" s="52"/>
      <c r="AF586" s="52"/>
      <c r="AG586" s="52"/>
      <c r="AH586" s="52"/>
      <c r="AI586" s="52"/>
      <c r="AJ586" s="52"/>
      <c r="AK586" s="52"/>
      <c r="AL586" s="52"/>
      <c r="AM586" s="52"/>
      <c r="AN586" s="52"/>
      <c r="AO586" s="52"/>
      <c r="AP586" s="52"/>
      <c r="AQ586" s="52"/>
      <c r="AR586" s="52"/>
      <c r="AS586" s="52"/>
    </row>
    <row r="587" spans="1:45" s="64" customFormat="1" hidden="1">
      <c r="A587" s="65" t="s">
        <v>376</v>
      </c>
      <c r="B587" s="65" t="s">
        <v>377</v>
      </c>
      <c r="C587" s="83" t="str">
        <f t="shared" si="18"/>
        <v>MW Master Chart April 2016 - Sand Sales Expenses</v>
      </c>
      <c r="D587" s="65">
        <v>312022</v>
      </c>
      <c r="E587" s="65" t="s">
        <v>447</v>
      </c>
      <c r="F587" s="65" t="s">
        <v>155</v>
      </c>
      <c r="G587" s="65" t="s">
        <v>156</v>
      </c>
      <c r="H587" s="65" t="s">
        <v>139</v>
      </c>
      <c r="I587" s="76"/>
      <c r="J587" s="82"/>
      <c r="K587" s="66"/>
      <c r="L587" s="61">
        <f t="shared" si="19"/>
        <v>0</v>
      </c>
      <c r="M587" s="72"/>
      <c r="N587" s="73"/>
      <c r="O587" s="52"/>
      <c r="P587" s="52"/>
      <c r="Q587" s="52"/>
      <c r="R587" s="52"/>
      <c r="S587" s="52"/>
      <c r="T587" s="52"/>
      <c r="U587" s="52"/>
      <c r="V587" s="52"/>
      <c r="W587" s="52"/>
      <c r="X587" s="52"/>
      <c r="Y587" s="52"/>
      <c r="Z587" s="52"/>
      <c r="AA587" s="52"/>
      <c r="AB587" s="52"/>
      <c r="AC587" s="52"/>
      <c r="AD587" s="52"/>
      <c r="AE587" s="52"/>
      <c r="AF587" s="52"/>
      <c r="AG587" s="52"/>
      <c r="AH587" s="52"/>
      <c r="AI587" s="52"/>
      <c r="AJ587" s="52"/>
      <c r="AK587" s="52"/>
      <c r="AL587" s="52"/>
      <c r="AM587" s="52"/>
      <c r="AN587" s="52"/>
      <c r="AO587" s="52"/>
      <c r="AP587" s="52"/>
      <c r="AQ587" s="52"/>
      <c r="AR587" s="52"/>
      <c r="AS587" s="52"/>
    </row>
    <row r="588" spans="1:45" s="64" customFormat="1" hidden="1">
      <c r="A588" s="65" t="s">
        <v>376</v>
      </c>
      <c r="B588" s="65" t="s">
        <v>377</v>
      </c>
      <c r="C588" s="83" t="str">
        <f t="shared" si="18"/>
        <v>MW Master Chart April 2016 - Payments</v>
      </c>
      <c r="D588" s="65">
        <v>321000</v>
      </c>
      <c r="E588" s="65" t="s">
        <v>217</v>
      </c>
      <c r="F588" s="65" t="s">
        <v>155</v>
      </c>
      <c r="G588" s="65" t="s">
        <v>156</v>
      </c>
      <c r="H588" s="65" t="s">
        <v>139</v>
      </c>
      <c r="I588" s="76"/>
      <c r="J588" s="82"/>
      <c r="K588" s="66"/>
      <c r="L588" s="61">
        <f t="shared" si="19"/>
        <v>0</v>
      </c>
      <c r="M588" s="72"/>
      <c r="N588" s="73"/>
      <c r="O588" s="52"/>
      <c r="P588" s="52"/>
      <c r="Q588" s="52"/>
      <c r="R588" s="52"/>
      <c r="S588" s="52"/>
      <c r="T588" s="52"/>
      <c r="U588" s="52"/>
      <c r="V588" s="52"/>
      <c r="W588" s="52"/>
      <c r="X588" s="52"/>
      <c r="Y588" s="52"/>
      <c r="Z588" s="52"/>
      <c r="AA588" s="52"/>
      <c r="AB588" s="52"/>
      <c r="AC588" s="52"/>
      <c r="AD588" s="52"/>
      <c r="AE588" s="52"/>
      <c r="AF588" s="52"/>
      <c r="AG588" s="52"/>
      <c r="AH588" s="52"/>
      <c r="AI588" s="52"/>
      <c r="AJ588" s="52"/>
      <c r="AK588" s="52"/>
      <c r="AL588" s="52"/>
      <c r="AM588" s="52"/>
      <c r="AN588" s="52"/>
      <c r="AO588" s="52"/>
      <c r="AP588" s="52"/>
      <c r="AQ588" s="52"/>
      <c r="AR588" s="52"/>
      <c r="AS588" s="52"/>
    </row>
    <row r="589" spans="1:45" s="64" customFormat="1" hidden="1">
      <c r="A589" s="65" t="s">
        <v>376</v>
      </c>
      <c r="B589" s="65" t="s">
        <v>377</v>
      </c>
      <c r="C589" s="83" t="str">
        <f t="shared" si="18"/>
        <v>MW Master Chart April 2016 - Payments</v>
      </c>
      <c r="D589" s="65">
        <v>321200</v>
      </c>
      <c r="E589" s="65" t="s">
        <v>249</v>
      </c>
      <c r="F589" s="65" t="s">
        <v>155</v>
      </c>
      <c r="G589" s="65" t="s">
        <v>156</v>
      </c>
      <c r="H589" s="65" t="s">
        <v>139</v>
      </c>
      <c r="I589" s="76"/>
      <c r="J589" s="82"/>
      <c r="K589" s="66"/>
      <c r="L589" s="61">
        <f t="shared" si="19"/>
        <v>0</v>
      </c>
      <c r="M589" s="72"/>
      <c r="N589" s="73"/>
      <c r="O589" s="52"/>
      <c r="P589" s="52"/>
      <c r="Q589" s="52"/>
      <c r="R589" s="52"/>
      <c r="S589" s="52"/>
      <c r="T589" s="52"/>
      <c r="U589" s="52"/>
      <c r="V589" s="52"/>
      <c r="W589" s="52"/>
      <c r="X589" s="52"/>
      <c r="Y589" s="52"/>
      <c r="Z589" s="52"/>
      <c r="AA589" s="52"/>
      <c r="AB589" s="52"/>
      <c r="AC589" s="52"/>
      <c r="AD589" s="52"/>
      <c r="AE589" s="52"/>
      <c r="AF589" s="52"/>
      <c r="AG589" s="52"/>
      <c r="AH589" s="52"/>
      <c r="AI589" s="52"/>
      <c r="AJ589" s="52"/>
      <c r="AK589" s="52"/>
      <c r="AL589" s="52"/>
      <c r="AM589" s="52"/>
      <c r="AN589" s="52"/>
      <c r="AO589" s="52"/>
      <c r="AP589" s="52"/>
      <c r="AQ589" s="52"/>
      <c r="AR589" s="52"/>
      <c r="AS589" s="52"/>
    </row>
    <row r="590" spans="1:45" s="64" customFormat="1" hidden="1">
      <c r="A590" s="65" t="s">
        <v>376</v>
      </c>
      <c r="B590" s="65" t="s">
        <v>377</v>
      </c>
      <c r="C590" s="83" t="str">
        <f t="shared" si="18"/>
        <v>MW Master Chart April 2016 - Payments</v>
      </c>
      <c r="D590" s="65">
        <v>321300</v>
      </c>
      <c r="E590" s="65" t="s">
        <v>218</v>
      </c>
      <c r="F590" s="65" t="s">
        <v>155</v>
      </c>
      <c r="G590" s="65" t="s">
        <v>156</v>
      </c>
      <c r="H590" s="65" t="s">
        <v>139</v>
      </c>
      <c r="I590" s="76"/>
      <c r="J590" s="82"/>
      <c r="K590" s="66"/>
      <c r="L590" s="61">
        <f t="shared" si="19"/>
        <v>0</v>
      </c>
      <c r="M590" s="72"/>
      <c r="N590" s="73"/>
      <c r="O590" s="52"/>
      <c r="P590" s="52"/>
      <c r="Q590" s="52"/>
      <c r="R590" s="52"/>
      <c r="S590" s="52"/>
      <c r="T590" s="52"/>
      <c r="U590" s="52"/>
      <c r="V590" s="52"/>
      <c r="W590" s="52"/>
      <c r="X590" s="52"/>
      <c r="Y590" s="52"/>
      <c r="Z590" s="52"/>
      <c r="AA590" s="52"/>
      <c r="AB590" s="52"/>
      <c r="AC590" s="52"/>
      <c r="AD590" s="52"/>
      <c r="AE590" s="52"/>
      <c r="AF590" s="52"/>
      <c r="AG590" s="52"/>
      <c r="AH590" s="52"/>
      <c r="AI590" s="52"/>
      <c r="AJ590" s="52"/>
      <c r="AK590" s="52"/>
      <c r="AL590" s="52"/>
      <c r="AM590" s="52"/>
      <c r="AN590" s="52"/>
      <c r="AO590" s="52"/>
      <c r="AP590" s="52"/>
      <c r="AQ590" s="52"/>
      <c r="AR590" s="52"/>
      <c r="AS590" s="52"/>
    </row>
    <row r="591" spans="1:45" s="64" customFormat="1" hidden="1">
      <c r="A591" s="65" t="s">
        <v>376</v>
      </c>
      <c r="B591" s="65" t="s">
        <v>377</v>
      </c>
      <c r="C591" s="83" t="str">
        <f t="shared" si="18"/>
        <v>MW Master Chart April 2016 - Payments</v>
      </c>
      <c r="D591" s="65">
        <v>321310</v>
      </c>
      <c r="E591" s="65" t="s">
        <v>219</v>
      </c>
      <c r="F591" s="65" t="s">
        <v>155</v>
      </c>
      <c r="G591" s="65" t="s">
        <v>156</v>
      </c>
      <c r="H591" s="65" t="s">
        <v>139</v>
      </c>
      <c r="I591" s="76"/>
      <c r="J591" s="82"/>
      <c r="K591" s="66"/>
      <c r="L591" s="61">
        <f t="shared" si="19"/>
        <v>0</v>
      </c>
      <c r="M591" s="72"/>
      <c r="N591" s="73"/>
      <c r="O591" s="52"/>
      <c r="P591" s="52"/>
      <c r="Q591" s="52"/>
      <c r="R591" s="52"/>
      <c r="S591" s="52"/>
      <c r="T591" s="52"/>
      <c r="U591" s="52"/>
      <c r="V591" s="52"/>
      <c r="W591" s="52"/>
      <c r="X591" s="52"/>
      <c r="Y591" s="52"/>
      <c r="Z591" s="52"/>
      <c r="AA591" s="52"/>
      <c r="AB591" s="52"/>
      <c r="AC591" s="52"/>
      <c r="AD591" s="52"/>
      <c r="AE591" s="52"/>
      <c r="AF591" s="52"/>
      <c r="AG591" s="52"/>
      <c r="AH591" s="52"/>
      <c r="AI591" s="52"/>
      <c r="AJ591" s="52"/>
      <c r="AK591" s="52"/>
      <c r="AL591" s="52"/>
      <c r="AM591" s="52"/>
      <c r="AN591" s="52"/>
      <c r="AO591" s="52"/>
      <c r="AP591" s="52"/>
      <c r="AQ591" s="52"/>
      <c r="AR591" s="52"/>
      <c r="AS591" s="52"/>
    </row>
    <row r="592" spans="1:45" s="64" customFormat="1" hidden="1">
      <c r="A592" s="65" t="s">
        <v>376</v>
      </c>
      <c r="B592" s="65" t="s">
        <v>377</v>
      </c>
      <c r="C592" s="83" t="str">
        <f t="shared" si="18"/>
        <v>MW Master Chart April 2016 - Payments</v>
      </c>
      <c r="D592" s="65">
        <v>321320</v>
      </c>
      <c r="E592" s="65" t="s">
        <v>220</v>
      </c>
      <c r="F592" s="65" t="s">
        <v>155</v>
      </c>
      <c r="G592" s="65" t="s">
        <v>156</v>
      </c>
      <c r="H592" s="65" t="s">
        <v>139</v>
      </c>
      <c r="I592" s="76"/>
      <c r="J592" s="82"/>
      <c r="K592" s="66"/>
      <c r="L592" s="61">
        <f t="shared" si="19"/>
        <v>0</v>
      </c>
      <c r="M592" s="72"/>
      <c r="N592" s="73"/>
      <c r="O592" s="52"/>
      <c r="P592" s="52"/>
      <c r="Q592" s="52"/>
      <c r="R592" s="52"/>
      <c r="S592" s="52"/>
      <c r="T592" s="52"/>
      <c r="U592" s="52"/>
      <c r="V592" s="52"/>
      <c r="W592" s="52"/>
      <c r="X592" s="52"/>
      <c r="Y592" s="52"/>
      <c r="Z592" s="52"/>
      <c r="AA592" s="52"/>
      <c r="AB592" s="52"/>
      <c r="AC592" s="52"/>
      <c r="AD592" s="52"/>
      <c r="AE592" s="52"/>
      <c r="AF592" s="52"/>
      <c r="AG592" s="52"/>
      <c r="AH592" s="52"/>
      <c r="AI592" s="52"/>
      <c r="AJ592" s="52"/>
      <c r="AK592" s="52"/>
      <c r="AL592" s="52"/>
      <c r="AM592" s="52"/>
      <c r="AN592" s="52"/>
      <c r="AO592" s="52"/>
      <c r="AP592" s="52"/>
      <c r="AQ592" s="52"/>
      <c r="AR592" s="52"/>
      <c r="AS592" s="52"/>
    </row>
    <row r="593" spans="1:45" s="64" customFormat="1" hidden="1">
      <c r="A593" s="65" t="s">
        <v>376</v>
      </c>
      <c r="B593" s="65" t="s">
        <v>377</v>
      </c>
      <c r="C593" s="83" t="str">
        <f t="shared" si="18"/>
        <v>MW Master Chart April 2016 - Payments</v>
      </c>
      <c r="D593" s="65">
        <v>321330</v>
      </c>
      <c r="E593" s="65" t="s">
        <v>221</v>
      </c>
      <c r="F593" s="65" t="s">
        <v>155</v>
      </c>
      <c r="G593" s="65" t="s">
        <v>156</v>
      </c>
      <c r="H593" s="65" t="s">
        <v>139</v>
      </c>
      <c r="I593" s="76"/>
      <c r="J593" s="82"/>
      <c r="K593" s="66"/>
      <c r="L593" s="61">
        <f t="shared" si="19"/>
        <v>0</v>
      </c>
      <c r="M593" s="72"/>
      <c r="N593" s="73"/>
      <c r="O593" s="52"/>
      <c r="P593" s="52"/>
      <c r="Q593" s="52"/>
      <c r="R593" s="52"/>
      <c r="S593" s="52"/>
      <c r="T593" s="52"/>
      <c r="U593" s="52"/>
      <c r="V593" s="52"/>
      <c r="W593" s="52"/>
      <c r="X593" s="52"/>
      <c r="Y593" s="52"/>
      <c r="Z593" s="52"/>
      <c r="AA593" s="52"/>
      <c r="AB593" s="52"/>
      <c r="AC593" s="52"/>
      <c r="AD593" s="52"/>
      <c r="AE593" s="52"/>
      <c r="AF593" s="52"/>
      <c r="AG593" s="52"/>
      <c r="AH593" s="52"/>
      <c r="AI593" s="52"/>
      <c r="AJ593" s="52"/>
      <c r="AK593" s="52"/>
      <c r="AL593" s="52"/>
      <c r="AM593" s="52"/>
      <c r="AN593" s="52"/>
      <c r="AO593" s="52"/>
      <c r="AP593" s="52"/>
      <c r="AQ593" s="52"/>
      <c r="AR593" s="52"/>
      <c r="AS593" s="52"/>
    </row>
    <row r="594" spans="1:45" s="64" customFormat="1" hidden="1">
      <c r="A594" s="65" t="s">
        <v>376</v>
      </c>
      <c r="B594" s="65" t="s">
        <v>377</v>
      </c>
      <c r="C594" s="83" t="str">
        <f t="shared" si="18"/>
        <v>MW Master Chart April 2016 - Payments</v>
      </c>
      <c r="D594" s="65">
        <v>321340</v>
      </c>
      <c r="E594" s="65" t="s">
        <v>222</v>
      </c>
      <c r="F594" s="65" t="s">
        <v>155</v>
      </c>
      <c r="G594" s="65" t="s">
        <v>156</v>
      </c>
      <c r="H594" s="65" t="s">
        <v>139</v>
      </c>
      <c r="I594" s="76"/>
      <c r="J594" s="82"/>
      <c r="K594" s="66"/>
      <c r="L594" s="61">
        <f t="shared" si="19"/>
        <v>0</v>
      </c>
      <c r="M594" s="72"/>
      <c r="N594" s="73"/>
      <c r="O594" s="52"/>
      <c r="P594" s="52"/>
      <c r="Q594" s="52"/>
      <c r="R594" s="52"/>
      <c r="S594" s="52"/>
      <c r="T594" s="52"/>
      <c r="U594" s="52"/>
      <c r="V594" s="52"/>
      <c r="W594" s="52"/>
      <c r="X594" s="52"/>
      <c r="Y594" s="52"/>
      <c r="Z594" s="52"/>
      <c r="AA594" s="52"/>
      <c r="AB594" s="52"/>
      <c r="AC594" s="52"/>
      <c r="AD594" s="52"/>
      <c r="AE594" s="52"/>
      <c r="AF594" s="52"/>
      <c r="AG594" s="52"/>
      <c r="AH594" s="52"/>
      <c r="AI594" s="52"/>
      <c r="AJ594" s="52"/>
      <c r="AK594" s="52"/>
      <c r="AL594" s="52"/>
      <c r="AM594" s="52"/>
      <c r="AN594" s="52"/>
      <c r="AO594" s="52"/>
      <c r="AP594" s="52"/>
      <c r="AQ594" s="52"/>
      <c r="AR594" s="52"/>
      <c r="AS594" s="52"/>
    </row>
    <row r="595" spans="1:45" s="64" customFormat="1" hidden="1">
      <c r="A595" s="65" t="s">
        <v>376</v>
      </c>
      <c r="B595" s="65" t="s">
        <v>377</v>
      </c>
      <c r="C595" s="83" t="str">
        <f t="shared" si="18"/>
        <v>MW Master Chart April 2016 - Payments</v>
      </c>
      <c r="D595" s="65">
        <v>321350</v>
      </c>
      <c r="E595" s="65" t="s">
        <v>448</v>
      </c>
      <c r="F595" s="65" t="s">
        <v>155</v>
      </c>
      <c r="G595" s="65" t="s">
        <v>156</v>
      </c>
      <c r="H595" s="65" t="s">
        <v>139</v>
      </c>
      <c r="I595" s="76"/>
      <c r="J595" s="82"/>
      <c r="K595" s="66"/>
      <c r="L595" s="61">
        <f t="shared" si="19"/>
        <v>0</v>
      </c>
      <c r="M595" s="72"/>
      <c r="N595" s="73"/>
      <c r="O595" s="52"/>
      <c r="P595" s="52"/>
      <c r="Q595" s="52"/>
      <c r="R595" s="52"/>
      <c r="S595" s="52"/>
      <c r="T595" s="52"/>
      <c r="U595" s="52"/>
      <c r="V595" s="52"/>
      <c r="W595" s="52"/>
      <c r="X595" s="52"/>
      <c r="Y595" s="52"/>
      <c r="Z595" s="52"/>
      <c r="AA595" s="52"/>
      <c r="AB595" s="52"/>
      <c r="AC595" s="52"/>
      <c r="AD595" s="52"/>
      <c r="AE595" s="52"/>
      <c r="AF595" s="52"/>
      <c r="AG595" s="52"/>
      <c r="AH595" s="52"/>
      <c r="AI595" s="52"/>
      <c r="AJ595" s="52"/>
      <c r="AK595" s="52"/>
      <c r="AL595" s="52"/>
      <c r="AM595" s="52"/>
      <c r="AN595" s="52"/>
      <c r="AO595" s="52"/>
      <c r="AP595" s="52"/>
      <c r="AQ595" s="52"/>
      <c r="AR595" s="52"/>
      <c r="AS595" s="52"/>
    </row>
    <row r="596" spans="1:45" s="64" customFormat="1" hidden="1">
      <c r="A596" s="65" t="s">
        <v>376</v>
      </c>
      <c r="B596" s="65" t="s">
        <v>377</v>
      </c>
      <c r="C596" s="83" t="str">
        <f t="shared" si="18"/>
        <v>MW Master Chart April 2016 - Payments</v>
      </c>
      <c r="D596" s="65">
        <v>321360</v>
      </c>
      <c r="E596" s="65" t="s">
        <v>449</v>
      </c>
      <c r="F596" s="65" t="s">
        <v>155</v>
      </c>
      <c r="G596" s="65" t="s">
        <v>156</v>
      </c>
      <c r="H596" s="65" t="s">
        <v>139</v>
      </c>
      <c r="I596" s="76"/>
      <c r="J596" s="82"/>
      <c r="K596" s="66"/>
      <c r="L596" s="61">
        <f t="shared" si="19"/>
        <v>0</v>
      </c>
      <c r="M596" s="72"/>
      <c r="N596" s="73"/>
      <c r="O596" s="52"/>
      <c r="P596" s="52"/>
      <c r="Q596" s="52"/>
      <c r="R596" s="52"/>
      <c r="S596" s="52"/>
      <c r="T596" s="52"/>
      <c r="U596" s="52"/>
      <c r="V596" s="52"/>
      <c r="W596" s="52"/>
      <c r="X596" s="52"/>
      <c r="Y596" s="52"/>
      <c r="Z596" s="52"/>
      <c r="AA596" s="52"/>
      <c r="AB596" s="52"/>
      <c r="AC596" s="52"/>
      <c r="AD596" s="52"/>
      <c r="AE596" s="52"/>
      <c r="AF596" s="52"/>
      <c r="AG596" s="52"/>
      <c r="AH596" s="52"/>
      <c r="AI596" s="52"/>
      <c r="AJ596" s="52"/>
      <c r="AK596" s="52"/>
      <c r="AL596" s="52"/>
      <c r="AM596" s="52"/>
      <c r="AN596" s="52"/>
      <c r="AO596" s="52"/>
      <c r="AP596" s="52"/>
      <c r="AQ596" s="52"/>
      <c r="AR596" s="52"/>
      <c r="AS596" s="52"/>
    </row>
    <row r="597" spans="1:45" s="64" customFormat="1" hidden="1">
      <c r="A597" s="65" t="s">
        <v>376</v>
      </c>
      <c r="B597" s="65" t="s">
        <v>377</v>
      </c>
      <c r="C597" s="83" t="str">
        <f t="shared" si="18"/>
        <v>MW Master Chart April 2016 - Payments</v>
      </c>
      <c r="D597" s="65">
        <v>321370</v>
      </c>
      <c r="E597" s="65" t="s">
        <v>450</v>
      </c>
      <c r="F597" s="65" t="s">
        <v>155</v>
      </c>
      <c r="G597" s="65" t="s">
        <v>156</v>
      </c>
      <c r="H597" s="65" t="s">
        <v>139</v>
      </c>
      <c r="I597" s="76"/>
      <c r="J597" s="82"/>
      <c r="K597" s="66"/>
      <c r="L597" s="61">
        <f t="shared" si="19"/>
        <v>0</v>
      </c>
      <c r="M597" s="72"/>
      <c r="N597" s="73"/>
      <c r="O597" s="52"/>
      <c r="P597" s="52"/>
      <c r="Q597" s="52"/>
      <c r="R597" s="52"/>
      <c r="S597" s="52"/>
      <c r="T597" s="52"/>
      <c r="U597" s="52"/>
      <c r="V597" s="52"/>
      <c r="W597" s="52"/>
      <c r="X597" s="52"/>
      <c r="Y597" s="52"/>
      <c r="Z597" s="52"/>
      <c r="AA597" s="52"/>
      <c r="AB597" s="52"/>
      <c r="AC597" s="52"/>
      <c r="AD597" s="52"/>
      <c r="AE597" s="52"/>
      <c r="AF597" s="52"/>
      <c r="AG597" s="52"/>
      <c r="AH597" s="52"/>
      <c r="AI597" s="52"/>
      <c r="AJ597" s="52"/>
      <c r="AK597" s="52"/>
      <c r="AL597" s="52"/>
      <c r="AM597" s="52"/>
      <c r="AN597" s="52"/>
      <c r="AO597" s="52"/>
      <c r="AP597" s="52"/>
      <c r="AQ597" s="52"/>
      <c r="AR597" s="52"/>
      <c r="AS597" s="52"/>
    </row>
    <row r="598" spans="1:45" s="64" customFormat="1" hidden="1">
      <c r="A598" s="65" t="s">
        <v>376</v>
      </c>
      <c r="B598" s="65" t="s">
        <v>377</v>
      </c>
      <c r="C598" s="83" t="str">
        <f t="shared" si="18"/>
        <v>MW Master Chart April 2016 - Payments</v>
      </c>
      <c r="D598" s="65">
        <v>321380</v>
      </c>
      <c r="E598" s="65" t="s">
        <v>449</v>
      </c>
      <c r="F598" s="65" t="s">
        <v>155</v>
      </c>
      <c r="G598" s="65" t="s">
        <v>156</v>
      </c>
      <c r="H598" s="65" t="s">
        <v>139</v>
      </c>
      <c r="I598" s="76"/>
      <c r="J598" s="82"/>
      <c r="K598" s="66"/>
      <c r="L598" s="61">
        <f t="shared" si="19"/>
        <v>0</v>
      </c>
      <c r="M598" s="72"/>
      <c r="N598" s="73"/>
      <c r="O598" s="52"/>
      <c r="P598" s="52"/>
      <c r="Q598" s="52"/>
      <c r="R598" s="52"/>
      <c r="S598" s="52"/>
      <c r="T598" s="52"/>
      <c r="U598" s="52"/>
      <c r="V598" s="52"/>
      <c r="W598" s="52"/>
      <c r="X598" s="52"/>
      <c r="Y598" s="52"/>
      <c r="Z598" s="52"/>
      <c r="AA598" s="52"/>
      <c r="AB598" s="52"/>
      <c r="AC598" s="52"/>
      <c r="AD598" s="52"/>
      <c r="AE598" s="52"/>
      <c r="AF598" s="52"/>
      <c r="AG598" s="52"/>
      <c r="AH598" s="52"/>
      <c r="AI598" s="52"/>
      <c r="AJ598" s="52"/>
      <c r="AK598" s="52"/>
      <c r="AL598" s="52"/>
      <c r="AM598" s="52"/>
      <c r="AN598" s="52"/>
      <c r="AO598" s="52"/>
      <c r="AP598" s="52"/>
      <c r="AQ598" s="52"/>
      <c r="AR598" s="52"/>
      <c r="AS598" s="52"/>
    </row>
    <row r="599" spans="1:45" s="64" customFormat="1" hidden="1">
      <c r="A599" s="65" t="s">
        <v>376</v>
      </c>
      <c r="B599" s="65" t="s">
        <v>377</v>
      </c>
      <c r="C599" s="83" t="str">
        <f t="shared" si="18"/>
        <v>MW Master Chart April 2016 - Identity Development</v>
      </c>
      <c r="D599" s="65">
        <v>331000</v>
      </c>
      <c r="E599" s="65" t="s">
        <v>451</v>
      </c>
      <c r="F599" s="65" t="s">
        <v>155</v>
      </c>
      <c r="G599" s="65" t="s">
        <v>156</v>
      </c>
      <c r="H599" s="65" t="s">
        <v>139</v>
      </c>
      <c r="I599" s="76"/>
      <c r="J599" s="82"/>
      <c r="K599" s="66"/>
      <c r="L599" s="61">
        <f t="shared" si="19"/>
        <v>0</v>
      </c>
      <c r="M599" s="72"/>
      <c r="N599" s="73"/>
      <c r="O599" s="52"/>
      <c r="P599" s="52"/>
      <c r="Q599" s="52"/>
      <c r="R599" s="52"/>
      <c r="S599" s="52"/>
      <c r="T599" s="52"/>
      <c r="U599" s="52"/>
      <c r="V599" s="52"/>
      <c r="W599" s="52"/>
      <c r="X599" s="52"/>
      <c r="Y599" s="52"/>
      <c r="Z599" s="52"/>
      <c r="AA599" s="52"/>
      <c r="AB599" s="52"/>
      <c r="AC599" s="52"/>
      <c r="AD599" s="52"/>
      <c r="AE599" s="52"/>
      <c r="AF599" s="52"/>
      <c r="AG599" s="52"/>
      <c r="AH599" s="52"/>
      <c r="AI599" s="52"/>
      <c r="AJ599" s="52"/>
      <c r="AK599" s="52"/>
      <c r="AL599" s="52"/>
      <c r="AM599" s="52"/>
      <c r="AN599" s="52"/>
      <c r="AO599" s="52"/>
      <c r="AP599" s="52"/>
      <c r="AQ599" s="52"/>
      <c r="AR599" s="52"/>
      <c r="AS599" s="52"/>
    </row>
    <row r="600" spans="1:45" s="64" customFormat="1" hidden="1">
      <c r="A600" s="65" t="s">
        <v>376</v>
      </c>
      <c r="B600" s="65" t="s">
        <v>377</v>
      </c>
      <c r="C600" s="83" t="str">
        <f t="shared" si="18"/>
        <v>MW Master Chart April 2016 - Identity Development</v>
      </c>
      <c r="D600" s="65">
        <v>331100</v>
      </c>
      <c r="E600" s="65" t="s">
        <v>452</v>
      </c>
      <c r="F600" s="65" t="s">
        <v>155</v>
      </c>
      <c r="G600" s="65" t="s">
        <v>156</v>
      </c>
      <c r="H600" s="65" t="s">
        <v>139</v>
      </c>
      <c r="I600" s="76"/>
      <c r="J600" s="82"/>
      <c r="K600" s="66"/>
      <c r="L600" s="61">
        <f t="shared" si="19"/>
        <v>0</v>
      </c>
      <c r="M600" s="72"/>
      <c r="N600" s="73"/>
      <c r="O600" s="52"/>
      <c r="P600" s="52"/>
      <c r="Q600" s="52"/>
      <c r="R600" s="52"/>
      <c r="S600" s="52"/>
      <c r="T600" s="52"/>
      <c r="U600" s="52"/>
      <c r="V600" s="52"/>
      <c r="W600" s="52"/>
      <c r="X600" s="52"/>
      <c r="Y600" s="52"/>
      <c r="Z600" s="52"/>
      <c r="AA600" s="52"/>
      <c r="AB600" s="52"/>
      <c r="AC600" s="52"/>
      <c r="AD600" s="52"/>
      <c r="AE600" s="52"/>
      <c r="AF600" s="52"/>
      <c r="AG600" s="52"/>
      <c r="AH600" s="52"/>
      <c r="AI600" s="52"/>
      <c r="AJ600" s="52"/>
      <c r="AK600" s="52"/>
      <c r="AL600" s="52"/>
      <c r="AM600" s="52"/>
      <c r="AN600" s="52"/>
      <c r="AO600" s="52"/>
      <c r="AP600" s="52"/>
      <c r="AQ600" s="52"/>
      <c r="AR600" s="52"/>
      <c r="AS600" s="52"/>
    </row>
    <row r="601" spans="1:45" s="64" customFormat="1" hidden="1">
      <c r="A601" s="65" t="s">
        <v>376</v>
      </c>
      <c r="B601" s="65" t="s">
        <v>377</v>
      </c>
      <c r="C601" s="83" t="str">
        <f t="shared" si="18"/>
        <v>MW Master Chart April 2016 - Print Media</v>
      </c>
      <c r="D601" s="65">
        <v>341000</v>
      </c>
      <c r="E601" s="65" t="s">
        <v>453</v>
      </c>
      <c r="F601" s="65" t="s">
        <v>155</v>
      </c>
      <c r="G601" s="65" t="s">
        <v>156</v>
      </c>
      <c r="H601" s="65" t="s">
        <v>139</v>
      </c>
      <c r="I601" s="76"/>
      <c r="J601" s="82"/>
      <c r="K601" s="66"/>
      <c r="L601" s="61">
        <f t="shared" si="19"/>
        <v>0</v>
      </c>
      <c r="M601" s="72"/>
      <c r="N601" s="73"/>
      <c r="O601" s="52"/>
      <c r="P601" s="52"/>
      <c r="Q601" s="52"/>
      <c r="R601" s="52"/>
      <c r="S601" s="52"/>
      <c r="T601" s="52"/>
      <c r="U601" s="52"/>
      <c r="V601" s="52"/>
      <c r="W601" s="52"/>
      <c r="X601" s="52"/>
      <c r="Y601" s="52"/>
      <c r="Z601" s="52"/>
      <c r="AA601" s="52"/>
      <c r="AB601" s="52"/>
      <c r="AC601" s="52"/>
      <c r="AD601" s="52"/>
      <c r="AE601" s="52"/>
      <c r="AF601" s="52"/>
      <c r="AG601" s="52"/>
      <c r="AH601" s="52"/>
      <c r="AI601" s="52"/>
      <c r="AJ601" s="52"/>
      <c r="AK601" s="52"/>
      <c r="AL601" s="52"/>
      <c r="AM601" s="52"/>
      <c r="AN601" s="52"/>
      <c r="AO601" s="52"/>
      <c r="AP601" s="52"/>
      <c r="AQ601" s="52"/>
      <c r="AR601" s="52"/>
      <c r="AS601" s="52"/>
    </row>
    <row r="602" spans="1:45" s="64" customFormat="1" hidden="1">
      <c r="A602" s="65" t="s">
        <v>376</v>
      </c>
      <c r="B602" s="65" t="s">
        <v>377</v>
      </c>
      <c r="C602" s="83" t="str">
        <f t="shared" si="18"/>
        <v>MW Master Chart April 2016 - Event</v>
      </c>
      <c r="D602" s="65">
        <v>351500</v>
      </c>
      <c r="E602" s="65" t="s">
        <v>454</v>
      </c>
      <c r="F602" s="65" t="s">
        <v>155</v>
      </c>
      <c r="G602" s="65" t="s">
        <v>156</v>
      </c>
      <c r="H602" s="65" t="s">
        <v>139</v>
      </c>
      <c r="I602" s="76"/>
      <c r="J602" s="82"/>
      <c r="K602" s="66"/>
      <c r="L602" s="61">
        <f t="shared" si="19"/>
        <v>0</v>
      </c>
      <c r="M602" s="72"/>
      <c r="N602" s="73"/>
      <c r="O602" s="52"/>
      <c r="P602" s="52"/>
      <c r="Q602" s="52"/>
      <c r="R602" s="52"/>
      <c r="S602" s="52"/>
      <c r="T602" s="52"/>
      <c r="U602" s="52"/>
      <c r="V602" s="52"/>
      <c r="W602" s="52"/>
      <c r="X602" s="52"/>
      <c r="Y602" s="52"/>
      <c r="Z602" s="52"/>
      <c r="AA602" s="52"/>
      <c r="AB602" s="52"/>
      <c r="AC602" s="52"/>
      <c r="AD602" s="52"/>
      <c r="AE602" s="52"/>
      <c r="AF602" s="52"/>
      <c r="AG602" s="52"/>
      <c r="AH602" s="52"/>
      <c r="AI602" s="52"/>
      <c r="AJ602" s="52"/>
      <c r="AK602" s="52"/>
      <c r="AL602" s="52"/>
      <c r="AM602" s="52"/>
      <c r="AN602" s="52"/>
      <c r="AO602" s="52"/>
      <c r="AP602" s="52"/>
      <c r="AQ602" s="52"/>
      <c r="AR602" s="52"/>
      <c r="AS602" s="52"/>
    </row>
    <row r="603" spans="1:45" s="64" customFormat="1" hidden="1">
      <c r="A603" s="65" t="s">
        <v>376</v>
      </c>
      <c r="B603" s="65" t="s">
        <v>377</v>
      </c>
      <c r="C603" s="83" t="str">
        <f t="shared" si="18"/>
        <v>MW Master Chart April 2016 - Multimedia Presentations</v>
      </c>
      <c r="D603" s="65">
        <v>381300</v>
      </c>
      <c r="E603" s="65" t="s">
        <v>455</v>
      </c>
      <c r="F603" s="65" t="s">
        <v>155</v>
      </c>
      <c r="G603" s="65" t="s">
        <v>156</v>
      </c>
      <c r="H603" s="65" t="s">
        <v>139</v>
      </c>
      <c r="I603" s="76"/>
      <c r="J603" s="82"/>
      <c r="K603" s="66"/>
      <c r="L603" s="61">
        <f t="shared" si="19"/>
        <v>0</v>
      </c>
      <c r="M603" s="72"/>
      <c r="N603" s="73"/>
      <c r="O603" s="52"/>
      <c r="P603" s="52"/>
      <c r="Q603" s="52"/>
      <c r="R603" s="52"/>
      <c r="S603" s="52"/>
      <c r="T603" s="52"/>
      <c r="U603" s="52"/>
      <c r="V603" s="52"/>
      <c r="W603" s="52"/>
      <c r="X603" s="52"/>
      <c r="Y603" s="52"/>
      <c r="Z603" s="52"/>
      <c r="AA603" s="52"/>
      <c r="AB603" s="52"/>
      <c r="AC603" s="52"/>
      <c r="AD603" s="52"/>
      <c r="AE603" s="52"/>
      <c r="AF603" s="52"/>
      <c r="AG603" s="52"/>
      <c r="AH603" s="52"/>
      <c r="AI603" s="52"/>
      <c r="AJ603" s="52"/>
      <c r="AK603" s="52"/>
      <c r="AL603" s="52"/>
      <c r="AM603" s="52"/>
      <c r="AN603" s="52"/>
      <c r="AO603" s="52"/>
      <c r="AP603" s="52"/>
      <c r="AQ603" s="52"/>
      <c r="AR603" s="52"/>
      <c r="AS603" s="52"/>
    </row>
    <row r="604" spans="1:45" s="64" customFormat="1" hidden="1">
      <c r="A604" s="65" t="s">
        <v>376</v>
      </c>
      <c r="B604" s="65" t="s">
        <v>377</v>
      </c>
      <c r="C604" s="83" t="str">
        <f t="shared" si="18"/>
        <v>MW Master Chart April 2016 - Insurance/FEMA Tracking</v>
      </c>
      <c r="D604" s="65">
        <v>391000</v>
      </c>
      <c r="E604" s="65" t="s">
        <v>324</v>
      </c>
      <c r="F604" s="65" t="s">
        <v>155</v>
      </c>
      <c r="G604" s="65" t="s">
        <v>156</v>
      </c>
      <c r="H604" s="65" t="s">
        <v>139</v>
      </c>
      <c r="I604" s="76"/>
      <c r="J604" s="82"/>
      <c r="K604" s="66"/>
      <c r="L604" s="61">
        <f t="shared" si="19"/>
        <v>0</v>
      </c>
      <c r="M604" s="72"/>
      <c r="N604" s="73"/>
      <c r="O604" s="52"/>
      <c r="P604" s="52"/>
      <c r="Q604" s="52"/>
      <c r="R604" s="52"/>
      <c r="S604" s="52"/>
      <c r="T604" s="52"/>
      <c r="U604" s="52"/>
      <c r="V604" s="52"/>
      <c r="W604" s="52"/>
      <c r="X604" s="52"/>
      <c r="Y604" s="52"/>
      <c r="Z604" s="52"/>
      <c r="AA604" s="52"/>
      <c r="AB604" s="52"/>
      <c r="AC604" s="52"/>
      <c r="AD604" s="52"/>
      <c r="AE604" s="52"/>
      <c r="AF604" s="52"/>
      <c r="AG604" s="52"/>
      <c r="AH604" s="52"/>
      <c r="AI604" s="52"/>
      <c r="AJ604" s="52"/>
      <c r="AK604" s="52"/>
      <c r="AL604" s="52"/>
      <c r="AM604" s="52"/>
      <c r="AN604" s="52"/>
      <c r="AO604" s="52"/>
      <c r="AP604" s="52"/>
      <c r="AQ604" s="52"/>
      <c r="AR604" s="52"/>
      <c r="AS604" s="52"/>
    </row>
    <row r="605" spans="1:45" s="64" customFormat="1" hidden="1">
      <c r="A605" s="65" t="s">
        <v>376</v>
      </c>
      <c r="B605" s="65" t="s">
        <v>377</v>
      </c>
      <c r="C605" s="83" t="str">
        <f t="shared" si="18"/>
        <v>MW Master Chart April 2016 - Insurance/FEMA Tracking</v>
      </c>
      <c r="D605" s="65">
        <v>391100</v>
      </c>
      <c r="E605" s="65" t="s">
        <v>325</v>
      </c>
      <c r="F605" s="65" t="s">
        <v>155</v>
      </c>
      <c r="G605" s="65" t="s">
        <v>156</v>
      </c>
      <c r="H605" s="65" t="s">
        <v>139</v>
      </c>
      <c r="I605" s="76"/>
      <c r="J605" s="82"/>
      <c r="K605" s="66"/>
      <c r="L605" s="61">
        <f t="shared" si="19"/>
        <v>0</v>
      </c>
      <c r="M605" s="72"/>
      <c r="N605" s="73"/>
      <c r="O605" s="52"/>
      <c r="P605" s="52"/>
      <c r="Q605" s="52"/>
      <c r="R605" s="52"/>
      <c r="S605" s="52"/>
      <c r="T605" s="52"/>
      <c r="U605" s="52"/>
      <c r="V605" s="52"/>
      <c r="W605" s="52"/>
      <c r="X605" s="52"/>
      <c r="Y605" s="52"/>
      <c r="Z605" s="52"/>
      <c r="AA605" s="52"/>
      <c r="AB605" s="52"/>
      <c r="AC605" s="52"/>
      <c r="AD605" s="52"/>
      <c r="AE605" s="52"/>
      <c r="AF605" s="52"/>
      <c r="AG605" s="52"/>
      <c r="AH605" s="52"/>
      <c r="AI605" s="52"/>
      <c r="AJ605" s="52"/>
      <c r="AK605" s="52"/>
      <c r="AL605" s="52"/>
      <c r="AM605" s="52"/>
      <c r="AN605" s="52"/>
      <c r="AO605" s="52"/>
      <c r="AP605" s="52"/>
      <c r="AQ605" s="52"/>
      <c r="AR605" s="52"/>
      <c r="AS605" s="52"/>
    </row>
    <row r="606" spans="1:45" s="64" customFormat="1" hidden="1">
      <c r="A606" s="65" t="s">
        <v>376</v>
      </c>
      <c r="B606" s="65" t="s">
        <v>377</v>
      </c>
      <c r="C606" s="83" t="str">
        <f t="shared" si="18"/>
        <v>MW Master Chart April 2016 - Insurance/FEMA Tracking</v>
      </c>
      <c r="D606" s="65">
        <v>391200</v>
      </c>
      <c r="E606" s="65" t="s">
        <v>326</v>
      </c>
      <c r="F606" s="65" t="s">
        <v>155</v>
      </c>
      <c r="G606" s="65" t="s">
        <v>156</v>
      </c>
      <c r="H606" s="65" t="s">
        <v>139</v>
      </c>
      <c r="I606" s="76"/>
      <c r="J606" s="82"/>
      <c r="K606" s="66"/>
      <c r="L606" s="61">
        <f t="shared" si="19"/>
        <v>0</v>
      </c>
      <c r="M606" s="72"/>
      <c r="N606" s="73"/>
      <c r="O606" s="52"/>
      <c r="P606" s="52"/>
      <c r="Q606" s="52"/>
      <c r="R606" s="52"/>
      <c r="S606" s="52"/>
      <c r="T606" s="52"/>
      <c r="U606" s="52"/>
      <c r="V606" s="52"/>
      <c r="W606" s="52"/>
      <c r="X606" s="52"/>
      <c r="Y606" s="52"/>
      <c r="Z606" s="52"/>
      <c r="AA606" s="52"/>
      <c r="AB606" s="52"/>
      <c r="AC606" s="52"/>
      <c r="AD606" s="52"/>
      <c r="AE606" s="52"/>
      <c r="AF606" s="52"/>
      <c r="AG606" s="52"/>
      <c r="AH606" s="52"/>
      <c r="AI606" s="52"/>
      <c r="AJ606" s="52"/>
      <c r="AK606" s="52"/>
      <c r="AL606" s="52"/>
      <c r="AM606" s="52"/>
      <c r="AN606" s="52"/>
      <c r="AO606" s="52"/>
      <c r="AP606" s="52"/>
      <c r="AQ606" s="52"/>
      <c r="AR606" s="52"/>
      <c r="AS606" s="52"/>
    </row>
    <row r="607" spans="1:45" s="64" customFormat="1" hidden="1">
      <c r="A607" s="65" t="s">
        <v>376</v>
      </c>
      <c r="B607" s="65" t="s">
        <v>377</v>
      </c>
      <c r="C607" s="83" t="str">
        <f t="shared" si="18"/>
        <v>MW Master Chart April 2016 - Insurance/FEMA Tracking</v>
      </c>
      <c r="D607" s="65">
        <v>391300</v>
      </c>
      <c r="E607" s="65" t="s">
        <v>327</v>
      </c>
      <c r="F607" s="65" t="s">
        <v>155</v>
      </c>
      <c r="G607" s="65" t="s">
        <v>156</v>
      </c>
      <c r="H607" s="65" t="s">
        <v>139</v>
      </c>
      <c r="I607" s="76"/>
      <c r="J607" s="82"/>
      <c r="K607" s="66"/>
      <c r="L607" s="61">
        <f t="shared" si="19"/>
        <v>0</v>
      </c>
      <c r="M607" s="72"/>
      <c r="N607" s="73"/>
      <c r="O607" s="52"/>
      <c r="P607" s="52"/>
      <c r="Q607" s="52"/>
      <c r="R607" s="52"/>
      <c r="S607" s="52"/>
      <c r="T607" s="52"/>
      <c r="U607" s="52"/>
      <c r="V607" s="52"/>
      <c r="W607" s="52"/>
      <c r="X607" s="52"/>
      <c r="Y607" s="52"/>
      <c r="Z607" s="52"/>
      <c r="AA607" s="52"/>
      <c r="AB607" s="52"/>
      <c r="AC607" s="52"/>
      <c r="AD607" s="52"/>
      <c r="AE607" s="52"/>
      <c r="AF607" s="52"/>
      <c r="AG607" s="52"/>
      <c r="AH607" s="52"/>
      <c r="AI607" s="52"/>
      <c r="AJ607" s="52"/>
      <c r="AK607" s="52"/>
      <c r="AL607" s="52"/>
      <c r="AM607" s="52"/>
      <c r="AN607" s="52"/>
      <c r="AO607" s="52"/>
      <c r="AP607" s="52"/>
      <c r="AQ607" s="52"/>
      <c r="AR607" s="52"/>
      <c r="AS607" s="52"/>
    </row>
    <row r="608" spans="1:45" s="64" customFormat="1" hidden="1">
      <c r="A608" s="65" t="s">
        <v>376</v>
      </c>
      <c r="B608" s="65" t="s">
        <v>377</v>
      </c>
      <c r="C608" s="83" t="str">
        <f t="shared" si="18"/>
        <v>MW Master Chart April 2016 - ICTSI Reimbursable</v>
      </c>
      <c r="D608" s="65">
        <v>600110</v>
      </c>
      <c r="E608" s="65" t="s">
        <v>456</v>
      </c>
      <c r="F608" s="65" t="s">
        <v>155</v>
      </c>
      <c r="G608" s="65" t="s">
        <v>156</v>
      </c>
      <c r="H608" s="65" t="s">
        <v>139</v>
      </c>
      <c r="I608" s="76"/>
      <c r="J608" s="82"/>
      <c r="K608" s="66"/>
      <c r="L608" s="61">
        <f t="shared" si="19"/>
        <v>0</v>
      </c>
      <c r="M608" s="72"/>
      <c r="N608" s="73"/>
      <c r="O608" s="52"/>
      <c r="P608" s="52"/>
      <c r="Q608" s="52"/>
      <c r="R608" s="52"/>
      <c r="S608" s="52"/>
      <c r="T608" s="52"/>
      <c r="U608" s="52"/>
      <c r="V608" s="52"/>
      <c r="W608" s="52"/>
      <c r="X608" s="52"/>
      <c r="Y608" s="52"/>
      <c r="Z608" s="52"/>
      <c r="AA608" s="52"/>
      <c r="AB608" s="52"/>
      <c r="AC608" s="52"/>
      <c r="AD608" s="52"/>
      <c r="AE608" s="52"/>
      <c r="AF608" s="52"/>
      <c r="AG608" s="52"/>
      <c r="AH608" s="52"/>
      <c r="AI608" s="52"/>
      <c r="AJ608" s="52"/>
      <c r="AK608" s="52"/>
      <c r="AL608" s="52"/>
      <c r="AM608" s="52"/>
      <c r="AN608" s="52"/>
      <c r="AO608" s="52"/>
      <c r="AP608" s="52"/>
      <c r="AQ608" s="52"/>
      <c r="AR608" s="52"/>
      <c r="AS608" s="52"/>
    </row>
    <row r="609" spans="1:45" s="64" customFormat="1" hidden="1">
      <c r="A609" s="65" t="s">
        <v>376</v>
      </c>
      <c r="B609" s="65" t="s">
        <v>377</v>
      </c>
      <c r="C609" s="83" t="str">
        <f t="shared" si="18"/>
        <v>MW Master Chart April 2016 - ICTSI Reimbursable</v>
      </c>
      <c r="D609" s="65">
        <v>600120</v>
      </c>
      <c r="E609" s="65" t="s">
        <v>457</v>
      </c>
      <c r="F609" s="65" t="s">
        <v>155</v>
      </c>
      <c r="G609" s="65" t="s">
        <v>156</v>
      </c>
      <c r="H609" s="65" t="s">
        <v>139</v>
      </c>
      <c r="I609" s="76"/>
      <c r="J609" s="82"/>
      <c r="K609" s="66"/>
      <c r="L609" s="61">
        <f t="shared" si="19"/>
        <v>0</v>
      </c>
      <c r="M609" s="72"/>
      <c r="N609" s="73"/>
      <c r="O609" s="52"/>
      <c r="P609" s="52"/>
      <c r="Q609" s="52"/>
      <c r="R609" s="52"/>
      <c r="S609" s="52"/>
      <c r="T609" s="52"/>
      <c r="U609" s="52"/>
      <c r="V609" s="52"/>
      <c r="W609" s="52"/>
      <c r="X609" s="52"/>
      <c r="Y609" s="52"/>
      <c r="Z609" s="52"/>
      <c r="AA609" s="52"/>
      <c r="AB609" s="52"/>
      <c r="AC609" s="52"/>
      <c r="AD609" s="52"/>
      <c r="AE609" s="52"/>
      <c r="AF609" s="52"/>
      <c r="AG609" s="52"/>
      <c r="AH609" s="52"/>
      <c r="AI609" s="52"/>
      <c r="AJ609" s="52"/>
      <c r="AK609" s="52"/>
      <c r="AL609" s="52"/>
      <c r="AM609" s="52"/>
      <c r="AN609" s="52"/>
      <c r="AO609" s="52"/>
      <c r="AP609" s="52"/>
      <c r="AQ609" s="52"/>
      <c r="AR609" s="52"/>
      <c r="AS609" s="52"/>
    </row>
    <row r="610" spans="1:45" s="64" customFormat="1" hidden="1">
      <c r="A610" s="65" t="s">
        <v>376</v>
      </c>
      <c r="B610" s="65" t="s">
        <v>377</v>
      </c>
      <c r="C610" s="83" t="str">
        <f t="shared" si="18"/>
        <v>MW Master Chart April 2016 - ICTSI Reimbursable</v>
      </c>
      <c r="D610" s="65">
        <v>600130</v>
      </c>
      <c r="E610" s="65" t="s">
        <v>458</v>
      </c>
      <c r="F610" s="65" t="s">
        <v>155</v>
      </c>
      <c r="G610" s="65" t="s">
        <v>156</v>
      </c>
      <c r="H610" s="65" t="s">
        <v>139</v>
      </c>
      <c r="I610" s="76"/>
      <c r="J610" s="82"/>
      <c r="K610" s="66"/>
      <c r="L610" s="61">
        <f t="shared" si="19"/>
        <v>0</v>
      </c>
      <c r="M610" s="72"/>
      <c r="N610" s="73"/>
      <c r="O610" s="52"/>
      <c r="P610" s="52"/>
      <c r="Q610" s="52"/>
      <c r="R610" s="52"/>
      <c r="S610" s="52"/>
      <c r="T610" s="52"/>
      <c r="U610" s="52"/>
      <c r="V610" s="52"/>
      <c r="W610" s="52"/>
      <c r="X610" s="52"/>
      <c r="Y610" s="52"/>
      <c r="Z610" s="52"/>
      <c r="AA610" s="52"/>
      <c r="AB610" s="52"/>
      <c r="AC610" s="52"/>
      <c r="AD610" s="52"/>
      <c r="AE610" s="52"/>
      <c r="AF610" s="52"/>
      <c r="AG610" s="52"/>
      <c r="AH610" s="52"/>
      <c r="AI610" s="52"/>
      <c r="AJ610" s="52"/>
      <c r="AK610" s="52"/>
      <c r="AL610" s="52"/>
      <c r="AM610" s="52"/>
      <c r="AN610" s="52"/>
      <c r="AO610" s="52"/>
      <c r="AP610" s="52"/>
      <c r="AQ610" s="52"/>
      <c r="AR610" s="52"/>
      <c r="AS610" s="52"/>
    </row>
    <row r="611" spans="1:45" s="64" customFormat="1" hidden="1">
      <c r="A611" s="65" t="s">
        <v>376</v>
      </c>
      <c r="B611" s="65" t="s">
        <v>377</v>
      </c>
      <c r="C611" s="83" t="str">
        <f t="shared" si="18"/>
        <v>MW Master Chart April 2016 - ICTSI Reimbursable</v>
      </c>
      <c r="D611" s="65">
        <v>600140</v>
      </c>
      <c r="E611" s="65" t="s">
        <v>459</v>
      </c>
      <c r="F611" s="65" t="s">
        <v>155</v>
      </c>
      <c r="G611" s="65" t="s">
        <v>156</v>
      </c>
      <c r="H611" s="65" t="s">
        <v>139</v>
      </c>
      <c r="I611" s="76"/>
      <c r="J611" s="82"/>
      <c r="K611" s="66"/>
      <c r="L611" s="61">
        <f t="shared" si="19"/>
        <v>0</v>
      </c>
      <c r="M611" s="72"/>
      <c r="N611" s="73"/>
      <c r="O611" s="52"/>
      <c r="P611" s="52"/>
      <c r="Q611" s="52"/>
      <c r="R611" s="52"/>
      <c r="S611" s="52"/>
      <c r="T611" s="52"/>
      <c r="U611" s="52"/>
      <c r="V611" s="52"/>
      <c r="W611" s="52"/>
      <c r="X611" s="52"/>
      <c r="Y611" s="52"/>
      <c r="Z611" s="52"/>
      <c r="AA611" s="52"/>
      <c r="AB611" s="52"/>
      <c r="AC611" s="52"/>
      <c r="AD611" s="52"/>
      <c r="AE611" s="52"/>
      <c r="AF611" s="52"/>
      <c r="AG611" s="52"/>
      <c r="AH611" s="52"/>
      <c r="AI611" s="52"/>
      <c r="AJ611" s="52"/>
      <c r="AK611" s="52"/>
      <c r="AL611" s="52"/>
      <c r="AM611" s="52"/>
      <c r="AN611" s="52"/>
      <c r="AO611" s="52"/>
      <c r="AP611" s="52"/>
      <c r="AQ611" s="52"/>
      <c r="AR611" s="52"/>
      <c r="AS611" s="52"/>
    </row>
    <row r="612" spans="1:45" s="64" customFormat="1" hidden="1">
      <c r="A612" s="65" t="s">
        <v>376</v>
      </c>
      <c r="B612" s="65" t="s">
        <v>377</v>
      </c>
      <c r="C612" s="83" t="str">
        <f t="shared" si="18"/>
        <v>MW Master Chart April 2016 - ICTSI Reimbursable</v>
      </c>
      <c r="D612" s="65">
        <v>600150</v>
      </c>
      <c r="E612" s="65" t="s">
        <v>460</v>
      </c>
      <c r="F612" s="65" t="s">
        <v>155</v>
      </c>
      <c r="G612" s="65" t="s">
        <v>156</v>
      </c>
      <c r="H612" s="65" t="s">
        <v>139</v>
      </c>
      <c r="I612" s="76"/>
      <c r="J612" s="82"/>
      <c r="K612" s="66"/>
      <c r="L612" s="61">
        <f t="shared" si="19"/>
        <v>0</v>
      </c>
      <c r="M612" s="72"/>
      <c r="N612" s="73"/>
      <c r="O612" s="52"/>
      <c r="P612" s="52"/>
      <c r="Q612" s="52"/>
      <c r="R612" s="52"/>
      <c r="S612" s="52"/>
      <c r="T612" s="52"/>
      <c r="U612" s="52"/>
      <c r="V612" s="52"/>
      <c r="W612" s="52"/>
      <c r="X612" s="52"/>
      <c r="Y612" s="52"/>
      <c r="Z612" s="52"/>
      <c r="AA612" s="52"/>
      <c r="AB612" s="52"/>
      <c r="AC612" s="52"/>
      <c r="AD612" s="52"/>
      <c r="AE612" s="52"/>
      <c r="AF612" s="52"/>
      <c r="AG612" s="52"/>
      <c r="AH612" s="52"/>
      <c r="AI612" s="52"/>
      <c r="AJ612" s="52"/>
      <c r="AK612" s="52"/>
      <c r="AL612" s="52"/>
      <c r="AM612" s="52"/>
      <c r="AN612" s="52"/>
      <c r="AO612" s="52"/>
      <c r="AP612" s="52"/>
      <c r="AQ612" s="52"/>
      <c r="AR612" s="52"/>
      <c r="AS612" s="52"/>
    </row>
    <row r="613" spans="1:45" s="64" customFormat="1" hidden="1">
      <c r="A613" s="65" t="s">
        <v>376</v>
      </c>
      <c r="B613" s="65" t="s">
        <v>377</v>
      </c>
      <c r="C613" s="83" t="str">
        <f t="shared" si="18"/>
        <v>MW Master Chart April 2016 - ICTSI Reimbursable</v>
      </c>
      <c r="D613" s="65">
        <v>600160</v>
      </c>
      <c r="E613" s="65" t="s">
        <v>461</v>
      </c>
      <c r="F613" s="65" t="s">
        <v>155</v>
      </c>
      <c r="G613" s="65" t="s">
        <v>156</v>
      </c>
      <c r="H613" s="65" t="s">
        <v>139</v>
      </c>
      <c r="I613" s="76"/>
      <c r="J613" s="82"/>
      <c r="K613" s="66"/>
      <c r="L613" s="61">
        <f t="shared" si="19"/>
        <v>0</v>
      </c>
      <c r="M613" s="72"/>
      <c r="N613" s="73"/>
      <c r="O613" s="52"/>
      <c r="P613" s="52"/>
      <c r="Q613" s="52"/>
      <c r="R613" s="52"/>
      <c r="S613" s="52"/>
      <c r="T613" s="52"/>
      <c r="U613" s="52"/>
      <c r="V613" s="52"/>
      <c r="W613" s="52"/>
      <c r="X613" s="52"/>
      <c r="Y613" s="52"/>
      <c r="Z613" s="52"/>
      <c r="AA613" s="52"/>
      <c r="AB613" s="52"/>
      <c r="AC613" s="52"/>
      <c r="AD613" s="52"/>
      <c r="AE613" s="52"/>
      <c r="AF613" s="52"/>
      <c r="AG613" s="52"/>
      <c r="AH613" s="52"/>
      <c r="AI613" s="52"/>
      <c r="AJ613" s="52"/>
      <c r="AK613" s="52"/>
      <c r="AL613" s="52"/>
      <c r="AM613" s="52"/>
      <c r="AN613" s="52"/>
      <c r="AO613" s="52"/>
      <c r="AP613" s="52"/>
      <c r="AQ613" s="52"/>
      <c r="AR613" s="52"/>
      <c r="AS613" s="52"/>
    </row>
    <row r="614" spans="1:45" s="64" customFormat="1" hidden="1">
      <c r="A614" s="65" t="s">
        <v>376</v>
      </c>
      <c r="B614" s="65" t="s">
        <v>377</v>
      </c>
      <c r="C614" s="83" t="str">
        <f t="shared" si="18"/>
        <v>MW Master Chart April 2016 - ICTSI Reimbursable</v>
      </c>
      <c r="D614" s="65">
        <v>600170</v>
      </c>
      <c r="E614" s="65" t="s">
        <v>462</v>
      </c>
      <c r="F614" s="65" t="s">
        <v>155</v>
      </c>
      <c r="G614" s="65" t="s">
        <v>156</v>
      </c>
      <c r="H614" s="65" t="s">
        <v>139</v>
      </c>
      <c r="I614" s="76"/>
      <c r="J614" s="82"/>
      <c r="K614" s="66"/>
      <c r="L614" s="61">
        <f t="shared" si="19"/>
        <v>0</v>
      </c>
      <c r="M614" s="72"/>
      <c r="N614" s="73"/>
      <c r="O614" s="52"/>
      <c r="P614" s="52"/>
      <c r="Q614" s="52"/>
      <c r="R614" s="52"/>
      <c r="S614" s="52"/>
      <c r="T614" s="52"/>
      <c r="U614" s="52"/>
      <c r="V614" s="52"/>
      <c r="W614" s="52"/>
      <c r="X614" s="52"/>
      <c r="Y614" s="52"/>
      <c r="Z614" s="52"/>
      <c r="AA614" s="52"/>
      <c r="AB614" s="52"/>
      <c r="AC614" s="52"/>
      <c r="AD614" s="52"/>
      <c r="AE614" s="52"/>
      <c r="AF614" s="52"/>
      <c r="AG614" s="52"/>
      <c r="AH614" s="52"/>
      <c r="AI614" s="52"/>
      <c r="AJ614" s="52"/>
      <c r="AK614" s="52"/>
      <c r="AL614" s="52"/>
      <c r="AM614" s="52"/>
      <c r="AN614" s="52"/>
      <c r="AO614" s="52"/>
      <c r="AP614" s="52"/>
      <c r="AQ614" s="52"/>
      <c r="AR614" s="52"/>
      <c r="AS614" s="52"/>
    </row>
    <row r="615" spans="1:45" s="64" customFormat="1" hidden="1">
      <c r="A615" s="65" t="s">
        <v>376</v>
      </c>
      <c r="B615" s="65" t="s">
        <v>377</v>
      </c>
      <c r="C615" s="83" t="str">
        <f t="shared" si="18"/>
        <v>MW Master Chart April 2016 - ICTSI Reimbursable</v>
      </c>
      <c r="D615" s="65">
        <v>600230</v>
      </c>
      <c r="E615" s="65" t="s">
        <v>463</v>
      </c>
      <c r="F615" s="65" t="s">
        <v>155</v>
      </c>
      <c r="G615" s="65" t="s">
        <v>156</v>
      </c>
      <c r="H615" s="65"/>
      <c r="I615" s="76"/>
      <c r="J615" s="82"/>
      <c r="K615" s="66"/>
      <c r="L615" s="61">
        <f t="shared" si="19"/>
        <v>0</v>
      </c>
      <c r="M615" s="72"/>
      <c r="N615" s="73"/>
      <c r="O615" s="52"/>
      <c r="P615" s="52"/>
      <c r="Q615" s="52"/>
      <c r="R615" s="52"/>
      <c r="S615" s="52"/>
      <c r="T615" s="52"/>
      <c r="U615" s="52"/>
      <c r="V615" s="52"/>
      <c r="W615" s="52"/>
      <c r="X615" s="52"/>
      <c r="Y615" s="52"/>
      <c r="Z615" s="52"/>
      <c r="AA615" s="52"/>
      <c r="AB615" s="52"/>
      <c r="AC615" s="52"/>
      <c r="AD615" s="52"/>
      <c r="AE615" s="52"/>
      <c r="AF615" s="52"/>
      <c r="AG615" s="52"/>
      <c r="AH615" s="52"/>
      <c r="AI615" s="52"/>
      <c r="AJ615" s="52"/>
      <c r="AK615" s="52"/>
      <c r="AL615" s="52"/>
      <c r="AM615" s="52"/>
      <c r="AN615" s="52"/>
      <c r="AO615" s="52"/>
      <c r="AP615" s="52"/>
      <c r="AQ615" s="52"/>
      <c r="AR615" s="52"/>
      <c r="AS615" s="52"/>
    </row>
    <row r="616" spans="1:45" s="64" customFormat="1" hidden="1">
      <c r="A616" s="65" t="s">
        <v>376</v>
      </c>
      <c r="B616" s="65" t="s">
        <v>377</v>
      </c>
      <c r="C616" s="83" t="str">
        <f t="shared" si="18"/>
        <v>MW Master Chart April 2016 - ICTSI Reimbursable</v>
      </c>
      <c r="D616" s="65">
        <v>600240</v>
      </c>
      <c r="E616" s="65" t="s">
        <v>464</v>
      </c>
      <c r="F616" s="65" t="s">
        <v>155</v>
      </c>
      <c r="G616" s="65" t="s">
        <v>156</v>
      </c>
      <c r="H616" s="65"/>
      <c r="I616" s="76"/>
      <c r="J616" s="82"/>
      <c r="K616" s="66"/>
      <c r="L616" s="61">
        <f t="shared" si="19"/>
        <v>0</v>
      </c>
      <c r="M616" s="72"/>
      <c r="N616" s="73"/>
      <c r="O616" s="52"/>
      <c r="P616" s="52"/>
      <c r="Q616" s="52"/>
      <c r="R616" s="52"/>
      <c r="S616" s="52"/>
      <c r="T616" s="52"/>
      <c r="U616" s="52"/>
      <c r="V616" s="52"/>
      <c r="W616" s="52"/>
      <c r="X616" s="52"/>
      <c r="Y616" s="52"/>
      <c r="Z616" s="52"/>
      <c r="AA616" s="52"/>
      <c r="AB616" s="52"/>
      <c r="AC616" s="52"/>
      <c r="AD616" s="52"/>
      <c r="AE616" s="52"/>
      <c r="AF616" s="52"/>
      <c r="AG616" s="52"/>
      <c r="AH616" s="52"/>
      <c r="AI616" s="52"/>
      <c r="AJ616" s="52"/>
      <c r="AK616" s="52"/>
      <c r="AL616" s="52"/>
      <c r="AM616" s="52"/>
      <c r="AN616" s="52"/>
      <c r="AO616" s="52"/>
      <c r="AP616" s="52"/>
      <c r="AQ616" s="52"/>
      <c r="AR616" s="52"/>
      <c r="AS616" s="52"/>
    </row>
    <row r="617" spans="1:45" s="64" customFormat="1" hidden="1">
      <c r="A617" s="65" t="s">
        <v>376</v>
      </c>
      <c r="B617" s="65" t="s">
        <v>377</v>
      </c>
      <c r="C617" s="83" t="str">
        <f t="shared" si="18"/>
        <v>MW Master Chart April 2016 - ICTSI Reimbursable</v>
      </c>
      <c r="D617" s="65">
        <v>600250</v>
      </c>
      <c r="E617" s="65" t="s">
        <v>465</v>
      </c>
      <c r="F617" s="65" t="s">
        <v>155</v>
      </c>
      <c r="G617" s="65" t="s">
        <v>156</v>
      </c>
      <c r="H617" s="65"/>
      <c r="I617" s="76"/>
      <c r="J617" s="82"/>
      <c r="K617" s="66"/>
      <c r="L617" s="61">
        <f t="shared" si="19"/>
        <v>0</v>
      </c>
      <c r="M617" s="72"/>
      <c r="N617" s="73"/>
      <c r="O617" s="52"/>
      <c r="P617" s="52"/>
      <c r="Q617" s="52"/>
      <c r="R617" s="52"/>
      <c r="S617" s="52"/>
      <c r="T617" s="52"/>
      <c r="U617" s="52"/>
      <c r="V617" s="52"/>
      <c r="W617" s="52"/>
      <c r="X617" s="52"/>
      <c r="Y617" s="52"/>
      <c r="Z617" s="52"/>
      <c r="AA617" s="52"/>
      <c r="AB617" s="52"/>
      <c r="AC617" s="52"/>
      <c r="AD617" s="52"/>
      <c r="AE617" s="52"/>
      <c r="AF617" s="52"/>
      <c r="AG617" s="52"/>
      <c r="AH617" s="52"/>
      <c r="AI617" s="52"/>
      <c r="AJ617" s="52"/>
      <c r="AK617" s="52"/>
      <c r="AL617" s="52"/>
      <c r="AM617" s="52"/>
      <c r="AN617" s="52"/>
      <c r="AO617" s="52"/>
      <c r="AP617" s="52"/>
      <c r="AQ617" s="52"/>
      <c r="AR617" s="52"/>
      <c r="AS617" s="52"/>
    </row>
    <row r="618" spans="1:45" s="64" customFormat="1" hidden="1">
      <c r="A618" s="65" t="s">
        <v>376</v>
      </c>
      <c r="B618" s="65" t="s">
        <v>377</v>
      </c>
      <c r="C618" s="83" t="str">
        <f t="shared" si="18"/>
        <v>MW Master Chart April 2016 - ICTSI Reimbursable</v>
      </c>
      <c r="D618" s="65">
        <v>600260</v>
      </c>
      <c r="E618" s="65" t="s">
        <v>466</v>
      </c>
      <c r="F618" s="65" t="s">
        <v>155</v>
      </c>
      <c r="G618" s="65" t="s">
        <v>156</v>
      </c>
      <c r="H618" s="65"/>
      <c r="I618" s="76"/>
      <c r="J618" s="82"/>
      <c r="K618" s="66"/>
      <c r="L618" s="61">
        <f t="shared" si="19"/>
        <v>0</v>
      </c>
      <c r="M618" s="72"/>
      <c r="N618" s="73"/>
      <c r="O618" s="52"/>
      <c r="P618" s="52"/>
      <c r="Q618" s="52"/>
      <c r="R618" s="52"/>
      <c r="S618" s="52"/>
      <c r="T618" s="52"/>
      <c r="U618" s="52"/>
      <c r="V618" s="52"/>
      <c r="W618" s="52"/>
      <c r="X618" s="52"/>
      <c r="Y618" s="52"/>
      <c r="Z618" s="52"/>
      <c r="AA618" s="52"/>
      <c r="AB618" s="52"/>
      <c r="AC618" s="52"/>
      <c r="AD618" s="52"/>
      <c r="AE618" s="52"/>
      <c r="AF618" s="52"/>
      <c r="AG618" s="52"/>
      <c r="AH618" s="52"/>
      <c r="AI618" s="52"/>
      <c r="AJ618" s="52"/>
      <c r="AK618" s="52"/>
      <c r="AL618" s="52"/>
      <c r="AM618" s="52"/>
      <c r="AN618" s="52"/>
      <c r="AO618" s="52"/>
      <c r="AP618" s="52"/>
      <c r="AQ618" s="52"/>
      <c r="AR618" s="52"/>
      <c r="AS618" s="52"/>
    </row>
    <row r="619" spans="1:45" s="64" customFormat="1" hidden="1">
      <c r="A619" s="65" t="s">
        <v>376</v>
      </c>
      <c r="B619" s="65" t="s">
        <v>377</v>
      </c>
      <c r="C619" s="83" t="str">
        <f t="shared" si="18"/>
        <v>MW Master Chart April 2016 - ICTSI Reimbursable</v>
      </c>
      <c r="D619" s="65">
        <v>600270</v>
      </c>
      <c r="E619" s="65" t="s">
        <v>467</v>
      </c>
      <c r="F619" s="65" t="s">
        <v>155</v>
      </c>
      <c r="G619" s="65" t="s">
        <v>156</v>
      </c>
      <c r="H619" s="65"/>
      <c r="I619" s="76"/>
      <c r="J619" s="82"/>
      <c r="K619" s="66"/>
      <c r="L619" s="61">
        <f t="shared" si="19"/>
        <v>0</v>
      </c>
      <c r="M619" s="72"/>
      <c r="N619" s="73"/>
      <c r="O619" s="52"/>
      <c r="P619" s="52"/>
      <c r="Q619" s="52"/>
      <c r="R619" s="52"/>
      <c r="S619" s="52"/>
      <c r="T619" s="52"/>
      <c r="U619" s="52"/>
      <c r="V619" s="52"/>
      <c r="W619" s="52"/>
      <c r="X619" s="52"/>
      <c r="Y619" s="52"/>
      <c r="Z619" s="52"/>
      <c r="AA619" s="52"/>
      <c r="AB619" s="52"/>
      <c r="AC619" s="52"/>
      <c r="AD619" s="52"/>
      <c r="AE619" s="52"/>
      <c r="AF619" s="52"/>
      <c r="AG619" s="52"/>
      <c r="AH619" s="52"/>
      <c r="AI619" s="52"/>
      <c r="AJ619" s="52"/>
      <c r="AK619" s="52"/>
      <c r="AL619" s="52"/>
      <c r="AM619" s="52"/>
      <c r="AN619" s="52"/>
      <c r="AO619" s="52"/>
      <c r="AP619" s="52"/>
      <c r="AQ619" s="52"/>
      <c r="AR619" s="52"/>
      <c r="AS619" s="52"/>
    </row>
    <row r="620" spans="1:45" s="64" customFormat="1" hidden="1">
      <c r="A620" s="65" t="s">
        <v>376</v>
      </c>
      <c r="B620" s="65" t="s">
        <v>377</v>
      </c>
      <c r="C620" s="83" t="str">
        <f t="shared" si="18"/>
        <v>MW Master Chart April 2016 - ICTSI Reimbursable</v>
      </c>
      <c r="D620" s="65">
        <v>600280</v>
      </c>
      <c r="E620" s="65" t="s">
        <v>468</v>
      </c>
      <c r="F620" s="65" t="s">
        <v>155</v>
      </c>
      <c r="G620" s="65" t="s">
        <v>156</v>
      </c>
      <c r="H620" s="65"/>
      <c r="I620" s="76"/>
      <c r="J620" s="82"/>
      <c r="K620" s="66"/>
      <c r="L620" s="61">
        <f t="shared" si="19"/>
        <v>0</v>
      </c>
      <c r="M620" s="72"/>
      <c r="N620" s="73"/>
      <c r="O620" s="52"/>
      <c r="P620" s="52"/>
      <c r="Q620" s="52"/>
      <c r="R620" s="52"/>
      <c r="S620" s="52"/>
      <c r="T620" s="52"/>
      <c r="U620" s="52"/>
      <c r="V620" s="52"/>
      <c r="W620" s="52"/>
      <c r="X620" s="52"/>
      <c r="Y620" s="52"/>
      <c r="Z620" s="52"/>
      <c r="AA620" s="52"/>
      <c r="AB620" s="52"/>
      <c r="AC620" s="52"/>
      <c r="AD620" s="52"/>
      <c r="AE620" s="52"/>
      <c r="AF620" s="52"/>
      <c r="AG620" s="52"/>
      <c r="AH620" s="52"/>
      <c r="AI620" s="52"/>
      <c r="AJ620" s="52"/>
      <c r="AK620" s="52"/>
      <c r="AL620" s="52"/>
      <c r="AM620" s="52"/>
      <c r="AN620" s="52"/>
      <c r="AO620" s="52"/>
      <c r="AP620" s="52"/>
      <c r="AQ620" s="52"/>
      <c r="AR620" s="52"/>
      <c r="AS620" s="52"/>
    </row>
    <row r="621" spans="1:45" s="64" customFormat="1" hidden="1">
      <c r="A621" s="65" t="s">
        <v>376</v>
      </c>
      <c r="B621" s="65" t="s">
        <v>377</v>
      </c>
      <c r="C621" s="83" t="str">
        <f t="shared" si="18"/>
        <v>MW Master Chart April 2016 - Project Close Out</v>
      </c>
      <c r="D621" s="65">
        <v>781000</v>
      </c>
      <c r="E621" s="65" t="s">
        <v>195</v>
      </c>
      <c r="F621" s="65" t="s">
        <v>168</v>
      </c>
      <c r="G621" s="65" t="s">
        <v>169</v>
      </c>
      <c r="H621" s="65" t="s">
        <v>139</v>
      </c>
      <c r="I621" s="76"/>
      <c r="J621" s="82"/>
      <c r="K621" s="66"/>
      <c r="L621" s="61">
        <f t="shared" si="19"/>
        <v>0</v>
      </c>
      <c r="M621" s="72"/>
      <c r="N621" s="73"/>
      <c r="O621" s="52"/>
      <c r="P621" s="52"/>
      <c r="Q621" s="52"/>
      <c r="R621" s="52"/>
      <c r="S621" s="52"/>
      <c r="T621" s="52"/>
      <c r="U621" s="52"/>
      <c r="V621" s="52"/>
      <c r="W621" s="52"/>
      <c r="X621" s="52"/>
      <c r="Y621" s="52"/>
      <c r="Z621" s="52"/>
      <c r="AA621" s="52"/>
      <c r="AB621" s="52"/>
      <c r="AC621" s="52"/>
      <c r="AD621" s="52"/>
      <c r="AE621" s="52"/>
      <c r="AF621" s="52"/>
      <c r="AG621" s="52"/>
      <c r="AH621" s="52"/>
      <c r="AI621" s="52"/>
      <c r="AJ621" s="52"/>
      <c r="AK621" s="52"/>
      <c r="AL621" s="52"/>
      <c r="AM621" s="52"/>
      <c r="AN621" s="52"/>
      <c r="AO621" s="52"/>
      <c r="AP621" s="52"/>
      <c r="AQ621" s="52"/>
      <c r="AR621" s="52"/>
      <c r="AS621" s="52"/>
    </row>
    <row r="622" spans="1:45" s="64" customFormat="1" hidden="1">
      <c r="A622" s="65" t="s">
        <v>376</v>
      </c>
      <c r="B622" s="65" t="s">
        <v>377</v>
      </c>
      <c r="C622" s="83" t="str">
        <f t="shared" si="18"/>
        <v>MW Master Chart April 2016 - Project Close Out</v>
      </c>
      <c r="D622" s="65">
        <v>781100</v>
      </c>
      <c r="E622" s="65" t="s">
        <v>167</v>
      </c>
      <c r="F622" s="65" t="s">
        <v>168</v>
      </c>
      <c r="G622" s="65" t="s">
        <v>169</v>
      </c>
      <c r="H622" s="65" t="s">
        <v>139</v>
      </c>
      <c r="I622" s="76"/>
      <c r="J622" s="82"/>
      <c r="K622" s="66"/>
      <c r="L622" s="61">
        <f t="shared" si="19"/>
        <v>0</v>
      </c>
      <c r="M622" s="72"/>
      <c r="N622" s="73"/>
      <c r="O622" s="52"/>
      <c r="P622" s="52"/>
      <c r="Q622" s="52"/>
      <c r="R622" s="52"/>
      <c r="S622" s="52"/>
      <c r="T622" s="52"/>
      <c r="U622" s="52"/>
      <c r="V622" s="52"/>
      <c r="W622" s="52"/>
      <c r="X622" s="52"/>
      <c r="Y622" s="52"/>
      <c r="Z622" s="52"/>
      <c r="AA622" s="52"/>
      <c r="AB622" s="52"/>
      <c r="AC622" s="52"/>
      <c r="AD622" s="52"/>
      <c r="AE622" s="52"/>
      <c r="AF622" s="52"/>
      <c r="AG622" s="52"/>
      <c r="AH622" s="52"/>
      <c r="AI622" s="52"/>
      <c r="AJ622" s="52"/>
      <c r="AK622" s="52"/>
      <c r="AL622" s="52"/>
      <c r="AM622" s="52"/>
      <c r="AN622" s="52"/>
      <c r="AO622" s="52"/>
      <c r="AP622" s="52"/>
      <c r="AQ622" s="52"/>
      <c r="AR622" s="52"/>
      <c r="AS622" s="52"/>
    </row>
    <row r="623" spans="1:45" s="64" customFormat="1" hidden="1">
      <c r="A623" s="65" t="s">
        <v>376</v>
      </c>
      <c r="B623" s="65" t="s">
        <v>377</v>
      </c>
      <c r="C623" s="83" t="str">
        <f t="shared" si="18"/>
        <v>MW Master Chart April 2016 - Project Close Out</v>
      </c>
      <c r="D623" s="65">
        <v>781200</v>
      </c>
      <c r="E623" s="65" t="s">
        <v>170</v>
      </c>
      <c r="F623" s="65" t="s">
        <v>168</v>
      </c>
      <c r="G623" s="65" t="s">
        <v>169</v>
      </c>
      <c r="H623" s="65" t="s">
        <v>139</v>
      </c>
      <c r="I623" s="76"/>
      <c r="J623" s="82"/>
      <c r="K623" s="66"/>
      <c r="L623" s="61">
        <f t="shared" si="19"/>
        <v>0</v>
      </c>
      <c r="M623" s="72"/>
      <c r="N623" s="73"/>
      <c r="O623" s="52"/>
      <c r="P623" s="52"/>
      <c r="Q623" s="52"/>
      <c r="R623" s="52"/>
      <c r="S623" s="52"/>
      <c r="T623" s="52"/>
      <c r="U623" s="52"/>
      <c r="V623" s="52"/>
      <c r="W623" s="52"/>
      <c r="X623" s="52"/>
      <c r="Y623" s="52"/>
      <c r="Z623" s="52"/>
      <c r="AA623" s="52"/>
      <c r="AB623" s="52"/>
      <c r="AC623" s="52"/>
      <c r="AD623" s="52"/>
      <c r="AE623" s="52"/>
      <c r="AF623" s="52"/>
      <c r="AG623" s="52"/>
      <c r="AH623" s="52"/>
      <c r="AI623" s="52"/>
      <c r="AJ623" s="52"/>
      <c r="AK623" s="52"/>
      <c r="AL623" s="52"/>
      <c r="AM623" s="52"/>
      <c r="AN623" s="52"/>
      <c r="AO623" s="52"/>
      <c r="AP623" s="52"/>
      <c r="AQ623" s="52"/>
      <c r="AR623" s="52"/>
      <c r="AS623" s="52"/>
    </row>
    <row r="624" spans="1:45" s="64" customFormat="1" hidden="1">
      <c r="A624" s="65" t="s">
        <v>376</v>
      </c>
      <c r="B624" s="65" t="s">
        <v>377</v>
      </c>
      <c r="C624" s="83" t="str">
        <f t="shared" si="18"/>
        <v>MW Master Chart April 2016 - Project Close Out</v>
      </c>
      <c r="D624" s="65">
        <v>781300</v>
      </c>
      <c r="E624" s="65" t="s">
        <v>171</v>
      </c>
      <c r="F624" s="65" t="s">
        <v>168</v>
      </c>
      <c r="G624" s="65" t="s">
        <v>169</v>
      </c>
      <c r="H624" s="65" t="s">
        <v>139</v>
      </c>
      <c r="I624" s="76"/>
      <c r="J624" s="82"/>
      <c r="K624" s="66"/>
      <c r="L624" s="61">
        <f t="shared" si="19"/>
        <v>0</v>
      </c>
      <c r="M624" s="72"/>
      <c r="N624" s="73"/>
      <c r="O624" s="52"/>
      <c r="P624" s="52"/>
      <c r="Q624" s="52"/>
      <c r="R624" s="52"/>
      <c r="S624" s="52"/>
      <c r="T624" s="52"/>
      <c r="U624" s="52"/>
      <c r="V624" s="52"/>
      <c r="W624" s="52"/>
      <c r="X624" s="52"/>
      <c r="Y624" s="52"/>
      <c r="Z624" s="52"/>
      <c r="AA624" s="52"/>
      <c r="AB624" s="52"/>
      <c r="AC624" s="52"/>
      <c r="AD624" s="52"/>
      <c r="AE624" s="52"/>
      <c r="AF624" s="52"/>
      <c r="AG624" s="52"/>
      <c r="AH624" s="52"/>
      <c r="AI624" s="52"/>
      <c r="AJ624" s="52"/>
      <c r="AK624" s="52"/>
      <c r="AL624" s="52"/>
      <c r="AM624" s="52"/>
      <c r="AN624" s="52"/>
      <c r="AO624" s="52"/>
      <c r="AP624" s="52"/>
      <c r="AQ624" s="52"/>
      <c r="AR624" s="52"/>
      <c r="AS624" s="52"/>
    </row>
    <row r="625" spans="1:45" s="64" customFormat="1" hidden="1">
      <c r="A625" s="65" t="s">
        <v>376</v>
      </c>
      <c r="B625" s="65" t="s">
        <v>377</v>
      </c>
      <c r="C625" s="83" t="str">
        <f t="shared" si="18"/>
        <v>MW Master Chart April 2016 - Project Close Out</v>
      </c>
      <c r="D625" s="65">
        <v>781400</v>
      </c>
      <c r="E625" s="65" t="s">
        <v>172</v>
      </c>
      <c r="F625" s="65" t="s">
        <v>168</v>
      </c>
      <c r="G625" s="65" t="s">
        <v>169</v>
      </c>
      <c r="H625" s="65" t="s">
        <v>139</v>
      </c>
      <c r="I625" s="76"/>
      <c r="J625" s="82"/>
      <c r="K625" s="66"/>
      <c r="L625" s="61">
        <f t="shared" si="19"/>
        <v>0</v>
      </c>
      <c r="M625" s="72"/>
      <c r="N625" s="73"/>
      <c r="O625" s="52"/>
      <c r="P625" s="52"/>
      <c r="Q625" s="52"/>
      <c r="R625" s="52"/>
      <c r="S625" s="52"/>
      <c r="T625" s="52"/>
      <c r="U625" s="52"/>
      <c r="V625" s="52"/>
      <c r="W625" s="52"/>
      <c r="X625" s="52"/>
      <c r="Y625" s="52"/>
      <c r="Z625" s="52"/>
      <c r="AA625" s="52"/>
      <c r="AB625" s="52"/>
      <c r="AC625" s="52"/>
      <c r="AD625" s="52"/>
      <c r="AE625" s="52"/>
      <c r="AF625" s="52"/>
      <c r="AG625" s="52"/>
      <c r="AH625" s="52"/>
      <c r="AI625" s="52"/>
      <c r="AJ625" s="52"/>
      <c r="AK625" s="52"/>
      <c r="AL625" s="52"/>
      <c r="AM625" s="52"/>
      <c r="AN625" s="52"/>
      <c r="AO625" s="52"/>
      <c r="AP625" s="52"/>
      <c r="AQ625" s="52"/>
      <c r="AR625" s="52"/>
      <c r="AS625" s="52"/>
    </row>
    <row r="626" spans="1:45" s="64" customFormat="1" hidden="1">
      <c r="A626" s="65" t="s">
        <v>376</v>
      </c>
      <c r="B626" s="65" t="s">
        <v>377</v>
      </c>
      <c r="C626" s="83" t="str">
        <f t="shared" si="18"/>
        <v>MW Master Chart April 2016 - Contingency</v>
      </c>
      <c r="D626" s="65">
        <v>790000</v>
      </c>
      <c r="E626" s="65" t="s">
        <v>223</v>
      </c>
      <c r="F626" s="65" t="s">
        <v>137</v>
      </c>
      <c r="G626" s="65" t="s">
        <v>138</v>
      </c>
      <c r="H626" s="65"/>
      <c r="I626" s="76"/>
      <c r="J626" s="82"/>
      <c r="K626" s="66"/>
      <c r="L626" s="61">
        <f t="shared" si="19"/>
        <v>0</v>
      </c>
      <c r="M626" s="72"/>
      <c r="N626" s="73"/>
      <c r="O626" s="52"/>
      <c r="P626" s="52"/>
      <c r="Q626" s="52"/>
      <c r="R626" s="52"/>
      <c r="S626" s="52"/>
      <c r="T626" s="52"/>
      <c r="U626" s="52"/>
      <c r="V626" s="52"/>
      <c r="W626" s="52"/>
      <c r="X626" s="52"/>
      <c r="Y626" s="52"/>
      <c r="Z626" s="52"/>
      <c r="AA626" s="52"/>
      <c r="AB626" s="52"/>
      <c r="AC626" s="52"/>
      <c r="AD626" s="52"/>
      <c r="AE626" s="52"/>
      <c r="AF626" s="52"/>
      <c r="AG626" s="52"/>
      <c r="AH626" s="52"/>
      <c r="AI626" s="52"/>
      <c r="AJ626" s="52"/>
      <c r="AK626" s="52"/>
      <c r="AL626" s="52"/>
      <c r="AM626" s="52"/>
      <c r="AN626" s="52"/>
      <c r="AO626" s="52"/>
      <c r="AP626" s="52"/>
      <c r="AQ626" s="52"/>
      <c r="AR626" s="52"/>
      <c r="AS626" s="52"/>
    </row>
    <row r="627" spans="1:45" s="64" customFormat="1" hidden="1">
      <c r="A627" s="65" t="s">
        <v>376</v>
      </c>
      <c r="B627" s="65" t="s">
        <v>377</v>
      </c>
      <c r="C627" s="83" t="str">
        <f t="shared" si="18"/>
        <v>MW Master Chart April 2016 - Dredge Production</v>
      </c>
      <c r="D627" s="65">
        <v>800010</v>
      </c>
      <c r="E627" s="65" t="s">
        <v>258</v>
      </c>
      <c r="F627" s="65" t="s">
        <v>155</v>
      </c>
      <c r="G627" s="65" t="s">
        <v>156</v>
      </c>
      <c r="H627" s="65" t="s">
        <v>139</v>
      </c>
      <c r="I627" s="76"/>
      <c r="J627" s="82"/>
      <c r="K627" s="66"/>
      <c r="L627" s="61">
        <f t="shared" si="19"/>
        <v>0</v>
      </c>
      <c r="M627" s="72"/>
      <c r="N627" s="73"/>
      <c r="O627" s="52"/>
      <c r="P627" s="52"/>
      <c r="Q627" s="52"/>
      <c r="R627" s="52"/>
      <c r="S627" s="52"/>
      <c r="T627" s="52"/>
      <c r="U627" s="52"/>
      <c r="V627" s="52"/>
      <c r="W627" s="52"/>
      <c r="X627" s="52"/>
      <c r="Y627" s="52"/>
      <c r="Z627" s="52"/>
      <c r="AA627" s="52"/>
      <c r="AB627" s="52"/>
      <c r="AC627" s="52"/>
      <c r="AD627" s="52"/>
      <c r="AE627" s="52"/>
      <c r="AF627" s="52"/>
      <c r="AG627" s="52"/>
      <c r="AH627" s="52"/>
      <c r="AI627" s="52"/>
      <c r="AJ627" s="52"/>
      <c r="AK627" s="52"/>
      <c r="AL627" s="52"/>
      <c r="AM627" s="52"/>
      <c r="AN627" s="52"/>
      <c r="AO627" s="52"/>
      <c r="AP627" s="52"/>
      <c r="AQ627" s="52"/>
      <c r="AR627" s="52"/>
      <c r="AS627" s="52"/>
    </row>
    <row r="628" spans="1:45" s="64" customFormat="1" hidden="1">
      <c r="A628" s="65" t="s">
        <v>376</v>
      </c>
      <c r="B628" s="65" t="s">
        <v>377</v>
      </c>
      <c r="C628" s="83" t="str">
        <f t="shared" si="18"/>
        <v>MW Master Chart April 2016 - Dredge Production</v>
      </c>
      <c r="D628" s="65">
        <v>800020</v>
      </c>
      <c r="E628" s="65" t="s">
        <v>259</v>
      </c>
      <c r="F628" s="65" t="s">
        <v>155</v>
      </c>
      <c r="G628" s="65" t="s">
        <v>156</v>
      </c>
      <c r="H628" s="65" t="s">
        <v>139</v>
      </c>
      <c r="I628" s="76"/>
      <c r="J628" s="82"/>
      <c r="K628" s="66"/>
      <c r="L628" s="61">
        <f t="shared" si="19"/>
        <v>0</v>
      </c>
      <c r="M628" s="72"/>
      <c r="N628" s="73"/>
      <c r="O628" s="52"/>
      <c r="P628" s="52"/>
      <c r="Q628" s="52"/>
      <c r="R628" s="52"/>
      <c r="S628" s="52"/>
      <c r="T628" s="52"/>
      <c r="U628" s="52"/>
      <c r="V628" s="52"/>
      <c r="W628" s="52"/>
      <c r="X628" s="52"/>
      <c r="Y628" s="52"/>
      <c r="Z628" s="52"/>
      <c r="AA628" s="52"/>
      <c r="AB628" s="52"/>
      <c r="AC628" s="52"/>
      <c r="AD628" s="52"/>
      <c r="AE628" s="52"/>
      <c r="AF628" s="52"/>
      <c r="AG628" s="52"/>
      <c r="AH628" s="52"/>
      <c r="AI628" s="52"/>
      <c r="AJ628" s="52"/>
      <c r="AK628" s="52"/>
      <c r="AL628" s="52"/>
      <c r="AM628" s="52"/>
      <c r="AN628" s="52"/>
      <c r="AO628" s="52"/>
      <c r="AP628" s="52"/>
      <c r="AQ628" s="52"/>
      <c r="AR628" s="52"/>
      <c r="AS628" s="52"/>
    </row>
    <row r="629" spans="1:45" s="64" customFormat="1" hidden="1">
      <c r="A629" s="65" t="s">
        <v>376</v>
      </c>
      <c r="B629" s="65" t="s">
        <v>377</v>
      </c>
      <c r="C629" s="83" t="str">
        <f t="shared" si="18"/>
        <v>MW Master Chart April 2016 - Dredge Production</v>
      </c>
      <c r="D629" s="65">
        <v>800030</v>
      </c>
      <c r="E629" s="65" t="s">
        <v>260</v>
      </c>
      <c r="F629" s="65" t="s">
        <v>155</v>
      </c>
      <c r="G629" s="65" t="s">
        <v>156</v>
      </c>
      <c r="H629" s="65" t="s">
        <v>139</v>
      </c>
      <c r="I629" s="76"/>
      <c r="J629" s="82"/>
      <c r="K629" s="66"/>
      <c r="L629" s="61">
        <f t="shared" si="19"/>
        <v>0</v>
      </c>
      <c r="M629" s="72"/>
      <c r="N629" s="73"/>
      <c r="O629" s="52"/>
      <c r="P629" s="52"/>
      <c r="Q629" s="52"/>
      <c r="R629" s="52"/>
      <c r="S629" s="52"/>
      <c r="T629" s="52"/>
      <c r="U629" s="52"/>
      <c r="V629" s="52"/>
      <c r="W629" s="52"/>
      <c r="X629" s="52"/>
      <c r="Y629" s="52"/>
      <c r="Z629" s="52"/>
      <c r="AA629" s="52"/>
      <c r="AB629" s="52"/>
      <c r="AC629" s="52"/>
      <c r="AD629" s="52"/>
      <c r="AE629" s="52"/>
      <c r="AF629" s="52"/>
      <c r="AG629" s="52"/>
      <c r="AH629" s="52"/>
      <c r="AI629" s="52"/>
      <c r="AJ629" s="52"/>
      <c r="AK629" s="52"/>
      <c r="AL629" s="52"/>
      <c r="AM629" s="52"/>
      <c r="AN629" s="52"/>
      <c r="AO629" s="52"/>
      <c r="AP629" s="52"/>
      <c r="AQ629" s="52"/>
      <c r="AR629" s="52"/>
      <c r="AS629" s="52"/>
    </row>
    <row r="630" spans="1:45" s="64" customFormat="1" hidden="1">
      <c r="A630" s="65" t="s">
        <v>376</v>
      </c>
      <c r="B630" s="65" t="s">
        <v>377</v>
      </c>
      <c r="C630" s="83" t="str">
        <f t="shared" si="18"/>
        <v>MW Master Chart April 2016 - Dredge Production</v>
      </c>
      <c r="D630" s="65">
        <v>800040</v>
      </c>
      <c r="E630" s="65" t="s">
        <v>261</v>
      </c>
      <c r="F630" s="65" t="s">
        <v>155</v>
      </c>
      <c r="G630" s="65" t="s">
        <v>156</v>
      </c>
      <c r="H630" s="65"/>
      <c r="I630" s="76"/>
      <c r="J630" s="82"/>
      <c r="K630" s="66"/>
      <c r="L630" s="61">
        <f t="shared" si="19"/>
        <v>0</v>
      </c>
      <c r="M630" s="72"/>
      <c r="N630" s="73"/>
      <c r="O630" s="52"/>
      <c r="P630" s="52"/>
      <c r="Q630" s="52"/>
      <c r="R630" s="52"/>
      <c r="S630" s="52"/>
      <c r="T630" s="52"/>
      <c r="U630" s="52"/>
      <c r="V630" s="52"/>
      <c r="W630" s="52"/>
      <c r="X630" s="52"/>
      <c r="Y630" s="52"/>
      <c r="Z630" s="52"/>
      <c r="AA630" s="52"/>
      <c r="AB630" s="52"/>
      <c r="AC630" s="52"/>
      <c r="AD630" s="52"/>
      <c r="AE630" s="52"/>
      <c r="AF630" s="52"/>
      <c r="AG630" s="52"/>
      <c r="AH630" s="52"/>
      <c r="AI630" s="52"/>
      <c r="AJ630" s="52"/>
      <c r="AK630" s="52"/>
      <c r="AL630" s="52"/>
      <c r="AM630" s="52"/>
      <c r="AN630" s="52"/>
      <c r="AO630" s="52"/>
      <c r="AP630" s="52"/>
      <c r="AQ630" s="52"/>
      <c r="AR630" s="52"/>
      <c r="AS630" s="52"/>
    </row>
    <row r="631" spans="1:45" s="64" customFormat="1" hidden="1">
      <c r="A631" s="65" t="s">
        <v>376</v>
      </c>
      <c r="B631" s="65" t="s">
        <v>377</v>
      </c>
      <c r="C631" s="83" t="str">
        <f t="shared" si="18"/>
        <v>MW Master Chart April 2016 - Dredge Production</v>
      </c>
      <c r="D631" s="65">
        <v>800050</v>
      </c>
      <c r="E631" s="65" t="s">
        <v>262</v>
      </c>
      <c r="F631" s="65" t="s">
        <v>155</v>
      </c>
      <c r="G631" s="65" t="s">
        <v>156</v>
      </c>
      <c r="H631" s="65"/>
      <c r="I631" s="76"/>
      <c r="J631" s="82"/>
      <c r="K631" s="66"/>
      <c r="L631" s="61">
        <f t="shared" si="19"/>
        <v>0</v>
      </c>
      <c r="M631" s="72"/>
      <c r="N631" s="73"/>
      <c r="O631" s="52"/>
      <c r="P631" s="52"/>
      <c r="Q631" s="52"/>
      <c r="R631" s="52"/>
      <c r="S631" s="52"/>
      <c r="T631" s="52"/>
      <c r="U631" s="52"/>
      <c r="V631" s="52"/>
      <c r="W631" s="52"/>
      <c r="X631" s="52"/>
      <c r="Y631" s="52"/>
      <c r="Z631" s="52"/>
      <c r="AA631" s="52"/>
      <c r="AB631" s="52"/>
      <c r="AC631" s="52"/>
      <c r="AD631" s="52"/>
      <c r="AE631" s="52"/>
      <c r="AF631" s="52"/>
      <c r="AG631" s="52"/>
      <c r="AH631" s="52"/>
      <c r="AI631" s="52"/>
      <c r="AJ631" s="52"/>
      <c r="AK631" s="52"/>
      <c r="AL631" s="52"/>
      <c r="AM631" s="52"/>
      <c r="AN631" s="52"/>
      <c r="AO631" s="52"/>
      <c r="AP631" s="52"/>
      <c r="AQ631" s="52"/>
      <c r="AR631" s="52"/>
      <c r="AS631" s="52"/>
    </row>
    <row r="632" spans="1:45" s="64" customFormat="1" hidden="1">
      <c r="A632" s="65" t="s">
        <v>376</v>
      </c>
      <c r="B632" s="65" t="s">
        <v>377</v>
      </c>
      <c r="C632" s="83" t="str">
        <f t="shared" si="18"/>
        <v>MW Master Chart April 2016 - Dredge Production</v>
      </c>
      <c r="D632" s="65">
        <v>800060</v>
      </c>
      <c r="E632" s="65" t="s">
        <v>263</v>
      </c>
      <c r="F632" s="65" t="s">
        <v>155</v>
      </c>
      <c r="G632" s="65" t="s">
        <v>156</v>
      </c>
      <c r="H632" s="65"/>
      <c r="I632" s="76"/>
      <c r="J632" s="82"/>
      <c r="K632" s="66"/>
      <c r="L632" s="61">
        <f t="shared" si="19"/>
        <v>0</v>
      </c>
      <c r="M632" s="72"/>
      <c r="N632" s="73"/>
      <c r="O632" s="52"/>
      <c r="P632" s="52"/>
      <c r="Q632" s="52"/>
      <c r="R632" s="52"/>
      <c r="S632" s="52"/>
      <c r="T632" s="52"/>
      <c r="U632" s="52"/>
      <c r="V632" s="52"/>
      <c r="W632" s="52"/>
      <c r="X632" s="52"/>
      <c r="Y632" s="52"/>
      <c r="Z632" s="52"/>
      <c r="AA632" s="52"/>
      <c r="AB632" s="52"/>
      <c r="AC632" s="52"/>
      <c r="AD632" s="52"/>
      <c r="AE632" s="52"/>
      <c r="AF632" s="52"/>
      <c r="AG632" s="52"/>
      <c r="AH632" s="52"/>
      <c r="AI632" s="52"/>
      <c r="AJ632" s="52"/>
      <c r="AK632" s="52"/>
      <c r="AL632" s="52"/>
      <c r="AM632" s="52"/>
      <c r="AN632" s="52"/>
      <c r="AO632" s="52"/>
      <c r="AP632" s="52"/>
      <c r="AQ632" s="52"/>
      <c r="AR632" s="52"/>
      <c r="AS632" s="52"/>
    </row>
    <row r="633" spans="1:45" s="64" customFormat="1" hidden="1">
      <c r="A633" s="65" t="s">
        <v>376</v>
      </c>
      <c r="B633" s="65" t="s">
        <v>377</v>
      </c>
      <c r="C633" s="83" t="str">
        <f t="shared" si="18"/>
        <v>MW Master Chart April 2016 - Dredge Production</v>
      </c>
      <c r="D633" s="65">
        <v>800070</v>
      </c>
      <c r="E633" s="65" t="s">
        <v>264</v>
      </c>
      <c r="F633" s="65" t="s">
        <v>155</v>
      </c>
      <c r="G633" s="65" t="s">
        <v>156</v>
      </c>
      <c r="H633" s="65"/>
      <c r="I633" s="76"/>
      <c r="J633" s="82"/>
      <c r="K633" s="66"/>
      <c r="L633" s="61">
        <f t="shared" si="19"/>
        <v>0</v>
      </c>
      <c r="M633" s="72"/>
      <c r="N633" s="73"/>
      <c r="O633" s="52"/>
      <c r="P633" s="52"/>
      <c r="Q633" s="52"/>
      <c r="R633" s="52"/>
      <c r="S633" s="52"/>
      <c r="T633" s="52"/>
      <c r="U633" s="52"/>
      <c r="V633" s="52"/>
      <c r="W633" s="52"/>
      <c r="X633" s="52"/>
      <c r="Y633" s="52"/>
      <c r="Z633" s="52"/>
      <c r="AA633" s="52"/>
      <c r="AB633" s="52"/>
      <c r="AC633" s="52"/>
      <c r="AD633" s="52"/>
      <c r="AE633" s="52"/>
      <c r="AF633" s="52"/>
      <c r="AG633" s="52"/>
      <c r="AH633" s="52"/>
      <c r="AI633" s="52"/>
      <c r="AJ633" s="52"/>
      <c r="AK633" s="52"/>
      <c r="AL633" s="52"/>
      <c r="AM633" s="52"/>
      <c r="AN633" s="52"/>
      <c r="AO633" s="52"/>
      <c r="AP633" s="52"/>
      <c r="AQ633" s="52"/>
      <c r="AR633" s="52"/>
      <c r="AS633" s="52"/>
    </row>
    <row r="634" spans="1:45" s="64" customFormat="1" hidden="1">
      <c r="A634" s="65" t="s">
        <v>376</v>
      </c>
      <c r="B634" s="65" t="s">
        <v>377</v>
      </c>
      <c r="C634" s="83" t="str">
        <f t="shared" si="18"/>
        <v>MW Master Chart April 2016 - Dredge Production</v>
      </c>
      <c r="D634" s="65">
        <v>800080</v>
      </c>
      <c r="E634" s="65" t="s">
        <v>265</v>
      </c>
      <c r="F634" s="65" t="s">
        <v>155</v>
      </c>
      <c r="G634" s="65" t="s">
        <v>156</v>
      </c>
      <c r="H634" s="65"/>
      <c r="I634" s="76"/>
      <c r="J634" s="82"/>
      <c r="K634" s="66"/>
      <c r="L634" s="61">
        <f t="shared" si="19"/>
        <v>0</v>
      </c>
      <c r="M634" s="72"/>
      <c r="N634" s="73"/>
      <c r="O634" s="52"/>
      <c r="P634" s="52"/>
      <c r="Q634" s="52"/>
      <c r="R634" s="52"/>
      <c r="S634" s="52"/>
      <c r="T634" s="52"/>
      <c r="U634" s="52"/>
      <c r="V634" s="52"/>
      <c r="W634" s="52"/>
      <c r="X634" s="52"/>
      <c r="Y634" s="52"/>
      <c r="Z634" s="52"/>
      <c r="AA634" s="52"/>
      <c r="AB634" s="52"/>
      <c r="AC634" s="52"/>
      <c r="AD634" s="52"/>
      <c r="AE634" s="52"/>
      <c r="AF634" s="52"/>
      <c r="AG634" s="52"/>
      <c r="AH634" s="52"/>
      <c r="AI634" s="52"/>
      <c r="AJ634" s="52"/>
      <c r="AK634" s="52"/>
      <c r="AL634" s="52"/>
      <c r="AM634" s="52"/>
      <c r="AN634" s="52"/>
      <c r="AO634" s="52"/>
      <c r="AP634" s="52"/>
      <c r="AQ634" s="52"/>
      <c r="AR634" s="52"/>
      <c r="AS634" s="52"/>
    </row>
    <row r="635" spans="1:45" s="64" customFormat="1" hidden="1">
      <c r="A635" s="65" t="s">
        <v>376</v>
      </c>
      <c r="B635" s="65" t="s">
        <v>377</v>
      </c>
      <c r="C635" s="83" t="str">
        <f t="shared" si="18"/>
        <v>MW Master Chart April 2016 - Major Maintenance</v>
      </c>
      <c r="D635" s="65">
        <v>810010</v>
      </c>
      <c r="E635" s="65" t="s">
        <v>266</v>
      </c>
      <c r="F635" s="65" t="s">
        <v>155</v>
      </c>
      <c r="G635" s="65" t="s">
        <v>156</v>
      </c>
      <c r="H635" s="65" t="s">
        <v>139</v>
      </c>
      <c r="I635" s="76"/>
      <c r="J635" s="82"/>
      <c r="K635" s="66"/>
      <c r="L635" s="61">
        <f t="shared" si="19"/>
        <v>0</v>
      </c>
      <c r="M635" s="72"/>
      <c r="N635" s="73"/>
      <c r="O635" s="52"/>
      <c r="P635" s="52"/>
      <c r="Q635" s="52"/>
      <c r="R635" s="52"/>
      <c r="S635" s="52"/>
      <c r="T635" s="52"/>
      <c r="U635" s="52"/>
      <c r="V635" s="52"/>
      <c r="W635" s="52"/>
      <c r="X635" s="52"/>
      <c r="Y635" s="52"/>
      <c r="Z635" s="52"/>
      <c r="AA635" s="52"/>
      <c r="AB635" s="52"/>
      <c r="AC635" s="52"/>
      <c r="AD635" s="52"/>
      <c r="AE635" s="52"/>
      <c r="AF635" s="52"/>
      <c r="AG635" s="52"/>
      <c r="AH635" s="52"/>
      <c r="AI635" s="52"/>
      <c r="AJ635" s="52"/>
      <c r="AK635" s="52"/>
      <c r="AL635" s="52"/>
      <c r="AM635" s="52"/>
      <c r="AN635" s="52"/>
      <c r="AO635" s="52"/>
      <c r="AP635" s="52"/>
      <c r="AQ635" s="52"/>
      <c r="AR635" s="52"/>
      <c r="AS635" s="52"/>
    </row>
    <row r="636" spans="1:45" s="64" customFormat="1" hidden="1">
      <c r="A636" s="65" t="s">
        <v>376</v>
      </c>
      <c r="B636" s="65" t="s">
        <v>377</v>
      </c>
      <c r="C636" s="83" t="str">
        <f t="shared" si="18"/>
        <v>MW Master Chart April 2016 - Major Maintenance</v>
      </c>
      <c r="D636" s="65">
        <v>810020</v>
      </c>
      <c r="E636" s="65" t="s">
        <v>267</v>
      </c>
      <c r="F636" s="65" t="s">
        <v>155</v>
      </c>
      <c r="G636" s="65" t="s">
        <v>156</v>
      </c>
      <c r="H636" s="65" t="s">
        <v>139</v>
      </c>
      <c r="I636" s="76"/>
      <c r="J636" s="82"/>
      <c r="K636" s="66"/>
      <c r="L636" s="61">
        <f t="shared" si="19"/>
        <v>0</v>
      </c>
      <c r="M636" s="72"/>
      <c r="N636" s="73"/>
      <c r="O636" s="52"/>
      <c r="P636" s="52"/>
      <c r="Q636" s="52"/>
      <c r="R636" s="52"/>
      <c r="S636" s="52"/>
      <c r="T636" s="52"/>
      <c r="U636" s="52"/>
      <c r="V636" s="52"/>
      <c r="W636" s="52"/>
      <c r="X636" s="52"/>
      <c r="Y636" s="52"/>
      <c r="Z636" s="52"/>
      <c r="AA636" s="52"/>
      <c r="AB636" s="52"/>
      <c r="AC636" s="52"/>
      <c r="AD636" s="52"/>
      <c r="AE636" s="52"/>
      <c r="AF636" s="52"/>
      <c r="AG636" s="52"/>
      <c r="AH636" s="52"/>
      <c r="AI636" s="52"/>
      <c r="AJ636" s="52"/>
      <c r="AK636" s="52"/>
      <c r="AL636" s="52"/>
      <c r="AM636" s="52"/>
      <c r="AN636" s="52"/>
      <c r="AO636" s="52"/>
      <c r="AP636" s="52"/>
      <c r="AQ636" s="52"/>
      <c r="AR636" s="52"/>
      <c r="AS636" s="52"/>
    </row>
    <row r="637" spans="1:45" s="64" customFormat="1" hidden="1">
      <c r="A637" s="65" t="s">
        <v>376</v>
      </c>
      <c r="B637" s="65" t="s">
        <v>377</v>
      </c>
      <c r="C637" s="83" t="str">
        <f t="shared" si="18"/>
        <v>MW Master Chart April 2016 - Major Maintenance</v>
      </c>
      <c r="D637" s="65">
        <v>810030</v>
      </c>
      <c r="E637" s="65" t="s">
        <v>268</v>
      </c>
      <c r="F637" s="65" t="s">
        <v>155</v>
      </c>
      <c r="G637" s="65" t="s">
        <v>156</v>
      </c>
      <c r="H637" s="65" t="s">
        <v>139</v>
      </c>
      <c r="I637" s="76"/>
      <c r="J637" s="82"/>
      <c r="K637" s="66"/>
      <c r="L637" s="61">
        <f t="shared" si="19"/>
        <v>0</v>
      </c>
      <c r="M637" s="72"/>
      <c r="N637" s="73"/>
      <c r="O637" s="52"/>
      <c r="P637" s="52"/>
      <c r="Q637" s="52"/>
      <c r="R637" s="52"/>
      <c r="S637" s="52"/>
      <c r="T637" s="52"/>
      <c r="U637" s="52"/>
      <c r="V637" s="52"/>
      <c r="W637" s="52"/>
      <c r="X637" s="52"/>
      <c r="Y637" s="52"/>
      <c r="Z637" s="52"/>
      <c r="AA637" s="52"/>
      <c r="AB637" s="52"/>
      <c r="AC637" s="52"/>
      <c r="AD637" s="52"/>
      <c r="AE637" s="52"/>
      <c r="AF637" s="52"/>
      <c r="AG637" s="52"/>
      <c r="AH637" s="52"/>
      <c r="AI637" s="52"/>
      <c r="AJ637" s="52"/>
      <c r="AK637" s="52"/>
      <c r="AL637" s="52"/>
      <c r="AM637" s="52"/>
      <c r="AN637" s="52"/>
      <c r="AO637" s="52"/>
      <c r="AP637" s="52"/>
      <c r="AQ637" s="52"/>
      <c r="AR637" s="52"/>
      <c r="AS637" s="52"/>
    </row>
    <row r="638" spans="1:45" s="64" customFormat="1" hidden="1">
      <c r="A638" s="65" t="s">
        <v>376</v>
      </c>
      <c r="B638" s="65" t="s">
        <v>377</v>
      </c>
      <c r="C638" s="83" t="str">
        <f t="shared" si="18"/>
        <v>MW Master Chart April 2016 - Major Maintenance</v>
      </c>
      <c r="D638" s="65">
        <v>810040</v>
      </c>
      <c r="E638" s="65" t="s">
        <v>269</v>
      </c>
      <c r="F638" s="65" t="s">
        <v>155</v>
      </c>
      <c r="G638" s="65" t="s">
        <v>156</v>
      </c>
      <c r="H638" s="65"/>
      <c r="I638" s="76"/>
      <c r="J638" s="82"/>
      <c r="K638" s="66"/>
      <c r="L638" s="61">
        <f t="shared" si="19"/>
        <v>0</v>
      </c>
      <c r="M638" s="72"/>
      <c r="N638" s="73"/>
      <c r="O638" s="52"/>
      <c r="P638" s="52"/>
      <c r="Q638" s="52"/>
      <c r="R638" s="52"/>
      <c r="S638" s="52"/>
      <c r="T638" s="52"/>
      <c r="U638" s="52"/>
      <c r="V638" s="52"/>
      <c r="W638" s="52"/>
      <c r="X638" s="52"/>
      <c r="Y638" s="52"/>
      <c r="Z638" s="52"/>
      <c r="AA638" s="52"/>
      <c r="AB638" s="52"/>
      <c r="AC638" s="52"/>
      <c r="AD638" s="52"/>
      <c r="AE638" s="52"/>
      <c r="AF638" s="52"/>
      <c r="AG638" s="52"/>
      <c r="AH638" s="52"/>
      <c r="AI638" s="52"/>
      <c r="AJ638" s="52"/>
      <c r="AK638" s="52"/>
      <c r="AL638" s="52"/>
      <c r="AM638" s="52"/>
      <c r="AN638" s="52"/>
      <c r="AO638" s="52"/>
      <c r="AP638" s="52"/>
      <c r="AQ638" s="52"/>
      <c r="AR638" s="52"/>
      <c r="AS638" s="52"/>
    </row>
    <row r="639" spans="1:45" s="64" customFormat="1" hidden="1">
      <c r="A639" s="65" t="s">
        <v>376</v>
      </c>
      <c r="B639" s="65" t="s">
        <v>377</v>
      </c>
      <c r="C639" s="83" t="str">
        <f t="shared" si="18"/>
        <v>MW Master Chart April 2016 - Major Maintenance</v>
      </c>
      <c r="D639" s="65">
        <v>810050</v>
      </c>
      <c r="E639" s="65" t="s">
        <v>270</v>
      </c>
      <c r="F639" s="65" t="s">
        <v>155</v>
      </c>
      <c r="G639" s="65" t="s">
        <v>156</v>
      </c>
      <c r="H639" s="65"/>
      <c r="I639" s="76"/>
      <c r="J639" s="82"/>
      <c r="K639" s="66"/>
      <c r="L639" s="61">
        <f t="shared" si="19"/>
        <v>0</v>
      </c>
      <c r="M639" s="72"/>
      <c r="N639" s="73"/>
      <c r="O639" s="52"/>
      <c r="P639" s="52"/>
      <c r="Q639" s="52"/>
      <c r="R639" s="52"/>
      <c r="S639" s="52"/>
      <c r="T639" s="52"/>
      <c r="U639" s="52"/>
      <c r="V639" s="52"/>
      <c r="W639" s="52"/>
      <c r="X639" s="52"/>
      <c r="Y639" s="52"/>
      <c r="Z639" s="52"/>
      <c r="AA639" s="52"/>
      <c r="AB639" s="52"/>
      <c r="AC639" s="52"/>
      <c r="AD639" s="52"/>
      <c r="AE639" s="52"/>
      <c r="AF639" s="52"/>
      <c r="AG639" s="52"/>
      <c r="AH639" s="52"/>
      <c r="AI639" s="52"/>
      <c r="AJ639" s="52"/>
      <c r="AK639" s="52"/>
      <c r="AL639" s="52"/>
      <c r="AM639" s="52"/>
      <c r="AN639" s="52"/>
      <c r="AO639" s="52"/>
      <c r="AP639" s="52"/>
      <c r="AQ639" s="52"/>
      <c r="AR639" s="52"/>
      <c r="AS639" s="52"/>
    </row>
    <row r="640" spans="1:45" s="64" customFormat="1" hidden="1">
      <c r="A640" s="65" t="s">
        <v>376</v>
      </c>
      <c r="B640" s="65" t="s">
        <v>377</v>
      </c>
      <c r="C640" s="83" t="str">
        <f t="shared" si="18"/>
        <v>MW Master Chart April 2016 - Major Maintenance</v>
      </c>
      <c r="D640" s="65">
        <v>810060</v>
      </c>
      <c r="E640" s="65" t="s">
        <v>271</v>
      </c>
      <c r="F640" s="65" t="s">
        <v>155</v>
      </c>
      <c r="G640" s="65" t="s">
        <v>156</v>
      </c>
      <c r="H640" s="65"/>
      <c r="I640" s="76"/>
      <c r="J640" s="82"/>
      <c r="K640" s="66"/>
      <c r="L640" s="61">
        <f t="shared" si="19"/>
        <v>0</v>
      </c>
      <c r="M640" s="72"/>
      <c r="N640" s="73"/>
      <c r="O640" s="52"/>
      <c r="P640" s="52"/>
      <c r="Q640" s="52"/>
      <c r="R640" s="52"/>
      <c r="S640" s="52"/>
      <c r="T640" s="52"/>
      <c r="U640" s="52"/>
      <c r="V640" s="52"/>
      <c r="W640" s="52"/>
      <c r="X640" s="52"/>
      <c r="Y640" s="52"/>
      <c r="Z640" s="52"/>
      <c r="AA640" s="52"/>
      <c r="AB640" s="52"/>
      <c r="AC640" s="52"/>
      <c r="AD640" s="52"/>
      <c r="AE640" s="52"/>
      <c r="AF640" s="52"/>
      <c r="AG640" s="52"/>
      <c r="AH640" s="52"/>
      <c r="AI640" s="52"/>
      <c r="AJ640" s="52"/>
      <c r="AK640" s="52"/>
      <c r="AL640" s="52"/>
      <c r="AM640" s="52"/>
      <c r="AN640" s="52"/>
      <c r="AO640" s="52"/>
      <c r="AP640" s="52"/>
      <c r="AQ640" s="52"/>
      <c r="AR640" s="52"/>
      <c r="AS640" s="52"/>
    </row>
    <row r="641" spans="1:45" s="64" customFormat="1" hidden="1">
      <c r="A641" s="65" t="s">
        <v>376</v>
      </c>
      <c r="B641" s="65" t="s">
        <v>377</v>
      </c>
      <c r="C641" s="83" t="str">
        <f t="shared" si="18"/>
        <v>MW Master Chart April 2016 - Major Maintenance</v>
      </c>
      <c r="D641" s="65">
        <v>810070</v>
      </c>
      <c r="E641" s="65" t="s">
        <v>272</v>
      </c>
      <c r="F641" s="65" t="s">
        <v>155</v>
      </c>
      <c r="G641" s="65" t="s">
        <v>156</v>
      </c>
      <c r="H641" s="65"/>
      <c r="I641" s="76"/>
      <c r="J641" s="82"/>
      <c r="K641" s="66"/>
      <c r="L641" s="61">
        <f t="shared" si="19"/>
        <v>0</v>
      </c>
      <c r="M641" s="72"/>
      <c r="N641" s="73"/>
      <c r="O641" s="52"/>
      <c r="P641" s="52"/>
      <c r="Q641" s="52"/>
      <c r="R641" s="52"/>
      <c r="S641" s="52"/>
      <c r="T641" s="52"/>
      <c r="U641" s="52"/>
      <c r="V641" s="52"/>
      <c r="W641" s="52"/>
      <c r="X641" s="52"/>
      <c r="Y641" s="52"/>
      <c r="Z641" s="52"/>
      <c r="AA641" s="52"/>
      <c r="AB641" s="52"/>
      <c r="AC641" s="52"/>
      <c r="AD641" s="52"/>
      <c r="AE641" s="52"/>
      <c r="AF641" s="52"/>
      <c r="AG641" s="52"/>
      <c r="AH641" s="52"/>
      <c r="AI641" s="52"/>
      <c r="AJ641" s="52"/>
      <c r="AK641" s="52"/>
      <c r="AL641" s="52"/>
      <c r="AM641" s="52"/>
      <c r="AN641" s="52"/>
      <c r="AO641" s="52"/>
      <c r="AP641" s="52"/>
      <c r="AQ641" s="52"/>
      <c r="AR641" s="52"/>
      <c r="AS641" s="52"/>
    </row>
    <row r="642" spans="1:45" s="64" customFormat="1" hidden="1">
      <c r="A642" s="65" t="s">
        <v>376</v>
      </c>
      <c r="B642" s="65" t="s">
        <v>377</v>
      </c>
      <c r="C642" s="83" t="str">
        <f t="shared" si="18"/>
        <v>MW Master Chart April 2016 - Major Maintenance</v>
      </c>
      <c r="D642" s="65">
        <v>810080</v>
      </c>
      <c r="E642" s="65" t="s">
        <v>273</v>
      </c>
      <c r="F642" s="65" t="s">
        <v>155</v>
      </c>
      <c r="G642" s="65" t="s">
        <v>156</v>
      </c>
      <c r="H642" s="65"/>
      <c r="I642" s="76"/>
      <c r="J642" s="82"/>
      <c r="K642" s="66"/>
      <c r="L642" s="61">
        <f t="shared" si="19"/>
        <v>0</v>
      </c>
      <c r="M642" s="72"/>
      <c r="N642" s="73"/>
      <c r="O642" s="52"/>
      <c r="P642" s="52"/>
      <c r="Q642" s="52"/>
      <c r="R642" s="52"/>
      <c r="S642" s="52"/>
      <c r="T642" s="52"/>
      <c r="U642" s="52"/>
      <c r="V642" s="52"/>
      <c r="W642" s="52"/>
      <c r="X642" s="52"/>
      <c r="Y642" s="52"/>
      <c r="Z642" s="52"/>
      <c r="AA642" s="52"/>
      <c r="AB642" s="52"/>
      <c r="AC642" s="52"/>
      <c r="AD642" s="52"/>
      <c r="AE642" s="52"/>
      <c r="AF642" s="52"/>
      <c r="AG642" s="52"/>
      <c r="AH642" s="52"/>
      <c r="AI642" s="52"/>
      <c r="AJ642" s="52"/>
      <c r="AK642" s="52"/>
      <c r="AL642" s="52"/>
      <c r="AM642" s="52"/>
      <c r="AN642" s="52"/>
      <c r="AO642" s="52"/>
      <c r="AP642" s="52"/>
      <c r="AQ642" s="52"/>
      <c r="AR642" s="52"/>
      <c r="AS642" s="52"/>
    </row>
    <row r="643" spans="1:45" s="64" customFormat="1" hidden="1">
      <c r="A643" s="65" t="s">
        <v>376</v>
      </c>
      <c r="B643" s="65" t="s">
        <v>377</v>
      </c>
      <c r="C643" s="83" t="str">
        <f t="shared" si="18"/>
        <v>MW Master Chart April 2016 - Mob/Demob</v>
      </c>
      <c r="D643" s="65">
        <v>820010</v>
      </c>
      <c r="E643" s="65" t="s">
        <v>274</v>
      </c>
      <c r="F643" s="65" t="s">
        <v>155</v>
      </c>
      <c r="G643" s="65" t="s">
        <v>156</v>
      </c>
      <c r="H643" s="65" t="s">
        <v>139</v>
      </c>
      <c r="I643" s="76"/>
      <c r="J643" s="82"/>
      <c r="K643" s="66"/>
      <c r="L643" s="61">
        <f t="shared" si="19"/>
        <v>0</v>
      </c>
      <c r="M643" s="72"/>
      <c r="N643" s="73"/>
      <c r="O643" s="52"/>
      <c r="P643" s="52"/>
      <c r="Q643" s="52"/>
      <c r="R643" s="52"/>
      <c r="S643" s="52"/>
      <c r="T643" s="52"/>
      <c r="U643" s="52"/>
      <c r="V643" s="52"/>
      <c r="W643" s="52"/>
      <c r="X643" s="52"/>
      <c r="Y643" s="52"/>
      <c r="Z643" s="52"/>
      <c r="AA643" s="52"/>
      <c r="AB643" s="52"/>
      <c r="AC643" s="52"/>
      <c r="AD643" s="52"/>
      <c r="AE643" s="52"/>
      <c r="AF643" s="52"/>
      <c r="AG643" s="52"/>
      <c r="AH643" s="52"/>
      <c r="AI643" s="52"/>
      <c r="AJ643" s="52"/>
      <c r="AK643" s="52"/>
      <c r="AL643" s="52"/>
      <c r="AM643" s="52"/>
      <c r="AN643" s="52"/>
      <c r="AO643" s="52"/>
      <c r="AP643" s="52"/>
      <c r="AQ643" s="52"/>
      <c r="AR643" s="52"/>
      <c r="AS643" s="52"/>
    </row>
    <row r="644" spans="1:45" s="64" customFormat="1" hidden="1">
      <c r="A644" s="65" t="s">
        <v>376</v>
      </c>
      <c r="B644" s="65" t="s">
        <v>377</v>
      </c>
      <c r="C644" s="83" t="str">
        <f t="shared" si="18"/>
        <v>MW Master Chart April 2016 - Mob/Demob</v>
      </c>
      <c r="D644" s="65">
        <v>820020</v>
      </c>
      <c r="E644" s="65" t="s">
        <v>275</v>
      </c>
      <c r="F644" s="65" t="s">
        <v>155</v>
      </c>
      <c r="G644" s="65" t="s">
        <v>156</v>
      </c>
      <c r="H644" s="65" t="s">
        <v>139</v>
      </c>
      <c r="I644" s="76"/>
      <c r="J644" s="82"/>
      <c r="K644" s="66"/>
      <c r="L644" s="61">
        <f t="shared" si="19"/>
        <v>0</v>
      </c>
      <c r="M644" s="72"/>
      <c r="N644" s="73"/>
      <c r="O644" s="52"/>
      <c r="P644" s="52"/>
      <c r="Q644" s="52"/>
      <c r="R644" s="52"/>
      <c r="S644" s="52"/>
      <c r="T644" s="52"/>
      <c r="U644" s="52"/>
      <c r="V644" s="52"/>
      <c r="W644" s="52"/>
      <c r="X644" s="52"/>
      <c r="Y644" s="52"/>
      <c r="Z644" s="52"/>
      <c r="AA644" s="52"/>
      <c r="AB644" s="52"/>
      <c r="AC644" s="52"/>
      <c r="AD644" s="52"/>
      <c r="AE644" s="52"/>
      <c r="AF644" s="52"/>
      <c r="AG644" s="52"/>
      <c r="AH644" s="52"/>
      <c r="AI644" s="52"/>
      <c r="AJ644" s="52"/>
      <c r="AK644" s="52"/>
      <c r="AL644" s="52"/>
      <c r="AM644" s="52"/>
      <c r="AN644" s="52"/>
      <c r="AO644" s="52"/>
      <c r="AP644" s="52"/>
      <c r="AQ644" s="52"/>
      <c r="AR644" s="52"/>
      <c r="AS644" s="52"/>
    </row>
    <row r="645" spans="1:45" s="64" customFormat="1" hidden="1">
      <c r="A645" s="65" t="s">
        <v>376</v>
      </c>
      <c r="B645" s="65" t="s">
        <v>377</v>
      </c>
      <c r="C645" s="83" t="str">
        <f t="shared" ref="C645:C707" si="20">B645 &amp; " - " &amp; LEFT(E645,FIND("-",E645)-1)</f>
        <v>MW Master Chart April 2016 - Mob/Demob</v>
      </c>
      <c r="D645" s="65">
        <v>820030</v>
      </c>
      <c r="E645" s="65" t="s">
        <v>276</v>
      </c>
      <c r="F645" s="65" t="s">
        <v>155</v>
      </c>
      <c r="G645" s="65" t="s">
        <v>156</v>
      </c>
      <c r="H645" s="65" t="s">
        <v>139</v>
      </c>
      <c r="I645" s="76"/>
      <c r="J645" s="82"/>
      <c r="K645" s="66"/>
      <c r="L645" s="61">
        <f t="shared" si="19"/>
        <v>0</v>
      </c>
      <c r="M645" s="72"/>
      <c r="N645" s="73"/>
      <c r="O645" s="52"/>
      <c r="P645" s="52"/>
      <c r="Q645" s="52"/>
      <c r="R645" s="52"/>
      <c r="S645" s="52"/>
      <c r="T645" s="52"/>
      <c r="U645" s="52"/>
      <c r="V645" s="52"/>
      <c r="W645" s="52"/>
      <c r="X645" s="52"/>
      <c r="Y645" s="52"/>
      <c r="Z645" s="52"/>
      <c r="AA645" s="52"/>
      <c r="AB645" s="52"/>
      <c r="AC645" s="52"/>
      <c r="AD645" s="52"/>
      <c r="AE645" s="52"/>
      <c r="AF645" s="52"/>
      <c r="AG645" s="52"/>
      <c r="AH645" s="52"/>
      <c r="AI645" s="52"/>
      <c r="AJ645" s="52"/>
      <c r="AK645" s="52"/>
      <c r="AL645" s="52"/>
      <c r="AM645" s="52"/>
      <c r="AN645" s="52"/>
      <c r="AO645" s="52"/>
      <c r="AP645" s="52"/>
      <c r="AQ645" s="52"/>
      <c r="AR645" s="52"/>
      <c r="AS645" s="52"/>
    </row>
    <row r="646" spans="1:45" s="64" customFormat="1" hidden="1">
      <c r="A646" s="65" t="s">
        <v>376</v>
      </c>
      <c r="B646" s="65" t="s">
        <v>377</v>
      </c>
      <c r="C646" s="83" t="str">
        <f t="shared" si="20"/>
        <v>MW Master Chart April 2016 - Mob/Demob</v>
      </c>
      <c r="D646" s="65">
        <v>820040</v>
      </c>
      <c r="E646" s="65" t="s">
        <v>277</v>
      </c>
      <c r="F646" s="65" t="s">
        <v>155</v>
      </c>
      <c r="G646" s="65" t="s">
        <v>156</v>
      </c>
      <c r="H646" s="65" t="s">
        <v>139</v>
      </c>
      <c r="I646" s="76"/>
      <c r="J646" s="82"/>
      <c r="K646" s="66"/>
      <c r="L646" s="61">
        <f t="shared" ref="L646:L707" si="21">I646*J646</f>
        <v>0</v>
      </c>
      <c r="M646" s="72"/>
      <c r="N646" s="73"/>
      <c r="O646" s="52"/>
      <c r="P646" s="52"/>
      <c r="Q646" s="52"/>
      <c r="R646" s="52"/>
      <c r="S646" s="52"/>
      <c r="T646" s="52"/>
      <c r="U646" s="52"/>
      <c r="V646" s="52"/>
      <c r="W646" s="52"/>
      <c r="X646" s="52"/>
      <c r="Y646" s="52"/>
      <c r="Z646" s="52"/>
      <c r="AA646" s="52"/>
      <c r="AB646" s="52"/>
      <c r="AC646" s="52"/>
      <c r="AD646" s="52"/>
      <c r="AE646" s="52"/>
      <c r="AF646" s="52"/>
      <c r="AG646" s="52"/>
      <c r="AH646" s="52"/>
      <c r="AI646" s="52"/>
      <c r="AJ646" s="52"/>
      <c r="AK646" s="52"/>
      <c r="AL646" s="52"/>
      <c r="AM646" s="52"/>
      <c r="AN646" s="52"/>
      <c r="AO646" s="52"/>
      <c r="AP646" s="52"/>
      <c r="AQ646" s="52"/>
      <c r="AR646" s="52"/>
      <c r="AS646" s="52"/>
    </row>
    <row r="647" spans="1:45" s="64" customFormat="1" hidden="1">
      <c r="A647" s="65" t="s">
        <v>376</v>
      </c>
      <c r="B647" s="65" t="s">
        <v>377</v>
      </c>
      <c r="C647" s="83" t="str">
        <f t="shared" si="20"/>
        <v>MW Master Chart April 2016 - Mob/Demob</v>
      </c>
      <c r="D647" s="65">
        <v>820050</v>
      </c>
      <c r="E647" s="65" t="s">
        <v>278</v>
      </c>
      <c r="F647" s="65" t="s">
        <v>155</v>
      </c>
      <c r="G647" s="65" t="s">
        <v>156</v>
      </c>
      <c r="H647" s="65"/>
      <c r="I647" s="76"/>
      <c r="J647" s="82"/>
      <c r="K647" s="66"/>
      <c r="L647" s="61">
        <f t="shared" si="21"/>
        <v>0</v>
      </c>
      <c r="M647" s="72"/>
      <c r="N647" s="73"/>
      <c r="O647" s="52"/>
      <c r="P647" s="52"/>
      <c r="Q647" s="52"/>
      <c r="R647" s="52"/>
      <c r="S647" s="52"/>
      <c r="T647" s="52"/>
      <c r="U647" s="52"/>
      <c r="V647" s="52"/>
      <c r="W647" s="52"/>
      <c r="X647" s="52"/>
      <c r="Y647" s="52"/>
      <c r="Z647" s="52"/>
      <c r="AA647" s="52"/>
      <c r="AB647" s="52"/>
      <c r="AC647" s="52"/>
      <c r="AD647" s="52"/>
      <c r="AE647" s="52"/>
      <c r="AF647" s="52"/>
      <c r="AG647" s="52"/>
      <c r="AH647" s="52"/>
      <c r="AI647" s="52"/>
      <c r="AJ647" s="52"/>
      <c r="AK647" s="52"/>
      <c r="AL647" s="52"/>
      <c r="AM647" s="52"/>
      <c r="AN647" s="52"/>
      <c r="AO647" s="52"/>
      <c r="AP647" s="52"/>
      <c r="AQ647" s="52"/>
      <c r="AR647" s="52"/>
      <c r="AS647" s="52"/>
    </row>
    <row r="648" spans="1:45" s="64" customFormat="1" hidden="1">
      <c r="A648" s="65" t="s">
        <v>376</v>
      </c>
      <c r="B648" s="65" t="s">
        <v>377</v>
      </c>
      <c r="C648" s="83" t="str">
        <f t="shared" si="20"/>
        <v>MW Master Chart April 2016 - Mob/Demob</v>
      </c>
      <c r="D648" s="65">
        <v>820060</v>
      </c>
      <c r="E648" s="65" t="s">
        <v>279</v>
      </c>
      <c r="F648" s="65" t="s">
        <v>155</v>
      </c>
      <c r="G648" s="65" t="s">
        <v>156</v>
      </c>
      <c r="H648" s="65"/>
      <c r="I648" s="76"/>
      <c r="J648" s="82"/>
      <c r="K648" s="66"/>
      <c r="L648" s="61">
        <f t="shared" si="21"/>
        <v>0</v>
      </c>
      <c r="M648" s="72"/>
      <c r="N648" s="73"/>
      <c r="O648" s="52"/>
      <c r="P648" s="52"/>
      <c r="Q648" s="52"/>
      <c r="R648" s="52"/>
      <c r="S648" s="52"/>
      <c r="T648" s="52"/>
      <c r="U648" s="52"/>
      <c r="V648" s="52"/>
      <c r="W648" s="52"/>
      <c r="X648" s="52"/>
      <c r="Y648" s="52"/>
      <c r="Z648" s="52"/>
      <c r="AA648" s="52"/>
      <c r="AB648" s="52"/>
      <c r="AC648" s="52"/>
      <c r="AD648" s="52"/>
      <c r="AE648" s="52"/>
      <c r="AF648" s="52"/>
      <c r="AG648" s="52"/>
      <c r="AH648" s="52"/>
      <c r="AI648" s="52"/>
      <c r="AJ648" s="52"/>
      <c r="AK648" s="52"/>
      <c r="AL648" s="52"/>
      <c r="AM648" s="52"/>
      <c r="AN648" s="52"/>
      <c r="AO648" s="52"/>
      <c r="AP648" s="52"/>
      <c r="AQ648" s="52"/>
      <c r="AR648" s="52"/>
      <c r="AS648" s="52"/>
    </row>
    <row r="649" spans="1:45" s="64" customFormat="1" hidden="1">
      <c r="A649" s="65" t="s">
        <v>376</v>
      </c>
      <c r="B649" s="65" t="s">
        <v>377</v>
      </c>
      <c r="C649" s="83" t="str">
        <f t="shared" si="20"/>
        <v>MW Master Chart April 2016 - Mob/Demob</v>
      </c>
      <c r="D649" s="65">
        <v>820070</v>
      </c>
      <c r="E649" s="65" t="s">
        <v>280</v>
      </c>
      <c r="F649" s="65" t="s">
        <v>155</v>
      </c>
      <c r="G649" s="65" t="s">
        <v>156</v>
      </c>
      <c r="H649" s="65"/>
      <c r="I649" s="76"/>
      <c r="J649" s="82"/>
      <c r="K649" s="66"/>
      <c r="L649" s="61">
        <f t="shared" si="21"/>
        <v>0</v>
      </c>
      <c r="M649" s="72"/>
      <c r="N649" s="73"/>
      <c r="O649" s="52"/>
      <c r="P649" s="52"/>
      <c r="Q649" s="52"/>
      <c r="R649" s="52"/>
      <c r="S649" s="52"/>
      <c r="T649" s="52"/>
      <c r="U649" s="52"/>
      <c r="V649" s="52"/>
      <c r="W649" s="52"/>
      <c r="X649" s="52"/>
      <c r="Y649" s="52"/>
      <c r="Z649" s="52"/>
      <c r="AA649" s="52"/>
      <c r="AB649" s="52"/>
      <c r="AC649" s="52"/>
      <c r="AD649" s="52"/>
      <c r="AE649" s="52"/>
      <c r="AF649" s="52"/>
      <c r="AG649" s="52"/>
      <c r="AH649" s="52"/>
      <c r="AI649" s="52"/>
      <c r="AJ649" s="52"/>
      <c r="AK649" s="52"/>
      <c r="AL649" s="52"/>
      <c r="AM649" s="52"/>
      <c r="AN649" s="52"/>
      <c r="AO649" s="52"/>
      <c r="AP649" s="52"/>
      <c r="AQ649" s="52"/>
      <c r="AR649" s="52"/>
      <c r="AS649" s="52"/>
    </row>
    <row r="650" spans="1:45" s="64" customFormat="1" hidden="1">
      <c r="A650" s="65" t="s">
        <v>376</v>
      </c>
      <c r="B650" s="65" t="s">
        <v>377</v>
      </c>
      <c r="C650" s="83" t="str">
        <f t="shared" si="20"/>
        <v>MW Master Chart April 2016 - Mob/Demob</v>
      </c>
      <c r="D650" s="65">
        <v>820080</v>
      </c>
      <c r="E650" s="65" t="s">
        <v>281</v>
      </c>
      <c r="F650" s="65" t="s">
        <v>155</v>
      </c>
      <c r="G650" s="65" t="s">
        <v>156</v>
      </c>
      <c r="H650" s="65"/>
      <c r="I650" s="76"/>
      <c r="J650" s="82"/>
      <c r="K650" s="66"/>
      <c r="L650" s="61">
        <f t="shared" si="21"/>
        <v>0</v>
      </c>
      <c r="M650" s="72"/>
      <c r="N650" s="73"/>
      <c r="O650" s="52"/>
      <c r="P650" s="52"/>
      <c r="Q650" s="52"/>
      <c r="R650" s="52"/>
      <c r="S650" s="52"/>
      <c r="T650" s="52"/>
      <c r="U650" s="52"/>
      <c r="V650" s="52"/>
      <c r="W650" s="52"/>
      <c r="X650" s="52"/>
      <c r="Y650" s="52"/>
      <c r="Z650" s="52"/>
      <c r="AA650" s="52"/>
      <c r="AB650" s="52"/>
      <c r="AC650" s="52"/>
      <c r="AD650" s="52"/>
      <c r="AE650" s="52"/>
      <c r="AF650" s="52"/>
      <c r="AG650" s="52"/>
      <c r="AH650" s="52"/>
      <c r="AI650" s="52"/>
      <c r="AJ650" s="52"/>
      <c r="AK650" s="52"/>
      <c r="AL650" s="52"/>
      <c r="AM650" s="52"/>
      <c r="AN650" s="52"/>
      <c r="AO650" s="52"/>
      <c r="AP650" s="52"/>
      <c r="AQ650" s="52"/>
      <c r="AR650" s="52"/>
      <c r="AS650" s="52"/>
    </row>
    <row r="651" spans="1:45" s="64" customFormat="1" hidden="1">
      <c r="A651" s="65" t="s">
        <v>376</v>
      </c>
      <c r="B651" s="65" t="s">
        <v>377</v>
      </c>
      <c r="C651" s="83" t="str">
        <f t="shared" si="20"/>
        <v>MW Master Chart April 2016 - Standby</v>
      </c>
      <c r="D651" s="65">
        <v>830010</v>
      </c>
      <c r="E651" s="65" t="s">
        <v>282</v>
      </c>
      <c r="F651" s="65" t="s">
        <v>155</v>
      </c>
      <c r="G651" s="65" t="s">
        <v>156</v>
      </c>
      <c r="H651" s="65" t="s">
        <v>139</v>
      </c>
      <c r="I651" s="76"/>
      <c r="J651" s="82"/>
      <c r="K651" s="66"/>
      <c r="L651" s="61">
        <f t="shared" si="21"/>
        <v>0</v>
      </c>
      <c r="M651" s="72"/>
      <c r="N651" s="73"/>
      <c r="O651" s="52"/>
      <c r="P651" s="52"/>
      <c r="Q651" s="52"/>
      <c r="R651" s="52"/>
      <c r="S651" s="52"/>
      <c r="T651" s="52"/>
      <c r="U651" s="52"/>
      <c r="V651" s="52"/>
      <c r="W651" s="52"/>
      <c r="X651" s="52"/>
      <c r="Y651" s="52"/>
      <c r="Z651" s="52"/>
      <c r="AA651" s="52"/>
      <c r="AB651" s="52"/>
      <c r="AC651" s="52"/>
      <c r="AD651" s="52"/>
      <c r="AE651" s="52"/>
      <c r="AF651" s="52"/>
      <c r="AG651" s="52"/>
      <c r="AH651" s="52"/>
      <c r="AI651" s="52"/>
      <c r="AJ651" s="52"/>
      <c r="AK651" s="52"/>
      <c r="AL651" s="52"/>
      <c r="AM651" s="52"/>
      <c r="AN651" s="52"/>
      <c r="AO651" s="52"/>
      <c r="AP651" s="52"/>
      <c r="AQ651" s="52"/>
      <c r="AR651" s="52"/>
      <c r="AS651" s="52"/>
    </row>
    <row r="652" spans="1:45" s="64" customFormat="1" hidden="1">
      <c r="A652" s="65" t="s">
        <v>376</v>
      </c>
      <c r="B652" s="65" t="s">
        <v>377</v>
      </c>
      <c r="C652" s="83" t="str">
        <f t="shared" si="20"/>
        <v>MW Master Chart April 2016 - Standby</v>
      </c>
      <c r="D652" s="65">
        <v>830020</v>
      </c>
      <c r="E652" s="65" t="s">
        <v>283</v>
      </c>
      <c r="F652" s="65" t="s">
        <v>155</v>
      </c>
      <c r="G652" s="65" t="s">
        <v>156</v>
      </c>
      <c r="H652" s="65" t="s">
        <v>139</v>
      </c>
      <c r="I652" s="76"/>
      <c r="J652" s="82"/>
      <c r="K652" s="66"/>
      <c r="L652" s="61">
        <f t="shared" si="21"/>
        <v>0</v>
      </c>
      <c r="M652" s="72"/>
      <c r="N652" s="73"/>
      <c r="O652" s="52"/>
      <c r="P652" s="52"/>
      <c r="Q652" s="52"/>
      <c r="R652" s="52"/>
      <c r="S652" s="52"/>
      <c r="T652" s="52"/>
      <c r="U652" s="52"/>
      <c r="V652" s="52"/>
      <c r="W652" s="52"/>
      <c r="X652" s="52"/>
      <c r="Y652" s="52"/>
      <c r="Z652" s="52"/>
      <c r="AA652" s="52"/>
      <c r="AB652" s="52"/>
      <c r="AC652" s="52"/>
      <c r="AD652" s="52"/>
      <c r="AE652" s="52"/>
      <c r="AF652" s="52"/>
      <c r="AG652" s="52"/>
      <c r="AH652" s="52"/>
      <c r="AI652" s="52"/>
      <c r="AJ652" s="52"/>
      <c r="AK652" s="52"/>
      <c r="AL652" s="52"/>
      <c r="AM652" s="52"/>
      <c r="AN652" s="52"/>
      <c r="AO652" s="52"/>
      <c r="AP652" s="52"/>
      <c r="AQ652" s="52"/>
      <c r="AR652" s="52"/>
      <c r="AS652" s="52"/>
    </row>
    <row r="653" spans="1:45" s="64" customFormat="1" hidden="1">
      <c r="A653" s="65" t="s">
        <v>376</v>
      </c>
      <c r="B653" s="65" t="s">
        <v>377</v>
      </c>
      <c r="C653" s="83" t="str">
        <f t="shared" si="20"/>
        <v>MW Master Chart April 2016 - Standby</v>
      </c>
      <c r="D653" s="65">
        <v>830030</v>
      </c>
      <c r="E653" s="65" t="s">
        <v>284</v>
      </c>
      <c r="F653" s="65" t="s">
        <v>155</v>
      </c>
      <c r="G653" s="65" t="s">
        <v>156</v>
      </c>
      <c r="H653" s="65" t="s">
        <v>139</v>
      </c>
      <c r="I653" s="76"/>
      <c r="J653" s="82"/>
      <c r="K653" s="66"/>
      <c r="L653" s="61">
        <f t="shared" si="21"/>
        <v>0</v>
      </c>
      <c r="M653" s="72"/>
      <c r="N653" s="73"/>
      <c r="O653" s="52"/>
      <c r="P653" s="52"/>
      <c r="Q653" s="52"/>
      <c r="R653" s="52"/>
      <c r="S653" s="52"/>
      <c r="T653" s="52"/>
      <c r="U653" s="52"/>
      <c r="V653" s="52"/>
      <c r="W653" s="52"/>
      <c r="X653" s="52"/>
      <c r="Y653" s="52"/>
      <c r="Z653" s="52"/>
      <c r="AA653" s="52"/>
      <c r="AB653" s="52"/>
      <c r="AC653" s="52"/>
      <c r="AD653" s="52"/>
      <c r="AE653" s="52"/>
      <c r="AF653" s="52"/>
      <c r="AG653" s="52"/>
      <c r="AH653" s="52"/>
      <c r="AI653" s="52"/>
      <c r="AJ653" s="52"/>
      <c r="AK653" s="52"/>
      <c r="AL653" s="52"/>
      <c r="AM653" s="52"/>
      <c r="AN653" s="52"/>
      <c r="AO653" s="52"/>
      <c r="AP653" s="52"/>
      <c r="AQ653" s="52"/>
      <c r="AR653" s="52"/>
      <c r="AS653" s="52"/>
    </row>
    <row r="654" spans="1:45" s="64" customFormat="1" hidden="1">
      <c r="A654" s="65" t="s">
        <v>376</v>
      </c>
      <c r="B654" s="65" t="s">
        <v>377</v>
      </c>
      <c r="C654" s="83" t="str">
        <f t="shared" si="20"/>
        <v>MW Master Chart April 2016 - Standby</v>
      </c>
      <c r="D654" s="65">
        <v>830040</v>
      </c>
      <c r="E654" s="65" t="s">
        <v>285</v>
      </c>
      <c r="F654" s="65" t="s">
        <v>155</v>
      </c>
      <c r="G654" s="65" t="s">
        <v>156</v>
      </c>
      <c r="H654" s="65" t="s">
        <v>139</v>
      </c>
      <c r="I654" s="76"/>
      <c r="J654" s="82"/>
      <c r="K654" s="66"/>
      <c r="L654" s="61">
        <f t="shared" si="21"/>
        <v>0</v>
      </c>
      <c r="M654" s="72"/>
      <c r="N654" s="73"/>
      <c r="O654" s="52"/>
      <c r="P654" s="52"/>
      <c r="Q654" s="52"/>
      <c r="R654" s="52"/>
      <c r="S654" s="52"/>
      <c r="T654" s="52"/>
      <c r="U654" s="52"/>
      <c r="V654" s="52"/>
      <c r="W654" s="52"/>
      <c r="X654" s="52"/>
      <c r="Y654" s="52"/>
      <c r="Z654" s="52"/>
      <c r="AA654" s="52"/>
      <c r="AB654" s="52"/>
      <c r="AC654" s="52"/>
      <c r="AD654" s="52"/>
      <c r="AE654" s="52"/>
      <c r="AF654" s="52"/>
      <c r="AG654" s="52"/>
      <c r="AH654" s="52"/>
      <c r="AI654" s="52"/>
      <c r="AJ654" s="52"/>
      <c r="AK654" s="52"/>
      <c r="AL654" s="52"/>
      <c r="AM654" s="52"/>
      <c r="AN654" s="52"/>
      <c r="AO654" s="52"/>
      <c r="AP654" s="52"/>
      <c r="AQ654" s="52"/>
      <c r="AR654" s="52"/>
      <c r="AS654" s="52"/>
    </row>
    <row r="655" spans="1:45" s="64" customFormat="1" hidden="1">
      <c r="A655" s="65" t="s">
        <v>376</v>
      </c>
      <c r="B655" s="65" t="s">
        <v>377</v>
      </c>
      <c r="C655" s="83" t="str">
        <f t="shared" si="20"/>
        <v>MW Master Chart April 2016 - Standby</v>
      </c>
      <c r="D655" s="65">
        <v>830050</v>
      </c>
      <c r="E655" s="65" t="s">
        <v>286</v>
      </c>
      <c r="F655" s="65" t="s">
        <v>155</v>
      </c>
      <c r="G655" s="65" t="s">
        <v>156</v>
      </c>
      <c r="H655" s="65"/>
      <c r="I655" s="76"/>
      <c r="J655" s="82"/>
      <c r="K655" s="66"/>
      <c r="L655" s="61">
        <f t="shared" si="21"/>
        <v>0</v>
      </c>
      <c r="M655" s="72"/>
      <c r="N655" s="73"/>
      <c r="O655" s="52"/>
      <c r="P655" s="52"/>
      <c r="Q655" s="52"/>
      <c r="R655" s="52"/>
      <c r="S655" s="52"/>
      <c r="T655" s="52"/>
      <c r="U655" s="52"/>
      <c r="V655" s="52"/>
      <c r="W655" s="52"/>
      <c r="X655" s="52"/>
      <c r="Y655" s="52"/>
      <c r="Z655" s="52"/>
      <c r="AA655" s="52"/>
      <c r="AB655" s="52"/>
      <c r="AC655" s="52"/>
      <c r="AD655" s="52"/>
      <c r="AE655" s="52"/>
      <c r="AF655" s="52"/>
      <c r="AG655" s="52"/>
      <c r="AH655" s="52"/>
      <c r="AI655" s="52"/>
      <c r="AJ655" s="52"/>
      <c r="AK655" s="52"/>
      <c r="AL655" s="52"/>
      <c r="AM655" s="52"/>
      <c r="AN655" s="52"/>
      <c r="AO655" s="52"/>
      <c r="AP655" s="52"/>
      <c r="AQ655" s="52"/>
      <c r="AR655" s="52"/>
      <c r="AS655" s="52"/>
    </row>
    <row r="656" spans="1:45" s="64" customFormat="1" hidden="1">
      <c r="A656" s="65" t="s">
        <v>376</v>
      </c>
      <c r="B656" s="65" t="s">
        <v>377</v>
      </c>
      <c r="C656" s="83" t="str">
        <f t="shared" si="20"/>
        <v>MW Master Chart April 2016 - Standby</v>
      </c>
      <c r="D656" s="65">
        <v>830060</v>
      </c>
      <c r="E656" s="65" t="s">
        <v>287</v>
      </c>
      <c r="F656" s="65" t="s">
        <v>155</v>
      </c>
      <c r="G656" s="65" t="s">
        <v>156</v>
      </c>
      <c r="H656" s="65"/>
      <c r="I656" s="76"/>
      <c r="J656" s="82"/>
      <c r="K656" s="66"/>
      <c r="L656" s="61">
        <f t="shared" si="21"/>
        <v>0</v>
      </c>
      <c r="M656" s="72"/>
      <c r="N656" s="73"/>
      <c r="O656" s="52"/>
      <c r="P656" s="52"/>
      <c r="Q656" s="52"/>
      <c r="R656" s="52"/>
      <c r="S656" s="52"/>
      <c r="T656" s="52"/>
      <c r="U656" s="52"/>
      <c r="V656" s="52"/>
      <c r="W656" s="52"/>
      <c r="X656" s="52"/>
      <c r="Y656" s="52"/>
      <c r="Z656" s="52"/>
      <c r="AA656" s="52"/>
      <c r="AB656" s="52"/>
      <c r="AC656" s="52"/>
      <c r="AD656" s="52"/>
      <c r="AE656" s="52"/>
      <c r="AF656" s="52"/>
      <c r="AG656" s="52"/>
      <c r="AH656" s="52"/>
      <c r="AI656" s="52"/>
      <c r="AJ656" s="52"/>
      <c r="AK656" s="52"/>
      <c r="AL656" s="52"/>
      <c r="AM656" s="52"/>
      <c r="AN656" s="52"/>
      <c r="AO656" s="52"/>
      <c r="AP656" s="52"/>
      <c r="AQ656" s="52"/>
      <c r="AR656" s="52"/>
      <c r="AS656" s="52"/>
    </row>
    <row r="657" spans="1:45" s="64" customFormat="1" hidden="1">
      <c r="A657" s="65" t="s">
        <v>376</v>
      </c>
      <c r="B657" s="65" t="s">
        <v>377</v>
      </c>
      <c r="C657" s="83" t="str">
        <f t="shared" si="20"/>
        <v>MW Master Chart April 2016 - Standby</v>
      </c>
      <c r="D657" s="65">
        <v>830070</v>
      </c>
      <c r="E657" s="65" t="s">
        <v>288</v>
      </c>
      <c r="F657" s="65" t="s">
        <v>155</v>
      </c>
      <c r="G657" s="65" t="s">
        <v>156</v>
      </c>
      <c r="H657" s="65"/>
      <c r="I657" s="76"/>
      <c r="J657" s="82"/>
      <c r="K657" s="66"/>
      <c r="L657" s="61">
        <f t="shared" si="21"/>
        <v>0</v>
      </c>
      <c r="M657" s="72"/>
      <c r="N657" s="73"/>
      <c r="O657" s="52"/>
      <c r="P657" s="52"/>
      <c r="Q657" s="52"/>
      <c r="R657" s="52"/>
      <c r="S657" s="52"/>
      <c r="T657" s="52"/>
      <c r="U657" s="52"/>
      <c r="V657" s="52"/>
      <c r="W657" s="52"/>
      <c r="X657" s="52"/>
      <c r="Y657" s="52"/>
      <c r="Z657" s="52"/>
      <c r="AA657" s="52"/>
      <c r="AB657" s="52"/>
      <c r="AC657" s="52"/>
      <c r="AD657" s="52"/>
      <c r="AE657" s="52"/>
      <c r="AF657" s="52"/>
      <c r="AG657" s="52"/>
      <c r="AH657" s="52"/>
      <c r="AI657" s="52"/>
      <c r="AJ657" s="52"/>
      <c r="AK657" s="52"/>
      <c r="AL657" s="52"/>
      <c r="AM657" s="52"/>
      <c r="AN657" s="52"/>
      <c r="AO657" s="52"/>
      <c r="AP657" s="52"/>
      <c r="AQ657" s="52"/>
      <c r="AR657" s="52"/>
      <c r="AS657" s="52"/>
    </row>
    <row r="658" spans="1:45" s="64" customFormat="1" hidden="1">
      <c r="A658" s="65" t="s">
        <v>376</v>
      </c>
      <c r="B658" s="65" t="s">
        <v>377</v>
      </c>
      <c r="C658" s="83" t="str">
        <f t="shared" si="20"/>
        <v>MW Master Chart April 2016 - Standby</v>
      </c>
      <c r="D658" s="65">
        <v>830080</v>
      </c>
      <c r="E658" s="65" t="s">
        <v>289</v>
      </c>
      <c r="F658" s="65" t="s">
        <v>155</v>
      </c>
      <c r="G658" s="65" t="s">
        <v>156</v>
      </c>
      <c r="H658" s="65"/>
      <c r="I658" s="76"/>
      <c r="J658" s="82"/>
      <c r="K658" s="66"/>
      <c r="L658" s="61">
        <f t="shared" si="21"/>
        <v>0</v>
      </c>
      <c r="M658" s="72"/>
      <c r="N658" s="73"/>
      <c r="O658" s="52"/>
      <c r="P658" s="52"/>
      <c r="Q658" s="52"/>
      <c r="R658" s="52"/>
      <c r="S658" s="52"/>
      <c r="T658" s="52"/>
      <c r="U658" s="52"/>
      <c r="V658" s="52"/>
      <c r="W658" s="52"/>
      <c r="X658" s="52"/>
      <c r="Y658" s="52"/>
      <c r="Z658" s="52"/>
      <c r="AA658" s="52"/>
      <c r="AB658" s="52"/>
      <c r="AC658" s="52"/>
      <c r="AD658" s="52"/>
      <c r="AE658" s="52"/>
      <c r="AF658" s="52"/>
      <c r="AG658" s="52"/>
      <c r="AH658" s="52"/>
      <c r="AI658" s="52"/>
      <c r="AJ658" s="52"/>
      <c r="AK658" s="52"/>
      <c r="AL658" s="52"/>
      <c r="AM658" s="52"/>
      <c r="AN658" s="52"/>
      <c r="AO658" s="52"/>
      <c r="AP658" s="52"/>
      <c r="AQ658" s="52"/>
      <c r="AR658" s="52"/>
      <c r="AS658" s="52"/>
    </row>
    <row r="659" spans="1:45" s="64" customFormat="1" hidden="1">
      <c r="A659" s="65" t="s">
        <v>376</v>
      </c>
      <c r="B659" s="65" t="s">
        <v>377</v>
      </c>
      <c r="C659" s="83" t="str">
        <f t="shared" si="20"/>
        <v>MW Master Chart April 2016 - Standby Full Crew</v>
      </c>
      <c r="D659" s="65">
        <v>840010</v>
      </c>
      <c r="E659" s="65" t="s">
        <v>290</v>
      </c>
      <c r="F659" s="65" t="s">
        <v>155</v>
      </c>
      <c r="G659" s="65" t="s">
        <v>156</v>
      </c>
      <c r="H659" s="65" t="s">
        <v>139</v>
      </c>
      <c r="I659" s="76"/>
      <c r="J659" s="82"/>
      <c r="K659" s="66"/>
      <c r="L659" s="61">
        <f t="shared" si="21"/>
        <v>0</v>
      </c>
      <c r="M659" s="72"/>
      <c r="N659" s="73"/>
      <c r="O659" s="52"/>
      <c r="P659" s="52"/>
      <c r="Q659" s="52"/>
      <c r="R659" s="52"/>
      <c r="S659" s="52"/>
      <c r="T659" s="52"/>
      <c r="U659" s="52"/>
      <c r="V659" s="52"/>
      <c r="W659" s="52"/>
      <c r="X659" s="52"/>
      <c r="Y659" s="52"/>
      <c r="Z659" s="52"/>
      <c r="AA659" s="52"/>
      <c r="AB659" s="52"/>
      <c r="AC659" s="52"/>
      <c r="AD659" s="52"/>
      <c r="AE659" s="52"/>
      <c r="AF659" s="52"/>
      <c r="AG659" s="52"/>
      <c r="AH659" s="52"/>
      <c r="AI659" s="52"/>
      <c r="AJ659" s="52"/>
      <c r="AK659" s="52"/>
      <c r="AL659" s="52"/>
      <c r="AM659" s="52"/>
      <c r="AN659" s="52"/>
      <c r="AO659" s="52"/>
      <c r="AP659" s="52"/>
      <c r="AQ659" s="52"/>
      <c r="AR659" s="52"/>
      <c r="AS659" s="52"/>
    </row>
    <row r="660" spans="1:45" s="64" customFormat="1" hidden="1">
      <c r="A660" s="65" t="s">
        <v>376</v>
      </c>
      <c r="B660" s="65" t="s">
        <v>377</v>
      </c>
      <c r="C660" s="83" t="str">
        <f t="shared" si="20"/>
        <v>MW Master Chart April 2016 - Standby Full Crew</v>
      </c>
      <c r="D660" s="65">
        <v>840020</v>
      </c>
      <c r="E660" s="65" t="s">
        <v>291</v>
      </c>
      <c r="F660" s="65" t="s">
        <v>155</v>
      </c>
      <c r="G660" s="65" t="s">
        <v>156</v>
      </c>
      <c r="H660" s="65" t="s">
        <v>139</v>
      </c>
      <c r="I660" s="76"/>
      <c r="J660" s="82"/>
      <c r="K660" s="66"/>
      <c r="L660" s="61">
        <f t="shared" si="21"/>
        <v>0</v>
      </c>
      <c r="M660" s="72"/>
      <c r="N660" s="73"/>
      <c r="O660" s="52"/>
      <c r="P660" s="52"/>
      <c r="Q660" s="52"/>
      <c r="R660" s="52"/>
      <c r="S660" s="52"/>
      <c r="T660" s="52"/>
      <c r="U660" s="52"/>
      <c r="V660" s="52"/>
      <c r="W660" s="52"/>
      <c r="X660" s="52"/>
      <c r="Y660" s="52"/>
      <c r="Z660" s="52"/>
      <c r="AA660" s="52"/>
      <c r="AB660" s="52"/>
      <c r="AC660" s="52"/>
      <c r="AD660" s="52"/>
      <c r="AE660" s="52"/>
      <c r="AF660" s="52"/>
      <c r="AG660" s="52"/>
      <c r="AH660" s="52"/>
      <c r="AI660" s="52"/>
      <c r="AJ660" s="52"/>
      <c r="AK660" s="52"/>
      <c r="AL660" s="52"/>
      <c r="AM660" s="52"/>
      <c r="AN660" s="52"/>
      <c r="AO660" s="52"/>
      <c r="AP660" s="52"/>
      <c r="AQ660" s="52"/>
      <c r="AR660" s="52"/>
      <c r="AS660" s="52"/>
    </row>
    <row r="661" spans="1:45" s="64" customFormat="1" hidden="1">
      <c r="A661" s="65" t="s">
        <v>376</v>
      </c>
      <c r="B661" s="65" t="s">
        <v>377</v>
      </c>
      <c r="C661" s="83" t="str">
        <f t="shared" si="20"/>
        <v>MW Master Chart April 2016 - Standby Full Crew</v>
      </c>
      <c r="D661" s="65">
        <v>840030</v>
      </c>
      <c r="E661" s="65" t="s">
        <v>292</v>
      </c>
      <c r="F661" s="65" t="s">
        <v>155</v>
      </c>
      <c r="G661" s="65" t="s">
        <v>156</v>
      </c>
      <c r="H661" s="65" t="s">
        <v>139</v>
      </c>
      <c r="I661" s="76"/>
      <c r="J661" s="82"/>
      <c r="K661" s="66"/>
      <c r="L661" s="61">
        <f t="shared" si="21"/>
        <v>0</v>
      </c>
      <c r="M661" s="72"/>
      <c r="N661" s="73"/>
      <c r="O661" s="52"/>
      <c r="P661" s="52"/>
      <c r="Q661" s="52"/>
      <c r="R661" s="52"/>
      <c r="S661" s="52"/>
      <c r="T661" s="52"/>
      <c r="U661" s="52"/>
      <c r="V661" s="52"/>
      <c r="W661" s="52"/>
      <c r="X661" s="52"/>
      <c r="Y661" s="52"/>
      <c r="Z661" s="52"/>
      <c r="AA661" s="52"/>
      <c r="AB661" s="52"/>
      <c r="AC661" s="52"/>
      <c r="AD661" s="52"/>
      <c r="AE661" s="52"/>
      <c r="AF661" s="52"/>
      <c r="AG661" s="52"/>
      <c r="AH661" s="52"/>
      <c r="AI661" s="52"/>
      <c r="AJ661" s="52"/>
      <c r="AK661" s="52"/>
      <c r="AL661" s="52"/>
      <c r="AM661" s="52"/>
      <c r="AN661" s="52"/>
      <c r="AO661" s="52"/>
      <c r="AP661" s="52"/>
      <c r="AQ661" s="52"/>
      <c r="AR661" s="52"/>
      <c r="AS661" s="52"/>
    </row>
    <row r="662" spans="1:45" s="64" customFormat="1" hidden="1">
      <c r="A662" s="65" t="s">
        <v>376</v>
      </c>
      <c r="B662" s="65" t="s">
        <v>377</v>
      </c>
      <c r="C662" s="83" t="str">
        <f t="shared" si="20"/>
        <v>MW Master Chart April 2016 - Standby Full Crew</v>
      </c>
      <c r="D662" s="65">
        <v>840040</v>
      </c>
      <c r="E662" s="65" t="s">
        <v>293</v>
      </c>
      <c r="F662" s="65" t="s">
        <v>155</v>
      </c>
      <c r="G662" s="65" t="s">
        <v>156</v>
      </c>
      <c r="H662" s="65"/>
      <c r="I662" s="76"/>
      <c r="J662" s="82"/>
      <c r="K662" s="66"/>
      <c r="L662" s="61">
        <f t="shared" si="21"/>
        <v>0</v>
      </c>
      <c r="M662" s="72"/>
      <c r="N662" s="73"/>
      <c r="O662" s="52"/>
      <c r="P662" s="52"/>
      <c r="Q662" s="52"/>
      <c r="R662" s="52"/>
      <c r="S662" s="52"/>
      <c r="T662" s="52"/>
      <c r="U662" s="52"/>
      <c r="V662" s="52"/>
      <c r="W662" s="52"/>
      <c r="X662" s="52"/>
      <c r="Y662" s="52"/>
      <c r="Z662" s="52"/>
      <c r="AA662" s="52"/>
      <c r="AB662" s="52"/>
      <c r="AC662" s="52"/>
      <c r="AD662" s="52"/>
      <c r="AE662" s="52"/>
      <c r="AF662" s="52"/>
      <c r="AG662" s="52"/>
      <c r="AH662" s="52"/>
      <c r="AI662" s="52"/>
      <c r="AJ662" s="52"/>
      <c r="AK662" s="52"/>
      <c r="AL662" s="52"/>
      <c r="AM662" s="52"/>
      <c r="AN662" s="52"/>
      <c r="AO662" s="52"/>
      <c r="AP662" s="52"/>
      <c r="AQ662" s="52"/>
      <c r="AR662" s="52"/>
      <c r="AS662" s="52"/>
    </row>
    <row r="663" spans="1:45" s="64" customFormat="1" hidden="1">
      <c r="A663" s="65" t="s">
        <v>376</v>
      </c>
      <c r="B663" s="65" t="s">
        <v>377</v>
      </c>
      <c r="C663" s="83" t="str">
        <f t="shared" si="20"/>
        <v>MW Master Chart April 2016 - Standby Full Crew</v>
      </c>
      <c r="D663" s="65">
        <v>840050</v>
      </c>
      <c r="E663" s="65" t="s">
        <v>294</v>
      </c>
      <c r="F663" s="65" t="s">
        <v>155</v>
      </c>
      <c r="G663" s="65" t="s">
        <v>156</v>
      </c>
      <c r="H663" s="65"/>
      <c r="I663" s="76"/>
      <c r="J663" s="82"/>
      <c r="K663" s="66"/>
      <c r="L663" s="61">
        <f t="shared" si="21"/>
        <v>0</v>
      </c>
      <c r="M663" s="72"/>
      <c r="N663" s="73"/>
      <c r="O663" s="52"/>
      <c r="P663" s="52"/>
      <c r="Q663" s="52"/>
      <c r="R663" s="52"/>
      <c r="S663" s="52"/>
      <c r="T663" s="52"/>
      <c r="U663" s="52"/>
      <c r="V663" s="52"/>
      <c r="W663" s="52"/>
      <c r="X663" s="52"/>
      <c r="Y663" s="52"/>
      <c r="Z663" s="52"/>
      <c r="AA663" s="52"/>
      <c r="AB663" s="52"/>
      <c r="AC663" s="52"/>
      <c r="AD663" s="52"/>
      <c r="AE663" s="52"/>
      <c r="AF663" s="52"/>
      <c r="AG663" s="52"/>
      <c r="AH663" s="52"/>
      <c r="AI663" s="52"/>
      <c r="AJ663" s="52"/>
      <c r="AK663" s="52"/>
      <c r="AL663" s="52"/>
      <c r="AM663" s="52"/>
      <c r="AN663" s="52"/>
      <c r="AO663" s="52"/>
      <c r="AP663" s="52"/>
      <c r="AQ663" s="52"/>
      <c r="AR663" s="52"/>
      <c r="AS663" s="52"/>
    </row>
    <row r="664" spans="1:45" s="64" customFormat="1" hidden="1">
      <c r="A664" s="65" t="s">
        <v>376</v>
      </c>
      <c r="B664" s="65" t="s">
        <v>377</v>
      </c>
      <c r="C664" s="83" t="str">
        <f t="shared" si="20"/>
        <v>MW Master Chart April 2016 - Standby Full Crew</v>
      </c>
      <c r="D664" s="65">
        <v>840060</v>
      </c>
      <c r="E664" s="65" t="s">
        <v>295</v>
      </c>
      <c r="F664" s="65" t="s">
        <v>155</v>
      </c>
      <c r="G664" s="65" t="s">
        <v>156</v>
      </c>
      <c r="H664" s="65"/>
      <c r="I664" s="76"/>
      <c r="J664" s="82"/>
      <c r="K664" s="66"/>
      <c r="L664" s="61">
        <f t="shared" si="21"/>
        <v>0</v>
      </c>
      <c r="M664" s="72"/>
      <c r="N664" s="73"/>
      <c r="O664" s="52"/>
      <c r="P664" s="52"/>
      <c r="Q664" s="52"/>
      <c r="R664" s="52"/>
      <c r="S664" s="52"/>
      <c r="T664" s="52"/>
      <c r="U664" s="52"/>
      <c r="V664" s="52"/>
      <c r="W664" s="52"/>
      <c r="X664" s="52"/>
      <c r="Y664" s="52"/>
      <c r="Z664" s="52"/>
      <c r="AA664" s="52"/>
      <c r="AB664" s="52"/>
      <c r="AC664" s="52"/>
      <c r="AD664" s="52"/>
      <c r="AE664" s="52"/>
      <c r="AF664" s="52"/>
      <c r="AG664" s="52"/>
      <c r="AH664" s="52"/>
      <c r="AI664" s="52"/>
      <c r="AJ664" s="52"/>
      <c r="AK664" s="52"/>
      <c r="AL664" s="52"/>
      <c r="AM664" s="52"/>
      <c r="AN664" s="52"/>
      <c r="AO664" s="52"/>
      <c r="AP664" s="52"/>
      <c r="AQ664" s="52"/>
      <c r="AR664" s="52"/>
      <c r="AS664" s="52"/>
    </row>
    <row r="665" spans="1:45" s="64" customFormat="1" hidden="1">
      <c r="A665" s="65" t="s">
        <v>376</v>
      </c>
      <c r="B665" s="65" t="s">
        <v>377</v>
      </c>
      <c r="C665" s="83" t="str">
        <f t="shared" si="20"/>
        <v>MW Master Chart April 2016 - Standby Full Crew</v>
      </c>
      <c r="D665" s="65">
        <v>840070</v>
      </c>
      <c r="E665" s="65" t="s">
        <v>296</v>
      </c>
      <c r="F665" s="65" t="s">
        <v>155</v>
      </c>
      <c r="G665" s="65" t="s">
        <v>156</v>
      </c>
      <c r="H665" s="65"/>
      <c r="I665" s="76"/>
      <c r="J665" s="82"/>
      <c r="K665" s="66"/>
      <c r="L665" s="61">
        <f t="shared" si="21"/>
        <v>0</v>
      </c>
      <c r="M665" s="72"/>
      <c r="N665" s="73"/>
      <c r="O665" s="52"/>
      <c r="P665" s="52"/>
      <c r="Q665" s="52"/>
      <c r="R665" s="52"/>
      <c r="S665" s="52"/>
      <c r="T665" s="52"/>
      <c r="U665" s="52"/>
      <c r="V665" s="52"/>
      <c r="W665" s="52"/>
      <c r="X665" s="52"/>
      <c r="Y665" s="52"/>
      <c r="Z665" s="52"/>
      <c r="AA665" s="52"/>
      <c r="AB665" s="52"/>
      <c r="AC665" s="52"/>
      <c r="AD665" s="52"/>
      <c r="AE665" s="52"/>
      <c r="AF665" s="52"/>
      <c r="AG665" s="52"/>
      <c r="AH665" s="52"/>
      <c r="AI665" s="52"/>
      <c r="AJ665" s="52"/>
      <c r="AK665" s="52"/>
      <c r="AL665" s="52"/>
      <c r="AM665" s="52"/>
      <c r="AN665" s="52"/>
      <c r="AO665" s="52"/>
      <c r="AP665" s="52"/>
      <c r="AQ665" s="52"/>
      <c r="AR665" s="52"/>
      <c r="AS665" s="52"/>
    </row>
    <row r="666" spans="1:45" s="64" customFormat="1" hidden="1">
      <c r="A666" s="65" t="s">
        <v>376</v>
      </c>
      <c r="B666" s="65" t="s">
        <v>377</v>
      </c>
      <c r="C666" s="83" t="str">
        <f t="shared" si="20"/>
        <v>MW Master Chart April 2016 - Standby Full Crew</v>
      </c>
      <c r="D666" s="65">
        <v>840080</v>
      </c>
      <c r="E666" s="65" t="s">
        <v>297</v>
      </c>
      <c r="F666" s="65" t="s">
        <v>155</v>
      </c>
      <c r="G666" s="65" t="s">
        <v>156</v>
      </c>
      <c r="H666" s="65"/>
      <c r="I666" s="76"/>
      <c r="J666" s="82"/>
      <c r="K666" s="66"/>
      <c r="L666" s="61">
        <f t="shared" si="21"/>
        <v>0</v>
      </c>
      <c r="M666" s="72"/>
      <c r="N666" s="73"/>
      <c r="O666" s="52"/>
      <c r="P666" s="52"/>
      <c r="Q666" s="52"/>
      <c r="R666" s="52"/>
      <c r="S666" s="52"/>
      <c r="T666" s="52"/>
      <c r="U666" s="52"/>
      <c r="V666" s="52"/>
      <c r="W666" s="52"/>
      <c r="X666" s="52"/>
      <c r="Y666" s="52"/>
      <c r="Z666" s="52"/>
      <c r="AA666" s="52"/>
      <c r="AB666" s="52"/>
      <c r="AC666" s="52"/>
      <c r="AD666" s="52"/>
      <c r="AE666" s="52"/>
      <c r="AF666" s="52"/>
      <c r="AG666" s="52"/>
      <c r="AH666" s="52"/>
      <c r="AI666" s="52"/>
      <c r="AJ666" s="52"/>
      <c r="AK666" s="52"/>
      <c r="AL666" s="52"/>
      <c r="AM666" s="52"/>
      <c r="AN666" s="52"/>
      <c r="AO666" s="52"/>
      <c r="AP666" s="52"/>
      <c r="AQ666" s="52"/>
      <c r="AR666" s="52"/>
      <c r="AS666" s="52"/>
    </row>
    <row r="667" spans="1:45" s="64" customFormat="1" hidden="1">
      <c r="A667" s="65" t="s">
        <v>376</v>
      </c>
      <c r="B667" s="65" t="s">
        <v>377</v>
      </c>
      <c r="C667" s="83" t="str">
        <f t="shared" si="20"/>
        <v>MW Master Chart April 2016 - Nav Office Operations</v>
      </c>
      <c r="D667" s="65">
        <v>850010</v>
      </c>
      <c r="E667" s="65" t="s">
        <v>298</v>
      </c>
      <c r="F667" s="65" t="s">
        <v>155</v>
      </c>
      <c r="G667" s="65" t="s">
        <v>156</v>
      </c>
      <c r="H667" s="65" t="s">
        <v>139</v>
      </c>
      <c r="I667" s="76"/>
      <c r="J667" s="82"/>
      <c r="K667" s="66"/>
      <c r="L667" s="61">
        <f t="shared" si="21"/>
        <v>0</v>
      </c>
      <c r="M667" s="72"/>
      <c r="N667" s="73"/>
      <c r="O667" s="52"/>
      <c r="P667" s="52"/>
      <c r="Q667" s="52"/>
      <c r="R667" s="52"/>
      <c r="S667" s="52"/>
      <c r="T667" s="52"/>
      <c r="U667" s="52"/>
      <c r="V667" s="52"/>
      <c r="W667" s="52"/>
      <c r="X667" s="52"/>
      <c r="Y667" s="52"/>
      <c r="Z667" s="52"/>
      <c r="AA667" s="52"/>
      <c r="AB667" s="52"/>
      <c r="AC667" s="52"/>
      <c r="AD667" s="52"/>
      <c r="AE667" s="52"/>
      <c r="AF667" s="52"/>
      <c r="AG667" s="52"/>
      <c r="AH667" s="52"/>
      <c r="AI667" s="52"/>
      <c r="AJ667" s="52"/>
      <c r="AK667" s="52"/>
      <c r="AL667" s="52"/>
      <c r="AM667" s="52"/>
      <c r="AN667" s="52"/>
      <c r="AO667" s="52"/>
      <c r="AP667" s="52"/>
      <c r="AQ667" s="52"/>
      <c r="AR667" s="52"/>
      <c r="AS667" s="52"/>
    </row>
    <row r="668" spans="1:45" s="64" customFormat="1" hidden="1">
      <c r="A668" s="65" t="s">
        <v>376</v>
      </c>
      <c r="B668" s="65" t="s">
        <v>377</v>
      </c>
      <c r="C668" s="83" t="str">
        <f t="shared" si="20"/>
        <v>MW Master Chart April 2016 - Nav Office Operations</v>
      </c>
      <c r="D668" s="65">
        <v>850020</v>
      </c>
      <c r="E668" s="65" t="s">
        <v>299</v>
      </c>
      <c r="F668" s="65" t="s">
        <v>155</v>
      </c>
      <c r="G668" s="65" t="s">
        <v>156</v>
      </c>
      <c r="H668" s="65"/>
      <c r="I668" s="76"/>
      <c r="J668" s="82"/>
      <c r="K668" s="66"/>
      <c r="L668" s="61">
        <f t="shared" si="21"/>
        <v>0</v>
      </c>
      <c r="M668" s="72"/>
      <c r="N668" s="73"/>
      <c r="O668" s="52"/>
      <c r="P668" s="52"/>
      <c r="Q668" s="52"/>
      <c r="R668" s="52"/>
      <c r="S668" s="52"/>
      <c r="T668" s="52"/>
      <c r="U668" s="52"/>
      <c r="V668" s="52"/>
      <c r="W668" s="52"/>
      <c r="X668" s="52"/>
      <c r="Y668" s="52"/>
      <c r="Z668" s="52"/>
      <c r="AA668" s="52"/>
      <c r="AB668" s="52"/>
      <c r="AC668" s="52"/>
      <c r="AD668" s="52"/>
      <c r="AE668" s="52"/>
      <c r="AF668" s="52"/>
      <c r="AG668" s="52"/>
      <c r="AH668" s="52"/>
      <c r="AI668" s="52"/>
      <c r="AJ668" s="52"/>
      <c r="AK668" s="52"/>
      <c r="AL668" s="52"/>
      <c r="AM668" s="52"/>
      <c r="AN668" s="52"/>
      <c r="AO668" s="52"/>
      <c r="AP668" s="52"/>
      <c r="AQ668" s="52"/>
      <c r="AR668" s="52"/>
      <c r="AS668" s="52"/>
    </row>
    <row r="669" spans="1:45" s="64" customFormat="1" hidden="1">
      <c r="A669" s="65" t="s">
        <v>376</v>
      </c>
      <c r="B669" s="65" t="s">
        <v>377</v>
      </c>
      <c r="C669" s="83" t="str">
        <f t="shared" si="20"/>
        <v>MW Master Chart April 2016 - Nav Office Operations</v>
      </c>
      <c r="D669" s="65">
        <v>850030</v>
      </c>
      <c r="E669" s="65" t="s">
        <v>300</v>
      </c>
      <c r="F669" s="65" t="s">
        <v>155</v>
      </c>
      <c r="G669" s="65" t="s">
        <v>156</v>
      </c>
      <c r="H669" s="65"/>
      <c r="I669" s="76"/>
      <c r="J669" s="82"/>
      <c r="K669" s="66"/>
      <c r="L669" s="61">
        <f t="shared" si="21"/>
        <v>0</v>
      </c>
      <c r="M669" s="72"/>
      <c r="N669" s="73"/>
      <c r="O669" s="52"/>
      <c r="P669" s="52"/>
      <c r="Q669" s="52"/>
      <c r="R669" s="52"/>
      <c r="S669" s="52"/>
      <c r="T669" s="52"/>
      <c r="U669" s="52"/>
      <c r="V669" s="52"/>
      <c r="W669" s="52"/>
      <c r="X669" s="52"/>
      <c r="Y669" s="52"/>
      <c r="Z669" s="52"/>
      <c r="AA669" s="52"/>
      <c r="AB669" s="52"/>
      <c r="AC669" s="52"/>
      <c r="AD669" s="52"/>
      <c r="AE669" s="52"/>
      <c r="AF669" s="52"/>
      <c r="AG669" s="52"/>
      <c r="AH669" s="52"/>
      <c r="AI669" s="52"/>
      <c r="AJ669" s="52"/>
      <c r="AK669" s="52"/>
      <c r="AL669" s="52"/>
      <c r="AM669" s="52"/>
      <c r="AN669" s="52"/>
      <c r="AO669" s="52"/>
      <c r="AP669" s="52"/>
      <c r="AQ669" s="52"/>
      <c r="AR669" s="52"/>
      <c r="AS669" s="52"/>
    </row>
    <row r="670" spans="1:45" s="64" customFormat="1" hidden="1">
      <c r="A670" s="65" t="s">
        <v>376</v>
      </c>
      <c r="B670" s="65" t="s">
        <v>377</v>
      </c>
      <c r="C670" s="83" t="str">
        <f t="shared" si="20"/>
        <v>MW Master Chart April 2016 - Nav Office Operations</v>
      </c>
      <c r="D670" s="65">
        <v>850040</v>
      </c>
      <c r="E670" s="65" t="s">
        <v>301</v>
      </c>
      <c r="F670" s="65" t="s">
        <v>155</v>
      </c>
      <c r="G670" s="65" t="s">
        <v>156</v>
      </c>
      <c r="H670" s="65"/>
      <c r="I670" s="76"/>
      <c r="J670" s="82"/>
      <c r="K670" s="66"/>
      <c r="L670" s="61">
        <f t="shared" si="21"/>
        <v>0</v>
      </c>
      <c r="M670" s="72"/>
      <c r="N670" s="73"/>
      <c r="O670" s="52"/>
      <c r="P670" s="52"/>
      <c r="Q670" s="52"/>
      <c r="R670" s="52"/>
      <c r="S670" s="52"/>
      <c r="T670" s="52"/>
      <c r="U670" s="52"/>
      <c r="V670" s="52"/>
      <c r="W670" s="52"/>
      <c r="X670" s="52"/>
      <c r="Y670" s="52"/>
      <c r="Z670" s="52"/>
      <c r="AA670" s="52"/>
      <c r="AB670" s="52"/>
      <c r="AC670" s="52"/>
      <c r="AD670" s="52"/>
      <c r="AE670" s="52"/>
      <c r="AF670" s="52"/>
      <c r="AG670" s="52"/>
      <c r="AH670" s="52"/>
      <c r="AI670" s="52"/>
      <c r="AJ670" s="52"/>
      <c r="AK670" s="52"/>
      <c r="AL670" s="52"/>
      <c r="AM670" s="52"/>
      <c r="AN670" s="52"/>
      <c r="AO670" s="52"/>
      <c r="AP670" s="52"/>
      <c r="AQ670" s="52"/>
      <c r="AR670" s="52"/>
      <c r="AS670" s="52"/>
    </row>
    <row r="671" spans="1:45" s="64" customFormat="1" hidden="1">
      <c r="A671" s="65" t="s">
        <v>376</v>
      </c>
      <c r="B671" s="65" t="s">
        <v>377</v>
      </c>
      <c r="C671" s="83" t="str">
        <f t="shared" si="20"/>
        <v>MW Master Chart April 2016 - Nav Office Operations</v>
      </c>
      <c r="D671" s="65">
        <v>850050</v>
      </c>
      <c r="E671" s="65" t="s">
        <v>302</v>
      </c>
      <c r="F671" s="65" t="s">
        <v>155</v>
      </c>
      <c r="G671" s="65" t="s">
        <v>156</v>
      </c>
      <c r="H671" s="65"/>
      <c r="I671" s="76"/>
      <c r="J671" s="82"/>
      <c r="K671" s="66"/>
      <c r="L671" s="61">
        <f t="shared" si="21"/>
        <v>0</v>
      </c>
      <c r="M671" s="72"/>
      <c r="N671" s="73"/>
      <c r="O671" s="52"/>
      <c r="P671" s="52"/>
      <c r="Q671" s="52"/>
      <c r="R671" s="52"/>
      <c r="S671" s="52"/>
      <c r="T671" s="52"/>
      <c r="U671" s="52"/>
      <c r="V671" s="52"/>
      <c r="W671" s="52"/>
      <c r="X671" s="52"/>
      <c r="Y671" s="52"/>
      <c r="Z671" s="52"/>
      <c r="AA671" s="52"/>
      <c r="AB671" s="52"/>
      <c r="AC671" s="52"/>
      <c r="AD671" s="52"/>
      <c r="AE671" s="52"/>
      <c r="AF671" s="52"/>
      <c r="AG671" s="52"/>
      <c r="AH671" s="52"/>
      <c r="AI671" s="52"/>
      <c r="AJ671" s="52"/>
      <c r="AK671" s="52"/>
      <c r="AL671" s="52"/>
      <c r="AM671" s="52"/>
      <c r="AN671" s="52"/>
      <c r="AO671" s="52"/>
      <c r="AP671" s="52"/>
      <c r="AQ671" s="52"/>
      <c r="AR671" s="52"/>
      <c r="AS671" s="52"/>
    </row>
    <row r="672" spans="1:45" s="64" customFormat="1" hidden="1">
      <c r="A672" s="65" t="s">
        <v>376</v>
      </c>
      <c r="B672" s="65" t="s">
        <v>377</v>
      </c>
      <c r="C672" s="83" t="str">
        <f t="shared" si="20"/>
        <v>MW Master Chart April 2016 - Nav Office Operations</v>
      </c>
      <c r="D672" s="65">
        <v>850070</v>
      </c>
      <c r="E672" s="65" t="s">
        <v>303</v>
      </c>
      <c r="F672" s="65" t="s">
        <v>155</v>
      </c>
      <c r="G672" s="65" t="s">
        <v>156</v>
      </c>
      <c r="H672" s="65"/>
      <c r="I672" s="76"/>
      <c r="J672" s="82"/>
      <c r="K672" s="66"/>
      <c r="L672" s="61">
        <f t="shared" si="21"/>
        <v>0</v>
      </c>
      <c r="M672" s="72"/>
      <c r="N672" s="73"/>
      <c r="O672" s="52"/>
      <c r="P672" s="52"/>
      <c r="Q672" s="52"/>
      <c r="R672" s="52"/>
      <c r="S672" s="52"/>
      <c r="T672" s="52"/>
      <c r="U672" s="52"/>
      <c r="V672" s="52"/>
      <c r="W672" s="52"/>
      <c r="X672" s="52"/>
      <c r="Y672" s="52"/>
      <c r="Z672" s="52"/>
      <c r="AA672" s="52"/>
      <c r="AB672" s="52"/>
      <c r="AC672" s="52"/>
      <c r="AD672" s="52"/>
      <c r="AE672" s="52"/>
      <c r="AF672" s="52"/>
      <c r="AG672" s="52"/>
      <c r="AH672" s="52"/>
      <c r="AI672" s="52"/>
      <c r="AJ672" s="52"/>
      <c r="AK672" s="52"/>
      <c r="AL672" s="52"/>
      <c r="AM672" s="52"/>
      <c r="AN672" s="52"/>
      <c r="AO672" s="52"/>
      <c r="AP672" s="52"/>
      <c r="AQ672" s="52"/>
      <c r="AR672" s="52"/>
      <c r="AS672" s="52"/>
    </row>
    <row r="673" spans="1:45" s="64" customFormat="1" hidden="1">
      <c r="A673" s="65" t="s">
        <v>376</v>
      </c>
      <c r="B673" s="65" t="s">
        <v>377</v>
      </c>
      <c r="C673" s="83" t="str">
        <f t="shared" si="20"/>
        <v>MW Master Chart April 2016 - Nav Div Overhead</v>
      </c>
      <c r="D673" s="65">
        <v>860010</v>
      </c>
      <c r="E673" s="65" t="s">
        <v>304</v>
      </c>
      <c r="F673" s="65" t="s">
        <v>155</v>
      </c>
      <c r="G673" s="65" t="s">
        <v>156</v>
      </c>
      <c r="H673" s="65"/>
      <c r="I673" s="76"/>
      <c r="J673" s="82"/>
      <c r="K673" s="66"/>
      <c r="L673" s="61">
        <f t="shared" si="21"/>
        <v>0</v>
      </c>
      <c r="M673" s="72"/>
      <c r="N673" s="73"/>
      <c r="O673" s="52"/>
      <c r="P673" s="52"/>
      <c r="Q673" s="52"/>
      <c r="R673" s="52"/>
      <c r="S673" s="52"/>
      <c r="T673" s="52"/>
      <c r="U673" s="52"/>
      <c r="V673" s="52"/>
      <c r="W673" s="52"/>
      <c r="X673" s="52"/>
      <c r="Y673" s="52"/>
      <c r="Z673" s="52"/>
      <c r="AA673" s="52"/>
      <c r="AB673" s="52"/>
      <c r="AC673" s="52"/>
      <c r="AD673" s="52"/>
      <c r="AE673" s="52"/>
      <c r="AF673" s="52"/>
      <c r="AG673" s="52"/>
      <c r="AH673" s="52"/>
      <c r="AI673" s="52"/>
      <c r="AJ673" s="52"/>
      <c r="AK673" s="52"/>
      <c r="AL673" s="52"/>
      <c r="AM673" s="52"/>
      <c r="AN673" s="52"/>
      <c r="AO673" s="52"/>
      <c r="AP673" s="52"/>
      <c r="AQ673" s="52"/>
      <c r="AR673" s="52"/>
      <c r="AS673" s="52"/>
    </row>
    <row r="674" spans="1:45" s="64" customFormat="1" hidden="1">
      <c r="A674" s="65" t="s">
        <v>376</v>
      </c>
      <c r="B674" s="65" t="s">
        <v>377</v>
      </c>
      <c r="C674" s="83" t="str">
        <f t="shared" si="20"/>
        <v>MW Master Chart April 2016 - Nav Div Overhead</v>
      </c>
      <c r="D674" s="65">
        <v>860020</v>
      </c>
      <c r="E674" s="65" t="s">
        <v>305</v>
      </c>
      <c r="F674" s="65" t="s">
        <v>155</v>
      </c>
      <c r="G674" s="65" t="s">
        <v>156</v>
      </c>
      <c r="H674" s="65"/>
      <c r="I674" s="76"/>
      <c r="J674" s="82"/>
      <c r="K674" s="66"/>
      <c r="L674" s="61">
        <f t="shared" si="21"/>
        <v>0</v>
      </c>
      <c r="M674" s="72"/>
      <c r="N674" s="73"/>
      <c r="O674" s="52"/>
      <c r="P674" s="52"/>
      <c r="Q674" s="52"/>
      <c r="R674" s="52"/>
      <c r="S674" s="52"/>
      <c r="T674" s="52"/>
      <c r="U674" s="52"/>
      <c r="V674" s="52"/>
      <c r="W674" s="52"/>
      <c r="X674" s="52"/>
      <c r="Y674" s="52"/>
      <c r="Z674" s="52"/>
      <c r="AA674" s="52"/>
      <c r="AB674" s="52"/>
      <c r="AC674" s="52"/>
      <c r="AD674" s="52"/>
      <c r="AE674" s="52"/>
      <c r="AF674" s="52"/>
      <c r="AG674" s="52"/>
      <c r="AH674" s="52"/>
      <c r="AI674" s="52"/>
      <c r="AJ674" s="52"/>
      <c r="AK674" s="52"/>
      <c r="AL674" s="52"/>
      <c r="AM674" s="52"/>
      <c r="AN674" s="52"/>
      <c r="AO674" s="52"/>
      <c r="AP674" s="52"/>
      <c r="AQ674" s="52"/>
      <c r="AR674" s="52"/>
      <c r="AS674" s="52"/>
    </row>
    <row r="675" spans="1:45" s="64" customFormat="1" hidden="1">
      <c r="A675" s="65" t="s">
        <v>376</v>
      </c>
      <c r="B675" s="65" t="s">
        <v>377</v>
      </c>
      <c r="C675" s="83" t="str">
        <f t="shared" si="20"/>
        <v>MW Master Chart April 2016 - Nav Div Overhead</v>
      </c>
      <c r="D675" s="65">
        <v>860030</v>
      </c>
      <c r="E675" s="65" t="s">
        <v>306</v>
      </c>
      <c r="F675" s="65" t="s">
        <v>155</v>
      </c>
      <c r="G675" s="65" t="s">
        <v>156</v>
      </c>
      <c r="H675" s="65"/>
      <c r="I675" s="76"/>
      <c r="J675" s="82"/>
      <c r="K675" s="66"/>
      <c r="L675" s="61">
        <f t="shared" si="21"/>
        <v>0</v>
      </c>
      <c r="M675" s="72"/>
      <c r="N675" s="73"/>
      <c r="O675" s="52"/>
      <c r="P675" s="52"/>
      <c r="Q675" s="52"/>
      <c r="R675" s="52"/>
      <c r="S675" s="52"/>
      <c r="T675" s="52"/>
      <c r="U675" s="52"/>
      <c r="V675" s="52"/>
      <c r="W675" s="52"/>
      <c r="X675" s="52"/>
      <c r="Y675" s="52"/>
      <c r="Z675" s="52"/>
      <c r="AA675" s="52"/>
      <c r="AB675" s="52"/>
      <c r="AC675" s="52"/>
      <c r="AD675" s="52"/>
      <c r="AE675" s="52"/>
      <c r="AF675" s="52"/>
      <c r="AG675" s="52"/>
      <c r="AH675" s="52"/>
      <c r="AI675" s="52"/>
      <c r="AJ675" s="52"/>
      <c r="AK675" s="52"/>
      <c r="AL675" s="52"/>
      <c r="AM675" s="52"/>
      <c r="AN675" s="52"/>
      <c r="AO675" s="52"/>
      <c r="AP675" s="52"/>
      <c r="AQ675" s="52"/>
      <c r="AR675" s="52"/>
      <c r="AS675" s="52"/>
    </row>
    <row r="676" spans="1:45" s="64" customFormat="1" hidden="1">
      <c r="A676" s="65" t="s">
        <v>376</v>
      </c>
      <c r="B676" s="65" t="s">
        <v>377</v>
      </c>
      <c r="C676" s="83" t="str">
        <f t="shared" si="20"/>
        <v>MW Master Chart April 2016 - Nav Div Overhead</v>
      </c>
      <c r="D676" s="65">
        <v>860040</v>
      </c>
      <c r="E676" s="65" t="s">
        <v>307</v>
      </c>
      <c r="F676" s="65" t="s">
        <v>155</v>
      </c>
      <c r="G676" s="65" t="s">
        <v>156</v>
      </c>
      <c r="H676" s="65"/>
      <c r="I676" s="76"/>
      <c r="J676" s="82"/>
      <c r="K676" s="66"/>
      <c r="L676" s="61">
        <f t="shared" si="21"/>
        <v>0</v>
      </c>
      <c r="M676" s="72"/>
      <c r="N676" s="73"/>
      <c r="O676" s="52"/>
      <c r="P676" s="52"/>
      <c r="Q676" s="52"/>
      <c r="R676" s="52"/>
      <c r="S676" s="52"/>
      <c r="T676" s="52"/>
      <c r="U676" s="52"/>
      <c r="V676" s="52"/>
      <c r="W676" s="52"/>
      <c r="X676" s="52"/>
      <c r="Y676" s="52"/>
      <c r="Z676" s="52"/>
      <c r="AA676" s="52"/>
      <c r="AB676" s="52"/>
      <c r="AC676" s="52"/>
      <c r="AD676" s="52"/>
      <c r="AE676" s="52"/>
      <c r="AF676" s="52"/>
      <c r="AG676" s="52"/>
      <c r="AH676" s="52"/>
      <c r="AI676" s="52"/>
      <c r="AJ676" s="52"/>
      <c r="AK676" s="52"/>
      <c r="AL676" s="52"/>
      <c r="AM676" s="52"/>
      <c r="AN676" s="52"/>
      <c r="AO676" s="52"/>
      <c r="AP676" s="52"/>
      <c r="AQ676" s="52"/>
      <c r="AR676" s="52"/>
      <c r="AS676" s="52"/>
    </row>
    <row r="677" spans="1:45" s="64" customFormat="1" hidden="1">
      <c r="A677" s="65" t="s">
        <v>376</v>
      </c>
      <c r="B677" s="65" t="s">
        <v>377</v>
      </c>
      <c r="C677" s="83" t="str">
        <f t="shared" si="20"/>
        <v>MW Master Chart April 2016 - Nav Div Overhead</v>
      </c>
      <c r="D677" s="65">
        <v>860050</v>
      </c>
      <c r="E677" s="65" t="s">
        <v>308</v>
      </c>
      <c r="F677" s="65" t="s">
        <v>155</v>
      </c>
      <c r="G677" s="65" t="s">
        <v>156</v>
      </c>
      <c r="H677" s="65"/>
      <c r="I677" s="76"/>
      <c r="J677" s="82"/>
      <c r="K677" s="66"/>
      <c r="L677" s="61">
        <f t="shared" si="21"/>
        <v>0</v>
      </c>
      <c r="M677" s="72"/>
      <c r="N677" s="73"/>
      <c r="O677" s="52"/>
      <c r="P677" s="52"/>
      <c r="Q677" s="52"/>
      <c r="R677" s="52"/>
      <c r="S677" s="52"/>
      <c r="T677" s="52"/>
      <c r="U677" s="52"/>
      <c r="V677" s="52"/>
      <c r="W677" s="52"/>
      <c r="X677" s="52"/>
      <c r="Y677" s="52"/>
      <c r="Z677" s="52"/>
      <c r="AA677" s="52"/>
      <c r="AB677" s="52"/>
      <c r="AC677" s="52"/>
      <c r="AD677" s="52"/>
      <c r="AE677" s="52"/>
      <c r="AF677" s="52"/>
      <c r="AG677" s="52"/>
      <c r="AH677" s="52"/>
      <c r="AI677" s="52"/>
      <c r="AJ677" s="52"/>
      <c r="AK677" s="52"/>
      <c r="AL677" s="52"/>
      <c r="AM677" s="52"/>
      <c r="AN677" s="52"/>
      <c r="AO677" s="52"/>
      <c r="AP677" s="52"/>
      <c r="AQ677" s="52"/>
      <c r="AR677" s="52"/>
      <c r="AS677" s="52"/>
    </row>
    <row r="678" spans="1:45" s="64" customFormat="1" hidden="1">
      <c r="A678" s="65" t="s">
        <v>376</v>
      </c>
      <c r="B678" s="65" t="s">
        <v>377</v>
      </c>
      <c r="C678" s="83" t="str">
        <f t="shared" si="20"/>
        <v>MW Master Chart April 2016 - Nav Div Overhead</v>
      </c>
      <c r="D678" s="65">
        <v>860060</v>
      </c>
      <c r="E678" s="65" t="s">
        <v>309</v>
      </c>
      <c r="F678" s="65" t="s">
        <v>155</v>
      </c>
      <c r="G678" s="65" t="s">
        <v>156</v>
      </c>
      <c r="H678" s="65"/>
      <c r="I678" s="76"/>
      <c r="J678" s="82"/>
      <c r="K678" s="66"/>
      <c r="L678" s="61">
        <f t="shared" si="21"/>
        <v>0</v>
      </c>
      <c r="M678" s="72"/>
      <c r="N678" s="73"/>
      <c r="O678" s="52"/>
      <c r="P678" s="52"/>
      <c r="Q678" s="52"/>
      <c r="R678" s="52"/>
      <c r="S678" s="52"/>
      <c r="T678" s="52"/>
      <c r="U678" s="52"/>
      <c r="V678" s="52"/>
      <c r="W678" s="52"/>
      <c r="X678" s="52"/>
      <c r="Y678" s="52"/>
      <c r="Z678" s="52"/>
      <c r="AA678" s="52"/>
      <c r="AB678" s="52"/>
      <c r="AC678" s="52"/>
      <c r="AD678" s="52"/>
      <c r="AE678" s="52"/>
      <c r="AF678" s="52"/>
      <c r="AG678" s="52"/>
      <c r="AH678" s="52"/>
      <c r="AI678" s="52"/>
      <c r="AJ678" s="52"/>
      <c r="AK678" s="52"/>
      <c r="AL678" s="52"/>
      <c r="AM678" s="52"/>
      <c r="AN678" s="52"/>
      <c r="AO678" s="52"/>
      <c r="AP678" s="52"/>
      <c r="AQ678" s="52"/>
      <c r="AR678" s="52"/>
      <c r="AS678" s="52"/>
    </row>
    <row r="679" spans="1:45" s="64" customFormat="1" hidden="1">
      <c r="A679" s="65" t="s">
        <v>376</v>
      </c>
      <c r="B679" s="65" t="s">
        <v>377</v>
      </c>
      <c r="C679" s="83" t="str">
        <f t="shared" si="20"/>
        <v>MW Master Chart April 2016 - Nav Div Overhead</v>
      </c>
      <c r="D679" s="65">
        <v>860090</v>
      </c>
      <c r="E679" s="65" t="s">
        <v>310</v>
      </c>
      <c r="F679" s="65" t="s">
        <v>155</v>
      </c>
      <c r="G679" s="65" t="s">
        <v>156</v>
      </c>
      <c r="H679" s="65" t="s">
        <v>139</v>
      </c>
      <c r="I679" s="76"/>
      <c r="J679" s="82"/>
      <c r="K679" s="66"/>
      <c r="L679" s="61">
        <f t="shared" si="21"/>
        <v>0</v>
      </c>
      <c r="M679" s="72"/>
      <c r="N679" s="73"/>
      <c r="O679" s="52"/>
      <c r="P679" s="52"/>
      <c r="Q679" s="52"/>
      <c r="R679" s="52"/>
      <c r="S679" s="52"/>
      <c r="T679" s="52"/>
      <c r="U679" s="52"/>
      <c r="V679" s="52"/>
      <c r="W679" s="52"/>
      <c r="X679" s="52"/>
      <c r="Y679" s="52"/>
      <c r="Z679" s="52"/>
      <c r="AA679" s="52"/>
      <c r="AB679" s="52"/>
      <c r="AC679" s="52"/>
      <c r="AD679" s="52"/>
      <c r="AE679" s="52"/>
      <c r="AF679" s="52"/>
      <c r="AG679" s="52"/>
      <c r="AH679" s="52"/>
      <c r="AI679" s="52"/>
      <c r="AJ679" s="52"/>
      <c r="AK679" s="52"/>
      <c r="AL679" s="52"/>
      <c r="AM679" s="52"/>
      <c r="AN679" s="52"/>
      <c r="AO679" s="52"/>
      <c r="AP679" s="52"/>
      <c r="AQ679" s="52"/>
      <c r="AR679" s="52"/>
      <c r="AS679" s="52"/>
    </row>
    <row r="680" spans="1:45" s="64" customFormat="1" hidden="1">
      <c r="A680" s="65" t="s">
        <v>376</v>
      </c>
      <c r="B680" s="65" t="s">
        <v>377</v>
      </c>
      <c r="C680" s="83" t="str">
        <f t="shared" si="20"/>
        <v>MW Master Chart April 2016 - Interdepartment Support</v>
      </c>
      <c r="D680" s="65">
        <v>870010</v>
      </c>
      <c r="E680" s="65" t="s">
        <v>311</v>
      </c>
      <c r="F680" s="65" t="s">
        <v>155</v>
      </c>
      <c r="G680" s="65" t="s">
        <v>156</v>
      </c>
      <c r="H680" s="65" t="s">
        <v>139</v>
      </c>
      <c r="I680" s="76"/>
      <c r="J680" s="82"/>
      <c r="K680" s="66"/>
      <c r="L680" s="61">
        <f t="shared" si="21"/>
        <v>0</v>
      </c>
      <c r="M680" s="72"/>
      <c r="N680" s="73"/>
      <c r="O680" s="52"/>
      <c r="P680" s="52"/>
      <c r="Q680" s="52"/>
      <c r="R680" s="52"/>
      <c r="S680" s="52"/>
      <c r="T680" s="52"/>
      <c r="U680" s="52"/>
      <c r="V680" s="52"/>
      <c r="W680" s="52"/>
      <c r="X680" s="52"/>
      <c r="Y680" s="52"/>
      <c r="Z680" s="52"/>
      <c r="AA680" s="52"/>
      <c r="AB680" s="52"/>
      <c r="AC680" s="52"/>
      <c r="AD680" s="52"/>
      <c r="AE680" s="52"/>
      <c r="AF680" s="52"/>
      <c r="AG680" s="52"/>
      <c r="AH680" s="52"/>
      <c r="AI680" s="52"/>
      <c r="AJ680" s="52"/>
      <c r="AK680" s="52"/>
      <c r="AL680" s="52"/>
      <c r="AM680" s="52"/>
      <c r="AN680" s="52"/>
      <c r="AO680" s="52"/>
      <c r="AP680" s="52"/>
      <c r="AQ680" s="52"/>
      <c r="AR680" s="52"/>
      <c r="AS680" s="52"/>
    </row>
    <row r="681" spans="1:45" s="64" customFormat="1" hidden="1">
      <c r="A681" s="65" t="s">
        <v>376</v>
      </c>
      <c r="B681" s="65" t="s">
        <v>377</v>
      </c>
      <c r="C681" s="83" t="str">
        <f t="shared" si="20"/>
        <v>MW Master Chart April 2016 - Interdepartment Support</v>
      </c>
      <c r="D681" s="65">
        <v>870020</v>
      </c>
      <c r="E681" s="65" t="s">
        <v>312</v>
      </c>
      <c r="F681" s="65" t="s">
        <v>155</v>
      </c>
      <c r="G681" s="65" t="s">
        <v>156</v>
      </c>
      <c r="H681" s="65" t="s">
        <v>139</v>
      </c>
      <c r="I681" s="76"/>
      <c r="J681" s="82"/>
      <c r="K681" s="66"/>
      <c r="L681" s="61">
        <f t="shared" si="21"/>
        <v>0</v>
      </c>
      <c r="M681" s="72"/>
      <c r="N681" s="73"/>
      <c r="O681" s="52"/>
      <c r="P681" s="52"/>
      <c r="Q681" s="52"/>
      <c r="R681" s="52"/>
      <c r="S681" s="52"/>
      <c r="T681" s="52"/>
      <c r="U681" s="52"/>
      <c r="V681" s="52"/>
      <c r="W681" s="52"/>
      <c r="X681" s="52"/>
      <c r="Y681" s="52"/>
      <c r="Z681" s="52"/>
      <c r="AA681" s="52"/>
      <c r="AB681" s="52"/>
      <c r="AC681" s="52"/>
      <c r="AD681" s="52"/>
      <c r="AE681" s="52"/>
      <c r="AF681" s="52"/>
      <c r="AG681" s="52"/>
      <c r="AH681" s="52"/>
      <c r="AI681" s="52"/>
      <c r="AJ681" s="52"/>
      <c r="AK681" s="52"/>
      <c r="AL681" s="52"/>
      <c r="AM681" s="52"/>
      <c r="AN681" s="52"/>
      <c r="AO681" s="52"/>
      <c r="AP681" s="52"/>
      <c r="AQ681" s="52"/>
      <c r="AR681" s="52"/>
      <c r="AS681" s="52"/>
    </row>
    <row r="682" spans="1:45" s="64" customFormat="1" hidden="1">
      <c r="A682" s="65" t="s">
        <v>376</v>
      </c>
      <c r="B682" s="65" t="s">
        <v>377</v>
      </c>
      <c r="C682" s="83" t="str">
        <f t="shared" si="20"/>
        <v>MW Master Chart April 2016 - Interdepartment Support</v>
      </c>
      <c r="D682" s="65">
        <v>870030</v>
      </c>
      <c r="E682" s="65" t="s">
        <v>313</v>
      </c>
      <c r="F682" s="65" t="s">
        <v>155</v>
      </c>
      <c r="G682" s="65" t="s">
        <v>156</v>
      </c>
      <c r="H682" s="65" t="s">
        <v>139</v>
      </c>
      <c r="I682" s="76"/>
      <c r="J682" s="82"/>
      <c r="K682" s="66"/>
      <c r="L682" s="61">
        <f t="shared" si="21"/>
        <v>0</v>
      </c>
      <c r="M682" s="72"/>
      <c r="N682" s="73"/>
      <c r="O682" s="52"/>
      <c r="P682" s="52"/>
      <c r="Q682" s="52"/>
      <c r="R682" s="52"/>
      <c r="S682" s="52"/>
      <c r="T682" s="52"/>
      <c r="U682" s="52"/>
      <c r="V682" s="52"/>
      <c r="W682" s="52"/>
      <c r="X682" s="52"/>
      <c r="Y682" s="52"/>
      <c r="Z682" s="52"/>
      <c r="AA682" s="52"/>
      <c r="AB682" s="52"/>
      <c r="AC682" s="52"/>
      <c r="AD682" s="52"/>
      <c r="AE682" s="52"/>
      <c r="AF682" s="52"/>
      <c r="AG682" s="52"/>
      <c r="AH682" s="52"/>
      <c r="AI682" s="52"/>
      <c r="AJ682" s="52"/>
      <c r="AK682" s="52"/>
      <c r="AL682" s="52"/>
      <c r="AM682" s="52"/>
      <c r="AN682" s="52"/>
      <c r="AO682" s="52"/>
      <c r="AP682" s="52"/>
      <c r="AQ682" s="52"/>
      <c r="AR682" s="52"/>
      <c r="AS682" s="52"/>
    </row>
    <row r="683" spans="1:45" s="64" customFormat="1" hidden="1">
      <c r="A683" s="65" t="s">
        <v>376</v>
      </c>
      <c r="B683" s="65" t="s">
        <v>377</v>
      </c>
      <c r="C683" s="83" t="str">
        <f t="shared" si="20"/>
        <v>MW Master Chart April 2016 - Interdepartment Support</v>
      </c>
      <c r="D683" s="65">
        <v>870040</v>
      </c>
      <c r="E683" s="65" t="s">
        <v>314</v>
      </c>
      <c r="F683" s="65" t="s">
        <v>155</v>
      </c>
      <c r="G683" s="65" t="s">
        <v>156</v>
      </c>
      <c r="H683" s="65" t="s">
        <v>139</v>
      </c>
      <c r="I683" s="76"/>
      <c r="J683" s="82"/>
      <c r="K683" s="66"/>
      <c r="L683" s="61">
        <f t="shared" si="21"/>
        <v>0</v>
      </c>
      <c r="M683" s="72"/>
      <c r="N683" s="73"/>
      <c r="O683" s="52"/>
      <c r="P683" s="52"/>
      <c r="Q683" s="52"/>
      <c r="R683" s="52"/>
      <c r="S683" s="52"/>
      <c r="T683" s="52"/>
      <c r="U683" s="52"/>
      <c r="V683" s="52"/>
      <c r="W683" s="52"/>
      <c r="X683" s="52"/>
      <c r="Y683" s="52"/>
      <c r="Z683" s="52"/>
      <c r="AA683" s="52"/>
      <c r="AB683" s="52"/>
      <c r="AC683" s="52"/>
      <c r="AD683" s="52"/>
      <c r="AE683" s="52"/>
      <c r="AF683" s="52"/>
      <c r="AG683" s="52"/>
      <c r="AH683" s="52"/>
      <c r="AI683" s="52"/>
      <c r="AJ683" s="52"/>
      <c r="AK683" s="52"/>
      <c r="AL683" s="52"/>
      <c r="AM683" s="52"/>
      <c r="AN683" s="52"/>
      <c r="AO683" s="52"/>
      <c r="AP683" s="52"/>
      <c r="AQ683" s="52"/>
      <c r="AR683" s="52"/>
      <c r="AS683" s="52"/>
    </row>
    <row r="684" spans="1:45" s="64" customFormat="1" hidden="1">
      <c r="A684" s="65" t="s">
        <v>376</v>
      </c>
      <c r="B684" s="65" t="s">
        <v>377</v>
      </c>
      <c r="C684" s="83" t="str">
        <f t="shared" si="20"/>
        <v>MW Master Chart April 2016 - General &amp; Admin (G&amp;A) 15%</v>
      </c>
      <c r="D684" s="65">
        <v>880010</v>
      </c>
      <c r="E684" s="65" t="s">
        <v>315</v>
      </c>
      <c r="F684" s="65" t="s">
        <v>155</v>
      </c>
      <c r="G684" s="65" t="s">
        <v>156</v>
      </c>
      <c r="H684" s="65"/>
      <c r="I684" s="76"/>
      <c r="J684" s="82"/>
      <c r="K684" s="66"/>
      <c r="L684" s="61">
        <f t="shared" si="21"/>
        <v>0</v>
      </c>
      <c r="M684" s="72"/>
      <c r="N684" s="73"/>
      <c r="O684" s="52"/>
      <c r="P684" s="52"/>
      <c r="Q684" s="52"/>
      <c r="R684" s="52"/>
      <c r="S684" s="52"/>
      <c r="T684" s="52"/>
      <c r="U684" s="52"/>
      <c r="V684" s="52"/>
      <c r="W684" s="52"/>
      <c r="X684" s="52"/>
      <c r="Y684" s="52"/>
      <c r="Z684" s="52"/>
      <c r="AA684" s="52"/>
      <c r="AB684" s="52"/>
      <c r="AC684" s="52"/>
      <c r="AD684" s="52"/>
      <c r="AE684" s="52"/>
      <c r="AF684" s="52"/>
      <c r="AG684" s="52"/>
      <c r="AH684" s="52"/>
      <c r="AI684" s="52"/>
      <c r="AJ684" s="52"/>
      <c r="AK684" s="52"/>
      <c r="AL684" s="52"/>
      <c r="AM684" s="52"/>
      <c r="AN684" s="52"/>
      <c r="AO684" s="52"/>
      <c r="AP684" s="52"/>
      <c r="AQ684" s="52"/>
      <c r="AR684" s="52"/>
      <c r="AS684" s="52"/>
    </row>
    <row r="685" spans="1:45" s="64" customFormat="1" hidden="1">
      <c r="A685" s="65" t="s">
        <v>376</v>
      </c>
      <c r="B685" s="65" t="s">
        <v>377</v>
      </c>
      <c r="C685" s="83" t="str">
        <f t="shared" si="20"/>
        <v>MW Master Chart April 2016 - General &amp; Admin (G&amp;A) 15%</v>
      </c>
      <c r="D685" s="65">
        <v>880020</v>
      </c>
      <c r="E685" s="65" t="s">
        <v>316</v>
      </c>
      <c r="F685" s="65" t="s">
        <v>155</v>
      </c>
      <c r="G685" s="65" t="s">
        <v>156</v>
      </c>
      <c r="H685" s="65"/>
      <c r="I685" s="76"/>
      <c r="J685" s="82"/>
      <c r="K685" s="66"/>
      <c r="L685" s="61">
        <f t="shared" si="21"/>
        <v>0</v>
      </c>
      <c r="M685" s="72"/>
      <c r="N685" s="73"/>
      <c r="O685" s="52"/>
      <c r="P685" s="52"/>
      <c r="Q685" s="52"/>
      <c r="R685" s="52"/>
      <c r="S685" s="52"/>
      <c r="T685" s="52"/>
      <c r="U685" s="52"/>
      <c r="V685" s="52"/>
      <c r="W685" s="52"/>
      <c r="X685" s="52"/>
      <c r="Y685" s="52"/>
      <c r="Z685" s="52"/>
      <c r="AA685" s="52"/>
      <c r="AB685" s="52"/>
      <c r="AC685" s="52"/>
      <c r="AD685" s="52"/>
      <c r="AE685" s="52"/>
      <c r="AF685" s="52"/>
      <c r="AG685" s="52"/>
      <c r="AH685" s="52"/>
      <c r="AI685" s="52"/>
      <c r="AJ685" s="52"/>
      <c r="AK685" s="52"/>
      <c r="AL685" s="52"/>
      <c r="AM685" s="52"/>
      <c r="AN685" s="52"/>
      <c r="AO685" s="52"/>
      <c r="AP685" s="52"/>
      <c r="AQ685" s="52"/>
      <c r="AR685" s="52"/>
      <c r="AS685" s="52"/>
    </row>
    <row r="686" spans="1:45" s="64" customFormat="1" hidden="1">
      <c r="A686" s="65" t="s">
        <v>376</v>
      </c>
      <c r="B686" s="65" t="s">
        <v>377</v>
      </c>
      <c r="C686" s="83" t="str">
        <f t="shared" si="20"/>
        <v>MW Master Chart April 2016 - Other Reimbursements</v>
      </c>
      <c r="D686" s="65">
        <v>901000</v>
      </c>
      <c r="E686" s="65" t="s">
        <v>330</v>
      </c>
      <c r="F686" s="65" t="s">
        <v>168</v>
      </c>
      <c r="G686" s="65" t="s">
        <v>169</v>
      </c>
      <c r="H686" s="65"/>
      <c r="I686" s="76"/>
      <c r="J686" s="82"/>
      <c r="K686" s="66"/>
      <c r="L686" s="61">
        <f t="shared" si="21"/>
        <v>0</v>
      </c>
      <c r="M686" s="72"/>
      <c r="N686" s="73"/>
      <c r="O686" s="52"/>
      <c r="P686" s="52"/>
      <c r="Q686" s="52"/>
      <c r="R686" s="52"/>
      <c r="S686" s="52"/>
      <c r="T686" s="52"/>
      <c r="U686" s="52"/>
      <c r="V686" s="52"/>
      <c r="W686" s="52"/>
      <c r="X686" s="52"/>
      <c r="Y686" s="52"/>
      <c r="Z686" s="52"/>
      <c r="AA686" s="52"/>
      <c r="AB686" s="52"/>
      <c r="AC686" s="52"/>
      <c r="AD686" s="52"/>
      <c r="AE686" s="52"/>
      <c r="AF686" s="52"/>
      <c r="AG686" s="52"/>
      <c r="AH686" s="52"/>
      <c r="AI686" s="52"/>
      <c r="AJ686" s="52"/>
      <c r="AK686" s="52"/>
      <c r="AL686" s="52"/>
      <c r="AM686" s="52"/>
      <c r="AN686" s="52"/>
      <c r="AO686" s="52"/>
      <c r="AP686" s="52"/>
      <c r="AQ686" s="52"/>
      <c r="AR686" s="52"/>
      <c r="AS686" s="52"/>
    </row>
    <row r="687" spans="1:45" s="64" customFormat="1" hidden="1">
      <c r="A687" s="65" t="s">
        <v>376</v>
      </c>
      <c r="B687" s="65" t="s">
        <v>377</v>
      </c>
      <c r="C687" s="83" t="str">
        <f t="shared" si="20"/>
        <v>MW Master Chart April 2016 - Other Reimbursements</v>
      </c>
      <c r="D687" s="65">
        <v>901100</v>
      </c>
      <c r="E687" s="65" t="s">
        <v>331</v>
      </c>
      <c r="F687" s="65" t="s">
        <v>168</v>
      </c>
      <c r="G687" s="65" t="s">
        <v>169</v>
      </c>
      <c r="H687" s="65"/>
      <c r="I687" s="76"/>
      <c r="J687" s="82"/>
      <c r="K687" s="66"/>
      <c r="L687" s="61">
        <f t="shared" si="21"/>
        <v>0</v>
      </c>
      <c r="M687" s="72"/>
      <c r="N687" s="73"/>
      <c r="O687" s="52"/>
      <c r="P687" s="52"/>
      <c r="Q687" s="52"/>
      <c r="R687" s="52"/>
      <c r="S687" s="52"/>
      <c r="T687" s="52"/>
      <c r="U687" s="52"/>
      <c r="V687" s="52"/>
      <c r="W687" s="52"/>
      <c r="X687" s="52"/>
      <c r="Y687" s="52"/>
      <c r="Z687" s="52"/>
      <c r="AA687" s="52"/>
      <c r="AB687" s="52"/>
      <c r="AC687" s="52"/>
      <c r="AD687" s="52"/>
      <c r="AE687" s="52"/>
      <c r="AF687" s="52"/>
      <c r="AG687" s="52"/>
      <c r="AH687" s="52"/>
      <c r="AI687" s="52"/>
      <c r="AJ687" s="52"/>
      <c r="AK687" s="52"/>
      <c r="AL687" s="52"/>
      <c r="AM687" s="52"/>
      <c r="AN687" s="52"/>
      <c r="AO687" s="52"/>
      <c r="AP687" s="52"/>
      <c r="AQ687" s="52"/>
      <c r="AR687" s="52"/>
      <c r="AS687" s="52"/>
    </row>
    <row r="688" spans="1:45" s="64" customFormat="1" hidden="1">
      <c r="A688" s="65" t="s">
        <v>376</v>
      </c>
      <c r="B688" s="65" t="s">
        <v>377</v>
      </c>
      <c r="C688" s="83" t="str">
        <f t="shared" si="20"/>
        <v>MW Master Chart April 2016 - Other Reimbursements</v>
      </c>
      <c r="D688" s="65">
        <v>901200</v>
      </c>
      <c r="E688" s="65" t="s">
        <v>332</v>
      </c>
      <c r="F688" s="65" t="s">
        <v>168</v>
      </c>
      <c r="G688" s="65" t="s">
        <v>169</v>
      </c>
      <c r="H688" s="65"/>
      <c r="I688" s="76"/>
      <c r="J688" s="82"/>
      <c r="K688" s="66"/>
      <c r="L688" s="61">
        <f t="shared" si="21"/>
        <v>0</v>
      </c>
      <c r="M688" s="72"/>
      <c r="N688" s="73"/>
      <c r="O688" s="52"/>
      <c r="P688" s="52"/>
      <c r="Q688" s="52"/>
      <c r="R688" s="52"/>
      <c r="S688" s="52"/>
      <c r="T688" s="52"/>
      <c r="U688" s="52"/>
      <c r="V688" s="52"/>
      <c r="W688" s="52"/>
      <c r="X688" s="52"/>
      <c r="Y688" s="52"/>
      <c r="Z688" s="52"/>
      <c r="AA688" s="52"/>
      <c r="AB688" s="52"/>
      <c r="AC688" s="52"/>
      <c r="AD688" s="52"/>
      <c r="AE688" s="52"/>
      <c r="AF688" s="52"/>
      <c r="AG688" s="52"/>
      <c r="AH688" s="52"/>
      <c r="AI688" s="52"/>
      <c r="AJ688" s="52"/>
      <c r="AK688" s="52"/>
      <c r="AL688" s="52"/>
      <c r="AM688" s="52"/>
      <c r="AN688" s="52"/>
      <c r="AO688" s="52"/>
      <c r="AP688" s="52"/>
      <c r="AQ688" s="52"/>
      <c r="AR688" s="52"/>
      <c r="AS688" s="52"/>
    </row>
    <row r="689" spans="1:45" s="64" customFormat="1" hidden="1">
      <c r="A689" s="65" t="s">
        <v>376</v>
      </c>
      <c r="B689" s="65" t="s">
        <v>377</v>
      </c>
      <c r="C689" s="83" t="str">
        <f t="shared" si="20"/>
        <v>MW Master Chart April 2016 - Other Reimbursements</v>
      </c>
      <c r="D689" s="65">
        <v>901300</v>
      </c>
      <c r="E689" s="65" t="s">
        <v>333</v>
      </c>
      <c r="F689" s="65" t="s">
        <v>168</v>
      </c>
      <c r="G689" s="65" t="s">
        <v>169</v>
      </c>
      <c r="H689" s="65"/>
      <c r="I689" s="76"/>
      <c r="J689" s="82"/>
      <c r="K689" s="66"/>
      <c r="L689" s="61">
        <f t="shared" si="21"/>
        <v>0</v>
      </c>
      <c r="M689" s="72"/>
      <c r="N689" s="73"/>
      <c r="O689" s="52"/>
      <c r="P689" s="52"/>
      <c r="Q689" s="52"/>
      <c r="R689" s="52"/>
      <c r="S689" s="52"/>
      <c r="T689" s="52"/>
      <c r="U689" s="52"/>
      <c r="V689" s="52"/>
      <c r="W689" s="52"/>
      <c r="X689" s="52"/>
      <c r="Y689" s="52"/>
      <c r="Z689" s="52"/>
      <c r="AA689" s="52"/>
      <c r="AB689" s="52"/>
      <c r="AC689" s="52"/>
      <c r="AD689" s="52"/>
      <c r="AE689" s="52"/>
      <c r="AF689" s="52"/>
      <c r="AG689" s="52"/>
      <c r="AH689" s="52"/>
      <c r="AI689" s="52"/>
      <c r="AJ689" s="52"/>
      <c r="AK689" s="52"/>
      <c r="AL689" s="52"/>
      <c r="AM689" s="52"/>
      <c r="AN689" s="52"/>
      <c r="AO689" s="52"/>
      <c r="AP689" s="52"/>
      <c r="AQ689" s="52"/>
      <c r="AR689" s="52"/>
      <c r="AS689" s="52"/>
    </row>
    <row r="690" spans="1:45" s="64" customFormat="1" hidden="1">
      <c r="A690" s="65" t="s">
        <v>376</v>
      </c>
      <c r="B690" s="65" t="s">
        <v>377</v>
      </c>
      <c r="C690" s="83" t="str">
        <f t="shared" si="20"/>
        <v>MW Master Chart April 2016 - Other Reimbursements</v>
      </c>
      <c r="D690" s="65">
        <v>901400</v>
      </c>
      <c r="E690" s="65" t="s">
        <v>317</v>
      </c>
      <c r="F690" s="65" t="s">
        <v>168</v>
      </c>
      <c r="G690" s="65" t="s">
        <v>169</v>
      </c>
      <c r="H690" s="65"/>
      <c r="I690" s="76"/>
      <c r="J690" s="82"/>
      <c r="K690" s="66"/>
      <c r="L690" s="61">
        <f t="shared" si="21"/>
        <v>0</v>
      </c>
      <c r="M690" s="72"/>
      <c r="N690" s="73"/>
      <c r="O690" s="52"/>
      <c r="P690" s="52"/>
      <c r="Q690" s="52"/>
      <c r="R690" s="52"/>
      <c r="S690" s="52"/>
      <c r="T690" s="52"/>
      <c r="U690" s="52"/>
      <c r="V690" s="52"/>
      <c r="W690" s="52"/>
      <c r="X690" s="52"/>
      <c r="Y690" s="52"/>
      <c r="Z690" s="52"/>
      <c r="AA690" s="52"/>
      <c r="AB690" s="52"/>
      <c r="AC690" s="52"/>
      <c r="AD690" s="52"/>
      <c r="AE690" s="52"/>
      <c r="AF690" s="52"/>
      <c r="AG690" s="52"/>
      <c r="AH690" s="52"/>
      <c r="AI690" s="52"/>
      <c r="AJ690" s="52"/>
      <c r="AK690" s="52"/>
      <c r="AL690" s="52"/>
      <c r="AM690" s="52"/>
      <c r="AN690" s="52"/>
      <c r="AO690" s="52"/>
      <c r="AP690" s="52"/>
      <c r="AQ690" s="52"/>
      <c r="AR690" s="52"/>
      <c r="AS690" s="52"/>
    </row>
    <row r="691" spans="1:45" s="64" customFormat="1" hidden="1">
      <c r="A691" s="65" t="s">
        <v>376</v>
      </c>
      <c r="B691" s="65" t="s">
        <v>377</v>
      </c>
      <c r="C691" s="83" t="str">
        <f t="shared" si="20"/>
        <v>MW Master Chart April 2016 - Other Reimbursements</v>
      </c>
      <c r="D691" s="65">
        <v>901500</v>
      </c>
      <c r="E691" s="65" t="s">
        <v>334</v>
      </c>
      <c r="F691" s="65" t="s">
        <v>168</v>
      </c>
      <c r="G691" s="65" t="s">
        <v>169</v>
      </c>
      <c r="H691" s="65"/>
      <c r="I691" s="76"/>
      <c r="J691" s="82"/>
      <c r="K691" s="66"/>
      <c r="L691" s="61">
        <f t="shared" si="21"/>
        <v>0</v>
      </c>
      <c r="M691" s="72"/>
      <c r="N691" s="73"/>
      <c r="O691" s="52"/>
      <c r="P691" s="52"/>
      <c r="Q691" s="52"/>
      <c r="R691" s="52"/>
      <c r="S691" s="52"/>
      <c r="T691" s="52"/>
      <c r="U691" s="52"/>
      <c r="V691" s="52"/>
      <c r="W691" s="52"/>
      <c r="X691" s="52"/>
      <c r="Y691" s="52"/>
      <c r="Z691" s="52"/>
      <c r="AA691" s="52"/>
      <c r="AB691" s="52"/>
      <c r="AC691" s="52"/>
      <c r="AD691" s="52"/>
      <c r="AE691" s="52"/>
      <c r="AF691" s="52"/>
      <c r="AG691" s="52"/>
      <c r="AH691" s="52"/>
      <c r="AI691" s="52"/>
      <c r="AJ691" s="52"/>
      <c r="AK691" s="52"/>
      <c r="AL691" s="52"/>
      <c r="AM691" s="52"/>
      <c r="AN691" s="52"/>
      <c r="AO691" s="52"/>
      <c r="AP691" s="52"/>
      <c r="AQ691" s="52"/>
      <c r="AR691" s="52"/>
      <c r="AS691" s="52"/>
    </row>
    <row r="692" spans="1:45" s="64" customFormat="1" hidden="1">
      <c r="A692" s="65" t="s">
        <v>376</v>
      </c>
      <c r="B692" s="65" t="s">
        <v>377</v>
      </c>
      <c r="C692" s="83" t="str">
        <f t="shared" si="20"/>
        <v>MW Master Chart April 2016 - Other Reimbursements</v>
      </c>
      <c r="D692" s="65">
        <v>901600</v>
      </c>
      <c r="E692" s="65" t="s">
        <v>335</v>
      </c>
      <c r="F692" s="65" t="s">
        <v>168</v>
      </c>
      <c r="G692" s="65" t="s">
        <v>169</v>
      </c>
      <c r="H692" s="65"/>
      <c r="I692" s="76"/>
      <c r="J692" s="82"/>
      <c r="K692" s="66"/>
      <c r="L692" s="61">
        <f t="shared" si="21"/>
        <v>0</v>
      </c>
      <c r="M692" s="72"/>
      <c r="N692" s="73"/>
      <c r="O692" s="52"/>
      <c r="P692" s="52"/>
      <c r="Q692" s="52"/>
      <c r="R692" s="52"/>
      <c r="S692" s="52"/>
      <c r="T692" s="52"/>
      <c r="U692" s="52"/>
      <c r="V692" s="52"/>
      <c r="W692" s="52"/>
      <c r="X692" s="52"/>
      <c r="Y692" s="52"/>
      <c r="Z692" s="52"/>
      <c r="AA692" s="52"/>
      <c r="AB692" s="52"/>
      <c r="AC692" s="52"/>
      <c r="AD692" s="52"/>
      <c r="AE692" s="52"/>
      <c r="AF692" s="52"/>
      <c r="AG692" s="52"/>
      <c r="AH692" s="52"/>
      <c r="AI692" s="52"/>
      <c r="AJ692" s="52"/>
      <c r="AK692" s="52"/>
      <c r="AL692" s="52"/>
      <c r="AM692" s="52"/>
      <c r="AN692" s="52"/>
      <c r="AO692" s="52"/>
      <c r="AP692" s="52"/>
      <c r="AQ692" s="52"/>
      <c r="AR692" s="52"/>
      <c r="AS692" s="52"/>
    </row>
    <row r="693" spans="1:45" s="64" customFormat="1" hidden="1">
      <c r="A693" s="65" t="s">
        <v>376</v>
      </c>
      <c r="B693" s="65" t="s">
        <v>377</v>
      </c>
      <c r="C693" s="83" t="str">
        <f t="shared" si="20"/>
        <v>MW Master Chart April 2016 - Other Reimbursements</v>
      </c>
      <c r="D693" s="65">
        <v>901700</v>
      </c>
      <c r="E693" s="65" t="s">
        <v>336</v>
      </c>
      <c r="F693" s="65" t="s">
        <v>168</v>
      </c>
      <c r="G693" s="65" t="s">
        <v>169</v>
      </c>
      <c r="H693" s="65"/>
      <c r="I693" s="76"/>
      <c r="J693" s="82"/>
      <c r="K693" s="66"/>
      <c r="L693" s="61">
        <f t="shared" si="21"/>
        <v>0</v>
      </c>
      <c r="M693" s="72"/>
      <c r="N693" s="73"/>
      <c r="O693" s="52"/>
      <c r="P693" s="52"/>
      <c r="Q693" s="52"/>
      <c r="R693" s="52"/>
      <c r="S693" s="52"/>
      <c r="T693" s="52"/>
      <c r="U693" s="52"/>
      <c r="V693" s="52"/>
      <c r="W693" s="52"/>
      <c r="X693" s="52"/>
      <c r="Y693" s="52"/>
      <c r="Z693" s="52"/>
      <c r="AA693" s="52"/>
      <c r="AB693" s="52"/>
      <c r="AC693" s="52"/>
      <c r="AD693" s="52"/>
      <c r="AE693" s="52"/>
      <c r="AF693" s="52"/>
      <c r="AG693" s="52"/>
      <c r="AH693" s="52"/>
      <c r="AI693" s="52"/>
      <c r="AJ693" s="52"/>
      <c r="AK693" s="52"/>
      <c r="AL693" s="52"/>
      <c r="AM693" s="52"/>
      <c r="AN693" s="52"/>
      <c r="AO693" s="52"/>
      <c r="AP693" s="52"/>
      <c r="AQ693" s="52"/>
      <c r="AR693" s="52"/>
      <c r="AS693" s="52"/>
    </row>
    <row r="694" spans="1:45" s="64" customFormat="1" hidden="1">
      <c r="A694" s="65" t="s">
        <v>376</v>
      </c>
      <c r="B694" s="65" t="s">
        <v>377</v>
      </c>
      <c r="C694" s="83" t="str">
        <f t="shared" si="20"/>
        <v>MW Master Chart April 2016 - Other Reimbursements</v>
      </c>
      <c r="D694" s="65">
        <v>901800</v>
      </c>
      <c r="E694" s="65" t="s">
        <v>337</v>
      </c>
      <c r="F694" s="65" t="s">
        <v>168</v>
      </c>
      <c r="G694" s="65" t="s">
        <v>169</v>
      </c>
      <c r="H694" s="65"/>
      <c r="I694" s="76"/>
      <c r="J694" s="82"/>
      <c r="K694" s="66"/>
      <c r="L694" s="61">
        <f t="shared" si="21"/>
        <v>0</v>
      </c>
      <c r="M694" s="72"/>
      <c r="N694" s="73"/>
      <c r="O694" s="52"/>
      <c r="P694" s="52"/>
      <c r="Q694" s="52"/>
      <c r="R694" s="52"/>
      <c r="S694" s="52"/>
      <c r="T694" s="52"/>
      <c r="U694" s="52"/>
      <c r="V694" s="52"/>
      <c r="W694" s="52"/>
      <c r="X694" s="52"/>
      <c r="Y694" s="52"/>
      <c r="Z694" s="52"/>
      <c r="AA694" s="52"/>
      <c r="AB694" s="52"/>
      <c r="AC694" s="52"/>
      <c r="AD694" s="52"/>
      <c r="AE694" s="52"/>
      <c r="AF694" s="52"/>
      <c r="AG694" s="52"/>
      <c r="AH694" s="52"/>
      <c r="AI694" s="52"/>
      <c r="AJ694" s="52"/>
      <c r="AK694" s="52"/>
      <c r="AL694" s="52"/>
      <c r="AM694" s="52"/>
      <c r="AN694" s="52"/>
      <c r="AO694" s="52"/>
      <c r="AP694" s="52"/>
      <c r="AQ694" s="52"/>
      <c r="AR694" s="52"/>
      <c r="AS694" s="52"/>
    </row>
    <row r="695" spans="1:45" s="64" customFormat="1" hidden="1">
      <c r="A695" s="65" t="s">
        <v>376</v>
      </c>
      <c r="B695" s="65" t="s">
        <v>377</v>
      </c>
      <c r="C695" s="83" t="str">
        <f t="shared" si="20"/>
        <v>MW Master Chart April 2016 - Other Reimbursements</v>
      </c>
      <c r="D695" s="65">
        <v>901910</v>
      </c>
      <c r="E695" s="65" t="s">
        <v>338</v>
      </c>
      <c r="F695" s="65" t="s">
        <v>168</v>
      </c>
      <c r="G695" s="65" t="s">
        <v>169</v>
      </c>
      <c r="H695" s="65"/>
      <c r="I695" s="76"/>
      <c r="J695" s="82"/>
      <c r="K695" s="66"/>
      <c r="L695" s="61">
        <f t="shared" si="21"/>
        <v>0</v>
      </c>
      <c r="M695" s="72"/>
      <c r="N695" s="73"/>
      <c r="O695" s="52"/>
      <c r="P695" s="52"/>
      <c r="Q695" s="52"/>
      <c r="R695" s="52"/>
      <c r="S695" s="52"/>
      <c r="T695" s="52"/>
      <c r="U695" s="52"/>
      <c r="V695" s="52"/>
      <c r="W695" s="52"/>
      <c r="X695" s="52"/>
      <c r="Y695" s="52"/>
      <c r="Z695" s="52"/>
      <c r="AA695" s="52"/>
      <c r="AB695" s="52"/>
      <c r="AC695" s="52"/>
      <c r="AD695" s="52"/>
      <c r="AE695" s="52"/>
      <c r="AF695" s="52"/>
      <c r="AG695" s="52"/>
      <c r="AH695" s="52"/>
      <c r="AI695" s="52"/>
      <c r="AJ695" s="52"/>
      <c r="AK695" s="52"/>
      <c r="AL695" s="52"/>
      <c r="AM695" s="52"/>
      <c r="AN695" s="52"/>
      <c r="AO695" s="52"/>
      <c r="AP695" s="52"/>
      <c r="AQ695" s="52"/>
      <c r="AR695" s="52"/>
      <c r="AS695" s="52"/>
    </row>
    <row r="696" spans="1:45" s="64" customFormat="1" hidden="1">
      <c r="A696" s="65" t="s">
        <v>376</v>
      </c>
      <c r="B696" s="65" t="s">
        <v>377</v>
      </c>
      <c r="C696" s="83" t="str">
        <f t="shared" si="20"/>
        <v>MW Master Chart April 2016 - Other Reimbursements</v>
      </c>
      <c r="D696" s="65">
        <v>901920</v>
      </c>
      <c r="E696" s="65" t="s">
        <v>339</v>
      </c>
      <c r="F696" s="65" t="s">
        <v>168</v>
      </c>
      <c r="G696" s="65" t="s">
        <v>169</v>
      </c>
      <c r="H696" s="65"/>
      <c r="I696" s="76"/>
      <c r="J696" s="82"/>
      <c r="K696" s="66"/>
      <c r="L696" s="61">
        <f t="shared" si="21"/>
        <v>0</v>
      </c>
      <c r="M696" s="72"/>
      <c r="N696" s="73"/>
      <c r="O696" s="52"/>
      <c r="P696" s="52"/>
      <c r="Q696" s="52"/>
      <c r="R696" s="52"/>
      <c r="S696" s="52"/>
      <c r="T696" s="52"/>
      <c r="U696" s="52"/>
      <c r="V696" s="52"/>
      <c r="W696" s="52"/>
      <c r="X696" s="52"/>
      <c r="Y696" s="52"/>
      <c r="Z696" s="52"/>
      <c r="AA696" s="52"/>
      <c r="AB696" s="52"/>
      <c r="AC696" s="52"/>
      <c r="AD696" s="52"/>
      <c r="AE696" s="52"/>
      <c r="AF696" s="52"/>
      <c r="AG696" s="52"/>
      <c r="AH696" s="52"/>
      <c r="AI696" s="52"/>
      <c r="AJ696" s="52"/>
      <c r="AK696" s="52"/>
      <c r="AL696" s="52"/>
      <c r="AM696" s="52"/>
      <c r="AN696" s="52"/>
      <c r="AO696" s="52"/>
      <c r="AP696" s="52"/>
      <c r="AQ696" s="52"/>
      <c r="AR696" s="52"/>
      <c r="AS696" s="52"/>
    </row>
    <row r="697" spans="1:45" s="64" customFormat="1" hidden="1">
      <c r="A697" s="65" t="s">
        <v>376</v>
      </c>
      <c r="B697" s="65" t="s">
        <v>377</v>
      </c>
      <c r="C697" s="83" t="str">
        <f t="shared" si="20"/>
        <v>MW Master Chart April 2016 - Other Reimbursements</v>
      </c>
      <c r="D697" s="65">
        <v>901930</v>
      </c>
      <c r="E697" s="65" t="s">
        <v>340</v>
      </c>
      <c r="F697" s="65" t="s">
        <v>168</v>
      </c>
      <c r="G697" s="65" t="s">
        <v>169</v>
      </c>
      <c r="H697" s="65"/>
      <c r="I697" s="76"/>
      <c r="J697" s="82"/>
      <c r="K697" s="66"/>
      <c r="L697" s="61">
        <f t="shared" si="21"/>
        <v>0</v>
      </c>
      <c r="M697" s="72"/>
      <c r="N697" s="73"/>
      <c r="O697" s="52"/>
      <c r="P697" s="52"/>
      <c r="Q697" s="52"/>
      <c r="R697" s="52"/>
      <c r="S697" s="52"/>
      <c r="T697" s="52"/>
      <c r="U697" s="52"/>
      <c r="V697" s="52"/>
      <c r="W697" s="52"/>
      <c r="X697" s="52"/>
      <c r="Y697" s="52"/>
      <c r="Z697" s="52"/>
      <c r="AA697" s="52"/>
      <c r="AB697" s="52"/>
      <c r="AC697" s="52"/>
      <c r="AD697" s="52"/>
      <c r="AE697" s="52"/>
      <c r="AF697" s="52"/>
      <c r="AG697" s="52"/>
      <c r="AH697" s="52"/>
      <c r="AI697" s="52"/>
      <c r="AJ697" s="52"/>
      <c r="AK697" s="52"/>
      <c r="AL697" s="52"/>
      <c r="AM697" s="52"/>
      <c r="AN697" s="52"/>
      <c r="AO697" s="52"/>
      <c r="AP697" s="52"/>
      <c r="AQ697" s="52"/>
      <c r="AR697" s="52"/>
      <c r="AS697" s="52"/>
    </row>
    <row r="698" spans="1:45" s="64" customFormat="1" hidden="1">
      <c r="A698" s="65" t="s">
        <v>376</v>
      </c>
      <c r="B698" s="65" t="s">
        <v>377</v>
      </c>
      <c r="C698" s="83" t="str">
        <f t="shared" si="20"/>
        <v>MW Master Chart April 2016 - Other Reimbursements</v>
      </c>
      <c r="D698" s="65">
        <v>901940</v>
      </c>
      <c r="E698" s="65" t="s">
        <v>341</v>
      </c>
      <c r="F698" s="65" t="s">
        <v>168</v>
      </c>
      <c r="G698" s="65" t="s">
        <v>169</v>
      </c>
      <c r="H698" s="65"/>
      <c r="I698" s="76"/>
      <c r="J698" s="82"/>
      <c r="K698" s="66"/>
      <c r="L698" s="61">
        <f t="shared" si="21"/>
        <v>0</v>
      </c>
      <c r="M698" s="72"/>
      <c r="N698" s="73"/>
      <c r="O698" s="52"/>
      <c r="P698" s="52"/>
      <c r="Q698" s="52"/>
      <c r="R698" s="52"/>
      <c r="S698" s="52"/>
      <c r="T698" s="52"/>
      <c r="U698" s="52"/>
      <c r="V698" s="52"/>
      <c r="W698" s="52"/>
      <c r="X698" s="52"/>
      <c r="Y698" s="52"/>
      <c r="Z698" s="52"/>
      <c r="AA698" s="52"/>
      <c r="AB698" s="52"/>
      <c r="AC698" s="52"/>
      <c r="AD698" s="52"/>
      <c r="AE698" s="52"/>
      <c r="AF698" s="52"/>
      <c r="AG698" s="52"/>
      <c r="AH698" s="52"/>
      <c r="AI698" s="52"/>
      <c r="AJ698" s="52"/>
      <c r="AK698" s="52"/>
      <c r="AL698" s="52"/>
      <c r="AM698" s="52"/>
      <c r="AN698" s="52"/>
      <c r="AO698" s="52"/>
      <c r="AP698" s="52"/>
      <c r="AQ698" s="52"/>
      <c r="AR698" s="52"/>
      <c r="AS698" s="52"/>
    </row>
    <row r="699" spans="1:45" s="64" customFormat="1" hidden="1">
      <c r="A699" s="65" t="s">
        <v>376</v>
      </c>
      <c r="B699" s="65" t="s">
        <v>377</v>
      </c>
      <c r="C699" s="83" t="str">
        <f t="shared" si="20"/>
        <v>MW Master Chart April 2016 - Other Reimbursements</v>
      </c>
      <c r="D699" s="65">
        <v>902000</v>
      </c>
      <c r="E699" s="65" t="s">
        <v>342</v>
      </c>
      <c r="F699" s="65" t="s">
        <v>168</v>
      </c>
      <c r="G699" s="65" t="s">
        <v>169</v>
      </c>
      <c r="H699" s="65"/>
      <c r="I699" s="76"/>
      <c r="J699" s="82"/>
      <c r="K699" s="66"/>
      <c r="L699" s="61">
        <f t="shared" si="21"/>
        <v>0</v>
      </c>
      <c r="M699" s="72"/>
      <c r="N699" s="73"/>
      <c r="O699" s="52"/>
      <c r="P699" s="52"/>
      <c r="Q699" s="52"/>
      <c r="R699" s="52"/>
      <c r="S699" s="52"/>
      <c r="T699" s="52"/>
      <c r="U699" s="52"/>
      <c r="V699" s="52"/>
      <c r="W699" s="52"/>
      <c r="X699" s="52"/>
      <c r="Y699" s="52"/>
      <c r="Z699" s="52"/>
      <c r="AA699" s="52"/>
      <c r="AB699" s="52"/>
      <c r="AC699" s="52"/>
      <c r="AD699" s="52"/>
      <c r="AE699" s="52"/>
      <c r="AF699" s="52"/>
      <c r="AG699" s="52"/>
      <c r="AH699" s="52"/>
      <c r="AI699" s="52"/>
      <c r="AJ699" s="52"/>
      <c r="AK699" s="52"/>
      <c r="AL699" s="52"/>
      <c r="AM699" s="52"/>
      <c r="AN699" s="52"/>
      <c r="AO699" s="52"/>
      <c r="AP699" s="52"/>
      <c r="AQ699" s="52"/>
      <c r="AR699" s="52"/>
      <c r="AS699" s="52"/>
    </row>
    <row r="700" spans="1:45" s="64" customFormat="1" hidden="1">
      <c r="A700" s="65" t="s">
        <v>376</v>
      </c>
      <c r="B700" s="65" t="s">
        <v>377</v>
      </c>
      <c r="C700" s="83" t="str">
        <f t="shared" si="20"/>
        <v>MW Master Chart April 2016 - Other Reimbursements</v>
      </c>
      <c r="D700" s="65">
        <v>902100</v>
      </c>
      <c r="E700" s="65" t="s">
        <v>343</v>
      </c>
      <c r="F700" s="65" t="s">
        <v>168</v>
      </c>
      <c r="G700" s="65" t="s">
        <v>169</v>
      </c>
      <c r="H700" s="65"/>
      <c r="I700" s="76"/>
      <c r="J700" s="82"/>
      <c r="K700" s="66"/>
      <c r="L700" s="61">
        <f t="shared" si="21"/>
        <v>0</v>
      </c>
      <c r="M700" s="72"/>
      <c r="N700" s="73"/>
      <c r="O700" s="52"/>
      <c r="P700" s="52"/>
      <c r="Q700" s="52"/>
      <c r="R700" s="52"/>
      <c r="S700" s="52"/>
      <c r="T700" s="52"/>
      <c r="U700" s="52"/>
      <c r="V700" s="52"/>
      <c r="W700" s="52"/>
      <c r="X700" s="52"/>
      <c r="Y700" s="52"/>
      <c r="Z700" s="52"/>
      <c r="AA700" s="52"/>
      <c r="AB700" s="52"/>
      <c r="AC700" s="52"/>
      <c r="AD700" s="52"/>
      <c r="AE700" s="52"/>
      <c r="AF700" s="52"/>
      <c r="AG700" s="52"/>
      <c r="AH700" s="52"/>
      <c r="AI700" s="52"/>
      <c r="AJ700" s="52"/>
      <c r="AK700" s="52"/>
      <c r="AL700" s="52"/>
      <c r="AM700" s="52"/>
      <c r="AN700" s="52"/>
      <c r="AO700" s="52"/>
      <c r="AP700" s="52"/>
      <c r="AQ700" s="52"/>
      <c r="AR700" s="52"/>
      <c r="AS700" s="52"/>
    </row>
    <row r="701" spans="1:45" s="64" customFormat="1" hidden="1">
      <c r="A701" s="65" t="s">
        <v>376</v>
      </c>
      <c r="B701" s="65" t="s">
        <v>377</v>
      </c>
      <c r="C701" s="83" t="str">
        <f t="shared" si="20"/>
        <v>MW Master Chart April 2016 - Other Reimbursements</v>
      </c>
      <c r="D701" s="65">
        <v>902200</v>
      </c>
      <c r="E701" s="65" t="s">
        <v>344</v>
      </c>
      <c r="F701" s="65" t="s">
        <v>168</v>
      </c>
      <c r="G701" s="65" t="s">
        <v>169</v>
      </c>
      <c r="H701" s="65"/>
      <c r="I701" s="76"/>
      <c r="J701" s="82"/>
      <c r="K701" s="66"/>
      <c r="L701" s="61">
        <f t="shared" si="21"/>
        <v>0</v>
      </c>
      <c r="M701" s="72"/>
      <c r="N701" s="73"/>
      <c r="O701" s="52"/>
      <c r="P701" s="52"/>
      <c r="Q701" s="52"/>
      <c r="R701" s="52"/>
      <c r="S701" s="52"/>
      <c r="T701" s="52"/>
      <c r="U701" s="52"/>
      <c r="V701" s="52"/>
      <c r="W701" s="52"/>
      <c r="X701" s="52"/>
      <c r="Y701" s="52"/>
      <c r="Z701" s="52"/>
      <c r="AA701" s="52"/>
      <c r="AB701" s="52"/>
      <c r="AC701" s="52"/>
      <c r="AD701" s="52"/>
      <c r="AE701" s="52"/>
      <c r="AF701" s="52"/>
      <c r="AG701" s="52"/>
      <c r="AH701" s="52"/>
      <c r="AI701" s="52"/>
      <c r="AJ701" s="52"/>
      <c r="AK701" s="52"/>
      <c r="AL701" s="52"/>
      <c r="AM701" s="52"/>
      <c r="AN701" s="52"/>
      <c r="AO701" s="52"/>
      <c r="AP701" s="52"/>
      <c r="AQ701" s="52"/>
      <c r="AR701" s="52"/>
      <c r="AS701" s="52"/>
    </row>
    <row r="702" spans="1:45" s="64" customFormat="1" hidden="1">
      <c r="A702" s="65" t="s">
        <v>376</v>
      </c>
      <c r="B702" s="65" t="s">
        <v>377</v>
      </c>
      <c r="C702" s="83" t="str">
        <f t="shared" si="20"/>
        <v>MW Master Chart April 2016 - Other Reimbursements</v>
      </c>
      <c r="D702" s="65">
        <v>902300</v>
      </c>
      <c r="E702" s="65" t="s">
        <v>345</v>
      </c>
      <c r="F702" s="65" t="s">
        <v>168</v>
      </c>
      <c r="G702" s="65" t="s">
        <v>169</v>
      </c>
      <c r="H702" s="65"/>
      <c r="I702" s="76"/>
      <c r="J702" s="82"/>
      <c r="K702" s="66"/>
      <c r="L702" s="61">
        <f t="shared" si="21"/>
        <v>0</v>
      </c>
      <c r="M702" s="72"/>
      <c r="N702" s="73"/>
      <c r="O702" s="52"/>
      <c r="P702" s="52"/>
      <c r="Q702" s="52"/>
      <c r="R702" s="52"/>
      <c r="S702" s="52"/>
      <c r="T702" s="52"/>
      <c r="U702" s="52"/>
      <c r="V702" s="52"/>
      <c r="W702" s="52"/>
      <c r="X702" s="52"/>
      <c r="Y702" s="52"/>
      <c r="Z702" s="52"/>
      <c r="AA702" s="52"/>
      <c r="AB702" s="52"/>
      <c r="AC702" s="52"/>
      <c r="AD702" s="52"/>
      <c r="AE702" s="52"/>
      <c r="AF702" s="52"/>
      <c r="AG702" s="52"/>
      <c r="AH702" s="52"/>
      <c r="AI702" s="52"/>
      <c r="AJ702" s="52"/>
      <c r="AK702" s="52"/>
      <c r="AL702" s="52"/>
      <c r="AM702" s="52"/>
      <c r="AN702" s="52"/>
      <c r="AO702" s="52"/>
      <c r="AP702" s="52"/>
      <c r="AQ702" s="52"/>
      <c r="AR702" s="52"/>
      <c r="AS702" s="52"/>
    </row>
    <row r="703" spans="1:45" s="64" customFormat="1" hidden="1">
      <c r="A703" s="65" t="s">
        <v>376</v>
      </c>
      <c r="B703" s="65" t="s">
        <v>377</v>
      </c>
      <c r="C703" s="83" t="str">
        <f t="shared" si="20"/>
        <v>MW Master Chart April 2016 - Other Reimbursements</v>
      </c>
      <c r="D703" s="65">
        <v>902310</v>
      </c>
      <c r="E703" s="65" t="s">
        <v>346</v>
      </c>
      <c r="F703" s="65" t="s">
        <v>168</v>
      </c>
      <c r="G703" s="65" t="s">
        <v>169</v>
      </c>
      <c r="H703" s="65"/>
      <c r="I703" s="76"/>
      <c r="J703" s="82"/>
      <c r="K703" s="66"/>
      <c r="L703" s="61">
        <f t="shared" si="21"/>
        <v>0</v>
      </c>
      <c r="M703" s="72"/>
      <c r="N703" s="73"/>
      <c r="O703" s="52"/>
      <c r="P703" s="52"/>
      <c r="Q703" s="52"/>
      <c r="R703" s="52"/>
      <c r="S703" s="52"/>
      <c r="T703" s="52"/>
      <c r="U703" s="52"/>
      <c r="V703" s="52"/>
      <c r="W703" s="52"/>
      <c r="X703" s="52"/>
      <c r="Y703" s="52"/>
      <c r="Z703" s="52"/>
      <c r="AA703" s="52"/>
      <c r="AB703" s="52"/>
      <c r="AC703" s="52"/>
      <c r="AD703" s="52"/>
      <c r="AE703" s="52"/>
      <c r="AF703" s="52"/>
      <c r="AG703" s="52"/>
      <c r="AH703" s="52"/>
      <c r="AI703" s="52"/>
      <c r="AJ703" s="52"/>
      <c r="AK703" s="52"/>
      <c r="AL703" s="52"/>
      <c r="AM703" s="52"/>
      <c r="AN703" s="52"/>
      <c r="AO703" s="52"/>
      <c r="AP703" s="52"/>
      <c r="AQ703" s="52"/>
      <c r="AR703" s="52"/>
      <c r="AS703" s="52"/>
    </row>
    <row r="704" spans="1:45" s="64" customFormat="1" hidden="1">
      <c r="A704" s="65" t="s">
        <v>376</v>
      </c>
      <c r="B704" s="65" t="s">
        <v>377</v>
      </c>
      <c r="C704" s="83" t="str">
        <f t="shared" si="20"/>
        <v>MW Master Chart April 2016 - Other Reimbursements</v>
      </c>
      <c r="D704" s="65">
        <v>902400</v>
      </c>
      <c r="E704" s="65" t="s">
        <v>347</v>
      </c>
      <c r="F704" s="65" t="s">
        <v>168</v>
      </c>
      <c r="G704" s="65" t="s">
        <v>169</v>
      </c>
      <c r="H704" s="65"/>
      <c r="I704" s="76"/>
      <c r="J704" s="82"/>
      <c r="K704" s="66"/>
      <c r="L704" s="61">
        <f t="shared" si="21"/>
        <v>0</v>
      </c>
      <c r="M704" s="72"/>
      <c r="N704" s="73"/>
      <c r="O704" s="52"/>
      <c r="P704" s="52"/>
      <c r="Q704" s="52"/>
      <c r="R704" s="52"/>
      <c r="S704" s="52"/>
      <c r="T704" s="52"/>
      <c r="U704" s="52"/>
      <c r="V704" s="52"/>
      <c r="W704" s="52"/>
      <c r="X704" s="52"/>
      <c r="Y704" s="52"/>
      <c r="Z704" s="52"/>
      <c r="AA704" s="52"/>
      <c r="AB704" s="52"/>
      <c r="AC704" s="52"/>
      <c r="AD704" s="52"/>
      <c r="AE704" s="52"/>
      <c r="AF704" s="52"/>
      <c r="AG704" s="52"/>
      <c r="AH704" s="52"/>
      <c r="AI704" s="52"/>
      <c r="AJ704" s="52"/>
      <c r="AK704" s="52"/>
      <c r="AL704" s="52"/>
      <c r="AM704" s="52"/>
      <c r="AN704" s="52"/>
      <c r="AO704" s="52"/>
      <c r="AP704" s="52"/>
      <c r="AQ704" s="52"/>
      <c r="AR704" s="52"/>
      <c r="AS704" s="52"/>
    </row>
    <row r="705" spans="1:45" s="64" customFormat="1" hidden="1">
      <c r="A705" s="65" t="s">
        <v>376</v>
      </c>
      <c r="B705" s="65" t="s">
        <v>377</v>
      </c>
      <c r="C705" s="83" t="str">
        <f t="shared" si="20"/>
        <v>MW Master Chart April 2016 - Other Reimbursements</v>
      </c>
      <c r="D705" s="65">
        <v>902450</v>
      </c>
      <c r="E705" s="65" t="s">
        <v>348</v>
      </c>
      <c r="F705" s="65" t="s">
        <v>168</v>
      </c>
      <c r="G705" s="65" t="s">
        <v>169</v>
      </c>
      <c r="H705" s="65"/>
      <c r="I705" s="76"/>
      <c r="J705" s="82"/>
      <c r="K705" s="66"/>
      <c r="L705" s="61">
        <f t="shared" si="21"/>
        <v>0</v>
      </c>
      <c r="M705" s="72"/>
      <c r="N705" s="73"/>
      <c r="O705" s="52"/>
      <c r="P705" s="52"/>
      <c r="Q705" s="52"/>
      <c r="R705" s="52"/>
      <c r="S705" s="52"/>
      <c r="T705" s="52"/>
      <c r="U705" s="52"/>
      <c r="V705" s="52"/>
      <c r="W705" s="52"/>
      <c r="X705" s="52"/>
      <c r="Y705" s="52"/>
      <c r="Z705" s="52"/>
      <c r="AA705" s="52"/>
      <c r="AB705" s="52"/>
      <c r="AC705" s="52"/>
      <c r="AD705" s="52"/>
      <c r="AE705" s="52"/>
      <c r="AF705" s="52"/>
      <c r="AG705" s="52"/>
      <c r="AH705" s="52"/>
      <c r="AI705" s="52"/>
      <c r="AJ705" s="52"/>
      <c r="AK705" s="52"/>
      <c r="AL705" s="52"/>
      <c r="AM705" s="52"/>
      <c r="AN705" s="52"/>
      <c r="AO705" s="52"/>
      <c r="AP705" s="52"/>
      <c r="AQ705" s="52"/>
      <c r="AR705" s="52"/>
      <c r="AS705" s="52"/>
    </row>
    <row r="706" spans="1:45" s="64" customFormat="1" hidden="1">
      <c r="A706" s="65" t="s">
        <v>376</v>
      </c>
      <c r="B706" s="65" t="s">
        <v>377</v>
      </c>
      <c r="C706" s="83" t="str">
        <f t="shared" si="20"/>
        <v>MW Master Chart April 2016 - Capitalized Alloc Sup Svs</v>
      </c>
      <c r="D706" s="65">
        <v>908550</v>
      </c>
      <c r="E706" s="65" t="s">
        <v>173</v>
      </c>
      <c r="F706" s="65" t="s">
        <v>137</v>
      </c>
      <c r="G706" s="65" t="s">
        <v>138</v>
      </c>
      <c r="H706" s="65"/>
      <c r="I706" s="76"/>
      <c r="J706" s="82"/>
      <c r="K706" s="66"/>
      <c r="L706" s="61">
        <f t="shared" si="21"/>
        <v>0</v>
      </c>
      <c r="M706" s="72"/>
      <c r="N706" s="73"/>
      <c r="O706" s="52"/>
      <c r="P706" s="52"/>
      <c r="Q706" s="52"/>
      <c r="R706" s="52"/>
      <c r="S706" s="52"/>
      <c r="T706" s="52"/>
      <c r="U706" s="52"/>
      <c r="V706" s="52"/>
      <c r="W706" s="52"/>
      <c r="X706" s="52"/>
      <c r="Y706" s="52"/>
      <c r="Z706" s="52"/>
      <c r="AA706" s="52"/>
      <c r="AB706" s="52"/>
      <c r="AC706" s="52"/>
      <c r="AD706" s="52"/>
      <c r="AE706" s="52"/>
      <c r="AF706" s="52"/>
      <c r="AG706" s="52"/>
      <c r="AH706" s="52"/>
      <c r="AI706" s="52"/>
      <c r="AJ706" s="52"/>
      <c r="AK706" s="52"/>
      <c r="AL706" s="52"/>
      <c r="AM706" s="52"/>
      <c r="AN706" s="52"/>
      <c r="AO706" s="52"/>
      <c r="AP706" s="52"/>
      <c r="AQ706" s="52"/>
      <c r="AR706" s="52"/>
      <c r="AS706" s="52"/>
    </row>
    <row r="707" spans="1:45" s="64" customFormat="1" hidden="1">
      <c r="A707" s="65" t="s">
        <v>376</v>
      </c>
      <c r="B707" s="65" t="s">
        <v>377</v>
      </c>
      <c r="C707" s="83" t="str">
        <f t="shared" si="20"/>
        <v>MW Master Chart April 2016 - Capitalized Alloc Sup Svs</v>
      </c>
      <c r="D707" s="65">
        <v>909000</v>
      </c>
      <c r="E707" s="65" t="s">
        <v>174</v>
      </c>
      <c r="F707" s="65" t="s">
        <v>168</v>
      </c>
      <c r="G707" s="65" t="s">
        <v>169</v>
      </c>
      <c r="H707" s="65"/>
      <c r="I707" s="76"/>
      <c r="J707" s="82"/>
      <c r="K707" s="66"/>
      <c r="L707" s="61">
        <f t="shared" si="21"/>
        <v>0</v>
      </c>
      <c r="M707" s="72"/>
      <c r="N707" s="73"/>
      <c r="O707" s="52"/>
      <c r="P707" s="52"/>
      <c r="Q707" s="52"/>
      <c r="R707" s="52"/>
      <c r="S707" s="52"/>
      <c r="T707" s="52"/>
      <c r="U707" s="52"/>
      <c r="V707" s="52"/>
      <c r="W707" s="52"/>
      <c r="X707" s="52"/>
      <c r="Y707" s="52"/>
      <c r="Z707" s="52"/>
      <c r="AA707" s="52"/>
      <c r="AB707" s="52"/>
      <c r="AC707" s="52"/>
      <c r="AD707" s="52"/>
      <c r="AE707" s="52"/>
      <c r="AF707" s="52"/>
      <c r="AG707" s="52"/>
      <c r="AH707" s="52"/>
      <c r="AI707" s="52"/>
      <c r="AJ707" s="52"/>
      <c r="AK707" s="52"/>
      <c r="AL707" s="52"/>
      <c r="AM707" s="52"/>
      <c r="AN707" s="52"/>
      <c r="AO707" s="52"/>
      <c r="AP707" s="52"/>
      <c r="AQ707" s="52"/>
      <c r="AR707" s="52"/>
      <c r="AS707" s="52"/>
    </row>
    <row r="708" spans="1:45" s="64" customFormat="1" hidden="1">
      <c r="A708" s="67"/>
      <c r="B708" s="67"/>
      <c r="C708" s="67"/>
      <c r="D708" s="67"/>
      <c r="E708" s="67"/>
      <c r="F708" s="67"/>
      <c r="G708" s="67"/>
      <c r="H708" s="67"/>
      <c r="I708" s="191"/>
      <c r="J708" s="82"/>
      <c r="K708" s="182"/>
      <c r="L708" s="61"/>
      <c r="M708" s="72"/>
      <c r="N708" s="73"/>
      <c r="O708" s="52"/>
      <c r="P708" s="52"/>
      <c r="Q708" s="52"/>
      <c r="R708" s="52"/>
      <c r="S708" s="52"/>
      <c r="T708" s="52"/>
      <c r="U708" s="52"/>
      <c r="V708" s="52"/>
      <c r="W708" s="52"/>
      <c r="X708" s="52"/>
      <c r="Y708" s="52"/>
      <c r="Z708" s="52"/>
      <c r="AA708" s="52"/>
      <c r="AB708" s="52"/>
      <c r="AC708" s="52"/>
      <c r="AD708" s="52"/>
      <c r="AE708" s="52"/>
      <c r="AF708" s="52"/>
      <c r="AG708" s="52"/>
      <c r="AH708" s="52"/>
      <c r="AI708" s="52"/>
      <c r="AJ708" s="52"/>
      <c r="AK708" s="52"/>
      <c r="AL708" s="52"/>
      <c r="AM708" s="52"/>
      <c r="AN708" s="52"/>
      <c r="AO708" s="52"/>
      <c r="AP708" s="52"/>
      <c r="AQ708" s="52"/>
      <c r="AR708" s="52"/>
      <c r="AS708" s="52"/>
    </row>
    <row r="709" spans="1:45" s="64" customFormat="1" hidden="1">
      <c r="A709" s="67"/>
      <c r="B709" s="67"/>
      <c r="C709" s="67"/>
      <c r="D709" s="67"/>
      <c r="E709" s="67"/>
      <c r="F709" s="67"/>
      <c r="G709" s="67"/>
      <c r="H709" s="67"/>
      <c r="I709" s="191"/>
      <c r="J709" s="82"/>
      <c r="K709" s="182"/>
      <c r="L709" s="61"/>
      <c r="M709" s="72"/>
      <c r="N709" s="73"/>
      <c r="O709" s="52"/>
      <c r="P709" s="52"/>
      <c r="Q709" s="52"/>
      <c r="R709" s="52"/>
      <c r="S709" s="52"/>
      <c r="T709" s="52"/>
      <c r="U709" s="52"/>
      <c r="V709" s="52"/>
      <c r="W709" s="52"/>
      <c r="X709" s="52"/>
      <c r="Y709" s="52"/>
      <c r="Z709" s="52"/>
      <c r="AA709" s="52"/>
      <c r="AB709" s="52"/>
      <c r="AC709" s="52"/>
      <c r="AD709" s="52"/>
      <c r="AE709" s="52"/>
      <c r="AF709" s="52"/>
      <c r="AG709" s="52"/>
      <c r="AH709" s="52"/>
      <c r="AI709" s="52"/>
      <c r="AJ709" s="52"/>
      <c r="AK709" s="52"/>
      <c r="AL709" s="52"/>
      <c r="AM709" s="52"/>
      <c r="AN709" s="52"/>
      <c r="AO709" s="52"/>
      <c r="AP709" s="52"/>
      <c r="AQ709" s="52"/>
      <c r="AR709" s="52"/>
      <c r="AS709" s="52"/>
    </row>
    <row r="710" spans="1:45" s="64" customFormat="1" hidden="1">
      <c r="A710" s="67"/>
      <c r="B710" s="67"/>
      <c r="C710" s="67"/>
      <c r="D710" s="67"/>
      <c r="E710" s="67"/>
      <c r="F710" s="67"/>
      <c r="G710" s="67"/>
      <c r="H710" s="67"/>
      <c r="I710" s="191"/>
      <c r="J710" s="82"/>
      <c r="K710" s="182"/>
      <c r="L710" s="61"/>
      <c r="M710" s="72"/>
      <c r="N710" s="73"/>
      <c r="O710" s="52"/>
      <c r="P710" s="52"/>
      <c r="Q710" s="52"/>
      <c r="R710" s="52"/>
      <c r="S710" s="52"/>
      <c r="T710" s="52"/>
      <c r="U710" s="52"/>
      <c r="V710" s="52"/>
      <c r="W710" s="52"/>
      <c r="X710" s="52"/>
      <c r="Y710" s="52"/>
      <c r="Z710" s="52"/>
      <c r="AA710" s="52"/>
      <c r="AB710" s="52"/>
      <c r="AC710" s="52"/>
      <c r="AD710" s="52"/>
      <c r="AE710" s="52"/>
      <c r="AF710" s="52"/>
      <c r="AG710" s="52"/>
      <c r="AH710" s="52"/>
      <c r="AI710" s="52"/>
      <c r="AJ710" s="52"/>
      <c r="AK710" s="52"/>
      <c r="AL710" s="52"/>
      <c r="AM710" s="52"/>
      <c r="AN710" s="52"/>
      <c r="AO710" s="52"/>
      <c r="AP710" s="52"/>
      <c r="AQ710" s="52"/>
      <c r="AR710" s="52"/>
      <c r="AS710" s="52"/>
    </row>
    <row r="711" spans="1:45" s="64" customFormat="1" hidden="1">
      <c r="A711" s="67"/>
      <c r="B711" s="67"/>
      <c r="C711" s="67"/>
      <c r="D711" s="67"/>
      <c r="E711" s="67"/>
      <c r="F711" s="67"/>
      <c r="G711" s="67"/>
      <c r="H711" s="67"/>
      <c r="I711" s="191"/>
      <c r="J711" s="82"/>
      <c r="K711" s="182"/>
      <c r="L711" s="61"/>
      <c r="M711" s="72"/>
      <c r="N711" s="73"/>
      <c r="O711" s="52"/>
      <c r="P711" s="52"/>
      <c r="Q711" s="52"/>
      <c r="R711" s="52"/>
      <c r="S711" s="52"/>
      <c r="T711" s="52"/>
      <c r="U711" s="52"/>
      <c r="V711" s="52"/>
      <c r="W711" s="52"/>
      <c r="X711" s="52"/>
      <c r="Y711" s="52"/>
      <c r="Z711" s="52"/>
      <c r="AA711" s="52"/>
      <c r="AB711" s="52"/>
      <c r="AC711" s="52"/>
      <c r="AD711" s="52"/>
      <c r="AE711" s="52"/>
      <c r="AF711" s="52"/>
      <c r="AG711" s="52"/>
      <c r="AH711" s="52"/>
      <c r="AI711" s="52"/>
      <c r="AJ711" s="52"/>
      <c r="AK711" s="52"/>
      <c r="AL711" s="52"/>
      <c r="AM711" s="52"/>
      <c r="AN711" s="52"/>
      <c r="AO711" s="52"/>
      <c r="AP711" s="52"/>
      <c r="AQ711" s="52"/>
      <c r="AR711" s="52"/>
      <c r="AS711" s="52"/>
    </row>
    <row r="712" spans="1:45" s="64" customFormat="1" hidden="1">
      <c r="A712" s="67"/>
      <c r="B712" s="67"/>
      <c r="C712" s="67"/>
      <c r="D712" s="67"/>
      <c r="E712" s="255" t="str">
        <f>IF(AA1&lt;&gt;0,"*Warning - Number of Hours Do Not Match Schedule and Resource Form", "")</f>
        <v/>
      </c>
      <c r="F712" s="67"/>
      <c r="G712" s="67"/>
      <c r="H712" s="67"/>
      <c r="I712" s="191"/>
      <c r="J712" s="82"/>
      <c r="K712" s="182"/>
      <c r="L712" s="61"/>
      <c r="M712" s="72"/>
      <c r="N712" s="73"/>
      <c r="O712" s="52"/>
      <c r="P712" s="52"/>
      <c r="Q712" s="52"/>
      <c r="R712" s="52"/>
      <c r="S712" s="52"/>
      <c r="T712" s="52"/>
      <c r="U712" s="52"/>
      <c r="V712" s="52"/>
      <c r="W712" s="52"/>
      <c r="X712" s="52"/>
      <c r="Y712" s="52"/>
      <c r="Z712" s="52"/>
      <c r="AA712" s="52"/>
      <c r="AB712" s="52"/>
      <c r="AC712" s="52"/>
      <c r="AD712" s="52"/>
      <c r="AE712" s="52"/>
      <c r="AF712" s="52"/>
      <c r="AG712" s="52"/>
      <c r="AH712" s="52"/>
      <c r="AI712" s="52"/>
      <c r="AJ712" s="52"/>
      <c r="AK712" s="52"/>
      <c r="AL712" s="52"/>
      <c r="AM712" s="52"/>
      <c r="AN712" s="52"/>
      <c r="AO712" s="52"/>
      <c r="AP712" s="52"/>
      <c r="AQ712" s="52"/>
      <c r="AR712" s="52"/>
      <c r="AS712" s="52"/>
    </row>
    <row r="713" spans="1:45" s="64" customFormat="1" hidden="1">
      <c r="A713" s="67"/>
      <c r="B713" s="67"/>
      <c r="C713" s="67"/>
      <c r="D713" s="67"/>
      <c r="E713" s="67"/>
      <c r="F713" s="67"/>
      <c r="G713" s="67"/>
      <c r="H713" s="67"/>
      <c r="I713" s="191"/>
      <c r="J713" s="82"/>
      <c r="K713" s="182"/>
      <c r="L713" s="61"/>
      <c r="M713" s="72"/>
      <c r="N713" s="73"/>
      <c r="O713" s="52"/>
      <c r="P713" s="52"/>
      <c r="Q713" s="52"/>
      <c r="R713" s="52"/>
      <c r="S713" s="52"/>
      <c r="T713" s="52"/>
      <c r="U713" s="52"/>
      <c r="V713" s="52"/>
      <c r="W713" s="52"/>
      <c r="X713" s="52"/>
      <c r="Y713" s="52"/>
      <c r="Z713" s="52"/>
      <c r="AA713" s="52"/>
      <c r="AB713" s="52"/>
      <c r="AC713" s="52"/>
      <c r="AD713" s="52"/>
      <c r="AE713" s="52"/>
      <c r="AF713" s="52"/>
      <c r="AG713" s="52"/>
      <c r="AH713" s="52"/>
      <c r="AI713" s="52"/>
      <c r="AJ713" s="52"/>
      <c r="AK713" s="52"/>
      <c r="AL713" s="52"/>
      <c r="AM713" s="52"/>
      <c r="AN713" s="52"/>
      <c r="AO713" s="52"/>
      <c r="AP713" s="52"/>
      <c r="AQ713" s="52"/>
      <c r="AR713" s="52"/>
      <c r="AS713" s="52"/>
    </row>
    <row r="714" spans="1:45" s="64" customFormat="1" hidden="1">
      <c r="A714" s="67"/>
      <c r="B714" s="67"/>
      <c r="C714" s="67"/>
      <c r="D714" s="67"/>
      <c r="E714" s="67"/>
      <c r="F714" s="67"/>
      <c r="G714" s="67"/>
      <c r="H714" s="67"/>
      <c r="I714" s="191"/>
      <c r="J714" s="82"/>
      <c r="K714" s="182"/>
      <c r="L714" s="61"/>
      <c r="M714" s="72"/>
      <c r="N714" s="73"/>
      <c r="O714" s="52"/>
      <c r="P714" s="52"/>
      <c r="Q714" s="52"/>
      <c r="R714" s="52"/>
      <c r="S714" s="52"/>
      <c r="T714" s="52"/>
      <c r="U714" s="52"/>
      <c r="V714" s="52"/>
      <c r="W714" s="52"/>
      <c r="X714" s="52"/>
      <c r="Y714" s="52"/>
      <c r="Z714" s="52"/>
      <c r="AA714" s="52"/>
      <c r="AB714" s="52"/>
      <c r="AC714" s="52"/>
      <c r="AD714" s="52"/>
      <c r="AE714" s="52"/>
      <c r="AF714" s="52"/>
      <c r="AG714" s="52"/>
      <c r="AH714" s="52"/>
      <c r="AI714" s="52"/>
      <c r="AJ714" s="52"/>
      <c r="AK714" s="52"/>
      <c r="AL714" s="52"/>
      <c r="AM714" s="52"/>
      <c r="AN714" s="52"/>
      <c r="AO714" s="52"/>
      <c r="AP714" s="52"/>
      <c r="AQ714" s="52"/>
      <c r="AR714" s="52"/>
      <c r="AS714" s="52"/>
    </row>
    <row r="715" spans="1:45" s="64" customFormat="1" hidden="1">
      <c r="A715" s="67"/>
      <c r="B715" s="67"/>
      <c r="C715" s="67"/>
      <c r="D715" s="67"/>
      <c r="E715" s="67"/>
      <c r="F715" s="67"/>
      <c r="G715" s="67"/>
      <c r="H715" s="67"/>
      <c r="I715" s="191"/>
      <c r="J715" s="82"/>
      <c r="K715" s="182"/>
      <c r="L715" s="61"/>
      <c r="M715" s="72"/>
      <c r="N715" s="73"/>
      <c r="O715" s="52"/>
      <c r="P715" s="52"/>
      <c r="Q715" s="52"/>
      <c r="R715" s="52"/>
      <c r="S715" s="52"/>
      <c r="T715" s="52"/>
      <c r="U715" s="52"/>
      <c r="V715" s="52"/>
      <c r="W715" s="52"/>
      <c r="X715" s="52"/>
      <c r="Y715" s="52"/>
      <c r="Z715" s="52"/>
      <c r="AA715" s="52"/>
      <c r="AB715" s="52"/>
      <c r="AC715" s="52"/>
      <c r="AD715" s="52"/>
      <c r="AE715" s="52"/>
      <c r="AF715" s="52"/>
      <c r="AG715" s="52"/>
      <c r="AH715" s="52"/>
      <c r="AI715" s="52"/>
      <c r="AJ715" s="52"/>
      <c r="AK715" s="52"/>
      <c r="AL715" s="52"/>
      <c r="AM715" s="52"/>
      <c r="AN715" s="52"/>
      <c r="AO715" s="52"/>
      <c r="AP715" s="52"/>
      <c r="AQ715" s="52"/>
      <c r="AR715" s="52"/>
      <c r="AS715" s="52"/>
    </row>
    <row r="716" spans="1:45" s="64" customFormat="1" hidden="1">
      <c r="A716" s="67"/>
      <c r="B716" s="67"/>
      <c r="C716" s="67"/>
      <c r="D716" s="67"/>
      <c r="E716" s="67"/>
      <c r="F716" s="67"/>
      <c r="G716" s="67"/>
      <c r="H716" s="67"/>
      <c r="I716" s="191"/>
      <c r="J716" s="82"/>
      <c r="K716" s="182"/>
      <c r="L716" s="61"/>
      <c r="M716" s="72"/>
      <c r="N716" s="73"/>
      <c r="O716" s="52"/>
      <c r="P716" s="52"/>
      <c r="Q716" s="52"/>
      <c r="R716" s="52"/>
      <c r="S716" s="52"/>
      <c r="T716" s="52"/>
      <c r="U716" s="52"/>
      <c r="V716" s="52"/>
      <c r="W716" s="52"/>
      <c r="X716" s="52"/>
      <c r="Y716" s="52"/>
      <c r="Z716" s="52"/>
      <c r="AA716" s="52"/>
      <c r="AB716" s="52"/>
      <c r="AC716" s="52"/>
      <c r="AD716" s="52"/>
      <c r="AE716" s="52"/>
      <c r="AF716" s="52"/>
      <c r="AG716" s="52"/>
      <c r="AH716" s="52"/>
      <c r="AI716" s="52"/>
      <c r="AJ716" s="52"/>
      <c r="AK716" s="52"/>
      <c r="AL716" s="52"/>
      <c r="AM716" s="52"/>
      <c r="AN716" s="52"/>
      <c r="AO716" s="52"/>
      <c r="AP716" s="52"/>
      <c r="AQ716" s="52"/>
      <c r="AR716" s="52"/>
      <c r="AS716" s="52"/>
    </row>
    <row r="717" spans="1:45" s="64" customFormat="1" hidden="1">
      <c r="A717" s="67"/>
      <c r="B717" s="67"/>
      <c r="C717" s="67"/>
      <c r="D717" s="67"/>
      <c r="E717" s="67"/>
      <c r="F717" s="67"/>
      <c r="G717" s="67"/>
      <c r="H717" s="67"/>
      <c r="I717" s="191"/>
      <c r="J717" s="82"/>
      <c r="K717" s="182"/>
      <c r="L717" s="61"/>
      <c r="M717" s="72"/>
      <c r="N717" s="73"/>
      <c r="O717" s="52"/>
      <c r="P717" s="52"/>
      <c r="Q717" s="52"/>
      <c r="R717" s="52"/>
      <c r="S717" s="52"/>
      <c r="T717" s="52"/>
      <c r="U717" s="52"/>
      <c r="V717" s="52"/>
      <c r="W717" s="52"/>
      <c r="X717" s="52"/>
      <c r="Y717" s="52"/>
      <c r="Z717" s="52"/>
      <c r="AA717" s="52"/>
      <c r="AB717" s="52"/>
      <c r="AC717" s="52"/>
      <c r="AD717" s="52"/>
      <c r="AE717" s="52"/>
      <c r="AF717" s="52"/>
      <c r="AG717" s="52"/>
      <c r="AH717" s="52"/>
      <c r="AI717" s="52"/>
      <c r="AJ717" s="52"/>
      <c r="AK717" s="52"/>
      <c r="AL717" s="52"/>
      <c r="AM717" s="52"/>
      <c r="AN717" s="52"/>
      <c r="AO717" s="52"/>
      <c r="AP717" s="52"/>
      <c r="AQ717" s="52"/>
      <c r="AR717" s="52"/>
      <c r="AS717" s="52"/>
    </row>
    <row r="718" spans="1:45" s="64" customFormat="1" hidden="1">
      <c r="A718" s="67"/>
      <c r="B718" s="67"/>
      <c r="C718" s="67"/>
      <c r="D718" s="67"/>
      <c r="E718" s="67"/>
      <c r="F718" s="67"/>
      <c r="G718" s="67"/>
      <c r="H718" s="67"/>
      <c r="I718" s="191"/>
      <c r="J718" s="82"/>
      <c r="K718" s="182"/>
      <c r="L718" s="61"/>
      <c r="M718" s="72"/>
      <c r="N718" s="73"/>
      <c r="O718" s="52"/>
      <c r="P718" s="52"/>
      <c r="Q718" s="52"/>
      <c r="R718" s="52"/>
      <c r="S718" s="52"/>
      <c r="T718" s="52"/>
      <c r="U718" s="52"/>
      <c r="V718" s="52"/>
      <c r="W718" s="52"/>
      <c r="X718" s="52"/>
      <c r="Y718" s="52"/>
      <c r="Z718" s="52"/>
      <c r="AA718" s="52"/>
      <c r="AB718" s="52"/>
      <c r="AC718" s="52"/>
      <c r="AD718" s="52"/>
      <c r="AE718" s="52"/>
      <c r="AF718" s="52"/>
      <c r="AG718" s="52"/>
      <c r="AH718" s="52"/>
      <c r="AI718" s="52"/>
      <c r="AJ718" s="52"/>
      <c r="AK718" s="52"/>
      <c r="AL718" s="52"/>
      <c r="AM718" s="52"/>
      <c r="AN718" s="52"/>
      <c r="AO718" s="52"/>
      <c r="AP718" s="52"/>
      <c r="AQ718" s="52"/>
      <c r="AR718" s="52"/>
      <c r="AS718" s="52"/>
    </row>
    <row r="719" spans="1:45" s="64" customFormat="1" hidden="1">
      <c r="A719" s="67"/>
      <c r="B719" s="67"/>
      <c r="C719" s="67"/>
      <c r="D719" s="67"/>
      <c r="E719" s="67"/>
      <c r="F719" s="67"/>
      <c r="G719" s="67"/>
      <c r="H719" s="67"/>
      <c r="I719" s="191"/>
      <c r="J719" s="82"/>
      <c r="K719" s="182"/>
      <c r="L719" s="61"/>
      <c r="M719" s="72"/>
      <c r="N719" s="73"/>
      <c r="O719" s="52"/>
      <c r="P719" s="52"/>
      <c r="Q719" s="52"/>
      <c r="R719" s="52"/>
      <c r="S719" s="52"/>
      <c r="T719" s="52"/>
      <c r="U719" s="52"/>
      <c r="V719" s="52"/>
      <c r="W719" s="52"/>
      <c r="X719" s="52"/>
      <c r="Y719" s="52"/>
      <c r="Z719" s="52"/>
      <c r="AA719" s="52"/>
      <c r="AB719" s="52"/>
      <c r="AC719" s="52"/>
      <c r="AD719" s="52"/>
      <c r="AE719" s="52"/>
      <c r="AF719" s="52"/>
      <c r="AG719" s="52"/>
      <c r="AH719" s="52"/>
      <c r="AI719" s="52"/>
      <c r="AJ719" s="52"/>
      <c r="AK719" s="52"/>
      <c r="AL719" s="52"/>
      <c r="AM719" s="52"/>
      <c r="AN719" s="52"/>
      <c r="AO719" s="52"/>
      <c r="AP719" s="52"/>
      <c r="AQ719" s="52"/>
      <c r="AR719" s="52"/>
      <c r="AS719" s="52"/>
    </row>
    <row r="720" spans="1:45" s="64" customFormat="1" hidden="1">
      <c r="A720" s="67"/>
      <c r="B720" s="67"/>
      <c r="C720" s="67"/>
      <c r="D720" s="67"/>
      <c r="E720" s="67"/>
      <c r="F720" s="67"/>
      <c r="G720" s="67"/>
      <c r="H720" s="67"/>
      <c r="I720" s="191"/>
      <c r="J720" s="82"/>
      <c r="K720" s="182"/>
      <c r="L720" s="61"/>
      <c r="M720" s="72"/>
      <c r="N720" s="73"/>
      <c r="O720" s="52"/>
      <c r="P720" s="52"/>
      <c r="Q720" s="52"/>
      <c r="R720" s="52"/>
      <c r="S720" s="52"/>
      <c r="T720" s="52"/>
      <c r="U720" s="52"/>
      <c r="V720" s="52"/>
      <c r="W720" s="52"/>
      <c r="X720" s="52"/>
      <c r="Y720" s="52"/>
      <c r="Z720" s="52"/>
      <c r="AA720" s="52"/>
      <c r="AB720" s="52"/>
      <c r="AC720" s="52"/>
      <c r="AD720" s="52"/>
      <c r="AE720" s="52"/>
      <c r="AF720" s="52"/>
      <c r="AG720" s="52"/>
      <c r="AH720" s="52"/>
      <c r="AI720" s="52"/>
      <c r="AJ720" s="52"/>
      <c r="AK720" s="52"/>
      <c r="AL720" s="52"/>
      <c r="AM720" s="52"/>
      <c r="AN720" s="52"/>
      <c r="AO720" s="52"/>
      <c r="AP720" s="52"/>
      <c r="AQ720" s="52"/>
      <c r="AR720" s="52"/>
      <c r="AS720" s="52"/>
    </row>
    <row r="721" spans="1:45" s="64" customFormat="1" hidden="1">
      <c r="A721" s="67"/>
      <c r="B721" s="67"/>
      <c r="C721" s="67"/>
      <c r="D721" s="67"/>
      <c r="E721" s="67"/>
      <c r="F721" s="67"/>
      <c r="G721" s="67"/>
      <c r="H721" s="67"/>
      <c r="I721" s="191"/>
      <c r="J721" s="82"/>
      <c r="K721" s="182"/>
      <c r="L721" s="61"/>
      <c r="M721" s="72"/>
      <c r="N721" s="73"/>
      <c r="O721" s="52"/>
      <c r="P721" s="52"/>
      <c r="Q721" s="52"/>
      <c r="R721" s="52"/>
      <c r="S721" s="52"/>
      <c r="T721" s="52"/>
      <c r="U721" s="52"/>
      <c r="V721" s="52"/>
      <c r="W721" s="52"/>
      <c r="X721" s="52"/>
      <c r="Y721" s="52"/>
      <c r="Z721" s="52"/>
      <c r="AA721" s="52"/>
      <c r="AB721" s="52"/>
      <c r="AC721" s="52"/>
      <c r="AD721" s="52"/>
      <c r="AE721" s="52"/>
      <c r="AF721" s="52"/>
      <c r="AG721" s="52"/>
      <c r="AH721" s="52"/>
      <c r="AI721" s="52"/>
      <c r="AJ721" s="52"/>
      <c r="AK721" s="52"/>
      <c r="AL721" s="52"/>
      <c r="AM721" s="52"/>
      <c r="AN721" s="52"/>
      <c r="AO721" s="52"/>
      <c r="AP721" s="52"/>
      <c r="AQ721" s="52"/>
      <c r="AR721" s="52"/>
      <c r="AS721" s="52"/>
    </row>
    <row r="722" spans="1:45" s="64" customFormat="1" hidden="1">
      <c r="A722" s="67"/>
      <c r="B722" s="67"/>
      <c r="C722" s="67"/>
      <c r="D722" s="67"/>
      <c r="E722" s="67"/>
      <c r="F722" s="67"/>
      <c r="G722" s="67"/>
      <c r="H722" s="67"/>
      <c r="I722" s="191"/>
      <c r="J722" s="82"/>
      <c r="K722" s="182"/>
      <c r="L722" s="61"/>
      <c r="M722" s="72"/>
      <c r="N722" s="73"/>
      <c r="O722" s="52"/>
      <c r="P722" s="52"/>
      <c r="Q722" s="52"/>
      <c r="R722" s="52"/>
      <c r="S722" s="52"/>
      <c r="T722" s="52"/>
      <c r="U722" s="52"/>
      <c r="V722" s="52"/>
      <c r="W722" s="52"/>
      <c r="X722" s="52"/>
      <c r="Y722" s="52"/>
      <c r="Z722" s="52"/>
      <c r="AA722" s="52"/>
      <c r="AB722" s="52"/>
      <c r="AC722" s="52"/>
      <c r="AD722" s="52"/>
      <c r="AE722" s="52"/>
      <c r="AF722" s="52"/>
      <c r="AG722" s="52"/>
      <c r="AH722" s="52"/>
      <c r="AI722" s="52"/>
      <c r="AJ722" s="52"/>
      <c r="AK722" s="52"/>
      <c r="AL722" s="52"/>
      <c r="AM722" s="52"/>
      <c r="AN722" s="52"/>
      <c r="AO722" s="52"/>
      <c r="AP722" s="52"/>
      <c r="AQ722" s="52"/>
      <c r="AR722" s="52"/>
      <c r="AS722" s="52"/>
    </row>
    <row r="723" spans="1:45" s="64" customFormat="1" hidden="1">
      <c r="A723" s="67"/>
      <c r="B723" s="67"/>
      <c r="C723" s="67"/>
      <c r="D723" s="67"/>
      <c r="E723" s="67"/>
      <c r="F723" s="67"/>
      <c r="G723" s="67"/>
      <c r="H723" s="67"/>
      <c r="I723" s="191"/>
      <c r="J723" s="82"/>
      <c r="K723" s="182"/>
      <c r="L723" s="61"/>
      <c r="M723" s="72"/>
      <c r="N723" s="73"/>
      <c r="O723" s="52"/>
      <c r="P723" s="52"/>
      <c r="Q723" s="52"/>
      <c r="R723" s="52"/>
      <c r="S723" s="52"/>
      <c r="T723" s="52"/>
      <c r="U723" s="52"/>
      <c r="V723" s="52"/>
      <c r="W723" s="52"/>
      <c r="X723" s="52"/>
      <c r="Y723" s="52"/>
      <c r="Z723" s="52"/>
      <c r="AA723" s="52"/>
      <c r="AB723" s="52"/>
      <c r="AC723" s="52"/>
      <c r="AD723" s="52"/>
      <c r="AE723" s="52"/>
      <c r="AF723" s="52"/>
      <c r="AG723" s="52"/>
      <c r="AH723" s="52"/>
      <c r="AI723" s="52"/>
      <c r="AJ723" s="52"/>
      <c r="AK723" s="52"/>
      <c r="AL723" s="52"/>
      <c r="AM723" s="52"/>
      <c r="AN723" s="52"/>
      <c r="AO723" s="52"/>
      <c r="AP723" s="52"/>
      <c r="AQ723" s="52"/>
      <c r="AR723" s="52"/>
      <c r="AS723" s="52"/>
    </row>
    <row r="724" spans="1:45" s="64" customFormat="1" hidden="1">
      <c r="A724" s="67"/>
      <c r="B724" s="67"/>
      <c r="C724" s="67"/>
      <c r="D724" s="67"/>
      <c r="E724" s="67"/>
      <c r="F724" s="67"/>
      <c r="G724" s="67"/>
      <c r="H724" s="67"/>
      <c r="I724" s="191"/>
      <c r="J724" s="82"/>
      <c r="K724" s="182"/>
      <c r="L724" s="61"/>
      <c r="M724" s="72"/>
      <c r="N724" s="73"/>
      <c r="O724" s="52"/>
      <c r="P724" s="52"/>
      <c r="Q724" s="52"/>
      <c r="R724" s="52"/>
      <c r="S724" s="52"/>
      <c r="T724" s="52"/>
      <c r="U724" s="52"/>
      <c r="V724" s="52"/>
      <c r="W724" s="52"/>
      <c r="X724" s="52"/>
      <c r="Y724" s="52"/>
      <c r="Z724" s="52"/>
      <c r="AA724" s="52"/>
      <c r="AB724" s="52"/>
      <c r="AC724" s="52"/>
      <c r="AD724" s="52"/>
      <c r="AE724" s="52"/>
      <c r="AF724" s="52"/>
      <c r="AG724" s="52"/>
      <c r="AH724" s="52"/>
      <c r="AI724" s="52"/>
      <c r="AJ724" s="52"/>
      <c r="AK724" s="52"/>
      <c r="AL724" s="52"/>
      <c r="AM724" s="52"/>
      <c r="AN724" s="52"/>
      <c r="AO724" s="52"/>
      <c r="AP724" s="52"/>
      <c r="AQ724" s="52"/>
      <c r="AR724" s="52"/>
      <c r="AS724" s="52"/>
    </row>
    <row r="725" spans="1:45" s="64" customFormat="1" hidden="1">
      <c r="A725" s="67"/>
      <c r="B725" s="67"/>
      <c r="C725" s="67"/>
      <c r="D725" s="67"/>
      <c r="E725" s="67"/>
      <c r="F725" s="67"/>
      <c r="G725" s="67"/>
      <c r="H725" s="67"/>
      <c r="I725" s="191"/>
      <c r="J725" s="82"/>
      <c r="K725" s="182"/>
      <c r="L725" s="61"/>
      <c r="M725" s="72"/>
      <c r="N725" s="73"/>
      <c r="O725" s="52"/>
      <c r="P725" s="52"/>
      <c r="Q725" s="52"/>
      <c r="R725" s="52"/>
      <c r="S725" s="52"/>
      <c r="T725" s="52"/>
      <c r="U725" s="52"/>
      <c r="V725" s="52"/>
      <c r="W725" s="52"/>
      <c r="X725" s="52"/>
      <c r="Y725" s="52"/>
      <c r="Z725" s="52"/>
      <c r="AA725" s="52"/>
      <c r="AB725" s="52"/>
      <c r="AC725" s="52"/>
      <c r="AD725" s="52"/>
      <c r="AE725" s="52"/>
      <c r="AF725" s="52"/>
      <c r="AG725" s="52"/>
      <c r="AH725" s="52"/>
      <c r="AI725" s="52"/>
      <c r="AJ725" s="52"/>
      <c r="AK725" s="52"/>
      <c r="AL725" s="52"/>
      <c r="AM725" s="52"/>
      <c r="AN725" s="52"/>
      <c r="AO725" s="52"/>
      <c r="AP725" s="52"/>
      <c r="AQ725" s="52"/>
      <c r="AR725" s="52"/>
      <c r="AS725" s="52"/>
    </row>
    <row r="726" spans="1:45" s="64" customFormat="1" hidden="1">
      <c r="A726" s="67"/>
      <c r="B726" s="265"/>
      <c r="C726" s="67"/>
      <c r="D726" s="265"/>
      <c r="E726" s="265"/>
      <c r="F726" s="67"/>
      <c r="G726" s="67"/>
      <c r="H726" s="67"/>
      <c r="I726" s="266"/>
      <c r="J726" s="267"/>
      <c r="K726" s="268"/>
      <c r="L726" s="269"/>
      <c r="M726" s="72"/>
      <c r="N726" s="73"/>
      <c r="O726" s="52"/>
      <c r="P726" s="52"/>
      <c r="Q726" s="52"/>
      <c r="R726" s="52"/>
      <c r="S726" s="52"/>
      <c r="T726" s="52"/>
      <c r="U726" s="52"/>
      <c r="V726" s="52"/>
      <c r="W726" s="52"/>
      <c r="X726" s="52"/>
      <c r="Y726" s="52"/>
      <c r="Z726" s="52"/>
      <c r="AA726" s="52"/>
      <c r="AB726" s="52"/>
      <c r="AC726" s="52"/>
      <c r="AD726" s="52"/>
      <c r="AE726" s="52"/>
      <c r="AF726" s="52"/>
      <c r="AG726" s="52"/>
      <c r="AH726" s="52"/>
      <c r="AI726" s="52"/>
      <c r="AJ726" s="52"/>
      <c r="AK726" s="52"/>
      <c r="AL726" s="52"/>
      <c r="AM726" s="52"/>
      <c r="AN726" s="52"/>
      <c r="AO726" s="52"/>
      <c r="AP726" s="52"/>
      <c r="AQ726" s="52"/>
      <c r="AR726" s="52"/>
      <c r="AS726" s="52"/>
    </row>
    <row r="727" spans="1:45">
      <c r="A727" s="262"/>
      <c r="C727" s="263"/>
      <c r="F727" s="264"/>
      <c r="H727" s="262"/>
    </row>
    <row r="728" spans="1:45">
      <c r="A728" s="262"/>
      <c r="C728" s="263"/>
      <c r="F728" s="264"/>
      <c r="H728" s="262"/>
    </row>
    <row r="729" spans="1:45">
      <c r="A729" s="262"/>
      <c r="C729" s="263"/>
      <c r="F729" s="264"/>
      <c r="H729" s="262"/>
    </row>
    <row r="730" spans="1:45">
      <c r="A730" s="262"/>
      <c r="C730" s="263"/>
      <c r="F730" s="264"/>
      <c r="H730" s="262"/>
    </row>
    <row r="731" spans="1:45">
      <c r="A731" s="262"/>
      <c r="C731" s="263"/>
      <c r="F731" s="264"/>
      <c r="H731" s="262"/>
    </row>
    <row r="732" spans="1:45">
      <c r="A732" s="262"/>
      <c r="C732" s="263"/>
      <c r="F732" s="264"/>
      <c r="H732" s="262"/>
    </row>
    <row r="733" spans="1:45">
      <c r="A733" s="262"/>
      <c r="C733" s="263"/>
      <c r="F733" s="264"/>
      <c r="H733" s="262"/>
    </row>
    <row r="734" spans="1:45">
      <c r="A734" s="262"/>
      <c r="C734" s="263"/>
      <c r="F734" s="264"/>
      <c r="H734" s="262"/>
    </row>
    <row r="735" spans="1:45">
      <c r="A735" s="262"/>
      <c r="C735" s="263"/>
      <c r="F735" s="264"/>
      <c r="H735" s="262"/>
    </row>
    <row r="736" spans="1:45">
      <c r="A736" s="262"/>
      <c r="C736" s="263"/>
      <c r="F736" s="264"/>
      <c r="H736" s="262"/>
    </row>
    <row r="737" spans="1:8">
      <c r="A737" s="262"/>
      <c r="C737" s="263"/>
      <c r="F737" s="264"/>
      <c r="H737" s="262"/>
    </row>
    <row r="738" spans="1:8">
      <c r="A738" s="262"/>
      <c r="C738" s="263"/>
      <c r="F738" s="264"/>
      <c r="H738" s="262"/>
    </row>
    <row r="739" spans="1:8">
      <c r="A739" s="262"/>
      <c r="C739" s="263"/>
      <c r="F739" s="264"/>
      <c r="H739" s="262"/>
    </row>
    <row r="740" spans="1:8">
      <c r="A740" s="262"/>
      <c r="C740" s="263"/>
      <c r="F740" s="264"/>
      <c r="H740" s="262"/>
    </row>
  </sheetData>
  <autoFilter ref="B7:L710" xr:uid="{00000000-0009-0000-0000-000002000000}">
    <filterColumn colId="0">
      <filters>
        <filter val="Engineering Standard"/>
      </filters>
    </filterColumn>
  </autoFilter>
  <dataConsolidate link="1"/>
  <mergeCells count="9">
    <mergeCell ref="F4:H4"/>
    <mergeCell ref="F5:H5"/>
    <mergeCell ref="A1:L1"/>
    <mergeCell ref="D2:E2"/>
    <mergeCell ref="D3:E3"/>
    <mergeCell ref="D4:E4"/>
    <mergeCell ref="D5:E5"/>
    <mergeCell ref="F2:H2"/>
    <mergeCell ref="F3:H3"/>
  </mergeCells>
  <conditionalFormatting sqref="B8:L36">
    <cfRule type="expression" dxfId="0" priority="1">
      <formula>$L$3&lt;&gt;"Hourly Estimate"</formula>
    </cfRule>
  </conditionalFormatting>
  <dataValidations count="2">
    <dataValidation type="whole" errorStyle="warning" allowBlank="1" showInputMessage="1" showErrorMessage="1" errorTitle="Warning" error="Cell Contains Formula. Click &quot;Yes&quot; to Continue." sqref="D2:E5 L1:L2 L5:L1048576" xr:uid="{00000000-0002-0000-0200-000000000000}">
      <formula1>-10000</formula1>
      <formula2>-9999</formula2>
    </dataValidation>
    <dataValidation type="list" allowBlank="1" showInputMessage="1" showErrorMessage="1" sqref="K7:K1048576" xr:uid="{00000000-0002-0000-0200-000001000000}">
      <formula1>SoftCostUoM</formula1>
    </dataValidation>
  </dataValidations>
  <pageMargins left="0.35" right="0.35" top="0.5" bottom="0.55000000000000004" header="0.25" footer="0.25"/>
  <pageSetup scale="58" fitToHeight="0" orientation="portrait" r:id="rId1"/>
  <headerFooter>
    <oddFooter>&amp;LPort of Portland – Soft Cost Details&amp;CPage &amp;P of &amp;N&amp;RPrinted: &amp;D &amp;T</oddFooter>
  </headerFooter>
  <drawing r:id="rId2"/>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Warning" error="Cell Contains Formula. Click &quot;Yes&quot; to Continue." xr:uid="{B16F6621-A576-4FFF-81C4-F739E32BD0BE}">
          <x14:formula1>
            <xm:f>'Scope and Risk'!$C$31:$C$32</xm:f>
          </x14:formula1>
          <xm:sqref>L3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9945-ED92-4ACE-A7B5-3D6A6A5800C9}">
  <sheetPr codeName="Sheet9">
    <tabColor theme="0" tint="-0.499984740745262"/>
    <pageSetUpPr fitToPage="1"/>
  </sheetPr>
  <dimension ref="A1:J148"/>
  <sheetViews>
    <sheetView showGridLines="0" zoomScale="85" zoomScaleNormal="85" workbookViewId="0">
      <pane ySplit="15" topLeftCell="A43" activePane="bottomLeft" state="frozen"/>
      <selection pane="bottomLeft" activeCell="M33" sqref="M33"/>
    </sheetView>
  </sheetViews>
  <sheetFormatPr baseColWidth="10" defaultColWidth="9.3984375" defaultRowHeight="16"/>
  <cols>
    <col min="1" max="1" width="31.59765625" style="248" bestFit="1" customWidth="1"/>
    <col min="2" max="3" width="20.796875" style="248" customWidth="1"/>
    <col min="4" max="4" width="27.796875" style="227" customWidth="1"/>
    <col min="5" max="5" width="13.796875" style="216" customWidth="1"/>
    <col min="6" max="6" width="14.796875" style="217" customWidth="1"/>
    <col min="7" max="7" width="25.3984375" style="247" customWidth="1"/>
    <col min="8" max="8" width="9.3984375" style="212" customWidth="1"/>
    <col min="9" max="13" width="9.3984375" style="244"/>
    <col min="14" max="19" width="9.3984375" style="244" customWidth="1"/>
    <col min="20" max="16384" width="9.3984375" style="244"/>
  </cols>
  <sheetData>
    <row r="1" spans="1:7" s="199" customFormat="1">
      <c r="A1" s="330" t="s">
        <v>469</v>
      </c>
      <c r="B1" s="331"/>
      <c r="C1" s="331"/>
      <c r="D1" s="331"/>
      <c r="E1" s="331"/>
      <c r="F1" s="331"/>
      <c r="G1" s="332"/>
    </row>
    <row r="2" spans="1:7" s="199" customFormat="1">
      <c r="A2" s="200" t="s">
        <v>103</v>
      </c>
      <c r="B2" s="327" t="str">
        <f>IF(Summary!B3&lt;&gt;"",Summary!B3,"")</f>
        <v/>
      </c>
      <c r="C2" s="328"/>
      <c r="D2" s="328"/>
      <c r="E2" s="328"/>
      <c r="F2" s="328"/>
      <c r="G2" s="329"/>
    </row>
    <row r="3" spans="1:7" s="199" customFormat="1">
      <c r="A3" s="201" t="s">
        <v>105</v>
      </c>
      <c r="B3" s="327" t="str">
        <f>IF(Summary!B4&lt;&gt;"",Summary!B4,"")</f>
        <v/>
      </c>
      <c r="C3" s="328"/>
      <c r="D3" s="328"/>
      <c r="E3" s="328"/>
      <c r="F3" s="328"/>
      <c r="G3" s="329"/>
    </row>
    <row r="4" spans="1:7" s="199" customFormat="1">
      <c r="A4" s="201" t="s">
        <v>107</v>
      </c>
      <c r="B4" s="333" t="str">
        <f>IF(Summary!B9&lt;&gt;"",Summary!B9,"")</f>
        <v/>
      </c>
      <c r="C4" s="334"/>
      <c r="D4" s="188"/>
      <c r="E4" s="79"/>
      <c r="F4" s="272"/>
      <c r="G4" s="202"/>
    </row>
    <row r="5" spans="1:7" s="199" customFormat="1">
      <c r="A5" s="273" t="s">
        <v>109</v>
      </c>
      <c r="B5" s="335" t="str">
        <f>IF(Summary!B8&lt;&gt;"",Summary!B8,"")</f>
        <v/>
      </c>
      <c r="C5" s="336"/>
      <c r="D5" s="189"/>
      <c r="E5" s="80"/>
      <c r="F5" s="203"/>
      <c r="G5" s="204"/>
    </row>
    <row r="6" spans="1:7" s="199" customFormat="1" ht="19.25" customHeight="1" thickBot="1">
      <c r="A6" s="205"/>
      <c r="B6" s="274"/>
      <c r="C6" s="274"/>
      <c r="D6" s="206"/>
      <c r="E6" s="207"/>
      <c r="F6" s="208"/>
      <c r="G6" s="209"/>
    </row>
    <row r="7" spans="1:7" ht="17" thickTop="1">
      <c r="A7" s="324" t="s">
        <v>470</v>
      </c>
      <c r="B7" s="325"/>
      <c r="C7" s="325"/>
      <c r="D7" s="326"/>
      <c r="E7" s="210"/>
      <c r="F7" s="210"/>
      <c r="G7" s="211"/>
    </row>
    <row r="8" spans="1:7">
      <c r="A8" s="213" t="s">
        <v>471</v>
      </c>
      <c r="B8" s="214" t="s">
        <v>472</v>
      </c>
      <c r="C8" s="214" t="s">
        <v>473</v>
      </c>
      <c r="D8" s="215" t="s">
        <v>474</v>
      </c>
      <c r="G8" s="218"/>
    </row>
    <row r="9" spans="1:7">
      <c r="A9" s="219" t="s">
        <v>475</v>
      </c>
      <c r="B9" s="220"/>
      <c r="C9" s="220"/>
      <c r="D9" s="221">
        <f>IFERROR(DATEDIF(B9,C9,"d")/7,0)</f>
        <v>0</v>
      </c>
      <c r="G9" s="218"/>
    </row>
    <row r="10" spans="1:7">
      <c r="A10" s="219" t="s">
        <v>476</v>
      </c>
      <c r="B10" s="220"/>
      <c r="C10" s="220"/>
      <c r="D10" s="221">
        <f>IFERROR(DATEDIF(B10,C10,"d")/7,0)</f>
        <v>0</v>
      </c>
      <c r="G10" s="218"/>
    </row>
    <row r="11" spans="1:7">
      <c r="A11" s="219" t="s">
        <v>477</v>
      </c>
      <c r="B11" s="220"/>
      <c r="C11" s="220"/>
      <c r="D11" s="221">
        <f>IFERROR(DATEDIF(B11,C11,"d")/7,0)</f>
        <v>0</v>
      </c>
      <c r="G11" s="218"/>
    </row>
    <row r="12" spans="1:7" ht="17" thickBot="1">
      <c r="A12" s="222" t="s">
        <v>478</v>
      </c>
      <c r="B12" s="223"/>
      <c r="C12" s="223"/>
      <c r="D12" s="224">
        <f>IFERROR(DATEDIF(B12,C12,"d")/7,0)</f>
        <v>0</v>
      </c>
      <c r="E12" s="225"/>
      <c r="G12" s="218"/>
    </row>
    <row r="13" spans="1:7" ht="18" thickTop="1" thickBot="1">
      <c r="A13" s="226"/>
      <c r="B13" s="210"/>
      <c r="C13" s="210"/>
      <c r="G13" s="218"/>
    </row>
    <row r="14" spans="1:7" ht="17" thickBot="1">
      <c r="A14" s="339" t="s">
        <v>479</v>
      </c>
      <c r="B14" s="340"/>
      <c r="C14" s="340"/>
      <c r="D14" s="340"/>
      <c r="E14" s="340"/>
      <c r="F14" s="340"/>
      <c r="G14" s="341"/>
    </row>
    <row r="15" spans="1:7">
      <c r="A15" s="228" t="s">
        <v>480</v>
      </c>
      <c r="B15" s="229" t="s">
        <v>481</v>
      </c>
      <c r="C15" s="230" t="s">
        <v>482</v>
      </c>
      <c r="D15" s="342"/>
      <c r="E15" s="342"/>
      <c r="F15" s="342"/>
      <c r="G15" s="343"/>
    </row>
    <row r="16" spans="1:7" ht="17" thickBot="1">
      <c r="A16" s="231" t="s">
        <v>483</v>
      </c>
      <c r="B16" s="232"/>
      <c r="C16" s="233">
        <f>B16*SUM($D$9:$D$12)</f>
        <v>0</v>
      </c>
      <c r="D16" s="342"/>
      <c r="E16" s="342"/>
      <c r="F16" s="342"/>
      <c r="G16" s="343"/>
    </row>
    <row r="17" spans="1:7" ht="17" thickBot="1">
      <c r="A17" s="226"/>
      <c r="B17" s="234" t="s">
        <v>24</v>
      </c>
      <c r="C17" s="235">
        <f>C16</f>
        <v>0</v>
      </c>
      <c r="D17" s="337" t="s">
        <v>63</v>
      </c>
      <c r="E17" s="337"/>
      <c r="F17" s="337"/>
      <c r="G17" s="338"/>
    </row>
    <row r="18" spans="1:7" ht="17" thickBot="1">
      <c r="A18" s="226"/>
      <c r="B18" s="275"/>
      <c r="C18" s="276"/>
      <c r="G18" s="218"/>
    </row>
    <row r="19" spans="1:7" ht="17" thickBot="1">
      <c r="A19" s="236" t="s">
        <v>484</v>
      </c>
      <c r="B19" s="237"/>
      <c r="C19" s="238">
        <f>B19*$D$10</f>
        <v>0</v>
      </c>
      <c r="G19" s="218"/>
    </row>
    <row r="20" spans="1:7" ht="17" thickBot="1">
      <c r="A20" s="226"/>
      <c r="B20" s="234" t="s">
        <v>24</v>
      </c>
      <c r="C20" s="235">
        <f>C19</f>
        <v>0</v>
      </c>
      <c r="D20" s="337" t="s">
        <v>67</v>
      </c>
      <c r="E20" s="337"/>
      <c r="F20" s="337"/>
      <c r="G20" s="338"/>
    </row>
    <row r="21" spans="1:7" ht="17" thickBot="1">
      <c r="A21" s="226"/>
      <c r="B21" s="275"/>
      <c r="C21" s="276"/>
      <c r="G21" s="218"/>
    </row>
    <row r="22" spans="1:7" ht="17" thickBot="1">
      <c r="A22" s="236" t="s">
        <v>485</v>
      </c>
      <c r="B22" s="237"/>
      <c r="C22" s="238">
        <f>B22*D10</f>
        <v>0</v>
      </c>
      <c r="G22" s="218"/>
    </row>
    <row r="23" spans="1:7" ht="17" thickBot="1">
      <c r="A23" s="226"/>
      <c r="B23" s="234" t="s">
        <v>24</v>
      </c>
      <c r="C23" s="235">
        <f>C22</f>
        <v>0</v>
      </c>
      <c r="D23" s="337" t="s">
        <v>68</v>
      </c>
      <c r="E23" s="337"/>
      <c r="F23" s="337"/>
      <c r="G23" s="338"/>
    </row>
    <row r="24" spans="1:7" ht="17" thickBot="1">
      <c r="A24" s="226"/>
      <c r="B24" s="275"/>
      <c r="C24" s="276"/>
      <c r="G24" s="218"/>
    </row>
    <row r="25" spans="1:7">
      <c r="A25" s="239" t="s">
        <v>486</v>
      </c>
      <c r="B25" s="240"/>
      <c r="C25" s="241">
        <f>B25*$D$10</f>
        <v>0</v>
      </c>
      <c r="G25" s="218"/>
    </row>
    <row r="26" spans="1:7">
      <c r="A26" s="219" t="s">
        <v>487</v>
      </c>
      <c r="B26" s="242"/>
      <c r="C26" s="243">
        <f>B26*$D$10</f>
        <v>0</v>
      </c>
      <c r="G26" s="218"/>
    </row>
    <row r="27" spans="1:7" ht="17" thickBot="1">
      <c r="A27" s="231" t="s">
        <v>488</v>
      </c>
      <c r="B27" s="232"/>
      <c r="C27" s="233">
        <f>B27*$D$10</f>
        <v>0</v>
      </c>
      <c r="G27" s="218"/>
    </row>
    <row r="28" spans="1:7" ht="17" thickBot="1">
      <c r="A28" s="226"/>
      <c r="B28" s="234" t="s">
        <v>24</v>
      </c>
      <c r="C28" s="235">
        <f>SUM(C25:C27)</f>
        <v>0</v>
      </c>
      <c r="D28" s="337" t="s">
        <v>69</v>
      </c>
      <c r="E28" s="337"/>
      <c r="F28" s="337"/>
      <c r="G28" s="338"/>
    </row>
    <row r="29" spans="1:7" ht="17" thickBot="1">
      <c r="A29" s="226"/>
      <c r="B29" s="275"/>
      <c r="C29" s="276"/>
      <c r="G29" s="218"/>
    </row>
    <row r="30" spans="1:7">
      <c r="A30" s="239" t="s">
        <v>489</v>
      </c>
      <c r="B30" s="240"/>
      <c r="C30" s="241">
        <f>B30*$D$10</f>
        <v>0</v>
      </c>
      <c r="G30" s="218"/>
    </row>
    <row r="31" spans="1:7" ht="17" thickBot="1">
      <c r="A31" s="231" t="s">
        <v>490</v>
      </c>
      <c r="B31" s="232"/>
      <c r="C31" s="233">
        <f>B31*$D$10</f>
        <v>0</v>
      </c>
      <c r="D31" s="244"/>
      <c r="G31" s="218"/>
    </row>
    <row r="32" spans="1:7" ht="17" thickBot="1">
      <c r="A32" s="226"/>
      <c r="B32" s="234" t="s">
        <v>24</v>
      </c>
      <c r="C32" s="235">
        <f>SUM(C30:C31)</f>
        <v>0</v>
      </c>
      <c r="D32" s="337" t="s">
        <v>70</v>
      </c>
      <c r="E32" s="337"/>
      <c r="F32" s="337"/>
      <c r="G32" s="338"/>
    </row>
    <row r="33" spans="1:7" ht="17" thickBot="1">
      <c r="A33" s="226"/>
      <c r="B33" s="275"/>
      <c r="C33" s="276"/>
      <c r="G33" s="218"/>
    </row>
    <row r="34" spans="1:7">
      <c r="A34" s="239" t="s">
        <v>491</v>
      </c>
      <c r="B34" s="240"/>
      <c r="C34" s="241">
        <f>B34*$D$10</f>
        <v>0</v>
      </c>
      <c r="G34" s="218"/>
    </row>
    <row r="35" spans="1:7">
      <c r="A35" s="219" t="s">
        <v>492</v>
      </c>
      <c r="B35" s="242"/>
      <c r="C35" s="243">
        <f>B35*$D$10</f>
        <v>0</v>
      </c>
      <c r="G35" s="218"/>
    </row>
    <row r="36" spans="1:7" ht="17" thickBot="1">
      <c r="A36" s="231" t="s">
        <v>493</v>
      </c>
      <c r="B36" s="232"/>
      <c r="C36" s="233">
        <f>B36*$D$10</f>
        <v>0</v>
      </c>
      <c r="G36" s="218"/>
    </row>
    <row r="37" spans="1:7" ht="17" thickBot="1">
      <c r="A37" s="226"/>
      <c r="B37" s="234" t="s">
        <v>24</v>
      </c>
      <c r="C37" s="235">
        <f>SUM(C34:C36)</f>
        <v>0</v>
      </c>
      <c r="D37" s="337" t="s">
        <v>71</v>
      </c>
      <c r="E37" s="337"/>
      <c r="F37" s="337"/>
      <c r="G37" s="338"/>
    </row>
    <row r="38" spans="1:7" ht="17" thickBot="1">
      <c r="A38" s="226"/>
      <c r="B38" s="275"/>
      <c r="C38" s="276"/>
      <c r="G38" s="218"/>
    </row>
    <row r="39" spans="1:7">
      <c r="A39" s="239" t="s">
        <v>494</v>
      </c>
      <c r="B39" s="240"/>
      <c r="C39" s="241">
        <f>B39*$D$10</f>
        <v>0</v>
      </c>
      <c r="G39" s="218"/>
    </row>
    <row r="40" spans="1:7" ht="17" thickBot="1">
      <c r="A40" s="231" t="s">
        <v>495</v>
      </c>
      <c r="B40" s="232"/>
      <c r="C40" s="233">
        <f>B40*$D$10</f>
        <v>0</v>
      </c>
      <c r="G40" s="218"/>
    </row>
    <row r="41" spans="1:7" ht="17" thickBot="1">
      <c r="A41" s="226"/>
      <c r="B41" s="234" t="s">
        <v>24</v>
      </c>
      <c r="C41" s="235">
        <f>SUM(C39:C40)</f>
        <v>0</v>
      </c>
      <c r="D41" s="337" t="s">
        <v>496</v>
      </c>
      <c r="E41" s="337"/>
      <c r="F41" s="337"/>
      <c r="G41" s="338"/>
    </row>
    <row r="42" spans="1:7" ht="17" thickBot="1">
      <c r="A42" s="226"/>
      <c r="B42" s="275"/>
      <c r="C42" s="276"/>
      <c r="G42" s="218"/>
    </row>
    <row r="43" spans="1:7" ht="17" thickBot="1">
      <c r="A43" s="236" t="s">
        <v>497</v>
      </c>
      <c r="B43" s="237"/>
      <c r="C43" s="238">
        <f>B43*$D$10</f>
        <v>0</v>
      </c>
      <c r="G43" s="218"/>
    </row>
    <row r="44" spans="1:7" ht="17" thickBot="1">
      <c r="A44" s="226"/>
      <c r="B44" s="234" t="s">
        <v>24</v>
      </c>
      <c r="C44" s="235">
        <f>C43</f>
        <v>0</v>
      </c>
      <c r="D44" s="337" t="s">
        <v>73</v>
      </c>
      <c r="E44" s="337"/>
      <c r="F44" s="337"/>
      <c r="G44" s="338"/>
    </row>
    <row r="45" spans="1:7" ht="17" thickBot="1">
      <c r="A45" s="226"/>
      <c r="B45" s="275"/>
      <c r="C45" s="276"/>
      <c r="G45" s="218"/>
    </row>
    <row r="46" spans="1:7" ht="17" thickBot="1">
      <c r="A46" s="236" t="s">
        <v>494</v>
      </c>
      <c r="B46" s="237"/>
      <c r="C46" s="238">
        <f>B46*$D$11</f>
        <v>0</v>
      </c>
      <c r="G46" s="218"/>
    </row>
    <row r="47" spans="1:7" ht="17" thickBot="1">
      <c r="A47" s="226"/>
      <c r="B47" s="234" t="s">
        <v>24</v>
      </c>
      <c r="C47" s="235">
        <f>C46</f>
        <v>0</v>
      </c>
      <c r="D47" s="337" t="s">
        <v>76</v>
      </c>
      <c r="E47" s="337"/>
      <c r="F47" s="337"/>
      <c r="G47" s="338"/>
    </row>
    <row r="48" spans="1:7" ht="17" thickBot="1">
      <c r="A48" s="226"/>
      <c r="B48" s="275"/>
      <c r="C48" s="276"/>
      <c r="G48" s="218"/>
    </row>
    <row r="49" spans="1:7">
      <c r="A49" s="239" t="s">
        <v>498</v>
      </c>
      <c r="B49" s="240"/>
      <c r="C49" s="241">
        <f>B49*$D$11</f>
        <v>0</v>
      </c>
      <c r="G49" s="218"/>
    </row>
    <row r="50" spans="1:7">
      <c r="A50" s="219" t="s">
        <v>499</v>
      </c>
      <c r="B50" s="242"/>
      <c r="C50" s="243">
        <f>B50*$D$11</f>
        <v>0</v>
      </c>
      <c r="G50" s="218"/>
    </row>
    <row r="51" spans="1:7" ht="17" thickBot="1">
      <c r="A51" s="231" t="s">
        <v>500</v>
      </c>
      <c r="B51" s="232"/>
      <c r="C51" s="233">
        <f>B51*$D$11</f>
        <v>0</v>
      </c>
      <c r="G51" s="218"/>
    </row>
    <row r="52" spans="1:7" ht="17" thickBot="1">
      <c r="A52" s="226"/>
      <c r="B52" s="234" t="s">
        <v>24</v>
      </c>
      <c r="C52" s="235">
        <f>SUM(C49:C51)</f>
        <v>0</v>
      </c>
      <c r="D52" s="337" t="s">
        <v>77</v>
      </c>
      <c r="E52" s="337"/>
      <c r="F52" s="337"/>
      <c r="G52" s="338"/>
    </row>
    <row r="53" spans="1:7" ht="17" thickBot="1">
      <c r="A53" s="226"/>
      <c r="B53" s="275"/>
      <c r="C53" s="276"/>
      <c r="G53" s="218"/>
    </row>
    <row r="54" spans="1:7">
      <c r="A54" s="239" t="s">
        <v>489</v>
      </c>
      <c r="B54" s="240"/>
      <c r="C54" s="241">
        <f>B54*$D$11</f>
        <v>0</v>
      </c>
      <c r="G54" s="218"/>
    </row>
    <row r="55" spans="1:7" ht="17" thickBot="1">
      <c r="A55" s="231" t="s">
        <v>490</v>
      </c>
      <c r="B55" s="232"/>
      <c r="C55" s="233">
        <f>B55*$D$11</f>
        <v>0</v>
      </c>
      <c r="G55" s="218"/>
    </row>
    <row r="56" spans="1:7" ht="17" thickBot="1">
      <c r="A56" s="226"/>
      <c r="B56" s="234" t="s">
        <v>24</v>
      </c>
      <c r="C56" s="235">
        <f>SUM(C54:C55)</f>
        <v>0</v>
      </c>
      <c r="D56" s="337" t="s">
        <v>79</v>
      </c>
      <c r="E56" s="337"/>
      <c r="F56" s="337"/>
      <c r="G56" s="338"/>
    </row>
    <row r="57" spans="1:7" ht="17" thickBot="1">
      <c r="A57" s="226"/>
      <c r="B57" s="275"/>
      <c r="C57" s="276"/>
      <c r="G57" s="218"/>
    </row>
    <row r="58" spans="1:7" ht="17" thickBot="1">
      <c r="A58" s="236" t="s">
        <v>501</v>
      </c>
      <c r="B58" s="237"/>
      <c r="C58" s="238">
        <f>B58*$D$11</f>
        <v>0</v>
      </c>
      <c r="G58" s="218"/>
    </row>
    <row r="59" spans="1:7" ht="17" thickBot="1">
      <c r="A59" s="226"/>
      <c r="B59" s="234" t="s">
        <v>24</v>
      </c>
      <c r="C59" s="235">
        <f>C58</f>
        <v>0</v>
      </c>
      <c r="D59" s="337" t="s">
        <v>80</v>
      </c>
      <c r="E59" s="337"/>
      <c r="F59" s="337"/>
      <c r="G59" s="338"/>
    </row>
    <row r="60" spans="1:7" ht="17" thickBot="1">
      <c r="A60" s="226"/>
      <c r="B60" s="275"/>
      <c r="C60" s="276"/>
      <c r="G60" s="218"/>
    </row>
    <row r="61" spans="1:7">
      <c r="A61" s="239" t="s">
        <v>486</v>
      </c>
      <c r="B61" s="240"/>
      <c r="C61" s="241">
        <f>B61*$D$11</f>
        <v>0</v>
      </c>
      <c r="G61" s="218"/>
    </row>
    <row r="62" spans="1:7">
      <c r="A62" s="219" t="s">
        <v>487</v>
      </c>
      <c r="B62" s="242"/>
      <c r="C62" s="243">
        <f>B62*$D$11</f>
        <v>0</v>
      </c>
      <c r="G62" s="218"/>
    </row>
    <row r="63" spans="1:7" ht="17" thickBot="1">
      <c r="A63" s="231" t="s">
        <v>488</v>
      </c>
      <c r="B63" s="232"/>
      <c r="C63" s="233">
        <f>B63*$D$11</f>
        <v>0</v>
      </c>
      <c r="G63" s="218"/>
    </row>
    <row r="64" spans="1:7" ht="17" thickBot="1">
      <c r="A64" s="226"/>
      <c r="B64" s="234" t="s">
        <v>24</v>
      </c>
      <c r="C64" s="235">
        <f>SUM(C61:C63)</f>
        <v>0</v>
      </c>
      <c r="D64" s="337" t="s">
        <v>81</v>
      </c>
      <c r="E64" s="337"/>
      <c r="F64" s="337"/>
      <c r="G64" s="338"/>
    </row>
    <row r="65" spans="1:7" ht="17" thickBot="1">
      <c r="A65" s="226"/>
      <c r="B65" s="275"/>
      <c r="C65" s="276"/>
      <c r="G65" s="218"/>
    </row>
    <row r="66" spans="1:7" ht="17" thickBot="1">
      <c r="A66" s="236" t="s">
        <v>502</v>
      </c>
      <c r="B66" s="237"/>
      <c r="C66" s="238">
        <f>B66*D11</f>
        <v>0</v>
      </c>
      <c r="G66" s="218"/>
    </row>
    <row r="67" spans="1:7" ht="17" thickBot="1">
      <c r="A67" s="226"/>
      <c r="B67" s="234" t="s">
        <v>24</v>
      </c>
      <c r="C67" s="235">
        <f>C66</f>
        <v>0</v>
      </c>
      <c r="D67" s="337" t="s">
        <v>83</v>
      </c>
      <c r="E67" s="337"/>
      <c r="F67" s="337"/>
      <c r="G67" s="338"/>
    </row>
    <row r="68" spans="1:7" ht="17" thickBot="1">
      <c r="A68" s="226"/>
      <c r="B68" s="275"/>
      <c r="C68" s="276"/>
      <c r="G68" s="218"/>
    </row>
    <row r="69" spans="1:7" ht="17" thickBot="1">
      <c r="A69" s="236" t="s">
        <v>497</v>
      </c>
      <c r="B69" s="237"/>
      <c r="C69" s="238">
        <f>B69*D11</f>
        <v>0</v>
      </c>
      <c r="G69" s="218"/>
    </row>
    <row r="70" spans="1:7" ht="17" thickBot="1">
      <c r="A70" s="226"/>
      <c r="B70" s="234" t="s">
        <v>24</v>
      </c>
      <c r="C70" s="235">
        <f>C69</f>
        <v>0</v>
      </c>
      <c r="D70" s="337" t="s">
        <v>84</v>
      </c>
      <c r="E70" s="337"/>
      <c r="F70" s="337"/>
      <c r="G70" s="338"/>
    </row>
    <row r="71" spans="1:7" ht="17" thickBot="1">
      <c r="A71" s="226"/>
      <c r="B71" s="275"/>
      <c r="C71" s="276"/>
      <c r="G71" s="218"/>
    </row>
    <row r="72" spans="1:7">
      <c r="A72" s="239" t="s">
        <v>486</v>
      </c>
      <c r="B72" s="240"/>
      <c r="C72" s="241">
        <f>B72*$D$12</f>
        <v>0</v>
      </c>
      <c r="G72" s="218"/>
    </row>
    <row r="73" spans="1:7">
      <c r="A73" s="219" t="s">
        <v>491</v>
      </c>
      <c r="B73" s="242"/>
      <c r="C73" s="243">
        <f>B73*$D$12</f>
        <v>0</v>
      </c>
      <c r="D73" s="244"/>
      <c r="G73" s="218"/>
    </row>
    <row r="74" spans="1:7" ht="17" thickBot="1">
      <c r="A74" s="231" t="s">
        <v>492</v>
      </c>
      <c r="B74" s="232"/>
      <c r="C74" s="233">
        <f>B74*$D$12</f>
        <v>0</v>
      </c>
      <c r="D74" s="244"/>
      <c r="G74" s="218"/>
    </row>
    <row r="75" spans="1:7" ht="17" thickBot="1">
      <c r="A75" s="226"/>
      <c r="B75" s="234" t="s">
        <v>24</v>
      </c>
      <c r="C75" s="235">
        <f>SUM(C72:C74)</f>
        <v>0</v>
      </c>
      <c r="D75" s="337" t="s">
        <v>86</v>
      </c>
      <c r="E75" s="337"/>
      <c r="F75" s="337"/>
      <c r="G75" s="338"/>
    </row>
    <row r="76" spans="1:7" ht="17" thickBot="1">
      <c r="A76" s="226"/>
      <c r="B76" s="275"/>
      <c r="C76" s="276"/>
      <c r="G76" s="218"/>
    </row>
    <row r="77" spans="1:7" ht="17" thickBot="1">
      <c r="A77" s="236" t="s">
        <v>489</v>
      </c>
      <c r="B77" s="237"/>
      <c r="C77" s="238">
        <f>B77*D12</f>
        <v>0</v>
      </c>
      <c r="G77" s="218"/>
    </row>
    <row r="78" spans="1:7" ht="17" thickBot="1">
      <c r="A78" s="226"/>
      <c r="B78" s="234" t="s">
        <v>24</v>
      </c>
      <c r="C78" s="235">
        <f>C77</f>
        <v>0</v>
      </c>
      <c r="D78" s="337" t="s">
        <v>87</v>
      </c>
      <c r="E78" s="337"/>
      <c r="F78" s="337"/>
      <c r="G78" s="338"/>
    </row>
    <row r="79" spans="1:7" ht="17" thickBot="1">
      <c r="A79" s="226"/>
      <c r="B79" s="275"/>
      <c r="C79" s="276"/>
      <c r="G79" s="218"/>
    </row>
    <row r="80" spans="1:7" ht="17" thickBot="1">
      <c r="A80" s="236" t="s">
        <v>493</v>
      </c>
      <c r="B80" s="237"/>
      <c r="C80" s="238">
        <f>B80*$D$12</f>
        <v>0</v>
      </c>
      <c r="G80" s="218"/>
    </row>
    <row r="81" spans="1:10" ht="17" thickBot="1">
      <c r="A81" s="226"/>
      <c r="B81" s="234" t="s">
        <v>24</v>
      </c>
      <c r="C81" s="235">
        <f>C80</f>
        <v>0</v>
      </c>
      <c r="D81" s="337" t="s">
        <v>88</v>
      </c>
      <c r="E81" s="337"/>
      <c r="F81" s="337"/>
      <c r="G81" s="338"/>
    </row>
    <row r="82" spans="1:10" ht="17" thickBot="1">
      <c r="A82" s="226"/>
      <c r="B82" s="210"/>
      <c r="C82" s="210"/>
      <c r="G82" s="218"/>
    </row>
    <row r="83" spans="1:10" ht="17" thickBot="1">
      <c r="A83" s="236" t="s">
        <v>503</v>
      </c>
      <c r="B83" s="237"/>
      <c r="C83" s="238">
        <f>B83*$D$12</f>
        <v>0</v>
      </c>
      <c r="G83" s="218"/>
    </row>
    <row r="84" spans="1:10" ht="17" thickBot="1">
      <c r="A84" s="226"/>
      <c r="B84" s="234" t="s">
        <v>24</v>
      </c>
      <c r="C84" s="235">
        <f>C83</f>
        <v>0</v>
      </c>
      <c r="D84" s="337" t="s">
        <v>89</v>
      </c>
      <c r="E84" s="337"/>
      <c r="F84" s="337"/>
      <c r="G84" s="338"/>
    </row>
    <row r="85" spans="1:10" ht="17" thickBot="1">
      <c r="A85" s="226"/>
      <c r="B85" s="275"/>
      <c r="C85" s="275"/>
      <c r="G85" s="218"/>
    </row>
    <row r="86" spans="1:10" ht="17" thickBot="1">
      <c r="A86" s="236" t="s">
        <v>504</v>
      </c>
      <c r="B86" s="245"/>
      <c r="C86" s="238">
        <f>C17+C20+C28+C32+C37+C41+C44+C47+C52+C56+C64+C70+C75+C78+C81+C84</f>
        <v>0</v>
      </c>
      <c r="G86" s="218"/>
    </row>
    <row r="87" spans="1:10" ht="17" thickBot="1">
      <c r="A87" s="246"/>
      <c r="B87" s="234" t="s">
        <v>24</v>
      </c>
      <c r="C87" s="235">
        <f>C86</f>
        <v>0</v>
      </c>
      <c r="D87" s="337" t="s">
        <v>91</v>
      </c>
      <c r="E87" s="337"/>
      <c r="F87" s="337"/>
      <c r="G87" s="338"/>
      <c r="J87" s="250"/>
    </row>
    <row r="88" spans="1:10">
      <c r="A88" s="210"/>
      <c r="B88" s="210"/>
      <c r="C88" s="210"/>
    </row>
    <row r="89" spans="1:10" hidden="1">
      <c r="A89" s="210"/>
      <c r="B89" s="210" t="s">
        <v>482</v>
      </c>
      <c r="C89" s="251">
        <f>C87+C84+C81+C78+C75+C70+C67+C64+C59+C56+C52+C47+C44+C41+C37+C32+C28+C23+C20+C17</f>
        <v>0</v>
      </c>
    </row>
    <row r="90" spans="1:10">
      <c r="A90" s="210"/>
      <c r="B90" s="210"/>
      <c r="C90" s="210"/>
    </row>
    <row r="91" spans="1:10">
      <c r="A91" s="210"/>
      <c r="B91" s="210"/>
      <c r="C91" s="210"/>
    </row>
    <row r="92" spans="1:10">
      <c r="A92" s="210"/>
      <c r="B92" s="210"/>
      <c r="C92" s="210"/>
    </row>
    <row r="93" spans="1:10">
      <c r="A93" s="210"/>
      <c r="B93" s="210"/>
      <c r="C93" s="210"/>
    </row>
    <row r="94" spans="1:10">
      <c r="A94" s="210"/>
      <c r="B94" s="210"/>
      <c r="C94" s="210"/>
    </row>
    <row r="95" spans="1:10">
      <c r="A95" s="210"/>
      <c r="B95" s="210"/>
      <c r="C95" s="210"/>
    </row>
    <row r="96" spans="1:10">
      <c r="A96" s="210"/>
      <c r="B96" s="210"/>
      <c r="C96" s="210"/>
    </row>
    <row r="97" spans="1:3">
      <c r="A97" s="210"/>
      <c r="B97" s="210"/>
      <c r="C97" s="210"/>
    </row>
    <row r="98" spans="1:3">
      <c r="A98" s="210"/>
      <c r="B98" s="210"/>
      <c r="C98" s="210"/>
    </row>
    <row r="99" spans="1:3">
      <c r="A99" s="210"/>
      <c r="B99" s="210"/>
      <c r="C99" s="210"/>
    </row>
    <row r="100" spans="1:3">
      <c r="A100" s="210"/>
      <c r="B100" s="210"/>
      <c r="C100" s="210"/>
    </row>
    <row r="101" spans="1:3">
      <c r="A101" s="210"/>
      <c r="B101" s="210"/>
      <c r="C101" s="210"/>
    </row>
    <row r="102" spans="1:3">
      <c r="A102" s="210"/>
      <c r="B102" s="210"/>
      <c r="C102" s="210"/>
    </row>
    <row r="103" spans="1:3">
      <c r="A103" s="210"/>
      <c r="B103" s="210"/>
      <c r="C103" s="210"/>
    </row>
    <row r="104" spans="1:3">
      <c r="A104" s="210"/>
      <c r="B104" s="210"/>
      <c r="C104" s="210"/>
    </row>
    <row r="105" spans="1:3">
      <c r="A105" s="210"/>
      <c r="B105" s="210"/>
      <c r="C105" s="210"/>
    </row>
    <row r="106" spans="1:3">
      <c r="A106" s="210"/>
      <c r="B106" s="210"/>
      <c r="C106" s="210"/>
    </row>
    <row r="107" spans="1:3">
      <c r="A107" s="210"/>
      <c r="B107" s="210"/>
      <c r="C107" s="210"/>
    </row>
    <row r="108" spans="1:3">
      <c r="A108" s="210"/>
      <c r="B108" s="210"/>
      <c r="C108" s="210"/>
    </row>
    <row r="109" spans="1:3">
      <c r="A109" s="210"/>
      <c r="B109" s="210"/>
      <c r="C109" s="210"/>
    </row>
    <row r="110" spans="1:3">
      <c r="A110" s="210"/>
      <c r="B110" s="210"/>
      <c r="C110" s="210"/>
    </row>
    <row r="111" spans="1:3">
      <c r="A111" s="210"/>
      <c r="B111" s="210"/>
      <c r="C111" s="210"/>
    </row>
    <row r="112" spans="1:3">
      <c r="A112" s="210"/>
      <c r="B112" s="210"/>
      <c r="C112" s="210"/>
    </row>
    <row r="113" spans="1:3">
      <c r="A113" s="210"/>
      <c r="B113" s="210"/>
      <c r="C113" s="210"/>
    </row>
    <row r="114" spans="1:3">
      <c r="A114" s="210"/>
      <c r="B114" s="210"/>
      <c r="C114" s="210"/>
    </row>
    <row r="115" spans="1:3">
      <c r="A115" s="210"/>
      <c r="B115" s="210"/>
      <c r="C115" s="210"/>
    </row>
    <row r="116" spans="1:3">
      <c r="A116" s="210"/>
      <c r="B116" s="210"/>
      <c r="C116" s="210"/>
    </row>
    <row r="117" spans="1:3">
      <c r="A117" s="210"/>
      <c r="B117" s="210"/>
      <c r="C117" s="210"/>
    </row>
    <row r="118" spans="1:3">
      <c r="A118" s="210"/>
      <c r="B118" s="210"/>
      <c r="C118" s="210"/>
    </row>
    <row r="119" spans="1:3">
      <c r="A119" s="210"/>
      <c r="B119" s="210"/>
      <c r="C119" s="210"/>
    </row>
    <row r="120" spans="1:3">
      <c r="A120" s="210"/>
      <c r="B120" s="210"/>
      <c r="C120" s="210"/>
    </row>
    <row r="121" spans="1:3">
      <c r="A121" s="210"/>
      <c r="B121" s="210"/>
      <c r="C121" s="210"/>
    </row>
    <row r="122" spans="1:3">
      <c r="A122" s="210"/>
      <c r="B122" s="210"/>
      <c r="C122" s="210"/>
    </row>
    <row r="123" spans="1:3">
      <c r="A123" s="210"/>
      <c r="B123" s="210"/>
      <c r="C123" s="210"/>
    </row>
    <row r="124" spans="1:3">
      <c r="A124" s="210"/>
      <c r="B124" s="210"/>
      <c r="C124" s="210"/>
    </row>
    <row r="125" spans="1:3">
      <c r="A125" s="210"/>
      <c r="B125" s="210"/>
      <c r="C125" s="210"/>
    </row>
    <row r="126" spans="1:3">
      <c r="A126" s="210"/>
      <c r="B126" s="210"/>
      <c r="C126" s="210"/>
    </row>
    <row r="127" spans="1:3">
      <c r="A127" s="210"/>
      <c r="B127" s="210"/>
      <c r="C127" s="210"/>
    </row>
    <row r="128" spans="1:3">
      <c r="A128" s="210"/>
      <c r="B128" s="210"/>
      <c r="C128" s="210"/>
    </row>
    <row r="129" spans="1:3">
      <c r="A129" s="210"/>
      <c r="B129" s="210"/>
      <c r="C129" s="210"/>
    </row>
    <row r="130" spans="1:3">
      <c r="A130" s="210"/>
      <c r="B130" s="210"/>
      <c r="C130" s="210"/>
    </row>
    <row r="131" spans="1:3">
      <c r="A131" s="210"/>
      <c r="B131" s="210"/>
      <c r="C131" s="210"/>
    </row>
    <row r="132" spans="1:3">
      <c r="A132" s="210"/>
      <c r="B132" s="210"/>
      <c r="C132" s="210"/>
    </row>
    <row r="133" spans="1:3">
      <c r="A133" s="210"/>
      <c r="B133" s="210"/>
      <c r="C133" s="210"/>
    </row>
    <row r="134" spans="1:3">
      <c r="A134" s="210"/>
      <c r="B134" s="210"/>
      <c r="C134" s="210"/>
    </row>
    <row r="135" spans="1:3">
      <c r="A135" s="210"/>
      <c r="B135" s="210"/>
      <c r="C135" s="210"/>
    </row>
    <row r="136" spans="1:3">
      <c r="A136" s="210"/>
      <c r="B136" s="210"/>
      <c r="C136" s="210"/>
    </row>
    <row r="137" spans="1:3">
      <c r="A137" s="210"/>
      <c r="B137" s="210"/>
      <c r="C137" s="210"/>
    </row>
    <row r="138" spans="1:3">
      <c r="A138" s="210"/>
      <c r="B138" s="210"/>
      <c r="C138" s="210"/>
    </row>
    <row r="139" spans="1:3">
      <c r="A139" s="210"/>
      <c r="B139" s="210"/>
      <c r="C139" s="210"/>
    </row>
    <row r="140" spans="1:3">
      <c r="A140" s="210"/>
      <c r="B140" s="210"/>
      <c r="C140" s="210"/>
    </row>
    <row r="141" spans="1:3">
      <c r="A141" s="210"/>
      <c r="B141" s="210"/>
      <c r="C141" s="210"/>
    </row>
    <row r="142" spans="1:3">
      <c r="A142" s="210"/>
      <c r="B142" s="210"/>
      <c r="C142" s="210"/>
    </row>
    <row r="143" spans="1:3">
      <c r="A143" s="210"/>
      <c r="B143" s="210"/>
      <c r="C143" s="210"/>
    </row>
    <row r="144" spans="1:3">
      <c r="A144" s="210"/>
      <c r="B144" s="210"/>
      <c r="C144" s="210"/>
    </row>
    <row r="145" spans="1:3">
      <c r="A145" s="210"/>
      <c r="B145" s="210"/>
      <c r="C145" s="210"/>
    </row>
    <row r="146" spans="1:3">
      <c r="A146" s="210"/>
      <c r="B146" s="210"/>
      <c r="C146" s="210"/>
    </row>
    <row r="147" spans="1:3">
      <c r="A147" s="210"/>
      <c r="B147" s="210"/>
      <c r="C147" s="210"/>
    </row>
    <row r="148" spans="1:3">
      <c r="A148" s="210"/>
      <c r="B148" s="210"/>
      <c r="C148" s="210"/>
    </row>
  </sheetData>
  <dataConsolidate link="1"/>
  <mergeCells count="28">
    <mergeCell ref="D78:G78"/>
    <mergeCell ref="D81:G81"/>
    <mergeCell ref="D84:G84"/>
    <mergeCell ref="D87:G87"/>
    <mergeCell ref="D56:G56"/>
    <mergeCell ref="D59:G59"/>
    <mergeCell ref="D64:G64"/>
    <mergeCell ref="D67:G67"/>
    <mergeCell ref="D70:G70"/>
    <mergeCell ref="D75:G75"/>
    <mergeCell ref="D52:G52"/>
    <mergeCell ref="A14:G14"/>
    <mergeCell ref="D15:G16"/>
    <mergeCell ref="D17:G17"/>
    <mergeCell ref="D20:G20"/>
    <mergeCell ref="D23:G23"/>
    <mergeCell ref="D28:G28"/>
    <mergeCell ref="D32:G32"/>
    <mergeCell ref="D37:G37"/>
    <mergeCell ref="D41:G41"/>
    <mergeCell ref="D44:G44"/>
    <mergeCell ref="D47:G47"/>
    <mergeCell ref="A7:D7"/>
    <mergeCell ref="B2:G2"/>
    <mergeCell ref="B3:G3"/>
    <mergeCell ref="A1:G1"/>
    <mergeCell ref="B4:C4"/>
    <mergeCell ref="B5:C5"/>
  </mergeCells>
  <dataValidations disablePrompts="1" count="1">
    <dataValidation type="whole" errorStyle="warning" allowBlank="1" showInputMessage="1" showErrorMessage="1" errorTitle="Warning" error="Cell Contains Formula. Click &quot;Yes&quot; to Continue." sqref="C4:C5 G18:G1048576 G8:G13 B2:B5 G4:G6" xr:uid="{50799E41-5BEF-4288-BF40-83A4D44AE891}">
      <formula1>-10000</formula1>
      <formula2>-9999</formula2>
    </dataValidation>
  </dataValidations>
  <pageMargins left="0.35" right="0.35" top="0.5" bottom="0.55000000000000004" header="0.25" footer="0.25"/>
  <pageSetup scale="58" fitToHeight="0" orientation="portrait" r:id="rId1"/>
  <headerFooter>
    <oddFooter>&amp;LPort of Portland – Soft Cost Details&amp;CPage &amp;P of &amp;N&amp;RPrinted: &amp;D &amp;T</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92D050"/>
    <pageSetUpPr fitToPage="1"/>
  </sheetPr>
  <dimension ref="A1:U47"/>
  <sheetViews>
    <sheetView showGridLines="0" tabSelected="1" zoomScale="70" zoomScaleNormal="70" workbookViewId="0">
      <selection activeCell="W34" sqref="W34"/>
    </sheetView>
  </sheetViews>
  <sheetFormatPr baseColWidth="10" defaultColWidth="9.3984375" defaultRowHeight="13"/>
  <cols>
    <col min="1" max="1" width="3.59765625" style="12" customWidth="1"/>
    <col min="2" max="2" width="15.3984375" style="12" customWidth="1"/>
    <col min="3" max="3" width="25.3984375" style="12" customWidth="1"/>
    <col min="4" max="8" width="27.3984375" style="12" customWidth="1"/>
    <col min="9" max="10" width="38.3984375" style="12" customWidth="1"/>
    <col min="11" max="11" width="8.3984375" style="12" customWidth="1"/>
    <col min="12" max="15" width="9.3984375" style="12"/>
    <col min="16" max="16" width="45" style="12" bestFit="1" customWidth="1"/>
    <col min="17" max="17" width="9.3984375" style="12"/>
    <col min="18" max="18" width="0" style="12" hidden="1" customWidth="1"/>
    <col min="19" max="21" width="9.3984375" style="12" hidden="1" customWidth="1"/>
    <col min="22" max="22" width="0" style="12" hidden="1" customWidth="1"/>
    <col min="23" max="16384" width="9.3984375" style="12"/>
  </cols>
  <sheetData>
    <row r="1" spans="1:13" ht="7.5" customHeight="1">
      <c r="A1" s="165"/>
      <c r="B1" s="166"/>
      <c r="C1" s="166"/>
      <c r="D1" s="166"/>
      <c r="E1" s="166"/>
      <c r="F1" s="166"/>
      <c r="G1" s="166"/>
      <c r="H1" s="166"/>
      <c r="I1" s="166"/>
      <c r="J1" s="166"/>
      <c r="K1" s="167"/>
    </row>
    <row r="2" spans="1:13" s="14" customFormat="1" ht="7.5" customHeight="1">
      <c r="A2" s="168"/>
      <c r="B2" s="13"/>
      <c r="C2" s="13"/>
      <c r="D2" s="13"/>
      <c r="E2" s="13"/>
      <c r="F2" s="13"/>
      <c r="G2" s="13"/>
      <c r="H2" s="13"/>
      <c r="I2" s="13"/>
      <c r="J2" s="13"/>
      <c r="K2" s="169"/>
    </row>
    <row r="3" spans="1:13" ht="26.25" customHeight="1">
      <c r="A3" s="170"/>
      <c r="B3" s="15" t="s">
        <v>505</v>
      </c>
      <c r="C3" s="15"/>
      <c r="D3" s="15"/>
      <c r="E3" s="15"/>
      <c r="F3" s="15"/>
      <c r="G3" s="15"/>
      <c r="H3" s="15"/>
      <c r="I3" s="15"/>
      <c r="J3" s="15"/>
      <c r="K3" s="171"/>
    </row>
    <row r="4" spans="1:13" ht="6.75" customHeight="1">
      <c r="A4" s="170"/>
      <c r="B4" s="15"/>
      <c r="C4" s="15"/>
      <c r="D4" s="15"/>
      <c r="E4" s="15"/>
      <c r="F4" s="15"/>
      <c r="G4" s="15"/>
      <c r="H4" s="15"/>
      <c r="I4" s="15"/>
      <c r="J4" s="15"/>
      <c r="K4" s="171"/>
    </row>
    <row r="5" spans="1:13" ht="16.5" customHeight="1">
      <c r="A5" s="168"/>
      <c r="B5" s="13"/>
      <c r="C5" s="13"/>
      <c r="D5" s="13"/>
      <c r="E5" s="13"/>
      <c r="F5" s="13"/>
      <c r="G5" s="13"/>
      <c r="H5" s="16"/>
      <c r="I5" s="13"/>
      <c r="J5" s="13"/>
      <c r="K5" s="169"/>
    </row>
    <row r="6" spans="1:13" ht="22.5" customHeight="1">
      <c r="A6" s="168"/>
      <c r="B6" s="344" t="s">
        <v>103</v>
      </c>
      <c r="C6" s="344"/>
      <c r="D6" s="344"/>
      <c r="E6" s="348" t="str">
        <f>IF(Summary!B3&lt;&gt;"",Summary!B3,"")</f>
        <v/>
      </c>
      <c r="F6" s="349"/>
      <c r="G6" s="349"/>
      <c r="H6" s="349"/>
      <c r="I6" s="349"/>
      <c r="J6" s="349"/>
      <c r="K6" s="169"/>
      <c r="M6" s="17"/>
    </row>
    <row r="7" spans="1:13" ht="22.5" customHeight="1">
      <c r="A7" s="168"/>
      <c r="B7" s="344" t="s">
        <v>105</v>
      </c>
      <c r="C7" s="344"/>
      <c r="D7" s="344"/>
      <c r="E7" s="348" t="str">
        <f>IF(Summary!B4&lt;&gt;"",Summary!B4,"")</f>
        <v/>
      </c>
      <c r="F7" s="349"/>
      <c r="G7" s="349"/>
      <c r="H7" s="349"/>
      <c r="I7" s="349"/>
      <c r="J7" s="349"/>
      <c r="K7" s="169"/>
    </row>
    <row r="8" spans="1:13" ht="22.5" customHeight="1">
      <c r="A8" s="168"/>
      <c r="B8" s="344" t="s">
        <v>506</v>
      </c>
      <c r="C8" s="344"/>
      <c r="D8" s="344"/>
      <c r="E8" s="350" t="str">
        <f>IF(Summary!B9&lt;&gt;"",Summary!B9,"")</f>
        <v/>
      </c>
      <c r="F8" s="351"/>
      <c r="G8" s="351"/>
      <c r="H8" s="351"/>
      <c r="I8" s="351"/>
      <c r="J8" s="351"/>
      <c r="K8" s="169"/>
    </row>
    <row r="9" spans="1:13" ht="22.5" customHeight="1">
      <c r="A9" s="168"/>
      <c r="B9" s="344" t="s">
        <v>507</v>
      </c>
      <c r="C9" s="344"/>
      <c r="D9" s="344"/>
      <c r="E9" s="345" t="str">
        <f>IF(Summary!B8&lt;&gt;"",Summary!B8,"")</f>
        <v/>
      </c>
      <c r="F9" s="346"/>
      <c r="G9" s="346"/>
      <c r="H9" s="346"/>
      <c r="I9" s="346"/>
      <c r="J9" s="346"/>
      <c r="K9" s="169"/>
    </row>
    <row r="10" spans="1:13">
      <c r="A10" s="168"/>
      <c r="B10" s="13"/>
      <c r="C10" s="13"/>
      <c r="D10" s="13"/>
      <c r="E10" s="13"/>
      <c r="F10" s="13"/>
      <c r="G10" s="13"/>
      <c r="H10" s="13"/>
      <c r="I10" s="13"/>
      <c r="J10" s="13"/>
      <c r="K10" s="169"/>
    </row>
    <row r="11" spans="1:13">
      <c r="A11" s="168"/>
      <c r="B11" s="24"/>
      <c r="C11" s="24"/>
      <c r="D11" s="25"/>
      <c r="E11" s="25"/>
      <c r="F11" s="25"/>
      <c r="G11" s="25"/>
      <c r="H11" s="26"/>
      <c r="I11" s="25"/>
      <c r="J11" s="25"/>
      <c r="K11" s="169"/>
    </row>
    <row r="12" spans="1:13" ht="18">
      <c r="A12" s="168"/>
      <c r="B12" s="27" t="s">
        <v>508</v>
      </c>
      <c r="C12" s="24"/>
      <c r="D12" s="25"/>
      <c r="E12" s="25"/>
      <c r="F12" s="25"/>
      <c r="G12" s="25"/>
      <c r="H12" s="26"/>
      <c r="I12" s="25"/>
      <c r="J12" s="25"/>
      <c r="K12" s="169"/>
    </row>
    <row r="13" spans="1:13">
      <c r="A13" s="168"/>
      <c r="B13" s="13"/>
      <c r="C13" s="13"/>
      <c r="D13" s="13"/>
      <c r="E13" s="13"/>
      <c r="F13" s="13"/>
      <c r="G13" s="13"/>
      <c r="H13" s="13"/>
      <c r="I13" s="13"/>
      <c r="J13" s="13"/>
      <c r="K13" s="169"/>
    </row>
    <row r="14" spans="1:13">
      <c r="A14" s="168"/>
      <c r="B14" s="13"/>
      <c r="C14" s="13"/>
      <c r="D14" s="13"/>
      <c r="E14" s="13"/>
      <c r="F14" s="13"/>
      <c r="G14" s="13"/>
      <c r="H14" s="13"/>
      <c r="I14" s="13"/>
      <c r="J14" s="13"/>
      <c r="K14" s="169"/>
    </row>
    <row r="15" spans="1:13">
      <c r="A15" s="168"/>
      <c r="B15" s="13"/>
      <c r="C15" s="13"/>
      <c r="D15" s="13"/>
      <c r="E15" s="13"/>
      <c r="F15" s="13"/>
      <c r="G15" s="13"/>
      <c r="H15" s="13"/>
      <c r="I15" s="13"/>
      <c r="J15" s="13"/>
      <c r="K15" s="169"/>
    </row>
    <row r="16" spans="1:13">
      <c r="A16" s="168"/>
      <c r="B16" s="13"/>
      <c r="C16" s="13"/>
      <c r="D16" s="13"/>
      <c r="E16" s="13"/>
      <c r="F16" s="13"/>
      <c r="G16" s="13"/>
      <c r="H16" s="13"/>
      <c r="I16" s="13"/>
      <c r="J16" s="13"/>
      <c r="K16" s="169"/>
    </row>
    <row r="17" spans="1:11">
      <c r="A17" s="168"/>
      <c r="B17" s="13"/>
      <c r="C17" s="13"/>
      <c r="D17" s="13"/>
      <c r="E17" s="13"/>
      <c r="F17" s="13"/>
      <c r="G17" s="13"/>
      <c r="H17" s="13"/>
      <c r="I17" s="13"/>
      <c r="J17" s="13"/>
      <c r="K17" s="169"/>
    </row>
    <row r="18" spans="1:11">
      <c r="A18" s="168"/>
      <c r="B18" s="13"/>
      <c r="C18" s="13"/>
      <c r="D18" s="13"/>
      <c r="E18" s="13"/>
      <c r="F18" s="13"/>
      <c r="G18" s="13"/>
      <c r="H18" s="13"/>
      <c r="I18" s="13"/>
      <c r="J18" s="13"/>
      <c r="K18" s="169"/>
    </row>
    <row r="19" spans="1:11">
      <c r="A19" s="168"/>
      <c r="B19" s="13"/>
      <c r="C19" s="13"/>
      <c r="D19" s="13"/>
      <c r="E19" s="13"/>
      <c r="F19" s="13"/>
      <c r="G19" s="13"/>
      <c r="H19" s="13"/>
      <c r="I19" s="13"/>
      <c r="J19" s="13"/>
      <c r="K19" s="169"/>
    </row>
    <row r="20" spans="1:11">
      <c r="A20" s="168"/>
      <c r="B20" s="13"/>
      <c r="C20" s="13"/>
      <c r="D20" s="13"/>
      <c r="E20" s="13"/>
      <c r="F20" s="13"/>
      <c r="G20" s="13"/>
      <c r="H20" s="13"/>
      <c r="I20" s="13"/>
      <c r="J20" s="13"/>
      <c r="K20" s="169"/>
    </row>
    <row r="21" spans="1:11">
      <c r="A21" s="168"/>
      <c r="B21" s="13"/>
      <c r="C21" s="13"/>
      <c r="D21" s="13"/>
      <c r="E21" s="13"/>
      <c r="F21" s="13"/>
      <c r="G21" s="13"/>
      <c r="H21" s="13"/>
      <c r="I21" s="13"/>
      <c r="J21" s="13"/>
      <c r="K21" s="169"/>
    </row>
    <row r="22" spans="1:11">
      <c r="A22" s="168"/>
      <c r="B22" s="13"/>
      <c r="C22" s="13"/>
      <c r="D22" s="13"/>
      <c r="E22" s="13"/>
      <c r="F22" s="13"/>
      <c r="G22" s="13"/>
      <c r="H22" s="13"/>
      <c r="I22" s="13"/>
      <c r="J22" s="13"/>
      <c r="K22" s="169"/>
    </row>
    <row r="23" spans="1:11">
      <c r="A23" s="168"/>
      <c r="B23" s="13"/>
      <c r="C23" s="13"/>
      <c r="D23" s="13"/>
      <c r="E23" s="13"/>
      <c r="F23" s="13"/>
      <c r="G23" s="13"/>
      <c r="H23" s="13"/>
      <c r="I23" s="13"/>
      <c r="J23" s="13"/>
      <c r="K23" s="169"/>
    </row>
    <row r="24" spans="1:11">
      <c r="A24" s="168"/>
      <c r="B24" s="13"/>
      <c r="C24" s="13"/>
      <c r="D24" s="13"/>
      <c r="E24" s="13"/>
      <c r="F24" s="13"/>
      <c r="G24" s="13"/>
      <c r="H24" s="13"/>
      <c r="I24" s="13"/>
      <c r="J24" s="13"/>
      <c r="K24" s="169"/>
    </row>
    <row r="25" spans="1:11">
      <c r="A25" s="168"/>
      <c r="B25" s="13"/>
      <c r="C25" s="13"/>
      <c r="D25" s="13"/>
      <c r="E25" s="13"/>
      <c r="F25" s="13"/>
      <c r="G25" s="13"/>
      <c r="H25" s="13"/>
      <c r="I25" s="13"/>
      <c r="J25" s="13"/>
      <c r="K25" s="169"/>
    </row>
    <row r="26" spans="1:11">
      <c r="A26" s="168"/>
      <c r="B26" s="13"/>
      <c r="C26" s="13"/>
      <c r="D26" s="13"/>
      <c r="E26" s="13"/>
      <c r="F26" s="13"/>
      <c r="G26" s="13"/>
      <c r="H26" s="13"/>
      <c r="I26" s="13"/>
      <c r="J26" s="13"/>
      <c r="K26" s="169"/>
    </row>
    <row r="27" spans="1:11">
      <c r="A27" s="168"/>
      <c r="B27" s="13"/>
      <c r="C27" s="13"/>
      <c r="D27" s="13"/>
      <c r="E27" s="13"/>
      <c r="F27" s="13"/>
      <c r="G27" s="13"/>
      <c r="H27" s="13"/>
      <c r="I27" s="13"/>
      <c r="J27" s="13"/>
      <c r="K27" s="169"/>
    </row>
    <row r="28" spans="1:11">
      <c r="A28" s="168"/>
      <c r="B28" s="13"/>
      <c r="C28" s="13"/>
      <c r="D28" s="13"/>
      <c r="E28" s="13"/>
      <c r="F28" s="13"/>
      <c r="G28" s="13"/>
      <c r="H28" s="13"/>
      <c r="I28" s="13"/>
      <c r="J28" s="13"/>
      <c r="K28" s="169"/>
    </row>
    <row r="29" spans="1:11">
      <c r="A29" s="168"/>
      <c r="B29" s="13"/>
      <c r="C29" s="13"/>
      <c r="D29" s="13"/>
      <c r="E29" s="13"/>
      <c r="F29" s="13"/>
      <c r="G29" s="13"/>
      <c r="H29" s="13"/>
      <c r="I29" s="13"/>
      <c r="J29" s="13"/>
      <c r="K29" s="169"/>
    </row>
    <row r="30" spans="1:11">
      <c r="A30" s="168"/>
      <c r="B30" s="13"/>
      <c r="C30" s="13"/>
      <c r="D30" s="13"/>
      <c r="E30" s="13"/>
      <c r="F30" s="13"/>
      <c r="G30" s="13"/>
      <c r="H30" s="13"/>
      <c r="I30" s="13"/>
      <c r="J30" s="13"/>
      <c r="K30" s="169"/>
    </row>
    <row r="31" spans="1:11">
      <c r="A31" s="168"/>
      <c r="B31" s="13"/>
      <c r="C31" s="13"/>
      <c r="D31" s="13"/>
      <c r="E31" s="13"/>
      <c r="F31" s="13"/>
      <c r="G31" s="13"/>
      <c r="H31" s="13"/>
      <c r="I31" s="13"/>
      <c r="J31" s="13"/>
      <c r="K31" s="169"/>
    </row>
    <row r="32" spans="1:11">
      <c r="A32" s="168"/>
      <c r="B32" s="13"/>
      <c r="C32" s="13"/>
      <c r="D32" s="13"/>
      <c r="E32" s="13"/>
      <c r="F32" s="13"/>
      <c r="G32" s="13"/>
      <c r="H32" s="13"/>
      <c r="I32" s="13"/>
      <c r="J32" s="13"/>
      <c r="K32" s="169"/>
    </row>
    <row r="33" spans="1:11">
      <c r="A33" s="168"/>
      <c r="B33" s="13"/>
      <c r="C33" s="13"/>
      <c r="D33" s="13"/>
      <c r="E33" s="13"/>
      <c r="F33" s="13"/>
      <c r="G33" s="13"/>
      <c r="H33" s="13"/>
      <c r="I33" s="13"/>
      <c r="J33" s="13"/>
      <c r="K33" s="169"/>
    </row>
    <row r="34" spans="1:11">
      <c r="A34" s="168"/>
      <c r="B34" s="13"/>
      <c r="C34" s="13"/>
      <c r="D34" s="13"/>
      <c r="E34" s="13"/>
      <c r="F34" s="13"/>
      <c r="G34" s="13"/>
      <c r="H34" s="13"/>
      <c r="I34" s="13"/>
      <c r="J34" s="13"/>
      <c r="K34" s="169"/>
    </row>
    <row r="35" spans="1:11">
      <c r="A35" s="168"/>
      <c r="B35" s="13"/>
      <c r="C35" s="13"/>
      <c r="D35" s="13"/>
      <c r="E35" s="13"/>
      <c r="F35" s="13"/>
      <c r="G35" s="13"/>
      <c r="H35" s="13"/>
      <c r="I35" s="13"/>
      <c r="J35" s="13"/>
      <c r="K35" s="169"/>
    </row>
    <row r="36" spans="1:11" ht="16">
      <c r="A36" s="168"/>
      <c r="B36" s="21" t="s">
        <v>509</v>
      </c>
      <c r="C36" s="13"/>
      <c r="D36" s="13"/>
      <c r="E36" s="13"/>
      <c r="F36" s="13"/>
      <c r="G36" s="13"/>
      <c r="H36" s="13"/>
      <c r="I36" s="13"/>
      <c r="J36" s="13"/>
      <c r="K36" s="169"/>
    </row>
    <row r="37" spans="1:11" ht="18" customHeight="1">
      <c r="A37" s="168"/>
      <c r="B37" s="13"/>
      <c r="C37" s="13"/>
      <c r="D37" s="13"/>
      <c r="E37" s="13"/>
      <c r="F37" s="13"/>
      <c r="G37" s="13"/>
      <c r="H37" s="13"/>
      <c r="I37" s="13"/>
      <c r="J37" s="13"/>
      <c r="K37" s="169"/>
    </row>
    <row r="38" spans="1:11" s="20" customFormat="1" ht="18">
      <c r="A38" s="172"/>
      <c r="B38" s="18" t="s">
        <v>510</v>
      </c>
      <c r="C38" s="19"/>
      <c r="D38" s="19"/>
      <c r="E38" s="19"/>
      <c r="F38" s="19"/>
      <c r="G38" s="19"/>
      <c r="H38" s="19"/>
      <c r="I38" s="19"/>
      <c r="J38" s="19"/>
      <c r="K38" s="173"/>
    </row>
    <row r="39" spans="1:11" s="23" customFormat="1" ht="17.25" customHeight="1">
      <c r="A39" s="174"/>
      <c r="B39" s="21" t="s">
        <v>511</v>
      </c>
      <c r="C39" s="22"/>
      <c r="D39" s="22"/>
      <c r="E39" s="22"/>
      <c r="F39" s="22"/>
      <c r="G39" s="55"/>
      <c r="H39" s="22"/>
      <c r="I39" s="347" t="s">
        <v>512</v>
      </c>
      <c r="J39" s="347"/>
      <c r="K39" s="175"/>
    </row>
    <row r="40" spans="1:11" s="23" customFormat="1" ht="17.25" customHeight="1">
      <c r="A40" s="174"/>
      <c r="B40" s="151"/>
      <c r="C40" s="152"/>
      <c r="D40" s="150" t="s">
        <v>513</v>
      </c>
      <c r="E40" s="149" t="s">
        <v>514</v>
      </c>
      <c r="F40" s="149" t="s">
        <v>515</v>
      </c>
      <c r="G40" s="149" t="s">
        <v>516</v>
      </c>
      <c r="H40" s="149" t="s">
        <v>517</v>
      </c>
      <c r="I40" s="149" t="s">
        <v>518</v>
      </c>
      <c r="J40" s="149" t="s">
        <v>519</v>
      </c>
      <c r="K40" s="175"/>
    </row>
    <row r="41" spans="1:11" s="23" customFormat="1" ht="17.25" customHeight="1">
      <c r="A41" s="174"/>
      <c r="B41" s="151" t="s">
        <v>520</v>
      </c>
      <c r="C41" s="152"/>
      <c r="D41" s="198"/>
      <c r="E41" s="198"/>
      <c r="F41" s="198"/>
      <c r="G41" s="198"/>
      <c r="H41" s="198"/>
      <c r="I41" s="198"/>
      <c r="J41" s="198"/>
      <c r="K41" s="175"/>
    </row>
    <row r="42" spans="1:11" s="23" customFormat="1" ht="17.25" customHeight="1">
      <c r="A42" s="174"/>
      <c r="B42" s="151" t="s">
        <v>521</v>
      </c>
      <c r="C42" s="152"/>
      <c r="D42" s="198"/>
      <c r="E42" s="198"/>
      <c r="F42" s="198"/>
      <c r="G42" s="198"/>
      <c r="H42" s="198"/>
      <c r="I42" s="198"/>
      <c r="J42" s="198"/>
      <c r="K42" s="175"/>
    </row>
    <row r="43" spans="1:11" s="23" customFormat="1" ht="17.25" customHeight="1">
      <c r="A43" s="174"/>
      <c r="B43" s="151" t="s">
        <v>522</v>
      </c>
      <c r="C43" s="152"/>
      <c r="D43" s="198"/>
      <c r="E43" s="198"/>
      <c r="F43" s="198"/>
      <c r="G43" s="198"/>
      <c r="H43" s="198"/>
      <c r="I43" s="198"/>
      <c r="J43" s="198"/>
      <c r="K43" s="175"/>
    </row>
    <row r="44" spans="1:11" s="23" customFormat="1" ht="17.25" customHeight="1">
      <c r="A44" s="174"/>
      <c r="B44" s="151" t="s">
        <v>523</v>
      </c>
      <c r="C44" s="152"/>
      <c r="D44" s="198"/>
      <c r="E44" s="198"/>
      <c r="F44" s="198"/>
      <c r="G44" s="198"/>
      <c r="H44" s="198"/>
      <c r="I44" s="198"/>
      <c r="J44" s="198"/>
      <c r="K44" s="175"/>
    </row>
    <row r="45" spans="1:11" s="23" customFormat="1" ht="17.25" customHeight="1">
      <c r="A45" s="174"/>
      <c r="B45" s="151" t="s">
        <v>524</v>
      </c>
      <c r="C45" s="152"/>
      <c r="D45" s="198"/>
      <c r="E45" s="198"/>
      <c r="F45" s="198"/>
      <c r="G45" s="198"/>
      <c r="H45" s="198"/>
      <c r="I45" s="198"/>
      <c r="J45" s="198"/>
      <c r="K45" s="175"/>
    </row>
    <row r="46" spans="1:11" s="23" customFormat="1" ht="17.25" customHeight="1">
      <c r="A46" s="174"/>
      <c r="B46" s="151" t="s">
        <v>525</v>
      </c>
      <c r="C46" s="153"/>
      <c r="D46" s="198"/>
      <c r="E46" s="198"/>
      <c r="F46" s="198"/>
      <c r="G46" s="198"/>
      <c r="H46" s="198"/>
      <c r="I46" s="198"/>
      <c r="J46" s="198"/>
      <c r="K46" s="175"/>
    </row>
    <row r="47" spans="1:11" ht="18" customHeight="1">
      <c r="A47" s="176"/>
      <c r="B47" s="177"/>
      <c r="C47" s="178"/>
      <c r="D47" s="178"/>
      <c r="E47" s="178"/>
      <c r="F47" s="178"/>
      <c r="G47" s="178"/>
      <c r="H47" s="178"/>
      <c r="I47" s="178"/>
      <c r="J47" s="178"/>
      <c r="K47" s="179"/>
    </row>
  </sheetData>
  <sheetProtection formatCells="0" formatColumns="0" formatRows="0" insertColumns="0" insertRows="0" insertHyperlinks="0" deleteColumns="0" deleteRows="0" sort="0" autoFilter="0" pivotTables="0"/>
  <mergeCells count="9">
    <mergeCell ref="B9:D9"/>
    <mergeCell ref="E9:J9"/>
    <mergeCell ref="I39:J39"/>
    <mergeCell ref="B6:D6"/>
    <mergeCell ref="E6:J6"/>
    <mergeCell ref="B7:D7"/>
    <mergeCell ref="E7:J7"/>
    <mergeCell ref="B8:D8"/>
    <mergeCell ref="E8:J8"/>
  </mergeCells>
  <printOptions horizontalCentered="1"/>
  <pageMargins left="0.25" right="0.25" top="0.55000000000000004" bottom="0.55000000000000004" header="0.25" footer="0.25"/>
  <pageSetup scale="56" orientation="landscape" r:id="rId1"/>
  <headerFooter>
    <oddFooter>&amp;L&amp;"Arial,Regular"Port of Portland&amp;CPage &amp;P of &amp;N&amp;R&amp;"Arial,Regular"Printed: &amp;D &amp;T</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3"/>
  <dimension ref="A1:R542"/>
  <sheetViews>
    <sheetView workbookViewId="0"/>
  </sheetViews>
  <sheetFormatPr baseColWidth="10" defaultColWidth="9" defaultRowHeight="15"/>
  <cols>
    <col min="1" max="1" width="56" style="2" bestFit="1" customWidth="1"/>
    <col min="2" max="2" width="13.19921875" customWidth="1"/>
    <col min="3" max="3" width="24.796875" customWidth="1"/>
    <col min="4" max="4" width="18.796875" customWidth="1"/>
    <col min="6" max="6" width="56" style="2" bestFit="1" customWidth="1"/>
    <col min="7" max="10" width="14.796875" style="2" customWidth="1"/>
    <col min="11" max="11" width="0" hidden="1" customWidth="1"/>
    <col min="12" max="12" width="27" hidden="1" customWidth="1"/>
    <col min="13" max="13" width="17.59765625" hidden="1" customWidth="1"/>
    <col min="14" max="15" width="0" hidden="1" customWidth="1"/>
    <col min="16" max="16" width="16" style="29" customWidth="1"/>
    <col min="17" max="17" width="79.3984375" style="29" customWidth="1"/>
    <col min="18" max="18" width="9.3984375" style="29"/>
  </cols>
  <sheetData>
    <row r="1" spans="1:18">
      <c r="A1" s="278" t="s">
        <v>112</v>
      </c>
      <c r="B1" s="5" t="s">
        <v>526</v>
      </c>
      <c r="C1" s="5" t="s">
        <v>527</v>
      </c>
      <c r="D1" s="279" t="s">
        <v>528</v>
      </c>
      <c r="F1" s="278" t="s">
        <v>128</v>
      </c>
      <c r="G1" s="278" t="s">
        <v>526</v>
      </c>
      <c r="H1" s="278" t="s">
        <v>527</v>
      </c>
      <c r="I1" s="278" t="s">
        <v>529</v>
      </c>
      <c r="J1" s="278" t="s">
        <v>530</v>
      </c>
      <c r="L1" s="278" t="s">
        <v>128</v>
      </c>
      <c r="M1" s="278" t="s">
        <v>531</v>
      </c>
      <c r="P1" s="28" t="s">
        <v>532</v>
      </c>
    </row>
    <row r="2" spans="1:18">
      <c r="A2" s="42" t="s">
        <v>25</v>
      </c>
      <c r="B2" s="43">
        <v>10000</v>
      </c>
      <c r="C2" s="43" t="s">
        <v>533</v>
      </c>
      <c r="D2" s="40" t="s">
        <v>534</v>
      </c>
      <c r="F2" s="278"/>
      <c r="G2" s="4">
        <v>10000</v>
      </c>
      <c r="H2" s="4" t="s">
        <v>533</v>
      </c>
      <c r="I2" s="4" t="s">
        <v>535</v>
      </c>
      <c r="J2" s="4" t="s">
        <v>535</v>
      </c>
      <c r="L2" s="280" t="s">
        <v>536</v>
      </c>
      <c r="M2" s="280">
        <v>100000</v>
      </c>
      <c r="P2" s="30" t="s">
        <v>537</v>
      </c>
      <c r="Q2" s="30"/>
      <c r="R2" s="30"/>
    </row>
    <row r="3" spans="1:18">
      <c r="A3" s="42" t="s">
        <v>26</v>
      </c>
      <c r="B3" s="43">
        <v>20000</v>
      </c>
      <c r="C3" s="43" t="s">
        <v>538</v>
      </c>
      <c r="D3" s="40" t="s">
        <v>539</v>
      </c>
      <c r="F3" s="4" t="s">
        <v>540</v>
      </c>
      <c r="G3" s="4">
        <v>13100</v>
      </c>
      <c r="H3" s="4" t="s">
        <v>533</v>
      </c>
      <c r="I3" s="4">
        <v>31</v>
      </c>
      <c r="J3" s="37" t="s">
        <v>535</v>
      </c>
      <c r="L3" s="280" t="s">
        <v>541</v>
      </c>
      <c r="M3" s="280">
        <v>140000</v>
      </c>
      <c r="P3" s="281">
        <v>13100</v>
      </c>
      <c r="Q3" s="278" t="s">
        <v>542</v>
      </c>
    </row>
    <row r="4" spans="1:18">
      <c r="A4" s="42" t="s">
        <v>27</v>
      </c>
      <c r="B4" s="43">
        <v>30000</v>
      </c>
      <c r="C4" s="43" t="s">
        <v>543</v>
      </c>
      <c r="D4" s="40" t="s">
        <v>544</v>
      </c>
      <c r="F4" s="4" t="s">
        <v>545</v>
      </c>
      <c r="G4" s="4">
        <v>13300</v>
      </c>
      <c r="H4" s="4" t="s">
        <v>533</v>
      </c>
      <c r="I4" s="4">
        <v>33</v>
      </c>
      <c r="J4" s="37">
        <v>0</v>
      </c>
      <c r="L4" s="280" t="s">
        <v>546</v>
      </c>
      <c r="M4" s="280">
        <v>170000</v>
      </c>
      <c r="P4" s="281">
        <v>13300</v>
      </c>
      <c r="Q4" s="278" t="s">
        <v>547</v>
      </c>
    </row>
    <row r="5" spans="1:18">
      <c r="A5" s="42" t="s">
        <v>28</v>
      </c>
      <c r="B5" s="43">
        <v>40000</v>
      </c>
      <c r="C5" s="43" t="s">
        <v>548</v>
      </c>
      <c r="D5" s="40" t="s">
        <v>549</v>
      </c>
      <c r="F5" s="4" t="s">
        <v>550</v>
      </c>
      <c r="G5" s="4">
        <v>13500</v>
      </c>
      <c r="H5" s="4" t="s">
        <v>533</v>
      </c>
      <c r="I5" s="4">
        <v>35</v>
      </c>
      <c r="J5" s="37">
        <v>0</v>
      </c>
      <c r="L5" s="280" t="s">
        <v>551</v>
      </c>
      <c r="M5" s="280">
        <v>190000</v>
      </c>
      <c r="P5" s="281">
        <v>13500</v>
      </c>
      <c r="Q5" s="278" t="s">
        <v>552</v>
      </c>
    </row>
    <row r="6" spans="1:18">
      <c r="A6" s="42" t="s">
        <v>29</v>
      </c>
      <c r="B6" s="43">
        <v>50000</v>
      </c>
      <c r="C6" s="43" t="s">
        <v>553</v>
      </c>
      <c r="D6" s="40" t="s">
        <v>554</v>
      </c>
      <c r="F6" s="4" t="s">
        <v>555</v>
      </c>
      <c r="G6" s="4">
        <v>13501</v>
      </c>
      <c r="H6" s="4" t="s">
        <v>533</v>
      </c>
      <c r="I6" s="4">
        <v>35</v>
      </c>
      <c r="J6" s="37">
        <v>1</v>
      </c>
      <c r="L6" s="280" t="s">
        <v>556</v>
      </c>
      <c r="M6" s="280">
        <v>200000</v>
      </c>
      <c r="P6" s="38">
        <v>13501</v>
      </c>
      <c r="Q6" s="39" t="s">
        <v>555</v>
      </c>
    </row>
    <row r="7" spans="1:18">
      <c r="A7" s="42" t="s">
        <v>30</v>
      </c>
      <c r="B7" s="43">
        <v>60000</v>
      </c>
      <c r="C7" s="43" t="s">
        <v>557</v>
      </c>
      <c r="D7" s="40" t="s">
        <v>558</v>
      </c>
      <c r="F7" s="278" t="s">
        <v>559</v>
      </c>
      <c r="G7" s="4">
        <v>14100</v>
      </c>
      <c r="H7" s="4">
        <v>1</v>
      </c>
      <c r="I7" s="4">
        <v>14</v>
      </c>
      <c r="J7" s="37">
        <v>0</v>
      </c>
      <c r="L7" s="280"/>
      <c r="M7" s="280"/>
      <c r="P7" s="38">
        <v>14100</v>
      </c>
      <c r="Q7" s="39" t="s">
        <v>559</v>
      </c>
    </row>
    <row r="8" spans="1:18">
      <c r="A8" s="42" t="s">
        <v>31</v>
      </c>
      <c r="B8" s="43">
        <v>70000</v>
      </c>
      <c r="C8" s="43" t="s">
        <v>560</v>
      </c>
      <c r="D8" s="40" t="s">
        <v>561</v>
      </c>
      <c r="F8" s="4" t="s">
        <v>562</v>
      </c>
      <c r="G8" s="4">
        <v>15000</v>
      </c>
      <c r="H8" s="4" t="s">
        <v>533</v>
      </c>
      <c r="I8" s="4">
        <v>50</v>
      </c>
      <c r="J8" s="37" t="s">
        <v>535</v>
      </c>
      <c r="L8" s="280" t="s">
        <v>563</v>
      </c>
      <c r="M8" s="280">
        <v>780000</v>
      </c>
      <c r="P8" s="281">
        <v>15000</v>
      </c>
      <c r="Q8" s="278" t="s">
        <v>564</v>
      </c>
    </row>
    <row r="9" spans="1:18">
      <c r="A9" s="42" t="s">
        <v>32</v>
      </c>
      <c r="B9" s="43">
        <v>80000</v>
      </c>
      <c r="C9" s="43" t="s">
        <v>565</v>
      </c>
      <c r="D9" s="40" t="s">
        <v>566</v>
      </c>
      <c r="F9" s="4" t="s">
        <v>567</v>
      </c>
      <c r="G9" s="4">
        <v>15001</v>
      </c>
      <c r="H9" s="4" t="s">
        <v>533</v>
      </c>
      <c r="I9" s="4">
        <v>50</v>
      </c>
      <c r="J9" s="37">
        <v>1</v>
      </c>
      <c r="L9" s="280" t="s">
        <v>568</v>
      </c>
      <c r="M9" s="280">
        <v>790000</v>
      </c>
      <c r="P9" s="281">
        <v>15001</v>
      </c>
      <c r="Q9" s="278" t="s">
        <v>569</v>
      </c>
    </row>
    <row r="10" spans="1:18">
      <c r="A10" s="42" t="s">
        <v>33</v>
      </c>
      <c r="B10" s="43">
        <v>90000</v>
      </c>
      <c r="C10" s="43" t="s">
        <v>570</v>
      </c>
      <c r="D10" s="40" t="s">
        <v>571</v>
      </c>
      <c r="F10" s="4" t="s">
        <v>572</v>
      </c>
      <c r="G10" s="4">
        <v>15002</v>
      </c>
      <c r="H10" s="4" t="s">
        <v>533</v>
      </c>
      <c r="I10" s="4">
        <v>50</v>
      </c>
      <c r="J10" s="37">
        <v>2</v>
      </c>
      <c r="L10" s="280" t="s">
        <v>504</v>
      </c>
      <c r="M10" s="280">
        <v>909000</v>
      </c>
      <c r="P10" s="38">
        <v>15002</v>
      </c>
      <c r="Q10" s="39" t="s">
        <v>572</v>
      </c>
    </row>
    <row r="11" spans="1:18">
      <c r="A11" s="42" t="s">
        <v>34</v>
      </c>
      <c r="B11" s="43">
        <v>100000</v>
      </c>
      <c r="C11" s="43" t="s">
        <v>573</v>
      </c>
      <c r="D11" s="40" t="s">
        <v>574</v>
      </c>
      <c r="F11" s="278" t="s">
        <v>575</v>
      </c>
      <c r="G11" s="4">
        <v>15123</v>
      </c>
      <c r="H11" s="4">
        <v>1</v>
      </c>
      <c r="I11" s="4">
        <v>51</v>
      </c>
      <c r="J11" s="37">
        <v>23</v>
      </c>
      <c r="L11" s="280" t="s">
        <v>576</v>
      </c>
      <c r="M11" s="282">
        <v>0</v>
      </c>
      <c r="P11" s="281">
        <v>15123</v>
      </c>
      <c r="Q11" s="278" t="s">
        <v>577</v>
      </c>
    </row>
    <row r="12" spans="1:18">
      <c r="A12" s="42" t="s">
        <v>35</v>
      </c>
      <c r="B12" s="43">
        <v>110000</v>
      </c>
      <c r="C12" s="43" t="s">
        <v>578</v>
      </c>
      <c r="D12" s="40" t="s">
        <v>579</v>
      </c>
      <c r="F12" s="278" t="s">
        <v>580</v>
      </c>
      <c r="G12" s="4">
        <v>15323</v>
      </c>
      <c r="H12" s="4">
        <v>1</v>
      </c>
      <c r="I12" s="4">
        <v>53</v>
      </c>
      <c r="J12" s="37">
        <v>23</v>
      </c>
      <c r="P12" s="281">
        <v>15323</v>
      </c>
      <c r="Q12" s="278" t="s">
        <v>581</v>
      </c>
    </row>
    <row r="13" spans="1:18">
      <c r="A13" s="42" t="s">
        <v>36</v>
      </c>
      <c r="B13" s="43">
        <v>120000</v>
      </c>
      <c r="C13" s="43" t="s">
        <v>582</v>
      </c>
      <c r="D13" s="40" t="s">
        <v>583</v>
      </c>
      <c r="F13" s="4" t="s">
        <v>584</v>
      </c>
      <c r="G13" s="4">
        <v>15400</v>
      </c>
      <c r="H13" s="4" t="s">
        <v>533</v>
      </c>
      <c r="I13" s="4">
        <v>54</v>
      </c>
      <c r="J13" s="37">
        <v>0</v>
      </c>
      <c r="P13" s="281">
        <v>15400</v>
      </c>
      <c r="Q13" s="278" t="s">
        <v>585</v>
      </c>
    </row>
    <row r="14" spans="1:18">
      <c r="A14" s="42" t="s">
        <v>37</v>
      </c>
      <c r="B14" s="43">
        <v>130000</v>
      </c>
      <c r="C14" s="43" t="s">
        <v>586</v>
      </c>
      <c r="D14" s="40" t="s">
        <v>587</v>
      </c>
      <c r="F14" s="4" t="s">
        <v>588</v>
      </c>
      <c r="G14" s="4">
        <v>15500</v>
      </c>
      <c r="H14" s="4" t="s">
        <v>533</v>
      </c>
      <c r="I14" s="4">
        <v>55</v>
      </c>
      <c r="J14" s="37">
        <v>0</v>
      </c>
      <c r="P14" s="281">
        <v>15500</v>
      </c>
      <c r="Q14" s="278" t="s">
        <v>589</v>
      </c>
    </row>
    <row r="15" spans="1:18">
      <c r="A15" s="42" t="s">
        <v>38</v>
      </c>
      <c r="B15" s="43">
        <v>140000</v>
      </c>
      <c r="C15" s="43" t="s">
        <v>590</v>
      </c>
      <c r="D15" s="40" t="s">
        <v>591</v>
      </c>
      <c r="F15" s="4" t="s">
        <v>592</v>
      </c>
      <c r="G15" s="4">
        <v>15600</v>
      </c>
      <c r="H15" s="4" t="s">
        <v>533</v>
      </c>
      <c r="I15" s="4">
        <v>56</v>
      </c>
      <c r="J15" s="37">
        <v>0</v>
      </c>
      <c r="P15" s="281">
        <v>15600</v>
      </c>
      <c r="Q15" s="278" t="s">
        <v>593</v>
      </c>
      <c r="R15" s="283"/>
    </row>
    <row r="16" spans="1:18">
      <c r="A16" s="42" t="s">
        <v>39</v>
      </c>
      <c r="B16" s="43">
        <v>210000</v>
      </c>
      <c r="C16" s="43" t="s">
        <v>594</v>
      </c>
      <c r="D16" s="40" t="s">
        <v>595</v>
      </c>
      <c r="F16" s="4" t="s">
        <v>596</v>
      </c>
      <c r="G16" s="4">
        <v>15713</v>
      </c>
      <c r="H16" s="4" t="s">
        <v>533</v>
      </c>
      <c r="I16" s="4">
        <v>57</v>
      </c>
      <c r="J16" s="37">
        <v>13</v>
      </c>
      <c r="P16" s="281">
        <v>15713</v>
      </c>
      <c r="Q16" s="278" t="s">
        <v>597</v>
      </c>
    </row>
    <row r="17" spans="1:18">
      <c r="A17" s="42" t="s">
        <v>40</v>
      </c>
      <c r="B17" s="43">
        <v>220000</v>
      </c>
      <c r="C17" s="43" t="s">
        <v>598</v>
      </c>
      <c r="D17" s="40" t="s">
        <v>599</v>
      </c>
      <c r="F17" s="4" t="s">
        <v>600</v>
      </c>
      <c r="G17" s="4">
        <v>16600</v>
      </c>
      <c r="H17" s="4" t="s">
        <v>533</v>
      </c>
      <c r="I17" s="4">
        <v>66</v>
      </c>
      <c r="J17" s="37">
        <v>0</v>
      </c>
      <c r="P17" s="281">
        <v>16600</v>
      </c>
      <c r="Q17" s="278" t="s">
        <v>601</v>
      </c>
    </row>
    <row r="18" spans="1:18">
      <c r="A18" s="42" t="s">
        <v>41</v>
      </c>
      <c r="B18" s="43">
        <v>230000</v>
      </c>
      <c r="C18" s="43" t="s">
        <v>602</v>
      </c>
      <c r="D18" s="40" t="s">
        <v>603</v>
      </c>
      <c r="F18" s="4" t="s">
        <v>604</v>
      </c>
      <c r="G18" s="4">
        <v>17329</v>
      </c>
      <c r="H18" s="4" t="s">
        <v>533</v>
      </c>
      <c r="I18" s="4">
        <v>73</v>
      </c>
      <c r="J18" s="37">
        <v>29</v>
      </c>
      <c r="P18" s="281">
        <v>17329</v>
      </c>
      <c r="Q18" s="278" t="s">
        <v>605</v>
      </c>
    </row>
    <row r="19" spans="1:18">
      <c r="A19" s="42" t="s">
        <v>42</v>
      </c>
      <c r="B19" s="43">
        <v>260000</v>
      </c>
      <c r="C19" s="43" t="s">
        <v>606</v>
      </c>
      <c r="D19" s="40" t="s">
        <v>607</v>
      </c>
      <c r="F19" s="4" t="s">
        <v>608</v>
      </c>
      <c r="G19" s="4">
        <v>17400</v>
      </c>
      <c r="H19" s="4" t="s">
        <v>533</v>
      </c>
      <c r="I19" s="4">
        <v>74</v>
      </c>
      <c r="J19" s="37" t="s">
        <v>535</v>
      </c>
      <c r="P19" s="281">
        <v>17400</v>
      </c>
      <c r="Q19" s="278" t="s">
        <v>609</v>
      </c>
    </row>
    <row r="20" spans="1:18">
      <c r="A20" s="42" t="s">
        <v>43</v>
      </c>
      <c r="B20" s="43">
        <v>270000</v>
      </c>
      <c r="C20" s="43" t="s">
        <v>610</v>
      </c>
      <c r="D20" s="40" t="s">
        <v>611</v>
      </c>
      <c r="F20" s="278" t="s">
        <v>612</v>
      </c>
      <c r="G20" s="4">
        <v>17419</v>
      </c>
      <c r="H20" s="4">
        <v>1</v>
      </c>
      <c r="I20" s="4">
        <v>74</v>
      </c>
      <c r="J20" s="37">
        <v>19</v>
      </c>
      <c r="P20" s="281">
        <v>17419</v>
      </c>
      <c r="Q20" s="278" t="s">
        <v>613</v>
      </c>
    </row>
    <row r="21" spans="1:18">
      <c r="A21" s="41" t="s">
        <v>44</v>
      </c>
      <c r="B21" s="43">
        <v>280000</v>
      </c>
      <c r="C21" s="40">
        <v>28</v>
      </c>
      <c r="D21" s="40" t="s">
        <v>614</v>
      </c>
      <c r="F21" s="4" t="s">
        <v>615</v>
      </c>
      <c r="G21" s="4">
        <v>19100</v>
      </c>
      <c r="H21" s="4" t="s">
        <v>533</v>
      </c>
      <c r="I21" s="4">
        <v>91</v>
      </c>
      <c r="J21" s="37">
        <v>0</v>
      </c>
      <c r="P21" s="281">
        <v>19100</v>
      </c>
      <c r="Q21" s="278" t="s">
        <v>615</v>
      </c>
    </row>
    <row r="22" spans="1:18">
      <c r="A22" s="41" t="s">
        <v>45</v>
      </c>
      <c r="B22" s="43">
        <v>310000</v>
      </c>
      <c r="C22" s="40">
        <v>31</v>
      </c>
      <c r="D22" s="40" t="s">
        <v>616</v>
      </c>
      <c r="F22" s="4"/>
      <c r="G22" s="4"/>
      <c r="H22" s="4"/>
      <c r="I22" s="4"/>
      <c r="J22" s="4"/>
      <c r="P22" s="28" t="s">
        <v>617</v>
      </c>
    </row>
    <row r="23" spans="1:18">
      <c r="A23" s="41" t="s">
        <v>46</v>
      </c>
      <c r="B23" s="43">
        <v>320000</v>
      </c>
      <c r="C23" s="40">
        <v>32</v>
      </c>
      <c r="D23" s="40" t="s">
        <v>618</v>
      </c>
      <c r="F23" s="278"/>
      <c r="G23" s="4">
        <v>20000</v>
      </c>
      <c r="H23" s="4" t="s">
        <v>538</v>
      </c>
      <c r="I23" s="4" t="s">
        <v>535</v>
      </c>
      <c r="J23" s="4" t="s">
        <v>535</v>
      </c>
      <c r="P23" s="30" t="s">
        <v>619</v>
      </c>
      <c r="Q23" s="30"/>
      <c r="R23" s="30"/>
    </row>
    <row r="24" spans="1:18">
      <c r="A24" s="41" t="s">
        <v>47</v>
      </c>
      <c r="B24" s="43">
        <v>330000</v>
      </c>
      <c r="C24" s="40">
        <v>33</v>
      </c>
      <c r="D24" s="40" t="s">
        <v>620</v>
      </c>
      <c r="F24" s="29" t="s">
        <v>621</v>
      </c>
      <c r="G24" s="4">
        <v>20500</v>
      </c>
      <c r="H24" s="4">
        <v>2</v>
      </c>
      <c r="I24" s="4" t="s">
        <v>622</v>
      </c>
      <c r="J24" s="4" t="s">
        <v>535</v>
      </c>
      <c r="P24" s="31">
        <v>20500</v>
      </c>
      <c r="Q24" s="29" t="s">
        <v>623</v>
      </c>
    </row>
    <row r="25" spans="1:18">
      <c r="A25" s="41" t="s">
        <v>48</v>
      </c>
      <c r="B25" s="43">
        <v>340000</v>
      </c>
      <c r="C25" s="40">
        <v>34</v>
      </c>
      <c r="D25" s="40" t="s">
        <v>624</v>
      </c>
      <c r="F25" s="4" t="s">
        <v>625</v>
      </c>
      <c r="G25" s="4">
        <v>24113</v>
      </c>
      <c r="H25" s="4" t="s">
        <v>538</v>
      </c>
      <c r="I25" s="4" t="s">
        <v>626</v>
      </c>
      <c r="J25" s="4" t="s">
        <v>586</v>
      </c>
      <c r="P25" s="31">
        <v>24113</v>
      </c>
      <c r="Q25" s="29" t="s">
        <v>627</v>
      </c>
    </row>
    <row r="26" spans="1:18">
      <c r="A26" s="41" t="s">
        <v>49</v>
      </c>
      <c r="B26" s="43">
        <v>350000</v>
      </c>
      <c r="C26" s="40">
        <v>35</v>
      </c>
      <c r="D26" s="40" t="s">
        <v>628</v>
      </c>
      <c r="F26" s="4" t="s">
        <v>629</v>
      </c>
      <c r="G26" s="4">
        <v>24119</v>
      </c>
      <c r="H26" s="4" t="s">
        <v>538</v>
      </c>
      <c r="I26" s="4" t="s">
        <v>626</v>
      </c>
      <c r="J26" s="4" t="s">
        <v>630</v>
      </c>
      <c r="P26" s="31">
        <v>24119</v>
      </c>
      <c r="Q26" s="29" t="s">
        <v>631</v>
      </c>
    </row>
    <row r="27" spans="1:18">
      <c r="A27" s="41" t="s">
        <v>50</v>
      </c>
      <c r="B27" s="43">
        <v>410000</v>
      </c>
      <c r="C27" s="40">
        <v>41</v>
      </c>
      <c r="D27" s="40" t="s">
        <v>632</v>
      </c>
      <c r="F27" s="283" t="s">
        <v>633</v>
      </c>
      <c r="G27" s="4">
        <v>25000</v>
      </c>
      <c r="H27" s="4">
        <v>2</v>
      </c>
      <c r="I27" s="4">
        <v>50</v>
      </c>
      <c r="J27" s="4" t="s">
        <v>535</v>
      </c>
      <c r="P27" s="31">
        <v>25000</v>
      </c>
      <c r="Q27" s="29" t="s">
        <v>634</v>
      </c>
    </row>
    <row r="28" spans="1:18">
      <c r="A28" s="42" t="s">
        <v>51</v>
      </c>
      <c r="B28" s="43">
        <v>510000</v>
      </c>
      <c r="C28" s="44">
        <v>51</v>
      </c>
      <c r="D28" s="40" t="s">
        <v>635</v>
      </c>
      <c r="F28" s="4" t="s">
        <v>636</v>
      </c>
      <c r="G28" s="4">
        <v>26100</v>
      </c>
      <c r="H28" s="4" t="s">
        <v>538</v>
      </c>
      <c r="I28" s="4" t="s">
        <v>637</v>
      </c>
      <c r="J28" s="4" t="s">
        <v>535</v>
      </c>
      <c r="P28" s="31">
        <v>26100</v>
      </c>
      <c r="Q28" s="29" t="s">
        <v>638</v>
      </c>
    </row>
    <row r="29" spans="1:18">
      <c r="A29" s="42" t="s">
        <v>52</v>
      </c>
      <c r="B29" s="43">
        <v>520000</v>
      </c>
      <c r="C29" s="44">
        <v>52</v>
      </c>
      <c r="D29" s="40" t="s">
        <v>639</v>
      </c>
      <c r="F29" s="4" t="s">
        <v>640</v>
      </c>
      <c r="G29" s="4">
        <v>26500</v>
      </c>
      <c r="H29" s="4" t="s">
        <v>538</v>
      </c>
      <c r="I29" s="4" t="s">
        <v>641</v>
      </c>
      <c r="J29" s="4" t="s">
        <v>535</v>
      </c>
      <c r="P29" s="31">
        <v>26500</v>
      </c>
      <c r="Q29" s="29" t="s">
        <v>642</v>
      </c>
    </row>
    <row r="30" spans="1:18">
      <c r="A30" s="42" t="s">
        <v>53</v>
      </c>
      <c r="B30" s="43">
        <v>530000</v>
      </c>
      <c r="C30" s="44">
        <v>53</v>
      </c>
      <c r="D30" s="40" t="s">
        <v>643</v>
      </c>
      <c r="F30" s="283" t="s">
        <v>644</v>
      </c>
      <c r="G30" s="4">
        <v>27100</v>
      </c>
      <c r="H30" s="4">
        <v>2</v>
      </c>
      <c r="I30" s="4">
        <v>71</v>
      </c>
      <c r="J30" s="4">
        <v>0</v>
      </c>
      <c r="P30" s="31">
        <v>27100</v>
      </c>
      <c r="Q30" s="29" t="s">
        <v>645</v>
      </c>
    </row>
    <row r="31" spans="1:18">
      <c r="A31" s="42" t="s">
        <v>54</v>
      </c>
      <c r="B31" s="43">
        <v>540000</v>
      </c>
      <c r="C31" s="44">
        <v>54</v>
      </c>
      <c r="D31" s="40" t="s">
        <v>646</v>
      </c>
      <c r="F31" s="278" t="s">
        <v>120</v>
      </c>
      <c r="G31" s="4">
        <v>28213</v>
      </c>
      <c r="H31" s="4" t="s">
        <v>538</v>
      </c>
      <c r="I31" s="4" t="s">
        <v>647</v>
      </c>
      <c r="J31" s="4" t="s">
        <v>586</v>
      </c>
      <c r="P31" s="31">
        <v>28213</v>
      </c>
      <c r="Q31" s="29" t="s">
        <v>648</v>
      </c>
    </row>
    <row r="32" spans="1:18">
      <c r="A32" s="42" t="s">
        <v>55</v>
      </c>
      <c r="B32" s="43">
        <v>550000</v>
      </c>
      <c r="C32" s="44">
        <v>55</v>
      </c>
      <c r="D32" s="40" t="s">
        <v>649</v>
      </c>
      <c r="F32" s="278" t="s">
        <v>650</v>
      </c>
      <c r="G32" s="4">
        <v>28216</v>
      </c>
      <c r="H32" s="4" t="s">
        <v>538</v>
      </c>
      <c r="I32" s="4" t="s">
        <v>647</v>
      </c>
      <c r="J32" s="4" t="s">
        <v>651</v>
      </c>
      <c r="P32" s="31">
        <v>28216</v>
      </c>
      <c r="Q32" s="29" t="s">
        <v>652</v>
      </c>
    </row>
    <row r="33" spans="1:18">
      <c r="A33" s="42" t="s">
        <v>56</v>
      </c>
      <c r="B33" s="43">
        <v>560000</v>
      </c>
      <c r="C33" s="44">
        <v>56</v>
      </c>
      <c r="D33" s="40" t="s">
        <v>653</v>
      </c>
      <c r="F33" s="278" t="s">
        <v>654</v>
      </c>
      <c r="G33" s="4">
        <v>28313</v>
      </c>
      <c r="H33" s="4" t="s">
        <v>538</v>
      </c>
      <c r="I33" s="4" t="s">
        <v>655</v>
      </c>
      <c r="J33" s="4" t="s">
        <v>586</v>
      </c>
      <c r="P33" s="31">
        <v>28313</v>
      </c>
      <c r="Q33" s="29" t="s">
        <v>656</v>
      </c>
    </row>
    <row r="34" spans="1:18">
      <c r="A34" s="42" t="s">
        <v>57</v>
      </c>
      <c r="B34" s="43">
        <v>570000</v>
      </c>
      <c r="C34" s="44">
        <v>57</v>
      </c>
      <c r="D34" s="40" t="s">
        <v>657</v>
      </c>
      <c r="F34" s="278" t="s">
        <v>658</v>
      </c>
      <c r="G34" s="4">
        <v>28319</v>
      </c>
      <c r="H34" s="4" t="s">
        <v>538</v>
      </c>
      <c r="I34" s="4" t="s">
        <v>655</v>
      </c>
      <c r="J34" s="4" t="s">
        <v>630</v>
      </c>
      <c r="P34" s="31">
        <v>28319</v>
      </c>
      <c r="Q34" s="29" t="s">
        <v>659</v>
      </c>
    </row>
    <row r="35" spans="1:18">
      <c r="A35" s="42" t="s">
        <v>58</v>
      </c>
      <c r="B35" s="43">
        <v>580000</v>
      </c>
      <c r="C35" s="44">
        <v>58</v>
      </c>
      <c r="D35" s="40" t="s">
        <v>660</v>
      </c>
      <c r="F35" s="4" t="s">
        <v>661</v>
      </c>
      <c r="G35" s="4">
        <v>28400</v>
      </c>
      <c r="H35" s="4" t="s">
        <v>538</v>
      </c>
      <c r="I35" s="4" t="s">
        <v>662</v>
      </c>
      <c r="J35" s="4" t="s">
        <v>535</v>
      </c>
      <c r="P35" s="31">
        <v>28400</v>
      </c>
      <c r="Q35" s="29" t="s">
        <v>663</v>
      </c>
    </row>
    <row r="36" spans="1:18">
      <c r="A36" s="42" t="s">
        <v>59</v>
      </c>
      <c r="B36" s="43">
        <v>590000</v>
      </c>
      <c r="C36" s="44">
        <v>59</v>
      </c>
      <c r="D36" s="40" t="s">
        <v>664</v>
      </c>
      <c r="F36" s="4"/>
      <c r="G36" s="4"/>
      <c r="H36" s="4"/>
      <c r="I36" s="4"/>
      <c r="J36" s="4"/>
      <c r="P36" s="31"/>
    </row>
    <row r="37" spans="1:18">
      <c r="A37" s="42" t="s">
        <v>60</v>
      </c>
      <c r="B37" s="43">
        <v>600000</v>
      </c>
      <c r="C37" s="44">
        <v>60</v>
      </c>
      <c r="D37" s="40" t="s">
        <v>665</v>
      </c>
      <c r="F37" s="278"/>
      <c r="G37" s="4">
        <v>30000</v>
      </c>
      <c r="H37" s="4" t="s">
        <v>543</v>
      </c>
      <c r="I37" s="4" t="s">
        <v>535</v>
      </c>
      <c r="J37" s="4" t="s">
        <v>535</v>
      </c>
      <c r="P37" s="30" t="s">
        <v>666</v>
      </c>
      <c r="Q37" s="30"/>
      <c r="R37" s="30"/>
    </row>
    <row r="38" spans="1:18">
      <c r="A38" s="4"/>
      <c r="B38" s="3"/>
      <c r="C38" s="3"/>
      <c r="F38" s="283" t="s">
        <v>667</v>
      </c>
      <c r="G38" s="4">
        <v>30500</v>
      </c>
      <c r="H38" s="4">
        <v>3</v>
      </c>
      <c r="I38" s="4" t="s">
        <v>622</v>
      </c>
      <c r="J38" s="4" t="s">
        <v>535</v>
      </c>
      <c r="P38" s="31">
        <v>30500</v>
      </c>
      <c r="Q38" s="29" t="s">
        <v>668</v>
      </c>
    </row>
    <row r="39" spans="1:18">
      <c r="A39" s="4"/>
      <c r="B39" s="3"/>
      <c r="C39" s="3"/>
      <c r="F39" s="278" t="s">
        <v>669</v>
      </c>
      <c r="G39" s="4">
        <v>31100</v>
      </c>
      <c r="H39" s="4" t="s">
        <v>543</v>
      </c>
      <c r="I39" s="4" t="s">
        <v>578</v>
      </c>
      <c r="J39" s="4" t="s">
        <v>535</v>
      </c>
      <c r="P39" s="31">
        <v>31100</v>
      </c>
      <c r="Q39" s="29" t="s">
        <v>670</v>
      </c>
    </row>
    <row r="40" spans="1:18">
      <c r="A40" s="4"/>
      <c r="B40" s="3"/>
      <c r="C40" s="3"/>
      <c r="F40" s="278" t="s">
        <v>671</v>
      </c>
      <c r="G40" s="4">
        <v>31500</v>
      </c>
      <c r="H40" s="4" t="s">
        <v>543</v>
      </c>
      <c r="I40" s="4" t="s">
        <v>672</v>
      </c>
      <c r="J40" s="4" t="s">
        <v>535</v>
      </c>
      <c r="P40" s="31">
        <v>31500</v>
      </c>
      <c r="Q40" s="29" t="s">
        <v>673</v>
      </c>
    </row>
    <row r="41" spans="1:18">
      <c r="A41" s="4"/>
      <c r="B41" s="3"/>
      <c r="C41" s="3"/>
      <c r="F41" s="278" t="s">
        <v>674</v>
      </c>
      <c r="G41" s="4">
        <v>32000</v>
      </c>
      <c r="H41" s="4" t="s">
        <v>543</v>
      </c>
      <c r="I41" s="4" t="s">
        <v>675</v>
      </c>
      <c r="J41" s="4" t="s">
        <v>535</v>
      </c>
      <c r="P41" s="31">
        <v>32000</v>
      </c>
      <c r="Q41" s="29" t="s">
        <v>676</v>
      </c>
    </row>
    <row r="42" spans="1:18">
      <c r="A42" s="4"/>
      <c r="B42" s="3"/>
      <c r="C42" s="3"/>
      <c r="F42" s="278" t="s">
        <v>677</v>
      </c>
      <c r="G42" s="4">
        <v>33000</v>
      </c>
      <c r="H42" s="4" t="s">
        <v>543</v>
      </c>
      <c r="I42" s="4" t="s">
        <v>678</v>
      </c>
      <c r="J42" s="4" t="s">
        <v>535</v>
      </c>
      <c r="P42" s="31">
        <v>33000</v>
      </c>
      <c r="Q42" s="29" t="s">
        <v>679</v>
      </c>
    </row>
    <row r="43" spans="1:18">
      <c r="B43" s="3"/>
      <c r="C43" s="3"/>
      <c r="F43" s="278" t="s">
        <v>680</v>
      </c>
      <c r="G43" s="4">
        <v>36000</v>
      </c>
      <c r="H43" s="4" t="s">
        <v>543</v>
      </c>
      <c r="I43" s="4" t="s">
        <v>681</v>
      </c>
      <c r="J43" s="4" t="s">
        <v>535</v>
      </c>
      <c r="P43" s="31">
        <v>36000</v>
      </c>
      <c r="Q43" s="29" t="s">
        <v>682</v>
      </c>
    </row>
    <row r="44" spans="1:18">
      <c r="A44" s="4"/>
      <c r="B44" s="3"/>
      <c r="C44" s="3"/>
      <c r="F44" s="278"/>
      <c r="G44" s="4"/>
      <c r="H44" s="4"/>
      <c r="I44" s="4"/>
      <c r="J44" s="4"/>
      <c r="P44" s="31"/>
    </row>
    <row r="45" spans="1:18">
      <c r="B45" s="3"/>
      <c r="C45" s="3"/>
      <c r="F45" s="278"/>
      <c r="G45" s="4">
        <v>40000</v>
      </c>
      <c r="H45" s="4" t="s">
        <v>548</v>
      </c>
      <c r="I45" s="4" t="s">
        <v>535</v>
      </c>
      <c r="J45" s="4" t="s">
        <v>535</v>
      </c>
      <c r="P45" s="30" t="s">
        <v>683</v>
      </c>
      <c r="Q45" s="30"/>
      <c r="R45" s="30"/>
    </row>
    <row r="46" spans="1:18">
      <c r="B46" s="3"/>
      <c r="C46" s="3"/>
      <c r="F46" s="278" t="s">
        <v>684</v>
      </c>
      <c r="G46" s="4">
        <v>40500</v>
      </c>
      <c r="H46" s="4">
        <v>4</v>
      </c>
      <c r="I46" s="4" t="s">
        <v>622</v>
      </c>
      <c r="J46" s="4" t="s">
        <v>535</v>
      </c>
      <c r="P46" s="31">
        <v>40500</v>
      </c>
      <c r="Q46" s="29" t="s">
        <v>685</v>
      </c>
    </row>
    <row r="47" spans="1:18">
      <c r="B47" s="3"/>
      <c r="C47" s="3"/>
      <c r="F47" s="4" t="s">
        <v>686</v>
      </c>
      <c r="G47" s="4">
        <v>40513</v>
      </c>
      <c r="H47" s="4" t="s">
        <v>548</v>
      </c>
      <c r="I47" s="4" t="s">
        <v>622</v>
      </c>
      <c r="J47" s="4" t="s">
        <v>586</v>
      </c>
      <c r="P47" s="31">
        <v>40513</v>
      </c>
      <c r="Q47" s="29" t="s">
        <v>687</v>
      </c>
    </row>
    <row r="48" spans="1:18">
      <c r="B48" s="3"/>
      <c r="C48" s="3"/>
      <c r="F48" s="4" t="s">
        <v>688</v>
      </c>
      <c r="G48" s="4">
        <v>40523</v>
      </c>
      <c r="H48" s="4" t="s">
        <v>548</v>
      </c>
      <c r="I48" s="4" t="s">
        <v>622</v>
      </c>
      <c r="J48" s="4" t="s">
        <v>602</v>
      </c>
      <c r="P48" s="31">
        <v>40523</v>
      </c>
      <c r="Q48" s="29" t="s">
        <v>689</v>
      </c>
    </row>
    <row r="49" spans="1:18">
      <c r="A49" s="4"/>
      <c r="B49" s="3"/>
      <c r="C49" s="3"/>
      <c r="F49" s="4" t="s">
        <v>690</v>
      </c>
      <c r="G49" s="4">
        <v>42113</v>
      </c>
      <c r="H49" s="4" t="s">
        <v>548</v>
      </c>
      <c r="I49" s="4" t="s">
        <v>594</v>
      </c>
      <c r="J49" s="4" t="s">
        <v>586</v>
      </c>
      <c r="P49" s="31">
        <v>42113</v>
      </c>
      <c r="Q49" s="29" t="s">
        <v>691</v>
      </c>
    </row>
    <row r="50" spans="1:18">
      <c r="A50" s="4"/>
      <c r="B50" s="3"/>
      <c r="C50" s="3"/>
      <c r="F50" s="4" t="s">
        <v>692</v>
      </c>
      <c r="G50" s="4">
        <v>42200</v>
      </c>
      <c r="H50" s="4" t="s">
        <v>548</v>
      </c>
      <c r="I50" s="4" t="s">
        <v>598</v>
      </c>
      <c r="J50" s="4" t="s">
        <v>535</v>
      </c>
      <c r="P50" s="31">
        <v>42200</v>
      </c>
      <c r="Q50" s="29" t="s">
        <v>693</v>
      </c>
    </row>
    <row r="51" spans="1:18">
      <c r="A51" s="4"/>
      <c r="B51" s="3"/>
      <c r="C51" s="3"/>
      <c r="F51" s="4"/>
      <c r="G51" s="4"/>
      <c r="H51" s="4"/>
      <c r="I51" s="4"/>
      <c r="J51" s="4"/>
      <c r="P51" s="31"/>
    </row>
    <row r="52" spans="1:18">
      <c r="A52" s="4"/>
      <c r="B52" s="3"/>
      <c r="C52" s="3"/>
      <c r="F52" s="278"/>
      <c r="G52" s="4">
        <v>50000</v>
      </c>
      <c r="H52" s="4" t="s">
        <v>553</v>
      </c>
      <c r="I52" s="4" t="s">
        <v>535</v>
      </c>
      <c r="J52" s="4" t="s">
        <v>535</v>
      </c>
      <c r="P52" s="30" t="s">
        <v>694</v>
      </c>
      <c r="Q52" s="30"/>
      <c r="R52" s="30"/>
    </row>
    <row r="53" spans="1:18">
      <c r="A53" s="4"/>
      <c r="B53" s="3"/>
      <c r="C53" s="3"/>
      <c r="F53" s="283" t="s">
        <v>695</v>
      </c>
      <c r="G53" s="4">
        <v>50500</v>
      </c>
      <c r="H53" s="4">
        <v>5</v>
      </c>
      <c r="I53" s="4" t="s">
        <v>622</v>
      </c>
      <c r="J53" s="4" t="s">
        <v>535</v>
      </c>
      <c r="P53" s="31">
        <v>50500</v>
      </c>
      <c r="Q53" s="29" t="s">
        <v>696</v>
      </c>
    </row>
    <row r="54" spans="1:18">
      <c r="B54" s="3"/>
      <c r="C54" s="3"/>
      <c r="F54" s="4" t="s">
        <v>697</v>
      </c>
      <c r="G54" s="4">
        <v>50513</v>
      </c>
      <c r="H54" s="4" t="s">
        <v>553</v>
      </c>
      <c r="I54" s="4" t="s">
        <v>622</v>
      </c>
      <c r="J54" s="4" t="s">
        <v>586</v>
      </c>
      <c r="P54" s="31">
        <v>50513</v>
      </c>
      <c r="Q54" s="29" t="s">
        <v>698</v>
      </c>
    </row>
    <row r="55" spans="1:18">
      <c r="A55" s="4"/>
      <c r="B55" s="3"/>
      <c r="C55" s="3"/>
      <c r="F55" s="4" t="s">
        <v>699</v>
      </c>
      <c r="G55" s="4">
        <v>51200</v>
      </c>
      <c r="H55" s="4" t="s">
        <v>553</v>
      </c>
      <c r="I55" s="4" t="s">
        <v>582</v>
      </c>
      <c r="J55" s="4" t="s">
        <v>535</v>
      </c>
      <c r="P55" s="31">
        <v>51200</v>
      </c>
      <c r="Q55" s="29" t="s">
        <v>700</v>
      </c>
    </row>
    <row r="56" spans="1:18">
      <c r="A56" s="4"/>
      <c r="B56" s="3"/>
      <c r="C56" s="3"/>
      <c r="F56" s="4" t="s">
        <v>701</v>
      </c>
      <c r="G56" s="4">
        <v>51213</v>
      </c>
      <c r="H56" s="4" t="s">
        <v>553</v>
      </c>
      <c r="I56" s="4" t="s">
        <v>582</v>
      </c>
      <c r="J56" s="4" t="s">
        <v>586</v>
      </c>
      <c r="P56" s="31">
        <v>51213</v>
      </c>
      <c r="Q56" s="29" t="s">
        <v>702</v>
      </c>
    </row>
    <row r="57" spans="1:18">
      <c r="A57" s="4"/>
      <c r="B57" s="3"/>
      <c r="C57" s="3"/>
      <c r="F57" s="4" t="s">
        <v>703</v>
      </c>
      <c r="G57" s="4">
        <v>52100</v>
      </c>
      <c r="H57" s="4" t="s">
        <v>553</v>
      </c>
      <c r="I57" s="4" t="s">
        <v>594</v>
      </c>
      <c r="J57" s="4" t="s">
        <v>535</v>
      </c>
      <c r="P57" s="31">
        <v>52100</v>
      </c>
      <c r="Q57" s="29" t="s">
        <v>704</v>
      </c>
    </row>
    <row r="58" spans="1:18">
      <c r="A58" s="4"/>
      <c r="B58" s="3"/>
      <c r="C58" s="3"/>
      <c r="F58" s="4" t="s">
        <v>705</v>
      </c>
      <c r="G58" s="4">
        <v>53100</v>
      </c>
      <c r="H58" s="4" t="s">
        <v>553</v>
      </c>
      <c r="I58" s="4" t="s">
        <v>706</v>
      </c>
      <c r="J58" s="4" t="s">
        <v>535</v>
      </c>
      <c r="P58" s="31">
        <v>53100</v>
      </c>
      <c r="Q58" s="29" t="s">
        <v>707</v>
      </c>
    </row>
    <row r="59" spans="1:18">
      <c r="A59" s="4"/>
      <c r="B59" s="3"/>
      <c r="C59" s="3"/>
      <c r="F59" s="4" t="s">
        <v>708</v>
      </c>
      <c r="G59" s="4">
        <v>54000</v>
      </c>
      <c r="H59" s="4" t="s">
        <v>553</v>
      </c>
      <c r="I59" s="4" t="s">
        <v>709</v>
      </c>
      <c r="J59" s="4" t="s">
        <v>535</v>
      </c>
      <c r="P59" s="31">
        <v>54000</v>
      </c>
      <c r="Q59" s="29" t="s">
        <v>710</v>
      </c>
    </row>
    <row r="60" spans="1:18">
      <c r="B60" s="3"/>
      <c r="C60" s="3"/>
      <c r="F60" s="4" t="s">
        <v>711</v>
      </c>
      <c r="G60" s="4">
        <v>55000</v>
      </c>
      <c r="H60" s="4" t="s">
        <v>553</v>
      </c>
      <c r="I60" s="4" t="s">
        <v>712</v>
      </c>
      <c r="J60" s="4" t="s">
        <v>535</v>
      </c>
      <c r="P60" s="31">
        <v>55000</v>
      </c>
      <c r="Q60" s="29" t="s">
        <v>713</v>
      </c>
    </row>
    <row r="61" spans="1:18">
      <c r="B61" s="3"/>
      <c r="C61" s="3"/>
      <c r="F61" s="4" t="s">
        <v>714</v>
      </c>
      <c r="G61" s="4">
        <v>55200</v>
      </c>
      <c r="H61" s="4" t="s">
        <v>553</v>
      </c>
      <c r="I61" s="4" t="s">
        <v>715</v>
      </c>
      <c r="J61" s="4" t="s">
        <v>535</v>
      </c>
      <c r="P61" s="31">
        <v>55200</v>
      </c>
      <c r="Q61" s="29" t="s">
        <v>716</v>
      </c>
    </row>
    <row r="62" spans="1:18">
      <c r="B62" s="3"/>
      <c r="C62" s="3"/>
      <c r="F62" s="4" t="s">
        <v>717</v>
      </c>
      <c r="G62" s="4">
        <v>57050</v>
      </c>
      <c r="H62" s="4" t="s">
        <v>553</v>
      </c>
      <c r="I62" s="4" t="s">
        <v>718</v>
      </c>
      <c r="J62" s="4" t="s">
        <v>712</v>
      </c>
      <c r="P62" s="31">
        <v>57050</v>
      </c>
      <c r="Q62" s="29" t="s">
        <v>719</v>
      </c>
    </row>
    <row r="63" spans="1:18">
      <c r="B63" s="3"/>
      <c r="C63" s="3"/>
      <c r="F63" s="4" t="s">
        <v>720</v>
      </c>
      <c r="G63" s="4">
        <v>57300</v>
      </c>
      <c r="H63" s="4" t="s">
        <v>553</v>
      </c>
      <c r="I63" s="4" t="s">
        <v>721</v>
      </c>
      <c r="J63" s="4" t="s">
        <v>535</v>
      </c>
      <c r="P63" s="31">
        <v>57300</v>
      </c>
      <c r="Q63" s="29" t="s">
        <v>722</v>
      </c>
    </row>
    <row r="64" spans="1:18">
      <c r="B64" s="3"/>
      <c r="C64" s="3"/>
      <c r="F64" s="4" t="s">
        <v>723</v>
      </c>
      <c r="G64" s="4">
        <v>57500</v>
      </c>
      <c r="H64" s="4" t="s">
        <v>553</v>
      </c>
      <c r="I64" s="4" t="s">
        <v>724</v>
      </c>
      <c r="J64" s="4" t="s">
        <v>535</v>
      </c>
      <c r="P64" s="31">
        <v>57500</v>
      </c>
      <c r="Q64" s="29" t="s">
        <v>725</v>
      </c>
    </row>
    <row r="65" spans="1:18">
      <c r="B65" s="3"/>
      <c r="C65" s="3"/>
      <c r="F65" s="4"/>
      <c r="G65" s="4"/>
      <c r="H65" s="4"/>
      <c r="I65" s="4"/>
      <c r="J65" s="4"/>
      <c r="P65" s="31"/>
    </row>
    <row r="66" spans="1:18">
      <c r="B66" s="3"/>
      <c r="C66" s="3"/>
      <c r="F66" s="278"/>
      <c r="G66" s="4">
        <v>60000</v>
      </c>
      <c r="H66" s="4" t="s">
        <v>557</v>
      </c>
      <c r="I66" s="4" t="s">
        <v>535</v>
      </c>
      <c r="J66" s="4" t="s">
        <v>535</v>
      </c>
      <c r="P66" s="30" t="s">
        <v>726</v>
      </c>
      <c r="Q66" s="30"/>
      <c r="R66" s="30"/>
    </row>
    <row r="67" spans="1:18">
      <c r="B67" s="3"/>
      <c r="C67" s="3"/>
      <c r="F67" s="283" t="s">
        <v>727</v>
      </c>
      <c r="G67" s="4">
        <v>60500</v>
      </c>
      <c r="H67" s="4">
        <v>6</v>
      </c>
      <c r="I67" s="4" t="s">
        <v>622</v>
      </c>
      <c r="J67" s="4" t="s">
        <v>535</v>
      </c>
      <c r="P67" s="31">
        <v>60500</v>
      </c>
      <c r="Q67" s="29" t="s">
        <v>728</v>
      </c>
    </row>
    <row r="68" spans="1:18">
      <c r="A68" s="4"/>
      <c r="B68" s="3"/>
      <c r="C68" s="3"/>
      <c r="F68" s="4" t="s">
        <v>729</v>
      </c>
      <c r="G68" s="4">
        <v>60100</v>
      </c>
      <c r="H68" s="4" t="s">
        <v>557</v>
      </c>
      <c r="I68" s="4" t="s">
        <v>730</v>
      </c>
      <c r="J68" s="4" t="s">
        <v>535</v>
      </c>
      <c r="P68" s="31">
        <v>60100</v>
      </c>
      <c r="Q68" s="29" t="s">
        <v>731</v>
      </c>
    </row>
    <row r="69" spans="1:18">
      <c r="A69" s="4"/>
      <c r="B69" s="3"/>
      <c r="C69" s="3"/>
      <c r="F69" s="4" t="s">
        <v>732</v>
      </c>
      <c r="G69" s="4">
        <v>61000</v>
      </c>
      <c r="H69" s="4" t="s">
        <v>557</v>
      </c>
      <c r="I69" s="4" t="s">
        <v>573</v>
      </c>
      <c r="J69" s="4" t="s">
        <v>535</v>
      </c>
      <c r="P69" s="31">
        <v>61000</v>
      </c>
      <c r="Q69" s="29" t="s">
        <v>733</v>
      </c>
    </row>
    <row r="70" spans="1:18">
      <c r="A70" s="4"/>
      <c r="B70" s="3"/>
      <c r="C70" s="3"/>
      <c r="F70" s="4" t="s">
        <v>734</v>
      </c>
      <c r="G70" s="4">
        <v>61100</v>
      </c>
      <c r="H70" s="4" t="s">
        <v>557</v>
      </c>
      <c r="I70" s="4" t="s">
        <v>578</v>
      </c>
      <c r="J70" s="4" t="s">
        <v>535</v>
      </c>
      <c r="P70" s="31">
        <v>61100</v>
      </c>
      <c r="Q70" s="29" t="s">
        <v>735</v>
      </c>
    </row>
    <row r="71" spans="1:18">
      <c r="B71" s="3"/>
      <c r="C71" s="3"/>
      <c r="F71" s="4" t="s">
        <v>736</v>
      </c>
      <c r="G71" s="4">
        <v>61400</v>
      </c>
      <c r="H71" s="4" t="s">
        <v>557</v>
      </c>
      <c r="I71" s="4" t="s">
        <v>590</v>
      </c>
      <c r="J71" s="4" t="s">
        <v>535</v>
      </c>
      <c r="P71" s="31">
        <v>61400</v>
      </c>
      <c r="Q71" s="29" t="s">
        <v>737</v>
      </c>
    </row>
    <row r="72" spans="1:18">
      <c r="A72" s="4"/>
      <c r="B72" s="3"/>
      <c r="C72" s="3"/>
      <c r="F72" s="4" t="s">
        <v>738</v>
      </c>
      <c r="G72" s="4">
        <v>62000</v>
      </c>
      <c r="H72" s="4" t="s">
        <v>557</v>
      </c>
      <c r="I72" s="4" t="s">
        <v>675</v>
      </c>
      <c r="J72" s="4" t="s">
        <v>535</v>
      </c>
      <c r="P72" s="31">
        <v>62000</v>
      </c>
      <c r="Q72" s="29" t="s">
        <v>739</v>
      </c>
    </row>
    <row r="73" spans="1:18">
      <c r="A73" s="4"/>
      <c r="B73" s="3"/>
      <c r="C73" s="3"/>
      <c r="F73" s="4" t="s">
        <v>740</v>
      </c>
      <c r="G73" s="4">
        <v>64000</v>
      </c>
      <c r="H73" s="4" t="s">
        <v>557</v>
      </c>
      <c r="I73" s="4" t="s">
        <v>709</v>
      </c>
      <c r="J73" s="4" t="s">
        <v>535</v>
      </c>
      <c r="P73" s="31">
        <v>64000</v>
      </c>
      <c r="Q73" s="29" t="s">
        <v>741</v>
      </c>
    </row>
    <row r="74" spans="1:18">
      <c r="A74" s="4"/>
      <c r="B74" s="3"/>
      <c r="C74" s="3"/>
      <c r="F74" s="4" t="s">
        <v>742</v>
      </c>
      <c r="G74" s="4">
        <v>64100</v>
      </c>
      <c r="H74" s="4" t="s">
        <v>557</v>
      </c>
      <c r="I74" s="4" t="s">
        <v>626</v>
      </c>
      <c r="J74" s="4" t="s">
        <v>535</v>
      </c>
      <c r="P74" s="31">
        <v>64100</v>
      </c>
      <c r="Q74" s="29" t="s">
        <v>743</v>
      </c>
    </row>
    <row r="75" spans="1:18">
      <c r="A75" s="4"/>
      <c r="B75" s="3"/>
      <c r="C75" s="3"/>
      <c r="F75" s="4" t="s">
        <v>744</v>
      </c>
      <c r="G75" s="4">
        <v>64200</v>
      </c>
      <c r="H75" s="4" t="s">
        <v>557</v>
      </c>
      <c r="I75" s="4" t="s">
        <v>745</v>
      </c>
      <c r="J75" s="4" t="s">
        <v>535</v>
      </c>
      <c r="P75" s="31">
        <v>64200</v>
      </c>
      <c r="Q75" s="29" t="s">
        <v>746</v>
      </c>
    </row>
    <row r="76" spans="1:18">
      <c r="A76" s="4"/>
      <c r="B76" s="3"/>
      <c r="C76" s="3"/>
      <c r="F76" s="4" t="s">
        <v>747</v>
      </c>
      <c r="G76" s="4">
        <v>64600</v>
      </c>
      <c r="H76" s="4" t="s">
        <v>557</v>
      </c>
      <c r="I76" s="4" t="s">
        <v>748</v>
      </c>
      <c r="J76" s="4" t="s">
        <v>535</v>
      </c>
      <c r="P76" s="31">
        <v>64600</v>
      </c>
      <c r="Q76" s="29" t="s">
        <v>749</v>
      </c>
    </row>
    <row r="77" spans="1:18">
      <c r="A77" s="4"/>
      <c r="B77" s="3"/>
      <c r="C77" s="3"/>
      <c r="F77" s="4" t="s">
        <v>750</v>
      </c>
      <c r="G77" s="4">
        <v>65113</v>
      </c>
      <c r="H77" s="4" t="s">
        <v>557</v>
      </c>
      <c r="I77" s="4" t="s">
        <v>751</v>
      </c>
      <c r="J77" s="4" t="s">
        <v>586</v>
      </c>
      <c r="P77" s="31">
        <v>65113</v>
      </c>
      <c r="Q77" s="29" t="s">
        <v>752</v>
      </c>
    </row>
    <row r="78" spans="1:18">
      <c r="B78" s="3"/>
      <c r="C78" s="3"/>
      <c r="F78" s="4" t="s">
        <v>753</v>
      </c>
      <c r="G78" s="4">
        <v>66000</v>
      </c>
      <c r="H78" s="4" t="s">
        <v>557</v>
      </c>
      <c r="I78" s="4" t="s">
        <v>681</v>
      </c>
      <c r="J78" s="4" t="s">
        <v>535</v>
      </c>
      <c r="P78" s="31">
        <v>66000</v>
      </c>
      <c r="Q78" s="29" t="s">
        <v>754</v>
      </c>
    </row>
    <row r="79" spans="1:18">
      <c r="B79" s="3"/>
      <c r="C79" s="3"/>
      <c r="F79" s="4"/>
      <c r="G79" s="4"/>
      <c r="H79" s="4"/>
      <c r="I79" s="4"/>
      <c r="J79" s="4"/>
      <c r="P79" s="31"/>
    </row>
    <row r="80" spans="1:18">
      <c r="B80" s="3"/>
      <c r="C80" s="3"/>
      <c r="F80" s="278"/>
      <c r="G80" s="4">
        <v>70000</v>
      </c>
      <c r="H80" s="4" t="s">
        <v>560</v>
      </c>
      <c r="I80" s="4" t="s">
        <v>535</v>
      </c>
      <c r="J80" s="4" t="s">
        <v>535</v>
      </c>
      <c r="P80" s="30" t="s">
        <v>755</v>
      </c>
      <c r="Q80" s="30"/>
      <c r="R80" s="30"/>
    </row>
    <row r="81" spans="1:17">
      <c r="B81" s="3"/>
      <c r="C81" s="3"/>
      <c r="F81" s="283" t="s">
        <v>756</v>
      </c>
      <c r="G81" s="4">
        <v>70500</v>
      </c>
      <c r="H81" s="4">
        <v>7</v>
      </c>
      <c r="I81" s="4" t="s">
        <v>622</v>
      </c>
      <c r="J81" s="4" t="s">
        <v>535</v>
      </c>
      <c r="P81" s="31">
        <v>70500</v>
      </c>
      <c r="Q81" s="29" t="s">
        <v>757</v>
      </c>
    </row>
    <row r="82" spans="1:17">
      <c r="B82" s="3"/>
      <c r="C82" s="3"/>
      <c r="F82" s="4" t="s">
        <v>758</v>
      </c>
      <c r="G82" s="4">
        <v>70152</v>
      </c>
      <c r="H82" s="4" t="s">
        <v>560</v>
      </c>
      <c r="I82" s="4" t="s">
        <v>730</v>
      </c>
      <c r="J82" s="4" t="s">
        <v>715</v>
      </c>
      <c r="P82" s="31">
        <v>70152</v>
      </c>
      <c r="Q82" s="29" t="s">
        <v>759</v>
      </c>
    </row>
    <row r="83" spans="1:17">
      <c r="B83" s="3"/>
      <c r="C83" s="3"/>
      <c r="F83" s="4" t="s">
        <v>760</v>
      </c>
      <c r="G83" s="4">
        <v>70153</v>
      </c>
      <c r="H83" s="4" t="s">
        <v>560</v>
      </c>
      <c r="I83" s="4" t="s">
        <v>730</v>
      </c>
      <c r="J83" s="4" t="s">
        <v>761</v>
      </c>
      <c r="P83" s="31">
        <v>70153</v>
      </c>
      <c r="Q83" s="29" t="s">
        <v>762</v>
      </c>
    </row>
    <row r="84" spans="1:17">
      <c r="B84" s="3"/>
      <c r="C84" s="3"/>
      <c r="F84" s="4" t="s">
        <v>763</v>
      </c>
      <c r="G84" s="4">
        <v>71000</v>
      </c>
      <c r="H84" s="4" t="s">
        <v>560</v>
      </c>
      <c r="I84" s="4" t="s">
        <v>573</v>
      </c>
      <c r="J84" s="4" t="s">
        <v>535</v>
      </c>
      <c r="P84" s="31">
        <v>71000</v>
      </c>
      <c r="Q84" s="29" t="s">
        <v>763</v>
      </c>
    </row>
    <row r="85" spans="1:17">
      <c r="B85" s="3"/>
      <c r="C85" s="3"/>
      <c r="F85" s="4" t="s">
        <v>764</v>
      </c>
      <c r="G85" s="4">
        <v>71100</v>
      </c>
      <c r="H85" s="4" t="s">
        <v>560</v>
      </c>
      <c r="I85" s="4" t="s">
        <v>578</v>
      </c>
      <c r="J85" s="4" t="s">
        <v>535</v>
      </c>
      <c r="P85" s="31">
        <v>71100</v>
      </c>
      <c r="Q85" s="283" t="s">
        <v>765</v>
      </c>
    </row>
    <row r="86" spans="1:17">
      <c r="A86" s="4"/>
      <c r="B86" s="3"/>
      <c r="C86" s="3"/>
      <c r="F86" s="4" t="s">
        <v>766</v>
      </c>
      <c r="G86" s="4">
        <v>71800</v>
      </c>
      <c r="H86" s="4" t="s">
        <v>560</v>
      </c>
      <c r="I86" s="4" t="s">
        <v>767</v>
      </c>
      <c r="J86" s="4" t="s">
        <v>535</v>
      </c>
      <c r="P86" s="31">
        <v>71800</v>
      </c>
      <c r="Q86" s="29" t="s">
        <v>768</v>
      </c>
    </row>
    <row r="87" spans="1:17">
      <c r="A87" s="4"/>
      <c r="B87" s="3"/>
      <c r="C87" s="3"/>
      <c r="F87" s="4" t="s">
        <v>769</v>
      </c>
      <c r="G87" s="4">
        <v>72100</v>
      </c>
      <c r="H87" s="4" t="s">
        <v>560</v>
      </c>
      <c r="I87" s="4" t="s">
        <v>594</v>
      </c>
      <c r="J87" s="4" t="s">
        <v>535</v>
      </c>
      <c r="P87" s="31">
        <v>72100</v>
      </c>
      <c r="Q87" s="29" t="s">
        <v>770</v>
      </c>
    </row>
    <row r="88" spans="1:17">
      <c r="A88" s="4"/>
      <c r="B88" s="3"/>
      <c r="C88" s="3"/>
      <c r="F88" s="4" t="s">
        <v>771</v>
      </c>
      <c r="G88" s="4">
        <v>72600</v>
      </c>
      <c r="H88" s="4" t="s">
        <v>560</v>
      </c>
      <c r="I88" s="4" t="s">
        <v>606</v>
      </c>
      <c r="J88" s="4" t="s">
        <v>535</v>
      </c>
      <c r="P88" s="31">
        <v>72600</v>
      </c>
      <c r="Q88" s="29" t="s">
        <v>772</v>
      </c>
    </row>
    <row r="89" spans="1:17">
      <c r="A89" s="4"/>
      <c r="B89" s="3"/>
      <c r="C89" s="3"/>
      <c r="F89" s="4" t="s">
        <v>773</v>
      </c>
      <c r="G89" s="4">
        <v>72700</v>
      </c>
      <c r="H89" s="4" t="s">
        <v>560</v>
      </c>
      <c r="I89" s="4" t="s">
        <v>610</v>
      </c>
      <c r="J89" s="4" t="s">
        <v>535</v>
      </c>
      <c r="P89" s="31">
        <v>72700</v>
      </c>
      <c r="Q89" s="29" t="s">
        <v>774</v>
      </c>
    </row>
    <row r="90" spans="1:17">
      <c r="A90" s="4"/>
      <c r="B90" s="3"/>
      <c r="C90" s="3"/>
      <c r="F90" s="4" t="s">
        <v>775</v>
      </c>
      <c r="G90" s="4">
        <v>74100</v>
      </c>
      <c r="H90" s="4" t="s">
        <v>560</v>
      </c>
      <c r="I90" s="4" t="s">
        <v>626</v>
      </c>
      <c r="J90" s="4" t="s">
        <v>535</v>
      </c>
      <c r="P90" s="31">
        <v>74100</v>
      </c>
      <c r="Q90" s="29" t="s">
        <v>776</v>
      </c>
    </row>
    <row r="91" spans="1:17">
      <c r="A91" s="4"/>
      <c r="B91" s="3"/>
      <c r="C91" s="3"/>
      <c r="F91" s="4" t="s">
        <v>777</v>
      </c>
      <c r="G91" s="4">
        <v>74200</v>
      </c>
      <c r="H91" s="4" t="s">
        <v>560</v>
      </c>
      <c r="I91" s="4" t="s">
        <v>745</v>
      </c>
      <c r="J91" s="4" t="s">
        <v>535</v>
      </c>
      <c r="P91" s="31">
        <v>74200</v>
      </c>
      <c r="Q91" s="29" t="s">
        <v>778</v>
      </c>
    </row>
    <row r="92" spans="1:17">
      <c r="A92" s="4"/>
      <c r="B92" s="3"/>
      <c r="C92" s="3"/>
      <c r="F92" s="4" t="s">
        <v>779</v>
      </c>
      <c r="G92" s="4">
        <v>75000</v>
      </c>
      <c r="H92" s="4" t="s">
        <v>560</v>
      </c>
      <c r="I92" s="4" t="s">
        <v>712</v>
      </c>
      <c r="J92" s="4" t="s">
        <v>535</v>
      </c>
      <c r="P92" s="31">
        <v>75000</v>
      </c>
      <c r="Q92" s="29" t="s">
        <v>780</v>
      </c>
    </row>
    <row r="93" spans="1:17">
      <c r="A93" s="4"/>
      <c r="B93" s="3"/>
      <c r="C93" s="3"/>
      <c r="F93" s="4" t="s">
        <v>781</v>
      </c>
      <c r="G93" s="4">
        <v>75100</v>
      </c>
      <c r="H93" s="4" t="s">
        <v>560</v>
      </c>
      <c r="I93" s="4" t="s">
        <v>751</v>
      </c>
      <c r="J93" s="4" t="s">
        <v>535</v>
      </c>
      <c r="P93" s="31">
        <v>75100</v>
      </c>
      <c r="Q93" s="29" t="s">
        <v>782</v>
      </c>
    </row>
    <row r="94" spans="1:17">
      <c r="A94" s="4"/>
      <c r="B94" s="3"/>
      <c r="C94" s="3"/>
      <c r="F94" s="4" t="s">
        <v>783</v>
      </c>
      <c r="G94" s="4">
        <v>75200</v>
      </c>
      <c r="H94" s="4" t="s">
        <v>560</v>
      </c>
      <c r="I94" s="4" t="s">
        <v>715</v>
      </c>
      <c r="J94" s="4" t="s">
        <v>535</v>
      </c>
      <c r="P94" s="31">
        <v>75200</v>
      </c>
      <c r="Q94" s="29" t="s">
        <v>784</v>
      </c>
    </row>
    <row r="95" spans="1:17">
      <c r="A95" s="4"/>
      <c r="B95" s="3"/>
      <c r="C95" s="3"/>
      <c r="F95" s="4" t="s">
        <v>785</v>
      </c>
      <c r="G95" s="4">
        <v>75300</v>
      </c>
      <c r="H95" s="4" t="s">
        <v>560</v>
      </c>
      <c r="I95" s="4" t="s">
        <v>761</v>
      </c>
      <c r="J95" s="4" t="s">
        <v>535</v>
      </c>
      <c r="P95" s="31">
        <v>75300</v>
      </c>
      <c r="Q95" s="29" t="s">
        <v>786</v>
      </c>
    </row>
    <row r="96" spans="1:17">
      <c r="A96" s="4"/>
      <c r="B96" s="3"/>
      <c r="C96" s="3"/>
      <c r="F96" s="4" t="s">
        <v>787</v>
      </c>
      <c r="G96" s="4">
        <v>76100</v>
      </c>
      <c r="H96" s="4" t="s">
        <v>560</v>
      </c>
      <c r="I96" s="4" t="s">
        <v>637</v>
      </c>
      <c r="J96" s="4" t="s">
        <v>535</v>
      </c>
      <c r="P96" s="31">
        <v>76100</v>
      </c>
      <c r="Q96" s="29" t="s">
        <v>788</v>
      </c>
    </row>
    <row r="97" spans="1:18">
      <c r="A97" s="4"/>
      <c r="B97" s="3"/>
      <c r="C97" s="3"/>
      <c r="F97" s="4" t="s">
        <v>789</v>
      </c>
      <c r="G97" s="4">
        <v>76200</v>
      </c>
      <c r="H97" s="4" t="s">
        <v>560</v>
      </c>
      <c r="I97" s="4" t="s">
        <v>790</v>
      </c>
      <c r="J97" s="4" t="s">
        <v>535</v>
      </c>
      <c r="P97" s="31">
        <v>76200</v>
      </c>
      <c r="Q97" s="29" t="s">
        <v>791</v>
      </c>
    </row>
    <row r="98" spans="1:18">
      <c r="A98" s="4"/>
      <c r="B98" s="3"/>
      <c r="C98" s="3"/>
      <c r="F98" s="4" t="s">
        <v>792</v>
      </c>
      <c r="G98" s="4">
        <v>77123</v>
      </c>
      <c r="H98" s="4" t="s">
        <v>560</v>
      </c>
      <c r="I98" s="4" t="s">
        <v>793</v>
      </c>
      <c r="J98" s="4" t="s">
        <v>602</v>
      </c>
      <c r="P98" s="31">
        <v>77123</v>
      </c>
      <c r="Q98" s="29" t="s">
        <v>794</v>
      </c>
    </row>
    <row r="99" spans="1:18">
      <c r="A99" s="4"/>
      <c r="B99" s="3"/>
      <c r="C99" s="3"/>
      <c r="F99" s="4" t="s">
        <v>795</v>
      </c>
      <c r="G99" s="4">
        <v>77200</v>
      </c>
      <c r="H99" s="4" t="s">
        <v>560</v>
      </c>
      <c r="I99" s="4" t="s">
        <v>796</v>
      </c>
      <c r="J99" s="4" t="s">
        <v>535</v>
      </c>
      <c r="P99" s="31">
        <v>77200</v>
      </c>
      <c r="Q99" s="29" t="s">
        <v>797</v>
      </c>
    </row>
    <row r="100" spans="1:18">
      <c r="A100" s="4"/>
      <c r="B100" s="3"/>
      <c r="C100" s="3"/>
      <c r="F100" s="4" t="s">
        <v>798</v>
      </c>
      <c r="G100" s="4">
        <v>78100</v>
      </c>
      <c r="H100" s="4" t="s">
        <v>560</v>
      </c>
      <c r="I100" s="4" t="s">
        <v>799</v>
      </c>
      <c r="J100" s="4" t="s">
        <v>535</v>
      </c>
      <c r="P100" s="31">
        <v>78100</v>
      </c>
      <c r="Q100" s="29" t="s">
        <v>800</v>
      </c>
    </row>
    <row r="101" spans="1:18">
      <c r="A101" s="4"/>
      <c r="B101" s="3"/>
      <c r="C101" s="3"/>
      <c r="F101" s="4" t="s">
        <v>801</v>
      </c>
      <c r="G101" s="4">
        <v>78400</v>
      </c>
      <c r="H101" s="4" t="s">
        <v>560</v>
      </c>
      <c r="I101" s="4" t="s">
        <v>662</v>
      </c>
      <c r="J101" s="4" t="s">
        <v>535</v>
      </c>
      <c r="P101" s="31">
        <v>78400</v>
      </c>
      <c r="Q101" s="283" t="s">
        <v>802</v>
      </c>
    </row>
    <row r="102" spans="1:18">
      <c r="A102" s="4"/>
      <c r="B102" s="3"/>
      <c r="C102" s="3"/>
      <c r="F102" s="4" t="s">
        <v>803</v>
      </c>
      <c r="G102" s="4">
        <v>79200</v>
      </c>
      <c r="H102" s="4" t="s">
        <v>560</v>
      </c>
      <c r="I102" s="4" t="s">
        <v>804</v>
      </c>
      <c r="J102" s="4" t="s">
        <v>535</v>
      </c>
      <c r="P102" s="31">
        <v>79200</v>
      </c>
      <c r="Q102" s="29" t="s">
        <v>805</v>
      </c>
    </row>
    <row r="103" spans="1:18">
      <c r="A103" s="4"/>
      <c r="B103" s="3"/>
      <c r="C103" s="3"/>
      <c r="F103" s="4" t="s">
        <v>806</v>
      </c>
      <c r="G103" s="4">
        <v>79500</v>
      </c>
      <c r="H103" s="4" t="s">
        <v>560</v>
      </c>
      <c r="I103" s="4" t="s">
        <v>807</v>
      </c>
      <c r="J103" s="4" t="s">
        <v>535</v>
      </c>
      <c r="P103" s="31">
        <v>79500</v>
      </c>
      <c r="Q103" s="29" t="s">
        <v>808</v>
      </c>
    </row>
    <row r="104" spans="1:18">
      <c r="A104" s="4"/>
      <c r="B104" s="3"/>
      <c r="C104" s="3"/>
      <c r="F104" s="4"/>
      <c r="G104" s="4"/>
      <c r="H104" s="4"/>
      <c r="I104" s="4"/>
      <c r="J104" s="4"/>
      <c r="P104" s="31"/>
    </row>
    <row r="105" spans="1:18">
      <c r="A105" s="4"/>
      <c r="B105" s="3"/>
      <c r="C105" s="3"/>
      <c r="F105" s="278"/>
      <c r="G105" s="4">
        <v>80000</v>
      </c>
      <c r="H105" s="4" t="s">
        <v>565</v>
      </c>
      <c r="I105" s="4" t="s">
        <v>535</v>
      </c>
      <c r="J105" s="4" t="s">
        <v>535</v>
      </c>
      <c r="P105" s="30" t="s">
        <v>809</v>
      </c>
      <c r="Q105" s="30"/>
      <c r="R105" s="30"/>
    </row>
    <row r="106" spans="1:18">
      <c r="A106" s="4"/>
      <c r="B106" s="3"/>
      <c r="C106" s="3"/>
      <c r="F106" s="283" t="s">
        <v>810</v>
      </c>
      <c r="G106" s="4">
        <v>80500</v>
      </c>
      <c r="H106" s="4">
        <v>8</v>
      </c>
      <c r="I106" s="4" t="s">
        <v>622</v>
      </c>
      <c r="J106" s="4" t="s">
        <v>535</v>
      </c>
      <c r="P106" s="31">
        <v>80500</v>
      </c>
      <c r="Q106" s="29" t="s">
        <v>811</v>
      </c>
    </row>
    <row r="107" spans="1:18">
      <c r="A107" s="4"/>
      <c r="B107" s="3"/>
      <c r="C107" s="3"/>
      <c r="F107" s="4" t="s">
        <v>812</v>
      </c>
      <c r="G107" s="4">
        <v>80600</v>
      </c>
      <c r="H107" s="4" t="s">
        <v>565</v>
      </c>
      <c r="I107" s="4" t="s">
        <v>813</v>
      </c>
      <c r="J107" s="4" t="s">
        <v>535</v>
      </c>
      <c r="P107" s="31">
        <v>80600</v>
      </c>
      <c r="Q107" s="29" t="s">
        <v>814</v>
      </c>
    </row>
    <row r="108" spans="1:18">
      <c r="A108" s="4"/>
      <c r="B108" s="3"/>
      <c r="C108" s="3"/>
      <c r="F108" s="4" t="s">
        <v>815</v>
      </c>
      <c r="G108" s="4">
        <v>81100</v>
      </c>
      <c r="H108" s="4" t="s">
        <v>565</v>
      </c>
      <c r="I108" s="4" t="s">
        <v>578</v>
      </c>
      <c r="J108" s="4" t="s">
        <v>535</v>
      </c>
      <c r="P108" s="31">
        <v>81100</v>
      </c>
      <c r="Q108" s="29" t="s">
        <v>816</v>
      </c>
    </row>
    <row r="109" spans="1:18">
      <c r="A109" s="4"/>
      <c r="B109" s="3"/>
      <c r="C109" s="3"/>
      <c r="F109" s="4" t="s">
        <v>817</v>
      </c>
      <c r="G109" s="4">
        <v>81400</v>
      </c>
      <c r="H109" s="4" t="s">
        <v>565</v>
      </c>
      <c r="I109" s="4" t="s">
        <v>590</v>
      </c>
      <c r="J109" s="4" t="s">
        <v>535</v>
      </c>
      <c r="P109" s="31">
        <v>81400</v>
      </c>
      <c r="Q109" s="29" t="s">
        <v>818</v>
      </c>
    </row>
    <row r="110" spans="1:18">
      <c r="A110" s="4"/>
      <c r="B110" s="3"/>
      <c r="C110" s="3"/>
      <c r="F110" s="4" t="s">
        <v>819</v>
      </c>
      <c r="G110" s="4">
        <v>83100</v>
      </c>
      <c r="H110" s="4" t="s">
        <v>565</v>
      </c>
      <c r="I110" s="4" t="s">
        <v>706</v>
      </c>
      <c r="J110" s="4" t="s">
        <v>535</v>
      </c>
      <c r="P110" s="31">
        <v>83100</v>
      </c>
      <c r="Q110" s="29" t="s">
        <v>820</v>
      </c>
    </row>
    <row r="111" spans="1:18">
      <c r="A111" s="4"/>
      <c r="B111" s="3"/>
      <c r="C111" s="3"/>
      <c r="F111" s="4" t="s">
        <v>821</v>
      </c>
      <c r="G111" s="4">
        <v>83300</v>
      </c>
      <c r="H111" s="4" t="s">
        <v>565</v>
      </c>
      <c r="I111" s="4" t="s">
        <v>822</v>
      </c>
      <c r="J111" s="4" t="s">
        <v>535</v>
      </c>
      <c r="P111" s="31">
        <v>83300</v>
      </c>
      <c r="Q111" s="29" t="s">
        <v>823</v>
      </c>
    </row>
    <row r="112" spans="1:18">
      <c r="A112" s="4"/>
      <c r="B112" s="3"/>
      <c r="C112" s="3"/>
      <c r="F112" s="4" t="s">
        <v>824</v>
      </c>
      <c r="G112" s="4">
        <v>83600</v>
      </c>
      <c r="H112" s="4" t="s">
        <v>565</v>
      </c>
      <c r="I112" s="4" t="s">
        <v>825</v>
      </c>
      <c r="J112" s="4" t="s">
        <v>535</v>
      </c>
      <c r="P112" s="31">
        <v>83600</v>
      </c>
      <c r="Q112" s="29" t="s">
        <v>826</v>
      </c>
    </row>
    <row r="113" spans="1:18">
      <c r="A113" s="4"/>
      <c r="B113" s="3"/>
      <c r="C113" s="3"/>
      <c r="F113" s="4" t="s">
        <v>827</v>
      </c>
      <c r="G113" s="4">
        <v>84113</v>
      </c>
      <c r="H113" s="4" t="s">
        <v>565</v>
      </c>
      <c r="I113" s="4" t="s">
        <v>626</v>
      </c>
      <c r="J113" s="4" t="s">
        <v>586</v>
      </c>
      <c r="P113" s="31">
        <v>84113</v>
      </c>
      <c r="Q113" s="29" t="s">
        <v>828</v>
      </c>
    </row>
    <row r="114" spans="1:18">
      <c r="A114" s="4"/>
      <c r="B114" s="3"/>
      <c r="C114" s="3"/>
      <c r="F114" s="4" t="s">
        <v>829</v>
      </c>
      <c r="G114" s="4">
        <v>84126</v>
      </c>
      <c r="H114" s="4" t="s">
        <v>565</v>
      </c>
      <c r="I114" s="4" t="s">
        <v>626</v>
      </c>
      <c r="J114" s="4" t="s">
        <v>606</v>
      </c>
      <c r="P114" s="31">
        <v>84126</v>
      </c>
      <c r="Q114" s="29" t="s">
        <v>830</v>
      </c>
    </row>
    <row r="115" spans="1:18">
      <c r="A115" s="4"/>
      <c r="B115" s="3"/>
      <c r="C115" s="3"/>
      <c r="F115" s="4" t="s">
        <v>831</v>
      </c>
      <c r="G115" s="4">
        <v>84200</v>
      </c>
      <c r="H115" s="4" t="s">
        <v>565</v>
      </c>
      <c r="I115" s="4" t="s">
        <v>745</v>
      </c>
      <c r="J115" s="4" t="s">
        <v>535</v>
      </c>
      <c r="P115" s="31">
        <v>84200</v>
      </c>
      <c r="Q115" s="29" t="s">
        <v>832</v>
      </c>
    </row>
    <row r="116" spans="1:18">
      <c r="A116" s="4"/>
      <c r="B116" s="3"/>
      <c r="C116" s="3"/>
      <c r="F116" s="4" t="s">
        <v>833</v>
      </c>
      <c r="G116" s="4">
        <v>84400</v>
      </c>
      <c r="H116" s="4" t="s">
        <v>565</v>
      </c>
      <c r="I116" s="4" t="s">
        <v>834</v>
      </c>
      <c r="J116" s="4" t="s">
        <v>535</v>
      </c>
      <c r="P116" s="31">
        <v>84400</v>
      </c>
      <c r="Q116" s="29" t="s">
        <v>835</v>
      </c>
    </row>
    <row r="117" spans="1:18">
      <c r="A117" s="4"/>
      <c r="B117" s="3"/>
      <c r="C117" s="3"/>
      <c r="F117" s="4" t="s">
        <v>836</v>
      </c>
      <c r="G117" s="4">
        <v>85000</v>
      </c>
      <c r="H117" s="4" t="s">
        <v>565</v>
      </c>
      <c r="I117" s="4" t="s">
        <v>712</v>
      </c>
      <c r="J117" s="4" t="s">
        <v>535</v>
      </c>
      <c r="P117" s="31">
        <v>85000</v>
      </c>
      <c r="Q117" s="29" t="s">
        <v>836</v>
      </c>
    </row>
    <row r="118" spans="1:18">
      <c r="A118" s="4"/>
      <c r="B118" s="3"/>
      <c r="C118" s="3"/>
      <c r="F118" s="4" t="s">
        <v>837</v>
      </c>
      <c r="G118" s="4">
        <v>85100</v>
      </c>
      <c r="H118" s="4" t="s">
        <v>565</v>
      </c>
      <c r="I118" s="4" t="s">
        <v>751</v>
      </c>
      <c r="J118" s="4" t="s">
        <v>535</v>
      </c>
      <c r="P118" s="31">
        <v>85100</v>
      </c>
      <c r="Q118" s="29" t="s">
        <v>838</v>
      </c>
    </row>
    <row r="119" spans="1:18">
      <c r="A119" s="4"/>
      <c r="B119" s="3"/>
      <c r="C119" s="3"/>
      <c r="F119" s="4" t="s">
        <v>839</v>
      </c>
      <c r="G119" s="4">
        <v>85600</v>
      </c>
      <c r="H119" s="4" t="s">
        <v>565</v>
      </c>
      <c r="I119" s="4" t="s">
        <v>840</v>
      </c>
      <c r="J119" s="4" t="s">
        <v>535</v>
      </c>
      <c r="P119" s="31">
        <v>85600</v>
      </c>
      <c r="Q119" s="29" t="s">
        <v>841</v>
      </c>
    </row>
    <row r="120" spans="1:18">
      <c r="A120" s="4"/>
      <c r="B120" s="3"/>
      <c r="C120" s="3"/>
      <c r="F120" s="4" t="s">
        <v>842</v>
      </c>
      <c r="G120" s="4">
        <v>86000</v>
      </c>
      <c r="H120" s="4" t="s">
        <v>565</v>
      </c>
      <c r="I120" s="4" t="s">
        <v>681</v>
      </c>
      <c r="J120" s="4" t="s">
        <v>535</v>
      </c>
      <c r="P120" s="31">
        <v>86000</v>
      </c>
      <c r="Q120" s="29" t="s">
        <v>842</v>
      </c>
    </row>
    <row r="121" spans="1:18">
      <c r="A121" s="4"/>
      <c r="B121" s="3"/>
      <c r="C121" s="3"/>
      <c r="F121" s="4" t="s">
        <v>843</v>
      </c>
      <c r="G121" s="4">
        <v>87000</v>
      </c>
      <c r="H121" s="4" t="s">
        <v>565</v>
      </c>
      <c r="I121" s="4" t="s">
        <v>718</v>
      </c>
      <c r="J121" s="4" t="s">
        <v>535</v>
      </c>
      <c r="P121" s="31">
        <v>87000</v>
      </c>
      <c r="Q121" s="29" t="s">
        <v>844</v>
      </c>
    </row>
    <row r="122" spans="1:18">
      <c r="A122" s="4"/>
      <c r="B122" s="3"/>
      <c r="C122" s="3"/>
      <c r="F122" s="4" t="s">
        <v>845</v>
      </c>
      <c r="G122" s="4">
        <v>87100</v>
      </c>
      <c r="H122" s="4" t="s">
        <v>565</v>
      </c>
      <c r="I122" s="4" t="s">
        <v>793</v>
      </c>
      <c r="J122" s="4" t="s">
        <v>535</v>
      </c>
      <c r="P122" s="31">
        <v>87100</v>
      </c>
      <c r="Q122" s="29" t="s">
        <v>846</v>
      </c>
    </row>
    <row r="123" spans="1:18">
      <c r="A123" s="4"/>
      <c r="B123" s="3"/>
      <c r="C123" s="3"/>
      <c r="F123" s="4" t="s">
        <v>847</v>
      </c>
      <c r="G123" s="4">
        <v>88000</v>
      </c>
      <c r="H123" s="4" t="s">
        <v>565</v>
      </c>
      <c r="I123" s="4" t="s">
        <v>848</v>
      </c>
      <c r="J123" s="4" t="s">
        <v>535</v>
      </c>
      <c r="P123" s="31">
        <v>88000</v>
      </c>
      <c r="Q123" s="29" t="s">
        <v>847</v>
      </c>
    </row>
    <row r="124" spans="1:18">
      <c r="A124" s="4"/>
      <c r="B124" s="3"/>
      <c r="C124" s="3"/>
      <c r="F124" s="4" t="s">
        <v>849</v>
      </c>
      <c r="G124" s="4">
        <v>89000</v>
      </c>
      <c r="H124" s="4" t="s">
        <v>565</v>
      </c>
      <c r="I124" s="4" t="s">
        <v>850</v>
      </c>
      <c r="J124" s="4" t="s">
        <v>535</v>
      </c>
      <c r="P124" s="31">
        <v>89000</v>
      </c>
      <c r="Q124" s="29" t="s">
        <v>851</v>
      </c>
    </row>
    <row r="125" spans="1:18">
      <c r="A125" s="4"/>
      <c r="B125" s="3"/>
      <c r="C125" s="3"/>
      <c r="F125" s="4"/>
      <c r="G125" s="4"/>
      <c r="H125" s="4"/>
      <c r="I125" s="4"/>
      <c r="J125" s="4"/>
      <c r="P125" s="31"/>
    </row>
    <row r="126" spans="1:18">
      <c r="A126" s="4"/>
      <c r="B126" s="3"/>
      <c r="C126" s="3"/>
      <c r="F126" s="278"/>
      <c r="G126" s="4">
        <v>90000</v>
      </c>
      <c r="H126" s="4" t="s">
        <v>570</v>
      </c>
      <c r="I126" s="4" t="s">
        <v>535</v>
      </c>
      <c r="J126" s="4" t="s">
        <v>535</v>
      </c>
      <c r="P126" s="30" t="s">
        <v>852</v>
      </c>
      <c r="Q126" s="30"/>
      <c r="R126" s="30"/>
    </row>
    <row r="127" spans="1:18">
      <c r="A127" s="4"/>
      <c r="B127" s="3"/>
      <c r="C127" s="3"/>
      <c r="F127" s="283" t="s">
        <v>853</v>
      </c>
      <c r="G127" s="4">
        <v>90500</v>
      </c>
      <c r="H127" s="4">
        <v>9</v>
      </c>
      <c r="I127" s="4" t="s">
        <v>622</v>
      </c>
      <c r="J127" s="4" t="s">
        <v>535</v>
      </c>
      <c r="P127" s="31">
        <v>90500</v>
      </c>
      <c r="Q127" s="29" t="s">
        <v>854</v>
      </c>
    </row>
    <row r="128" spans="1:18">
      <c r="A128" s="4"/>
      <c r="B128" s="3"/>
      <c r="C128" s="3"/>
      <c r="F128" s="4" t="s">
        <v>855</v>
      </c>
      <c r="G128" s="4">
        <v>90600</v>
      </c>
      <c r="H128" s="4" t="s">
        <v>570</v>
      </c>
      <c r="I128" s="4" t="s">
        <v>813</v>
      </c>
      <c r="J128" s="4" t="s">
        <v>535</v>
      </c>
      <c r="P128" s="31">
        <v>90600</v>
      </c>
      <c r="Q128" s="29" t="s">
        <v>856</v>
      </c>
    </row>
    <row r="129" spans="1:17">
      <c r="A129" s="4"/>
      <c r="B129" s="3"/>
      <c r="C129" s="3"/>
      <c r="F129" s="4" t="s">
        <v>857</v>
      </c>
      <c r="G129" s="4">
        <v>92100</v>
      </c>
      <c r="H129" s="4" t="s">
        <v>570</v>
      </c>
      <c r="I129" s="4" t="s">
        <v>594</v>
      </c>
      <c r="J129" s="4" t="s">
        <v>535</v>
      </c>
      <c r="P129" s="31">
        <v>92100</v>
      </c>
      <c r="Q129" s="29" t="s">
        <v>858</v>
      </c>
    </row>
    <row r="130" spans="1:17">
      <c r="A130" s="4"/>
      <c r="B130" s="3"/>
      <c r="C130" s="3"/>
      <c r="F130" s="4" t="s">
        <v>859</v>
      </c>
      <c r="G130" s="4">
        <v>92200</v>
      </c>
      <c r="H130" s="4" t="s">
        <v>570</v>
      </c>
      <c r="I130" s="4" t="s">
        <v>598</v>
      </c>
      <c r="J130" s="4" t="s">
        <v>535</v>
      </c>
      <c r="P130" s="31">
        <v>92200</v>
      </c>
      <c r="Q130" s="29" t="s">
        <v>860</v>
      </c>
    </row>
    <row r="131" spans="1:17">
      <c r="A131" s="4"/>
      <c r="B131" s="3"/>
      <c r="C131" s="3"/>
      <c r="F131" s="4" t="s">
        <v>861</v>
      </c>
      <c r="G131" s="4">
        <v>92216</v>
      </c>
      <c r="H131" s="4" t="s">
        <v>570</v>
      </c>
      <c r="I131" s="4" t="s">
        <v>598</v>
      </c>
      <c r="J131" s="4" t="s">
        <v>651</v>
      </c>
      <c r="P131" s="31">
        <v>92216</v>
      </c>
      <c r="Q131" s="29" t="s">
        <v>862</v>
      </c>
    </row>
    <row r="132" spans="1:17">
      <c r="A132" s="4"/>
      <c r="B132" s="3"/>
      <c r="C132" s="3"/>
      <c r="F132" s="4" t="s">
        <v>863</v>
      </c>
      <c r="G132" s="4">
        <v>92236</v>
      </c>
      <c r="H132" s="4" t="s">
        <v>570</v>
      </c>
      <c r="I132" s="4" t="s">
        <v>598</v>
      </c>
      <c r="J132" s="4" t="s">
        <v>825</v>
      </c>
      <c r="P132" s="31">
        <v>92236</v>
      </c>
      <c r="Q132" s="29" t="s">
        <v>864</v>
      </c>
    </row>
    <row r="133" spans="1:17">
      <c r="A133" s="4"/>
      <c r="B133" s="3"/>
      <c r="C133" s="3"/>
      <c r="F133" s="4" t="s">
        <v>865</v>
      </c>
      <c r="G133" s="4">
        <v>92600</v>
      </c>
      <c r="H133" s="4" t="s">
        <v>570</v>
      </c>
      <c r="I133" s="4" t="s">
        <v>606</v>
      </c>
      <c r="J133" s="4" t="s">
        <v>535</v>
      </c>
      <c r="P133" s="31">
        <v>92600</v>
      </c>
      <c r="Q133" s="29" t="s">
        <v>866</v>
      </c>
    </row>
    <row r="134" spans="1:17">
      <c r="A134" s="4"/>
      <c r="B134" s="3"/>
      <c r="C134" s="3"/>
      <c r="F134" s="4" t="s">
        <v>867</v>
      </c>
      <c r="G134" s="4">
        <v>92713</v>
      </c>
      <c r="H134" s="4" t="s">
        <v>570</v>
      </c>
      <c r="I134" s="4" t="s">
        <v>610</v>
      </c>
      <c r="J134" s="4" t="s">
        <v>586</v>
      </c>
      <c r="P134" s="31">
        <v>92713</v>
      </c>
      <c r="Q134" s="29" t="s">
        <v>868</v>
      </c>
    </row>
    <row r="135" spans="1:17">
      <c r="A135" s="4"/>
      <c r="B135" s="3"/>
      <c r="C135" s="3"/>
      <c r="F135" s="4" t="s">
        <v>869</v>
      </c>
      <c r="G135" s="4">
        <v>92900</v>
      </c>
      <c r="H135" s="4" t="s">
        <v>570</v>
      </c>
      <c r="I135" s="4" t="s">
        <v>870</v>
      </c>
      <c r="J135" s="4" t="s">
        <v>535</v>
      </c>
      <c r="P135" s="31">
        <v>92900</v>
      </c>
      <c r="Q135" s="29" t="s">
        <v>871</v>
      </c>
    </row>
    <row r="136" spans="1:17">
      <c r="A136" s="4"/>
      <c r="B136" s="3"/>
      <c r="C136" s="3"/>
      <c r="F136" s="4" t="s">
        <v>872</v>
      </c>
      <c r="G136" s="4">
        <v>93000</v>
      </c>
      <c r="H136" s="4" t="s">
        <v>570</v>
      </c>
      <c r="I136" s="4" t="s">
        <v>678</v>
      </c>
      <c r="J136" s="4" t="s">
        <v>535</v>
      </c>
      <c r="P136" s="31">
        <v>93000</v>
      </c>
      <c r="Q136" s="29" t="s">
        <v>872</v>
      </c>
    </row>
    <row r="137" spans="1:17">
      <c r="A137" s="4"/>
      <c r="B137" s="3"/>
      <c r="C137" s="3"/>
      <c r="F137" s="4" t="s">
        <v>873</v>
      </c>
      <c r="G137" s="4">
        <v>93013</v>
      </c>
      <c r="H137" s="4" t="s">
        <v>570</v>
      </c>
      <c r="I137" s="4" t="s">
        <v>678</v>
      </c>
      <c r="J137" s="4" t="s">
        <v>586</v>
      </c>
      <c r="P137" s="31">
        <v>93013</v>
      </c>
      <c r="Q137" s="29" t="s">
        <v>874</v>
      </c>
    </row>
    <row r="138" spans="1:17">
      <c r="A138" s="4"/>
      <c r="B138" s="3"/>
      <c r="C138" s="3"/>
      <c r="F138" s="4" t="s">
        <v>875</v>
      </c>
      <c r="G138" s="4">
        <v>93014</v>
      </c>
      <c r="H138" s="4" t="s">
        <v>570</v>
      </c>
      <c r="I138" s="4" t="s">
        <v>678</v>
      </c>
      <c r="J138" s="4" t="s">
        <v>590</v>
      </c>
      <c r="P138" s="31">
        <v>93014</v>
      </c>
      <c r="Q138" s="29" t="s">
        <v>876</v>
      </c>
    </row>
    <row r="139" spans="1:17">
      <c r="A139" s="4"/>
      <c r="B139" s="3"/>
      <c r="C139" s="3"/>
      <c r="F139" s="4" t="s">
        <v>877</v>
      </c>
      <c r="G139" s="4">
        <v>95100</v>
      </c>
      <c r="H139" s="4" t="s">
        <v>570</v>
      </c>
      <c r="I139" s="4" t="s">
        <v>751</v>
      </c>
      <c r="J139" s="4" t="s">
        <v>535</v>
      </c>
      <c r="P139" s="31">
        <v>95100</v>
      </c>
      <c r="Q139" s="29" t="s">
        <v>878</v>
      </c>
    </row>
    <row r="140" spans="1:17">
      <c r="A140" s="4"/>
      <c r="B140" s="3"/>
      <c r="C140" s="3"/>
      <c r="F140" s="4" t="s">
        <v>879</v>
      </c>
      <c r="G140" s="4">
        <v>95400</v>
      </c>
      <c r="H140" s="4" t="s">
        <v>570</v>
      </c>
      <c r="I140" s="4" t="s">
        <v>880</v>
      </c>
      <c r="J140" s="4" t="s">
        <v>535</v>
      </c>
      <c r="P140" s="31">
        <v>95400</v>
      </c>
      <c r="Q140" s="29" t="s">
        <v>881</v>
      </c>
    </row>
    <row r="141" spans="1:17">
      <c r="A141" s="4"/>
      <c r="B141" s="3"/>
      <c r="C141" s="3"/>
      <c r="F141" s="4" t="s">
        <v>882</v>
      </c>
      <c r="G141" s="4">
        <v>96100</v>
      </c>
      <c r="H141" s="4" t="s">
        <v>570</v>
      </c>
      <c r="I141" s="4" t="s">
        <v>637</v>
      </c>
      <c r="J141" s="4" t="s">
        <v>535</v>
      </c>
      <c r="P141" s="31">
        <v>96100</v>
      </c>
      <c r="Q141" s="29" t="s">
        <v>883</v>
      </c>
    </row>
    <row r="142" spans="1:17">
      <c r="A142" s="4"/>
      <c r="B142" s="3"/>
      <c r="C142" s="3"/>
      <c r="F142" s="4" t="s">
        <v>884</v>
      </c>
      <c r="G142" s="4">
        <v>96200</v>
      </c>
      <c r="H142" s="4" t="s">
        <v>570</v>
      </c>
      <c r="I142" s="4" t="s">
        <v>790</v>
      </c>
      <c r="J142" s="4" t="s">
        <v>535</v>
      </c>
      <c r="P142" s="31">
        <v>96200</v>
      </c>
      <c r="Q142" s="29" t="s">
        <v>885</v>
      </c>
    </row>
    <row r="143" spans="1:17">
      <c r="A143" s="4"/>
      <c r="B143" s="3"/>
      <c r="C143" s="3"/>
      <c r="F143" s="4" t="s">
        <v>886</v>
      </c>
      <c r="G143" s="4">
        <v>96300</v>
      </c>
      <c r="H143" s="4" t="s">
        <v>570</v>
      </c>
      <c r="I143" s="4" t="s">
        <v>887</v>
      </c>
      <c r="J143" s="4" t="s">
        <v>535</v>
      </c>
      <c r="P143" s="31">
        <v>96300</v>
      </c>
      <c r="Q143" s="29" t="s">
        <v>888</v>
      </c>
    </row>
    <row r="144" spans="1:17">
      <c r="A144" s="4"/>
      <c r="B144" s="3"/>
      <c r="C144" s="3"/>
      <c r="F144" s="4" t="s">
        <v>889</v>
      </c>
      <c r="G144" s="4">
        <v>96340</v>
      </c>
      <c r="H144" s="4" t="s">
        <v>570</v>
      </c>
      <c r="I144" s="4" t="s">
        <v>887</v>
      </c>
      <c r="J144" s="4" t="s">
        <v>709</v>
      </c>
      <c r="P144" s="31">
        <v>96340</v>
      </c>
      <c r="Q144" s="29" t="s">
        <v>890</v>
      </c>
    </row>
    <row r="145" spans="1:18">
      <c r="A145" s="4"/>
      <c r="B145" s="3"/>
      <c r="C145" s="3"/>
      <c r="F145" s="4" t="s">
        <v>891</v>
      </c>
      <c r="G145" s="4">
        <v>96400</v>
      </c>
      <c r="H145" s="4" t="s">
        <v>570</v>
      </c>
      <c r="I145" s="4" t="s">
        <v>892</v>
      </c>
      <c r="J145" s="4" t="s">
        <v>535</v>
      </c>
      <c r="P145" s="31">
        <v>96400</v>
      </c>
      <c r="Q145" s="29" t="s">
        <v>893</v>
      </c>
    </row>
    <row r="146" spans="1:18">
      <c r="A146" s="4"/>
      <c r="B146" s="3"/>
      <c r="C146" s="3"/>
      <c r="F146" s="4" t="s">
        <v>894</v>
      </c>
      <c r="G146" s="4">
        <v>96500</v>
      </c>
      <c r="H146" s="4" t="s">
        <v>570</v>
      </c>
      <c r="I146" s="4" t="s">
        <v>641</v>
      </c>
      <c r="J146" s="4" t="s">
        <v>535</v>
      </c>
      <c r="P146" s="31">
        <v>96500</v>
      </c>
      <c r="Q146" s="29" t="s">
        <v>895</v>
      </c>
    </row>
    <row r="147" spans="1:18">
      <c r="A147" s="4"/>
      <c r="B147" s="3"/>
      <c r="C147" s="3"/>
      <c r="F147" s="4" t="s">
        <v>896</v>
      </c>
      <c r="G147" s="4">
        <v>96519</v>
      </c>
      <c r="H147" s="4" t="s">
        <v>570</v>
      </c>
      <c r="I147" s="4" t="s">
        <v>641</v>
      </c>
      <c r="J147" s="4" t="s">
        <v>630</v>
      </c>
      <c r="P147" s="31">
        <v>96519</v>
      </c>
      <c r="Q147" s="29" t="s">
        <v>897</v>
      </c>
    </row>
    <row r="148" spans="1:18">
      <c r="A148" s="4"/>
      <c r="B148" s="3"/>
      <c r="C148" s="3"/>
      <c r="F148" s="4" t="s">
        <v>898</v>
      </c>
      <c r="G148" s="4">
        <v>96600</v>
      </c>
      <c r="H148" s="4" t="s">
        <v>570</v>
      </c>
      <c r="I148" s="4" t="s">
        <v>899</v>
      </c>
      <c r="J148" s="4" t="s">
        <v>535</v>
      </c>
      <c r="P148" s="31">
        <v>96600</v>
      </c>
      <c r="Q148" s="29" t="s">
        <v>900</v>
      </c>
    </row>
    <row r="149" spans="1:18">
      <c r="A149" s="4"/>
      <c r="B149" s="3"/>
      <c r="C149" s="3"/>
      <c r="F149" s="4" t="s">
        <v>901</v>
      </c>
      <c r="G149" s="4">
        <v>96800</v>
      </c>
      <c r="H149" s="4" t="s">
        <v>570</v>
      </c>
      <c r="I149" s="4" t="s">
        <v>902</v>
      </c>
      <c r="J149" s="4" t="s">
        <v>535</v>
      </c>
      <c r="P149" s="31">
        <v>96800</v>
      </c>
      <c r="Q149" s="29" t="s">
        <v>901</v>
      </c>
    </row>
    <row r="150" spans="1:18">
      <c r="A150" s="4"/>
      <c r="B150" s="3"/>
      <c r="C150" s="3"/>
      <c r="F150" s="4" t="s">
        <v>903</v>
      </c>
      <c r="G150" s="4">
        <v>96900</v>
      </c>
      <c r="H150" s="4" t="s">
        <v>570</v>
      </c>
      <c r="I150" s="4" t="s">
        <v>904</v>
      </c>
      <c r="J150" s="4" t="s">
        <v>535</v>
      </c>
      <c r="P150" s="31">
        <v>96900</v>
      </c>
      <c r="Q150" s="29" t="s">
        <v>905</v>
      </c>
    </row>
    <row r="151" spans="1:18">
      <c r="A151" s="4"/>
      <c r="B151" s="3"/>
      <c r="C151" s="3"/>
      <c r="F151" s="4" t="s">
        <v>906</v>
      </c>
      <c r="G151" s="4">
        <v>97200</v>
      </c>
      <c r="H151" s="4" t="s">
        <v>570</v>
      </c>
      <c r="I151" s="4" t="s">
        <v>796</v>
      </c>
      <c r="J151" s="4" t="s">
        <v>535</v>
      </c>
      <c r="P151" s="31">
        <v>97200</v>
      </c>
      <c r="Q151" s="29" t="s">
        <v>907</v>
      </c>
    </row>
    <row r="152" spans="1:18">
      <c r="A152" s="4"/>
      <c r="B152" s="3"/>
      <c r="C152" s="3"/>
      <c r="F152" s="4" t="s">
        <v>908</v>
      </c>
      <c r="G152" s="4">
        <v>97500</v>
      </c>
      <c r="H152" s="4" t="s">
        <v>570</v>
      </c>
      <c r="I152" s="4" t="s">
        <v>724</v>
      </c>
      <c r="J152" s="4" t="s">
        <v>535</v>
      </c>
      <c r="P152" s="31">
        <v>97500</v>
      </c>
      <c r="Q152" s="29" t="s">
        <v>909</v>
      </c>
    </row>
    <row r="153" spans="1:18">
      <c r="A153" s="4"/>
      <c r="B153" s="3"/>
      <c r="C153" s="3"/>
      <c r="F153" s="4" t="s">
        <v>910</v>
      </c>
      <c r="G153" s="4">
        <v>97700</v>
      </c>
      <c r="H153" s="4" t="s">
        <v>570</v>
      </c>
      <c r="I153" s="4" t="s">
        <v>911</v>
      </c>
      <c r="J153" s="4" t="s">
        <v>535</v>
      </c>
      <c r="P153" s="31">
        <v>97700</v>
      </c>
      <c r="Q153" s="29" t="s">
        <v>912</v>
      </c>
    </row>
    <row r="154" spans="1:18">
      <c r="A154" s="4"/>
      <c r="B154" s="3"/>
      <c r="C154" s="3"/>
      <c r="F154" s="4" t="s">
        <v>913</v>
      </c>
      <c r="G154" s="4">
        <v>98400</v>
      </c>
      <c r="H154" s="4" t="s">
        <v>570</v>
      </c>
      <c r="I154" s="4" t="s">
        <v>662</v>
      </c>
      <c r="J154" s="4" t="s">
        <v>535</v>
      </c>
      <c r="P154" s="31">
        <v>98400</v>
      </c>
      <c r="Q154" s="29" t="s">
        <v>914</v>
      </c>
    </row>
    <row r="155" spans="1:18">
      <c r="A155" s="4"/>
      <c r="B155" s="3"/>
      <c r="C155" s="3"/>
      <c r="F155" s="4" t="s">
        <v>915</v>
      </c>
      <c r="G155" s="4">
        <v>99100</v>
      </c>
      <c r="H155" s="4" t="s">
        <v>570</v>
      </c>
      <c r="I155" s="4" t="s">
        <v>916</v>
      </c>
      <c r="J155" s="4" t="s">
        <v>535</v>
      </c>
      <c r="P155" s="31">
        <v>99100</v>
      </c>
      <c r="Q155" s="29" t="s">
        <v>917</v>
      </c>
    </row>
    <row r="156" spans="1:18">
      <c r="A156" s="4"/>
      <c r="B156" s="3"/>
      <c r="C156" s="3"/>
      <c r="F156" s="4" t="s">
        <v>918</v>
      </c>
      <c r="G156" s="4">
        <v>99700</v>
      </c>
      <c r="H156" s="4" t="s">
        <v>570</v>
      </c>
      <c r="I156" s="4" t="s">
        <v>919</v>
      </c>
      <c r="J156" s="4" t="s">
        <v>535</v>
      </c>
      <c r="P156" s="31">
        <v>99700</v>
      </c>
      <c r="Q156" s="29" t="s">
        <v>920</v>
      </c>
    </row>
    <row r="157" spans="1:18">
      <c r="A157" s="4"/>
      <c r="B157" s="3"/>
      <c r="C157" s="3"/>
      <c r="F157" s="4"/>
      <c r="G157" s="4"/>
      <c r="H157" s="4"/>
      <c r="I157" s="4"/>
      <c r="J157" s="4"/>
      <c r="P157" s="31"/>
    </row>
    <row r="158" spans="1:18">
      <c r="A158" s="4"/>
      <c r="B158" s="3"/>
      <c r="C158" s="3"/>
      <c r="F158" s="4"/>
      <c r="G158" s="4">
        <v>100000</v>
      </c>
      <c r="H158" s="4" t="s">
        <v>573</v>
      </c>
      <c r="I158" s="4" t="s">
        <v>535</v>
      </c>
      <c r="J158" s="4" t="s">
        <v>535</v>
      </c>
      <c r="P158" s="30" t="s">
        <v>921</v>
      </c>
      <c r="Q158" s="30"/>
      <c r="R158" s="30"/>
    </row>
    <row r="159" spans="1:18">
      <c r="A159" s="4"/>
      <c r="B159" s="3"/>
      <c r="C159" s="3"/>
      <c r="F159" s="283" t="s">
        <v>922</v>
      </c>
      <c r="G159" s="4">
        <v>100500</v>
      </c>
      <c r="H159" s="4">
        <v>10</v>
      </c>
      <c r="I159" s="4" t="s">
        <v>622</v>
      </c>
      <c r="J159" s="4" t="s">
        <v>535</v>
      </c>
      <c r="P159" s="31">
        <v>100500</v>
      </c>
      <c r="Q159" s="29" t="s">
        <v>923</v>
      </c>
    </row>
    <row r="160" spans="1:18">
      <c r="A160" s="4"/>
      <c r="B160" s="3"/>
      <c r="C160" s="3"/>
      <c r="F160" s="4" t="s">
        <v>924</v>
      </c>
      <c r="G160" s="4">
        <v>101100</v>
      </c>
      <c r="H160" s="4" t="s">
        <v>573</v>
      </c>
      <c r="I160" s="4" t="s">
        <v>578</v>
      </c>
      <c r="J160" s="4" t="s">
        <v>535</v>
      </c>
      <c r="P160" s="29">
        <v>101100</v>
      </c>
      <c r="Q160" s="29" t="s">
        <v>925</v>
      </c>
    </row>
    <row r="161" spans="1:18">
      <c r="A161" s="4"/>
      <c r="B161" s="3"/>
      <c r="C161" s="3"/>
      <c r="F161" s="4" t="s">
        <v>926</v>
      </c>
      <c r="G161" s="4">
        <v>101400</v>
      </c>
      <c r="H161" s="4" t="s">
        <v>573</v>
      </c>
      <c r="I161" s="4" t="s">
        <v>590</v>
      </c>
      <c r="J161" s="4" t="s">
        <v>535</v>
      </c>
      <c r="P161" s="29">
        <v>101400</v>
      </c>
      <c r="Q161" s="29" t="s">
        <v>927</v>
      </c>
    </row>
    <row r="162" spans="1:18">
      <c r="A162" s="4"/>
      <c r="B162" s="3"/>
      <c r="C162" s="3"/>
      <c r="F162" s="4" t="s">
        <v>928</v>
      </c>
      <c r="G162" s="4">
        <v>101453</v>
      </c>
      <c r="H162" s="4" t="s">
        <v>573</v>
      </c>
      <c r="I162" s="4" t="s">
        <v>590</v>
      </c>
      <c r="J162" s="4" t="s">
        <v>761</v>
      </c>
      <c r="P162" s="29">
        <v>101453</v>
      </c>
      <c r="Q162" s="29" t="s">
        <v>929</v>
      </c>
    </row>
    <row r="163" spans="1:18">
      <c r="A163" s="4"/>
      <c r="B163" s="3"/>
      <c r="C163" s="3"/>
      <c r="F163" s="4" t="s">
        <v>930</v>
      </c>
      <c r="G163" s="4">
        <v>101463</v>
      </c>
      <c r="H163" s="4" t="s">
        <v>573</v>
      </c>
      <c r="I163" s="4" t="s">
        <v>590</v>
      </c>
      <c r="J163" s="4" t="s">
        <v>887</v>
      </c>
      <c r="P163" s="29">
        <v>101463</v>
      </c>
      <c r="Q163" s="29" t="s">
        <v>931</v>
      </c>
    </row>
    <row r="164" spans="1:18">
      <c r="A164" s="4"/>
      <c r="B164" s="3"/>
      <c r="C164" s="3"/>
      <c r="F164" s="4" t="s">
        <v>932</v>
      </c>
      <c r="G164" s="4">
        <v>102113</v>
      </c>
      <c r="H164" s="4" t="s">
        <v>573</v>
      </c>
      <c r="I164" s="4" t="s">
        <v>594</v>
      </c>
      <c r="J164" s="4" t="s">
        <v>586</v>
      </c>
      <c r="P164" s="29">
        <v>102113</v>
      </c>
      <c r="Q164" s="29" t="s">
        <v>933</v>
      </c>
    </row>
    <row r="165" spans="1:18">
      <c r="A165" s="4"/>
      <c r="B165" s="3"/>
      <c r="C165" s="3"/>
      <c r="F165" s="4" t="s">
        <v>934</v>
      </c>
      <c r="G165" s="4">
        <v>102226</v>
      </c>
      <c r="H165" s="4" t="s">
        <v>573</v>
      </c>
      <c r="I165" s="4" t="s">
        <v>598</v>
      </c>
      <c r="J165" s="4" t="s">
        <v>606</v>
      </c>
      <c r="P165" s="29">
        <v>102226</v>
      </c>
      <c r="Q165" s="29" t="s">
        <v>935</v>
      </c>
    </row>
    <row r="166" spans="1:18">
      <c r="A166" s="4"/>
      <c r="B166" s="3"/>
      <c r="C166" s="3"/>
      <c r="F166" s="4" t="s">
        <v>936</v>
      </c>
      <c r="G166" s="4">
        <v>102500</v>
      </c>
      <c r="H166" s="4" t="s">
        <v>573</v>
      </c>
      <c r="I166" s="4" t="s">
        <v>937</v>
      </c>
      <c r="J166" s="4" t="s">
        <v>535</v>
      </c>
      <c r="P166" s="29">
        <v>102500</v>
      </c>
      <c r="Q166" s="29" t="s">
        <v>938</v>
      </c>
    </row>
    <row r="167" spans="1:18">
      <c r="A167" s="4"/>
      <c r="B167" s="3"/>
      <c r="C167" s="3"/>
      <c r="F167" s="4" t="s">
        <v>939</v>
      </c>
      <c r="G167" s="4">
        <v>102600</v>
      </c>
      <c r="H167" s="4" t="s">
        <v>573</v>
      </c>
      <c r="I167" s="4" t="s">
        <v>606</v>
      </c>
      <c r="J167" s="4" t="s">
        <v>535</v>
      </c>
      <c r="P167" s="29">
        <v>102600</v>
      </c>
      <c r="Q167" s="29" t="s">
        <v>940</v>
      </c>
    </row>
    <row r="168" spans="1:18">
      <c r="A168" s="4"/>
      <c r="B168" s="3"/>
      <c r="C168" s="3"/>
      <c r="F168" s="4" t="s">
        <v>941</v>
      </c>
      <c r="G168" s="4">
        <v>102800</v>
      </c>
      <c r="H168" s="4" t="s">
        <v>573</v>
      </c>
      <c r="I168" s="4" t="s">
        <v>942</v>
      </c>
      <c r="J168" s="4" t="s">
        <v>535</v>
      </c>
      <c r="P168" s="29">
        <v>102800</v>
      </c>
      <c r="Q168" s="29" t="s">
        <v>943</v>
      </c>
    </row>
    <row r="169" spans="1:18">
      <c r="A169" s="4"/>
      <c r="B169" s="3"/>
      <c r="C169" s="3"/>
      <c r="F169" s="4" t="s">
        <v>944</v>
      </c>
      <c r="G169" s="4">
        <v>104400</v>
      </c>
      <c r="H169" s="4" t="s">
        <v>573</v>
      </c>
      <c r="I169" s="4" t="s">
        <v>834</v>
      </c>
      <c r="J169" s="4" t="s">
        <v>535</v>
      </c>
      <c r="P169" s="29">
        <v>104400</v>
      </c>
      <c r="Q169" s="29" t="s">
        <v>945</v>
      </c>
    </row>
    <row r="170" spans="1:18">
      <c r="A170" s="4"/>
      <c r="B170" s="3"/>
      <c r="C170" s="3"/>
      <c r="F170" s="4" t="s">
        <v>946</v>
      </c>
      <c r="G170" s="4">
        <v>105100</v>
      </c>
      <c r="H170" s="4" t="s">
        <v>573</v>
      </c>
      <c r="I170" s="4" t="s">
        <v>751</v>
      </c>
      <c r="J170" s="4" t="s">
        <v>535</v>
      </c>
      <c r="P170" s="29">
        <v>105100</v>
      </c>
      <c r="Q170" s="29" t="s">
        <v>946</v>
      </c>
    </row>
    <row r="171" spans="1:18">
      <c r="A171" s="4"/>
      <c r="B171" s="3"/>
      <c r="C171" s="3"/>
      <c r="F171" s="4" t="s">
        <v>947</v>
      </c>
      <c r="G171" s="4">
        <v>107343</v>
      </c>
      <c r="H171" s="4" t="s">
        <v>573</v>
      </c>
      <c r="I171" s="4" t="s">
        <v>721</v>
      </c>
      <c r="J171" s="4" t="s">
        <v>948</v>
      </c>
      <c r="P171" s="29">
        <v>107343</v>
      </c>
      <c r="Q171" s="29" t="s">
        <v>949</v>
      </c>
    </row>
    <row r="172" spans="1:18">
      <c r="A172" s="4"/>
      <c r="B172" s="3"/>
      <c r="C172" s="3"/>
      <c r="F172" s="4" t="s">
        <v>950</v>
      </c>
      <c r="G172" s="4">
        <v>107500</v>
      </c>
      <c r="H172" s="4" t="s">
        <v>573</v>
      </c>
      <c r="I172" s="4" t="s">
        <v>724</v>
      </c>
      <c r="J172" s="4" t="s">
        <v>535</v>
      </c>
      <c r="P172" s="29">
        <v>107500</v>
      </c>
      <c r="Q172" s="29" t="s">
        <v>950</v>
      </c>
    </row>
    <row r="173" spans="1:18">
      <c r="A173" s="4"/>
      <c r="B173" s="3"/>
      <c r="C173" s="3"/>
      <c r="F173" s="4"/>
      <c r="G173" s="4"/>
      <c r="H173" s="4"/>
      <c r="I173" s="4"/>
      <c r="J173" s="4"/>
    </row>
    <row r="174" spans="1:18">
      <c r="A174" s="4"/>
      <c r="B174" s="3"/>
      <c r="C174" s="3"/>
      <c r="F174" s="4"/>
      <c r="G174" s="4">
        <v>110000</v>
      </c>
      <c r="H174" s="4" t="s">
        <v>578</v>
      </c>
      <c r="I174" s="4" t="s">
        <v>535</v>
      </c>
      <c r="J174" s="4" t="s">
        <v>535</v>
      </c>
      <c r="P174" s="30" t="s">
        <v>951</v>
      </c>
      <c r="Q174" s="30"/>
      <c r="R174" s="30"/>
    </row>
    <row r="175" spans="1:18">
      <c r="A175" s="4"/>
      <c r="B175" s="3"/>
      <c r="C175" s="3"/>
      <c r="F175" s="283" t="s">
        <v>952</v>
      </c>
      <c r="G175" s="4">
        <v>110500</v>
      </c>
      <c r="H175" s="4">
        <v>11</v>
      </c>
      <c r="I175" s="4" t="s">
        <v>622</v>
      </c>
      <c r="J175" s="4" t="s">
        <v>535</v>
      </c>
      <c r="P175" s="31">
        <v>110500</v>
      </c>
      <c r="Q175" s="29" t="s">
        <v>953</v>
      </c>
    </row>
    <row r="176" spans="1:18">
      <c r="A176" s="4"/>
      <c r="B176" s="3"/>
      <c r="C176" s="3"/>
      <c r="F176" s="4" t="s">
        <v>954</v>
      </c>
      <c r="G176" s="4">
        <v>111100</v>
      </c>
      <c r="H176" s="4" t="s">
        <v>578</v>
      </c>
      <c r="I176" s="4" t="s">
        <v>578</v>
      </c>
      <c r="J176" s="4" t="s">
        <v>535</v>
      </c>
      <c r="P176" s="29">
        <v>111100</v>
      </c>
      <c r="Q176" s="29" t="s">
        <v>955</v>
      </c>
    </row>
    <row r="177" spans="1:18">
      <c r="A177" s="4"/>
      <c r="B177" s="3"/>
      <c r="C177" s="3"/>
      <c r="F177" s="4" t="s">
        <v>956</v>
      </c>
      <c r="G177" s="4">
        <v>111200</v>
      </c>
      <c r="H177" s="4" t="s">
        <v>578</v>
      </c>
      <c r="I177" s="4" t="s">
        <v>582</v>
      </c>
      <c r="J177" s="4" t="s">
        <v>535</v>
      </c>
      <c r="P177" s="29">
        <v>111200</v>
      </c>
      <c r="Q177" s="29" t="s">
        <v>957</v>
      </c>
    </row>
    <row r="178" spans="1:18">
      <c r="A178" s="4"/>
      <c r="B178" s="3"/>
      <c r="C178" s="3"/>
      <c r="F178" s="4" t="s">
        <v>958</v>
      </c>
      <c r="G178" s="4">
        <v>111300</v>
      </c>
      <c r="H178" s="4" t="s">
        <v>578</v>
      </c>
      <c r="I178" s="4" t="s">
        <v>586</v>
      </c>
      <c r="J178" s="4" t="s">
        <v>535</v>
      </c>
      <c r="P178" s="29">
        <v>111300</v>
      </c>
      <c r="Q178" s="29" t="s">
        <v>959</v>
      </c>
    </row>
    <row r="179" spans="1:18">
      <c r="A179" s="4"/>
      <c r="B179" s="3"/>
      <c r="C179" s="3"/>
      <c r="F179" s="4" t="s">
        <v>960</v>
      </c>
      <c r="G179" s="4">
        <v>114000</v>
      </c>
      <c r="H179" s="4" t="s">
        <v>578</v>
      </c>
      <c r="I179" s="4" t="s">
        <v>709</v>
      </c>
      <c r="J179" s="4" t="s">
        <v>535</v>
      </c>
      <c r="P179" s="29">
        <v>114000</v>
      </c>
      <c r="Q179" s="29" t="s">
        <v>961</v>
      </c>
    </row>
    <row r="180" spans="1:18">
      <c r="A180" s="4"/>
      <c r="B180" s="3"/>
      <c r="C180" s="3"/>
      <c r="F180" s="4" t="s">
        <v>962</v>
      </c>
      <c r="G180" s="4">
        <v>115213</v>
      </c>
      <c r="H180" s="4" t="s">
        <v>578</v>
      </c>
      <c r="I180" s="4" t="s">
        <v>715</v>
      </c>
      <c r="J180" s="4" t="s">
        <v>586</v>
      </c>
      <c r="P180" s="29">
        <v>115213</v>
      </c>
      <c r="Q180" s="29" t="s">
        <v>963</v>
      </c>
    </row>
    <row r="181" spans="1:18">
      <c r="A181" s="4"/>
      <c r="B181" s="3"/>
      <c r="C181" s="3"/>
      <c r="F181" s="4" t="s">
        <v>964</v>
      </c>
      <c r="G181" s="4">
        <v>118200</v>
      </c>
      <c r="H181" s="4" t="s">
        <v>578</v>
      </c>
      <c r="I181" s="4" t="s">
        <v>647</v>
      </c>
      <c r="J181" s="4" t="s">
        <v>535</v>
      </c>
      <c r="P181" s="29">
        <v>118200</v>
      </c>
      <c r="Q181" s="29" t="s">
        <v>965</v>
      </c>
    </row>
    <row r="182" spans="1:18">
      <c r="A182" s="4"/>
      <c r="B182" s="3"/>
      <c r="C182" s="3"/>
      <c r="F182" s="4"/>
      <c r="G182" s="4"/>
      <c r="H182" s="4"/>
      <c r="I182" s="4"/>
      <c r="J182" s="4"/>
    </row>
    <row r="183" spans="1:18">
      <c r="A183" s="4"/>
      <c r="B183" s="3"/>
      <c r="C183" s="3"/>
      <c r="F183" s="4"/>
      <c r="G183" s="4">
        <v>120000</v>
      </c>
      <c r="H183" s="4" t="s">
        <v>582</v>
      </c>
      <c r="I183" s="4" t="s">
        <v>535</v>
      </c>
      <c r="J183" s="4" t="s">
        <v>535</v>
      </c>
      <c r="P183" s="30" t="s">
        <v>966</v>
      </c>
      <c r="Q183" s="30"/>
      <c r="R183" s="30"/>
    </row>
    <row r="184" spans="1:18">
      <c r="A184" s="4"/>
      <c r="B184" s="3"/>
      <c r="C184" s="3"/>
      <c r="F184" s="283" t="s">
        <v>967</v>
      </c>
      <c r="G184" s="4">
        <v>120500</v>
      </c>
      <c r="H184" s="4">
        <v>12</v>
      </c>
      <c r="I184" s="4" t="s">
        <v>622</v>
      </c>
      <c r="J184" s="4" t="s">
        <v>535</v>
      </c>
      <c r="P184" s="31">
        <v>120500</v>
      </c>
      <c r="Q184" s="29" t="s">
        <v>968</v>
      </c>
    </row>
    <row r="185" spans="1:18">
      <c r="A185" s="4"/>
      <c r="B185" s="3"/>
      <c r="C185" s="3"/>
      <c r="F185" s="4" t="s">
        <v>969</v>
      </c>
      <c r="G185" s="4">
        <v>121000</v>
      </c>
      <c r="H185" s="4" t="s">
        <v>582</v>
      </c>
      <c r="I185" s="4" t="s">
        <v>573</v>
      </c>
      <c r="J185" s="4" t="s">
        <v>535</v>
      </c>
      <c r="P185" s="29">
        <v>121000</v>
      </c>
      <c r="Q185" s="29" t="s">
        <v>969</v>
      </c>
    </row>
    <row r="186" spans="1:18">
      <c r="A186" s="4"/>
      <c r="B186" s="3"/>
      <c r="C186" s="3"/>
      <c r="F186" s="4" t="s">
        <v>970</v>
      </c>
      <c r="G186" s="4">
        <v>122000</v>
      </c>
      <c r="H186" s="4" t="s">
        <v>582</v>
      </c>
      <c r="I186" s="4" t="s">
        <v>675</v>
      </c>
      <c r="J186" s="4" t="s">
        <v>535</v>
      </c>
      <c r="P186" s="29">
        <v>122000</v>
      </c>
      <c r="Q186" s="29" t="s">
        <v>971</v>
      </c>
    </row>
    <row r="187" spans="1:18">
      <c r="A187" s="4"/>
      <c r="B187" s="3"/>
      <c r="C187" s="3"/>
      <c r="F187" s="4" t="s">
        <v>972</v>
      </c>
      <c r="G187" s="4">
        <v>124000</v>
      </c>
      <c r="H187" s="4" t="s">
        <v>582</v>
      </c>
      <c r="I187" s="4" t="s">
        <v>709</v>
      </c>
      <c r="J187" s="4" t="s">
        <v>535</v>
      </c>
      <c r="P187" s="29">
        <v>124000</v>
      </c>
      <c r="Q187" s="29" t="s">
        <v>973</v>
      </c>
    </row>
    <row r="188" spans="1:18">
      <c r="A188" s="4"/>
      <c r="B188" s="3"/>
      <c r="C188" s="3"/>
      <c r="F188" s="4" t="s">
        <v>974</v>
      </c>
      <c r="G188" s="4">
        <v>124619</v>
      </c>
      <c r="H188" s="4" t="s">
        <v>582</v>
      </c>
      <c r="I188" s="4" t="s">
        <v>748</v>
      </c>
      <c r="J188" s="4" t="s">
        <v>630</v>
      </c>
      <c r="P188" s="29">
        <v>124619</v>
      </c>
      <c r="Q188" s="29" t="s">
        <v>974</v>
      </c>
    </row>
    <row r="189" spans="1:18">
      <c r="A189" s="4"/>
      <c r="B189" s="3"/>
      <c r="C189" s="3"/>
      <c r="F189" s="4" t="s">
        <v>975</v>
      </c>
      <c r="G189" s="4">
        <v>124843</v>
      </c>
      <c r="H189" s="4" t="s">
        <v>582</v>
      </c>
      <c r="I189" s="4" t="s">
        <v>976</v>
      </c>
      <c r="J189" s="4" t="s">
        <v>948</v>
      </c>
      <c r="P189" s="29">
        <v>124843</v>
      </c>
      <c r="Q189" s="29" t="s">
        <v>977</v>
      </c>
    </row>
    <row r="190" spans="1:18">
      <c r="A190" s="4"/>
      <c r="B190" s="3"/>
      <c r="C190" s="3"/>
      <c r="F190" s="4" t="s">
        <v>978</v>
      </c>
      <c r="G190" s="4">
        <v>125000</v>
      </c>
      <c r="H190" s="4" t="s">
        <v>582</v>
      </c>
      <c r="I190" s="4" t="s">
        <v>712</v>
      </c>
      <c r="J190" s="4" t="s">
        <v>535</v>
      </c>
      <c r="P190" s="29">
        <v>125000</v>
      </c>
      <c r="Q190" s="29" t="s">
        <v>978</v>
      </c>
    </row>
    <row r="191" spans="1:18">
      <c r="A191" s="4"/>
      <c r="B191" s="3"/>
      <c r="C191" s="3"/>
      <c r="F191" s="4" t="s">
        <v>979</v>
      </c>
      <c r="G191" s="4">
        <v>126000</v>
      </c>
      <c r="H191" s="4" t="s">
        <v>582</v>
      </c>
      <c r="I191" s="4" t="s">
        <v>681</v>
      </c>
      <c r="J191" s="4" t="s">
        <v>535</v>
      </c>
      <c r="P191" s="29">
        <v>126000</v>
      </c>
      <c r="Q191" s="29" t="s">
        <v>980</v>
      </c>
    </row>
    <row r="192" spans="1:18">
      <c r="A192" s="4"/>
      <c r="B192" s="3"/>
      <c r="C192" s="3"/>
      <c r="F192" s="4" t="s">
        <v>981</v>
      </c>
      <c r="G192" s="4">
        <v>129200</v>
      </c>
      <c r="H192" s="4" t="s">
        <v>582</v>
      </c>
      <c r="I192" s="4" t="s">
        <v>804</v>
      </c>
      <c r="J192" s="4" t="s">
        <v>535</v>
      </c>
      <c r="P192" s="29">
        <v>129200</v>
      </c>
      <c r="Q192" s="29" t="s">
        <v>982</v>
      </c>
    </row>
    <row r="193" spans="1:18">
      <c r="A193" s="4"/>
      <c r="B193" s="3"/>
      <c r="C193" s="3"/>
      <c r="F193" s="4"/>
      <c r="G193" s="4"/>
      <c r="H193" s="4"/>
      <c r="I193" s="4"/>
      <c r="J193" s="4"/>
    </row>
    <row r="194" spans="1:18">
      <c r="A194" s="4"/>
      <c r="B194" s="3"/>
      <c r="C194" s="3"/>
      <c r="F194" s="4"/>
      <c r="G194" s="4">
        <v>130000</v>
      </c>
      <c r="H194" s="4" t="s">
        <v>586</v>
      </c>
      <c r="I194" s="4" t="s">
        <v>535</v>
      </c>
      <c r="J194" s="4" t="s">
        <v>535</v>
      </c>
      <c r="P194" s="30" t="s">
        <v>983</v>
      </c>
      <c r="Q194" s="30"/>
      <c r="R194" s="30"/>
    </row>
    <row r="195" spans="1:18">
      <c r="A195" s="4"/>
      <c r="B195" s="3"/>
      <c r="C195" s="3"/>
      <c r="F195" s="283" t="s">
        <v>984</v>
      </c>
      <c r="G195" s="4">
        <v>130500</v>
      </c>
      <c r="H195" s="4">
        <v>13</v>
      </c>
      <c r="I195" s="4" t="s">
        <v>622</v>
      </c>
      <c r="J195" s="4" t="s">
        <v>535</v>
      </c>
      <c r="P195" s="31">
        <v>130500</v>
      </c>
      <c r="Q195" s="29" t="s">
        <v>985</v>
      </c>
    </row>
    <row r="196" spans="1:18">
      <c r="A196" s="4"/>
      <c r="B196" s="3"/>
      <c r="C196" s="3"/>
      <c r="F196" s="4" t="s">
        <v>986</v>
      </c>
      <c r="G196" s="4">
        <v>133400</v>
      </c>
      <c r="H196" s="4" t="s">
        <v>586</v>
      </c>
      <c r="I196" s="4" t="s">
        <v>987</v>
      </c>
      <c r="J196" s="4" t="s">
        <v>535</v>
      </c>
      <c r="P196" s="29">
        <v>133400</v>
      </c>
      <c r="Q196" s="29" t="s">
        <v>988</v>
      </c>
    </row>
    <row r="197" spans="1:18">
      <c r="A197" s="4"/>
      <c r="B197" s="3"/>
      <c r="C197" s="3"/>
      <c r="F197" s="4"/>
      <c r="G197" s="4"/>
      <c r="H197" s="4"/>
      <c r="I197" s="4"/>
      <c r="J197" s="4"/>
    </row>
    <row r="198" spans="1:18">
      <c r="A198" s="4"/>
      <c r="B198" s="3"/>
      <c r="C198" s="3"/>
      <c r="F198" s="4"/>
      <c r="G198" s="4">
        <v>140000</v>
      </c>
      <c r="H198" s="4" t="s">
        <v>590</v>
      </c>
      <c r="I198" s="4" t="s">
        <v>535</v>
      </c>
      <c r="J198" s="4" t="s">
        <v>535</v>
      </c>
      <c r="P198" s="30" t="s">
        <v>989</v>
      </c>
      <c r="Q198" s="30"/>
      <c r="R198" s="30"/>
    </row>
    <row r="199" spans="1:18">
      <c r="A199" s="4"/>
      <c r="B199" s="3"/>
      <c r="C199" s="3"/>
      <c r="F199" s="283" t="s">
        <v>990</v>
      </c>
      <c r="G199" s="4">
        <v>140500</v>
      </c>
      <c r="H199" s="4">
        <v>14</v>
      </c>
      <c r="I199" s="4" t="s">
        <v>622</v>
      </c>
      <c r="J199" s="4" t="s">
        <v>535</v>
      </c>
      <c r="P199" s="31">
        <v>140500</v>
      </c>
      <c r="Q199" s="29" t="s">
        <v>991</v>
      </c>
    </row>
    <row r="200" spans="1:18">
      <c r="A200" s="4"/>
      <c r="B200" s="3"/>
      <c r="C200" s="3"/>
      <c r="F200" s="4" t="s">
        <v>992</v>
      </c>
      <c r="G200" s="4">
        <v>142000</v>
      </c>
      <c r="H200" s="4" t="s">
        <v>590</v>
      </c>
      <c r="I200" s="4" t="s">
        <v>675</v>
      </c>
      <c r="J200" s="4" t="s">
        <v>535</v>
      </c>
      <c r="P200" s="29">
        <v>142000</v>
      </c>
      <c r="Q200" s="29" t="s">
        <v>992</v>
      </c>
    </row>
    <row r="201" spans="1:18">
      <c r="A201" s="4"/>
      <c r="B201" s="3"/>
      <c r="C201" s="3"/>
      <c r="F201" s="4" t="s">
        <v>993</v>
      </c>
      <c r="G201" s="4">
        <v>143100</v>
      </c>
      <c r="H201" s="4" t="s">
        <v>590</v>
      </c>
      <c r="I201" s="4" t="s">
        <v>706</v>
      </c>
      <c r="J201" s="4" t="s">
        <v>535</v>
      </c>
      <c r="P201" s="29">
        <v>143100</v>
      </c>
      <c r="Q201" s="29" t="s">
        <v>993</v>
      </c>
    </row>
    <row r="202" spans="1:18">
      <c r="A202" s="4"/>
      <c r="B202" s="3"/>
      <c r="C202" s="3"/>
      <c r="F202" s="4" t="s">
        <v>994</v>
      </c>
      <c r="G202" s="4">
        <v>143200</v>
      </c>
      <c r="H202" s="4" t="s">
        <v>590</v>
      </c>
      <c r="I202" s="4" t="s">
        <v>995</v>
      </c>
      <c r="J202" s="4" t="s">
        <v>535</v>
      </c>
      <c r="P202" s="29">
        <v>143200</v>
      </c>
      <c r="Q202" s="29" t="s">
        <v>996</v>
      </c>
    </row>
    <row r="203" spans="1:18">
      <c r="A203" s="4"/>
      <c r="B203" s="3"/>
      <c r="C203" s="3"/>
      <c r="F203" s="4" t="s">
        <v>997</v>
      </c>
      <c r="G203" s="4">
        <v>144000</v>
      </c>
      <c r="H203" s="4" t="s">
        <v>590</v>
      </c>
      <c r="I203" s="4" t="s">
        <v>709</v>
      </c>
      <c r="J203" s="4" t="s">
        <v>535</v>
      </c>
      <c r="P203" s="29">
        <v>144000</v>
      </c>
      <c r="Q203" s="29" t="s">
        <v>997</v>
      </c>
    </row>
    <row r="204" spans="1:18">
      <c r="A204" s="4"/>
      <c r="B204" s="3"/>
      <c r="C204" s="3"/>
      <c r="F204" s="4"/>
      <c r="G204" s="4"/>
      <c r="H204" s="4"/>
      <c r="I204" s="4"/>
      <c r="J204" s="4"/>
    </row>
    <row r="205" spans="1:18">
      <c r="A205" s="4"/>
      <c r="B205" s="3"/>
      <c r="C205" s="3"/>
      <c r="F205" s="4"/>
      <c r="G205" s="4">
        <v>210000</v>
      </c>
      <c r="H205" s="4" t="s">
        <v>594</v>
      </c>
      <c r="I205" s="4" t="s">
        <v>535</v>
      </c>
      <c r="J205" s="4" t="s">
        <v>535</v>
      </c>
      <c r="P205" s="30" t="s">
        <v>998</v>
      </c>
      <c r="Q205" s="30"/>
      <c r="R205" s="30"/>
    </row>
    <row r="206" spans="1:18">
      <c r="A206" s="4"/>
      <c r="B206" s="3"/>
      <c r="C206" s="3"/>
      <c r="F206" s="4" t="s">
        <v>999</v>
      </c>
      <c r="G206" s="4">
        <v>210500</v>
      </c>
      <c r="H206" s="4" t="s">
        <v>594</v>
      </c>
      <c r="I206" s="4" t="s">
        <v>622</v>
      </c>
      <c r="J206" s="4" t="s">
        <v>535</v>
      </c>
      <c r="P206" s="29">
        <v>210500</v>
      </c>
      <c r="Q206" s="29" t="s">
        <v>1000</v>
      </c>
    </row>
    <row r="207" spans="1:18">
      <c r="A207" s="4"/>
      <c r="B207" s="3"/>
      <c r="C207" s="3"/>
      <c r="F207" s="4" t="s">
        <v>1001</v>
      </c>
      <c r="G207" s="4">
        <v>210519</v>
      </c>
      <c r="H207" s="4" t="s">
        <v>594</v>
      </c>
      <c r="I207" s="4" t="s">
        <v>622</v>
      </c>
      <c r="J207" s="4" t="s">
        <v>630</v>
      </c>
      <c r="P207" s="29">
        <v>210519</v>
      </c>
      <c r="Q207" s="29" t="s">
        <v>1002</v>
      </c>
    </row>
    <row r="208" spans="1:18">
      <c r="A208" s="4"/>
      <c r="B208" s="3"/>
      <c r="C208" s="3"/>
      <c r="F208" s="4" t="s">
        <v>1003</v>
      </c>
      <c r="G208" s="4">
        <v>210520</v>
      </c>
      <c r="H208" s="4" t="s">
        <v>594</v>
      </c>
      <c r="I208" s="4" t="s">
        <v>622</v>
      </c>
      <c r="J208" s="4" t="s">
        <v>675</v>
      </c>
      <c r="P208" s="29">
        <v>210520</v>
      </c>
      <c r="Q208" s="29" t="s">
        <v>1004</v>
      </c>
    </row>
    <row r="209" spans="1:18">
      <c r="A209" s="4"/>
      <c r="B209" s="3"/>
      <c r="C209" s="3"/>
      <c r="F209" s="4" t="s">
        <v>1005</v>
      </c>
      <c r="G209" s="4">
        <v>210523</v>
      </c>
      <c r="H209" s="4" t="s">
        <v>594</v>
      </c>
      <c r="I209" s="4" t="s">
        <v>622</v>
      </c>
      <c r="J209" s="4" t="s">
        <v>602</v>
      </c>
      <c r="P209" s="29">
        <v>210523</v>
      </c>
      <c r="Q209" s="29" t="s">
        <v>1006</v>
      </c>
    </row>
    <row r="210" spans="1:18">
      <c r="A210" s="4"/>
      <c r="B210" s="3"/>
      <c r="C210" s="3"/>
      <c r="F210" s="4" t="s">
        <v>1007</v>
      </c>
      <c r="G210" s="4">
        <v>210529</v>
      </c>
      <c r="H210" s="4" t="s">
        <v>594</v>
      </c>
      <c r="I210" s="4" t="s">
        <v>622</v>
      </c>
      <c r="J210" s="4" t="s">
        <v>870</v>
      </c>
      <c r="P210" s="29">
        <v>210529</v>
      </c>
      <c r="Q210" s="29" t="s">
        <v>1008</v>
      </c>
    </row>
    <row r="211" spans="1:18">
      <c r="A211" s="4"/>
      <c r="B211" s="3"/>
      <c r="C211" s="3"/>
      <c r="F211" s="4" t="s">
        <v>1009</v>
      </c>
      <c r="G211" s="4">
        <v>210548</v>
      </c>
      <c r="H211" s="4" t="s">
        <v>594</v>
      </c>
      <c r="I211" s="4" t="s">
        <v>622</v>
      </c>
      <c r="J211" s="4" t="s">
        <v>976</v>
      </c>
      <c r="P211" s="29">
        <v>210548</v>
      </c>
      <c r="Q211" s="29" t="s">
        <v>1010</v>
      </c>
    </row>
    <row r="212" spans="1:18">
      <c r="A212" s="4"/>
      <c r="B212" s="3"/>
      <c r="C212" s="3"/>
      <c r="F212" s="4" t="s">
        <v>1011</v>
      </c>
      <c r="G212" s="4">
        <v>210553</v>
      </c>
      <c r="H212" s="4" t="s">
        <v>594</v>
      </c>
      <c r="I212" s="4" t="s">
        <v>622</v>
      </c>
      <c r="J212" s="4" t="s">
        <v>761</v>
      </c>
      <c r="P212" s="29">
        <v>210553</v>
      </c>
      <c r="Q212" s="29" t="s">
        <v>1012</v>
      </c>
    </row>
    <row r="213" spans="1:18">
      <c r="A213" s="4"/>
      <c r="B213" s="3"/>
      <c r="C213" s="3"/>
      <c r="F213" s="4" t="s">
        <v>1013</v>
      </c>
      <c r="G213" s="4">
        <v>210590</v>
      </c>
      <c r="H213" s="4" t="s">
        <v>594</v>
      </c>
      <c r="I213" s="4" t="s">
        <v>622</v>
      </c>
      <c r="J213" s="4" t="s">
        <v>850</v>
      </c>
      <c r="P213" s="29">
        <v>210590</v>
      </c>
      <c r="Q213" s="29" t="s">
        <v>1014</v>
      </c>
    </row>
    <row r="214" spans="1:18">
      <c r="A214" s="4"/>
      <c r="B214" s="3"/>
      <c r="C214" s="3"/>
      <c r="F214" s="4" t="s">
        <v>1015</v>
      </c>
      <c r="G214" s="4">
        <v>210719</v>
      </c>
      <c r="H214" s="4" t="s">
        <v>594</v>
      </c>
      <c r="I214" s="4" t="s">
        <v>1016</v>
      </c>
      <c r="J214" s="4" t="s">
        <v>630</v>
      </c>
      <c r="P214" s="29">
        <v>210719</v>
      </c>
      <c r="Q214" s="29" t="s">
        <v>1017</v>
      </c>
    </row>
    <row r="215" spans="1:18">
      <c r="A215" s="4"/>
      <c r="B215" s="3"/>
      <c r="C215" s="3"/>
      <c r="F215" s="4" t="s">
        <v>1018</v>
      </c>
      <c r="G215" s="4">
        <v>211100</v>
      </c>
      <c r="H215" s="4" t="s">
        <v>594</v>
      </c>
      <c r="I215" s="4" t="s">
        <v>578</v>
      </c>
      <c r="J215" s="4" t="s">
        <v>535</v>
      </c>
      <c r="P215" s="29">
        <v>211100</v>
      </c>
      <c r="Q215" s="29" t="s">
        <v>1019</v>
      </c>
    </row>
    <row r="216" spans="1:18">
      <c r="A216" s="4"/>
      <c r="B216" s="3"/>
      <c r="C216" s="3"/>
      <c r="F216" s="4" t="s">
        <v>1020</v>
      </c>
      <c r="G216" s="4">
        <v>211120</v>
      </c>
      <c r="H216" s="4" t="s">
        <v>594</v>
      </c>
      <c r="I216" s="4" t="s">
        <v>578</v>
      </c>
      <c r="J216" s="4" t="s">
        <v>675</v>
      </c>
      <c r="P216" s="29">
        <v>211120</v>
      </c>
      <c r="Q216" s="29" t="s">
        <v>1021</v>
      </c>
    </row>
    <row r="217" spans="1:18">
      <c r="A217" s="4"/>
      <c r="B217" s="3"/>
      <c r="C217" s="3"/>
      <c r="F217" s="4" t="s">
        <v>1022</v>
      </c>
      <c r="G217" s="4">
        <v>212000</v>
      </c>
      <c r="H217" s="4" t="s">
        <v>594</v>
      </c>
      <c r="I217" s="4" t="s">
        <v>675</v>
      </c>
      <c r="J217" s="4" t="s">
        <v>535</v>
      </c>
      <c r="P217" s="29">
        <v>212000</v>
      </c>
      <c r="Q217" s="29" t="s">
        <v>1023</v>
      </c>
    </row>
    <row r="218" spans="1:18">
      <c r="A218" s="4"/>
      <c r="B218" s="3"/>
      <c r="C218" s="3"/>
      <c r="F218" s="4" t="s">
        <v>1024</v>
      </c>
      <c r="G218" s="4">
        <v>212200</v>
      </c>
      <c r="H218" s="4" t="s">
        <v>594</v>
      </c>
      <c r="I218" s="4" t="s">
        <v>598</v>
      </c>
      <c r="J218" s="4" t="s">
        <v>535</v>
      </c>
      <c r="P218" s="29">
        <v>212200</v>
      </c>
      <c r="Q218" s="283" t="s">
        <v>1025</v>
      </c>
    </row>
    <row r="219" spans="1:18">
      <c r="A219" s="4"/>
      <c r="B219" s="3"/>
      <c r="C219" s="3"/>
      <c r="F219" s="4"/>
      <c r="G219" s="4"/>
      <c r="H219" s="4"/>
      <c r="I219" s="4"/>
      <c r="J219" s="4"/>
      <c r="Q219" s="283"/>
    </row>
    <row r="220" spans="1:18">
      <c r="A220" s="4"/>
      <c r="B220" s="3"/>
      <c r="C220" s="3"/>
      <c r="F220" s="278"/>
      <c r="G220" s="4">
        <v>220000</v>
      </c>
      <c r="H220" s="4" t="s">
        <v>598</v>
      </c>
      <c r="I220" s="4" t="s">
        <v>535</v>
      </c>
      <c r="J220" s="4" t="s">
        <v>535</v>
      </c>
      <c r="P220" s="30" t="s">
        <v>1026</v>
      </c>
      <c r="Q220" s="30"/>
      <c r="R220" s="30"/>
    </row>
    <row r="221" spans="1:18">
      <c r="A221" s="4"/>
      <c r="B221" s="3"/>
      <c r="C221" s="3"/>
      <c r="F221" s="4" t="s">
        <v>1027</v>
      </c>
      <c r="G221" s="4">
        <v>220500</v>
      </c>
      <c r="H221" s="4" t="s">
        <v>598</v>
      </c>
      <c r="I221" s="4" t="s">
        <v>622</v>
      </c>
      <c r="J221" s="4" t="s">
        <v>535</v>
      </c>
      <c r="P221" s="29">
        <v>220500</v>
      </c>
      <c r="Q221" s="29" t="s">
        <v>1028</v>
      </c>
    </row>
    <row r="222" spans="1:18">
      <c r="A222" s="4"/>
      <c r="B222" s="3"/>
      <c r="C222" s="3"/>
      <c r="F222" s="4" t="s">
        <v>1029</v>
      </c>
      <c r="G222" s="4">
        <v>220519</v>
      </c>
      <c r="H222" s="4" t="s">
        <v>598</v>
      </c>
      <c r="I222" s="4" t="s">
        <v>622</v>
      </c>
      <c r="J222" s="4" t="s">
        <v>630</v>
      </c>
      <c r="P222" s="29">
        <v>220519</v>
      </c>
      <c r="Q222" s="29" t="s">
        <v>1030</v>
      </c>
    </row>
    <row r="223" spans="1:18">
      <c r="A223" s="4"/>
      <c r="B223" s="3"/>
      <c r="C223" s="3"/>
      <c r="F223" s="4" t="s">
        <v>1031</v>
      </c>
      <c r="G223" s="4">
        <v>220520</v>
      </c>
      <c r="H223" s="4" t="s">
        <v>598</v>
      </c>
      <c r="I223" s="4" t="s">
        <v>622</v>
      </c>
      <c r="J223" s="4" t="s">
        <v>675</v>
      </c>
      <c r="P223" s="29">
        <v>220520</v>
      </c>
      <c r="Q223" s="29" t="s">
        <v>1032</v>
      </c>
    </row>
    <row r="224" spans="1:18">
      <c r="A224" s="4"/>
      <c r="B224" s="3"/>
      <c r="C224" s="3"/>
      <c r="F224" s="4" t="s">
        <v>1033</v>
      </c>
      <c r="G224" s="4">
        <v>220523</v>
      </c>
      <c r="H224" s="4" t="s">
        <v>598</v>
      </c>
      <c r="I224" s="4" t="s">
        <v>622</v>
      </c>
      <c r="J224" s="4" t="s">
        <v>602</v>
      </c>
      <c r="P224" s="29">
        <v>220523</v>
      </c>
      <c r="Q224" s="29" t="s">
        <v>1034</v>
      </c>
    </row>
    <row r="225" spans="1:18">
      <c r="A225" s="4"/>
      <c r="B225" s="3"/>
      <c r="C225" s="3"/>
      <c r="F225" s="4" t="s">
        <v>1035</v>
      </c>
      <c r="G225" s="4">
        <v>220529</v>
      </c>
      <c r="H225" s="4" t="s">
        <v>598</v>
      </c>
      <c r="I225" s="4" t="s">
        <v>622</v>
      </c>
      <c r="J225" s="4" t="s">
        <v>870</v>
      </c>
      <c r="P225" s="29">
        <v>220529</v>
      </c>
      <c r="Q225" s="29" t="s">
        <v>1036</v>
      </c>
    </row>
    <row r="226" spans="1:18">
      <c r="A226" s="4"/>
      <c r="B226" s="3"/>
      <c r="C226" s="3"/>
      <c r="F226" s="4" t="s">
        <v>1037</v>
      </c>
      <c r="G226" s="4">
        <v>220545</v>
      </c>
      <c r="H226" s="4" t="s">
        <v>598</v>
      </c>
      <c r="I226" s="4" t="s">
        <v>622</v>
      </c>
      <c r="J226" s="4" t="s">
        <v>1038</v>
      </c>
      <c r="P226" s="29">
        <v>220545</v>
      </c>
      <c r="Q226" s="29" t="s">
        <v>1039</v>
      </c>
    </row>
    <row r="227" spans="1:18">
      <c r="A227" s="4"/>
      <c r="B227" s="3"/>
      <c r="C227" s="3"/>
      <c r="F227" s="4" t="s">
        <v>1040</v>
      </c>
      <c r="G227" s="4">
        <v>220548</v>
      </c>
      <c r="H227" s="4" t="s">
        <v>598</v>
      </c>
      <c r="I227" s="4" t="s">
        <v>622</v>
      </c>
      <c r="J227" s="4" t="s">
        <v>976</v>
      </c>
      <c r="P227" s="29">
        <v>220548</v>
      </c>
      <c r="Q227" s="29" t="s">
        <v>1041</v>
      </c>
    </row>
    <row r="228" spans="1:18">
      <c r="A228" s="4"/>
      <c r="B228" s="3"/>
      <c r="C228" s="3"/>
      <c r="F228" s="4" t="s">
        <v>1042</v>
      </c>
      <c r="G228" s="4">
        <v>220553</v>
      </c>
      <c r="H228" s="4" t="s">
        <v>598</v>
      </c>
      <c r="I228" s="4" t="s">
        <v>622</v>
      </c>
      <c r="J228" s="4" t="s">
        <v>761</v>
      </c>
      <c r="P228" s="29">
        <v>220553</v>
      </c>
      <c r="Q228" s="29" t="s">
        <v>1043</v>
      </c>
    </row>
    <row r="229" spans="1:18">
      <c r="A229" s="4"/>
      <c r="B229" s="3"/>
      <c r="C229" s="3"/>
      <c r="F229" s="4" t="s">
        <v>1044</v>
      </c>
      <c r="G229" s="4">
        <v>220590</v>
      </c>
      <c r="H229" s="4" t="s">
        <v>598</v>
      </c>
      <c r="I229" s="4" t="s">
        <v>622</v>
      </c>
      <c r="J229" s="4" t="s">
        <v>850</v>
      </c>
      <c r="P229" s="29">
        <v>220590</v>
      </c>
      <c r="Q229" s="29" t="s">
        <v>1045</v>
      </c>
    </row>
    <row r="230" spans="1:18">
      <c r="A230" s="4"/>
      <c r="B230" s="3"/>
      <c r="C230" s="3"/>
      <c r="F230" s="4" t="s">
        <v>1046</v>
      </c>
      <c r="G230" s="4">
        <v>220719</v>
      </c>
      <c r="H230" s="4" t="s">
        <v>598</v>
      </c>
      <c r="I230" s="4" t="s">
        <v>1016</v>
      </c>
      <c r="J230" s="4" t="s">
        <v>630</v>
      </c>
      <c r="P230" s="29">
        <v>220719</v>
      </c>
      <c r="Q230" s="29" t="s">
        <v>1047</v>
      </c>
    </row>
    <row r="231" spans="1:18">
      <c r="A231" s="4"/>
      <c r="B231" s="3"/>
      <c r="C231" s="3"/>
      <c r="F231" s="4" t="s">
        <v>1048</v>
      </c>
      <c r="G231" s="4">
        <v>221100</v>
      </c>
      <c r="H231" s="4" t="s">
        <v>598</v>
      </c>
      <c r="I231" s="4" t="s">
        <v>578</v>
      </c>
      <c r="J231" s="4" t="s">
        <v>535</v>
      </c>
      <c r="P231" s="29">
        <v>221100</v>
      </c>
      <c r="Q231" s="29" t="s">
        <v>1049</v>
      </c>
    </row>
    <row r="232" spans="1:18">
      <c r="A232" s="4"/>
      <c r="B232" s="3"/>
      <c r="C232" s="3"/>
      <c r="F232" s="4" t="s">
        <v>1050</v>
      </c>
      <c r="G232" s="4">
        <v>221120</v>
      </c>
      <c r="H232" s="4" t="s">
        <v>598</v>
      </c>
      <c r="I232" s="4" t="s">
        <v>578</v>
      </c>
      <c r="J232" s="4" t="s">
        <v>675</v>
      </c>
      <c r="P232" s="29">
        <v>221120</v>
      </c>
      <c r="Q232" s="29" t="s">
        <v>1051</v>
      </c>
    </row>
    <row r="233" spans="1:18">
      <c r="A233" s="4"/>
      <c r="B233" s="3"/>
      <c r="C233" s="3"/>
      <c r="F233" s="4" t="s">
        <v>1052</v>
      </c>
      <c r="G233" s="4">
        <v>221319</v>
      </c>
      <c r="H233" s="4" t="s">
        <v>598</v>
      </c>
      <c r="I233" s="4" t="s">
        <v>586</v>
      </c>
      <c r="J233" s="4" t="s">
        <v>630</v>
      </c>
      <c r="P233" s="29">
        <v>221319</v>
      </c>
      <c r="Q233" s="29" t="s">
        <v>1053</v>
      </c>
    </row>
    <row r="234" spans="1:18">
      <c r="A234" s="4"/>
      <c r="B234" s="3"/>
      <c r="C234" s="3"/>
      <c r="F234" s="4" t="s">
        <v>1054</v>
      </c>
      <c r="G234" s="4">
        <v>223000</v>
      </c>
      <c r="H234" s="4" t="s">
        <v>598</v>
      </c>
      <c r="I234" s="4" t="s">
        <v>678</v>
      </c>
      <c r="J234" s="4" t="s">
        <v>535</v>
      </c>
      <c r="P234" s="29">
        <v>223000</v>
      </c>
      <c r="Q234" s="29" t="s">
        <v>1055</v>
      </c>
    </row>
    <row r="235" spans="1:18">
      <c r="A235" s="4"/>
      <c r="B235" s="3"/>
      <c r="C235" s="3"/>
      <c r="F235" s="4" t="s">
        <v>1056</v>
      </c>
      <c r="G235" s="4">
        <v>224000</v>
      </c>
      <c r="H235" s="4" t="s">
        <v>598</v>
      </c>
      <c r="I235" s="4" t="s">
        <v>709</v>
      </c>
      <c r="J235" s="4" t="s">
        <v>535</v>
      </c>
      <c r="P235" s="29">
        <v>224000</v>
      </c>
      <c r="Q235" s="29" t="s">
        <v>1057</v>
      </c>
    </row>
    <row r="236" spans="1:18">
      <c r="A236" s="4"/>
      <c r="B236" s="3"/>
      <c r="C236" s="3"/>
      <c r="F236" s="4"/>
      <c r="G236" s="4"/>
      <c r="H236" s="4"/>
      <c r="I236" s="4"/>
      <c r="J236" s="4"/>
    </row>
    <row r="237" spans="1:18">
      <c r="A237" s="4"/>
      <c r="B237" s="3"/>
      <c r="C237" s="3"/>
      <c r="F237" s="4"/>
      <c r="G237" s="4">
        <v>230000</v>
      </c>
      <c r="H237" s="4" t="s">
        <v>602</v>
      </c>
      <c r="I237" s="4" t="s">
        <v>535</v>
      </c>
      <c r="J237" s="4" t="s">
        <v>535</v>
      </c>
      <c r="P237" s="30" t="s">
        <v>1058</v>
      </c>
      <c r="Q237" s="30"/>
      <c r="R237" s="30"/>
    </row>
    <row r="238" spans="1:18">
      <c r="A238" s="4"/>
      <c r="B238" s="3"/>
      <c r="C238" s="3"/>
      <c r="F238" s="4" t="s">
        <v>1059</v>
      </c>
      <c r="G238" s="4">
        <v>230500</v>
      </c>
      <c r="H238" s="4" t="s">
        <v>602</v>
      </c>
      <c r="I238" s="4" t="s">
        <v>622</v>
      </c>
      <c r="J238" s="4" t="s">
        <v>535</v>
      </c>
      <c r="P238" s="29">
        <v>230500</v>
      </c>
      <c r="Q238" s="29" t="s">
        <v>1060</v>
      </c>
    </row>
    <row r="239" spans="1:18">
      <c r="A239" s="4"/>
      <c r="B239" s="3"/>
      <c r="C239" s="3"/>
      <c r="F239" s="4" t="s">
        <v>1061</v>
      </c>
      <c r="G239" s="4">
        <v>230518</v>
      </c>
      <c r="H239" s="4" t="s">
        <v>602</v>
      </c>
      <c r="I239" s="4" t="s">
        <v>622</v>
      </c>
      <c r="J239" s="4" t="s">
        <v>767</v>
      </c>
      <c r="P239" s="29">
        <v>230518</v>
      </c>
      <c r="Q239" s="29" t="s">
        <v>1062</v>
      </c>
    </row>
    <row r="240" spans="1:18">
      <c r="A240" s="4"/>
      <c r="B240" s="3"/>
      <c r="C240" s="3"/>
      <c r="F240" s="4" t="s">
        <v>1063</v>
      </c>
      <c r="G240" s="4">
        <v>230519</v>
      </c>
      <c r="H240" s="4" t="s">
        <v>602</v>
      </c>
      <c r="I240" s="4" t="s">
        <v>622</v>
      </c>
      <c r="J240" s="4" t="s">
        <v>630</v>
      </c>
      <c r="P240" s="29">
        <v>230519</v>
      </c>
      <c r="Q240" s="29" t="s">
        <v>1064</v>
      </c>
    </row>
    <row r="241" spans="1:17">
      <c r="A241" s="4"/>
      <c r="B241" s="3"/>
      <c r="C241" s="3"/>
      <c r="F241" s="4" t="s">
        <v>1065</v>
      </c>
      <c r="G241" s="4">
        <v>230520</v>
      </c>
      <c r="H241" s="4" t="s">
        <v>602</v>
      </c>
      <c r="I241" s="4" t="s">
        <v>622</v>
      </c>
      <c r="J241" s="4" t="s">
        <v>675</v>
      </c>
      <c r="P241" s="29">
        <v>230520</v>
      </c>
      <c r="Q241" s="29" t="s">
        <v>1066</v>
      </c>
    </row>
    <row r="242" spans="1:17">
      <c r="A242" s="4"/>
      <c r="B242" s="3"/>
      <c r="C242" s="3"/>
      <c r="F242" s="4" t="s">
        <v>1067</v>
      </c>
      <c r="G242" s="4">
        <v>230523</v>
      </c>
      <c r="H242" s="4" t="s">
        <v>602</v>
      </c>
      <c r="I242" s="4" t="s">
        <v>622</v>
      </c>
      <c r="J242" s="4" t="s">
        <v>602</v>
      </c>
      <c r="P242" s="29">
        <v>230523</v>
      </c>
      <c r="Q242" s="29" t="s">
        <v>1068</v>
      </c>
    </row>
    <row r="243" spans="1:17">
      <c r="A243" s="4"/>
      <c r="B243" s="3"/>
      <c r="C243" s="3"/>
      <c r="F243" s="4" t="s">
        <v>1069</v>
      </c>
      <c r="G243" s="4">
        <v>230529</v>
      </c>
      <c r="H243" s="4" t="s">
        <v>602</v>
      </c>
      <c r="I243" s="4" t="s">
        <v>622</v>
      </c>
      <c r="J243" s="4" t="s">
        <v>870</v>
      </c>
      <c r="P243" s="29">
        <v>230529</v>
      </c>
      <c r="Q243" s="29" t="s">
        <v>1070</v>
      </c>
    </row>
    <row r="244" spans="1:17">
      <c r="A244" s="4"/>
      <c r="B244" s="3"/>
      <c r="C244" s="3"/>
      <c r="F244" s="4" t="s">
        <v>1071</v>
      </c>
      <c r="G244" s="4">
        <v>230545</v>
      </c>
      <c r="H244" s="4" t="s">
        <v>602</v>
      </c>
      <c r="I244" s="4" t="s">
        <v>622</v>
      </c>
      <c r="J244" s="4" t="s">
        <v>1038</v>
      </c>
      <c r="P244" s="29">
        <v>230545</v>
      </c>
      <c r="Q244" s="29" t="s">
        <v>1072</v>
      </c>
    </row>
    <row r="245" spans="1:17">
      <c r="A245" s="4"/>
      <c r="B245" s="3"/>
      <c r="C245" s="3"/>
      <c r="F245" s="4" t="s">
        <v>1073</v>
      </c>
      <c r="G245" s="4">
        <v>230548</v>
      </c>
      <c r="H245" s="4" t="s">
        <v>602</v>
      </c>
      <c r="I245" s="4" t="s">
        <v>622</v>
      </c>
      <c r="J245" s="4" t="s">
        <v>976</v>
      </c>
      <c r="P245" s="29">
        <v>230548</v>
      </c>
      <c r="Q245" s="29" t="s">
        <v>1074</v>
      </c>
    </row>
    <row r="246" spans="1:17">
      <c r="A246" s="4"/>
      <c r="B246" s="3"/>
      <c r="C246" s="3"/>
      <c r="F246" s="4" t="s">
        <v>1075</v>
      </c>
      <c r="G246" s="4">
        <v>230553</v>
      </c>
      <c r="H246" s="4" t="s">
        <v>602</v>
      </c>
      <c r="I246" s="4" t="s">
        <v>622</v>
      </c>
      <c r="J246" s="4" t="s">
        <v>761</v>
      </c>
      <c r="P246" s="29">
        <v>230553</v>
      </c>
      <c r="Q246" s="29" t="s">
        <v>1076</v>
      </c>
    </row>
    <row r="247" spans="1:17">
      <c r="A247" s="4"/>
      <c r="B247" s="3"/>
      <c r="C247" s="3"/>
      <c r="F247" s="4" t="s">
        <v>1077</v>
      </c>
      <c r="G247" s="4">
        <v>230590</v>
      </c>
      <c r="H247" s="4" t="s">
        <v>602</v>
      </c>
      <c r="I247" s="4" t="s">
        <v>622</v>
      </c>
      <c r="J247" s="4" t="s">
        <v>850</v>
      </c>
      <c r="P247" s="29">
        <v>230590</v>
      </c>
      <c r="Q247" s="29" t="s">
        <v>1078</v>
      </c>
    </row>
    <row r="248" spans="1:17">
      <c r="A248" s="4"/>
      <c r="B248" s="3"/>
      <c r="C248" s="3"/>
      <c r="F248" s="4" t="s">
        <v>1079</v>
      </c>
      <c r="G248" s="4">
        <v>230593</v>
      </c>
      <c r="H248" s="4" t="s">
        <v>602</v>
      </c>
      <c r="I248" s="4" t="s">
        <v>622</v>
      </c>
      <c r="J248" s="4" t="s">
        <v>1080</v>
      </c>
      <c r="P248" s="29">
        <v>230593</v>
      </c>
      <c r="Q248" s="29" t="s">
        <v>1081</v>
      </c>
    </row>
    <row r="249" spans="1:17">
      <c r="A249" s="4"/>
      <c r="B249" s="3"/>
      <c r="C249" s="3"/>
      <c r="F249" s="4" t="s">
        <v>1082</v>
      </c>
      <c r="G249" s="4">
        <v>230719</v>
      </c>
      <c r="H249" s="4" t="s">
        <v>602</v>
      </c>
      <c r="I249" s="4" t="s">
        <v>1016</v>
      </c>
      <c r="J249" s="4" t="s">
        <v>630</v>
      </c>
      <c r="P249" s="29">
        <v>230719</v>
      </c>
      <c r="Q249" s="29" t="s">
        <v>1083</v>
      </c>
    </row>
    <row r="250" spans="1:17">
      <c r="A250" s="4"/>
      <c r="B250" s="3"/>
      <c r="C250" s="3"/>
      <c r="F250" s="4" t="s">
        <v>1084</v>
      </c>
      <c r="G250" s="4">
        <v>230900</v>
      </c>
      <c r="H250" s="4" t="s">
        <v>602</v>
      </c>
      <c r="I250" s="4" t="s">
        <v>1085</v>
      </c>
      <c r="J250" s="4" t="s">
        <v>535</v>
      </c>
      <c r="P250" s="29">
        <v>230900</v>
      </c>
      <c r="Q250" s="29" t="s">
        <v>1086</v>
      </c>
    </row>
    <row r="251" spans="1:17">
      <c r="A251" s="4"/>
      <c r="B251" s="3"/>
      <c r="C251" s="3"/>
      <c r="F251" s="4" t="s">
        <v>1087</v>
      </c>
      <c r="G251" s="4">
        <v>231216</v>
      </c>
      <c r="H251" s="4" t="s">
        <v>602</v>
      </c>
      <c r="I251" s="4" t="s">
        <v>582</v>
      </c>
      <c r="J251" s="4" t="s">
        <v>651</v>
      </c>
      <c r="P251" s="29">
        <v>231216</v>
      </c>
      <c r="Q251" s="29" t="s">
        <v>1088</v>
      </c>
    </row>
    <row r="252" spans="1:17">
      <c r="A252" s="4"/>
      <c r="B252" s="3"/>
      <c r="C252" s="3"/>
      <c r="F252" s="4" t="s">
        <v>1089</v>
      </c>
      <c r="G252" s="4">
        <v>232000</v>
      </c>
      <c r="H252" s="4" t="s">
        <v>602</v>
      </c>
      <c r="I252" s="4" t="s">
        <v>675</v>
      </c>
      <c r="J252" s="4" t="s">
        <v>535</v>
      </c>
      <c r="P252" s="29">
        <v>232000</v>
      </c>
      <c r="Q252" s="29" t="s">
        <v>1090</v>
      </c>
    </row>
    <row r="253" spans="1:17">
      <c r="A253" s="4"/>
      <c r="B253" s="3"/>
      <c r="C253" s="3"/>
      <c r="F253" s="4" t="s">
        <v>1091</v>
      </c>
      <c r="G253" s="4">
        <v>232215</v>
      </c>
      <c r="H253" s="4" t="s">
        <v>602</v>
      </c>
      <c r="I253" s="4" t="s">
        <v>598</v>
      </c>
      <c r="J253" s="4" t="s">
        <v>672</v>
      </c>
      <c r="P253" s="29">
        <v>232215</v>
      </c>
      <c r="Q253" s="29" t="s">
        <v>1092</v>
      </c>
    </row>
    <row r="254" spans="1:17">
      <c r="A254" s="4"/>
      <c r="B254" s="3"/>
      <c r="C254" s="3"/>
      <c r="F254" s="4" t="s">
        <v>1093</v>
      </c>
      <c r="G254" s="4">
        <v>232220</v>
      </c>
      <c r="H254" s="4" t="s">
        <v>602</v>
      </c>
      <c r="I254" s="4" t="s">
        <v>598</v>
      </c>
      <c r="J254" s="4" t="s">
        <v>675</v>
      </c>
      <c r="P254" s="29">
        <v>232220</v>
      </c>
      <c r="Q254" s="29" t="s">
        <v>1094</v>
      </c>
    </row>
    <row r="255" spans="1:17">
      <c r="A255" s="4"/>
      <c r="B255" s="3"/>
      <c r="C255" s="3"/>
      <c r="F255" s="4" t="s">
        <v>1095</v>
      </c>
      <c r="G255" s="4">
        <v>232400</v>
      </c>
      <c r="H255" s="4" t="s">
        <v>602</v>
      </c>
      <c r="I255" s="4" t="s">
        <v>1096</v>
      </c>
      <c r="J255" s="4" t="s">
        <v>535</v>
      </c>
      <c r="P255" s="29">
        <v>232400</v>
      </c>
      <c r="Q255" s="29" t="s">
        <v>1097</v>
      </c>
    </row>
    <row r="256" spans="1:17">
      <c r="A256" s="4"/>
      <c r="B256" s="3"/>
      <c r="C256" s="3"/>
      <c r="F256" s="4" t="s">
        <v>1098</v>
      </c>
      <c r="G256" s="4">
        <v>232500</v>
      </c>
      <c r="H256" s="4" t="s">
        <v>602</v>
      </c>
      <c r="I256" s="4" t="s">
        <v>937</v>
      </c>
      <c r="J256" s="4" t="s">
        <v>535</v>
      </c>
      <c r="P256" s="29">
        <v>232500</v>
      </c>
      <c r="Q256" s="29" t="s">
        <v>1099</v>
      </c>
    </row>
    <row r="257" spans="1:17">
      <c r="A257" s="4"/>
      <c r="B257" s="3"/>
      <c r="C257" s="3"/>
      <c r="F257" s="4" t="s">
        <v>1100</v>
      </c>
      <c r="G257" s="4">
        <v>232923</v>
      </c>
      <c r="H257" s="4" t="s">
        <v>602</v>
      </c>
      <c r="I257" s="4" t="s">
        <v>870</v>
      </c>
      <c r="J257" s="4" t="s">
        <v>602</v>
      </c>
      <c r="P257" s="29">
        <v>232923</v>
      </c>
      <c r="Q257" s="29" t="s">
        <v>1101</v>
      </c>
    </row>
    <row r="258" spans="1:17">
      <c r="A258" s="4"/>
      <c r="B258" s="3"/>
      <c r="C258" s="3"/>
      <c r="F258" s="4" t="s">
        <v>1102</v>
      </c>
      <c r="G258" s="4">
        <v>233113</v>
      </c>
      <c r="H258" s="4" t="s">
        <v>602</v>
      </c>
      <c r="I258" s="4" t="s">
        <v>706</v>
      </c>
      <c r="J258" s="4" t="s">
        <v>586</v>
      </c>
      <c r="P258" s="29">
        <v>233113</v>
      </c>
      <c r="Q258" s="29" t="s">
        <v>1103</v>
      </c>
    </row>
    <row r="259" spans="1:17">
      <c r="A259" s="4"/>
      <c r="B259" s="3"/>
      <c r="C259" s="3"/>
      <c r="F259" s="4" t="s">
        <v>1104</v>
      </c>
      <c r="G259" s="4">
        <v>233114</v>
      </c>
      <c r="H259" s="4" t="s">
        <v>602</v>
      </c>
      <c r="I259" s="4" t="s">
        <v>706</v>
      </c>
      <c r="J259" s="4" t="s">
        <v>590</v>
      </c>
      <c r="P259" s="29">
        <v>233114</v>
      </c>
      <c r="Q259" s="29" t="s">
        <v>1105</v>
      </c>
    </row>
    <row r="260" spans="1:17">
      <c r="A260" s="4"/>
      <c r="B260" s="3"/>
      <c r="C260" s="3"/>
      <c r="F260" s="4" t="s">
        <v>1106</v>
      </c>
      <c r="G260" s="4">
        <v>233115</v>
      </c>
      <c r="H260" s="4" t="s">
        <v>602</v>
      </c>
      <c r="I260" s="4" t="s">
        <v>706</v>
      </c>
      <c r="J260" s="4" t="s">
        <v>672</v>
      </c>
      <c r="P260" s="29">
        <v>233115</v>
      </c>
      <c r="Q260" s="29" t="s">
        <v>1107</v>
      </c>
    </row>
    <row r="261" spans="1:17">
      <c r="A261" s="4"/>
      <c r="B261" s="3"/>
      <c r="C261" s="3"/>
      <c r="F261" s="4" t="s">
        <v>1108</v>
      </c>
      <c r="G261" s="4">
        <v>233300</v>
      </c>
      <c r="H261" s="4" t="s">
        <v>602</v>
      </c>
      <c r="I261" s="4" t="s">
        <v>822</v>
      </c>
      <c r="J261" s="4" t="s">
        <v>535</v>
      </c>
      <c r="P261" s="29">
        <v>233300</v>
      </c>
      <c r="Q261" s="29" t="s">
        <v>1109</v>
      </c>
    </row>
    <row r="262" spans="1:17">
      <c r="A262" s="4"/>
      <c r="B262" s="3"/>
      <c r="C262" s="3"/>
      <c r="F262" s="4" t="s">
        <v>1110</v>
      </c>
      <c r="G262" s="4">
        <v>233319</v>
      </c>
      <c r="H262" s="4" t="s">
        <v>602</v>
      </c>
      <c r="I262" s="4" t="s">
        <v>822</v>
      </c>
      <c r="J262" s="4" t="s">
        <v>630</v>
      </c>
      <c r="P262" s="29">
        <v>233319</v>
      </c>
      <c r="Q262" s="29" t="s">
        <v>1111</v>
      </c>
    </row>
    <row r="263" spans="1:17">
      <c r="A263" s="4"/>
      <c r="B263" s="3"/>
      <c r="C263" s="3"/>
      <c r="F263" s="4" t="s">
        <v>1112</v>
      </c>
      <c r="G263" s="4">
        <v>233400</v>
      </c>
      <c r="H263" s="4" t="s">
        <v>602</v>
      </c>
      <c r="I263" s="4" t="s">
        <v>987</v>
      </c>
      <c r="J263" s="4" t="s">
        <v>535</v>
      </c>
      <c r="P263" s="29">
        <v>233400</v>
      </c>
      <c r="Q263" s="29" t="s">
        <v>1113</v>
      </c>
    </row>
    <row r="264" spans="1:17">
      <c r="A264" s="4"/>
      <c r="B264" s="3"/>
      <c r="C264" s="3"/>
      <c r="F264" s="4" t="s">
        <v>1114</v>
      </c>
      <c r="G264" s="4">
        <v>233443</v>
      </c>
      <c r="H264" s="4" t="s">
        <v>602</v>
      </c>
      <c r="I264" s="4" t="s">
        <v>987</v>
      </c>
      <c r="J264" s="4" t="s">
        <v>948</v>
      </c>
      <c r="P264" s="29">
        <v>233443</v>
      </c>
      <c r="Q264" s="29" t="s">
        <v>1115</v>
      </c>
    </row>
    <row r="265" spans="1:17">
      <c r="A265" s="4"/>
      <c r="B265" s="3"/>
      <c r="C265" s="3"/>
      <c r="F265" s="4" t="s">
        <v>1116</v>
      </c>
      <c r="G265" s="4">
        <v>233600</v>
      </c>
      <c r="H265" s="4" t="s">
        <v>602</v>
      </c>
      <c r="I265" s="4" t="s">
        <v>825</v>
      </c>
      <c r="J265" s="4" t="s">
        <v>535</v>
      </c>
      <c r="P265" s="29">
        <v>233600</v>
      </c>
      <c r="Q265" s="29" t="s">
        <v>1117</v>
      </c>
    </row>
    <row r="266" spans="1:17">
      <c r="A266" s="4"/>
      <c r="B266" s="3"/>
      <c r="C266" s="3"/>
      <c r="F266" s="4" t="s">
        <v>1118</v>
      </c>
      <c r="G266" s="4">
        <v>233700</v>
      </c>
      <c r="H266" s="4" t="s">
        <v>602</v>
      </c>
      <c r="I266" s="4" t="s">
        <v>1119</v>
      </c>
      <c r="J266" s="4" t="s">
        <v>535</v>
      </c>
      <c r="P266" s="29">
        <v>233700</v>
      </c>
      <c r="Q266" s="29" t="s">
        <v>1120</v>
      </c>
    </row>
    <row r="267" spans="1:17">
      <c r="A267" s="4"/>
      <c r="B267" s="3"/>
      <c r="C267" s="3"/>
      <c r="F267" s="4" t="s">
        <v>1121</v>
      </c>
      <c r="G267" s="4">
        <v>234000</v>
      </c>
      <c r="H267" s="4" t="s">
        <v>602</v>
      </c>
      <c r="I267" s="4" t="s">
        <v>709</v>
      </c>
      <c r="J267" s="4" t="s">
        <v>535</v>
      </c>
      <c r="P267" s="29">
        <v>234000</v>
      </c>
      <c r="Q267" s="29" t="s">
        <v>1122</v>
      </c>
    </row>
    <row r="268" spans="1:17">
      <c r="A268" s="4"/>
      <c r="B268" s="3"/>
      <c r="C268" s="3"/>
      <c r="F268" s="4" t="s">
        <v>1123</v>
      </c>
      <c r="G268" s="4">
        <v>235100</v>
      </c>
      <c r="H268" s="4" t="s">
        <v>602</v>
      </c>
      <c r="I268" s="4" t="s">
        <v>751</v>
      </c>
      <c r="J268" s="4" t="s">
        <v>535</v>
      </c>
      <c r="P268" s="29">
        <v>235100</v>
      </c>
      <c r="Q268" s="29" t="s">
        <v>1124</v>
      </c>
    </row>
    <row r="269" spans="1:17">
      <c r="A269" s="4"/>
      <c r="B269" s="3"/>
      <c r="C269" s="3"/>
      <c r="F269" s="4" t="s">
        <v>1125</v>
      </c>
      <c r="G269" s="4">
        <v>235200</v>
      </c>
      <c r="H269" s="4" t="s">
        <v>602</v>
      </c>
      <c r="I269" s="4" t="s">
        <v>715</v>
      </c>
      <c r="J269" s="4" t="s">
        <v>535</v>
      </c>
      <c r="P269" s="29">
        <v>235200</v>
      </c>
      <c r="Q269" s="29" t="s">
        <v>1126</v>
      </c>
    </row>
    <row r="270" spans="1:17">
      <c r="A270" s="4"/>
      <c r="B270" s="3"/>
      <c r="C270" s="3"/>
      <c r="F270" s="4" t="s">
        <v>1127</v>
      </c>
      <c r="G270" s="4">
        <v>235500</v>
      </c>
      <c r="H270" s="4" t="s">
        <v>602</v>
      </c>
      <c r="I270" s="4" t="s">
        <v>1128</v>
      </c>
      <c r="J270" s="4" t="s">
        <v>535</v>
      </c>
      <c r="P270" s="29">
        <v>235500</v>
      </c>
      <c r="Q270" s="29" t="s">
        <v>1129</v>
      </c>
    </row>
    <row r="271" spans="1:17">
      <c r="A271" s="4"/>
      <c r="B271" s="3"/>
      <c r="C271" s="3"/>
      <c r="F271" s="4" t="s">
        <v>1130</v>
      </c>
      <c r="G271" s="4">
        <v>235523</v>
      </c>
      <c r="H271" s="4" t="s">
        <v>602</v>
      </c>
      <c r="I271" s="4" t="s">
        <v>1128</v>
      </c>
      <c r="J271" s="4" t="s">
        <v>602</v>
      </c>
      <c r="P271" s="29">
        <v>235523</v>
      </c>
      <c r="Q271" s="29" t="s">
        <v>1131</v>
      </c>
    </row>
    <row r="272" spans="1:17">
      <c r="A272" s="4"/>
      <c r="B272" s="3"/>
      <c r="C272" s="3"/>
      <c r="F272" s="4" t="s">
        <v>1132</v>
      </c>
      <c r="G272" s="4">
        <v>235700</v>
      </c>
      <c r="H272" s="4" t="s">
        <v>602</v>
      </c>
      <c r="I272" s="4" t="s">
        <v>1133</v>
      </c>
      <c r="J272" s="4" t="s">
        <v>535</v>
      </c>
      <c r="P272" s="29">
        <v>235700</v>
      </c>
      <c r="Q272" s="29" t="s">
        <v>1134</v>
      </c>
    </row>
    <row r="273" spans="1:18">
      <c r="A273" s="4"/>
      <c r="B273" s="3"/>
      <c r="C273" s="3"/>
      <c r="F273" s="4" t="s">
        <v>1135</v>
      </c>
      <c r="G273" s="4">
        <v>236400</v>
      </c>
      <c r="H273" s="4" t="s">
        <v>602</v>
      </c>
      <c r="I273" s="4" t="s">
        <v>892</v>
      </c>
      <c r="J273" s="4" t="s">
        <v>535</v>
      </c>
      <c r="P273" s="29">
        <v>236400</v>
      </c>
      <c r="Q273" s="29" t="s">
        <v>1136</v>
      </c>
    </row>
    <row r="274" spans="1:18">
      <c r="A274" s="4"/>
      <c r="B274" s="3"/>
      <c r="C274" s="3"/>
      <c r="F274" s="4" t="s">
        <v>1137</v>
      </c>
      <c r="G274" s="4">
        <v>237000</v>
      </c>
      <c r="H274" s="4" t="s">
        <v>602</v>
      </c>
      <c r="I274" s="4" t="s">
        <v>718</v>
      </c>
      <c r="J274" s="4" t="s">
        <v>535</v>
      </c>
      <c r="P274" s="29">
        <v>237000</v>
      </c>
      <c r="Q274" s="29" t="s">
        <v>1138</v>
      </c>
    </row>
    <row r="275" spans="1:18">
      <c r="A275" s="4"/>
      <c r="B275" s="3"/>
      <c r="C275" s="3"/>
      <c r="F275" s="4" t="s">
        <v>1139</v>
      </c>
      <c r="G275" s="4">
        <v>238100</v>
      </c>
      <c r="H275" s="4" t="s">
        <v>602</v>
      </c>
      <c r="I275" s="4" t="s">
        <v>799</v>
      </c>
      <c r="J275" s="4" t="s">
        <v>535</v>
      </c>
      <c r="P275" s="29">
        <v>238100</v>
      </c>
      <c r="Q275" s="29" t="s">
        <v>1140</v>
      </c>
    </row>
    <row r="276" spans="1:18">
      <c r="A276" s="4"/>
      <c r="B276" s="3"/>
      <c r="C276" s="3"/>
      <c r="F276" s="4" t="s">
        <v>1141</v>
      </c>
      <c r="G276" s="4">
        <v>238116</v>
      </c>
      <c r="H276" s="4" t="s">
        <v>602</v>
      </c>
      <c r="I276" s="4" t="s">
        <v>799</v>
      </c>
      <c r="J276" s="4" t="s">
        <v>651</v>
      </c>
      <c r="P276" s="29">
        <v>238116</v>
      </c>
      <c r="Q276" s="29" t="s">
        <v>1142</v>
      </c>
    </row>
    <row r="277" spans="1:18">
      <c r="A277" s="4"/>
      <c r="B277" s="3"/>
      <c r="C277" s="3"/>
      <c r="F277" s="4" t="s">
        <v>1143</v>
      </c>
      <c r="G277" s="4">
        <v>238200</v>
      </c>
      <c r="H277" s="4" t="s">
        <v>602</v>
      </c>
      <c r="I277" s="4" t="s">
        <v>647</v>
      </c>
      <c r="J277" s="4" t="s">
        <v>535</v>
      </c>
      <c r="P277" s="29">
        <v>238200</v>
      </c>
      <c r="Q277" s="29" t="s">
        <v>1144</v>
      </c>
    </row>
    <row r="278" spans="1:18">
      <c r="A278" s="4"/>
      <c r="B278" s="3"/>
      <c r="C278" s="3"/>
      <c r="F278" s="4"/>
      <c r="G278" s="4"/>
      <c r="H278" s="4"/>
      <c r="I278" s="4"/>
      <c r="J278" s="4"/>
    </row>
    <row r="279" spans="1:18">
      <c r="A279" s="4"/>
      <c r="B279" s="3"/>
      <c r="C279" s="3"/>
      <c r="F279" s="4"/>
      <c r="G279" s="4">
        <v>260000</v>
      </c>
      <c r="H279" s="4" t="s">
        <v>606</v>
      </c>
      <c r="I279" s="4" t="s">
        <v>535</v>
      </c>
      <c r="J279" s="4" t="s">
        <v>535</v>
      </c>
      <c r="P279" s="30" t="s">
        <v>1145</v>
      </c>
      <c r="Q279" s="30"/>
      <c r="R279" s="30"/>
    </row>
    <row r="280" spans="1:18">
      <c r="A280" s="4"/>
      <c r="B280" s="3"/>
      <c r="C280" s="3"/>
      <c r="F280" s="4" t="s">
        <v>1146</v>
      </c>
      <c r="G280" s="4">
        <v>260500</v>
      </c>
      <c r="H280" s="4" t="s">
        <v>606</v>
      </c>
      <c r="I280" s="4" t="s">
        <v>622</v>
      </c>
      <c r="J280" s="4" t="s">
        <v>535</v>
      </c>
      <c r="P280" s="29">
        <v>260500</v>
      </c>
      <c r="Q280" s="29" t="s">
        <v>1147</v>
      </c>
    </row>
    <row r="281" spans="1:18">
      <c r="A281" s="4"/>
      <c r="B281" s="3"/>
      <c r="C281" s="3"/>
      <c r="F281" s="4" t="s">
        <v>1148</v>
      </c>
      <c r="G281" s="4">
        <v>260513</v>
      </c>
      <c r="H281" s="4" t="s">
        <v>606</v>
      </c>
      <c r="I281" s="4" t="s">
        <v>622</v>
      </c>
      <c r="J281" s="4" t="s">
        <v>586</v>
      </c>
      <c r="P281" s="29">
        <v>260513</v>
      </c>
      <c r="Q281" s="29" t="s">
        <v>1149</v>
      </c>
    </row>
    <row r="282" spans="1:18">
      <c r="A282" s="4"/>
      <c r="B282" s="3"/>
      <c r="C282" s="3"/>
      <c r="F282" s="4" t="s">
        <v>1150</v>
      </c>
      <c r="G282" s="4">
        <v>260519</v>
      </c>
      <c r="H282" s="4" t="s">
        <v>606</v>
      </c>
      <c r="I282" s="4" t="s">
        <v>622</v>
      </c>
      <c r="J282" s="4" t="s">
        <v>630</v>
      </c>
      <c r="P282" s="29">
        <v>260519</v>
      </c>
      <c r="Q282" s="29" t="s">
        <v>1151</v>
      </c>
    </row>
    <row r="283" spans="1:18">
      <c r="A283" s="4"/>
      <c r="B283" s="3"/>
      <c r="C283" s="3"/>
      <c r="F283" s="4" t="s">
        <v>1152</v>
      </c>
      <c r="G283" s="4">
        <v>260526</v>
      </c>
      <c r="H283" s="4" t="s">
        <v>606</v>
      </c>
      <c r="I283" s="4" t="s">
        <v>622</v>
      </c>
      <c r="J283" s="4" t="s">
        <v>606</v>
      </c>
      <c r="P283" s="29">
        <v>260526</v>
      </c>
      <c r="Q283" s="29" t="s">
        <v>1153</v>
      </c>
    </row>
    <row r="284" spans="1:18">
      <c r="A284" s="4"/>
      <c r="B284" s="3"/>
      <c r="C284" s="3"/>
      <c r="F284" s="4" t="s">
        <v>1154</v>
      </c>
      <c r="G284" s="4">
        <v>260529</v>
      </c>
      <c r="H284" s="4" t="s">
        <v>606</v>
      </c>
      <c r="I284" s="4" t="s">
        <v>622</v>
      </c>
      <c r="J284" s="4" t="s">
        <v>870</v>
      </c>
      <c r="P284" s="29">
        <v>260529</v>
      </c>
      <c r="Q284" s="29" t="s">
        <v>1155</v>
      </c>
    </row>
    <row r="285" spans="1:18">
      <c r="A285" s="4"/>
      <c r="B285" s="3"/>
      <c r="C285" s="3"/>
      <c r="F285" s="4" t="s">
        <v>1156</v>
      </c>
      <c r="G285" s="4">
        <v>260533</v>
      </c>
      <c r="H285" s="4" t="s">
        <v>606</v>
      </c>
      <c r="I285" s="4" t="s">
        <v>622</v>
      </c>
      <c r="J285" s="4" t="s">
        <v>822</v>
      </c>
      <c r="P285" s="29">
        <v>260533</v>
      </c>
      <c r="Q285" s="29" t="s">
        <v>1157</v>
      </c>
    </row>
    <row r="286" spans="1:18">
      <c r="A286" s="4"/>
      <c r="B286" s="3"/>
      <c r="C286" s="3"/>
      <c r="F286" s="4" t="s">
        <v>1158</v>
      </c>
      <c r="G286" s="4">
        <v>260536</v>
      </c>
      <c r="H286" s="4" t="s">
        <v>606</v>
      </c>
      <c r="I286" s="4" t="s">
        <v>622</v>
      </c>
      <c r="J286" s="4" t="s">
        <v>825</v>
      </c>
      <c r="P286" s="29">
        <v>260536</v>
      </c>
      <c r="Q286" s="29" t="s">
        <v>1159</v>
      </c>
    </row>
    <row r="287" spans="1:18">
      <c r="A287" s="4"/>
      <c r="B287" s="3"/>
      <c r="C287" s="3"/>
      <c r="F287" s="4" t="s">
        <v>1160</v>
      </c>
      <c r="G287" s="4">
        <v>260543</v>
      </c>
      <c r="H287" s="4" t="s">
        <v>606</v>
      </c>
      <c r="I287" s="4" t="s">
        <v>622</v>
      </c>
      <c r="J287" s="4" t="s">
        <v>948</v>
      </c>
      <c r="P287" s="29">
        <v>260543</v>
      </c>
      <c r="Q287" s="29" t="s">
        <v>1161</v>
      </c>
    </row>
    <row r="288" spans="1:18">
      <c r="A288" s="4"/>
      <c r="B288" s="3"/>
      <c r="C288" s="3"/>
      <c r="F288" s="4" t="s">
        <v>1162</v>
      </c>
      <c r="G288" s="4">
        <v>260553</v>
      </c>
      <c r="H288" s="4" t="s">
        <v>606</v>
      </c>
      <c r="I288" s="4" t="s">
        <v>622</v>
      </c>
      <c r="J288" s="4" t="s">
        <v>761</v>
      </c>
      <c r="P288" s="29">
        <v>260553</v>
      </c>
      <c r="Q288" s="29" t="s">
        <v>1163</v>
      </c>
    </row>
    <row r="289" spans="1:17">
      <c r="A289" s="4"/>
      <c r="B289" s="3"/>
      <c r="C289" s="3"/>
      <c r="F289" s="4" t="s">
        <v>1164</v>
      </c>
      <c r="G289" s="4">
        <v>260573</v>
      </c>
      <c r="H289" s="4" t="s">
        <v>606</v>
      </c>
      <c r="I289" s="4" t="s">
        <v>622</v>
      </c>
      <c r="J289" s="4" t="s">
        <v>721</v>
      </c>
      <c r="P289" s="29">
        <v>260573</v>
      </c>
      <c r="Q289" s="29" t="s">
        <v>1165</v>
      </c>
    </row>
    <row r="290" spans="1:17">
      <c r="A290" s="4"/>
      <c r="B290" s="3"/>
      <c r="C290" s="3"/>
      <c r="F290" s="4" t="s">
        <v>1166</v>
      </c>
      <c r="G290" s="4">
        <v>260800</v>
      </c>
      <c r="H290" s="4" t="s">
        <v>606</v>
      </c>
      <c r="I290" s="4" t="s">
        <v>1167</v>
      </c>
      <c r="J290" s="4" t="s">
        <v>535</v>
      </c>
      <c r="P290" s="29">
        <v>260800</v>
      </c>
      <c r="Q290" s="29" t="s">
        <v>1168</v>
      </c>
    </row>
    <row r="291" spans="1:17">
      <c r="A291" s="4"/>
      <c r="B291" s="3"/>
      <c r="C291" s="3"/>
      <c r="F291" s="4" t="s">
        <v>1169</v>
      </c>
      <c r="G291" s="4">
        <v>260913</v>
      </c>
      <c r="H291" s="4" t="s">
        <v>606</v>
      </c>
      <c r="I291" s="4" t="s">
        <v>1085</v>
      </c>
      <c r="J291" s="4" t="s">
        <v>586</v>
      </c>
      <c r="P291" s="29">
        <v>260913</v>
      </c>
      <c r="Q291" s="29" t="s">
        <v>1170</v>
      </c>
    </row>
    <row r="292" spans="1:17">
      <c r="A292" s="4"/>
      <c r="B292" s="3"/>
      <c r="C292" s="3"/>
      <c r="F292" s="4" t="s">
        <v>1171</v>
      </c>
      <c r="G292" s="4">
        <v>260943</v>
      </c>
      <c r="H292" s="4" t="s">
        <v>606</v>
      </c>
      <c r="I292" s="4" t="s">
        <v>1085</v>
      </c>
      <c r="J292" s="4" t="s">
        <v>948</v>
      </c>
      <c r="P292" s="29">
        <v>260943</v>
      </c>
      <c r="Q292" s="29" t="s">
        <v>1172</v>
      </c>
    </row>
    <row r="293" spans="1:17">
      <c r="A293" s="4"/>
      <c r="B293" s="3"/>
      <c r="C293" s="3"/>
      <c r="F293" s="4" t="s">
        <v>1173</v>
      </c>
      <c r="G293" s="4">
        <v>261100</v>
      </c>
      <c r="H293" s="4" t="s">
        <v>606</v>
      </c>
      <c r="I293" s="4" t="s">
        <v>578</v>
      </c>
      <c r="J293" s="4" t="s">
        <v>535</v>
      </c>
      <c r="P293" s="29">
        <v>261100</v>
      </c>
      <c r="Q293" s="29" t="s">
        <v>1173</v>
      </c>
    </row>
    <row r="294" spans="1:17">
      <c r="A294" s="4"/>
      <c r="B294" s="3"/>
      <c r="C294" s="3"/>
      <c r="F294" s="4" t="s">
        <v>1174</v>
      </c>
      <c r="G294" s="4">
        <v>261216</v>
      </c>
      <c r="H294" s="4" t="s">
        <v>606</v>
      </c>
      <c r="I294" s="4" t="s">
        <v>582</v>
      </c>
      <c r="J294" s="4" t="s">
        <v>651</v>
      </c>
      <c r="P294" s="29">
        <v>261216</v>
      </c>
      <c r="Q294" s="29" t="s">
        <v>1175</v>
      </c>
    </row>
    <row r="295" spans="1:17">
      <c r="A295" s="4"/>
      <c r="B295" s="3"/>
      <c r="C295" s="3"/>
      <c r="F295" s="4" t="s">
        <v>1176</v>
      </c>
      <c r="G295" s="4">
        <v>262200</v>
      </c>
      <c r="H295" s="4" t="s">
        <v>606</v>
      </c>
      <c r="I295" s="4" t="s">
        <v>598</v>
      </c>
      <c r="J295" s="4" t="s">
        <v>535</v>
      </c>
      <c r="P295" s="29">
        <v>262200</v>
      </c>
      <c r="Q295" s="29" t="s">
        <v>1177</v>
      </c>
    </row>
    <row r="296" spans="1:17">
      <c r="A296" s="4"/>
      <c r="B296" s="3"/>
      <c r="C296" s="3"/>
      <c r="F296" s="4" t="s">
        <v>1178</v>
      </c>
      <c r="G296" s="4">
        <v>262300</v>
      </c>
      <c r="H296" s="4" t="s">
        <v>606</v>
      </c>
      <c r="I296" s="4" t="s">
        <v>602</v>
      </c>
      <c r="J296" s="4" t="s">
        <v>535</v>
      </c>
      <c r="P296" s="29">
        <v>262300</v>
      </c>
      <c r="Q296" s="29" t="s">
        <v>1179</v>
      </c>
    </row>
    <row r="297" spans="1:17">
      <c r="A297" s="4"/>
      <c r="B297" s="3"/>
      <c r="C297" s="3"/>
      <c r="F297" s="4" t="s">
        <v>1180</v>
      </c>
      <c r="G297" s="4">
        <v>262400</v>
      </c>
      <c r="H297" s="4" t="s">
        <v>606</v>
      </c>
      <c r="I297" s="4" t="s">
        <v>1096</v>
      </c>
      <c r="J297" s="4" t="s">
        <v>535</v>
      </c>
      <c r="P297" s="29">
        <v>262400</v>
      </c>
      <c r="Q297" s="283" t="s">
        <v>1181</v>
      </c>
    </row>
    <row r="298" spans="1:17">
      <c r="A298" s="4"/>
      <c r="B298" s="3"/>
      <c r="C298" s="3"/>
      <c r="F298" s="4" t="s">
        <v>1182</v>
      </c>
      <c r="G298" s="4">
        <v>262500</v>
      </c>
      <c r="H298" s="4" t="s">
        <v>606</v>
      </c>
      <c r="I298" s="4" t="s">
        <v>937</v>
      </c>
      <c r="J298" s="4" t="s">
        <v>535</v>
      </c>
      <c r="P298" s="29">
        <v>262500</v>
      </c>
      <c r="Q298" s="29" t="s">
        <v>1183</v>
      </c>
    </row>
    <row r="299" spans="1:17">
      <c r="A299" s="4"/>
      <c r="B299" s="3"/>
      <c r="C299" s="3"/>
      <c r="F299" s="4" t="s">
        <v>1184</v>
      </c>
      <c r="G299" s="4">
        <v>262726</v>
      </c>
      <c r="H299" s="4" t="s">
        <v>606</v>
      </c>
      <c r="I299" s="4" t="s">
        <v>610</v>
      </c>
      <c r="J299" s="4" t="s">
        <v>606</v>
      </c>
      <c r="P299" s="29">
        <v>262726</v>
      </c>
      <c r="Q299" s="29" t="s">
        <v>1185</v>
      </c>
    </row>
    <row r="300" spans="1:17">
      <c r="A300" s="4"/>
      <c r="B300" s="3"/>
      <c r="C300" s="3"/>
      <c r="F300" s="4" t="s">
        <v>1186</v>
      </c>
      <c r="G300" s="4">
        <v>262816</v>
      </c>
      <c r="H300" s="4" t="s">
        <v>606</v>
      </c>
      <c r="I300" s="4" t="s">
        <v>942</v>
      </c>
      <c r="J300" s="4" t="s">
        <v>651</v>
      </c>
      <c r="P300" s="29">
        <v>262816</v>
      </c>
      <c r="Q300" s="29" t="s">
        <v>1187</v>
      </c>
    </row>
    <row r="301" spans="1:17">
      <c r="A301" s="4"/>
      <c r="B301" s="3"/>
      <c r="C301" s="3"/>
      <c r="F301" s="4" t="s">
        <v>1188</v>
      </c>
      <c r="G301" s="4">
        <v>262900</v>
      </c>
      <c r="H301" s="4" t="s">
        <v>606</v>
      </c>
      <c r="I301" s="4" t="s">
        <v>870</v>
      </c>
      <c r="J301" s="4" t="s">
        <v>535</v>
      </c>
      <c r="P301" s="29">
        <v>262900</v>
      </c>
      <c r="Q301" s="29" t="s">
        <v>1189</v>
      </c>
    </row>
    <row r="302" spans="1:17">
      <c r="A302" s="4"/>
      <c r="B302" s="3"/>
      <c r="C302" s="3"/>
      <c r="F302" s="284" t="s">
        <v>1190</v>
      </c>
      <c r="G302" s="4">
        <v>263200</v>
      </c>
      <c r="H302" s="4">
        <v>26</v>
      </c>
      <c r="I302" s="4">
        <v>32</v>
      </c>
      <c r="J302" s="4" t="s">
        <v>535</v>
      </c>
      <c r="P302" s="29">
        <v>263200</v>
      </c>
      <c r="Q302" s="32" t="s">
        <v>1191</v>
      </c>
    </row>
    <row r="303" spans="1:17">
      <c r="A303" s="4"/>
      <c r="B303" s="3"/>
      <c r="C303" s="3"/>
      <c r="F303" s="4" t="s">
        <v>1192</v>
      </c>
      <c r="G303" s="4">
        <v>263353</v>
      </c>
      <c r="H303" s="4" t="s">
        <v>606</v>
      </c>
      <c r="I303" s="4" t="s">
        <v>822</v>
      </c>
      <c r="J303" s="4" t="s">
        <v>761</v>
      </c>
      <c r="P303" s="29">
        <v>263353</v>
      </c>
      <c r="Q303" s="29" t="s">
        <v>1193</v>
      </c>
    </row>
    <row r="304" spans="1:17">
      <c r="A304" s="4"/>
      <c r="B304" s="3"/>
      <c r="C304" s="3"/>
      <c r="F304" s="4" t="s">
        <v>1194</v>
      </c>
      <c r="G304" s="4">
        <v>263600</v>
      </c>
      <c r="H304" s="4" t="s">
        <v>606</v>
      </c>
      <c r="I304" s="4" t="s">
        <v>825</v>
      </c>
      <c r="J304" s="4" t="s">
        <v>535</v>
      </c>
      <c r="P304" s="29">
        <v>263600</v>
      </c>
      <c r="Q304" s="29" t="s">
        <v>1195</v>
      </c>
    </row>
    <row r="305" spans="1:18">
      <c r="A305" s="4"/>
      <c r="B305" s="3"/>
      <c r="C305" s="3"/>
      <c r="F305" s="4" t="s">
        <v>1196</v>
      </c>
      <c r="G305" s="4">
        <v>265000</v>
      </c>
      <c r="H305" s="4" t="s">
        <v>606</v>
      </c>
      <c r="I305" s="4" t="s">
        <v>712</v>
      </c>
      <c r="J305" s="4" t="s">
        <v>535</v>
      </c>
      <c r="P305" s="29">
        <v>265000</v>
      </c>
      <c r="Q305" s="29" t="s">
        <v>1196</v>
      </c>
    </row>
    <row r="306" spans="1:18">
      <c r="A306" s="4"/>
      <c r="B306" s="3"/>
      <c r="C306" s="3"/>
      <c r="F306" s="4" t="s">
        <v>1197</v>
      </c>
      <c r="G306" s="4">
        <v>265619</v>
      </c>
      <c r="H306" s="4" t="s">
        <v>606</v>
      </c>
      <c r="I306" s="4" t="s">
        <v>840</v>
      </c>
      <c r="J306" s="4" t="s">
        <v>630</v>
      </c>
      <c r="P306" s="29">
        <v>265619</v>
      </c>
      <c r="Q306" s="29" t="s">
        <v>1198</v>
      </c>
    </row>
    <row r="307" spans="1:18">
      <c r="A307" s="4"/>
      <c r="B307" s="3"/>
      <c r="C307" s="3"/>
      <c r="F307" s="4" t="s">
        <v>1199</v>
      </c>
      <c r="G307" s="4">
        <v>265623</v>
      </c>
      <c r="H307" s="4" t="s">
        <v>606</v>
      </c>
      <c r="I307" s="4" t="s">
        <v>840</v>
      </c>
      <c r="J307" s="4" t="s">
        <v>602</v>
      </c>
      <c r="P307" s="29">
        <v>265623</v>
      </c>
      <c r="Q307" s="29" t="s">
        <v>1200</v>
      </c>
    </row>
    <row r="308" spans="1:18">
      <c r="A308" s="4"/>
      <c r="B308" s="3"/>
      <c r="C308" s="3"/>
      <c r="F308" s="4"/>
      <c r="G308" s="4"/>
      <c r="H308" s="4"/>
      <c r="I308" s="4"/>
      <c r="J308" s="4"/>
    </row>
    <row r="309" spans="1:18">
      <c r="A309" s="4"/>
      <c r="B309" s="3"/>
      <c r="C309" s="3"/>
      <c r="F309" s="4"/>
      <c r="G309" s="4">
        <v>270000</v>
      </c>
      <c r="H309" s="4" t="s">
        <v>610</v>
      </c>
      <c r="I309" s="4" t="s">
        <v>535</v>
      </c>
      <c r="J309" s="4" t="s">
        <v>535</v>
      </c>
      <c r="P309" s="30" t="s">
        <v>1201</v>
      </c>
      <c r="Q309" s="34"/>
      <c r="R309" s="34"/>
    </row>
    <row r="310" spans="1:18">
      <c r="A310" s="4"/>
      <c r="B310" s="3"/>
      <c r="C310" s="3"/>
      <c r="F310" s="283" t="s">
        <v>1202</v>
      </c>
      <c r="G310" s="4">
        <v>270500</v>
      </c>
      <c r="H310" s="4">
        <v>27</v>
      </c>
      <c r="I310" s="4" t="s">
        <v>622</v>
      </c>
      <c r="J310" s="4" t="s">
        <v>535</v>
      </c>
      <c r="P310" s="29">
        <v>270500</v>
      </c>
      <c r="Q310" s="29" t="s">
        <v>1203</v>
      </c>
    </row>
    <row r="311" spans="1:18">
      <c r="A311" s="4"/>
      <c r="B311" s="3"/>
      <c r="C311" s="3"/>
      <c r="F311" s="4" t="s">
        <v>1204</v>
      </c>
      <c r="G311" s="4">
        <v>270553</v>
      </c>
      <c r="H311" s="4" t="s">
        <v>610</v>
      </c>
      <c r="I311" s="4" t="s">
        <v>622</v>
      </c>
      <c r="J311" s="4" t="s">
        <v>761</v>
      </c>
      <c r="P311" s="29">
        <v>270553</v>
      </c>
      <c r="Q311" s="29" t="s">
        <v>1205</v>
      </c>
    </row>
    <row r="312" spans="1:18">
      <c r="A312" s="4"/>
      <c r="B312" s="3"/>
      <c r="C312" s="3"/>
      <c r="F312" s="4" t="s">
        <v>1206</v>
      </c>
      <c r="G312" s="4">
        <v>271000</v>
      </c>
      <c r="H312" s="4" t="s">
        <v>610</v>
      </c>
      <c r="I312" s="4" t="s">
        <v>573</v>
      </c>
      <c r="J312" s="4" t="s">
        <v>535</v>
      </c>
      <c r="P312" s="29">
        <v>271000</v>
      </c>
      <c r="Q312" s="29" t="s">
        <v>1207</v>
      </c>
    </row>
    <row r="313" spans="1:18">
      <c r="A313" s="4"/>
      <c r="B313" s="3"/>
      <c r="C313" s="3"/>
      <c r="F313" s="284" t="s">
        <v>1208</v>
      </c>
      <c r="G313" s="4">
        <v>272100</v>
      </c>
      <c r="H313" s="4" t="s">
        <v>610</v>
      </c>
      <c r="I313" s="4">
        <v>21</v>
      </c>
      <c r="J313" s="4" t="s">
        <v>535</v>
      </c>
      <c r="P313" s="29">
        <v>272100</v>
      </c>
      <c r="Q313" s="32" t="s">
        <v>1209</v>
      </c>
    </row>
    <row r="314" spans="1:18">
      <c r="A314" s="4"/>
      <c r="B314" s="3"/>
      <c r="C314" s="3"/>
      <c r="F314" s="284" t="s">
        <v>1210</v>
      </c>
      <c r="G314" s="4">
        <v>272133</v>
      </c>
      <c r="H314" s="4" t="s">
        <v>610</v>
      </c>
      <c r="I314" s="4">
        <v>21</v>
      </c>
      <c r="J314" s="4">
        <v>33</v>
      </c>
      <c r="P314" s="29">
        <v>272133</v>
      </c>
      <c r="Q314" s="32" t="s">
        <v>1211</v>
      </c>
    </row>
    <row r="315" spans="1:18">
      <c r="A315" s="4"/>
      <c r="B315" s="3"/>
      <c r="C315" s="3"/>
      <c r="F315" s="284" t="s">
        <v>1212</v>
      </c>
      <c r="G315" s="4">
        <v>272200</v>
      </c>
      <c r="H315" s="4" t="s">
        <v>610</v>
      </c>
      <c r="I315" s="4">
        <v>22</v>
      </c>
      <c r="J315" s="4" t="s">
        <v>535</v>
      </c>
      <c r="P315" s="29">
        <v>272200</v>
      </c>
      <c r="Q315" s="32" t="s">
        <v>1213</v>
      </c>
    </row>
    <row r="316" spans="1:18">
      <c r="A316" s="4"/>
      <c r="B316" s="3"/>
      <c r="C316" s="3"/>
      <c r="F316" s="32" t="s">
        <v>1214</v>
      </c>
      <c r="G316" s="4">
        <v>272219</v>
      </c>
      <c r="H316" s="4" t="s">
        <v>610</v>
      </c>
      <c r="I316" s="4">
        <v>22</v>
      </c>
      <c r="J316" s="4">
        <v>19</v>
      </c>
      <c r="P316" s="29">
        <v>272219</v>
      </c>
      <c r="Q316" s="32" t="s">
        <v>1214</v>
      </c>
    </row>
    <row r="317" spans="1:18">
      <c r="A317" s="4"/>
      <c r="B317" s="3"/>
      <c r="C317" s="3"/>
      <c r="F317" s="32" t="s">
        <v>1215</v>
      </c>
      <c r="G317" s="4">
        <v>272223</v>
      </c>
      <c r="H317" s="4" t="s">
        <v>610</v>
      </c>
      <c r="I317" s="4">
        <v>22</v>
      </c>
      <c r="J317" s="4">
        <v>23</v>
      </c>
      <c r="P317" s="29">
        <v>272223</v>
      </c>
      <c r="Q317" s="32" t="s">
        <v>1215</v>
      </c>
    </row>
    <row r="318" spans="1:18">
      <c r="A318" s="4"/>
      <c r="B318" s="3"/>
      <c r="C318" s="3"/>
      <c r="F318" s="32" t="s">
        <v>1216</v>
      </c>
      <c r="G318" s="4">
        <v>272226</v>
      </c>
      <c r="H318" s="4" t="s">
        <v>610</v>
      </c>
      <c r="I318" s="4">
        <v>22</v>
      </c>
      <c r="J318" s="4">
        <v>26</v>
      </c>
      <c r="P318" s="29">
        <v>272226</v>
      </c>
      <c r="Q318" s="32" t="s">
        <v>1216</v>
      </c>
    </row>
    <row r="319" spans="1:18">
      <c r="A319" s="4"/>
      <c r="B319" s="3"/>
      <c r="C319" s="3"/>
      <c r="F319" s="283" t="s">
        <v>1217</v>
      </c>
      <c r="G319" s="4">
        <v>272232</v>
      </c>
      <c r="H319" s="4" t="s">
        <v>610</v>
      </c>
      <c r="I319" s="4">
        <v>22</v>
      </c>
      <c r="J319" s="4">
        <v>32</v>
      </c>
      <c r="P319" s="29">
        <v>272232</v>
      </c>
      <c r="Q319" s="29" t="s">
        <v>1218</v>
      </c>
    </row>
    <row r="320" spans="1:18">
      <c r="A320" s="4"/>
      <c r="B320" s="3"/>
      <c r="C320" s="3"/>
      <c r="F320" s="283" t="s">
        <v>1219</v>
      </c>
      <c r="G320" s="4">
        <v>272234</v>
      </c>
      <c r="H320" s="4" t="s">
        <v>610</v>
      </c>
      <c r="I320" s="4">
        <v>22</v>
      </c>
      <c r="J320" s="4">
        <v>34</v>
      </c>
      <c r="P320" s="29">
        <v>272234</v>
      </c>
      <c r="Q320" s="29" t="s">
        <v>1220</v>
      </c>
    </row>
    <row r="321" spans="1:18">
      <c r="A321" s="4"/>
      <c r="B321" s="3"/>
      <c r="C321" s="3"/>
      <c r="F321" s="283" t="s">
        <v>1221</v>
      </c>
      <c r="G321" s="4">
        <v>272236</v>
      </c>
      <c r="H321" s="4" t="s">
        <v>610</v>
      </c>
      <c r="I321" s="4">
        <v>22</v>
      </c>
      <c r="J321" s="4">
        <v>36</v>
      </c>
      <c r="P321" s="29">
        <v>272236</v>
      </c>
      <c r="Q321" s="29" t="s">
        <v>1222</v>
      </c>
    </row>
    <row r="322" spans="1:18">
      <c r="A322" s="4"/>
      <c r="B322" s="3"/>
      <c r="C322" s="3"/>
      <c r="F322" s="32" t="s">
        <v>1223</v>
      </c>
      <c r="G322" s="4">
        <v>272413</v>
      </c>
      <c r="H322" s="4" t="s">
        <v>610</v>
      </c>
      <c r="I322" s="4">
        <v>24</v>
      </c>
      <c r="J322" s="4">
        <v>13</v>
      </c>
      <c r="P322" s="29">
        <v>272413</v>
      </c>
      <c r="Q322" s="32" t="s">
        <v>1223</v>
      </c>
    </row>
    <row r="323" spans="1:18">
      <c r="A323" s="4"/>
      <c r="B323" s="3"/>
      <c r="C323" s="3"/>
      <c r="F323" s="284" t="s">
        <v>1224</v>
      </c>
      <c r="G323" s="4">
        <v>272500</v>
      </c>
      <c r="H323" s="4" t="s">
        <v>610</v>
      </c>
      <c r="I323" s="4">
        <v>25</v>
      </c>
      <c r="J323" s="4" t="s">
        <v>535</v>
      </c>
      <c r="P323" s="29">
        <v>272500</v>
      </c>
      <c r="Q323" s="32" t="s">
        <v>1225</v>
      </c>
    </row>
    <row r="324" spans="1:18">
      <c r="A324" s="4"/>
      <c r="B324" s="3"/>
      <c r="C324" s="3"/>
      <c r="F324" s="284" t="s">
        <v>1226</v>
      </c>
      <c r="G324" s="4">
        <v>273000</v>
      </c>
      <c r="H324" s="4" t="s">
        <v>610</v>
      </c>
      <c r="I324" s="4">
        <v>30</v>
      </c>
      <c r="J324" s="4" t="s">
        <v>535</v>
      </c>
      <c r="P324" s="29">
        <v>273000</v>
      </c>
      <c r="Q324" s="32" t="s">
        <v>1227</v>
      </c>
    </row>
    <row r="325" spans="1:18">
      <c r="A325" s="4"/>
      <c r="B325" s="3"/>
      <c r="C325" s="3"/>
      <c r="F325" s="4" t="s">
        <v>1228</v>
      </c>
      <c r="G325" s="4">
        <v>274100</v>
      </c>
      <c r="H325" s="4" t="s">
        <v>610</v>
      </c>
      <c r="I325" s="4" t="s">
        <v>626</v>
      </c>
      <c r="J325" s="4" t="s">
        <v>535</v>
      </c>
      <c r="P325" s="29">
        <v>274100</v>
      </c>
      <c r="Q325" s="29" t="s">
        <v>1229</v>
      </c>
    </row>
    <row r="326" spans="1:18">
      <c r="A326" s="4"/>
      <c r="B326" s="3"/>
      <c r="C326" s="3"/>
      <c r="F326" s="4" t="s">
        <v>1230</v>
      </c>
      <c r="G326" s="4">
        <v>275116</v>
      </c>
      <c r="H326" s="4" t="s">
        <v>610</v>
      </c>
      <c r="I326" s="4" t="s">
        <v>751</v>
      </c>
      <c r="J326" s="4" t="s">
        <v>651</v>
      </c>
      <c r="P326" s="29">
        <v>275116</v>
      </c>
      <c r="Q326" s="29" t="s">
        <v>1231</v>
      </c>
    </row>
    <row r="327" spans="1:18">
      <c r="A327" s="4"/>
      <c r="B327" s="3"/>
      <c r="C327" s="3"/>
      <c r="F327" s="284" t="s">
        <v>1232</v>
      </c>
      <c r="G327" s="4">
        <v>275319</v>
      </c>
      <c r="H327" s="4">
        <v>27</v>
      </c>
      <c r="I327" s="4">
        <v>53</v>
      </c>
      <c r="J327" s="4">
        <v>19</v>
      </c>
      <c r="P327" s="35">
        <v>275319</v>
      </c>
      <c r="Q327" s="32" t="s">
        <v>1233</v>
      </c>
    </row>
    <row r="328" spans="1:18">
      <c r="A328" s="4"/>
      <c r="B328" s="3"/>
      <c r="C328" s="3"/>
      <c r="F328" s="4"/>
      <c r="G328" s="4"/>
      <c r="H328" s="4"/>
      <c r="I328" s="4"/>
      <c r="J328" s="4"/>
      <c r="P328" s="35"/>
      <c r="Q328" s="32"/>
    </row>
    <row r="329" spans="1:18">
      <c r="A329" s="4"/>
      <c r="B329" s="3"/>
      <c r="C329" s="3"/>
      <c r="F329" s="4"/>
      <c r="G329" s="4">
        <v>280000</v>
      </c>
      <c r="H329" s="4" t="s">
        <v>942</v>
      </c>
      <c r="I329" s="4" t="s">
        <v>535</v>
      </c>
      <c r="J329" s="4" t="s">
        <v>535</v>
      </c>
      <c r="P329" s="30" t="s">
        <v>1234</v>
      </c>
      <c r="Q329" s="30"/>
      <c r="R329" s="30"/>
    </row>
    <row r="330" spans="1:18">
      <c r="A330" s="4"/>
      <c r="B330" s="3"/>
      <c r="C330" s="3"/>
      <c r="F330" s="283" t="s">
        <v>1235</v>
      </c>
      <c r="G330" s="4">
        <v>280500</v>
      </c>
      <c r="H330" s="4" t="s">
        <v>942</v>
      </c>
      <c r="I330" s="4" t="s">
        <v>622</v>
      </c>
      <c r="J330" s="4" t="s">
        <v>535</v>
      </c>
      <c r="P330" s="283">
        <v>280500</v>
      </c>
      <c r="Q330" s="283" t="s">
        <v>1236</v>
      </c>
    </row>
    <row r="331" spans="1:18">
      <c r="A331" s="4"/>
      <c r="B331" s="3"/>
      <c r="C331" s="3"/>
      <c r="F331" s="283" t="s">
        <v>1237</v>
      </c>
      <c r="G331" s="4">
        <v>280513</v>
      </c>
      <c r="H331" s="4" t="s">
        <v>942</v>
      </c>
      <c r="I331" s="4" t="s">
        <v>622</v>
      </c>
      <c r="J331" s="4">
        <v>13</v>
      </c>
      <c r="P331" s="283">
        <v>280513</v>
      </c>
      <c r="Q331" s="283" t="s">
        <v>1238</v>
      </c>
    </row>
    <row r="332" spans="1:18">
      <c r="A332" s="4"/>
      <c r="B332" s="3"/>
      <c r="C332" s="3"/>
      <c r="F332" s="283" t="s">
        <v>1239</v>
      </c>
      <c r="G332" s="4">
        <v>281300</v>
      </c>
      <c r="H332" s="4" t="s">
        <v>942</v>
      </c>
      <c r="I332" s="4" t="s">
        <v>586</v>
      </c>
      <c r="J332" s="4" t="s">
        <v>535</v>
      </c>
      <c r="P332" s="283">
        <v>281300</v>
      </c>
      <c r="Q332" s="283" t="s">
        <v>1240</v>
      </c>
    </row>
    <row r="333" spans="1:18">
      <c r="A333" s="4"/>
      <c r="B333" s="3"/>
      <c r="C333" s="3"/>
      <c r="F333" s="283" t="s">
        <v>1241</v>
      </c>
      <c r="G333" s="4">
        <v>282300</v>
      </c>
      <c r="H333" s="4" t="s">
        <v>942</v>
      </c>
      <c r="I333" s="4" t="s">
        <v>602</v>
      </c>
      <c r="J333" s="4" t="s">
        <v>535</v>
      </c>
      <c r="P333" s="283">
        <v>282300</v>
      </c>
      <c r="Q333" s="283" t="s">
        <v>1242</v>
      </c>
    </row>
    <row r="334" spans="1:18">
      <c r="A334" s="4"/>
      <c r="B334" s="3"/>
      <c r="C334" s="3"/>
      <c r="F334" s="284" t="s">
        <v>1243</v>
      </c>
      <c r="G334" s="4">
        <v>282316</v>
      </c>
      <c r="H334" s="4" t="s">
        <v>942</v>
      </c>
      <c r="I334" s="4">
        <v>23</v>
      </c>
      <c r="J334" s="4">
        <v>16</v>
      </c>
      <c r="P334" s="283">
        <v>282316</v>
      </c>
      <c r="Q334" s="284" t="s">
        <v>1244</v>
      </c>
    </row>
    <row r="335" spans="1:18">
      <c r="A335" s="4"/>
      <c r="B335" s="3"/>
      <c r="C335" s="3"/>
      <c r="F335" s="284" t="s">
        <v>1245</v>
      </c>
      <c r="G335" s="4">
        <v>282319</v>
      </c>
      <c r="H335" s="4" t="s">
        <v>942</v>
      </c>
      <c r="I335" s="4">
        <v>23</v>
      </c>
      <c r="J335" s="4">
        <v>19</v>
      </c>
      <c r="P335" s="283">
        <v>282319</v>
      </c>
      <c r="Q335" s="284" t="s">
        <v>1245</v>
      </c>
    </row>
    <row r="336" spans="1:18">
      <c r="A336" s="4"/>
      <c r="B336" s="3"/>
      <c r="C336" s="3"/>
      <c r="F336" s="284" t="s">
        <v>1246</v>
      </c>
      <c r="G336" s="4">
        <v>282329</v>
      </c>
      <c r="H336" s="4" t="s">
        <v>942</v>
      </c>
      <c r="I336" s="4">
        <v>23</v>
      </c>
      <c r="J336" s="4">
        <v>29</v>
      </c>
      <c r="P336" s="283">
        <v>282329</v>
      </c>
      <c r="Q336" s="284" t="s">
        <v>1247</v>
      </c>
    </row>
    <row r="337" spans="1:18">
      <c r="A337" s="4"/>
      <c r="B337" s="3"/>
      <c r="C337" s="3"/>
      <c r="F337" s="284" t="s">
        <v>1248</v>
      </c>
      <c r="G337" s="4">
        <v>281323</v>
      </c>
      <c r="H337" s="4" t="s">
        <v>942</v>
      </c>
      <c r="I337" s="4">
        <v>13</v>
      </c>
      <c r="J337" s="4">
        <v>23</v>
      </c>
      <c r="P337" s="283">
        <v>281323</v>
      </c>
      <c r="Q337" s="284" t="s">
        <v>1249</v>
      </c>
    </row>
    <row r="338" spans="1:18">
      <c r="A338" s="4"/>
      <c r="B338" s="3"/>
      <c r="C338" s="3"/>
      <c r="F338" s="284" t="s">
        <v>1250</v>
      </c>
      <c r="G338" s="4">
        <v>283100</v>
      </c>
      <c r="H338" s="4" t="s">
        <v>942</v>
      </c>
      <c r="I338" s="4">
        <v>31</v>
      </c>
      <c r="J338" s="4" t="s">
        <v>535</v>
      </c>
      <c r="P338" s="283">
        <v>283100</v>
      </c>
      <c r="Q338" s="284" t="s">
        <v>1251</v>
      </c>
    </row>
    <row r="339" spans="1:18">
      <c r="A339" s="4"/>
      <c r="B339" s="3"/>
      <c r="C339" s="3"/>
      <c r="F339" s="4"/>
      <c r="G339" s="4"/>
      <c r="H339" s="4"/>
      <c r="I339" s="4"/>
      <c r="J339" s="4"/>
      <c r="P339" s="28" t="s">
        <v>1252</v>
      </c>
    </row>
    <row r="340" spans="1:18">
      <c r="A340" s="4"/>
      <c r="B340" s="3"/>
      <c r="C340" s="3"/>
      <c r="F340" s="4"/>
      <c r="G340" s="4">
        <v>310000</v>
      </c>
      <c r="H340" s="4" t="s">
        <v>706</v>
      </c>
      <c r="I340" s="4" t="s">
        <v>535</v>
      </c>
      <c r="J340" s="4" t="s">
        <v>535</v>
      </c>
      <c r="P340" s="30" t="s">
        <v>1253</v>
      </c>
      <c r="Q340" s="30"/>
      <c r="R340" s="30"/>
    </row>
    <row r="341" spans="1:18">
      <c r="A341" s="4"/>
      <c r="B341" s="3"/>
      <c r="C341" s="3"/>
      <c r="F341" s="285" t="s">
        <v>1254</v>
      </c>
      <c r="G341" s="4">
        <v>310500</v>
      </c>
      <c r="H341" s="4">
        <v>31</v>
      </c>
      <c r="I341" s="4" t="s">
        <v>622</v>
      </c>
      <c r="J341" s="4" t="s">
        <v>535</v>
      </c>
      <c r="P341" s="283">
        <v>310500</v>
      </c>
      <c r="Q341" s="285" t="s">
        <v>1255</v>
      </c>
    </row>
    <row r="342" spans="1:18">
      <c r="A342" s="4"/>
      <c r="B342" s="3"/>
      <c r="C342" s="3"/>
      <c r="F342" s="285" t="s">
        <v>1256</v>
      </c>
      <c r="G342" s="4">
        <v>312000</v>
      </c>
      <c r="H342" s="4" t="s">
        <v>706</v>
      </c>
      <c r="I342" s="4">
        <v>20</v>
      </c>
      <c r="J342" s="4" t="s">
        <v>535</v>
      </c>
      <c r="P342" s="283">
        <v>312000</v>
      </c>
      <c r="Q342" s="285" t="s">
        <v>1257</v>
      </c>
    </row>
    <row r="343" spans="1:18">
      <c r="A343" s="4"/>
      <c r="B343" s="3"/>
      <c r="C343" s="3"/>
      <c r="F343" s="285" t="s">
        <v>1258</v>
      </c>
      <c r="G343" s="4">
        <v>312300</v>
      </c>
      <c r="H343" s="4" t="s">
        <v>706</v>
      </c>
      <c r="I343" s="4">
        <v>23</v>
      </c>
      <c r="J343" s="4" t="s">
        <v>535</v>
      </c>
      <c r="P343" s="283">
        <v>312300</v>
      </c>
      <c r="Q343" s="285" t="s">
        <v>1259</v>
      </c>
    </row>
    <row r="344" spans="1:18">
      <c r="A344" s="4"/>
      <c r="B344" s="3"/>
      <c r="C344" s="3"/>
      <c r="F344" s="285" t="s">
        <v>1260</v>
      </c>
      <c r="G344" s="4">
        <v>312319</v>
      </c>
      <c r="H344" s="4" t="s">
        <v>706</v>
      </c>
      <c r="I344" s="4">
        <v>23</v>
      </c>
      <c r="J344" s="4">
        <v>19</v>
      </c>
      <c r="P344" s="283">
        <v>312319</v>
      </c>
      <c r="Q344" s="285" t="s">
        <v>1260</v>
      </c>
    </row>
    <row r="345" spans="1:18">
      <c r="A345" s="4"/>
      <c r="B345" s="3"/>
      <c r="C345" s="3"/>
      <c r="F345" s="285" t="s">
        <v>1261</v>
      </c>
      <c r="G345" s="4">
        <v>313200</v>
      </c>
      <c r="H345" s="4" t="s">
        <v>706</v>
      </c>
      <c r="I345" s="4">
        <v>32</v>
      </c>
      <c r="J345" s="4" t="s">
        <v>535</v>
      </c>
      <c r="P345" s="283">
        <v>313200</v>
      </c>
      <c r="Q345" s="285" t="s">
        <v>1262</v>
      </c>
    </row>
    <row r="346" spans="1:18">
      <c r="A346" s="4"/>
      <c r="B346" s="3"/>
      <c r="C346" s="3"/>
      <c r="F346" s="285" t="s">
        <v>1263</v>
      </c>
      <c r="G346" s="4">
        <v>313700</v>
      </c>
      <c r="H346" s="4">
        <v>31</v>
      </c>
      <c r="I346" s="4">
        <v>37</v>
      </c>
      <c r="J346" s="4" t="s">
        <v>535</v>
      </c>
      <c r="P346" s="283">
        <v>313700</v>
      </c>
      <c r="Q346" s="285" t="s">
        <v>1264</v>
      </c>
    </row>
    <row r="347" spans="1:18">
      <c r="A347" s="4"/>
      <c r="B347" s="3"/>
      <c r="C347" s="3"/>
      <c r="F347" s="285" t="s">
        <v>1265</v>
      </c>
      <c r="G347" s="4">
        <v>316213</v>
      </c>
      <c r="H347" s="4" t="s">
        <v>706</v>
      </c>
      <c r="I347" s="4">
        <v>62</v>
      </c>
      <c r="J347" s="4">
        <v>13</v>
      </c>
      <c r="P347" s="283">
        <v>316213</v>
      </c>
      <c r="Q347" s="285" t="s">
        <v>1266</v>
      </c>
    </row>
    <row r="348" spans="1:18">
      <c r="A348" s="4"/>
      <c r="B348" s="3"/>
      <c r="C348" s="3"/>
      <c r="F348" s="285" t="s">
        <v>1267</v>
      </c>
      <c r="G348" s="4">
        <v>316214</v>
      </c>
      <c r="H348" s="4" t="s">
        <v>706</v>
      </c>
      <c r="I348" s="4">
        <v>62</v>
      </c>
      <c r="J348" s="4">
        <v>14</v>
      </c>
      <c r="P348" s="283">
        <v>316214</v>
      </c>
      <c r="Q348" s="285" t="s">
        <v>1268</v>
      </c>
    </row>
    <row r="349" spans="1:18">
      <c r="A349" s="4"/>
      <c r="B349" s="3"/>
      <c r="C349" s="3"/>
      <c r="F349" s="285" t="s">
        <v>1269</v>
      </c>
      <c r="G349" s="4">
        <v>316216</v>
      </c>
      <c r="H349" s="4" t="s">
        <v>706</v>
      </c>
      <c r="I349" s="4" t="s">
        <v>790</v>
      </c>
      <c r="J349" s="4">
        <v>16</v>
      </c>
      <c r="P349" s="283">
        <v>316216</v>
      </c>
      <c r="Q349" s="285" t="s">
        <v>1270</v>
      </c>
    </row>
    <row r="350" spans="1:18">
      <c r="A350" s="4"/>
      <c r="B350" s="3"/>
      <c r="C350" s="3"/>
      <c r="F350" s="285" t="s">
        <v>1271</v>
      </c>
      <c r="G350" s="4">
        <v>316217</v>
      </c>
      <c r="H350" s="4" t="s">
        <v>706</v>
      </c>
      <c r="I350" s="4" t="s">
        <v>790</v>
      </c>
      <c r="J350" s="4">
        <v>17</v>
      </c>
      <c r="P350" s="283">
        <v>316217</v>
      </c>
      <c r="Q350" s="285" t="s">
        <v>1272</v>
      </c>
    </row>
    <row r="351" spans="1:18">
      <c r="A351" s="4"/>
      <c r="B351" s="3"/>
      <c r="C351" s="3"/>
      <c r="F351" s="285" t="s">
        <v>1273</v>
      </c>
      <c r="G351" s="4">
        <v>316300</v>
      </c>
      <c r="H351" s="4" t="s">
        <v>706</v>
      </c>
      <c r="I351" s="4">
        <v>63</v>
      </c>
      <c r="J351" s="4" t="s">
        <v>535</v>
      </c>
      <c r="P351" s="283">
        <v>316300</v>
      </c>
      <c r="Q351" s="285" t="s">
        <v>1274</v>
      </c>
    </row>
    <row r="352" spans="1:18">
      <c r="A352" s="4"/>
      <c r="B352" s="3"/>
      <c r="C352" s="3"/>
      <c r="F352" s="285" t="s">
        <v>1275</v>
      </c>
      <c r="G352" s="4">
        <v>316329</v>
      </c>
      <c r="H352" s="4" t="s">
        <v>706</v>
      </c>
      <c r="I352" s="4">
        <v>63</v>
      </c>
      <c r="J352" s="4">
        <v>29</v>
      </c>
      <c r="P352" s="283">
        <v>316329</v>
      </c>
      <c r="Q352" s="285" t="s">
        <v>1276</v>
      </c>
    </row>
    <row r="353" spans="1:18">
      <c r="A353" s="4"/>
      <c r="B353" s="3"/>
      <c r="C353" s="3"/>
      <c r="F353" s="4"/>
      <c r="G353" s="4"/>
      <c r="H353" s="4"/>
      <c r="I353" s="4"/>
      <c r="J353" s="4"/>
      <c r="P353" s="283"/>
      <c r="Q353" s="285"/>
    </row>
    <row r="354" spans="1:18">
      <c r="A354" s="4"/>
      <c r="B354" s="3"/>
      <c r="C354" s="3"/>
      <c r="F354" s="4"/>
      <c r="G354" s="4">
        <v>320000</v>
      </c>
      <c r="H354" s="4" t="s">
        <v>995</v>
      </c>
      <c r="I354" s="4" t="s">
        <v>535</v>
      </c>
      <c r="J354" s="4" t="s">
        <v>535</v>
      </c>
      <c r="P354" s="30" t="s">
        <v>1277</v>
      </c>
      <c r="Q354" s="30"/>
      <c r="R354" s="30"/>
    </row>
    <row r="355" spans="1:18">
      <c r="F355" s="283" t="s">
        <v>1278</v>
      </c>
      <c r="G355" s="4">
        <v>320500</v>
      </c>
      <c r="H355" s="4">
        <v>32</v>
      </c>
      <c r="I355" s="4" t="s">
        <v>622</v>
      </c>
      <c r="J355" s="4" t="s">
        <v>535</v>
      </c>
      <c r="P355" s="29">
        <v>320500</v>
      </c>
      <c r="Q355" s="29" t="s">
        <v>1279</v>
      </c>
    </row>
    <row r="356" spans="1:18">
      <c r="F356" s="4" t="s">
        <v>1280</v>
      </c>
      <c r="G356" s="4">
        <v>320117</v>
      </c>
      <c r="H356" s="4" t="s">
        <v>995</v>
      </c>
      <c r="I356" s="4" t="s">
        <v>730</v>
      </c>
      <c r="J356" s="4" t="s">
        <v>1281</v>
      </c>
      <c r="P356" s="29">
        <v>320117</v>
      </c>
      <c r="Q356" s="29" t="s">
        <v>1282</v>
      </c>
    </row>
    <row r="357" spans="1:18">
      <c r="F357" s="4" t="s">
        <v>1283</v>
      </c>
      <c r="G357" s="4">
        <v>320118</v>
      </c>
      <c r="H357" s="4" t="s">
        <v>995</v>
      </c>
      <c r="I357" s="4" t="s">
        <v>730</v>
      </c>
      <c r="J357" s="4" t="s">
        <v>767</v>
      </c>
      <c r="P357" s="29">
        <v>320118</v>
      </c>
      <c r="Q357" s="29" t="s">
        <v>1284</v>
      </c>
    </row>
    <row r="358" spans="1:18">
      <c r="F358" s="4" t="s">
        <v>1285</v>
      </c>
      <c r="G358" s="4">
        <v>320128</v>
      </c>
      <c r="H358" s="4" t="s">
        <v>995</v>
      </c>
      <c r="I358" s="4" t="s">
        <v>730</v>
      </c>
      <c r="J358" s="4" t="s">
        <v>942</v>
      </c>
      <c r="P358" s="29">
        <v>320128</v>
      </c>
      <c r="Q358" s="29" t="s">
        <v>1286</v>
      </c>
    </row>
    <row r="359" spans="1:18">
      <c r="F359" s="4" t="s">
        <v>1287</v>
      </c>
      <c r="G359" s="4">
        <v>321123</v>
      </c>
      <c r="H359" s="4" t="s">
        <v>995</v>
      </c>
      <c r="I359" s="4" t="s">
        <v>578</v>
      </c>
      <c r="J359" s="4" t="s">
        <v>602</v>
      </c>
      <c r="P359" s="29">
        <v>321123</v>
      </c>
      <c r="Q359" s="29" t="s">
        <v>1288</v>
      </c>
      <c r="R359" s="33"/>
    </row>
    <row r="360" spans="1:18">
      <c r="F360" s="4" t="s">
        <v>1289</v>
      </c>
      <c r="G360" s="4">
        <v>321133</v>
      </c>
      <c r="H360" s="4" t="s">
        <v>995</v>
      </c>
      <c r="I360" s="4" t="s">
        <v>578</v>
      </c>
      <c r="J360" s="4" t="s">
        <v>822</v>
      </c>
      <c r="P360" s="29">
        <v>321133</v>
      </c>
      <c r="Q360" s="29" t="s">
        <v>1290</v>
      </c>
      <c r="R360" s="33"/>
    </row>
    <row r="361" spans="1:18">
      <c r="F361" s="4" t="s">
        <v>1291</v>
      </c>
      <c r="G361" s="4">
        <v>321200</v>
      </c>
      <c r="H361" s="4" t="s">
        <v>995</v>
      </c>
      <c r="I361" s="4" t="s">
        <v>582</v>
      </c>
      <c r="J361" s="4" t="s">
        <v>535</v>
      </c>
      <c r="P361" s="29">
        <v>321200</v>
      </c>
      <c r="Q361" s="29" t="s">
        <v>1292</v>
      </c>
    </row>
    <row r="362" spans="1:18">
      <c r="F362" s="4" t="s">
        <v>1293</v>
      </c>
      <c r="G362" s="4">
        <v>321236</v>
      </c>
      <c r="H362" s="4" t="s">
        <v>995</v>
      </c>
      <c r="I362" s="4" t="s">
        <v>582</v>
      </c>
      <c r="J362" s="4" t="s">
        <v>825</v>
      </c>
      <c r="P362" s="29">
        <v>321236</v>
      </c>
      <c r="Q362" s="29" t="s">
        <v>1294</v>
      </c>
    </row>
    <row r="363" spans="1:18">
      <c r="F363" s="4" t="s">
        <v>1295</v>
      </c>
      <c r="G363" s="4">
        <v>321238</v>
      </c>
      <c r="H363" s="4" t="s">
        <v>995</v>
      </c>
      <c r="I363" s="4" t="s">
        <v>582</v>
      </c>
      <c r="J363" s="4" t="s">
        <v>1296</v>
      </c>
      <c r="P363" s="29">
        <v>321238</v>
      </c>
      <c r="Q363" s="29" t="s">
        <v>1297</v>
      </c>
    </row>
    <row r="364" spans="1:18">
      <c r="F364" s="4" t="s">
        <v>1298</v>
      </c>
      <c r="G364" s="4">
        <v>321273</v>
      </c>
      <c r="H364" s="4" t="s">
        <v>995</v>
      </c>
      <c r="I364" s="4" t="s">
        <v>582</v>
      </c>
      <c r="J364" s="4" t="s">
        <v>721</v>
      </c>
      <c r="P364" s="29">
        <v>321273</v>
      </c>
      <c r="Q364" s="29" t="s">
        <v>1299</v>
      </c>
    </row>
    <row r="365" spans="1:18">
      <c r="F365" s="4" t="s">
        <v>1300</v>
      </c>
      <c r="G365" s="4">
        <v>321300</v>
      </c>
      <c r="H365" s="4" t="s">
        <v>995</v>
      </c>
      <c r="I365" s="4" t="s">
        <v>586</v>
      </c>
      <c r="J365" s="4" t="s">
        <v>535</v>
      </c>
      <c r="P365" s="29">
        <v>321300</v>
      </c>
      <c r="Q365" s="29" t="s">
        <v>1301</v>
      </c>
      <c r="R365" s="33"/>
    </row>
    <row r="366" spans="1:18">
      <c r="F366" s="4" t="s">
        <v>1302</v>
      </c>
      <c r="G366" s="4">
        <v>321373</v>
      </c>
      <c r="H366" s="4" t="s">
        <v>995</v>
      </c>
      <c r="I366" s="4" t="s">
        <v>586</v>
      </c>
      <c r="J366" s="4" t="s">
        <v>721</v>
      </c>
      <c r="P366" s="29">
        <v>321373</v>
      </c>
      <c r="Q366" s="29" t="s">
        <v>1303</v>
      </c>
    </row>
    <row r="367" spans="1:18">
      <c r="F367" s="4" t="s">
        <v>1304</v>
      </c>
      <c r="G367" s="4">
        <v>321416</v>
      </c>
      <c r="H367" s="4" t="s">
        <v>995</v>
      </c>
      <c r="I367" s="4" t="s">
        <v>590</v>
      </c>
      <c r="J367" s="4" t="s">
        <v>651</v>
      </c>
      <c r="P367" s="29">
        <v>321416</v>
      </c>
      <c r="Q367" s="29" t="s">
        <v>1305</v>
      </c>
    </row>
    <row r="368" spans="1:18">
      <c r="F368" s="4" t="s">
        <v>1306</v>
      </c>
      <c r="G368" s="4">
        <v>321613</v>
      </c>
      <c r="H368" s="4" t="s">
        <v>995</v>
      </c>
      <c r="I368" s="4" t="s">
        <v>651</v>
      </c>
      <c r="J368" s="4" t="s">
        <v>586</v>
      </c>
      <c r="P368" s="29">
        <v>321613</v>
      </c>
      <c r="Q368" s="29" t="s">
        <v>1307</v>
      </c>
    </row>
    <row r="369" spans="6:18">
      <c r="F369" s="4" t="s">
        <v>1308</v>
      </c>
      <c r="G369" s="4">
        <v>321614</v>
      </c>
      <c r="H369" s="4" t="s">
        <v>995</v>
      </c>
      <c r="I369" s="4" t="s">
        <v>651</v>
      </c>
      <c r="J369" s="4" t="s">
        <v>590</v>
      </c>
      <c r="P369" s="29">
        <v>321614</v>
      </c>
      <c r="Q369" s="29" t="s">
        <v>1309</v>
      </c>
    </row>
    <row r="370" spans="6:18">
      <c r="F370" s="4" t="s">
        <v>1310</v>
      </c>
      <c r="G370" s="4">
        <v>321615</v>
      </c>
      <c r="H370" s="4" t="s">
        <v>995</v>
      </c>
      <c r="I370" s="4" t="s">
        <v>651</v>
      </c>
      <c r="J370" s="4" t="s">
        <v>672</v>
      </c>
      <c r="P370" s="29">
        <v>321615</v>
      </c>
      <c r="Q370" s="29" t="s">
        <v>1311</v>
      </c>
    </row>
    <row r="371" spans="6:18">
      <c r="F371" s="4" t="s">
        <v>1312</v>
      </c>
      <c r="G371" s="4">
        <v>321723</v>
      </c>
      <c r="H371" s="4" t="s">
        <v>995</v>
      </c>
      <c r="I371" s="4" t="s">
        <v>1281</v>
      </c>
      <c r="J371" s="4" t="s">
        <v>602</v>
      </c>
      <c r="P371" s="29">
        <v>321723</v>
      </c>
      <c r="Q371" s="29" t="s">
        <v>1313</v>
      </c>
    </row>
    <row r="372" spans="6:18">
      <c r="F372" s="4" t="s">
        <v>1314</v>
      </c>
      <c r="G372" s="4">
        <v>323113</v>
      </c>
      <c r="H372" s="4" t="s">
        <v>995</v>
      </c>
      <c r="I372" s="4" t="s">
        <v>706</v>
      </c>
      <c r="J372" s="4" t="s">
        <v>586</v>
      </c>
      <c r="P372" s="29">
        <v>323113</v>
      </c>
      <c r="Q372" s="29" t="s">
        <v>1315</v>
      </c>
      <c r="R372" s="33"/>
    </row>
    <row r="373" spans="6:18">
      <c r="F373" s="4" t="s">
        <v>1316</v>
      </c>
      <c r="G373" s="4">
        <v>323114</v>
      </c>
      <c r="H373" s="4" t="s">
        <v>995</v>
      </c>
      <c r="I373" s="4" t="s">
        <v>706</v>
      </c>
      <c r="J373" s="4" t="s">
        <v>590</v>
      </c>
      <c r="P373" s="29">
        <v>323114</v>
      </c>
      <c r="Q373" s="29" t="s">
        <v>1317</v>
      </c>
    </row>
    <row r="374" spans="6:18">
      <c r="F374" s="4" t="s">
        <v>1318</v>
      </c>
      <c r="G374" s="4">
        <v>328400</v>
      </c>
      <c r="H374" s="4" t="s">
        <v>995</v>
      </c>
      <c r="I374" s="4" t="s">
        <v>662</v>
      </c>
      <c r="J374" s="4" t="s">
        <v>535</v>
      </c>
      <c r="P374" s="29">
        <v>328400</v>
      </c>
      <c r="Q374" s="29" t="s">
        <v>1319</v>
      </c>
    </row>
    <row r="375" spans="6:18">
      <c r="F375" s="4" t="s">
        <v>1320</v>
      </c>
      <c r="G375" s="4">
        <v>329000</v>
      </c>
      <c r="H375" s="4" t="s">
        <v>995</v>
      </c>
      <c r="I375" s="4" t="s">
        <v>850</v>
      </c>
      <c r="J375" s="4" t="s">
        <v>535</v>
      </c>
      <c r="P375" s="29">
        <v>329000</v>
      </c>
      <c r="Q375" s="29" t="s">
        <v>1321</v>
      </c>
    </row>
    <row r="376" spans="6:18">
      <c r="F376" s="4" t="s">
        <v>1322</v>
      </c>
      <c r="G376" s="4">
        <v>329113</v>
      </c>
      <c r="H376" s="4" t="s">
        <v>995</v>
      </c>
      <c r="I376" s="4" t="s">
        <v>916</v>
      </c>
      <c r="J376" s="4" t="s">
        <v>586</v>
      </c>
      <c r="P376" s="29">
        <v>329113</v>
      </c>
      <c r="Q376" s="29" t="s">
        <v>1323</v>
      </c>
    </row>
    <row r="377" spans="6:18">
      <c r="F377" s="4" t="s">
        <v>1324</v>
      </c>
      <c r="G377" s="4">
        <v>329119</v>
      </c>
      <c r="H377" s="4" t="s">
        <v>995</v>
      </c>
      <c r="I377" s="4" t="s">
        <v>916</v>
      </c>
      <c r="J377" s="4" t="s">
        <v>630</v>
      </c>
      <c r="P377" s="29">
        <v>329119</v>
      </c>
      <c r="Q377" s="29" t="s">
        <v>1325</v>
      </c>
    </row>
    <row r="378" spans="6:18">
      <c r="F378" s="4" t="s">
        <v>1326</v>
      </c>
      <c r="G378" s="4">
        <v>329200</v>
      </c>
      <c r="H378" s="4" t="s">
        <v>995</v>
      </c>
      <c r="I378" s="4" t="s">
        <v>804</v>
      </c>
      <c r="J378" s="4" t="s">
        <v>535</v>
      </c>
      <c r="P378" s="29">
        <v>329200</v>
      </c>
      <c r="Q378" s="29" t="s">
        <v>1327</v>
      </c>
    </row>
    <row r="379" spans="6:18">
      <c r="F379" s="4" t="s">
        <v>1328</v>
      </c>
      <c r="G379" s="4">
        <v>329219</v>
      </c>
      <c r="H379" s="4" t="s">
        <v>995</v>
      </c>
      <c r="I379" s="4" t="s">
        <v>804</v>
      </c>
      <c r="J379" s="4" t="s">
        <v>630</v>
      </c>
      <c r="P379" s="29">
        <v>329219</v>
      </c>
      <c r="Q379" s="29" t="s">
        <v>1328</v>
      </c>
    </row>
    <row r="380" spans="6:18">
      <c r="F380" s="4" t="s">
        <v>1329</v>
      </c>
      <c r="G380" s="4">
        <v>329219</v>
      </c>
      <c r="H380" s="4" t="s">
        <v>995</v>
      </c>
      <c r="I380" s="4" t="s">
        <v>804</v>
      </c>
      <c r="J380" s="4" t="s">
        <v>630</v>
      </c>
      <c r="P380" s="29">
        <v>329219</v>
      </c>
      <c r="Q380" s="29" t="s">
        <v>1330</v>
      </c>
      <c r="R380" s="33"/>
    </row>
    <row r="381" spans="6:18">
      <c r="F381" s="4" t="s">
        <v>1331</v>
      </c>
      <c r="G381" s="4">
        <v>329223</v>
      </c>
      <c r="H381" s="4" t="s">
        <v>995</v>
      </c>
      <c r="I381" s="4" t="s">
        <v>804</v>
      </c>
      <c r="J381" s="4" t="s">
        <v>602</v>
      </c>
      <c r="P381" s="29">
        <v>329223</v>
      </c>
      <c r="Q381" s="29" t="s">
        <v>1331</v>
      </c>
      <c r="R381" s="33"/>
    </row>
    <row r="382" spans="6:18">
      <c r="F382" s="4" t="s">
        <v>1332</v>
      </c>
      <c r="G382" s="4">
        <v>329300</v>
      </c>
      <c r="H382" s="4" t="s">
        <v>995</v>
      </c>
      <c r="I382" s="4" t="s">
        <v>1080</v>
      </c>
      <c r="J382" s="4" t="s">
        <v>535</v>
      </c>
      <c r="P382" s="29">
        <v>329300</v>
      </c>
      <c r="Q382" s="29" t="s">
        <v>1333</v>
      </c>
    </row>
    <row r="383" spans="6:18">
      <c r="F383" s="4"/>
      <c r="G383" s="4"/>
      <c r="H383" s="4"/>
      <c r="I383" s="4"/>
      <c r="J383" s="4"/>
    </row>
    <row r="384" spans="6:18">
      <c r="F384" s="4"/>
      <c r="G384" s="4">
        <v>330000</v>
      </c>
      <c r="H384" s="4" t="s">
        <v>822</v>
      </c>
      <c r="I384" s="4" t="s">
        <v>535</v>
      </c>
      <c r="J384" s="4" t="s">
        <v>535</v>
      </c>
      <c r="P384" s="30" t="s">
        <v>1334</v>
      </c>
      <c r="Q384" s="30"/>
      <c r="R384" s="30"/>
    </row>
    <row r="385" spans="6:18">
      <c r="F385" s="283" t="s">
        <v>1335</v>
      </c>
      <c r="G385" s="4">
        <v>330500</v>
      </c>
      <c r="H385" s="4">
        <v>33</v>
      </c>
      <c r="I385" s="4" t="s">
        <v>622</v>
      </c>
      <c r="J385" s="4" t="s">
        <v>535</v>
      </c>
      <c r="P385" s="29">
        <v>330500</v>
      </c>
      <c r="Q385" s="29" t="s">
        <v>1336</v>
      </c>
    </row>
    <row r="386" spans="6:18">
      <c r="F386" s="4" t="s">
        <v>1337</v>
      </c>
      <c r="G386" s="4">
        <v>330516</v>
      </c>
      <c r="H386" s="4" t="s">
        <v>822</v>
      </c>
      <c r="I386" s="4" t="s">
        <v>622</v>
      </c>
      <c r="J386" s="4" t="s">
        <v>651</v>
      </c>
      <c r="P386" s="29">
        <v>330516</v>
      </c>
      <c r="Q386" s="29" t="s">
        <v>1338</v>
      </c>
    </row>
    <row r="387" spans="6:18">
      <c r="F387" s="4" t="s">
        <v>1339</v>
      </c>
      <c r="G387" s="4">
        <v>331116</v>
      </c>
      <c r="H387" s="4" t="s">
        <v>822</v>
      </c>
      <c r="I387" s="4" t="s">
        <v>578</v>
      </c>
      <c r="J387" s="4" t="s">
        <v>651</v>
      </c>
      <c r="P387" s="29">
        <v>331116</v>
      </c>
      <c r="Q387" s="29" t="s">
        <v>1340</v>
      </c>
    </row>
    <row r="388" spans="6:18">
      <c r="F388" s="4" t="s">
        <v>1341</v>
      </c>
      <c r="G388" s="4">
        <v>333100</v>
      </c>
      <c r="H388" s="4" t="s">
        <v>822</v>
      </c>
      <c r="I388" s="4" t="s">
        <v>706</v>
      </c>
      <c r="J388" s="4" t="s">
        <v>535</v>
      </c>
      <c r="P388" s="29">
        <v>333100</v>
      </c>
      <c r="Q388" s="29" t="s">
        <v>1342</v>
      </c>
    </row>
    <row r="389" spans="6:18">
      <c r="F389" s="4" t="s">
        <v>1343</v>
      </c>
      <c r="G389" s="4">
        <v>333213</v>
      </c>
      <c r="H389" s="4" t="s">
        <v>822</v>
      </c>
      <c r="I389" s="4" t="s">
        <v>995</v>
      </c>
      <c r="J389" s="4" t="s">
        <v>586</v>
      </c>
      <c r="P389" s="29">
        <v>333213</v>
      </c>
      <c r="Q389" s="29" t="s">
        <v>1344</v>
      </c>
    </row>
    <row r="390" spans="6:18">
      <c r="F390" s="4" t="s">
        <v>1345</v>
      </c>
      <c r="G390" s="4">
        <v>334100</v>
      </c>
      <c r="H390" s="4" t="s">
        <v>822</v>
      </c>
      <c r="I390" s="4" t="s">
        <v>626</v>
      </c>
      <c r="J390" s="4" t="s">
        <v>535</v>
      </c>
      <c r="P390" s="29">
        <v>334100</v>
      </c>
      <c r="Q390" s="29" t="s">
        <v>1346</v>
      </c>
      <c r="R390" s="33"/>
    </row>
    <row r="391" spans="6:18">
      <c r="F391" s="4"/>
      <c r="G391" s="4"/>
      <c r="H391" s="4"/>
      <c r="I391" s="4"/>
      <c r="J391" s="4"/>
      <c r="R391" s="33"/>
    </row>
    <row r="392" spans="6:18">
      <c r="F392" s="4"/>
      <c r="G392" s="4">
        <v>340000</v>
      </c>
      <c r="H392" s="4" t="s">
        <v>987</v>
      </c>
      <c r="I392" s="4" t="s">
        <v>535</v>
      </c>
      <c r="J392" s="4" t="s">
        <v>535</v>
      </c>
      <c r="P392" s="30" t="s">
        <v>1347</v>
      </c>
      <c r="Q392" s="30"/>
      <c r="R392" s="30"/>
    </row>
    <row r="393" spans="6:18">
      <c r="F393" s="283" t="s">
        <v>1348</v>
      </c>
      <c r="G393" s="4">
        <v>340523</v>
      </c>
      <c r="H393" s="4" t="s">
        <v>987</v>
      </c>
      <c r="I393" s="4" t="s">
        <v>622</v>
      </c>
      <c r="J393" s="4">
        <v>23</v>
      </c>
      <c r="P393" s="283">
        <v>340523</v>
      </c>
      <c r="Q393" s="283" t="s">
        <v>1349</v>
      </c>
    </row>
    <row r="394" spans="6:18">
      <c r="F394" s="283" t="s">
        <v>1350</v>
      </c>
      <c r="G394" s="4">
        <v>340524</v>
      </c>
      <c r="H394" s="4" t="s">
        <v>987</v>
      </c>
      <c r="I394" s="4" t="s">
        <v>622</v>
      </c>
      <c r="J394" s="4">
        <v>24</v>
      </c>
      <c r="P394" s="283">
        <v>340524</v>
      </c>
      <c r="Q394" s="283" t="s">
        <v>1351</v>
      </c>
    </row>
    <row r="395" spans="6:18">
      <c r="F395" s="283" t="s">
        <v>1352</v>
      </c>
      <c r="G395" s="4">
        <v>340526</v>
      </c>
      <c r="H395" s="4" t="s">
        <v>987</v>
      </c>
      <c r="I395" s="4" t="s">
        <v>622</v>
      </c>
      <c r="J395" s="4">
        <v>26</v>
      </c>
      <c r="P395" s="283">
        <v>340526</v>
      </c>
      <c r="Q395" s="283" t="s">
        <v>1353</v>
      </c>
    </row>
    <row r="396" spans="6:18">
      <c r="F396" s="283" t="s">
        <v>1354</v>
      </c>
      <c r="G396" s="4">
        <v>341113</v>
      </c>
      <c r="H396" s="4" t="s">
        <v>987</v>
      </c>
      <c r="I396" s="37">
        <v>11</v>
      </c>
      <c r="J396" s="4">
        <v>13</v>
      </c>
      <c r="P396" s="283">
        <v>341113</v>
      </c>
      <c r="Q396" s="283" t="s">
        <v>1355</v>
      </c>
    </row>
    <row r="397" spans="6:18">
      <c r="F397" s="283" t="s">
        <v>1356</v>
      </c>
      <c r="G397" s="4">
        <v>341116</v>
      </c>
      <c r="H397" s="4" t="s">
        <v>987</v>
      </c>
      <c r="I397" s="4">
        <v>11</v>
      </c>
      <c r="J397" s="4">
        <v>16</v>
      </c>
      <c r="P397" s="283">
        <v>341116</v>
      </c>
      <c r="Q397" s="283" t="s">
        <v>1357</v>
      </c>
    </row>
    <row r="398" spans="6:18">
      <c r="F398" s="283" t="s">
        <v>1358</v>
      </c>
      <c r="G398" s="4">
        <v>341126</v>
      </c>
      <c r="H398" s="4" t="s">
        <v>987</v>
      </c>
      <c r="I398" s="4" t="s">
        <v>578</v>
      </c>
      <c r="J398" s="4">
        <v>26</v>
      </c>
      <c r="P398" s="283">
        <v>341126</v>
      </c>
      <c r="Q398" s="283" t="s">
        <v>1359</v>
      </c>
    </row>
    <row r="399" spans="6:18">
      <c r="F399" s="283" t="s">
        <v>1360</v>
      </c>
      <c r="G399" s="4">
        <v>341193</v>
      </c>
      <c r="H399" s="4" t="s">
        <v>987</v>
      </c>
      <c r="I399" s="4" t="s">
        <v>578</v>
      </c>
      <c r="J399" s="4">
        <v>93</v>
      </c>
      <c r="P399" s="283">
        <v>341193</v>
      </c>
      <c r="Q399" s="283" t="s">
        <v>1361</v>
      </c>
    </row>
    <row r="400" spans="6:18">
      <c r="F400" s="283" t="s">
        <v>1362</v>
      </c>
      <c r="G400" s="4">
        <v>344113</v>
      </c>
      <c r="H400" s="4" t="s">
        <v>987</v>
      </c>
      <c r="I400" s="4">
        <v>41</v>
      </c>
      <c r="J400" s="4">
        <v>13</v>
      </c>
      <c r="P400" s="283">
        <v>344113</v>
      </c>
      <c r="Q400" s="283" t="s">
        <v>1363</v>
      </c>
    </row>
    <row r="401" spans="6:18">
      <c r="F401" s="283" t="s">
        <v>1364</v>
      </c>
      <c r="G401" s="4">
        <v>344213</v>
      </c>
      <c r="H401" s="4" t="s">
        <v>987</v>
      </c>
      <c r="I401" s="4">
        <v>42</v>
      </c>
      <c r="J401" s="4">
        <v>13</v>
      </c>
      <c r="P401" s="283">
        <v>344213</v>
      </c>
      <c r="Q401" s="283" t="s">
        <v>1365</v>
      </c>
    </row>
    <row r="402" spans="6:18">
      <c r="F402" s="283" t="s">
        <v>1366</v>
      </c>
      <c r="G402" s="4">
        <v>344300</v>
      </c>
      <c r="H402" s="4" t="s">
        <v>987</v>
      </c>
      <c r="I402" s="4">
        <v>43</v>
      </c>
      <c r="J402" s="4" t="s">
        <v>535</v>
      </c>
      <c r="P402" s="283">
        <v>344300</v>
      </c>
      <c r="Q402" s="283" t="s">
        <v>1367</v>
      </c>
    </row>
    <row r="403" spans="6:18">
      <c r="F403" s="283" t="s">
        <v>1368</v>
      </c>
      <c r="G403" s="4">
        <v>344302</v>
      </c>
      <c r="H403" s="4" t="s">
        <v>987</v>
      </c>
      <c r="I403" s="4">
        <v>43</v>
      </c>
      <c r="J403" s="37">
        <v>2</v>
      </c>
      <c r="P403" s="283">
        <v>344302</v>
      </c>
      <c r="Q403" s="283" t="s">
        <v>1369</v>
      </c>
    </row>
    <row r="404" spans="6:18">
      <c r="F404" s="283" t="s">
        <v>1370</v>
      </c>
      <c r="G404" s="4">
        <v>347113</v>
      </c>
      <c r="H404" s="4" t="s">
        <v>987</v>
      </c>
      <c r="I404" s="4">
        <v>71</v>
      </c>
      <c r="J404" s="4">
        <v>13</v>
      </c>
      <c r="P404" s="283">
        <v>347113</v>
      </c>
      <c r="Q404" s="283" t="s">
        <v>1371</v>
      </c>
    </row>
    <row r="405" spans="6:18">
      <c r="F405" s="283" t="s">
        <v>1372</v>
      </c>
      <c r="G405" s="4">
        <v>347600</v>
      </c>
      <c r="H405" s="4" t="s">
        <v>987</v>
      </c>
      <c r="I405" s="4">
        <v>76</v>
      </c>
      <c r="J405" s="4" t="s">
        <v>535</v>
      </c>
      <c r="P405" s="283">
        <v>347600</v>
      </c>
      <c r="Q405" s="283" t="s">
        <v>1373</v>
      </c>
    </row>
    <row r="406" spans="6:18">
      <c r="F406" s="283" t="s">
        <v>1374</v>
      </c>
      <c r="G406" s="4">
        <v>347613</v>
      </c>
      <c r="H406" s="4" t="s">
        <v>987</v>
      </c>
      <c r="I406" s="4">
        <v>76</v>
      </c>
      <c r="J406" s="4">
        <v>13</v>
      </c>
      <c r="P406" s="283">
        <v>347613</v>
      </c>
      <c r="Q406" s="283" t="s">
        <v>1375</v>
      </c>
    </row>
    <row r="407" spans="6:18">
      <c r="F407" s="283" t="s">
        <v>1376</v>
      </c>
      <c r="G407" s="4">
        <v>347713</v>
      </c>
      <c r="H407" s="4" t="s">
        <v>987</v>
      </c>
      <c r="I407" s="4">
        <v>77</v>
      </c>
      <c r="J407" s="4">
        <v>13</v>
      </c>
      <c r="P407" s="283">
        <v>347713</v>
      </c>
      <c r="Q407" s="283" t="s">
        <v>1377</v>
      </c>
    </row>
    <row r="408" spans="6:18">
      <c r="F408" s="283" t="s">
        <v>1378</v>
      </c>
      <c r="G408" s="4">
        <v>347716</v>
      </c>
      <c r="H408" s="4" t="s">
        <v>987</v>
      </c>
      <c r="I408" s="4">
        <v>77</v>
      </c>
      <c r="J408" s="4">
        <v>16</v>
      </c>
      <c r="P408" s="283">
        <v>347716</v>
      </c>
      <c r="Q408" s="283" t="s">
        <v>1379</v>
      </c>
    </row>
    <row r="409" spans="6:18">
      <c r="P409" s="283"/>
      <c r="Q409" s="283"/>
    </row>
    <row r="410" spans="6:18">
      <c r="F410" s="4"/>
      <c r="G410" s="4">
        <v>350000</v>
      </c>
      <c r="H410" s="4" t="s">
        <v>1380</v>
      </c>
      <c r="I410" s="4" t="s">
        <v>535</v>
      </c>
      <c r="J410" s="4" t="s">
        <v>535</v>
      </c>
      <c r="P410" s="30" t="s">
        <v>1381</v>
      </c>
      <c r="Q410" s="30"/>
      <c r="R410" s="30"/>
    </row>
    <row r="411" spans="6:18">
      <c r="F411" s="283" t="s">
        <v>1382</v>
      </c>
      <c r="G411" s="4">
        <v>350500</v>
      </c>
      <c r="H411" s="4">
        <v>35</v>
      </c>
      <c r="I411" s="4" t="s">
        <v>622</v>
      </c>
      <c r="J411" s="4" t="s">
        <v>535</v>
      </c>
      <c r="P411" s="29">
        <v>350500</v>
      </c>
      <c r="Q411" s="29" t="s">
        <v>1383</v>
      </c>
    </row>
    <row r="412" spans="6:18">
      <c r="F412" s="4" t="s">
        <v>1384</v>
      </c>
      <c r="G412" s="4">
        <v>352023</v>
      </c>
      <c r="H412" s="4" t="s">
        <v>1380</v>
      </c>
      <c r="I412" s="4" t="s">
        <v>675</v>
      </c>
      <c r="J412" s="4" t="s">
        <v>602</v>
      </c>
      <c r="P412" s="29">
        <v>353200</v>
      </c>
      <c r="Q412" s="29" t="s">
        <v>1385</v>
      </c>
    </row>
    <row r="413" spans="6:18">
      <c r="F413" s="4" t="s">
        <v>1386</v>
      </c>
      <c r="G413" s="4">
        <v>353200</v>
      </c>
      <c r="H413" s="4" t="s">
        <v>1380</v>
      </c>
      <c r="I413" s="4" t="s">
        <v>995</v>
      </c>
      <c r="J413" s="4" t="s">
        <v>535</v>
      </c>
      <c r="P413" s="29">
        <v>354000</v>
      </c>
      <c r="Q413" s="29" t="s">
        <v>1387</v>
      </c>
    </row>
    <row r="414" spans="6:18">
      <c r="F414" s="4" t="s">
        <v>1388</v>
      </c>
      <c r="G414" s="4">
        <v>354000</v>
      </c>
      <c r="H414" s="4" t="s">
        <v>1380</v>
      </c>
      <c r="I414" s="4" t="s">
        <v>709</v>
      </c>
      <c r="J414" s="4" t="s">
        <v>535</v>
      </c>
      <c r="P414" s="29">
        <v>354237</v>
      </c>
      <c r="Q414" s="29" t="s">
        <v>1389</v>
      </c>
    </row>
    <row r="415" spans="6:18">
      <c r="F415" s="4" t="s">
        <v>1390</v>
      </c>
      <c r="G415" s="4">
        <v>354237</v>
      </c>
      <c r="H415" s="4" t="s">
        <v>1380</v>
      </c>
      <c r="I415" s="4" t="s">
        <v>745</v>
      </c>
      <c r="J415" s="4" t="s">
        <v>1119</v>
      </c>
      <c r="P415" s="29">
        <v>355912</v>
      </c>
      <c r="Q415" s="29" t="s">
        <v>1391</v>
      </c>
    </row>
    <row r="416" spans="6:18">
      <c r="F416" s="4" t="s">
        <v>1392</v>
      </c>
      <c r="G416" s="4">
        <v>355912</v>
      </c>
      <c r="H416" s="4" t="s">
        <v>1380</v>
      </c>
      <c r="I416" s="4" t="s">
        <v>1393</v>
      </c>
      <c r="J416" s="4" t="s">
        <v>582</v>
      </c>
      <c r="P416" s="29">
        <v>355913</v>
      </c>
      <c r="Q416" s="29" t="s">
        <v>1394</v>
      </c>
    </row>
    <row r="417" spans="6:18">
      <c r="F417" s="4" t="s">
        <v>1395</v>
      </c>
      <c r="G417" s="4">
        <v>355913</v>
      </c>
      <c r="H417" s="4" t="s">
        <v>1380</v>
      </c>
      <c r="I417" s="4" t="s">
        <v>1393</v>
      </c>
      <c r="J417" s="4">
        <v>13</v>
      </c>
      <c r="P417" s="29">
        <v>355914</v>
      </c>
      <c r="Q417" s="29" t="s">
        <v>1396</v>
      </c>
    </row>
    <row r="418" spans="6:18">
      <c r="F418" s="4" t="s">
        <v>1397</v>
      </c>
      <c r="G418" s="4">
        <v>355914</v>
      </c>
      <c r="H418" s="4" t="s">
        <v>1380</v>
      </c>
      <c r="I418" s="4" t="s">
        <v>1393</v>
      </c>
      <c r="J418" s="4" t="s">
        <v>590</v>
      </c>
      <c r="P418" s="29">
        <v>356213</v>
      </c>
      <c r="Q418" s="29" t="s">
        <v>1398</v>
      </c>
    </row>
    <row r="419" spans="6:18">
      <c r="F419" s="4" t="s">
        <v>1399</v>
      </c>
      <c r="G419" s="4">
        <v>356213</v>
      </c>
      <c r="H419" s="4" t="s">
        <v>1380</v>
      </c>
      <c r="I419" s="4" t="s">
        <v>790</v>
      </c>
      <c r="J419" s="4" t="s">
        <v>586</v>
      </c>
      <c r="P419" s="29">
        <v>356214</v>
      </c>
      <c r="Q419" s="29" t="s">
        <v>1400</v>
      </c>
    </row>
    <row r="420" spans="6:18">
      <c r="F420" s="4" t="s">
        <v>1401</v>
      </c>
      <c r="G420" s="4">
        <v>356214</v>
      </c>
      <c r="H420" s="4" t="s">
        <v>1380</v>
      </c>
      <c r="I420" s="4" t="s">
        <v>790</v>
      </c>
      <c r="J420" s="4" t="s">
        <v>590</v>
      </c>
      <c r="P420" s="29">
        <v>356216</v>
      </c>
      <c r="Q420" s="29" t="s">
        <v>1402</v>
      </c>
    </row>
    <row r="421" spans="6:18">
      <c r="F421" s="4" t="s">
        <v>1403</v>
      </c>
      <c r="G421" s="4">
        <v>356216</v>
      </c>
      <c r="H421" s="4" t="s">
        <v>1380</v>
      </c>
      <c r="I421" s="4" t="s">
        <v>790</v>
      </c>
      <c r="J421" s="4" t="s">
        <v>651</v>
      </c>
      <c r="P421" s="29">
        <v>356217</v>
      </c>
      <c r="Q421" s="29" t="s">
        <v>1404</v>
      </c>
    </row>
    <row r="422" spans="6:18">
      <c r="F422" s="4" t="s">
        <v>1405</v>
      </c>
      <c r="G422" s="4">
        <v>356217</v>
      </c>
      <c r="H422" s="4" t="s">
        <v>1380</v>
      </c>
      <c r="I422" s="4" t="s">
        <v>790</v>
      </c>
      <c r="J422" s="4" t="s">
        <v>1281</v>
      </c>
      <c r="P422" s="29">
        <v>352023</v>
      </c>
      <c r="Q422" s="29" t="s">
        <v>1384</v>
      </c>
    </row>
    <row r="423" spans="6:18">
      <c r="F423" s="4"/>
      <c r="G423" s="4"/>
      <c r="H423" s="4"/>
      <c r="I423" s="4"/>
      <c r="J423" s="4"/>
      <c r="P423" s="28" t="s">
        <v>1406</v>
      </c>
    </row>
    <row r="424" spans="6:18">
      <c r="F424" s="4"/>
      <c r="G424" s="4">
        <v>410000</v>
      </c>
      <c r="H424" s="4" t="s">
        <v>626</v>
      </c>
      <c r="I424" s="4" t="s">
        <v>535</v>
      </c>
      <c r="J424" s="4" t="s">
        <v>535</v>
      </c>
      <c r="P424" s="30" t="s">
        <v>1407</v>
      </c>
      <c r="Q424" s="30"/>
      <c r="R424" s="30"/>
    </row>
    <row r="425" spans="6:18">
      <c r="F425" s="283" t="s">
        <v>1408</v>
      </c>
      <c r="G425" s="4">
        <v>412213</v>
      </c>
      <c r="H425" s="4">
        <v>41</v>
      </c>
      <c r="I425" s="4">
        <v>22</v>
      </c>
      <c r="J425" s="4">
        <v>13</v>
      </c>
      <c r="P425" s="283">
        <v>412213</v>
      </c>
      <c r="Q425" s="283" t="s">
        <v>1408</v>
      </c>
    </row>
    <row r="426" spans="6:18">
      <c r="F426" s="4" t="s">
        <v>1409</v>
      </c>
      <c r="G426" s="4">
        <v>412214</v>
      </c>
      <c r="H426" s="4" t="s">
        <v>626</v>
      </c>
      <c r="I426" s="4" t="s">
        <v>598</v>
      </c>
      <c r="J426" s="4" t="s">
        <v>590</v>
      </c>
      <c r="P426" s="29">
        <v>412214</v>
      </c>
      <c r="Q426" s="29" t="s">
        <v>1410</v>
      </c>
    </row>
    <row r="427" spans="6:18">
      <c r="F427" s="4"/>
      <c r="G427" s="4"/>
      <c r="H427" s="4"/>
      <c r="I427" s="4"/>
      <c r="J427" s="4"/>
      <c r="P427" s="28" t="s">
        <v>1411</v>
      </c>
    </row>
    <row r="428" spans="6:18">
      <c r="F428" s="36"/>
      <c r="G428" s="36">
        <v>510000</v>
      </c>
      <c r="H428" s="36">
        <v>51</v>
      </c>
      <c r="I428" s="37">
        <v>0</v>
      </c>
      <c r="J428" s="37">
        <v>0</v>
      </c>
      <c r="P428" s="30" t="s">
        <v>1412</v>
      </c>
      <c r="Q428" s="30"/>
      <c r="R428" s="30"/>
    </row>
    <row r="429" spans="6:18">
      <c r="F429" s="36" t="s">
        <v>1413</v>
      </c>
      <c r="G429" s="36">
        <v>510101</v>
      </c>
      <c r="H429" s="36">
        <v>51</v>
      </c>
      <c r="I429" s="37">
        <v>1</v>
      </c>
      <c r="J429" s="37">
        <v>1</v>
      </c>
      <c r="P429" s="29">
        <v>510101</v>
      </c>
      <c r="Q429" s="29" t="s">
        <v>1413</v>
      </c>
    </row>
    <row r="430" spans="6:18">
      <c r="F430" s="36" t="s">
        <v>1414</v>
      </c>
      <c r="G430" s="36">
        <v>510151</v>
      </c>
      <c r="H430" s="36">
        <v>51</v>
      </c>
      <c r="I430" s="37">
        <v>1</v>
      </c>
      <c r="J430" s="37">
        <v>51</v>
      </c>
      <c r="P430" s="29">
        <v>510151</v>
      </c>
      <c r="Q430" s="29" t="s">
        <v>1414</v>
      </c>
    </row>
    <row r="431" spans="6:18">
      <c r="F431" s="36" t="s">
        <v>1415</v>
      </c>
      <c r="G431" s="36">
        <v>510152</v>
      </c>
      <c r="H431" s="36">
        <v>51</v>
      </c>
      <c r="I431" s="37">
        <v>1</v>
      </c>
      <c r="J431" s="37">
        <v>52</v>
      </c>
      <c r="P431" s="29">
        <v>510152</v>
      </c>
      <c r="Q431" s="29" t="s">
        <v>1415</v>
      </c>
    </row>
    <row r="432" spans="6:18">
      <c r="F432" s="36" t="s">
        <v>1416</v>
      </c>
      <c r="G432" s="36">
        <v>510153</v>
      </c>
      <c r="H432" s="36">
        <v>51</v>
      </c>
      <c r="I432" s="37">
        <v>1</v>
      </c>
      <c r="J432" s="37">
        <v>53</v>
      </c>
      <c r="P432" s="29">
        <v>510153</v>
      </c>
      <c r="Q432" s="29" t="s">
        <v>1416</v>
      </c>
    </row>
    <row r="433" spans="6:18">
      <c r="F433" s="36" t="s">
        <v>1417</v>
      </c>
      <c r="G433" s="36">
        <v>510154</v>
      </c>
      <c r="H433" s="36">
        <v>51</v>
      </c>
      <c r="I433" s="37">
        <v>1</v>
      </c>
      <c r="J433" s="37">
        <v>54</v>
      </c>
      <c r="P433" s="29">
        <v>510154</v>
      </c>
      <c r="Q433" s="283" t="s">
        <v>1418</v>
      </c>
    </row>
    <row r="434" spans="6:18">
      <c r="F434" s="36" t="s">
        <v>1419</v>
      </c>
      <c r="G434" s="36">
        <v>510155</v>
      </c>
      <c r="H434" s="36">
        <v>51</v>
      </c>
      <c r="I434" s="37">
        <v>1</v>
      </c>
      <c r="J434" s="37">
        <v>55</v>
      </c>
      <c r="P434" s="29">
        <v>510155</v>
      </c>
      <c r="Q434" s="283" t="s">
        <v>1420</v>
      </c>
    </row>
    <row r="435" spans="6:18">
      <c r="F435" s="36" t="s">
        <v>1421</v>
      </c>
      <c r="G435" s="36">
        <v>510156</v>
      </c>
      <c r="H435" s="36">
        <v>51</v>
      </c>
      <c r="I435" s="37">
        <v>1</v>
      </c>
      <c r="J435" s="37">
        <v>56</v>
      </c>
      <c r="P435" s="29">
        <v>510156</v>
      </c>
      <c r="Q435" s="29" t="s">
        <v>1421</v>
      </c>
    </row>
    <row r="436" spans="6:18">
      <c r="F436" s="36" t="s">
        <v>1422</v>
      </c>
      <c r="G436" s="36">
        <v>510158</v>
      </c>
      <c r="H436" s="36">
        <v>51</v>
      </c>
      <c r="I436" s="37">
        <v>1</v>
      </c>
      <c r="J436" s="37">
        <v>58</v>
      </c>
      <c r="P436" s="29">
        <v>510158</v>
      </c>
      <c r="Q436" s="283" t="s">
        <v>1423</v>
      </c>
    </row>
    <row r="437" spans="6:18">
      <c r="F437" s="36" t="s">
        <v>1424</v>
      </c>
      <c r="G437" s="36">
        <v>510161</v>
      </c>
      <c r="H437" s="36">
        <v>51</v>
      </c>
      <c r="I437" s="37">
        <v>1</v>
      </c>
      <c r="J437" s="37">
        <v>61</v>
      </c>
      <c r="P437" s="29">
        <v>510161</v>
      </c>
      <c r="Q437" s="29" t="s">
        <v>1424</v>
      </c>
    </row>
    <row r="438" spans="6:18">
      <c r="F438" s="36"/>
      <c r="G438" s="36"/>
      <c r="H438" s="36"/>
      <c r="I438" s="37"/>
      <c r="J438" s="37"/>
    </row>
    <row r="439" spans="6:18">
      <c r="F439" s="36"/>
      <c r="G439" s="36">
        <v>520000</v>
      </c>
      <c r="H439" s="36">
        <v>52</v>
      </c>
      <c r="I439" s="37">
        <v>0</v>
      </c>
      <c r="J439" s="37">
        <v>0</v>
      </c>
      <c r="P439" s="30" t="s">
        <v>1425</v>
      </c>
      <c r="Q439" s="30"/>
      <c r="R439" s="30"/>
    </row>
    <row r="440" spans="6:18">
      <c r="F440" s="36" t="s">
        <v>1426</v>
      </c>
      <c r="G440" s="36">
        <v>520208</v>
      </c>
      <c r="H440" s="36">
        <v>52</v>
      </c>
      <c r="I440" s="37">
        <v>2</v>
      </c>
      <c r="J440" s="37">
        <v>8</v>
      </c>
      <c r="P440" s="29">
        <v>520208</v>
      </c>
      <c r="Q440" s="29" t="s">
        <v>1426</v>
      </c>
    </row>
    <row r="441" spans="6:18">
      <c r="F441" s="36" t="s">
        <v>1427</v>
      </c>
      <c r="G441" s="36">
        <v>520209</v>
      </c>
      <c r="H441" s="36">
        <v>52</v>
      </c>
      <c r="I441" s="37">
        <v>2</v>
      </c>
      <c r="J441" s="37">
        <v>9</v>
      </c>
      <c r="P441" s="29">
        <v>520209</v>
      </c>
      <c r="Q441" s="29" t="s">
        <v>1427</v>
      </c>
    </row>
    <row r="442" spans="6:18">
      <c r="F442" s="36" t="s">
        <v>1428</v>
      </c>
      <c r="G442" s="36">
        <v>520210</v>
      </c>
      <c r="H442" s="36">
        <v>52</v>
      </c>
      <c r="I442" s="37">
        <v>2</v>
      </c>
      <c r="J442" s="37">
        <v>10</v>
      </c>
      <c r="P442" s="29">
        <v>520210</v>
      </c>
      <c r="Q442" s="29" t="s">
        <v>1428</v>
      </c>
    </row>
    <row r="443" spans="6:18">
      <c r="F443" s="36" t="s">
        <v>1429</v>
      </c>
      <c r="G443" s="36">
        <v>520211</v>
      </c>
      <c r="H443" s="36">
        <v>52</v>
      </c>
      <c r="I443" s="37">
        <v>2</v>
      </c>
      <c r="J443" s="37">
        <v>11</v>
      </c>
      <c r="P443" s="29">
        <v>520211</v>
      </c>
      <c r="Q443" s="29" t="s">
        <v>1429</v>
      </c>
    </row>
    <row r="444" spans="6:18">
      <c r="F444" s="36" t="s">
        <v>1430</v>
      </c>
      <c r="G444" s="36">
        <v>520212</v>
      </c>
      <c r="H444" s="36">
        <v>52</v>
      </c>
      <c r="I444" s="37">
        <v>2</v>
      </c>
      <c r="J444" s="37">
        <v>12</v>
      </c>
      <c r="P444" s="29">
        <v>520212</v>
      </c>
      <c r="Q444" s="29" t="s">
        <v>1430</v>
      </c>
    </row>
    <row r="445" spans="6:18">
      <c r="F445" s="36" t="s">
        <v>1431</v>
      </c>
      <c r="G445" s="36">
        <v>520213</v>
      </c>
      <c r="H445" s="36">
        <v>52</v>
      </c>
      <c r="I445" s="37">
        <v>2</v>
      </c>
      <c r="J445" s="37">
        <v>13</v>
      </c>
      <c r="P445" s="29">
        <v>520213</v>
      </c>
      <c r="Q445" s="29" t="s">
        <v>1431</v>
      </c>
    </row>
    <row r="446" spans="6:18">
      <c r="F446" s="36" t="s">
        <v>1432</v>
      </c>
      <c r="G446" s="36">
        <v>520217</v>
      </c>
      <c r="H446" s="36">
        <v>52</v>
      </c>
      <c r="I446" s="37">
        <v>2</v>
      </c>
      <c r="J446" s="37">
        <v>17</v>
      </c>
      <c r="P446" s="29">
        <v>520217</v>
      </c>
      <c r="Q446" s="29" t="s">
        <v>1432</v>
      </c>
    </row>
    <row r="447" spans="6:18">
      <c r="F447" s="36"/>
      <c r="G447" s="36"/>
      <c r="H447" s="36"/>
      <c r="I447" s="37"/>
      <c r="J447" s="37"/>
    </row>
    <row r="448" spans="6:18">
      <c r="F448" s="36"/>
      <c r="G448" s="36">
        <v>530000</v>
      </c>
      <c r="H448" s="36">
        <v>53</v>
      </c>
      <c r="I448" s="37">
        <v>0</v>
      </c>
      <c r="J448" s="37">
        <v>0</v>
      </c>
      <c r="P448" s="30" t="s">
        <v>1433</v>
      </c>
      <c r="Q448" s="30"/>
      <c r="R448" s="30"/>
    </row>
    <row r="449" spans="6:18">
      <c r="F449" s="36" t="s">
        <v>1434</v>
      </c>
      <c r="G449" s="36">
        <v>530301</v>
      </c>
      <c r="H449" s="36">
        <v>53</v>
      </c>
      <c r="I449" s="37">
        <v>3</v>
      </c>
      <c r="J449" s="37">
        <v>1</v>
      </c>
      <c r="P449" s="29">
        <v>530301</v>
      </c>
      <c r="Q449" s="29" t="s">
        <v>1434</v>
      </c>
    </row>
    <row r="450" spans="6:18">
      <c r="F450" s="36" t="s">
        <v>1435</v>
      </c>
      <c r="G450" s="36">
        <v>530304</v>
      </c>
      <c r="H450" s="36">
        <v>53</v>
      </c>
      <c r="I450" s="37">
        <v>3</v>
      </c>
      <c r="J450" s="37">
        <v>4</v>
      </c>
      <c r="P450" s="29">
        <v>530304</v>
      </c>
      <c r="Q450" s="29" t="s">
        <v>1435</v>
      </c>
    </row>
    <row r="451" spans="6:18">
      <c r="F451" s="36" t="s">
        <v>1436</v>
      </c>
      <c r="G451" s="36">
        <v>530306</v>
      </c>
      <c r="H451" s="36">
        <v>53</v>
      </c>
      <c r="I451" s="37">
        <v>3</v>
      </c>
      <c r="J451" s="37">
        <v>6</v>
      </c>
      <c r="P451" s="29">
        <v>530306</v>
      </c>
      <c r="Q451" s="283" t="s">
        <v>1437</v>
      </c>
    </row>
    <row r="452" spans="6:18">
      <c r="F452" s="36"/>
      <c r="G452" s="36"/>
      <c r="H452" s="36"/>
      <c r="I452" s="37"/>
      <c r="J452" s="37"/>
      <c r="Q452" s="283"/>
    </row>
    <row r="453" spans="6:18">
      <c r="F453" s="36"/>
      <c r="G453" s="36">
        <v>540000</v>
      </c>
      <c r="H453" s="36">
        <v>54</v>
      </c>
      <c r="I453" s="37">
        <v>0</v>
      </c>
      <c r="J453" s="37">
        <v>0</v>
      </c>
      <c r="P453" s="30" t="s">
        <v>1438</v>
      </c>
      <c r="Q453" s="30"/>
      <c r="R453" s="30"/>
    </row>
    <row r="454" spans="6:18">
      <c r="F454" s="36" t="s">
        <v>1439</v>
      </c>
      <c r="G454" s="36">
        <v>540401</v>
      </c>
      <c r="H454" s="36">
        <v>54</v>
      </c>
      <c r="I454" s="37">
        <v>4</v>
      </c>
      <c r="J454" s="37">
        <v>1</v>
      </c>
      <c r="P454" s="29">
        <v>540401</v>
      </c>
      <c r="Q454" s="29" t="s">
        <v>1439</v>
      </c>
    </row>
    <row r="455" spans="6:18">
      <c r="F455" s="36" t="s">
        <v>1440</v>
      </c>
      <c r="G455" s="36">
        <v>540402</v>
      </c>
      <c r="H455" s="36">
        <v>54</v>
      </c>
      <c r="I455" s="37">
        <v>4</v>
      </c>
      <c r="J455" s="37">
        <v>2</v>
      </c>
      <c r="P455" s="29">
        <v>540402</v>
      </c>
      <c r="Q455" s="29" t="s">
        <v>1440</v>
      </c>
    </row>
    <row r="456" spans="6:18">
      <c r="F456" s="36" t="s">
        <v>1441</v>
      </c>
      <c r="G456" s="36">
        <v>540403</v>
      </c>
      <c r="H456" s="36">
        <v>54</v>
      </c>
      <c r="I456" s="37">
        <v>4</v>
      </c>
      <c r="J456" s="37">
        <v>3</v>
      </c>
      <c r="P456" s="29">
        <v>540403</v>
      </c>
      <c r="Q456" s="29" t="s">
        <v>1441</v>
      </c>
    </row>
    <row r="457" spans="6:18">
      <c r="F457" s="36"/>
      <c r="G457" s="36"/>
      <c r="H457" s="36"/>
      <c r="I457" s="37"/>
      <c r="J457" s="37"/>
    </row>
    <row r="458" spans="6:18">
      <c r="F458" s="36"/>
      <c r="G458" s="36">
        <v>550000</v>
      </c>
      <c r="H458" s="36">
        <v>55</v>
      </c>
      <c r="I458" s="37">
        <v>0</v>
      </c>
      <c r="J458" s="37">
        <v>0</v>
      </c>
      <c r="P458" s="30" t="s">
        <v>1442</v>
      </c>
      <c r="Q458" s="30"/>
      <c r="R458" s="30"/>
    </row>
    <row r="459" spans="6:18">
      <c r="F459" s="36" t="s">
        <v>1443</v>
      </c>
      <c r="G459" s="36">
        <v>550501</v>
      </c>
      <c r="H459" s="36">
        <v>55</v>
      </c>
      <c r="I459" s="37">
        <v>5</v>
      </c>
      <c r="J459" s="37">
        <v>1</v>
      </c>
      <c r="P459" s="29">
        <v>550501</v>
      </c>
      <c r="Q459" s="29" t="s">
        <v>1443</v>
      </c>
    </row>
    <row r="460" spans="6:18">
      <c r="F460" s="36"/>
      <c r="G460" s="36"/>
      <c r="H460" s="36"/>
      <c r="I460" s="37"/>
      <c r="J460" s="37"/>
    </row>
    <row r="461" spans="6:18">
      <c r="F461" s="36"/>
      <c r="G461" s="36">
        <v>560000</v>
      </c>
      <c r="H461" s="36">
        <v>56</v>
      </c>
      <c r="I461" s="37">
        <v>0</v>
      </c>
      <c r="J461" s="37">
        <v>0</v>
      </c>
      <c r="P461" s="30" t="s">
        <v>1444</v>
      </c>
      <c r="Q461" s="30"/>
      <c r="R461" s="30"/>
    </row>
    <row r="462" spans="6:18">
      <c r="F462" s="36" t="s">
        <v>1445</v>
      </c>
      <c r="G462" s="36">
        <v>560602</v>
      </c>
      <c r="H462" s="36">
        <v>56</v>
      </c>
      <c r="I462" s="37">
        <v>6</v>
      </c>
      <c r="J462" s="37">
        <v>2</v>
      </c>
      <c r="P462" s="29">
        <v>560602</v>
      </c>
      <c r="Q462" s="29" t="s">
        <v>1445</v>
      </c>
    </row>
    <row r="463" spans="6:18">
      <c r="F463" s="36" t="s">
        <v>1446</v>
      </c>
      <c r="G463" s="36">
        <v>560603</v>
      </c>
      <c r="H463" s="36">
        <v>56</v>
      </c>
      <c r="I463" s="37">
        <v>6</v>
      </c>
      <c r="J463" s="37">
        <v>3</v>
      </c>
      <c r="P463" s="29">
        <v>560603</v>
      </c>
      <c r="Q463" s="29" t="s">
        <v>1446</v>
      </c>
    </row>
    <row r="464" spans="6:18">
      <c r="F464" s="36" t="s">
        <v>1447</v>
      </c>
      <c r="G464" s="36">
        <v>560604</v>
      </c>
      <c r="H464" s="36">
        <v>56</v>
      </c>
      <c r="I464" s="37">
        <v>6</v>
      </c>
      <c r="J464" s="37">
        <v>4</v>
      </c>
      <c r="P464" s="29">
        <v>560604</v>
      </c>
      <c r="Q464" s="29" t="s">
        <v>1447</v>
      </c>
    </row>
    <row r="465" spans="6:18">
      <c r="F465" s="36" t="s">
        <v>1448</v>
      </c>
      <c r="G465" s="36">
        <v>560605</v>
      </c>
      <c r="H465" s="36">
        <v>56</v>
      </c>
      <c r="I465" s="37">
        <v>6</v>
      </c>
      <c r="J465" s="37">
        <v>5</v>
      </c>
      <c r="P465" s="29">
        <v>560605</v>
      </c>
      <c r="Q465" s="29" t="s">
        <v>1448</v>
      </c>
    </row>
    <row r="466" spans="6:18">
      <c r="F466" s="36" t="s">
        <v>1449</v>
      </c>
      <c r="G466" s="36">
        <v>560606</v>
      </c>
      <c r="H466" s="36">
        <v>56</v>
      </c>
      <c r="I466" s="37">
        <v>6</v>
      </c>
      <c r="J466" s="37">
        <v>6</v>
      </c>
      <c r="P466" s="29">
        <v>560606</v>
      </c>
      <c r="Q466" s="29" t="s">
        <v>1449</v>
      </c>
    </row>
    <row r="467" spans="6:18">
      <c r="F467" s="36" t="s">
        <v>1450</v>
      </c>
      <c r="G467" s="36">
        <v>560609</v>
      </c>
      <c r="H467" s="36">
        <v>56</v>
      </c>
      <c r="I467" s="37">
        <v>6</v>
      </c>
      <c r="J467" s="37">
        <v>9</v>
      </c>
      <c r="P467" s="29">
        <v>560609</v>
      </c>
      <c r="Q467" s="29" t="s">
        <v>1450</v>
      </c>
    </row>
    <row r="468" spans="6:18">
      <c r="F468" s="36" t="s">
        <v>1451</v>
      </c>
      <c r="G468" s="36">
        <v>560610</v>
      </c>
      <c r="H468" s="36">
        <v>56</v>
      </c>
      <c r="I468" s="37">
        <v>6</v>
      </c>
      <c r="J468" s="37">
        <v>10</v>
      </c>
      <c r="P468" s="29">
        <v>560610</v>
      </c>
      <c r="Q468" s="29" t="s">
        <v>1451</v>
      </c>
    </row>
    <row r="469" spans="6:18">
      <c r="F469" s="36" t="s">
        <v>1452</v>
      </c>
      <c r="G469" s="36">
        <v>560620</v>
      </c>
      <c r="H469" s="36">
        <v>56</v>
      </c>
      <c r="I469" s="37">
        <v>6</v>
      </c>
      <c r="J469" s="37">
        <v>20</v>
      </c>
      <c r="P469" s="29">
        <v>560620</v>
      </c>
      <c r="Q469" s="29" t="s">
        <v>1452</v>
      </c>
    </row>
    <row r="470" spans="6:18">
      <c r="F470" s="36" t="s">
        <v>1453</v>
      </c>
      <c r="G470" s="36">
        <v>560621</v>
      </c>
      <c r="H470" s="36">
        <v>56</v>
      </c>
      <c r="I470" s="37">
        <v>6</v>
      </c>
      <c r="J470" s="37">
        <v>21</v>
      </c>
      <c r="P470" s="29">
        <v>560621</v>
      </c>
      <c r="Q470" s="29" t="s">
        <v>1453</v>
      </c>
    </row>
    <row r="471" spans="6:18">
      <c r="F471" s="36" t="s">
        <v>1454</v>
      </c>
      <c r="G471" s="36">
        <v>560625</v>
      </c>
      <c r="H471" s="36">
        <v>56</v>
      </c>
      <c r="I471" s="37">
        <v>6</v>
      </c>
      <c r="J471" s="37">
        <v>25</v>
      </c>
      <c r="P471" s="29">
        <v>560625</v>
      </c>
      <c r="Q471" s="29" t="s">
        <v>1454</v>
      </c>
    </row>
    <row r="472" spans="6:18">
      <c r="F472" s="36" t="s">
        <v>1455</v>
      </c>
      <c r="G472" s="36">
        <v>560626</v>
      </c>
      <c r="H472" s="36">
        <v>56</v>
      </c>
      <c r="I472" s="37">
        <v>6</v>
      </c>
      <c r="J472" s="37">
        <v>26</v>
      </c>
      <c r="P472" s="29">
        <v>560626</v>
      </c>
      <c r="Q472" s="29" t="s">
        <v>1455</v>
      </c>
    </row>
    <row r="473" spans="6:18">
      <c r="F473" s="36" t="s">
        <v>1456</v>
      </c>
      <c r="G473" s="36">
        <v>560631</v>
      </c>
      <c r="H473" s="36">
        <v>56</v>
      </c>
      <c r="I473" s="37">
        <v>6</v>
      </c>
      <c r="J473" s="37">
        <v>31</v>
      </c>
      <c r="P473" s="29">
        <v>560631</v>
      </c>
      <c r="Q473" s="29" t="s">
        <v>1456</v>
      </c>
    </row>
    <row r="474" spans="6:18">
      <c r="F474" s="36"/>
      <c r="G474" s="36"/>
      <c r="H474" s="36"/>
      <c r="I474" s="37"/>
      <c r="J474" s="37"/>
    </row>
    <row r="475" spans="6:18">
      <c r="F475" s="36"/>
      <c r="G475" s="36">
        <v>570000</v>
      </c>
      <c r="H475" s="36">
        <v>57</v>
      </c>
      <c r="I475" s="37">
        <v>0</v>
      </c>
      <c r="J475" s="37">
        <v>0</v>
      </c>
      <c r="P475" s="30" t="s">
        <v>1457</v>
      </c>
      <c r="Q475" s="30"/>
      <c r="R475" s="30"/>
    </row>
    <row r="476" spans="6:18">
      <c r="F476" s="36" t="s">
        <v>1458</v>
      </c>
      <c r="G476" s="36">
        <v>570160</v>
      </c>
      <c r="H476" s="36">
        <v>57</v>
      </c>
      <c r="I476" s="37">
        <v>1</v>
      </c>
      <c r="J476" s="37">
        <v>60</v>
      </c>
      <c r="P476" s="29">
        <v>570160</v>
      </c>
      <c r="Q476" s="29" t="s">
        <v>1458</v>
      </c>
    </row>
    <row r="477" spans="6:18">
      <c r="F477" s="36" t="s">
        <v>1459</v>
      </c>
      <c r="G477" s="36">
        <v>570161</v>
      </c>
      <c r="H477" s="36">
        <v>57</v>
      </c>
      <c r="I477" s="37">
        <v>1</v>
      </c>
      <c r="J477" s="37">
        <v>61</v>
      </c>
      <c r="P477" s="29">
        <v>570161</v>
      </c>
      <c r="Q477" s="29" t="s">
        <v>1459</v>
      </c>
    </row>
    <row r="478" spans="6:18">
      <c r="F478" s="36" t="s">
        <v>1460</v>
      </c>
      <c r="G478" s="36">
        <v>570162</v>
      </c>
      <c r="H478" s="36">
        <v>57</v>
      </c>
      <c r="I478" s="37">
        <v>1</v>
      </c>
      <c r="J478" s="37">
        <v>62</v>
      </c>
      <c r="P478" s="29">
        <v>570162</v>
      </c>
      <c r="Q478" s="29" t="s">
        <v>1460</v>
      </c>
    </row>
    <row r="479" spans="6:18">
      <c r="F479" s="36" t="s">
        <v>1461</v>
      </c>
      <c r="G479" s="36">
        <v>570163</v>
      </c>
      <c r="H479" s="36">
        <v>57</v>
      </c>
      <c r="I479" s="37">
        <v>1</v>
      </c>
      <c r="J479" s="37">
        <v>63</v>
      </c>
      <c r="P479" s="29">
        <v>570163</v>
      </c>
      <c r="Q479" s="29" t="s">
        <v>1461</v>
      </c>
    </row>
    <row r="480" spans="6:18">
      <c r="F480" s="36"/>
      <c r="G480" s="36"/>
      <c r="H480" s="36"/>
      <c r="I480" s="37"/>
      <c r="J480" s="37"/>
    </row>
    <row r="481" spans="6:18">
      <c r="F481" s="36"/>
      <c r="G481" s="36">
        <v>580000</v>
      </c>
      <c r="H481" s="36">
        <v>58</v>
      </c>
      <c r="I481" s="37">
        <v>0</v>
      </c>
      <c r="J481" s="37">
        <v>0</v>
      </c>
      <c r="P481" s="30" t="s">
        <v>1462</v>
      </c>
      <c r="Q481" s="30"/>
      <c r="R481" s="30"/>
    </row>
    <row r="482" spans="6:18">
      <c r="F482" s="36" t="s">
        <v>1463</v>
      </c>
      <c r="G482" s="36">
        <v>580701</v>
      </c>
      <c r="H482" s="36">
        <v>58</v>
      </c>
      <c r="I482" s="37">
        <v>7</v>
      </c>
      <c r="J482" s="37">
        <v>1</v>
      </c>
      <c r="P482" s="29">
        <v>580701</v>
      </c>
      <c r="Q482" s="29" t="s">
        <v>1463</v>
      </c>
    </row>
    <row r="483" spans="6:18">
      <c r="F483" s="36" t="s">
        <v>1464</v>
      </c>
      <c r="G483" s="36">
        <v>580702</v>
      </c>
      <c r="H483" s="36">
        <v>58</v>
      </c>
      <c r="I483" s="37">
        <v>7</v>
      </c>
      <c r="J483" s="37">
        <v>2</v>
      </c>
      <c r="P483" s="29">
        <v>580702</v>
      </c>
      <c r="Q483" s="29" t="s">
        <v>1464</v>
      </c>
    </row>
    <row r="484" spans="6:18">
      <c r="F484" s="36" t="s">
        <v>1465</v>
      </c>
      <c r="G484" s="36">
        <v>580705</v>
      </c>
      <c r="H484" s="36">
        <v>58</v>
      </c>
      <c r="I484" s="37">
        <v>7</v>
      </c>
      <c r="J484" s="37">
        <v>5</v>
      </c>
      <c r="P484" s="29">
        <v>580705</v>
      </c>
      <c r="Q484" s="283" t="s">
        <v>1466</v>
      </c>
    </row>
    <row r="485" spans="6:18">
      <c r="F485" s="36" t="s">
        <v>1467</v>
      </c>
      <c r="G485" s="36">
        <v>580751</v>
      </c>
      <c r="H485" s="36">
        <v>58</v>
      </c>
      <c r="I485" s="37">
        <v>7</v>
      </c>
      <c r="J485" s="37">
        <v>51</v>
      </c>
      <c r="P485" s="29">
        <v>580751</v>
      </c>
      <c r="Q485" s="29" t="s">
        <v>1467</v>
      </c>
    </row>
    <row r="486" spans="6:18">
      <c r="F486" s="36" t="s">
        <v>1468</v>
      </c>
      <c r="G486" s="36">
        <v>580752</v>
      </c>
      <c r="H486" s="36">
        <v>58</v>
      </c>
      <c r="I486" s="37">
        <v>7</v>
      </c>
      <c r="J486" s="37">
        <v>52</v>
      </c>
      <c r="P486" s="29">
        <v>580752</v>
      </c>
      <c r="Q486" s="29" t="s">
        <v>1468</v>
      </c>
    </row>
    <row r="487" spans="6:18">
      <c r="F487" s="36" t="s">
        <v>1469</v>
      </c>
      <c r="G487" s="36">
        <v>580754</v>
      </c>
      <c r="H487" s="36">
        <v>58</v>
      </c>
      <c r="I487" s="37">
        <v>7</v>
      </c>
      <c r="J487" s="37">
        <v>54</v>
      </c>
      <c r="P487" s="29">
        <v>580754</v>
      </c>
      <c r="Q487" s="29" t="s">
        <v>1469</v>
      </c>
    </row>
    <row r="488" spans="6:18">
      <c r="F488" s="36"/>
      <c r="G488" s="36"/>
      <c r="H488" s="36"/>
      <c r="I488" s="37"/>
      <c r="J488" s="37"/>
    </row>
    <row r="489" spans="6:18">
      <c r="F489" s="36"/>
      <c r="G489" s="36">
        <v>590000</v>
      </c>
      <c r="H489" s="36">
        <v>59</v>
      </c>
      <c r="I489" s="37">
        <v>0</v>
      </c>
      <c r="J489" s="37">
        <v>0</v>
      </c>
      <c r="P489" s="30" t="s">
        <v>1470</v>
      </c>
      <c r="Q489" s="30"/>
      <c r="R489" s="30"/>
    </row>
    <row r="490" spans="6:18">
      <c r="F490" s="36" t="s">
        <v>1471</v>
      </c>
      <c r="G490" s="36">
        <v>590901</v>
      </c>
      <c r="H490" s="36">
        <v>59</v>
      </c>
      <c r="I490" s="37">
        <v>9</v>
      </c>
      <c r="J490" s="37">
        <v>1</v>
      </c>
      <c r="P490" s="29">
        <v>590901</v>
      </c>
      <c r="Q490" s="29" t="s">
        <v>1471</v>
      </c>
    </row>
    <row r="491" spans="6:18">
      <c r="F491" s="36" t="s">
        <v>1472</v>
      </c>
      <c r="G491" s="36">
        <v>590903</v>
      </c>
      <c r="H491" s="36">
        <v>59</v>
      </c>
      <c r="I491" s="37">
        <v>9</v>
      </c>
      <c r="J491" s="37">
        <v>3</v>
      </c>
      <c r="P491" s="29">
        <v>590903</v>
      </c>
      <c r="Q491" s="29" t="s">
        <v>1472</v>
      </c>
    </row>
    <row r="492" spans="6:18">
      <c r="F492" s="36" t="s">
        <v>1473</v>
      </c>
      <c r="G492" s="36">
        <v>590904</v>
      </c>
      <c r="H492" s="36">
        <v>59</v>
      </c>
      <c r="I492" s="37">
        <v>9</v>
      </c>
      <c r="J492" s="37">
        <v>4</v>
      </c>
      <c r="P492" s="29">
        <v>590904</v>
      </c>
      <c r="Q492" s="29" t="s">
        <v>1473</v>
      </c>
    </row>
    <row r="493" spans="6:18">
      <c r="F493" s="36" t="s">
        <v>1474</v>
      </c>
      <c r="G493" s="36">
        <v>590905</v>
      </c>
      <c r="H493" s="36">
        <v>59</v>
      </c>
      <c r="I493" s="37">
        <v>9</v>
      </c>
      <c r="J493" s="37">
        <v>5</v>
      </c>
      <c r="P493" s="29">
        <v>590905</v>
      </c>
      <c r="Q493" s="29" t="s">
        <v>1474</v>
      </c>
    </row>
    <row r="494" spans="6:18">
      <c r="F494" s="36" t="s">
        <v>1475</v>
      </c>
      <c r="G494" s="36">
        <v>590907</v>
      </c>
      <c r="H494" s="36">
        <v>59</v>
      </c>
      <c r="I494" s="37">
        <v>9</v>
      </c>
      <c r="J494" s="37">
        <v>7</v>
      </c>
      <c r="P494" s="29">
        <v>590907</v>
      </c>
      <c r="Q494" s="29" t="s">
        <v>1475</v>
      </c>
    </row>
    <row r="495" spans="6:18">
      <c r="F495" s="36" t="s">
        <v>1476</v>
      </c>
      <c r="G495" s="36">
        <v>590908</v>
      </c>
      <c r="H495" s="36">
        <v>59</v>
      </c>
      <c r="I495" s="37">
        <v>9</v>
      </c>
      <c r="J495" s="37">
        <v>8</v>
      </c>
      <c r="P495" s="29">
        <v>590908</v>
      </c>
      <c r="Q495" s="29" t="s">
        <v>1476</v>
      </c>
    </row>
    <row r="496" spans="6:18">
      <c r="F496" s="36"/>
      <c r="G496" s="36"/>
      <c r="H496" s="36"/>
      <c r="I496" s="37"/>
      <c r="J496" s="37"/>
    </row>
    <row r="497" spans="6:18">
      <c r="F497" s="36"/>
      <c r="G497" s="36">
        <v>600000</v>
      </c>
      <c r="H497" s="36">
        <v>60</v>
      </c>
      <c r="I497" s="37">
        <v>0</v>
      </c>
      <c r="J497" s="37">
        <v>0</v>
      </c>
      <c r="P497" s="30" t="s">
        <v>1477</v>
      </c>
      <c r="Q497" s="30"/>
      <c r="R497" s="30"/>
    </row>
    <row r="498" spans="6:18">
      <c r="F498" s="36" t="s">
        <v>1478</v>
      </c>
      <c r="G498" s="36">
        <v>600101</v>
      </c>
      <c r="H498" s="36">
        <v>60</v>
      </c>
      <c r="I498" s="37">
        <v>1</v>
      </c>
      <c r="J498" s="37">
        <v>1</v>
      </c>
      <c r="P498" s="29">
        <v>600101</v>
      </c>
      <c r="Q498" s="29" t="s">
        <v>1478</v>
      </c>
    </row>
    <row r="499" spans="6:18">
      <c r="F499" s="36" t="s">
        <v>1479</v>
      </c>
      <c r="G499" s="36">
        <v>600102</v>
      </c>
      <c r="H499" s="36">
        <v>60</v>
      </c>
      <c r="I499" s="37">
        <v>1</v>
      </c>
      <c r="J499" s="37">
        <v>2</v>
      </c>
      <c r="P499" s="29">
        <v>600102</v>
      </c>
      <c r="Q499" s="29" t="s">
        <v>1479</v>
      </c>
    </row>
    <row r="500" spans="6:18">
      <c r="F500" s="36" t="s">
        <v>1480</v>
      </c>
      <c r="G500" s="36">
        <v>600103</v>
      </c>
      <c r="H500" s="36">
        <v>60</v>
      </c>
      <c r="I500" s="37">
        <v>1</v>
      </c>
      <c r="J500" s="37">
        <v>3</v>
      </c>
      <c r="P500" s="29">
        <v>600103</v>
      </c>
      <c r="Q500" s="29" t="s">
        <v>1480</v>
      </c>
    </row>
    <row r="501" spans="6:18">
      <c r="F501" s="36" t="s">
        <v>1481</v>
      </c>
      <c r="G501" s="36">
        <v>600107</v>
      </c>
      <c r="H501" s="36">
        <v>60</v>
      </c>
      <c r="I501" s="37">
        <v>1</v>
      </c>
      <c r="J501" s="37">
        <v>7</v>
      </c>
      <c r="P501" s="29">
        <v>600107</v>
      </c>
      <c r="Q501" s="29" t="s">
        <v>1481</v>
      </c>
    </row>
    <row r="502" spans="6:18">
      <c r="F502" s="36" t="s">
        <v>1482</v>
      </c>
      <c r="G502" s="36">
        <v>600108</v>
      </c>
      <c r="H502" s="36">
        <v>60</v>
      </c>
      <c r="I502" s="37">
        <v>1</v>
      </c>
      <c r="J502" s="37">
        <v>8</v>
      </c>
      <c r="P502" s="29">
        <v>600108</v>
      </c>
      <c r="Q502" s="29" t="s">
        <v>1482</v>
      </c>
    </row>
    <row r="503" spans="6:18">
      <c r="F503" s="36" t="s">
        <v>1483</v>
      </c>
      <c r="G503" s="36">
        <v>600109</v>
      </c>
      <c r="H503" s="36">
        <v>60</v>
      </c>
      <c r="I503" s="37">
        <v>1</v>
      </c>
      <c r="J503" s="37">
        <v>9</v>
      </c>
      <c r="P503" s="29">
        <v>600109</v>
      </c>
      <c r="Q503" s="29" t="s">
        <v>1483</v>
      </c>
    </row>
    <row r="504" spans="6:18">
      <c r="F504" s="36" t="s">
        <v>1484</v>
      </c>
      <c r="G504" s="36">
        <v>600110</v>
      </c>
      <c r="H504" s="36">
        <v>60</v>
      </c>
      <c r="I504" s="37">
        <v>1</v>
      </c>
      <c r="J504" s="37">
        <v>10</v>
      </c>
      <c r="P504" s="29">
        <v>600110</v>
      </c>
      <c r="Q504" s="29" t="s">
        <v>1484</v>
      </c>
    </row>
    <row r="505" spans="6:18">
      <c r="F505" s="36" t="s">
        <v>1485</v>
      </c>
      <c r="G505" s="36">
        <v>600115</v>
      </c>
      <c r="H505" s="36">
        <v>60</v>
      </c>
      <c r="I505" s="37">
        <v>1</v>
      </c>
      <c r="J505" s="37">
        <v>15</v>
      </c>
      <c r="P505" s="29">
        <v>600115</v>
      </c>
      <c r="Q505" s="29" t="s">
        <v>1485</v>
      </c>
    </row>
    <row r="506" spans="6:18">
      <c r="F506" s="36" t="s">
        <v>1486</v>
      </c>
      <c r="G506" s="36">
        <v>600119</v>
      </c>
      <c r="H506" s="36">
        <v>60</v>
      </c>
      <c r="I506" s="37">
        <v>1</v>
      </c>
      <c r="J506" s="37">
        <v>19</v>
      </c>
      <c r="P506" s="29">
        <v>600119</v>
      </c>
      <c r="Q506" s="29" t="s">
        <v>1486</v>
      </c>
    </row>
    <row r="507" spans="6:18">
      <c r="F507" s="36"/>
      <c r="G507" s="36"/>
      <c r="H507" s="36"/>
      <c r="I507" s="36"/>
      <c r="J507" s="36"/>
    </row>
    <row r="542" spans="16:16">
      <c r="P542" s="29" t="s">
        <v>1487</v>
      </c>
    </row>
  </sheetData>
  <sortState xmlns:xlrd2="http://schemas.microsoft.com/office/spreadsheetml/2017/richdata2" ref="F3:J36">
    <sortCondition ref="F3:F36"/>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5"/>
  <dimension ref="A1:O1091"/>
  <sheetViews>
    <sheetView topLeftCell="A298" workbookViewId="0">
      <selection activeCell="C41" sqref="C41"/>
    </sheetView>
  </sheetViews>
  <sheetFormatPr baseColWidth="10" defaultColWidth="9.3984375" defaultRowHeight="15"/>
  <cols>
    <col min="1" max="1" width="7" style="7" customWidth="1"/>
    <col min="2" max="2" width="27.59765625" style="7" customWidth="1"/>
    <col min="3" max="3" width="68.3984375" style="7" bestFit="1" customWidth="1"/>
    <col min="4" max="9" width="14" style="7" hidden="1" customWidth="1"/>
    <col min="10" max="10" width="14" style="6" hidden="1" customWidth="1"/>
    <col min="11" max="11" width="39.19921875" style="7" customWidth="1"/>
    <col min="12" max="12" width="14.19921875" style="7" customWidth="1"/>
    <col min="13" max="13" width="11.3984375" style="7" bestFit="1" customWidth="1"/>
    <col min="14" max="15" width="9.3984375" style="7"/>
    <col min="16" max="16384" width="9.3984375" style="6"/>
  </cols>
  <sheetData>
    <row r="1" spans="1:15">
      <c r="A1" s="7" t="s">
        <v>1488</v>
      </c>
      <c r="B1" s="7" t="s">
        <v>1489</v>
      </c>
      <c r="C1" s="7" t="s">
        <v>128</v>
      </c>
      <c r="D1" s="7" t="s">
        <v>1490</v>
      </c>
      <c r="E1" s="7" t="s">
        <v>1491</v>
      </c>
      <c r="F1" s="7" t="s">
        <v>114</v>
      </c>
      <c r="G1" s="7" t="s">
        <v>1492</v>
      </c>
      <c r="H1" s="7" t="s">
        <v>1493</v>
      </c>
      <c r="I1" s="7" t="s">
        <v>1494</v>
      </c>
      <c r="K1" s="7" t="s">
        <v>1491</v>
      </c>
      <c r="L1" s="7" t="s">
        <v>114</v>
      </c>
      <c r="M1" s="7" t="s">
        <v>1492</v>
      </c>
      <c r="N1" s="7" t="s">
        <v>1493</v>
      </c>
      <c r="O1" s="7" t="s">
        <v>1494</v>
      </c>
    </row>
    <row r="2" spans="1:15">
      <c r="A2" s="7" t="s">
        <v>1495</v>
      </c>
      <c r="B2" s="7" t="s">
        <v>1496</v>
      </c>
      <c r="C2" s="7" t="s">
        <v>1497</v>
      </c>
      <c r="D2" s="7" t="s">
        <v>1498</v>
      </c>
      <c r="E2" s="7" t="s">
        <v>1499</v>
      </c>
      <c r="F2" s="7">
        <v>160000</v>
      </c>
      <c r="G2" s="7">
        <v>16</v>
      </c>
      <c r="H2" s="7">
        <v>0</v>
      </c>
      <c r="I2" s="7">
        <v>0</v>
      </c>
      <c r="K2" s="286" t="s">
        <v>1500</v>
      </c>
      <c r="L2" s="7">
        <v>100000</v>
      </c>
      <c r="M2" s="7">
        <v>10</v>
      </c>
      <c r="N2" s="7">
        <v>0</v>
      </c>
      <c r="O2" s="7">
        <v>0</v>
      </c>
    </row>
    <row r="3" spans="1:15">
      <c r="A3" s="7" t="s">
        <v>1495</v>
      </c>
      <c r="B3" s="7" t="s">
        <v>1496</v>
      </c>
      <c r="C3" s="7" t="s">
        <v>1497</v>
      </c>
      <c r="E3" s="7" t="s">
        <v>1501</v>
      </c>
      <c r="F3" s="7">
        <v>161000</v>
      </c>
      <c r="G3" s="7">
        <v>16</v>
      </c>
      <c r="H3" s="7">
        <v>10</v>
      </c>
      <c r="I3" s="7">
        <v>0</v>
      </c>
      <c r="K3" s="7" t="s">
        <v>1501</v>
      </c>
      <c r="L3" s="7">
        <v>101000</v>
      </c>
      <c r="M3" s="7">
        <v>10</v>
      </c>
      <c r="N3" s="7">
        <v>10</v>
      </c>
      <c r="O3" s="7">
        <v>0</v>
      </c>
    </row>
    <row r="4" spans="1:15">
      <c r="A4" s="7" t="s">
        <v>1495</v>
      </c>
      <c r="B4" s="7" t="s">
        <v>1496</v>
      </c>
      <c r="C4" s="7" t="s">
        <v>1497</v>
      </c>
      <c r="E4" s="7" t="s">
        <v>1502</v>
      </c>
      <c r="F4" s="7">
        <v>161200</v>
      </c>
      <c r="G4" s="7">
        <v>16</v>
      </c>
      <c r="H4" s="7">
        <v>12</v>
      </c>
      <c r="I4" s="7">
        <v>0</v>
      </c>
      <c r="K4" s="7" t="s">
        <v>1503</v>
      </c>
      <c r="L4" s="7">
        <v>100000</v>
      </c>
      <c r="M4" s="7">
        <v>10</v>
      </c>
      <c r="N4" s="7">
        <v>0</v>
      </c>
      <c r="O4" s="7">
        <v>0</v>
      </c>
    </row>
    <row r="5" spans="1:15">
      <c r="A5" s="7" t="s">
        <v>1495</v>
      </c>
      <c r="B5" s="7" t="s">
        <v>1496</v>
      </c>
      <c r="C5" s="7" t="s">
        <v>1497</v>
      </c>
      <c r="E5" s="7" t="s">
        <v>1504</v>
      </c>
      <c r="F5" s="7">
        <v>161300</v>
      </c>
      <c r="G5" s="7">
        <v>16</v>
      </c>
      <c r="H5" s="7">
        <v>13</v>
      </c>
      <c r="I5" s="7">
        <v>0</v>
      </c>
      <c r="K5" s="7" t="s">
        <v>1505</v>
      </c>
      <c r="L5" s="7">
        <v>101600</v>
      </c>
      <c r="M5" s="7">
        <v>10</v>
      </c>
      <c r="N5" s="7">
        <v>16</v>
      </c>
      <c r="O5" s="7">
        <v>0</v>
      </c>
    </row>
    <row r="6" spans="1:15">
      <c r="A6" s="7" t="s">
        <v>1495</v>
      </c>
      <c r="B6" s="7" t="s">
        <v>1496</v>
      </c>
      <c r="C6" s="7" t="s">
        <v>1497</v>
      </c>
      <c r="E6" s="7" t="s">
        <v>1506</v>
      </c>
      <c r="F6" s="7">
        <v>161400</v>
      </c>
      <c r="G6" s="7">
        <v>16</v>
      </c>
      <c r="H6" s="7">
        <v>14</v>
      </c>
      <c r="I6" s="7">
        <v>0</v>
      </c>
      <c r="K6" s="7" t="s">
        <v>1507</v>
      </c>
      <c r="L6" s="7">
        <v>101700</v>
      </c>
      <c r="M6" s="7">
        <v>10</v>
      </c>
      <c r="N6" s="7">
        <v>17</v>
      </c>
      <c r="O6" s="7">
        <v>0</v>
      </c>
    </row>
    <row r="7" spans="1:15">
      <c r="A7" s="7" t="s">
        <v>1495</v>
      </c>
      <c r="B7" s="7" t="s">
        <v>1496</v>
      </c>
      <c r="C7" s="7" t="s">
        <v>1497</v>
      </c>
      <c r="E7" s="7" t="s">
        <v>1508</v>
      </c>
      <c r="F7" s="7">
        <v>161500</v>
      </c>
      <c r="G7" s="7">
        <v>16</v>
      </c>
      <c r="H7" s="7">
        <v>15</v>
      </c>
      <c r="I7" s="7">
        <v>0</v>
      </c>
      <c r="K7" s="7" t="s">
        <v>1509</v>
      </c>
      <c r="L7" s="7">
        <v>101800</v>
      </c>
      <c r="M7" s="7">
        <v>10</v>
      </c>
      <c r="N7" s="7">
        <v>18</v>
      </c>
      <c r="O7" s="7">
        <v>0</v>
      </c>
    </row>
    <row r="8" spans="1:15">
      <c r="A8" s="7" t="s">
        <v>1495</v>
      </c>
      <c r="B8" s="7" t="s">
        <v>1496</v>
      </c>
      <c r="C8" s="7" t="s">
        <v>1497</v>
      </c>
      <c r="E8" s="7" t="s">
        <v>1510</v>
      </c>
      <c r="F8" s="7">
        <v>161600</v>
      </c>
      <c r="G8" s="7">
        <v>16</v>
      </c>
      <c r="H8" s="7">
        <v>16</v>
      </c>
      <c r="I8" s="7">
        <v>0</v>
      </c>
      <c r="K8" s="7" t="s">
        <v>1511</v>
      </c>
      <c r="L8" s="7">
        <v>101900</v>
      </c>
      <c r="M8" s="7">
        <v>10</v>
      </c>
      <c r="N8" s="7">
        <v>19</v>
      </c>
      <c r="O8" s="7">
        <v>0</v>
      </c>
    </row>
    <row r="9" spans="1:15">
      <c r="A9" s="7" t="s">
        <v>1495</v>
      </c>
      <c r="B9" s="7" t="s">
        <v>1496</v>
      </c>
      <c r="C9" s="7" t="s">
        <v>1497</v>
      </c>
      <c r="E9" s="7" t="s">
        <v>1512</v>
      </c>
      <c r="F9" s="7">
        <v>161700</v>
      </c>
      <c r="G9" s="7">
        <v>16</v>
      </c>
      <c r="H9" s="7">
        <v>17</v>
      </c>
      <c r="I9" s="7">
        <v>0</v>
      </c>
      <c r="K9" s="7" t="s">
        <v>1513</v>
      </c>
      <c r="L9" s="7">
        <v>101200</v>
      </c>
      <c r="M9" s="7">
        <v>10</v>
      </c>
      <c r="N9" s="7">
        <v>12</v>
      </c>
      <c r="O9" s="7">
        <v>0</v>
      </c>
    </row>
    <row r="10" spans="1:15">
      <c r="A10" s="7" t="s">
        <v>1495</v>
      </c>
      <c r="B10" s="7" t="s">
        <v>1496</v>
      </c>
      <c r="C10" s="7" t="s">
        <v>1497</v>
      </c>
      <c r="E10" s="7" t="s">
        <v>1514</v>
      </c>
      <c r="F10" s="7">
        <v>161800</v>
      </c>
      <c r="G10" s="7">
        <v>16</v>
      </c>
      <c r="H10" s="7">
        <v>18</v>
      </c>
      <c r="I10" s="7">
        <v>0</v>
      </c>
      <c r="K10" s="7" t="s">
        <v>1515</v>
      </c>
      <c r="L10" s="7">
        <v>101010</v>
      </c>
      <c r="M10" s="7">
        <v>10</v>
      </c>
      <c r="N10" s="7">
        <v>10</v>
      </c>
      <c r="O10" s="7">
        <v>10</v>
      </c>
    </row>
    <row r="11" spans="1:15">
      <c r="A11" s="7" t="s">
        <v>1495</v>
      </c>
      <c r="B11" s="7" t="s">
        <v>1496</v>
      </c>
      <c r="C11" s="7" t="s">
        <v>1497</v>
      </c>
      <c r="E11" s="7" t="s">
        <v>1516</v>
      </c>
      <c r="F11" s="7">
        <v>162200</v>
      </c>
      <c r="G11" s="7">
        <v>16</v>
      </c>
      <c r="H11" s="7">
        <v>22</v>
      </c>
      <c r="I11" s="7">
        <v>0</v>
      </c>
      <c r="K11" s="7" t="s">
        <v>1517</v>
      </c>
      <c r="L11" s="7">
        <v>101020</v>
      </c>
      <c r="M11" s="7">
        <v>10</v>
      </c>
      <c r="N11" s="7">
        <v>10</v>
      </c>
      <c r="O11" s="7">
        <v>20</v>
      </c>
    </row>
    <row r="12" spans="1:15">
      <c r="A12" s="7" t="s">
        <v>1495</v>
      </c>
      <c r="B12" s="7" t="s">
        <v>1496</v>
      </c>
      <c r="C12" s="7" t="s">
        <v>1497</v>
      </c>
      <c r="D12" s="7" t="s">
        <v>1518</v>
      </c>
      <c r="E12" s="7" t="s">
        <v>1519</v>
      </c>
      <c r="F12" s="7">
        <v>200000</v>
      </c>
      <c r="G12" s="7">
        <v>20</v>
      </c>
      <c r="H12" s="7">
        <v>0</v>
      </c>
      <c r="I12" s="7">
        <v>0</v>
      </c>
      <c r="K12" s="7" t="s">
        <v>1520</v>
      </c>
      <c r="L12" s="7">
        <v>101100</v>
      </c>
      <c r="M12" s="7">
        <v>10</v>
      </c>
      <c r="N12" s="7">
        <v>11</v>
      </c>
      <c r="O12" s="7">
        <v>0</v>
      </c>
    </row>
    <row r="13" spans="1:15">
      <c r="A13" s="7" t="s">
        <v>1495</v>
      </c>
      <c r="B13" s="7" t="s">
        <v>1496</v>
      </c>
      <c r="C13" s="7" t="s">
        <v>1497</v>
      </c>
      <c r="E13" s="7" t="s">
        <v>1501</v>
      </c>
      <c r="F13" s="7">
        <v>201000</v>
      </c>
      <c r="G13" s="7">
        <v>20</v>
      </c>
      <c r="H13" s="7">
        <v>10</v>
      </c>
      <c r="I13" s="7">
        <v>0</v>
      </c>
      <c r="K13" s="7" t="s">
        <v>1521</v>
      </c>
      <c r="L13" s="7">
        <v>101300</v>
      </c>
      <c r="M13" s="7">
        <v>10</v>
      </c>
      <c r="N13" s="7">
        <v>13</v>
      </c>
      <c r="O13" s="7">
        <v>0</v>
      </c>
    </row>
    <row r="14" spans="1:15">
      <c r="A14" s="7" t="s">
        <v>1495</v>
      </c>
      <c r="B14" s="7" t="s">
        <v>1496</v>
      </c>
      <c r="C14" s="7" t="s">
        <v>1497</v>
      </c>
      <c r="D14" s="7" t="s">
        <v>1522</v>
      </c>
      <c r="E14" s="7" t="s">
        <v>1523</v>
      </c>
      <c r="F14" s="7">
        <v>790000</v>
      </c>
      <c r="G14" s="7">
        <v>79</v>
      </c>
      <c r="H14" s="7">
        <v>0</v>
      </c>
      <c r="I14" s="7">
        <v>0</v>
      </c>
      <c r="K14" s="7" t="s">
        <v>145</v>
      </c>
      <c r="L14" s="7">
        <v>101400</v>
      </c>
      <c r="M14" s="7">
        <v>10</v>
      </c>
      <c r="N14" s="7">
        <v>14</v>
      </c>
      <c r="O14" s="7">
        <v>0</v>
      </c>
    </row>
    <row r="15" spans="1:15">
      <c r="A15" s="7" t="s">
        <v>1524</v>
      </c>
      <c r="B15" s="7" t="s">
        <v>1496</v>
      </c>
      <c r="C15" s="7" t="s">
        <v>1525</v>
      </c>
      <c r="D15" s="7" t="s">
        <v>1526</v>
      </c>
      <c r="E15" s="286" t="s">
        <v>1500</v>
      </c>
      <c r="F15" s="7">
        <v>100000</v>
      </c>
      <c r="G15" s="7">
        <v>10</v>
      </c>
      <c r="H15" s="7">
        <v>0</v>
      </c>
      <c r="I15" s="7">
        <v>0</v>
      </c>
      <c r="K15" s="7" t="s">
        <v>1527</v>
      </c>
      <c r="L15" s="7">
        <v>101500</v>
      </c>
      <c r="M15" s="7">
        <v>10</v>
      </c>
      <c r="N15" s="7">
        <v>15</v>
      </c>
      <c r="O15" s="7">
        <v>0</v>
      </c>
    </row>
    <row r="16" spans="1:15">
      <c r="A16" s="7" t="s">
        <v>1524</v>
      </c>
      <c r="B16" s="7" t="s">
        <v>1496</v>
      </c>
      <c r="C16" s="7" t="s">
        <v>1525</v>
      </c>
      <c r="E16" s="7" t="s">
        <v>1501</v>
      </c>
      <c r="F16" s="7">
        <v>101000</v>
      </c>
      <c r="G16" s="7">
        <v>10</v>
      </c>
      <c r="H16" s="7">
        <v>10</v>
      </c>
      <c r="I16" s="7">
        <v>0</v>
      </c>
      <c r="K16" s="7" t="s">
        <v>1528</v>
      </c>
      <c r="L16" s="7">
        <v>101300</v>
      </c>
      <c r="M16" s="7">
        <v>10</v>
      </c>
      <c r="N16" s="7">
        <v>13</v>
      </c>
      <c r="O16" s="7">
        <v>0</v>
      </c>
    </row>
    <row r="17" spans="1:15">
      <c r="A17" s="7" t="s">
        <v>1524</v>
      </c>
      <c r="B17" s="7" t="s">
        <v>1496</v>
      </c>
      <c r="C17" s="7" t="s">
        <v>1525</v>
      </c>
      <c r="D17" s="7" t="s">
        <v>1529</v>
      </c>
      <c r="E17" s="7" t="s">
        <v>145</v>
      </c>
      <c r="F17" s="7">
        <v>140000</v>
      </c>
      <c r="G17" s="7">
        <v>14</v>
      </c>
      <c r="H17" s="7">
        <v>0</v>
      </c>
      <c r="I17" s="7">
        <v>0</v>
      </c>
      <c r="K17" s="7" t="s">
        <v>1530</v>
      </c>
      <c r="L17" s="7">
        <v>110000</v>
      </c>
      <c r="M17" s="7">
        <v>11</v>
      </c>
      <c r="N17" s="7">
        <v>0</v>
      </c>
      <c r="O17" s="7">
        <v>0</v>
      </c>
    </row>
    <row r="18" spans="1:15">
      <c r="A18" s="7" t="s">
        <v>1524</v>
      </c>
      <c r="B18" s="7" t="s">
        <v>1496</v>
      </c>
      <c r="C18" s="7" t="s">
        <v>1525</v>
      </c>
      <c r="E18" s="7" t="s">
        <v>1531</v>
      </c>
      <c r="F18" s="7">
        <v>141010</v>
      </c>
      <c r="G18" s="7">
        <v>14</v>
      </c>
      <c r="H18" s="7">
        <v>10</v>
      </c>
      <c r="I18" s="7">
        <v>10</v>
      </c>
      <c r="K18" s="7" t="s">
        <v>1501</v>
      </c>
      <c r="L18" s="7">
        <v>111000</v>
      </c>
      <c r="M18" s="7">
        <v>11</v>
      </c>
      <c r="N18" s="7">
        <v>10</v>
      </c>
      <c r="O18" s="7">
        <v>0</v>
      </c>
    </row>
    <row r="19" spans="1:15">
      <c r="A19" s="7" t="s">
        <v>1524</v>
      </c>
      <c r="B19" s="7" t="s">
        <v>1496</v>
      </c>
      <c r="C19" s="7" t="s">
        <v>1525</v>
      </c>
      <c r="E19" s="7" t="s">
        <v>1532</v>
      </c>
      <c r="F19" s="7">
        <v>141300</v>
      </c>
      <c r="G19" s="7">
        <v>14</v>
      </c>
      <c r="H19" s="7">
        <v>13</v>
      </c>
      <c r="I19" s="7">
        <v>0</v>
      </c>
      <c r="K19" s="7" t="s">
        <v>1533</v>
      </c>
      <c r="L19" s="7">
        <v>120000</v>
      </c>
      <c r="M19" s="7">
        <v>12</v>
      </c>
      <c r="N19" s="7">
        <v>0</v>
      </c>
      <c r="O19" s="7">
        <v>0</v>
      </c>
    </row>
    <row r="20" spans="1:15">
      <c r="A20" s="7" t="s">
        <v>1524</v>
      </c>
      <c r="B20" s="7" t="s">
        <v>1496</v>
      </c>
      <c r="C20" s="7" t="s">
        <v>1525</v>
      </c>
      <c r="E20" s="7" t="s">
        <v>1534</v>
      </c>
      <c r="F20" s="7">
        <v>141400</v>
      </c>
      <c r="G20" s="7">
        <v>14</v>
      </c>
      <c r="H20" s="7">
        <v>14</v>
      </c>
      <c r="I20" s="7">
        <v>0</v>
      </c>
      <c r="K20" s="7" t="s">
        <v>1501</v>
      </c>
      <c r="L20" s="7">
        <v>121000</v>
      </c>
      <c r="M20" s="7">
        <v>12</v>
      </c>
      <c r="N20" s="7">
        <v>10</v>
      </c>
      <c r="O20" s="7">
        <v>0</v>
      </c>
    </row>
    <row r="21" spans="1:15">
      <c r="A21" s="7" t="s">
        <v>1524</v>
      </c>
      <c r="B21" s="7" t="s">
        <v>1496</v>
      </c>
      <c r="C21" s="7" t="s">
        <v>1525</v>
      </c>
      <c r="E21" s="7" t="s">
        <v>1535</v>
      </c>
      <c r="F21" s="7">
        <v>141600</v>
      </c>
      <c r="G21" s="7">
        <v>14</v>
      </c>
      <c r="H21" s="7">
        <v>16</v>
      </c>
      <c r="I21" s="7">
        <v>0</v>
      </c>
      <c r="K21" s="7" t="s">
        <v>1536</v>
      </c>
      <c r="L21" s="7">
        <v>121100</v>
      </c>
      <c r="M21" s="7">
        <v>12</v>
      </c>
      <c r="N21" s="7">
        <v>11</v>
      </c>
      <c r="O21" s="7">
        <v>0</v>
      </c>
    </row>
    <row r="22" spans="1:15">
      <c r="A22" s="7" t="s">
        <v>1524</v>
      </c>
      <c r="B22" s="7" t="s">
        <v>1496</v>
      </c>
      <c r="C22" s="7" t="s">
        <v>1525</v>
      </c>
      <c r="E22" s="7" t="s">
        <v>1537</v>
      </c>
      <c r="F22" s="7">
        <v>141700</v>
      </c>
      <c r="G22" s="7">
        <v>14</v>
      </c>
      <c r="H22" s="7">
        <v>17</v>
      </c>
      <c r="I22" s="7">
        <v>0</v>
      </c>
      <c r="K22" s="7" t="s">
        <v>1538</v>
      </c>
      <c r="L22" s="7">
        <v>121200</v>
      </c>
      <c r="M22" s="7">
        <v>12</v>
      </c>
      <c r="N22" s="7">
        <v>12</v>
      </c>
      <c r="O22" s="7">
        <v>0</v>
      </c>
    </row>
    <row r="23" spans="1:15">
      <c r="A23" s="7" t="s">
        <v>1524</v>
      </c>
      <c r="B23" s="7" t="s">
        <v>1496</v>
      </c>
      <c r="C23" s="7" t="s">
        <v>1525</v>
      </c>
      <c r="E23" s="7" t="s">
        <v>1539</v>
      </c>
      <c r="F23" s="7">
        <v>142600</v>
      </c>
      <c r="G23" s="7">
        <v>14</v>
      </c>
      <c r="H23" s="7">
        <v>26</v>
      </c>
      <c r="I23" s="7">
        <v>0</v>
      </c>
      <c r="K23" s="7" t="s">
        <v>1540</v>
      </c>
      <c r="L23" s="7">
        <v>130000</v>
      </c>
      <c r="M23" s="7">
        <v>13</v>
      </c>
      <c r="N23" s="7">
        <v>0</v>
      </c>
      <c r="O23" s="7">
        <v>0</v>
      </c>
    </row>
    <row r="24" spans="1:15">
      <c r="A24" s="7" t="s">
        <v>1524</v>
      </c>
      <c r="B24" s="7" t="s">
        <v>1496</v>
      </c>
      <c r="C24" s="7" t="s">
        <v>1525</v>
      </c>
      <c r="E24" s="7" t="s">
        <v>1541</v>
      </c>
      <c r="F24" s="7">
        <v>142700</v>
      </c>
      <c r="G24" s="7">
        <v>14</v>
      </c>
      <c r="H24" s="7">
        <v>27</v>
      </c>
      <c r="I24" s="7">
        <v>0</v>
      </c>
      <c r="K24" s="7" t="s">
        <v>1501</v>
      </c>
      <c r="L24" s="7">
        <v>131000</v>
      </c>
      <c r="M24" s="7">
        <v>13</v>
      </c>
      <c r="N24" s="7">
        <v>10</v>
      </c>
      <c r="O24" s="7">
        <v>0</v>
      </c>
    </row>
    <row r="25" spans="1:15">
      <c r="A25" s="7" t="s">
        <v>1524</v>
      </c>
      <c r="B25" s="7" t="s">
        <v>1496</v>
      </c>
      <c r="C25" s="7" t="s">
        <v>1525</v>
      </c>
      <c r="D25" s="7" t="s">
        <v>1542</v>
      </c>
      <c r="E25" s="7" t="s">
        <v>1543</v>
      </c>
      <c r="F25" s="7">
        <v>150000</v>
      </c>
      <c r="G25" s="7">
        <v>15</v>
      </c>
      <c r="H25" s="7">
        <v>0</v>
      </c>
      <c r="I25" s="7">
        <v>0</v>
      </c>
      <c r="K25" s="7" t="s">
        <v>145</v>
      </c>
      <c r="L25" s="7">
        <v>140000</v>
      </c>
      <c r="M25" s="7">
        <v>14</v>
      </c>
      <c r="N25" s="7">
        <v>0</v>
      </c>
      <c r="O25" s="7">
        <v>0</v>
      </c>
    </row>
    <row r="26" spans="1:15">
      <c r="A26" s="7" t="s">
        <v>1524</v>
      </c>
      <c r="B26" s="7" t="s">
        <v>1496</v>
      </c>
      <c r="C26" s="7" t="s">
        <v>1525</v>
      </c>
      <c r="E26" s="7" t="s">
        <v>1544</v>
      </c>
      <c r="F26" s="7">
        <v>151100</v>
      </c>
      <c r="G26" s="7">
        <v>15</v>
      </c>
      <c r="H26" s="7">
        <v>11</v>
      </c>
      <c r="I26" s="7">
        <v>0</v>
      </c>
      <c r="K26" s="7" t="s">
        <v>1531</v>
      </c>
      <c r="L26" s="7">
        <v>141010</v>
      </c>
      <c r="M26" s="7">
        <v>14</v>
      </c>
      <c r="N26" s="7">
        <v>10</v>
      </c>
      <c r="O26" s="7">
        <v>10</v>
      </c>
    </row>
    <row r="27" spans="1:15">
      <c r="A27" s="7" t="s">
        <v>1524</v>
      </c>
      <c r="B27" s="7" t="s">
        <v>1496</v>
      </c>
      <c r="C27" s="7" t="s">
        <v>1525</v>
      </c>
      <c r="E27" s="7" t="s">
        <v>1545</v>
      </c>
      <c r="F27" s="7">
        <v>151110</v>
      </c>
      <c r="G27" s="7">
        <v>15</v>
      </c>
      <c r="H27" s="7">
        <v>11</v>
      </c>
      <c r="I27" s="7">
        <v>10</v>
      </c>
      <c r="K27" s="7" t="s">
        <v>1532</v>
      </c>
      <c r="L27" s="7">
        <v>141300</v>
      </c>
      <c r="M27" s="7">
        <v>14</v>
      </c>
      <c r="N27" s="7">
        <v>13</v>
      </c>
      <c r="O27" s="7">
        <v>0</v>
      </c>
    </row>
    <row r="28" spans="1:15">
      <c r="A28" s="7" t="s">
        <v>1524</v>
      </c>
      <c r="B28" s="7" t="s">
        <v>1496</v>
      </c>
      <c r="C28" s="7" t="s">
        <v>1525</v>
      </c>
      <c r="E28" s="7" t="s">
        <v>1546</v>
      </c>
      <c r="F28" s="7">
        <v>151200</v>
      </c>
      <c r="G28" s="7">
        <v>15</v>
      </c>
      <c r="H28" s="7">
        <v>12</v>
      </c>
      <c r="I28" s="7">
        <v>0</v>
      </c>
      <c r="K28" s="7" t="s">
        <v>1534</v>
      </c>
      <c r="L28" s="7">
        <v>141400</v>
      </c>
      <c r="M28" s="7">
        <v>14</v>
      </c>
      <c r="N28" s="7">
        <v>14</v>
      </c>
      <c r="O28" s="7">
        <v>0</v>
      </c>
    </row>
    <row r="29" spans="1:15">
      <c r="A29" s="7" t="s">
        <v>1524</v>
      </c>
      <c r="B29" s="7" t="s">
        <v>1496</v>
      </c>
      <c r="C29" s="7" t="s">
        <v>1525</v>
      </c>
      <c r="E29" s="7" t="s">
        <v>1547</v>
      </c>
      <c r="F29" s="7">
        <v>151300</v>
      </c>
      <c r="G29" s="7">
        <v>15</v>
      </c>
      <c r="H29" s="7">
        <v>13</v>
      </c>
      <c r="I29" s="7">
        <v>0</v>
      </c>
      <c r="K29" s="7" t="s">
        <v>1535</v>
      </c>
      <c r="L29" s="7">
        <v>141600</v>
      </c>
      <c r="M29" s="7">
        <v>14</v>
      </c>
      <c r="N29" s="7">
        <v>16</v>
      </c>
      <c r="O29" s="7">
        <v>0</v>
      </c>
    </row>
    <row r="30" spans="1:15">
      <c r="A30" s="7" t="s">
        <v>1524</v>
      </c>
      <c r="B30" s="7" t="s">
        <v>1496</v>
      </c>
      <c r="C30" s="7" t="s">
        <v>1525</v>
      </c>
      <c r="E30" s="7" t="s">
        <v>1548</v>
      </c>
      <c r="F30" s="7">
        <v>151310</v>
      </c>
      <c r="G30" s="7">
        <v>15</v>
      </c>
      <c r="H30" s="7">
        <v>13</v>
      </c>
      <c r="I30" s="7">
        <v>10</v>
      </c>
      <c r="K30" s="7" t="s">
        <v>1537</v>
      </c>
      <c r="L30" s="7">
        <v>141700</v>
      </c>
      <c r="M30" s="7">
        <v>14</v>
      </c>
      <c r="N30" s="7">
        <v>17</v>
      </c>
      <c r="O30" s="7">
        <v>0</v>
      </c>
    </row>
    <row r="31" spans="1:15">
      <c r="A31" s="7" t="s">
        <v>1524</v>
      </c>
      <c r="B31" s="7" t="s">
        <v>1496</v>
      </c>
      <c r="C31" s="7" t="s">
        <v>1525</v>
      </c>
      <c r="E31" s="7" t="s">
        <v>1549</v>
      </c>
      <c r="F31" s="7">
        <v>151320</v>
      </c>
      <c r="G31" s="7">
        <v>15</v>
      </c>
      <c r="H31" s="7">
        <v>13</v>
      </c>
      <c r="I31" s="7">
        <v>20</v>
      </c>
      <c r="K31" s="7" t="s">
        <v>1539</v>
      </c>
      <c r="L31" s="7">
        <v>142600</v>
      </c>
      <c r="M31" s="7">
        <v>14</v>
      </c>
      <c r="N31" s="7">
        <v>26</v>
      </c>
      <c r="O31" s="7">
        <v>0</v>
      </c>
    </row>
    <row r="32" spans="1:15">
      <c r="A32" s="7" t="s">
        <v>1524</v>
      </c>
      <c r="B32" s="7" t="s">
        <v>1496</v>
      </c>
      <c r="C32" s="7" t="s">
        <v>1525</v>
      </c>
      <c r="E32" s="7" t="s">
        <v>1550</v>
      </c>
      <c r="F32" s="7">
        <v>151600</v>
      </c>
      <c r="G32" s="7">
        <v>15</v>
      </c>
      <c r="H32" s="7">
        <v>16</v>
      </c>
      <c r="I32" s="7">
        <v>0</v>
      </c>
      <c r="K32" s="7" t="s">
        <v>1541</v>
      </c>
      <c r="L32" s="7">
        <v>142700</v>
      </c>
      <c r="M32" s="7">
        <v>14</v>
      </c>
      <c r="N32" s="7">
        <v>27</v>
      </c>
      <c r="O32" s="7">
        <v>0</v>
      </c>
    </row>
    <row r="33" spans="1:15">
      <c r="A33" s="7" t="s">
        <v>1524</v>
      </c>
      <c r="B33" s="7" t="s">
        <v>1496</v>
      </c>
      <c r="C33" s="7" t="s">
        <v>1525</v>
      </c>
      <c r="E33" s="7" t="s">
        <v>1551</v>
      </c>
      <c r="F33" s="7">
        <v>151700</v>
      </c>
      <c r="G33" s="7">
        <v>15</v>
      </c>
      <c r="H33" s="7">
        <v>17</v>
      </c>
      <c r="I33" s="7">
        <v>0</v>
      </c>
      <c r="K33" s="7" t="s">
        <v>1552</v>
      </c>
      <c r="L33" s="7">
        <v>141600</v>
      </c>
      <c r="M33" s="7">
        <v>14</v>
      </c>
      <c r="N33" s="7">
        <v>16</v>
      </c>
      <c r="O33" s="7">
        <v>0</v>
      </c>
    </row>
    <row r="34" spans="1:15">
      <c r="A34" s="7" t="s">
        <v>1524</v>
      </c>
      <c r="B34" s="7" t="s">
        <v>1496</v>
      </c>
      <c r="C34" s="7" t="s">
        <v>1525</v>
      </c>
      <c r="D34" s="7" t="s">
        <v>1553</v>
      </c>
      <c r="E34" s="7" t="s">
        <v>1521</v>
      </c>
      <c r="F34" s="7">
        <v>170000</v>
      </c>
      <c r="G34" s="7">
        <v>17</v>
      </c>
      <c r="H34" s="7">
        <v>0</v>
      </c>
      <c r="I34" s="7">
        <v>0</v>
      </c>
      <c r="K34" s="7" t="s">
        <v>1516</v>
      </c>
      <c r="L34" s="7">
        <v>141800</v>
      </c>
      <c r="M34" s="7">
        <v>14</v>
      </c>
      <c r="N34" s="7">
        <v>18</v>
      </c>
      <c r="O34" s="7">
        <v>0</v>
      </c>
    </row>
    <row r="35" spans="1:15">
      <c r="A35" s="7" t="s">
        <v>1524</v>
      </c>
      <c r="B35" s="7" t="s">
        <v>1496</v>
      </c>
      <c r="C35" s="7" t="s">
        <v>1525</v>
      </c>
      <c r="E35" s="7" t="s">
        <v>1531</v>
      </c>
      <c r="F35" s="7">
        <v>171510</v>
      </c>
      <c r="G35" s="7">
        <v>17</v>
      </c>
      <c r="H35" s="7">
        <v>15</v>
      </c>
      <c r="I35" s="7">
        <v>10</v>
      </c>
      <c r="K35" s="7" t="s">
        <v>1554</v>
      </c>
      <c r="L35" s="7">
        <v>142200</v>
      </c>
      <c r="M35" s="7">
        <v>14</v>
      </c>
      <c r="N35" s="7">
        <v>22</v>
      </c>
      <c r="O35" s="7">
        <v>0</v>
      </c>
    </row>
    <row r="36" spans="1:15">
      <c r="A36" s="7" t="s">
        <v>1524</v>
      </c>
      <c r="B36" s="7" t="s">
        <v>1496</v>
      </c>
      <c r="C36" s="7" t="s">
        <v>1525</v>
      </c>
      <c r="D36" s="7" t="s">
        <v>1555</v>
      </c>
      <c r="E36" s="7" t="s">
        <v>1556</v>
      </c>
      <c r="F36" s="7">
        <v>180000</v>
      </c>
      <c r="G36" s="7">
        <v>18</v>
      </c>
      <c r="H36" s="7">
        <v>0</v>
      </c>
      <c r="I36" s="7">
        <v>0</v>
      </c>
      <c r="K36" s="7" t="s">
        <v>1557</v>
      </c>
      <c r="L36" s="7">
        <v>142300</v>
      </c>
      <c r="M36" s="7">
        <v>14</v>
      </c>
      <c r="N36" s="7">
        <v>23</v>
      </c>
      <c r="O36" s="7">
        <v>0</v>
      </c>
    </row>
    <row r="37" spans="1:15">
      <c r="A37" s="7" t="s">
        <v>1524</v>
      </c>
      <c r="B37" s="7" t="s">
        <v>1496</v>
      </c>
      <c r="C37" s="7" t="s">
        <v>1525</v>
      </c>
      <c r="E37" s="7" t="s">
        <v>1558</v>
      </c>
      <c r="F37" s="7">
        <v>181000</v>
      </c>
      <c r="G37" s="7">
        <v>18</v>
      </c>
      <c r="H37" s="7">
        <v>10</v>
      </c>
      <c r="I37" s="7">
        <v>0</v>
      </c>
      <c r="K37" s="7" t="s">
        <v>1501</v>
      </c>
      <c r="L37" s="7">
        <v>141000</v>
      </c>
      <c r="M37" s="7">
        <v>14</v>
      </c>
      <c r="N37" s="7">
        <v>10</v>
      </c>
      <c r="O37" s="7">
        <v>0</v>
      </c>
    </row>
    <row r="38" spans="1:15">
      <c r="A38" s="7" t="s">
        <v>1524</v>
      </c>
      <c r="B38" s="7" t="s">
        <v>1496</v>
      </c>
      <c r="C38" s="7" t="s">
        <v>1525</v>
      </c>
      <c r="E38" s="7" t="s">
        <v>1559</v>
      </c>
      <c r="F38" s="7">
        <v>181100</v>
      </c>
      <c r="G38" s="7">
        <v>18</v>
      </c>
      <c r="H38" s="7">
        <v>11</v>
      </c>
      <c r="I38" s="7">
        <v>0</v>
      </c>
      <c r="K38" s="7" t="s">
        <v>1560</v>
      </c>
      <c r="L38" s="7">
        <v>142400</v>
      </c>
      <c r="M38" s="7">
        <v>14</v>
      </c>
      <c r="N38" s="7">
        <v>24</v>
      </c>
      <c r="O38" s="7">
        <v>0</v>
      </c>
    </row>
    <row r="39" spans="1:15">
      <c r="A39" s="7" t="s">
        <v>1524</v>
      </c>
      <c r="B39" s="7" t="s">
        <v>1496</v>
      </c>
      <c r="C39" s="7" t="s">
        <v>1525</v>
      </c>
      <c r="E39" s="7" t="s">
        <v>1561</v>
      </c>
      <c r="F39" s="7">
        <v>181200</v>
      </c>
      <c r="G39" s="7">
        <v>18</v>
      </c>
      <c r="H39" s="7">
        <v>12</v>
      </c>
      <c r="I39" s="7">
        <v>0</v>
      </c>
      <c r="K39" s="7" t="s">
        <v>1562</v>
      </c>
      <c r="L39" s="7">
        <v>142500</v>
      </c>
      <c r="M39" s="7">
        <v>14</v>
      </c>
      <c r="N39" s="7">
        <v>25</v>
      </c>
      <c r="O39" s="7">
        <v>0</v>
      </c>
    </row>
    <row r="40" spans="1:15">
      <c r="A40" s="7" t="s">
        <v>1524</v>
      </c>
      <c r="B40" s="7" t="s">
        <v>1496</v>
      </c>
      <c r="C40" s="7" t="s">
        <v>1525</v>
      </c>
      <c r="D40" s="7" t="s">
        <v>1563</v>
      </c>
      <c r="E40" s="7" t="s">
        <v>1527</v>
      </c>
      <c r="F40" s="7">
        <v>190000</v>
      </c>
      <c r="G40" s="7">
        <v>19</v>
      </c>
      <c r="H40" s="7">
        <v>0</v>
      </c>
      <c r="I40" s="7">
        <v>0</v>
      </c>
      <c r="K40" s="7" t="s">
        <v>1564</v>
      </c>
      <c r="L40" s="7">
        <v>141500</v>
      </c>
      <c r="M40" s="7">
        <v>14</v>
      </c>
      <c r="N40" s="7">
        <v>15</v>
      </c>
      <c r="O40" s="7">
        <v>0</v>
      </c>
    </row>
    <row r="41" spans="1:15">
      <c r="A41" s="7" t="s">
        <v>1524</v>
      </c>
      <c r="B41" s="7" t="s">
        <v>1496</v>
      </c>
      <c r="C41" s="7" t="s">
        <v>1525</v>
      </c>
      <c r="E41" s="7" t="s">
        <v>1565</v>
      </c>
      <c r="F41" s="7">
        <v>191810</v>
      </c>
      <c r="G41" s="7">
        <v>19</v>
      </c>
      <c r="H41" s="7">
        <v>18</v>
      </c>
      <c r="I41" s="7">
        <v>10</v>
      </c>
      <c r="K41" s="7" t="s">
        <v>1566</v>
      </c>
      <c r="L41" s="7">
        <v>141510</v>
      </c>
      <c r="M41" s="7">
        <v>14</v>
      </c>
      <c r="N41" s="7">
        <v>15</v>
      </c>
      <c r="O41" s="7">
        <v>10</v>
      </c>
    </row>
    <row r="42" spans="1:15">
      <c r="A42" s="7" t="s">
        <v>1524</v>
      </c>
      <c r="B42" s="7" t="s">
        <v>1496</v>
      </c>
      <c r="C42" s="7" t="s">
        <v>1525</v>
      </c>
      <c r="D42" s="7" t="s">
        <v>1567</v>
      </c>
      <c r="E42" s="286" t="s">
        <v>1568</v>
      </c>
      <c r="F42" s="7">
        <v>230000</v>
      </c>
      <c r="G42" s="7">
        <v>23</v>
      </c>
      <c r="H42" s="7">
        <v>0</v>
      </c>
      <c r="I42" s="7">
        <v>0</v>
      </c>
      <c r="K42" s="7" t="s">
        <v>1569</v>
      </c>
      <c r="L42" s="7">
        <v>142900</v>
      </c>
      <c r="M42" s="7">
        <v>14</v>
      </c>
      <c r="N42" s="7">
        <v>29</v>
      </c>
      <c r="O42" s="7">
        <v>0</v>
      </c>
    </row>
    <row r="43" spans="1:15">
      <c r="A43" s="7" t="s">
        <v>1524</v>
      </c>
      <c r="B43" s="7" t="s">
        <v>1496</v>
      </c>
      <c r="C43" s="7" t="s">
        <v>1525</v>
      </c>
      <c r="E43" s="7" t="s">
        <v>1570</v>
      </c>
      <c r="F43" s="7">
        <v>231300</v>
      </c>
      <c r="G43" s="7">
        <v>23</v>
      </c>
      <c r="H43" s="7">
        <v>13</v>
      </c>
      <c r="I43" s="7">
        <v>0</v>
      </c>
      <c r="K43" s="7" t="s">
        <v>1571</v>
      </c>
      <c r="L43" s="7">
        <v>143000</v>
      </c>
      <c r="M43" s="7">
        <v>14</v>
      </c>
      <c r="N43" s="7">
        <v>30</v>
      </c>
      <c r="O43" s="7">
        <v>0</v>
      </c>
    </row>
    <row r="44" spans="1:15">
      <c r="A44" s="7" t="s">
        <v>1524</v>
      </c>
      <c r="B44" s="7" t="s">
        <v>1496</v>
      </c>
      <c r="C44" s="7" t="s">
        <v>1525</v>
      </c>
      <c r="E44" s="7" t="s">
        <v>1572</v>
      </c>
      <c r="F44" s="7">
        <v>231400</v>
      </c>
      <c r="G44" s="7">
        <v>23</v>
      </c>
      <c r="H44" s="7">
        <v>14</v>
      </c>
      <c r="I44" s="7">
        <v>0</v>
      </c>
      <c r="K44" s="7" t="s">
        <v>1573</v>
      </c>
      <c r="L44" s="7">
        <v>143100</v>
      </c>
      <c r="M44" s="7">
        <v>14</v>
      </c>
      <c r="N44" s="7">
        <v>31</v>
      </c>
      <c r="O44" s="7">
        <v>0</v>
      </c>
    </row>
    <row r="45" spans="1:15">
      <c r="A45" s="7" t="s">
        <v>1524</v>
      </c>
      <c r="B45" s="7" t="s">
        <v>1496</v>
      </c>
      <c r="C45" s="7" t="s">
        <v>1525</v>
      </c>
      <c r="E45" s="7" t="s">
        <v>1574</v>
      </c>
      <c r="F45" s="7">
        <v>231600</v>
      </c>
      <c r="G45" s="7">
        <v>23</v>
      </c>
      <c r="H45" s="7">
        <v>16</v>
      </c>
      <c r="I45" s="7">
        <v>0</v>
      </c>
      <c r="K45" s="7" t="s">
        <v>1575</v>
      </c>
      <c r="L45" s="7">
        <v>143200</v>
      </c>
      <c r="M45" s="7">
        <v>14</v>
      </c>
      <c r="N45" s="7">
        <v>32</v>
      </c>
      <c r="O45" s="7">
        <v>0</v>
      </c>
    </row>
    <row r="46" spans="1:15">
      <c r="A46" s="7" t="s">
        <v>1524</v>
      </c>
      <c r="B46" s="7" t="s">
        <v>1496</v>
      </c>
      <c r="C46" s="7" t="s">
        <v>1525</v>
      </c>
      <c r="E46" s="7" t="s">
        <v>1576</v>
      </c>
      <c r="F46" s="7">
        <v>231700</v>
      </c>
      <c r="G46" s="7">
        <v>23</v>
      </c>
      <c r="H46" s="7">
        <v>17</v>
      </c>
      <c r="I46" s="7">
        <v>0</v>
      </c>
      <c r="K46" s="7" t="s">
        <v>1577</v>
      </c>
      <c r="L46" s="7">
        <v>143300</v>
      </c>
      <c r="M46" s="7">
        <v>14</v>
      </c>
      <c r="N46" s="7">
        <v>33</v>
      </c>
      <c r="O46" s="7">
        <v>0</v>
      </c>
    </row>
    <row r="47" spans="1:15">
      <c r="A47" s="7" t="s">
        <v>1524</v>
      </c>
      <c r="B47" s="7" t="s">
        <v>1496</v>
      </c>
      <c r="C47" s="7" t="s">
        <v>1525</v>
      </c>
      <c r="E47" s="7" t="s">
        <v>1578</v>
      </c>
      <c r="F47" s="7">
        <v>231800</v>
      </c>
      <c r="G47" s="7">
        <v>23</v>
      </c>
      <c r="H47" s="7">
        <v>18</v>
      </c>
      <c r="I47" s="7">
        <v>0</v>
      </c>
      <c r="K47" s="7" t="s">
        <v>1579</v>
      </c>
      <c r="L47" s="7">
        <v>143400</v>
      </c>
      <c r="M47" s="7">
        <v>14</v>
      </c>
      <c r="N47" s="7">
        <v>34</v>
      </c>
      <c r="O47" s="7">
        <v>0</v>
      </c>
    </row>
    <row r="48" spans="1:15">
      <c r="A48" s="7" t="s">
        <v>1524</v>
      </c>
      <c r="B48" s="7" t="s">
        <v>1496</v>
      </c>
      <c r="C48" s="7" t="s">
        <v>1525</v>
      </c>
      <c r="E48" s="7" t="s">
        <v>1580</v>
      </c>
      <c r="F48" s="7">
        <v>232900</v>
      </c>
      <c r="G48" s="7">
        <v>23</v>
      </c>
      <c r="H48" s="7">
        <v>29</v>
      </c>
      <c r="I48" s="7">
        <v>0</v>
      </c>
      <c r="K48" s="7" t="s">
        <v>1581</v>
      </c>
      <c r="L48" s="7">
        <v>141100</v>
      </c>
      <c r="M48" s="7">
        <v>14</v>
      </c>
      <c r="N48" s="7">
        <v>11</v>
      </c>
      <c r="O48" s="7">
        <v>0</v>
      </c>
    </row>
    <row r="49" spans="1:15">
      <c r="A49" s="7" t="s">
        <v>1524</v>
      </c>
      <c r="B49" s="7" t="s">
        <v>1496</v>
      </c>
      <c r="C49" s="7" t="s">
        <v>1525</v>
      </c>
      <c r="D49" s="7" t="s">
        <v>1582</v>
      </c>
      <c r="E49" s="286" t="s">
        <v>1583</v>
      </c>
      <c r="F49" s="7">
        <v>240000</v>
      </c>
      <c r="G49" s="7">
        <v>24</v>
      </c>
      <c r="H49" s="7">
        <v>0</v>
      </c>
      <c r="I49" s="7">
        <v>0</v>
      </c>
      <c r="K49" s="7" t="s">
        <v>1584</v>
      </c>
      <c r="L49" s="7">
        <v>141200</v>
      </c>
      <c r="M49" s="7">
        <v>14</v>
      </c>
      <c r="N49" s="7">
        <v>12</v>
      </c>
      <c r="O49" s="7">
        <v>0</v>
      </c>
    </row>
    <row r="50" spans="1:15">
      <c r="A50" s="7" t="s">
        <v>1524</v>
      </c>
      <c r="B50" s="7" t="s">
        <v>1496</v>
      </c>
      <c r="C50" s="7" t="s">
        <v>1525</v>
      </c>
      <c r="E50" s="7" t="s">
        <v>1501</v>
      </c>
      <c r="F50" s="7">
        <v>241000</v>
      </c>
      <c r="G50" s="7">
        <v>24</v>
      </c>
      <c r="H50" s="7">
        <v>10</v>
      </c>
      <c r="I50" s="7">
        <v>0</v>
      </c>
      <c r="K50" s="7" t="s">
        <v>1585</v>
      </c>
      <c r="L50" s="7">
        <v>141900</v>
      </c>
      <c r="M50" s="7">
        <v>14</v>
      </c>
      <c r="N50" s="7">
        <v>19</v>
      </c>
      <c r="O50" s="7">
        <v>0</v>
      </c>
    </row>
    <row r="51" spans="1:15">
      <c r="A51" s="7" t="s">
        <v>1524</v>
      </c>
      <c r="B51" s="7" t="s">
        <v>1496</v>
      </c>
      <c r="C51" s="7" t="s">
        <v>1525</v>
      </c>
      <c r="D51" s="7" t="s">
        <v>1586</v>
      </c>
      <c r="E51" s="7" t="s">
        <v>1587</v>
      </c>
      <c r="F51" s="7">
        <v>250000</v>
      </c>
      <c r="G51" s="7">
        <v>25</v>
      </c>
      <c r="H51" s="7">
        <v>0</v>
      </c>
      <c r="I51" s="7">
        <v>0</v>
      </c>
      <c r="K51" s="7" t="s">
        <v>1588</v>
      </c>
      <c r="L51" s="7">
        <v>142000</v>
      </c>
      <c r="M51" s="7">
        <v>14</v>
      </c>
      <c r="N51" s="7">
        <v>20</v>
      </c>
      <c r="O51" s="7">
        <v>0</v>
      </c>
    </row>
    <row r="52" spans="1:15">
      <c r="A52" s="7" t="s">
        <v>1524</v>
      </c>
      <c r="B52" s="7" t="s">
        <v>1496</v>
      </c>
      <c r="C52" s="7" t="s">
        <v>1525</v>
      </c>
      <c r="E52" s="7" t="s">
        <v>1501</v>
      </c>
      <c r="F52" s="7">
        <v>251000</v>
      </c>
      <c r="G52" s="7">
        <v>25</v>
      </c>
      <c r="H52" s="7">
        <v>10</v>
      </c>
      <c r="I52" s="7">
        <v>0</v>
      </c>
      <c r="K52" s="7" t="s">
        <v>1589</v>
      </c>
      <c r="L52" s="7">
        <v>142100</v>
      </c>
      <c r="M52" s="7">
        <v>14</v>
      </c>
      <c r="N52" s="7">
        <v>21</v>
      </c>
      <c r="O52" s="7">
        <v>0</v>
      </c>
    </row>
    <row r="53" spans="1:15">
      <c r="A53" s="7" t="s">
        <v>1524</v>
      </c>
      <c r="B53" s="7" t="s">
        <v>1496</v>
      </c>
      <c r="C53" s="7" t="s">
        <v>1525</v>
      </c>
      <c r="E53" s="7" t="s">
        <v>1590</v>
      </c>
      <c r="F53" s="7">
        <v>251010</v>
      </c>
      <c r="G53" s="7">
        <v>25</v>
      </c>
      <c r="H53" s="7">
        <v>10</v>
      </c>
      <c r="I53" s="7">
        <v>10</v>
      </c>
      <c r="K53" s="7" t="s">
        <v>1591</v>
      </c>
      <c r="L53" s="7">
        <v>142600</v>
      </c>
      <c r="M53" s="7">
        <v>14</v>
      </c>
      <c r="N53" s="7">
        <v>26</v>
      </c>
      <c r="O53" s="7">
        <v>0</v>
      </c>
    </row>
    <row r="54" spans="1:15">
      <c r="A54" s="7" t="s">
        <v>1524</v>
      </c>
      <c r="B54" s="7" t="s">
        <v>1496</v>
      </c>
      <c r="C54" s="7" t="s">
        <v>1525</v>
      </c>
      <c r="D54" s="7" t="s">
        <v>1592</v>
      </c>
      <c r="E54" s="286" t="s">
        <v>1593</v>
      </c>
      <c r="F54" s="7">
        <v>300000</v>
      </c>
      <c r="G54" s="7">
        <v>30</v>
      </c>
      <c r="H54" s="7">
        <v>0</v>
      </c>
      <c r="I54" s="7">
        <v>0</v>
      </c>
      <c r="K54" s="7" t="s">
        <v>1594</v>
      </c>
      <c r="L54" s="7">
        <v>141510</v>
      </c>
      <c r="M54" s="7">
        <v>14</v>
      </c>
      <c r="N54" s="7">
        <v>15</v>
      </c>
      <c r="O54" s="7">
        <v>10</v>
      </c>
    </row>
    <row r="55" spans="1:15">
      <c r="A55" s="7" t="s">
        <v>1524</v>
      </c>
      <c r="B55" s="7" t="s">
        <v>1496</v>
      </c>
      <c r="C55" s="7" t="s">
        <v>1525</v>
      </c>
      <c r="E55" s="7" t="s">
        <v>1595</v>
      </c>
      <c r="F55" s="7">
        <v>301000</v>
      </c>
      <c r="G55" s="7">
        <v>30</v>
      </c>
      <c r="H55" s="7">
        <v>10</v>
      </c>
      <c r="I55" s="7">
        <v>0</v>
      </c>
      <c r="K55" s="7" t="s">
        <v>1543</v>
      </c>
      <c r="L55" s="7">
        <v>150000</v>
      </c>
      <c r="M55" s="7">
        <v>15</v>
      </c>
      <c r="N55" s="7">
        <v>0</v>
      </c>
      <c r="O55" s="7">
        <v>0</v>
      </c>
    </row>
    <row r="56" spans="1:15">
      <c r="A56" s="7" t="s">
        <v>1524</v>
      </c>
      <c r="B56" s="7" t="s">
        <v>1496</v>
      </c>
      <c r="C56" s="7" t="s">
        <v>1525</v>
      </c>
      <c r="D56" s="7" t="s">
        <v>1596</v>
      </c>
      <c r="E56" s="7" t="s">
        <v>1597</v>
      </c>
      <c r="F56" s="7">
        <v>320000</v>
      </c>
      <c r="G56" s="7">
        <v>32</v>
      </c>
      <c r="H56" s="7">
        <v>0</v>
      </c>
      <c r="I56" s="7">
        <v>0</v>
      </c>
      <c r="K56" s="7" t="s">
        <v>1544</v>
      </c>
      <c r="L56" s="7">
        <v>151100</v>
      </c>
      <c r="M56" s="7">
        <v>15</v>
      </c>
      <c r="N56" s="7">
        <v>11</v>
      </c>
      <c r="O56" s="7">
        <v>0</v>
      </c>
    </row>
    <row r="57" spans="1:15">
      <c r="A57" s="7" t="s">
        <v>1524</v>
      </c>
      <c r="B57" s="7" t="s">
        <v>1496</v>
      </c>
      <c r="C57" s="7" t="s">
        <v>1525</v>
      </c>
      <c r="E57" s="7" t="s">
        <v>1598</v>
      </c>
      <c r="F57" s="7">
        <v>321100</v>
      </c>
      <c r="G57" s="7">
        <v>32</v>
      </c>
      <c r="H57" s="7">
        <v>11</v>
      </c>
      <c r="I57" s="7">
        <v>0</v>
      </c>
      <c r="K57" s="7" t="s">
        <v>1545</v>
      </c>
      <c r="L57" s="7">
        <v>151110</v>
      </c>
      <c r="M57" s="7">
        <v>15</v>
      </c>
      <c r="N57" s="7">
        <v>11</v>
      </c>
      <c r="O57" s="7">
        <v>10</v>
      </c>
    </row>
    <row r="58" spans="1:15">
      <c r="A58" s="7" t="s">
        <v>1524</v>
      </c>
      <c r="B58" s="7" t="s">
        <v>1496</v>
      </c>
      <c r="C58" s="7" t="s">
        <v>1525</v>
      </c>
      <c r="E58" s="7" t="s">
        <v>1599</v>
      </c>
      <c r="F58" s="7">
        <v>321300</v>
      </c>
      <c r="G58" s="7">
        <v>32</v>
      </c>
      <c r="H58" s="7">
        <v>13</v>
      </c>
      <c r="I58" s="7">
        <v>0</v>
      </c>
      <c r="K58" s="7" t="s">
        <v>1546</v>
      </c>
      <c r="L58" s="7">
        <v>151200</v>
      </c>
      <c r="M58" s="7">
        <v>15</v>
      </c>
      <c r="N58" s="7">
        <v>12</v>
      </c>
      <c r="O58" s="7">
        <v>0</v>
      </c>
    </row>
    <row r="59" spans="1:15">
      <c r="A59" s="7" t="s">
        <v>1524</v>
      </c>
      <c r="B59" s="7" t="s">
        <v>1496</v>
      </c>
      <c r="C59" s="7" t="s">
        <v>1525</v>
      </c>
      <c r="E59" s="7" t="s">
        <v>1600</v>
      </c>
      <c r="F59" s="7">
        <v>321310</v>
      </c>
      <c r="G59" s="7">
        <v>32</v>
      </c>
      <c r="H59" s="7">
        <v>13</v>
      </c>
      <c r="I59" s="7">
        <v>10</v>
      </c>
      <c r="K59" s="7" t="s">
        <v>1547</v>
      </c>
      <c r="L59" s="7">
        <v>151300</v>
      </c>
      <c r="M59" s="7">
        <v>15</v>
      </c>
      <c r="N59" s="7">
        <v>13</v>
      </c>
      <c r="O59" s="7">
        <v>0</v>
      </c>
    </row>
    <row r="60" spans="1:15">
      <c r="A60" s="7" t="s">
        <v>1524</v>
      </c>
      <c r="B60" s="7" t="s">
        <v>1496</v>
      </c>
      <c r="C60" s="7" t="s">
        <v>1525</v>
      </c>
      <c r="E60" s="7" t="s">
        <v>1601</v>
      </c>
      <c r="F60" s="7">
        <v>321320</v>
      </c>
      <c r="G60" s="7">
        <v>32</v>
      </c>
      <c r="H60" s="7">
        <v>13</v>
      </c>
      <c r="I60" s="7">
        <v>20</v>
      </c>
      <c r="K60" s="7" t="s">
        <v>1548</v>
      </c>
      <c r="L60" s="7">
        <v>151310</v>
      </c>
      <c r="M60" s="7">
        <v>15</v>
      </c>
      <c r="N60" s="7">
        <v>13</v>
      </c>
      <c r="O60" s="7">
        <v>10</v>
      </c>
    </row>
    <row r="61" spans="1:15">
      <c r="A61" s="7" t="s">
        <v>1524</v>
      </c>
      <c r="B61" s="7" t="s">
        <v>1496</v>
      </c>
      <c r="C61" s="7" t="s">
        <v>1525</v>
      </c>
      <c r="E61" s="7" t="s">
        <v>1602</v>
      </c>
      <c r="F61" s="7">
        <v>321330</v>
      </c>
      <c r="G61" s="7">
        <v>32</v>
      </c>
      <c r="H61" s="7">
        <v>13</v>
      </c>
      <c r="I61" s="7">
        <v>30</v>
      </c>
      <c r="K61" s="7" t="s">
        <v>1549</v>
      </c>
      <c r="L61" s="7">
        <v>151320</v>
      </c>
      <c r="M61" s="7">
        <v>15</v>
      </c>
      <c r="N61" s="7">
        <v>13</v>
      </c>
      <c r="O61" s="7">
        <v>20</v>
      </c>
    </row>
    <row r="62" spans="1:15">
      <c r="A62" s="7" t="s">
        <v>1524</v>
      </c>
      <c r="B62" s="7" t="s">
        <v>1496</v>
      </c>
      <c r="C62" s="7" t="s">
        <v>1525</v>
      </c>
      <c r="E62" s="7" t="s">
        <v>1603</v>
      </c>
      <c r="F62" s="7">
        <v>321340</v>
      </c>
      <c r="G62" s="7">
        <v>32</v>
      </c>
      <c r="H62" s="7">
        <v>13</v>
      </c>
      <c r="I62" s="7">
        <v>40</v>
      </c>
      <c r="K62" s="7" t="s">
        <v>1550</v>
      </c>
      <c r="L62" s="7">
        <v>151600</v>
      </c>
      <c r="M62" s="7">
        <v>15</v>
      </c>
      <c r="N62" s="7">
        <v>16</v>
      </c>
      <c r="O62" s="7">
        <v>0</v>
      </c>
    </row>
    <row r="63" spans="1:15">
      <c r="A63" s="7" t="s">
        <v>1524</v>
      </c>
      <c r="B63" s="7" t="s">
        <v>1496</v>
      </c>
      <c r="C63" s="7" t="s">
        <v>1525</v>
      </c>
      <c r="D63" s="7" t="s">
        <v>1604</v>
      </c>
      <c r="E63" s="7" t="s">
        <v>1523</v>
      </c>
      <c r="F63" s="7">
        <v>790000</v>
      </c>
      <c r="G63" s="7">
        <v>79</v>
      </c>
      <c r="H63" s="7">
        <v>0</v>
      </c>
      <c r="I63" s="7">
        <v>0</v>
      </c>
      <c r="K63" s="7" t="s">
        <v>1551</v>
      </c>
      <c r="L63" s="7">
        <v>151700</v>
      </c>
      <c r="M63" s="7">
        <v>15</v>
      </c>
      <c r="N63" s="7">
        <v>17</v>
      </c>
      <c r="O63" s="7">
        <v>0</v>
      </c>
    </row>
    <row r="64" spans="1:15">
      <c r="A64" s="7" t="s">
        <v>1524</v>
      </c>
      <c r="B64" s="7" t="s">
        <v>1496</v>
      </c>
      <c r="C64" s="7" t="s">
        <v>1525</v>
      </c>
      <c r="E64" s="7" t="s">
        <v>504</v>
      </c>
      <c r="F64" s="7">
        <v>909000</v>
      </c>
      <c r="G64" s="7">
        <v>90</v>
      </c>
      <c r="H64" s="7">
        <v>90</v>
      </c>
      <c r="I64" s="7">
        <v>0</v>
      </c>
      <c r="K64" s="7" t="s">
        <v>1605</v>
      </c>
      <c r="L64" s="7">
        <v>151120</v>
      </c>
      <c r="M64" s="7">
        <v>15</v>
      </c>
      <c r="N64" s="7">
        <v>11</v>
      </c>
      <c r="O64" s="7">
        <v>20</v>
      </c>
    </row>
    <row r="65" spans="1:15">
      <c r="A65" s="7" t="s">
        <v>1606</v>
      </c>
      <c r="B65" s="7" t="s">
        <v>1496</v>
      </c>
      <c r="C65" s="7" t="s">
        <v>1607</v>
      </c>
      <c r="D65" s="7" t="s">
        <v>1608</v>
      </c>
      <c r="E65" s="7" t="s">
        <v>1503</v>
      </c>
      <c r="F65" s="7">
        <v>100000</v>
      </c>
      <c r="G65" s="7">
        <v>10</v>
      </c>
      <c r="H65" s="7">
        <v>0</v>
      </c>
      <c r="I65" s="7">
        <v>0</v>
      </c>
      <c r="K65" s="7" t="s">
        <v>1609</v>
      </c>
      <c r="L65" s="7">
        <v>151130</v>
      </c>
      <c r="M65" s="7">
        <v>15</v>
      </c>
      <c r="N65" s="7">
        <v>11</v>
      </c>
      <c r="O65" s="7">
        <v>30</v>
      </c>
    </row>
    <row r="66" spans="1:15">
      <c r="A66" s="7" t="s">
        <v>1606</v>
      </c>
      <c r="B66" s="7" t="s">
        <v>1496</v>
      </c>
      <c r="C66" s="7" t="s">
        <v>1607</v>
      </c>
      <c r="E66" s="7" t="s">
        <v>1501</v>
      </c>
      <c r="F66" s="7">
        <v>101000</v>
      </c>
      <c r="G66" s="7">
        <v>10</v>
      </c>
      <c r="H66" s="7">
        <v>10</v>
      </c>
      <c r="I66" s="7">
        <v>0</v>
      </c>
      <c r="K66" s="7" t="s">
        <v>1501</v>
      </c>
      <c r="L66" s="7">
        <v>151000</v>
      </c>
      <c r="M66" s="7">
        <v>15</v>
      </c>
      <c r="N66" s="7">
        <v>10</v>
      </c>
      <c r="O66" s="7">
        <v>0</v>
      </c>
    </row>
    <row r="67" spans="1:15">
      <c r="A67" s="7" t="s">
        <v>1606</v>
      </c>
      <c r="B67" s="7" t="s">
        <v>1496</v>
      </c>
      <c r="C67" s="7" t="s">
        <v>1607</v>
      </c>
      <c r="D67" s="7" t="s">
        <v>1610</v>
      </c>
      <c r="E67" s="7" t="s">
        <v>145</v>
      </c>
      <c r="F67" s="7">
        <v>140000</v>
      </c>
      <c r="G67" s="7">
        <v>14</v>
      </c>
      <c r="H67" s="7">
        <v>0</v>
      </c>
      <c r="I67" s="7">
        <v>0</v>
      </c>
      <c r="K67" s="7" t="s">
        <v>1611</v>
      </c>
      <c r="L67" s="7">
        <v>151140</v>
      </c>
      <c r="M67" s="7">
        <v>15</v>
      </c>
      <c r="N67" s="7">
        <v>11</v>
      </c>
      <c r="O67" s="7">
        <v>40</v>
      </c>
    </row>
    <row r="68" spans="1:15">
      <c r="A68" s="7" t="s">
        <v>1606</v>
      </c>
      <c r="B68" s="7" t="s">
        <v>1496</v>
      </c>
      <c r="C68" s="7" t="s">
        <v>1607</v>
      </c>
      <c r="E68" s="7" t="s">
        <v>1552</v>
      </c>
      <c r="F68" s="7">
        <v>141600</v>
      </c>
      <c r="G68" s="7">
        <v>14</v>
      </c>
      <c r="H68" s="7">
        <v>16</v>
      </c>
      <c r="I68" s="7">
        <v>0</v>
      </c>
      <c r="K68" s="7" t="s">
        <v>1612</v>
      </c>
      <c r="L68" s="7">
        <v>151150</v>
      </c>
      <c r="M68" s="7">
        <v>15</v>
      </c>
      <c r="N68" s="7">
        <v>11</v>
      </c>
      <c r="O68" s="7">
        <v>50</v>
      </c>
    </row>
    <row r="69" spans="1:15">
      <c r="A69" s="7" t="s">
        <v>1606</v>
      </c>
      <c r="B69" s="7" t="s">
        <v>1496</v>
      </c>
      <c r="C69" s="7" t="s">
        <v>1607</v>
      </c>
      <c r="E69" s="7" t="s">
        <v>1516</v>
      </c>
      <c r="F69" s="7">
        <v>141800</v>
      </c>
      <c r="G69" s="7">
        <v>14</v>
      </c>
      <c r="H69" s="7">
        <v>18</v>
      </c>
      <c r="I69" s="7">
        <v>0</v>
      </c>
      <c r="K69" s="7" t="s">
        <v>1613</v>
      </c>
      <c r="L69" s="7">
        <v>151400</v>
      </c>
      <c r="M69" s="7">
        <v>15</v>
      </c>
      <c r="N69" s="7">
        <v>14</v>
      </c>
      <c r="O69" s="7">
        <v>0</v>
      </c>
    </row>
    <row r="70" spans="1:15">
      <c r="A70" s="7" t="s">
        <v>1606</v>
      </c>
      <c r="B70" s="7" t="s">
        <v>1496</v>
      </c>
      <c r="C70" s="7" t="s">
        <v>1607</v>
      </c>
      <c r="E70" s="7" t="s">
        <v>1554</v>
      </c>
      <c r="F70" s="7">
        <v>142200</v>
      </c>
      <c r="G70" s="7">
        <v>14</v>
      </c>
      <c r="H70" s="7">
        <v>22</v>
      </c>
      <c r="I70" s="7">
        <v>0</v>
      </c>
      <c r="K70" s="7" t="s">
        <v>1614</v>
      </c>
      <c r="L70" s="7">
        <v>151410</v>
      </c>
      <c r="M70" s="7">
        <v>15</v>
      </c>
      <c r="N70" s="7">
        <v>14</v>
      </c>
      <c r="O70" s="7">
        <v>10</v>
      </c>
    </row>
    <row r="71" spans="1:15">
      <c r="A71" s="7" t="s">
        <v>1606</v>
      </c>
      <c r="B71" s="7" t="s">
        <v>1496</v>
      </c>
      <c r="C71" s="7" t="s">
        <v>1607</v>
      </c>
      <c r="E71" s="7" t="s">
        <v>1557</v>
      </c>
      <c r="F71" s="7">
        <v>142300</v>
      </c>
      <c r="G71" s="7">
        <v>14</v>
      </c>
      <c r="H71" s="7">
        <v>23</v>
      </c>
      <c r="I71" s="7">
        <v>0</v>
      </c>
      <c r="K71" s="7" t="s">
        <v>1615</v>
      </c>
      <c r="L71" s="7">
        <v>151420</v>
      </c>
      <c r="M71" s="7">
        <v>15</v>
      </c>
      <c r="N71" s="7">
        <v>14</v>
      </c>
      <c r="O71" s="7">
        <v>20</v>
      </c>
    </row>
    <row r="72" spans="1:15">
      <c r="A72" s="7" t="s">
        <v>1606</v>
      </c>
      <c r="B72" s="7" t="s">
        <v>1496</v>
      </c>
      <c r="C72" s="7" t="s">
        <v>1607</v>
      </c>
      <c r="D72" s="7" t="s">
        <v>1616</v>
      </c>
      <c r="E72" s="7" t="s">
        <v>1527</v>
      </c>
      <c r="F72" s="7">
        <v>190000</v>
      </c>
      <c r="G72" s="7">
        <v>19</v>
      </c>
      <c r="H72" s="7">
        <v>0</v>
      </c>
      <c r="I72" s="7">
        <v>0</v>
      </c>
      <c r="K72" s="7" t="s">
        <v>1617</v>
      </c>
      <c r="L72" s="7">
        <v>151430</v>
      </c>
      <c r="M72" s="7">
        <v>15</v>
      </c>
      <c r="N72" s="7">
        <v>14</v>
      </c>
      <c r="O72" s="7">
        <v>30</v>
      </c>
    </row>
    <row r="73" spans="1:15">
      <c r="A73" s="7" t="s">
        <v>1606</v>
      </c>
      <c r="B73" s="7" t="s">
        <v>1496</v>
      </c>
      <c r="C73" s="7" t="s">
        <v>1607</v>
      </c>
      <c r="E73" s="7" t="s">
        <v>1618</v>
      </c>
      <c r="F73" s="7">
        <v>191000</v>
      </c>
      <c r="G73" s="7">
        <v>19</v>
      </c>
      <c r="H73" s="7">
        <v>10</v>
      </c>
      <c r="I73" s="7">
        <v>0</v>
      </c>
      <c r="K73" s="7" t="s">
        <v>1619</v>
      </c>
      <c r="L73" s="7">
        <v>151500</v>
      </c>
      <c r="M73" s="7">
        <v>15</v>
      </c>
      <c r="N73" s="7">
        <v>15</v>
      </c>
      <c r="O73" s="7">
        <v>0</v>
      </c>
    </row>
    <row r="74" spans="1:15">
      <c r="A74" s="7" t="s">
        <v>1606</v>
      </c>
      <c r="B74" s="7" t="s">
        <v>1496</v>
      </c>
      <c r="C74" s="7" t="s">
        <v>1607</v>
      </c>
      <c r="E74" s="7" t="s">
        <v>1620</v>
      </c>
      <c r="F74" s="7">
        <v>191100</v>
      </c>
      <c r="G74" s="7">
        <v>19</v>
      </c>
      <c r="H74" s="7">
        <v>11</v>
      </c>
      <c r="I74" s="7">
        <v>0</v>
      </c>
      <c r="K74" s="7" t="s">
        <v>1621</v>
      </c>
      <c r="L74" s="7">
        <v>151510</v>
      </c>
      <c r="M74" s="7">
        <v>15</v>
      </c>
      <c r="N74" s="7">
        <v>15</v>
      </c>
      <c r="O74" s="7">
        <v>10</v>
      </c>
    </row>
    <row r="75" spans="1:15">
      <c r="A75" s="7" t="s">
        <v>1606</v>
      </c>
      <c r="B75" s="7" t="s">
        <v>1496</v>
      </c>
      <c r="C75" s="7" t="s">
        <v>1607</v>
      </c>
      <c r="E75" s="7" t="s">
        <v>1622</v>
      </c>
      <c r="F75" s="7">
        <v>191200</v>
      </c>
      <c r="G75" s="7">
        <v>19</v>
      </c>
      <c r="H75" s="7">
        <v>12</v>
      </c>
      <c r="I75" s="7">
        <v>0</v>
      </c>
      <c r="K75" s="7" t="s">
        <v>1623</v>
      </c>
      <c r="L75" s="7">
        <v>151520</v>
      </c>
      <c r="M75" s="7">
        <v>15</v>
      </c>
      <c r="N75" s="7">
        <v>15</v>
      </c>
      <c r="O75" s="7">
        <v>20</v>
      </c>
    </row>
    <row r="76" spans="1:15">
      <c r="A76" s="7" t="s">
        <v>1606</v>
      </c>
      <c r="B76" s="7" t="s">
        <v>1496</v>
      </c>
      <c r="C76" s="7" t="s">
        <v>1607</v>
      </c>
      <c r="E76" s="7" t="s">
        <v>1512</v>
      </c>
      <c r="F76" s="7">
        <v>191300</v>
      </c>
      <c r="G76" s="7">
        <v>19</v>
      </c>
      <c r="H76" s="7">
        <v>13</v>
      </c>
      <c r="I76" s="7">
        <v>0</v>
      </c>
      <c r="K76" s="7" t="s">
        <v>1624</v>
      </c>
      <c r="L76" s="7">
        <v>151530</v>
      </c>
      <c r="M76" s="7">
        <v>15</v>
      </c>
      <c r="N76" s="7">
        <v>15</v>
      </c>
      <c r="O76" s="7">
        <v>30</v>
      </c>
    </row>
    <row r="77" spans="1:15">
      <c r="A77" s="7" t="s">
        <v>1606</v>
      </c>
      <c r="B77" s="7" t="s">
        <v>1496</v>
      </c>
      <c r="C77" s="7" t="s">
        <v>1607</v>
      </c>
      <c r="E77" s="7" t="s">
        <v>1625</v>
      </c>
      <c r="F77" s="7">
        <v>191400</v>
      </c>
      <c r="G77" s="7">
        <v>19</v>
      </c>
      <c r="H77" s="7">
        <v>14</v>
      </c>
      <c r="I77" s="7">
        <v>0</v>
      </c>
      <c r="K77" s="7" t="s">
        <v>1569</v>
      </c>
      <c r="L77" s="7">
        <v>152000</v>
      </c>
      <c r="M77" s="7">
        <v>15</v>
      </c>
      <c r="N77" s="7">
        <v>20</v>
      </c>
      <c r="O77" s="7">
        <v>0</v>
      </c>
    </row>
    <row r="78" spans="1:15">
      <c r="A78" s="7" t="s">
        <v>1606</v>
      </c>
      <c r="B78" s="7" t="s">
        <v>1496</v>
      </c>
      <c r="C78" s="7" t="s">
        <v>1607</v>
      </c>
      <c r="E78" s="7" t="s">
        <v>1552</v>
      </c>
      <c r="F78" s="7">
        <v>191600</v>
      </c>
      <c r="G78" s="7">
        <v>19</v>
      </c>
      <c r="H78" s="7">
        <v>16</v>
      </c>
      <c r="I78" s="7">
        <v>0</v>
      </c>
      <c r="K78" s="7" t="s">
        <v>1571</v>
      </c>
      <c r="L78" s="7">
        <v>152100</v>
      </c>
      <c r="M78" s="7">
        <v>15</v>
      </c>
      <c r="N78" s="7">
        <v>21</v>
      </c>
      <c r="O78" s="7">
        <v>0</v>
      </c>
    </row>
    <row r="79" spans="1:15">
      <c r="A79" s="7" t="s">
        <v>1606</v>
      </c>
      <c r="B79" s="7" t="s">
        <v>1496</v>
      </c>
      <c r="C79" s="7" t="s">
        <v>1607</v>
      </c>
      <c r="E79" s="7" t="s">
        <v>1626</v>
      </c>
      <c r="F79" s="7">
        <v>191800</v>
      </c>
      <c r="G79" s="7">
        <v>19</v>
      </c>
      <c r="H79" s="7">
        <v>18</v>
      </c>
      <c r="I79" s="7">
        <v>0</v>
      </c>
      <c r="K79" s="7" t="s">
        <v>1573</v>
      </c>
      <c r="L79" s="7">
        <v>152200</v>
      </c>
      <c r="M79" s="7">
        <v>15</v>
      </c>
      <c r="N79" s="7">
        <v>22</v>
      </c>
      <c r="O79" s="7">
        <v>0</v>
      </c>
    </row>
    <row r="80" spans="1:15">
      <c r="A80" s="7" t="s">
        <v>1606</v>
      </c>
      <c r="B80" s="7" t="s">
        <v>1496</v>
      </c>
      <c r="C80" s="7" t="s">
        <v>1607</v>
      </c>
      <c r="E80" s="7" t="s">
        <v>1627</v>
      </c>
      <c r="F80" s="7">
        <v>192100</v>
      </c>
      <c r="G80" s="7">
        <v>19</v>
      </c>
      <c r="H80" s="7">
        <v>21</v>
      </c>
      <c r="I80" s="7">
        <v>0</v>
      </c>
      <c r="K80" s="7" t="s">
        <v>1575</v>
      </c>
      <c r="L80" s="7">
        <v>152300</v>
      </c>
      <c r="M80" s="7">
        <v>15</v>
      </c>
      <c r="N80" s="7">
        <v>23</v>
      </c>
      <c r="O80" s="7">
        <v>0</v>
      </c>
    </row>
    <row r="81" spans="1:15">
      <c r="A81" s="7" t="s">
        <v>1606</v>
      </c>
      <c r="B81" s="7" t="s">
        <v>1496</v>
      </c>
      <c r="C81" s="7" t="s">
        <v>1607</v>
      </c>
      <c r="E81" s="7" t="s">
        <v>1628</v>
      </c>
      <c r="F81" s="7">
        <v>192200</v>
      </c>
      <c r="G81" s="7">
        <v>19</v>
      </c>
      <c r="H81" s="7">
        <v>22</v>
      </c>
      <c r="I81" s="7">
        <v>0</v>
      </c>
      <c r="K81" s="7" t="s">
        <v>1577</v>
      </c>
      <c r="L81" s="7">
        <v>152400</v>
      </c>
      <c r="M81" s="7">
        <v>15</v>
      </c>
      <c r="N81" s="7">
        <v>24</v>
      </c>
      <c r="O81" s="7">
        <v>0</v>
      </c>
    </row>
    <row r="82" spans="1:15">
      <c r="A82" s="7" t="s">
        <v>1606</v>
      </c>
      <c r="B82" s="7" t="s">
        <v>1496</v>
      </c>
      <c r="C82" s="7" t="s">
        <v>1607</v>
      </c>
      <c r="E82" s="7" t="s">
        <v>1629</v>
      </c>
      <c r="F82" s="7">
        <v>192300</v>
      </c>
      <c r="G82" s="7">
        <v>19</v>
      </c>
      <c r="H82" s="7">
        <v>23</v>
      </c>
      <c r="I82" s="7">
        <v>0</v>
      </c>
      <c r="K82" s="7" t="s">
        <v>1579</v>
      </c>
      <c r="L82" s="7">
        <v>152500</v>
      </c>
      <c r="M82" s="7">
        <v>15</v>
      </c>
      <c r="N82" s="7">
        <v>25</v>
      </c>
      <c r="O82" s="7">
        <v>0</v>
      </c>
    </row>
    <row r="83" spans="1:15">
      <c r="A83" s="7" t="s">
        <v>1606</v>
      </c>
      <c r="B83" s="7" t="s">
        <v>1496</v>
      </c>
      <c r="C83" s="7" t="s">
        <v>1607</v>
      </c>
      <c r="D83" s="7" t="s">
        <v>1630</v>
      </c>
      <c r="E83" s="7" t="s">
        <v>1519</v>
      </c>
      <c r="F83" s="7">
        <v>200000</v>
      </c>
      <c r="G83" s="7">
        <v>20</v>
      </c>
      <c r="H83" s="7">
        <v>0</v>
      </c>
      <c r="I83" s="7">
        <v>0</v>
      </c>
      <c r="K83" s="7" t="s">
        <v>1631</v>
      </c>
      <c r="L83" s="7">
        <v>151240</v>
      </c>
      <c r="M83" s="7">
        <v>15</v>
      </c>
      <c r="N83" s="7">
        <v>12</v>
      </c>
      <c r="O83" s="7">
        <v>40</v>
      </c>
    </row>
    <row r="84" spans="1:15">
      <c r="A84" s="7" t="s">
        <v>1606</v>
      </c>
      <c r="B84" s="7" t="s">
        <v>1496</v>
      </c>
      <c r="C84" s="7" t="s">
        <v>1607</v>
      </c>
      <c r="E84" s="7" t="s">
        <v>1501</v>
      </c>
      <c r="F84" s="7">
        <v>201000</v>
      </c>
      <c r="G84" s="7">
        <v>20</v>
      </c>
      <c r="H84" s="7">
        <v>10</v>
      </c>
      <c r="I84" s="7">
        <v>0</v>
      </c>
      <c r="K84" s="7" t="s">
        <v>1632</v>
      </c>
      <c r="L84" s="7">
        <v>151900</v>
      </c>
      <c r="M84" s="7">
        <v>15</v>
      </c>
      <c r="N84" s="7">
        <v>19</v>
      </c>
      <c r="O84" s="7">
        <v>0</v>
      </c>
    </row>
    <row r="85" spans="1:15">
      <c r="A85" s="7" t="s">
        <v>1606</v>
      </c>
      <c r="B85" s="7" t="s">
        <v>1496</v>
      </c>
      <c r="C85" s="7" t="s">
        <v>1607</v>
      </c>
      <c r="D85" s="7" t="s">
        <v>1633</v>
      </c>
      <c r="E85" s="7" t="s">
        <v>1516</v>
      </c>
      <c r="F85" s="7">
        <v>210000</v>
      </c>
      <c r="G85" s="7">
        <v>21</v>
      </c>
      <c r="H85" s="7">
        <v>0</v>
      </c>
      <c r="I85" s="7">
        <v>0</v>
      </c>
      <c r="K85" s="7" t="s">
        <v>1634</v>
      </c>
      <c r="L85" s="7">
        <v>151210</v>
      </c>
      <c r="M85" s="7">
        <v>15</v>
      </c>
      <c r="N85" s="7">
        <v>12</v>
      </c>
      <c r="O85" s="7">
        <v>10</v>
      </c>
    </row>
    <row r="86" spans="1:15">
      <c r="A86" s="7" t="s">
        <v>1606</v>
      </c>
      <c r="B86" s="7" t="s">
        <v>1496</v>
      </c>
      <c r="C86" s="7" t="s">
        <v>1607</v>
      </c>
      <c r="E86" s="7" t="s">
        <v>1635</v>
      </c>
      <c r="F86" s="7">
        <v>211000</v>
      </c>
      <c r="G86" s="7">
        <v>21</v>
      </c>
      <c r="H86" s="7">
        <v>10</v>
      </c>
      <c r="I86" s="7">
        <v>0</v>
      </c>
      <c r="K86" s="7" t="s">
        <v>1636</v>
      </c>
      <c r="L86" s="7">
        <v>151220</v>
      </c>
      <c r="M86" s="7">
        <v>15</v>
      </c>
      <c r="N86" s="7">
        <v>12</v>
      </c>
      <c r="O86" s="7">
        <v>20</v>
      </c>
    </row>
    <row r="87" spans="1:15">
      <c r="A87" s="7" t="s">
        <v>1606</v>
      </c>
      <c r="B87" s="7" t="s">
        <v>1496</v>
      </c>
      <c r="C87" s="7" t="s">
        <v>1607</v>
      </c>
      <c r="E87" s="7" t="s">
        <v>145</v>
      </c>
      <c r="F87" s="7">
        <v>211100</v>
      </c>
      <c r="G87" s="7">
        <v>21</v>
      </c>
      <c r="H87" s="7">
        <v>11</v>
      </c>
      <c r="I87" s="7">
        <v>0</v>
      </c>
      <c r="K87" s="7" t="s">
        <v>1637</v>
      </c>
      <c r="L87" s="7">
        <v>151230</v>
      </c>
      <c r="M87" s="7">
        <v>15</v>
      </c>
      <c r="N87" s="7">
        <v>12</v>
      </c>
      <c r="O87" s="7">
        <v>30</v>
      </c>
    </row>
    <row r="88" spans="1:15">
      <c r="A88" s="7" t="s">
        <v>1606</v>
      </c>
      <c r="B88" s="7" t="s">
        <v>1496</v>
      </c>
      <c r="C88" s="7" t="s">
        <v>1607</v>
      </c>
      <c r="E88" s="7" t="s">
        <v>1554</v>
      </c>
      <c r="F88" s="7">
        <v>211300</v>
      </c>
      <c r="G88" s="7">
        <v>21</v>
      </c>
      <c r="H88" s="7">
        <v>13</v>
      </c>
      <c r="I88" s="7">
        <v>0</v>
      </c>
      <c r="K88" s="7" t="s">
        <v>1638</v>
      </c>
      <c r="L88" s="7">
        <v>151100</v>
      </c>
      <c r="M88" s="7">
        <v>15</v>
      </c>
      <c r="N88" s="7">
        <v>11</v>
      </c>
      <c r="O88" s="7">
        <v>0</v>
      </c>
    </row>
    <row r="89" spans="1:15">
      <c r="A89" s="7" t="s">
        <v>1606</v>
      </c>
      <c r="B89" s="7" t="s">
        <v>1496</v>
      </c>
      <c r="C89" s="7" t="s">
        <v>1607</v>
      </c>
      <c r="E89" s="7" t="s">
        <v>1557</v>
      </c>
      <c r="F89" s="7">
        <v>211400</v>
      </c>
      <c r="G89" s="7">
        <v>21</v>
      </c>
      <c r="H89" s="7">
        <v>14</v>
      </c>
      <c r="I89" s="7">
        <v>0</v>
      </c>
      <c r="K89" s="7" t="s">
        <v>1639</v>
      </c>
      <c r="L89" s="7">
        <v>151150</v>
      </c>
      <c r="M89" s="7">
        <v>15</v>
      </c>
      <c r="N89" s="7">
        <v>11</v>
      </c>
      <c r="O89" s="7">
        <v>50</v>
      </c>
    </row>
    <row r="90" spans="1:15">
      <c r="A90" s="7" t="s">
        <v>1606</v>
      </c>
      <c r="B90" s="7" t="s">
        <v>1496</v>
      </c>
      <c r="C90" s="7" t="s">
        <v>1607</v>
      </c>
      <c r="E90" s="7" t="s">
        <v>1626</v>
      </c>
      <c r="F90" s="7">
        <v>211500</v>
      </c>
      <c r="G90" s="7">
        <v>21</v>
      </c>
      <c r="H90" s="7">
        <v>15</v>
      </c>
      <c r="I90" s="7">
        <v>0</v>
      </c>
      <c r="K90" s="7" t="s">
        <v>1640</v>
      </c>
      <c r="L90" s="7">
        <v>151800</v>
      </c>
      <c r="M90" s="7">
        <v>15</v>
      </c>
      <c r="N90" s="7">
        <v>18</v>
      </c>
      <c r="O90" s="7">
        <v>0</v>
      </c>
    </row>
    <row r="91" spans="1:15">
      <c r="A91" s="7" t="s">
        <v>1606</v>
      </c>
      <c r="B91" s="7" t="s">
        <v>1496</v>
      </c>
      <c r="C91" s="7" t="s">
        <v>1607</v>
      </c>
      <c r="E91" s="7" t="s">
        <v>1629</v>
      </c>
      <c r="F91" s="7">
        <v>211600</v>
      </c>
      <c r="G91" s="7">
        <v>21</v>
      </c>
      <c r="H91" s="7">
        <v>16</v>
      </c>
      <c r="I91" s="7">
        <v>0</v>
      </c>
      <c r="K91" s="7" t="s">
        <v>1499</v>
      </c>
      <c r="L91" s="7">
        <v>160000</v>
      </c>
      <c r="M91" s="7">
        <v>16</v>
      </c>
      <c r="N91" s="7">
        <v>0</v>
      </c>
      <c r="O91" s="7">
        <v>0</v>
      </c>
    </row>
    <row r="92" spans="1:15">
      <c r="A92" s="7" t="s">
        <v>1606</v>
      </c>
      <c r="B92" s="7" t="s">
        <v>1496</v>
      </c>
      <c r="C92" s="7" t="s">
        <v>1607</v>
      </c>
      <c r="D92" s="7" t="s">
        <v>1641</v>
      </c>
      <c r="E92" s="7" t="s">
        <v>1642</v>
      </c>
      <c r="F92" s="7">
        <v>220000</v>
      </c>
      <c r="G92" s="7">
        <v>22</v>
      </c>
      <c r="H92" s="7">
        <v>0</v>
      </c>
      <c r="I92" s="7">
        <v>0</v>
      </c>
      <c r="K92" s="7" t="s">
        <v>1501</v>
      </c>
      <c r="L92" s="7">
        <v>161000</v>
      </c>
      <c r="M92" s="7">
        <v>16</v>
      </c>
      <c r="N92" s="7">
        <v>10</v>
      </c>
      <c r="O92" s="7">
        <v>0</v>
      </c>
    </row>
    <row r="93" spans="1:15">
      <c r="A93" s="7" t="s">
        <v>1606</v>
      </c>
      <c r="B93" s="7" t="s">
        <v>1496</v>
      </c>
      <c r="C93" s="7" t="s">
        <v>1607</v>
      </c>
      <c r="E93" s="7" t="s">
        <v>1552</v>
      </c>
      <c r="F93" s="7">
        <v>221000</v>
      </c>
      <c r="G93" s="7">
        <v>22</v>
      </c>
      <c r="H93" s="7">
        <v>10</v>
      </c>
      <c r="I93" s="7">
        <v>0</v>
      </c>
      <c r="K93" s="7" t="s">
        <v>1502</v>
      </c>
      <c r="L93" s="7">
        <v>161200</v>
      </c>
      <c r="M93" s="7">
        <v>16</v>
      </c>
      <c r="N93" s="7">
        <v>12</v>
      </c>
      <c r="O93" s="7">
        <v>0</v>
      </c>
    </row>
    <row r="94" spans="1:15">
      <c r="A94" s="7" t="s">
        <v>1606</v>
      </c>
      <c r="B94" s="7" t="s">
        <v>1496</v>
      </c>
      <c r="C94" s="7" t="s">
        <v>1607</v>
      </c>
      <c r="E94" s="7" t="s">
        <v>1626</v>
      </c>
      <c r="F94" s="7">
        <v>221100</v>
      </c>
      <c r="G94" s="7">
        <v>22</v>
      </c>
      <c r="H94" s="7">
        <v>11</v>
      </c>
      <c r="I94" s="7">
        <v>0</v>
      </c>
      <c r="K94" s="7" t="s">
        <v>1504</v>
      </c>
      <c r="L94" s="7">
        <v>161300</v>
      </c>
      <c r="M94" s="7">
        <v>16</v>
      </c>
      <c r="N94" s="7">
        <v>13</v>
      </c>
      <c r="O94" s="7">
        <v>0</v>
      </c>
    </row>
    <row r="95" spans="1:15">
      <c r="A95" s="7" t="s">
        <v>1606</v>
      </c>
      <c r="B95" s="7" t="s">
        <v>1496</v>
      </c>
      <c r="C95" s="7" t="s">
        <v>1607</v>
      </c>
      <c r="E95" s="7" t="s">
        <v>1629</v>
      </c>
      <c r="F95" s="7">
        <v>221200</v>
      </c>
      <c r="G95" s="7">
        <v>22</v>
      </c>
      <c r="H95" s="7">
        <v>12</v>
      </c>
      <c r="I95" s="7">
        <v>0</v>
      </c>
      <c r="K95" s="7" t="s">
        <v>1506</v>
      </c>
      <c r="L95" s="7">
        <v>161400</v>
      </c>
      <c r="M95" s="7">
        <v>16</v>
      </c>
      <c r="N95" s="7">
        <v>14</v>
      </c>
      <c r="O95" s="7">
        <v>0</v>
      </c>
    </row>
    <row r="96" spans="1:15">
      <c r="A96" s="7" t="s">
        <v>1606</v>
      </c>
      <c r="B96" s="7" t="s">
        <v>1496</v>
      </c>
      <c r="C96" s="7" t="s">
        <v>1607</v>
      </c>
      <c r="E96" s="7" t="s">
        <v>1557</v>
      </c>
      <c r="F96" s="7">
        <v>221300</v>
      </c>
      <c r="G96" s="7">
        <v>22</v>
      </c>
      <c r="H96" s="7">
        <v>13</v>
      </c>
      <c r="I96" s="7">
        <v>0</v>
      </c>
      <c r="K96" s="7" t="s">
        <v>1508</v>
      </c>
      <c r="L96" s="7">
        <v>161500</v>
      </c>
      <c r="M96" s="7">
        <v>16</v>
      </c>
      <c r="N96" s="7">
        <v>15</v>
      </c>
      <c r="O96" s="7">
        <v>0</v>
      </c>
    </row>
    <row r="97" spans="1:15">
      <c r="A97" s="7" t="s">
        <v>1606</v>
      </c>
      <c r="B97" s="7" t="s">
        <v>1496</v>
      </c>
      <c r="C97" s="7" t="s">
        <v>1607</v>
      </c>
      <c r="E97" s="7" t="s">
        <v>1643</v>
      </c>
      <c r="F97" s="7">
        <v>221400</v>
      </c>
      <c r="G97" s="7">
        <v>22</v>
      </c>
      <c r="H97" s="7">
        <v>14</v>
      </c>
      <c r="I97" s="7">
        <v>0</v>
      </c>
      <c r="K97" s="7" t="s">
        <v>1510</v>
      </c>
      <c r="L97" s="7">
        <v>161600</v>
      </c>
      <c r="M97" s="7">
        <v>16</v>
      </c>
      <c r="N97" s="7">
        <v>16</v>
      </c>
      <c r="O97" s="7">
        <v>0</v>
      </c>
    </row>
    <row r="98" spans="1:15">
      <c r="A98" s="7" t="s">
        <v>1606</v>
      </c>
      <c r="B98" s="7" t="s">
        <v>1496</v>
      </c>
      <c r="C98" s="7" t="s">
        <v>1607</v>
      </c>
      <c r="D98" s="7" t="s">
        <v>1644</v>
      </c>
      <c r="E98" s="7" t="s">
        <v>1645</v>
      </c>
      <c r="F98" s="7">
        <v>780000</v>
      </c>
      <c r="G98" s="7">
        <v>78</v>
      </c>
      <c r="H98" s="7">
        <v>0</v>
      </c>
      <c r="I98" s="7">
        <v>0</v>
      </c>
      <c r="K98" s="7" t="s">
        <v>1512</v>
      </c>
      <c r="L98" s="7">
        <v>161700</v>
      </c>
      <c r="M98" s="7">
        <v>16</v>
      </c>
      <c r="N98" s="7">
        <v>17</v>
      </c>
      <c r="O98" s="7">
        <v>0</v>
      </c>
    </row>
    <row r="99" spans="1:15">
      <c r="A99" s="7" t="s">
        <v>1606</v>
      </c>
      <c r="B99" s="7" t="s">
        <v>1496</v>
      </c>
      <c r="C99" s="7" t="s">
        <v>1607</v>
      </c>
      <c r="E99" s="7" t="s">
        <v>1501</v>
      </c>
      <c r="F99" s="7">
        <v>781000</v>
      </c>
      <c r="G99" s="7">
        <v>78</v>
      </c>
      <c r="H99" s="7">
        <v>10</v>
      </c>
      <c r="I99" s="7">
        <v>0</v>
      </c>
      <c r="K99" s="7" t="s">
        <v>1514</v>
      </c>
      <c r="L99" s="7">
        <v>161800</v>
      </c>
      <c r="M99" s="7">
        <v>16</v>
      </c>
      <c r="N99" s="7">
        <v>18</v>
      </c>
      <c r="O99" s="7">
        <v>0</v>
      </c>
    </row>
    <row r="100" spans="1:15">
      <c r="A100" s="7" t="s">
        <v>1606</v>
      </c>
      <c r="B100" s="7" t="s">
        <v>1496</v>
      </c>
      <c r="C100" s="7" t="s">
        <v>1607</v>
      </c>
      <c r="D100" s="7" t="s">
        <v>1646</v>
      </c>
      <c r="E100" s="7" t="s">
        <v>1523</v>
      </c>
      <c r="F100" s="7">
        <v>790000</v>
      </c>
      <c r="G100" s="7">
        <v>79</v>
      </c>
      <c r="H100" s="7">
        <v>0</v>
      </c>
      <c r="I100" s="7">
        <v>0</v>
      </c>
      <c r="K100" s="7" t="s">
        <v>1516</v>
      </c>
      <c r="L100" s="7">
        <v>162200</v>
      </c>
      <c r="M100" s="7">
        <v>16</v>
      </c>
      <c r="N100" s="7">
        <v>22</v>
      </c>
      <c r="O100" s="7">
        <v>0</v>
      </c>
    </row>
    <row r="101" spans="1:15">
      <c r="A101" s="7" t="s">
        <v>1606</v>
      </c>
      <c r="B101" s="7" t="s">
        <v>1496</v>
      </c>
      <c r="C101" s="7" t="s">
        <v>1607</v>
      </c>
      <c r="D101" s="7" t="s">
        <v>1647</v>
      </c>
      <c r="E101" s="7" t="s">
        <v>1648</v>
      </c>
      <c r="F101" s="7">
        <v>800000</v>
      </c>
      <c r="G101" s="7">
        <v>80</v>
      </c>
      <c r="H101" s="7">
        <v>0</v>
      </c>
      <c r="I101" s="7">
        <v>0</v>
      </c>
      <c r="K101" s="7" t="s">
        <v>1649</v>
      </c>
      <c r="L101" s="7">
        <v>161100</v>
      </c>
      <c r="M101" s="7">
        <v>16</v>
      </c>
      <c r="N101" s="7">
        <v>11</v>
      </c>
      <c r="O101" s="7">
        <v>0</v>
      </c>
    </row>
    <row r="102" spans="1:15">
      <c r="A102" s="7" t="s">
        <v>1606</v>
      </c>
      <c r="B102" s="7" t="s">
        <v>1496</v>
      </c>
      <c r="C102" s="7" t="s">
        <v>1607</v>
      </c>
      <c r="E102" s="7" t="s">
        <v>1650</v>
      </c>
      <c r="F102" s="7">
        <v>800010</v>
      </c>
      <c r="G102" s="7">
        <v>80</v>
      </c>
      <c r="H102" s="7">
        <v>0</v>
      </c>
      <c r="I102" s="7">
        <v>10</v>
      </c>
      <c r="K102" s="7" t="s">
        <v>1651</v>
      </c>
      <c r="L102" s="7">
        <v>161110</v>
      </c>
      <c r="M102" s="7">
        <v>16</v>
      </c>
      <c r="N102" s="7">
        <v>11</v>
      </c>
      <c r="O102" s="7">
        <v>10</v>
      </c>
    </row>
    <row r="103" spans="1:15">
      <c r="A103" s="7" t="s">
        <v>1606</v>
      </c>
      <c r="B103" s="7" t="s">
        <v>1496</v>
      </c>
      <c r="C103" s="7" t="s">
        <v>1607</v>
      </c>
      <c r="E103" s="7" t="s">
        <v>1652</v>
      </c>
      <c r="F103" s="7">
        <v>800020</v>
      </c>
      <c r="G103" s="7">
        <v>80</v>
      </c>
      <c r="H103" s="7">
        <v>0</v>
      </c>
      <c r="I103" s="7">
        <v>20</v>
      </c>
      <c r="K103" s="7" t="s">
        <v>1618</v>
      </c>
      <c r="L103" s="7">
        <v>162300</v>
      </c>
      <c r="M103" s="7">
        <v>16</v>
      </c>
      <c r="N103" s="7">
        <v>23</v>
      </c>
      <c r="O103" s="7">
        <v>0</v>
      </c>
    </row>
    <row r="104" spans="1:15">
      <c r="A104" s="7" t="s">
        <v>1606</v>
      </c>
      <c r="B104" s="7" t="s">
        <v>1496</v>
      </c>
      <c r="C104" s="7" t="s">
        <v>1607</v>
      </c>
      <c r="E104" s="7" t="s">
        <v>1653</v>
      </c>
      <c r="F104" s="7">
        <v>800030</v>
      </c>
      <c r="G104" s="7">
        <v>80</v>
      </c>
      <c r="H104" s="7">
        <v>0</v>
      </c>
      <c r="I104" s="7">
        <v>30</v>
      </c>
      <c r="K104" s="7" t="s">
        <v>1654</v>
      </c>
      <c r="L104" s="7">
        <v>162400</v>
      </c>
      <c r="M104" s="7">
        <v>16</v>
      </c>
      <c r="N104" s="7">
        <v>24</v>
      </c>
      <c r="O104" s="7">
        <v>0</v>
      </c>
    </row>
    <row r="105" spans="1:15">
      <c r="A105" s="7" t="s">
        <v>1606</v>
      </c>
      <c r="B105" s="7" t="s">
        <v>1496</v>
      </c>
      <c r="C105" s="7" t="s">
        <v>1607</v>
      </c>
      <c r="E105" s="7" t="s">
        <v>1655</v>
      </c>
      <c r="F105" s="7">
        <v>800040</v>
      </c>
      <c r="G105" s="7">
        <v>80</v>
      </c>
      <c r="H105" s="7">
        <v>0</v>
      </c>
      <c r="I105" s="7">
        <v>40</v>
      </c>
      <c r="K105" s="7" t="s">
        <v>1656</v>
      </c>
      <c r="L105" s="7">
        <v>162500</v>
      </c>
      <c r="M105" s="7">
        <v>16</v>
      </c>
      <c r="N105" s="7">
        <v>25</v>
      </c>
      <c r="O105" s="7">
        <v>0</v>
      </c>
    </row>
    <row r="106" spans="1:15">
      <c r="A106" s="7" t="s">
        <v>1606</v>
      </c>
      <c r="B106" s="7" t="s">
        <v>1496</v>
      </c>
      <c r="C106" s="7" t="s">
        <v>1607</v>
      </c>
      <c r="E106" s="7" t="s">
        <v>1657</v>
      </c>
      <c r="F106" s="7">
        <v>800050</v>
      </c>
      <c r="G106" s="7">
        <v>80</v>
      </c>
      <c r="H106" s="7">
        <v>0</v>
      </c>
      <c r="I106" s="7">
        <v>50</v>
      </c>
      <c r="K106" s="7" t="s">
        <v>1521</v>
      </c>
      <c r="L106" s="7">
        <v>170000</v>
      </c>
      <c r="M106" s="7">
        <v>17</v>
      </c>
      <c r="N106" s="7">
        <v>0</v>
      </c>
      <c r="O106" s="7">
        <v>0</v>
      </c>
    </row>
    <row r="107" spans="1:15">
      <c r="A107" s="7" t="s">
        <v>1606</v>
      </c>
      <c r="B107" s="7" t="s">
        <v>1496</v>
      </c>
      <c r="C107" s="7" t="s">
        <v>1607</v>
      </c>
      <c r="E107" s="7" t="s">
        <v>1658</v>
      </c>
      <c r="F107" s="7">
        <v>800055</v>
      </c>
      <c r="G107" s="7">
        <v>80</v>
      </c>
      <c r="H107" s="7">
        <v>0</v>
      </c>
      <c r="I107" s="7">
        <v>55</v>
      </c>
      <c r="K107" s="7" t="s">
        <v>1531</v>
      </c>
      <c r="L107" s="7">
        <v>171510</v>
      </c>
      <c r="M107" s="7">
        <v>17</v>
      </c>
      <c r="N107" s="7">
        <v>15</v>
      </c>
      <c r="O107" s="7">
        <v>10</v>
      </c>
    </row>
    <row r="108" spans="1:15">
      <c r="A108" s="7" t="s">
        <v>1606</v>
      </c>
      <c r="B108" s="7" t="s">
        <v>1496</v>
      </c>
      <c r="C108" s="7" t="s">
        <v>1607</v>
      </c>
      <c r="E108" s="7" t="s">
        <v>1659</v>
      </c>
      <c r="F108" s="7">
        <v>800060</v>
      </c>
      <c r="G108" s="7">
        <v>80</v>
      </c>
      <c r="H108" s="7">
        <v>0</v>
      </c>
      <c r="I108" s="7">
        <v>60</v>
      </c>
      <c r="K108" s="7" t="s">
        <v>1660</v>
      </c>
      <c r="L108" s="7">
        <v>171000</v>
      </c>
      <c r="M108" s="7">
        <v>17</v>
      </c>
      <c r="N108" s="7">
        <v>10</v>
      </c>
      <c r="O108" s="7">
        <v>0</v>
      </c>
    </row>
    <row r="109" spans="1:15">
      <c r="A109" s="7" t="s">
        <v>1606</v>
      </c>
      <c r="B109" s="7" t="s">
        <v>1496</v>
      </c>
      <c r="C109" s="7" t="s">
        <v>1607</v>
      </c>
      <c r="E109" s="7" t="s">
        <v>1661</v>
      </c>
      <c r="F109" s="7">
        <v>800065</v>
      </c>
      <c r="G109" s="7">
        <v>80</v>
      </c>
      <c r="H109" s="7">
        <v>0</v>
      </c>
      <c r="I109" s="7">
        <v>65</v>
      </c>
      <c r="K109" s="7" t="s">
        <v>1662</v>
      </c>
      <c r="L109" s="7">
        <v>171100</v>
      </c>
      <c r="M109" s="7">
        <v>17</v>
      </c>
      <c r="N109" s="7">
        <v>11</v>
      </c>
      <c r="O109" s="7">
        <v>0</v>
      </c>
    </row>
    <row r="110" spans="1:15">
      <c r="A110" s="7" t="s">
        <v>1606</v>
      </c>
      <c r="B110" s="7" t="s">
        <v>1496</v>
      </c>
      <c r="C110" s="7" t="s">
        <v>1607</v>
      </c>
      <c r="E110" s="7" t="s">
        <v>1663</v>
      </c>
      <c r="F110" s="7">
        <v>800070</v>
      </c>
      <c r="G110" s="7">
        <v>80</v>
      </c>
      <c r="H110" s="7">
        <v>0</v>
      </c>
      <c r="I110" s="7">
        <v>70</v>
      </c>
      <c r="K110" s="7" t="s">
        <v>1664</v>
      </c>
      <c r="L110" s="7">
        <v>171200</v>
      </c>
      <c r="M110" s="7">
        <v>17</v>
      </c>
      <c r="N110" s="7">
        <v>12</v>
      </c>
      <c r="O110" s="7">
        <v>0</v>
      </c>
    </row>
    <row r="111" spans="1:15">
      <c r="A111" s="7" t="s">
        <v>1606</v>
      </c>
      <c r="B111" s="7" t="s">
        <v>1496</v>
      </c>
      <c r="C111" s="7" t="s">
        <v>1607</v>
      </c>
      <c r="E111" s="7" t="s">
        <v>1665</v>
      </c>
      <c r="F111" s="7">
        <v>800075</v>
      </c>
      <c r="G111" s="7">
        <v>80</v>
      </c>
      <c r="H111" s="7">
        <v>0</v>
      </c>
      <c r="I111" s="7">
        <v>75</v>
      </c>
      <c r="K111" s="7" t="s">
        <v>1666</v>
      </c>
      <c r="L111" s="7">
        <v>171300</v>
      </c>
      <c r="M111" s="7">
        <v>17</v>
      </c>
      <c r="N111" s="7">
        <v>13</v>
      </c>
      <c r="O111" s="7">
        <v>0</v>
      </c>
    </row>
    <row r="112" spans="1:15">
      <c r="A112" s="7" t="s">
        <v>1606</v>
      </c>
      <c r="B112" s="7" t="s">
        <v>1496</v>
      </c>
      <c r="C112" s="7" t="s">
        <v>1607</v>
      </c>
      <c r="E112" s="7" t="s">
        <v>1667</v>
      </c>
      <c r="F112" s="7">
        <v>800080</v>
      </c>
      <c r="G112" s="7">
        <v>80</v>
      </c>
      <c r="H112" s="7">
        <v>0</v>
      </c>
      <c r="I112" s="7">
        <v>80</v>
      </c>
      <c r="K112" s="7" t="s">
        <v>1668</v>
      </c>
      <c r="L112" s="7">
        <v>171400</v>
      </c>
      <c r="M112" s="7">
        <v>17</v>
      </c>
      <c r="N112" s="7">
        <v>14</v>
      </c>
      <c r="O112" s="7">
        <v>0</v>
      </c>
    </row>
    <row r="113" spans="1:15">
      <c r="A113" s="7" t="s">
        <v>1606</v>
      </c>
      <c r="B113" s="7" t="s">
        <v>1496</v>
      </c>
      <c r="C113" s="7" t="s">
        <v>1607</v>
      </c>
      <c r="E113" s="7" t="s">
        <v>1669</v>
      </c>
      <c r="F113" s="7">
        <v>800085</v>
      </c>
      <c r="G113" s="7">
        <v>80</v>
      </c>
      <c r="H113" s="7">
        <v>0</v>
      </c>
      <c r="I113" s="7">
        <v>85</v>
      </c>
      <c r="K113" s="7" t="s">
        <v>1670</v>
      </c>
      <c r="L113" s="7">
        <v>171500</v>
      </c>
      <c r="M113" s="7">
        <v>17</v>
      </c>
      <c r="N113" s="7">
        <v>15</v>
      </c>
      <c r="O113" s="7">
        <v>0</v>
      </c>
    </row>
    <row r="114" spans="1:15">
      <c r="A114" s="7" t="s">
        <v>1606</v>
      </c>
      <c r="B114" s="7" t="s">
        <v>1496</v>
      </c>
      <c r="C114" s="7" t="s">
        <v>1607</v>
      </c>
      <c r="D114" s="7" t="s">
        <v>1671</v>
      </c>
      <c r="E114" s="7" t="s">
        <v>1672</v>
      </c>
      <c r="F114" s="7">
        <v>810000</v>
      </c>
      <c r="G114" s="7">
        <v>81</v>
      </c>
      <c r="H114" s="7">
        <v>0</v>
      </c>
      <c r="I114" s="7">
        <v>0</v>
      </c>
      <c r="K114" s="7" t="s">
        <v>1673</v>
      </c>
      <c r="L114" s="7">
        <v>171600</v>
      </c>
      <c r="M114" s="7">
        <v>17</v>
      </c>
      <c r="N114" s="7">
        <v>16</v>
      </c>
      <c r="O114" s="7">
        <v>0</v>
      </c>
    </row>
    <row r="115" spans="1:15">
      <c r="A115" s="7" t="s">
        <v>1606</v>
      </c>
      <c r="B115" s="7" t="s">
        <v>1496</v>
      </c>
      <c r="C115" s="7" t="s">
        <v>1607</v>
      </c>
      <c r="E115" s="7" t="s">
        <v>1650</v>
      </c>
      <c r="F115" s="7">
        <v>810010</v>
      </c>
      <c r="G115" s="7">
        <v>81</v>
      </c>
      <c r="H115" s="7">
        <v>0</v>
      </c>
      <c r="I115" s="7">
        <v>10</v>
      </c>
      <c r="K115" s="7" t="s">
        <v>1516</v>
      </c>
      <c r="L115" s="7">
        <v>171700</v>
      </c>
      <c r="M115" s="7">
        <v>17</v>
      </c>
      <c r="N115" s="7">
        <v>17</v>
      </c>
      <c r="O115" s="7">
        <v>0</v>
      </c>
    </row>
    <row r="116" spans="1:15">
      <c r="A116" s="7" t="s">
        <v>1606</v>
      </c>
      <c r="B116" s="7" t="s">
        <v>1496</v>
      </c>
      <c r="C116" s="7" t="s">
        <v>1607</v>
      </c>
      <c r="E116" s="7" t="s">
        <v>1652</v>
      </c>
      <c r="F116" s="7">
        <v>810020</v>
      </c>
      <c r="G116" s="7">
        <v>81</v>
      </c>
      <c r="H116" s="7">
        <v>0</v>
      </c>
      <c r="I116" s="7">
        <v>20</v>
      </c>
      <c r="K116" s="7" t="s">
        <v>1674</v>
      </c>
      <c r="L116" s="7">
        <v>171800</v>
      </c>
      <c r="M116" s="7">
        <v>17</v>
      </c>
      <c r="N116" s="7">
        <v>18</v>
      </c>
      <c r="O116" s="7">
        <v>0</v>
      </c>
    </row>
    <row r="117" spans="1:15">
      <c r="A117" s="7" t="s">
        <v>1606</v>
      </c>
      <c r="B117" s="7" t="s">
        <v>1496</v>
      </c>
      <c r="C117" s="7" t="s">
        <v>1607</v>
      </c>
      <c r="E117" s="7" t="s">
        <v>1653</v>
      </c>
      <c r="F117" s="7">
        <v>810030</v>
      </c>
      <c r="G117" s="7">
        <v>81</v>
      </c>
      <c r="H117" s="7">
        <v>0</v>
      </c>
      <c r="I117" s="7">
        <v>30</v>
      </c>
      <c r="K117" s="7" t="s">
        <v>1552</v>
      </c>
      <c r="L117" s="7">
        <v>171900</v>
      </c>
      <c r="M117" s="7">
        <v>17</v>
      </c>
      <c r="N117" s="7">
        <v>19</v>
      </c>
      <c r="O117" s="7">
        <v>0</v>
      </c>
    </row>
    <row r="118" spans="1:15">
      <c r="A118" s="7" t="s">
        <v>1606</v>
      </c>
      <c r="B118" s="7" t="s">
        <v>1496</v>
      </c>
      <c r="C118" s="7" t="s">
        <v>1607</v>
      </c>
      <c r="E118" s="7" t="s">
        <v>1655</v>
      </c>
      <c r="F118" s="7">
        <v>810040</v>
      </c>
      <c r="G118" s="7">
        <v>81</v>
      </c>
      <c r="H118" s="7">
        <v>0</v>
      </c>
      <c r="I118" s="7">
        <v>40</v>
      </c>
      <c r="K118" s="7" t="s">
        <v>1675</v>
      </c>
      <c r="L118" s="7">
        <v>171910</v>
      </c>
      <c r="M118" s="7">
        <v>17</v>
      </c>
      <c r="N118" s="7">
        <v>19</v>
      </c>
      <c r="O118" s="7">
        <v>10</v>
      </c>
    </row>
    <row r="119" spans="1:15">
      <c r="A119" s="7" t="s">
        <v>1606</v>
      </c>
      <c r="B119" s="7" t="s">
        <v>1496</v>
      </c>
      <c r="C119" s="7" t="s">
        <v>1607</v>
      </c>
      <c r="E119" s="7" t="s">
        <v>1676</v>
      </c>
      <c r="F119" s="7">
        <v>810045</v>
      </c>
      <c r="G119" s="7">
        <v>81</v>
      </c>
      <c r="H119" s="7">
        <v>0</v>
      </c>
      <c r="I119" s="7">
        <v>45</v>
      </c>
      <c r="K119" s="7" t="s">
        <v>1588</v>
      </c>
      <c r="L119" s="7">
        <v>172000</v>
      </c>
      <c r="M119" s="7">
        <v>17</v>
      </c>
      <c r="N119" s="7">
        <v>20</v>
      </c>
      <c r="O119" s="7">
        <v>0</v>
      </c>
    </row>
    <row r="120" spans="1:15">
      <c r="A120" s="7" t="s">
        <v>1606</v>
      </c>
      <c r="B120" s="7" t="s">
        <v>1496</v>
      </c>
      <c r="C120" s="7" t="s">
        <v>1607</v>
      </c>
      <c r="E120" s="7" t="s">
        <v>1657</v>
      </c>
      <c r="F120" s="7">
        <v>810050</v>
      </c>
      <c r="G120" s="7">
        <v>81</v>
      </c>
      <c r="H120" s="7">
        <v>0</v>
      </c>
      <c r="I120" s="7">
        <v>50</v>
      </c>
      <c r="K120" s="7" t="s">
        <v>1543</v>
      </c>
      <c r="L120" s="7">
        <v>172100</v>
      </c>
      <c r="M120" s="7">
        <v>17</v>
      </c>
      <c r="N120" s="7">
        <v>21</v>
      </c>
      <c r="O120" s="7">
        <v>0</v>
      </c>
    </row>
    <row r="121" spans="1:15">
      <c r="A121" s="7" t="s">
        <v>1606</v>
      </c>
      <c r="B121" s="7" t="s">
        <v>1496</v>
      </c>
      <c r="C121" s="7" t="s">
        <v>1607</v>
      </c>
      <c r="E121" s="7" t="s">
        <v>1658</v>
      </c>
      <c r="F121" s="7">
        <v>810055</v>
      </c>
      <c r="G121" s="7">
        <v>81</v>
      </c>
      <c r="H121" s="7">
        <v>0</v>
      </c>
      <c r="I121" s="7">
        <v>55</v>
      </c>
      <c r="K121" s="7" t="s">
        <v>1642</v>
      </c>
      <c r="L121" s="7">
        <v>172200</v>
      </c>
      <c r="M121" s="7">
        <v>17</v>
      </c>
      <c r="N121" s="7">
        <v>22</v>
      </c>
      <c r="O121" s="7">
        <v>0</v>
      </c>
    </row>
    <row r="122" spans="1:15">
      <c r="A122" s="7" t="s">
        <v>1606</v>
      </c>
      <c r="B122" s="7" t="s">
        <v>1496</v>
      </c>
      <c r="C122" s="7" t="s">
        <v>1607</v>
      </c>
      <c r="E122" s="7" t="s">
        <v>1659</v>
      </c>
      <c r="F122" s="7">
        <v>810060</v>
      </c>
      <c r="G122" s="7">
        <v>81</v>
      </c>
      <c r="H122" s="7">
        <v>0</v>
      </c>
      <c r="I122" s="7">
        <v>60</v>
      </c>
      <c r="K122" s="7" t="s">
        <v>1677</v>
      </c>
      <c r="L122" s="7">
        <v>172300</v>
      </c>
      <c r="M122" s="7">
        <v>17</v>
      </c>
      <c r="N122" s="7">
        <v>23</v>
      </c>
      <c r="O122" s="7">
        <v>0</v>
      </c>
    </row>
    <row r="123" spans="1:15">
      <c r="A123" s="7" t="s">
        <v>1606</v>
      </c>
      <c r="B123" s="7" t="s">
        <v>1496</v>
      </c>
      <c r="C123" s="7" t="s">
        <v>1607</v>
      </c>
      <c r="E123" s="7" t="s">
        <v>1661</v>
      </c>
      <c r="F123" s="7">
        <v>810065</v>
      </c>
      <c r="G123" s="7">
        <v>81</v>
      </c>
      <c r="H123" s="7">
        <v>0</v>
      </c>
      <c r="I123" s="7">
        <v>65</v>
      </c>
      <c r="K123" s="7" t="s">
        <v>1589</v>
      </c>
      <c r="L123" s="7">
        <v>172400</v>
      </c>
      <c r="M123" s="7">
        <v>17</v>
      </c>
      <c r="N123" s="7">
        <v>24</v>
      </c>
      <c r="O123" s="7">
        <v>0</v>
      </c>
    </row>
    <row r="124" spans="1:15">
      <c r="A124" s="7" t="s">
        <v>1606</v>
      </c>
      <c r="B124" s="7" t="s">
        <v>1496</v>
      </c>
      <c r="C124" s="7" t="s">
        <v>1607</v>
      </c>
      <c r="E124" s="7" t="s">
        <v>1667</v>
      </c>
      <c r="F124" s="7">
        <v>810070</v>
      </c>
      <c r="G124" s="7">
        <v>81</v>
      </c>
      <c r="H124" s="7">
        <v>0</v>
      </c>
      <c r="I124" s="7">
        <v>70</v>
      </c>
      <c r="K124" s="7" t="s">
        <v>1678</v>
      </c>
      <c r="L124" s="7">
        <v>171600</v>
      </c>
      <c r="M124" s="7">
        <v>17</v>
      </c>
      <c r="N124" s="7">
        <v>16</v>
      </c>
      <c r="O124" s="7">
        <v>0</v>
      </c>
    </row>
    <row r="125" spans="1:15">
      <c r="A125" s="7" t="s">
        <v>1606</v>
      </c>
      <c r="B125" s="7" t="s">
        <v>1496</v>
      </c>
      <c r="C125" s="7" t="s">
        <v>1607</v>
      </c>
      <c r="E125" s="7" t="s">
        <v>1669</v>
      </c>
      <c r="F125" s="7">
        <v>810075</v>
      </c>
      <c r="G125" s="7">
        <v>81</v>
      </c>
      <c r="H125" s="7">
        <v>0</v>
      </c>
      <c r="I125" s="7">
        <v>75</v>
      </c>
      <c r="K125" s="7" t="s">
        <v>1556</v>
      </c>
      <c r="L125" s="7">
        <v>180000</v>
      </c>
      <c r="M125" s="7">
        <v>18</v>
      </c>
      <c r="N125" s="7">
        <v>0</v>
      </c>
      <c r="O125" s="7">
        <v>0</v>
      </c>
    </row>
    <row r="126" spans="1:15">
      <c r="A126" s="7" t="s">
        <v>1606</v>
      </c>
      <c r="B126" s="7" t="s">
        <v>1496</v>
      </c>
      <c r="C126" s="7" t="s">
        <v>1607</v>
      </c>
      <c r="E126" s="7" t="s">
        <v>1663</v>
      </c>
      <c r="F126" s="7">
        <v>810080</v>
      </c>
      <c r="G126" s="7">
        <v>81</v>
      </c>
      <c r="H126" s="7">
        <v>0</v>
      </c>
      <c r="I126" s="7">
        <v>80</v>
      </c>
      <c r="K126" s="7" t="s">
        <v>1558</v>
      </c>
      <c r="L126" s="7">
        <v>181000</v>
      </c>
      <c r="M126" s="7">
        <v>18</v>
      </c>
      <c r="N126" s="7">
        <v>10</v>
      </c>
      <c r="O126" s="7">
        <v>0</v>
      </c>
    </row>
    <row r="127" spans="1:15">
      <c r="A127" s="7" t="s">
        <v>1606</v>
      </c>
      <c r="B127" s="7" t="s">
        <v>1496</v>
      </c>
      <c r="C127" s="7" t="s">
        <v>1607</v>
      </c>
      <c r="E127" s="7" t="s">
        <v>1665</v>
      </c>
      <c r="F127" s="7">
        <v>810085</v>
      </c>
      <c r="G127" s="7">
        <v>81</v>
      </c>
      <c r="H127" s="7">
        <v>0</v>
      </c>
      <c r="I127" s="7">
        <v>85</v>
      </c>
      <c r="K127" s="7" t="s">
        <v>1559</v>
      </c>
      <c r="L127" s="7">
        <v>181100</v>
      </c>
      <c r="M127" s="7">
        <v>18</v>
      </c>
      <c r="N127" s="7">
        <v>11</v>
      </c>
      <c r="O127" s="7">
        <v>0</v>
      </c>
    </row>
    <row r="128" spans="1:15">
      <c r="A128" s="7" t="s">
        <v>1606</v>
      </c>
      <c r="B128" s="7" t="s">
        <v>1496</v>
      </c>
      <c r="C128" s="7" t="s">
        <v>1607</v>
      </c>
      <c r="D128" s="7" t="s">
        <v>1679</v>
      </c>
      <c r="E128" s="7" t="s">
        <v>1680</v>
      </c>
      <c r="F128" s="7">
        <v>820000</v>
      </c>
      <c r="G128" s="7">
        <v>82</v>
      </c>
      <c r="H128" s="7">
        <v>0</v>
      </c>
      <c r="I128" s="7">
        <v>0</v>
      </c>
      <c r="K128" s="7" t="s">
        <v>1561</v>
      </c>
      <c r="L128" s="7">
        <v>181200</v>
      </c>
      <c r="M128" s="7">
        <v>18</v>
      </c>
      <c r="N128" s="7">
        <v>12</v>
      </c>
      <c r="O128" s="7">
        <v>0</v>
      </c>
    </row>
    <row r="129" spans="1:15">
      <c r="A129" s="7" t="s">
        <v>1606</v>
      </c>
      <c r="B129" s="7" t="s">
        <v>1496</v>
      </c>
      <c r="C129" s="7" t="s">
        <v>1607</v>
      </c>
      <c r="E129" s="7" t="s">
        <v>1650</v>
      </c>
      <c r="F129" s="7">
        <v>820010</v>
      </c>
      <c r="G129" s="7">
        <v>82</v>
      </c>
      <c r="H129" s="7">
        <v>0</v>
      </c>
      <c r="I129" s="7">
        <v>10</v>
      </c>
      <c r="K129" s="7" t="s">
        <v>1564</v>
      </c>
      <c r="L129" s="7">
        <v>181300</v>
      </c>
      <c r="M129" s="7">
        <v>18</v>
      </c>
      <c r="N129" s="7">
        <v>13</v>
      </c>
      <c r="O129" s="7">
        <v>0</v>
      </c>
    </row>
    <row r="130" spans="1:15">
      <c r="A130" s="7" t="s">
        <v>1606</v>
      </c>
      <c r="B130" s="7" t="s">
        <v>1496</v>
      </c>
      <c r="C130" s="7" t="s">
        <v>1607</v>
      </c>
      <c r="E130" s="7" t="s">
        <v>1652</v>
      </c>
      <c r="F130" s="7">
        <v>820020</v>
      </c>
      <c r="G130" s="7">
        <v>82</v>
      </c>
      <c r="H130" s="7">
        <v>0</v>
      </c>
      <c r="I130" s="7">
        <v>20</v>
      </c>
      <c r="K130" s="7" t="s">
        <v>1681</v>
      </c>
      <c r="L130" s="7">
        <v>181320</v>
      </c>
      <c r="M130" s="7">
        <v>18</v>
      </c>
      <c r="N130" s="7">
        <v>13</v>
      </c>
      <c r="O130" s="7">
        <v>20</v>
      </c>
    </row>
    <row r="131" spans="1:15">
      <c r="A131" s="7" t="s">
        <v>1606</v>
      </c>
      <c r="B131" s="7" t="s">
        <v>1496</v>
      </c>
      <c r="C131" s="7" t="s">
        <v>1607</v>
      </c>
      <c r="E131" s="7" t="s">
        <v>1653</v>
      </c>
      <c r="F131" s="7">
        <v>820030</v>
      </c>
      <c r="G131" s="7">
        <v>82</v>
      </c>
      <c r="H131" s="7">
        <v>0</v>
      </c>
      <c r="I131" s="7">
        <v>30</v>
      </c>
      <c r="K131" s="7" t="s">
        <v>1682</v>
      </c>
      <c r="L131" s="7">
        <v>181400</v>
      </c>
      <c r="M131" s="7">
        <v>18</v>
      </c>
      <c r="N131" s="7">
        <v>14</v>
      </c>
      <c r="O131" s="7">
        <v>0</v>
      </c>
    </row>
    <row r="132" spans="1:15">
      <c r="A132" s="7" t="s">
        <v>1606</v>
      </c>
      <c r="B132" s="7" t="s">
        <v>1496</v>
      </c>
      <c r="C132" s="7" t="s">
        <v>1607</v>
      </c>
      <c r="E132" s="7" t="s">
        <v>1655</v>
      </c>
      <c r="F132" s="7">
        <v>820040</v>
      </c>
      <c r="G132" s="7">
        <v>82</v>
      </c>
      <c r="H132" s="7">
        <v>0</v>
      </c>
      <c r="I132" s="7">
        <v>40</v>
      </c>
      <c r="K132" s="7" t="s">
        <v>1683</v>
      </c>
      <c r="L132" s="7">
        <v>181500</v>
      </c>
      <c r="M132" s="7">
        <v>18</v>
      </c>
      <c r="N132" s="7">
        <v>15</v>
      </c>
      <c r="O132" s="7">
        <v>0</v>
      </c>
    </row>
    <row r="133" spans="1:15">
      <c r="A133" s="7" t="s">
        <v>1606</v>
      </c>
      <c r="B133" s="7" t="s">
        <v>1496</v>
      </c>
      <c r="C133" s="7" t="s">
        <v>1607</v>
      </c>
      <c r="E133" s="7" t="s">
        <v>1676</v>
      </c>
      <c r="F133" s="7">
        <v>820045</v>
      </c>
      <c r="G133" s="7">
        <v>82</v>
      </c>
      <c r="H133" s="7">
        <v>0</v>
      </c>
      <c r="I133" s="7">
        <v>45</v>
      </c>
      <c r="K133" s="7" t="s">
        <v>1684</v>
      </c>
      <c r="L133" s="7">
        <v>181600</v>
      </c>
      <c r="M133" s="7">
        <v>18</v>
      </c>
      <c r="N133" s="7">
        <v>16</v>
      </c>
      <c r="O133" s="7">
        <v>0</v>
      </c>
    </row>
    <row r="134" spans="1:15">
      <c r="A134" s="7" t="s">
        <v>1606</v>
      </c>
      <c r="B134" s="7" t="s">
        <v>1496</v>
      </c>
      <c r="C134" s="7" t="s">
        <v>1607</v>
      </c>
      <c r="E134" s="7" t="s">
        <v>1657</v>
      </c>
      <c r="F134" s="7">
        <v>820050</v>
      </c>
      <c r="G134" s="7">
        <v>82</v>
      </c>
      <c r="H134" s="7">
        <v>0</v>
      </c>
      <c r="I134" s="7">
        <v>50</v>
      </c>
      <c r="K134" s="7" t="s">
        <v>1685</v>
      </c>
      <c r="L134" s="7">
        <v>181700</v>
      </c>
      <c r="M134" s="7">
        <v>18</v>
      </c>
      <c r="N134" s="7">
        <v>17</v>
      </c>
      <c r="O134" s="7">
        <v>0</v>
      </c>
    </row>
    <row r="135" spans="1:15">
      <c r="A135" s="7" t="s">
        <v>1606</v>
      </c>
      <c r="B135" s="7" t="s">
        <v>1496</v>
      </c>
      <c r="C135" s="7" t="s">
        <v>1607</v>
      </c>
      <c r="E135" s="7" t="s">
        <v>1658</v>
      </c>
      <c r="F135" s="7">
        <v>820055</v>
      </c>
      <c r="G135" s="7">
        <v>82</v>
      </c>
      <c r="H135" s="7">
        <v>0</v>
      </c>
      <c r="I135" s="7">
        <v>55</v>
      </c>
      <c r="K135" s="7" t="s">
        <v>1686</v>
      </c>
      <c r="L135" s="7">
        <v>181800</v>
      </c>
      <c r="M135" s="7">
        <v>18</v>
      </c>
      <c r="N135" s="7">
        <v>18</v>
      </c>
      <c r="O135" s="7">
        <v>0</v>
      </c>
    </row>
    <row r="136" spans="1:15">
      <c r="A136" s="7" t="s">
        <v>1606</v>
      </c>
      <c r="B136" s="7" t="s">
        <v>1496</v>
      </c>
      <c r="C136" s="7" t="s">
        <v>1607</v>
      </c>
      <c r="E136" s="7" t="s">
        <v>1659</v>
      </c>
      <c r="F136" s="7">
        <v>820060</v>
      </c>
      <c r="G136" s="7">
        <v>82</v>
      </c>
      <c r="H136" s="7">
        <v>0</v>
      </c>
      <c r="I136" s="7">
        <v>60</v>
      </c>
      <c r="K136" s="7" t="s">
        <v>1687</v>
      </c>
      <c r="L136" s="7">
        <v>181310</v>
      </c>
      <c r="M136" s="7">
        <v>18</v>
      </c>
      <c r="N136" s="7">
        <v>13</v>
      </c>
      <c r="O136" s="7">
        <v>10</v>
      </c>
    </row>
    <row r="137" spans="1:15">
      <c r="A137" s="7" t="s">
        <v>1606</v>
      </c>
      <c r="B137" s="7" t="s">
        <v>1496</v>
      </c>
      <c r="C137" s="7" t="s">
        <v>1607</v>
      </c>
      <c r="E137" s="7" t="s">
        <v>1661</v>
      </c>
      <c r="F137" s="7">
        <v>820065</v>
      </c>
      <c r="G137" s="7">
        <v>82</v>
      </c>
      <c r="H137" s="7">
        <v>0</v>
      </c>
      <c r="I137" s="7">
        <v>65</v>
      </c>
      <c r="K137" s="7" t="s">
        <v>1527</v>
      </c>
      <c r="L137" s="7">
        <v>190000</v>
      </c>
      <c r="M137" s="7">
        <v>19</v>
      </c>
      <c r="N137" s="7">
        <v>0</v>
      </c>
      <c r="O137" s="7">
        <v>0</v>
      </c>
    </row>
    <row r="138" spans="1:15">
      <c r="A138" s="7" t="s">
        <v>1606</v>
      </c>
      <c r="B138" s="7" t="s">
        <v>1496</v>
      </c>
      <c r="C138" s="7" t="s">
        <v>1607</v>
      </c>
      <c r="E138" s="7" t="s">
        <v>1667</v>
      </c>
      <c r="F138" s="7">
        <v>820070</v>
      </c>
      <c r="G138" s="7">
        <v>82</v>
      </c>
      <c r="H138" s="7">
        <v>0</v>
      </c>
      <c r="I138" s="7">
        <v>70</v>
      </c>
      <c r="K138" s="7" t="s">
        <v>1565</v>
      </c>
      <c r="L138" s="7">
        <v>191810</v>
      </c>
      <c r="M138" s="7">
        <v>19</v>
      </c>
      <c r="N138" s="7">
        <v>18</v>
      </c>
      <c r="O138" s="7">
        <v>10</v>
      </c>
    </row>
    <row r="139" spans="1:15">
      <c r="A139" s="7" t="s">
        <v>1606</v>
      </c>
      <c r="B139" s="7" t="s">
        <v>1496</v>
      </c>
      <c r="C139" s="7" t="s">
        <v>1607</v>
      </c>
      <c r="E139" s="7" t="s">
        <v>1669</v>
      </c>
      <c r="F139" s="7">
        <v>820075</v>
      </c>
      <c r="G139" s="7">
        <v>82</v>
      </c>
      <c r="H139" s="7">
        <v>0</v>
      </c>
      <c r="I139" s="7">
        <v>75</v>
      </c>
      <c r="K139" s="7" t="s">
        <v>1618</v>
      </c>
      <c r="L139" s="7">
        <v>191000</v>
      </c>
      <c r="M139" s="7">
        <v>19</v>
      </c>
      <c r="N139" s="7">
        <v>10</v>
      </c>
      <c r="O139" s="7">
        <v>0</v>
      </c>
    </row>
    <row r="140" spans="1:15">
      <c r="A140" s="7" t="s">
        <v>1606</v>
      </c>
      <c r="B140" s="7" t="s">
        <v>1496</v>
      </c>
      <c r="C140" s="7" t="s">
        <v>1607</v>
      </c>
      <c r="E140" s="7" t="s">
        <v>1663</v>
      </c>
      <c r="F140" s="7">
        <v>820080</v>
      </c>
      <c r="G140" s="7">
        <v>82</v>
      </c>
      <c r="H140" s="7">
        <v>0</v>
      </c>
      <c r="I140" s="7">
        <v>80</v>
      </c>
      <c r="K140" s="7" t="s">
        <v>1620</v>
      </c>
      <c r="L140" s="7">
        <v>191100</v>
      </c>
      <c r="M140" s="7">
        <v>19</v>
      </c>
      <c r="N140" s="7">
        <v>11</v>
      </c>
      <c r="O140" s="7">
        <v>0</v>
      </c>
    </row>
    <row r="141" spans="1:15">
      <c r="A141" s="7" t="s">
        <v>1606</v>
      </c>
      <c r="B141" s="7" t="s">
        <v>1496</v>
      </c>
      <c r="C141" s="7" t="s">
        <v>1607</v>
      </c>
      <c r="E141" s="7" t="s">
        <v>1665</v>
      </c>
      <c r="F141" s="7">
        <v>820085</v>
      </c>
      <c r="G141" s="7">
        <v>82</v>
      </c>
      <c r="H141" s="7">
        <v>0</v>
      </c>
      <c r="I141" s="7">
        <v>85</v>
      </c>
      <c r="K141" s="7" t="s">
        <v>1622</v>
      </c>
      <c r="L141" s="7">
        <v>191200</v>
      </c>
      <c r="M141" s="7">
        <v>19</v>
      </c>
      <c r="N141" s="7">
        <v>12</v>
      </c>
      <c r="O141" s="7">
        <v>0</v>
      </c>
    </row>
    <row r="142" spans="1:15">
      <c r="A142" s="7" t="s">
        <v>1606</v>
      </c>
      <c r="B142" s="7" t="s">
        <v>1496</v>
      </c>
      <c r="C142" s="7" t="s">
        <v>1607</v>
      </c>
      <c r="D142" s="7" t="s">
        <v>1688</v>
      </c>
      <c r="E142" s="7" t="s">
        <v>1689</v>
      </c>
      <c r="F142" s="7">
        <v>830000</v>
      </c>
      <c r="G142" s="7">
        <v>83</v>
      </c>
      <c r="H142" s="7">
        <v>0</v>
      </c>
      <c r="I142" s="7">
        <v>0</v>
      </c>
      <c r="K142" s="7" t="s">
        <v>1512</v>
      </c>
      <c r="L142" s="7">
        <v>191300</v>
      </c>
      <c r="M142" s="7">
        <v>19</v>
      </c>
      <c r="N142" s="7">
        <v>13</v>
      </c>
      <c r="O142" s="7">
        <v>0</v>
      </c>
    </row>
    <row r="143" spans="1:15">
      <c r="A143" s="7" t="s">
        <v>1606</v>
      </c>
      <c r="B143" s="7" t="s">
        <v>1496</v>
      </c>
      <c r="C143" s="7" t="s">
        <v>1607</v>
      </c>
      <c r="E143" s="7" t="s">
        <v>1650</v>
      </c>
      <c r="F143" s="7">
        <v>830010</v>
      </c>
      <c r="G143" s="7">
        <v>83</v>
      </c>
      <c r="H143" s="7">
        <v>0</v>
      </c>
      <c r="I143" s="7">
        <v>10</v>
      </c>
      <c r="K143" s="7" t="s">
        <v>1625</v>
      </c>
      <c r="L143" s="7">
        <v>191400</v>
      </c>
      <c r="M143" s="7">
        <v>19</v>
      </c>
      <c r="N143" s="7">
        <v>14</v>
      </c>
      <c r="O143" s="7">
        <v>0</v>
      </c>
    </row>
    <row r="144" spans="1:15">
      <c r="A144" s="7" t="s">
        <v>1606</v>
      </c>
      <c r="B144" s="7" t="s">
        <v>1496</v>
      </c>
      <c r="C144" s="7" t="s">
        <v>1607</v>
      </c>
      <c r="E144" s="7" t="s">
        <v>1652</v>
      </c>
      <c r="F144" s="7">
        <v>830020</v>
      </c>
      <c r="G144" s="7">
        <v>83</v>
      </c>
      <c r="H144" s="7">
        <v>0</v>
      </c>
      <c r="I144" s="7">
        <v>20</v>
      </c>
      <c r="K144" s="7" t="s">
        <v>1552</v>
      </c>
      <c r="L144" s="7">
        <v>191600</v>
      </c>
      <c r="M144" s="7">
        <v>19</v>
      </c>
      <c r="N144" s="7">
        <v>16</v>
      </c>
      <c r="O144" s="7">
        <v>0</v>
      </c>
    </row>
    <row r="145" spans="1:15">
      <c r="A145" s="7" t="s">
        <v>1606</v>
      </c>
      <c r="B145" s="7" t="s">
        <v>1496</v>
      </c>
      <c r="C145" s="7" t="s">
        <v>1607</v>
      </c>
      <c r="E145" s="7" t="s">
        <v>1653</v>
      </c>
      <c r="F145" s="7">
        <v>830030</v>
      </c>
      <c r="G145" s="7">
        <v>83</v>
      </c>
      <c r="H145" s="7">
        <v>0</v>
      </c>
      <c r="I145" s="7">
        <v>30</v>
      </c>
      <c r="K145" s="7" t="s">
        <v>1626</v>
      </c>
      <c r="L145" s="7">
        <v>191800</v>
      </c>
      <c r="M145" s="7">
        <v>19</v>
      </c>
      <c r="N145" s="7">
        <v>18</v>
      </c>
      <c r="O145" s="7">
        <v>0</v>
      </c>
    </row>
    <row r="146" spans="1:15">
      <c r="A146" s="7" t="s">
        <v>1606</v>
      </c>
      <c r="B146" s="7" t="s">
        <v>1496</v>
      </c>
      <c r="C146" s="7" t="s">
        <v>1607</v>
      </c>
      <c r="E146" s="7" t="s">
        <v>1655</v>
      </c>
      <c r="F146" s="7">
        <v>830040</v>
      </c>
      <c r="G146" s="7">
        <v>83</v>
      </c>
      <c r="H146" s="7">
        <v>0</v>
      </c>
      <c r="I146" s="7">
        <v>40</v>
      </c>
      <c r="K146" s="7" t="s">
        <v>1627</v>
      </c>
      <c r="L146" s="7">
        <v>192100</v>
      </c>
      <c r="M146" s="7">
        <v>19</v>
      </c>
      <c r="N146" s="7">
        <v>21</v>
      </c>
      <c r="O146" s="7">
        <v>0</v>
      </c>
    </row>
    <row r="147" spans="1:15">
      <c r="A147" s="7" t="s">
        <v>1606</v>
      </c>
      <c r="B147" s="7" t="s">
        <v>1496</v>
      </c>
      <c r="C147" s="7" t="s">
        <v>1607</v>
      </c>
      <c r="E147" s="7" t="s">
        <v>1676</v>
      </c>
      <c r="F147" s="7">
        <v>830045</v>
      </c>
      <c r="G147" s="7">
        <v>83</v>
      </c>
      <c r="H147" s="7">
        <v>0</v>
      </c>
      <c r="I147" s="7">
        <v>45</v>
      </c>
      <c r="K147" s="7" t="s">
        <v>1628</v>
      </c>
      <c r="L147" s="7">
        <v>192200</v>
      </c>
      <c r="M147" s="7">
        <v>19</v>
      </c>
      <c r="N147" s="7">
        <v>22</v>
      </c>
      <c r="O147" s="7">
        <v>0</v>
      </c>
    </row>
    <row r="148" spans="1:15">
      <c r="A148" s="7" t="s">
        <v>1606</v>
      </c>
      <c r="B148" s="7" t="s">
        <v>1496</v>
      </c>
      <c r="C148" s="7" t="s">
        <v>1607</v>
      </c>
      <c r="E148" s="7" t="s">
        <v>1657</v>
      </c>
      <c r="F148" s="7">
        <v>830050</v>
      </c>
      <c r="G148" s="7">
        <v>83</v>
      </c>
      <c r="H148" s="7">
        <v>0</v>
      </c>
      <c r="I148" s="7">
        <v>50</v>
      </c>
      <c r="K148" s="7" t="s">
        <v>1629</v>
      </c>
      <c r="L148" s="7">
        <v>192300</v>
      </c>
      <c r="M148" s="7">
        <v>19</v>
      </c>
      <c r="N148" s="7">
        <v>23</v>
      </c>
      <c r="O148" s="7">
        <v>0</v>
      </c>
    </row>
    <row r="149" spans="1:15">
      <c r="A149" s="7" t="s">
        <v>1606</v>
      </c>
      <c r="B149" s="7" t="s">
        <v>1496</v>
      </c>
      <c r="C149" s="7" t="s">
        <v>1607</v>
      </c>
      <c r="E149" s="7" t="s">
        <v>1658</v>
      </c>
      <c r="F149" s="7">
        <v>830055</v>
      </c>
      <c r="G149" s="7">
        <v>83</v>
      </c>
      <c r="H149" s="7">
        <v>0</v>
      </c>
      <c r="I149" s="7">
        <v>55</v>
      </c>
      <c r="K149" s="7" t="s">
        <v>1690</v>
      </c>
      <c r="L149" s="7">
        <v>191810</v>
      </c>
      <c r="M149" s="7">
        <v>19</v>
      </c>
      <c r="N149" s="7">
        <v>18</v>
      </c>
      <c r="O149" s="7">
        <v>10</v>
      </c>
    </row>
    <row r="150" spans="1:15">
      <c r="A150" s="7" t="s">
        <v>1606</v>
      </c>
      <c r="B150" s="7" t="s">
        <v>1496</v>
      </c>
      <c r="C150" s="7" t="s">
        <v>1607</v>
      </c>
      <c r="E150" s="7" t="s">
        <v>1659</v>
      </c>
      <c r="F150" s="7">
        <v>830060</v>
      </c>
      <c r="G150" s="7">
        <v>83</v>
      </c>
      <c r="H150" s="7">
        <v>0</v>
      </c>
      <c r="I150" s="7">
        <v>60</v>
      </c>
      <c r="K150" s="7" t="s">
        <v>1642</v>
      </c>
      <c r="L150" s="7">
        <v>191900</v>
      </c>
      <c r="M150" s="7">
        <v>19</v>
      </c>
      <c r="N150" s="7">
        <v>19</v>
      </c>
      <c r="O150" s="7">
        <v>0</v>
      </c>
    </row>
    <row r="151" spans="1:15">
      <c r="A151" s="7" t="s">
        <v>1606</v>
      </c>
      <c r="B151" s="7" t="s">
        <v>1496</v>
      </c>
      <c r="C151" s="7" t="s">
        <v>1607</v>
      </c>
      <c r="E151" s="7" t="s">
        <v>1661</v>
      </c>
      <c r="F151" s="7">
        <v>830065</v>
      </c>
      <c r="G151" s="7">
        <v>83</v>
      </c>
      <c r="H151" s="7">
        <v>0</v>
      </c>
      <c r="I151" s="7">
        <v>65</v>
      </c>
      <c r="K151" s="7" t="s">
        <v>1516</v>
      </c>
      <c r="L151" s="7">
        <v>191500</v>
      </c>
      <c r="M151" s="7">
        <v>19</v>
      </c>
      <c r="N151" s="7">
        <v>15</v>
      </c>
      <c r="O151" s="7">
        <v>0</v>
      </c>
    </row>
    <row r="152" spans="1:15">
      <c r="A152" s="7" t="s">
        <v>1606</v>
      </c>
      <c r="B152" s="7" t="s">
        <v>1496</v>
      </c>
      <c r="C152" s="7" t="s">
        <v>1607</v>
      </c>
      <c r="E152" s="7" t="s">
        <v>1667</v>
      </c>
      <c r="F152" s="7">
        <v>830070</v>
      </c>
      <c r="G152" s="7">
        <v>83</v>
      </c>
      <c r="H152" s="7">
        <v>0</v>
      </c>
      <c r="I152" s="7">
        <v>70</v>
      </c>
      <c r="K152" s="7" t="s">
        <v>1588</v>
      </c>
      <c r="L152" s="7">
        <v>191700</v>
      </c>
      <c r="M152" s="7">
        <v>19</v>
      </c>
      <c r="N152" s="7">
        <v>17</v>
      </c>
      <c r="O152" s="7">
        <v>0</v>
      </c>
    </row>
    <row r="153" spans="1:15">
      <c r="A153" s="7" t="s">
        <v>1606</v>
      </c>
      <c r="B153" s="7" t="s">
        <v>1496</v>
      </c>
      <c r="C153" s="7" t="s">
        <v>1607</v>
      </c>
      <c r="E153" s="7" t="s">
        <v>1669</v>
      </c>
      <c r="F153" s="7">
        <v>830075</v>
      </c>
      <c r="G153" s="7">
        <v>83</v>
      </c>
      <c r="H153" s="7">
        <v>0</v>
      </c>
      <c r="I153" s="7">
        <v>75</v>
      </c>
      <c r="K153" s="7" t="s">
        <v>1677</v>
      </c>
      <c r="L153" s="7">
        <v>192000</v>
      </c>
      <c r="M153" s="7">
        <v>19</v>
      </c>
      <c r="N153" s="7">
        <v>20</v>
      </c>
      <c r="O153" s="7">
        <v>0</v>
      </c>
    </row>
    <row r="154" spans="1:15">
      <c r="A154" s="7" t="s">
        <v>1606</v>
      </c>
      <c r="B154" s="7" t="s">
        <v>1496</v>
      </c>
      <c r="C154" s="7" t="s">
        <v>1607</v>
      </c>
      <c r="E154" s="7" t="s">
        <v>1663</v>
      </c>
      <c r="F154" s="7">
        <v>830080</v>
      </c>
      <c r="G154" s="7">
        <v>83</v>
      </c>
      <c r="H154" s="7">
        <v>0</v>
      </c>
      <c r="I154" s="7">
        <v>80</v>
      </c>
      <c r="K154" s="7" t="s">
        <v>1691</v>
      </c>
      <c r="L154" s="7">
        <v>192500</v>
      </c>
      <c r="M154" s="7">
        <v>19</v>
      </c>
      <c r="N154" s="7">
        <v>25</v>
      </c>
      <c r="O154" s="7">
        <v>0</v>
      </c>
    </row>
    <row r="155" spans="1:15">
      <c r="A155" s="7" t="s">
        <v>1606</v>
      </c>
      <c r="B155" s="7" t="s">
        <v>1496</v>
      </c>
      <c r="C155" s="7" t="s">
        <v>1607</v>
      </c>
      <c r="E155" s="7" t="s">
        <v>1665</v>
      </c>
      <c r="F155" s="7">
        <v>830085</v>
      </c>
      <c r="G155" s="7">
        <v>83</v>
      </c>
      <c r="H155" s="7">
        <v>0</v>
      </c>
      <c r="I155" s="7">
        <v>85</v>
      </c>
      <c r="K155" s="7" t="s">
        <v>1692</v>
      </c>
      <c r="L155" s="7">
        <v>192510</v>
      </c>
      <c r="M155" s="7">
        <v>19</v>
      </c>
      <c r="N155" s="7">
        <v>25</v>
      </c>
      <c r="O155" s="7">
        <v>10</v>
      </c>
    </row>
    <row r="156" spans="1:15">
      <c r="A156" s="7" t="s">
        <v>1606</v>
      </c>
      <c r="B156" s="7" t="s">
        <v>1496</v>
      </c>
      <c r="C156" s="7" t="s">
        <v>1607</v>
      </c>
      <c r="D156" s="7" t="s">
        <v>1693</v>
      </c>
      <c r="E156" s="7" t="s">
        <v>1694</v>
      </c>
      <c r="F156" s="7">
        <v>850000</v>
      </c>
      <c r="G156" s="7">
        <v>85</v>
      </c>
      <c r="H156" s="7">
        <v>0</v>
      </c>
      <c r="I156" s="7">
        <v>0</v>
      </c>
      <c r="K156" s="7" t="s">
        <v>1695</v>
      </c>
      <c r="L156" s="7">
        <v>192520</v>
      </c>
      <c r="M156" s="7">
        <v>19</v>
      </c>
      <c r="N156" s="7">
        <v>25</v>
      </c>
      <c r="O156" s="7">
        <v>20</v>
      </c>
    </row>
    <row r="157" spans="1:15">
      <c r="A157" s="7" t="s">
        <v>1606</v>
      </c>
      <c r="B157" s="7" t="s">
        <v>1496</v>
      </c>
      <c r="C157" s="7" t="s">
        <v>1607</v>
      </c>
      <c r="E157" s="7" t="s">
        <v>1696</v>
      </c>
      <c r="F157" s="7">
        <v>850010</v>
      </c>
      <c r="G157" s="7">
        <v>85</v>
      </c>
      <c r="H157" s="7">
        <v>0</v>
      </c>
      <c r="I157" s="7">
        <v>10</v>
      </c>
      <c r="K157" s="7" t="s">
        <v>1697</v>
      </c>
      <c r="L157" s="7">
        <v>192530</v>
      </c>
      <c r="M157" s="7">
        <v>19</v>
      </c>
      <c r="N157" s="7">
        <v>25</v>
      </c>
      <c r="O157" s="7">
        <v>30</v>
      </c>
    </row>
    <row r="158" spans="1:15">
      <c r="A158" s="7" t="s">
        <v>1606</v>
      </c>
      <c r="B158" s="7" t="s">
        <v>1496</v>
      </c>
      <c r="C158" s="7" t="s">
        <v>1607</v>
      </c>
      <c r="E158" s="7" t="s">
        <v>1698</v>
      </c>
      <c r="F158" s="7">
        <v>850020</v>
      </c>
      <c r="G158" s="7">
        <v>85</v>
      </c>
      <c r="H158" s="7">
        <v>0</v>
      </c>
      <c r="I158" s="7">
        <v>20</v>
      </c>
      <c r="K158" s="7" t="s">
        <v>1699</v>
      </c>
      <c r="L158" s="7">
        <v>192540</v>
      </c>
      <c r="M158" s="7">
        <v>19</v>
      </c>
      <c r="N158" s="7">
        <v>25</v>
      </c>
      <c r="O158" s="7">
        <v>40</v>
      </c>
    </row>
    <row r="159" spans="1:15">
      <c r="A159" s="7" t="s">
        <v>1606</v>
      </c>
      <c r="B159" s="7" t="s">
        <v>1496</v>
      </c>
      <c r="C159" s="7" t="s">
        <v>1607</v>
      </c>
      <c r="E159" s="7" t="s">
        <v>1700</v>
      </c>
      <c r="F159" s="7">
        <v>850030</v>
      </c>
      <c r="G159" s="7">
        <v>85</v>
      </c>
      <c r="H159" s="7">
        <v>0</v>
      </c>
      <c r="I159" s="7">
        <v>30</v>
      </c>
      <c r="K159" s="7" t="s">
        <v>1701</v>
      </c>
      <c r="L159" s="7">
        <v>192550</v>
      </c>
      <c r="M159" s="7">
        <v>19</v>
      </c>
      <c r="N159" s="7">
        <v>25</v>
      </c>
      <c r="O159" s="7">
        <v>50</v>
      </c>
    </row>
    <row r="160" spans="1:15">
      <c r="A160" s="7" t="s">
        <v>1606</v>
      </c>
      <c r="B160" s="7" t="s">
        <v>1496</v>
      </c>
      <c r="C160" s="7" t="s">
        <v>1607</v>
      </c>
      <c r="E160" s="7" t="s">
        <v>1702</v>
      </c>
      <c r="F160" s="7">
        <v>850040</v>
      </c>
      <c r="G160" s="7">
        <v>85</v>
      </c>
      <c r="H160" s="7">
        <v>0</v>
      </c>
      <c r="I160" s="7">
        <v>40</v>
      </c>
      <c r="K160" s="7" t="s">
        <v>1703</v>
      </c>
      <c r="L160" s="7">
        <v>192560</v>
      </c>
      <c r="M160" s="7">
        <v>19</v>
      </c>
      <c r="N160" s="7">
        <v>25</v>
      </c>
      <c r="O160" s="7">
        <v>60</v>
      </c>
    </row>
    <row r="161" spans="1:15">
      <c r="A161" s="7" t="s">
        <v>1606</v>
      </c>
      <c r="B161" s="7" t="s">
        <v>1496</v>
      </c>
      <c r="C161" s="7" t="s">
        <v>1607</v>
      </c>
      <c r="E161" s="7" t="s">
        <v>1704</v>
      </c>
      <c r="F161" s="7">
        <v>850050</v>
      </c>
      <c r="G161" s="7">
        <v>85</v>
      </c>
      <c r="H161" s="7">
        <v>0</v>
      </c>
      <c r="I161" s="7">
        <v>50</v>
      </c>
      <c r="K161" s="7" t="s">
        <v>1705</v>
      </c>
      <c r="L161" s="7">
        <v>192600</v>
      </c>
      <c r="M161" s="7">
        <v>19</v>
      </c>
      <c r="N161" s="7">
        <v>26</v>
      </c>
      <c r="O161" s="7">
        <v>0</v>
      </c>
    </row>
    <row r="162" spans="1:15">
      <c r="A162" s="7" t="s">
        <v>1606</v>
      </c>
      <c r="B162" s="7" t="s">
        <v>1496</v>
      </c>
      <c r="C162" s="7" t="s">
        <v>1607</v>
      </c>
      <c r="D162" s="7" t="s">
        <v>1706</v>
      </c>
      <c r="E162" s="7" t="s">
        <v>1707</v>
      </c>
      <c r="F162" s="7">
        <v>900000</v>
      </c>
      <c r="G162" s="7">
        <v>90</v>
      </c>
      <c r="H162" s="7">
        <v>0</v>
      </c>
      <c r="I162" s="7">
        <v>0</v>
      </c>
      <c r="K162" s="7" t="s">
        <v>1692</v>
      </c>
      <c r="L162" s="7">
        <v>192610</v>
      </c>
      <c r="M162" s="7">
        <v>19</v>
      </c>
      <c r="N162" s="7">
        <v>26</v>
      </c>
      <c r="O162" s="7">
        <v>10</v>
      </c>
    </row>
    <row r="163" spans="1:15">
      <c r="A163" s="7" t="s">
        <v>1606</v>
      </c>
      <c r="B163" s="7" t="s">
        <v>1496</v>
      </c>
      <c r="C163" s="7" t="s">
        <v>1607</v>
      </c>
      <c r="E163" s="7" t="s">
        <v>1708</v>
      </c>
      <c r="F163" s="7">
        <v>901900</v>
      </c>
      <c r="G163" s="7">
        <v>90</v>
      </c>
      <c r="H163" s="7">
        <v>19</v>
      </c>
      <c r="I163" s="7">
        <v>0</v>
      </c>
      <c r="K163" s="7" t="s">
        <v>1695</v>
      </c>
      <c r="L163" s="7">
        <v>192620</v>
      </c>
      <c r="M163" s="7">
        <v>19</v>
      </c>
      <c r="N163" s="7">
        <v>26</v>
      </c>
      <c r="O163" s="7">
        <v>20</v>
      </c>
    </row>
    <row r="164" spans="1:15">
      <c r="A164" s="7" t="s">
        <v>1606</v>
      </c>
      <c r="B164" s="7" t="s">
        <v>1496</v>
      </c>
      <c r="C164" s="7" t="s">
        <v>1607</v>
      </c>
      <c r="E164" s="7" t="s">
        <v>1709</v>
      </c>
      <c r="F164" s="7">
        <v>901910</v>
      </c>
      <c r="G164" s="7">
        <v>90</v>
      </c>
      <c r="H164" s="7">
        <v>19</v>
      </c>
      <c r="I164" s="7">
        <v>10</v>
      </c>
      <c r="K164" s="7" t="s">
        <v>1697</v>
      </c>
      <c r="L164" s="7">
        <v>192630</v>
      </c>
      <c r="M164" s="7">
        <v>19</v>
      </c>
      <c r="N164" s="7">
        <v>26</v>
      </c>
      <c r="O164" s="7">
        <v>30</v>
      </c>
    </row>
    <row r="165" spans="1:15">
      <c r="A165" s="7" t="s">
        <v>1606</v>
      </c>
      <c r="B165" s="7" t="s">
        <v>1496</v>
      </c>
      <c r="C165" s="7" t="s">
        <v>1607</v>
      </c>
      <c r="E165" s="7" t="s">
        <v>1710</v>
      </c>
      <c r="F165" s="7">
        <v>901920</v>
      </c>
      <c r="G165" s="7">
        <v>90</v>
      </c>
      <c r="H165" s="7">
        <v>19</v>
      </c>
      <c r="I165" s="7">
        <v>20</v>
      </c>
      <c r="K165" s="7" t="s">
        <v>1699</v>
      </c>
      <c r="L165" s="7">
        <v>192640</v>
      </c>
      <c r="M165" s="7">
        <v>19</v>
      </c>
      <c r="N165" s="7">
        <v>26</v>
      </c>
      <c r="O165" s="7">
        <v>40</v>
      </c>
    </row>
    <row r="166" spans="1:15">
      <c r="A166" s="7" t="s">
        <v>1606</v>
      </c>
      <c r="B166" s="7" t="s">
        <v>1496</v>
      </c>
      <c r="C166" s="7" t="s">
        <v>1607</v>
      </c>
      <c r="E166" s="7" t="s">
        <v>1711</v>
      </c>
      <c r="F166" s="7">
        <v>901930</v>
      </c>
      <c r="G166" s="7">
        <v>90</v>
      </c>
      <c r="H166" s="7">
        <v>19</v>
      </c>
      <c r="I166" s="7">
        <v>30</v>
      </c>
      <c r="K166" s="7" t="s">
        <v>1701</v>
      </c>
      <c r="L166" s="7">
        <v>192650</v>
      </c>
      <c r="M166" s="7">
        <v>19</v>
      </c>
      <c r="N166" s="7">
        <v>26</v>
      </c>
      <c r="O166" s="7">
        <v>50</v>
      </c>
    </row>
    <row r="167" spans="1:15">
      <c r="A167" s="7" t="s">
        <v>1606</v>
      </c>
      <c r="B167" s="7" t="s">
        <v>1496</v>
      </c>
      <c r="C167" s="7" t="s">
        <v>1607</v>
      </c>
      <c r="E167" s="7" t="s">
        <v>1712</v>
      </c>
      <c r="F167" s="7">
        <v>901940</v>
      </c>
      <c r="G167" s="7">
        <v>90</v>
      </c>
      <c r="H167" s="7">
        <v>19</v>
      </c>
      <c r="I167" s="7">
        <v>40</v>
      </c>
      <c r="K167" s="7" t="s">
        <v>1713</v>
      </c>
      <c r="L167" s="7">
        <v>192700</v>
      </c>
      <c r="M167" s="7">
        <v>19</v>
      </c>
      <c r="N167" s="7">
        <v>27</v>
      </c>
      <c r="O167" s="7">
        <v>0</v>
      </c>
    </row>
    <row r="168" spans="1:15">
      <c r="A168" s="7" t="s">
        <v>1606</v>
      </c>
      <c r="B168" s="7" t="s">
        <v>1496</v>
      </c>
      <c r="C168" s="7" t="s">
        <v>1607</v>
      </c>
      <c r="E168" s="7" t="s">
        <v>1714</v>
      </c>
      <c r="F168" s="7">
        <v>902000</v>
      </c>
      <c r="G168" s="7">
        <v>90</v>
      </c>
      <c r="H168" s="7">
        <v>20</v>
      </c>
      <c r="I168" s="7">
        <v>0</v>
      </c>
      <c r="K168" s="7" t="s">
        <v>1692</v>
      </c>
      <c r="L168" s="7">
        <v>192710</v>
      </c>
      <c r="M168" s="7">
        <v>19</v>
      </c>
      <c r="N168" s="7">
        <v>27</v>
      </c>
      <c r="O168" s="7">
        <v>10</v>
      </c>
    </row>
    <row r="169" spans="1:15">
      <c r="A169" s="7" t="s">
        <v>1606</v>
      </c>
      <c r="B169" s="7" t="s">
        <v>1496</v>
      </c>
      <c r="C169" s="7" t="s">
        <v>1607</v>
      </c>
      <c r="E169" s="7" t="s">
        <v>1715</v>
      </c>
      <c r="F169" s="7">
        <v>902100</v>
      </c>
      <c r="G169" s="7">
        <v>90</v>
      </c>
      <c r="H169" s="7">
        <v>21</v>
      </c>
      <c r="I169" s="7">
        <v>0</v>
      </c>
      <c r="K169" s="7" t="s">
        <v>1716</v>
      </c>
      <c r="L169" s="7">
        <v>192400</v>
      </c>
      <c r="M169" s="7">
        <v>19</v>
      </c>
      <c r="N169" s="7">
        <v>24</v>
      </c>
      <c r="O169" s="7">
        <v>0</v>
      </c>
    </row>
    <row r="170" spans="1:15">
      <c r="A170" s="7" t="s">
        <v>1717</v>
      </c>
      <c r="B170" s="7" t="s">
        <v>1496</v>
      </c>
      <c r="C170" s="7" t="s">
        <v>1718</v>
      </c>
      <c r="D170" s="7" t="s">
        <v>1719</v>
      </c>
      <c r="E170" s="7" t="s">
        <v>1519</v>
      </c>
      <c r="F170" s="7">
        <v>200000</v>
      </c>
      <c r="G170" s="7">
        <v>20</v>
      </c>
      <c r="H170" s="7">
        <v>0</v>
      </c>
      <c r="I170" s="7">
        <v>0</v>
      </c>
      <c r="K170" s="7" t="s">
        <v>1519</v>
      </c>
      <c r="L170" s="7">
        <v>200000</v>
      </c>
      <c r="M170" s="7">
        <v>20</v>
      </c>
      <c r="N170" s="7">
        <v>0</v>
      </c>
      <c r="O170" s="7">
        <v>0</v>
      </c>
    </row>
    <row r="171" spans="1:15">
      <c r="A171" s="7" t="s">
        <v>1717</v>
      </c>
      <c r="B171" s="7" t="s">
        <v>1496</v>
      </c>
      <c r="C171" s="7" t="s">
        <v>1718</v>
      </c>
      <c r="E171" s="7" t="s">
        <v>1501</v>
      </c>
      <c r="F171" s="7">
        <v>201000</v>
      </c>
      <c r="G171" s="7">
        <v>20</v>
      </c>
      <c r="H171" s="7">
        <v>10</v>
      </c>
      <c r="I171" s="7">
        <v>0</v>
      </c>
      <c r="K171" s="7" t="s">
        <v>1501</v>
      </c>
      <c r="L171" s="7">
        <v>201000</v>
      </c>
      <c r="M171" s="7">
        <v>20</v>
      </c>
      <c r="N171" s="7">
        <v>10</v>
      </c>
      <c r="O171" s="7">
        <v>0</v>
      </c>
    </row>
    <row r="172" spans="1:15">
      <c r="A172" s="7" t="s">
        <v>1717</v>
      </c>
      <c r="B172" s="7" t="s">
        <v>1496</v>
      </c>
      <c r="C172" s="7" t="s">
        <v>1718</v>
      </c>
      <c r="D172" s="7" t="s">
        <v>1720</v>
      </c>
      <c r="E172" s="7" t="s">
        <v>1642</v>
      </c>
      <c r="F172" s="7">
        <v>220000</v>
      </c>
      <c r="G172" s="7">
        <v>22</v>
      </c>
      <c r="H172" s="7">
        <v>0</v>
      </c>
      <c r="I172" s="7">
        <v>0</v>
      </c>
      <c r="K172" s="7" t="s">
        <v>1721</v>
      </c>
      <c r="L172" s="7">
        <v>201100</v>
      </c>
      <c r="M172" s="7">
        <v>20</v>
      </c>
      <c r="N172" s="7">
        <v>11</v>
      </c>
      <c r="O172" s="7">
        <v>0</v>
      </c>
    </row>
    <row r="173" spans="1:15">
      <c r="A173" s="7" t="s">
        <v>1717</v>
      </c>
      <c r="B173" s="7" t="s">
        <v>1496</v>
      </c>
      <c r="C173" s="7" t="s">
        <v>1718</v>
      </c>
      <c r="E173" s="7" t="s">
        <v>1722</v>
      </c>
      <c r="F173" s="7">
        <v>221600</v>
      </c>
      <c r="G173" s="7">
        <v>22</v>
      </c>
      <c r="H173" s="7">
        <v>16</v>
      </c>
      <c r="I173" s="7">
        <v>0</v>
      </c>
      <c r="K173" s="7" t="s">
        <v>1723</v>
      </c>
      <c r="L173" s="7">
        <v>201200</v>
      </c>
      <c r="M173" s="7">
        <v>20</v>
      </c>
      <c r="N173" s="7">
        <v>12</v>
      </c>
      <c r="O173" s="7">
        <v>0</v>
      </c>
    </row>
    <row r="174" spans="1:15">
      <c r="A174" s="7" t="s">
        <v>1717</v>
      </c>
      <c r="B174" s="7" t="s">
        <v>1496</v>
      </c>
      <c r="C174" s="7" t="s">
        <v>1718</v>
      </c>
      <c r="D174" s="7" t="s">
        <v>1724</v>
      </c>
      <c r="E174" s="7" t="s">
        <v>1725</v>
      </c>
      <c r="F174" s="7">
        <v>310000</v>
      </c>
      <c r="G174" s="7">
        <v>31</v>
      </c>
      <c r="H174" s="7">
        <v>0</v>
      </c>
      <c r="I174" s="7">
        <v>0</v>
      </c>
      <c r="K174" s="7" t="s">
        <v>1726</v>
      </c>
      <c r="L174" s="7">
        <v>201300</v>
      </c>
      <c r="M174" s="7">
        <v>20</v>
      </c>
      <c r="N174" s="7">
        <v>13</v>
      </c>
      <c r="O174" s="7">
        <v>0</v>
      </c>
    </row>
    <row r="175" spans="1:15">
      <c r="A175" s="7" t="s">
        <v>1717</v>
      </c>
      <c r="B175" s="7" t="s">
        <v>1496</v>
      </c>
      <c r="C175" s="7" t="s">
        <v>1718</v>
      </c>
      <c r="E175" s="7" t="s">
        <v>1727</v>
      </c>
      <c r="F175" s="7">
        <v>311900</v>
      </c>
      <c r="G175" s="7">
        <v>31</v>
      </c>
      <c r="H175" s="7">
        <v>19</v>
      </c>
      <c r="I175" s="7">
        <v>0</v>
      </c>
      <c r="K175" s="7" t="s">
        <v>1728</v>
      </c>
      <c r="L175" s="7">
        <v>201400</v>
      </c>
      <c r="M175" s="7">
        <v>20</v>
      </c>
      <c r="N175" s="7">
        <v>14</v>
      </c>
      <c r="O175" s="7">
        <v>0</v>
      </c>
    </row>
    <row r="176" spans="1:15">
      <c r="A176" s="7" t="s">
        <v>1717</v>
      </c>
      <c r="B176" s="7" t="s">
        <v>1496</v>
      </c>
      <c r="C176" s="7" t="s">
        <v>1718</v>
      </c>
      <c r="E176" s="7" t="s">
        <v>1729</v>
      </c>
      <c r="F176" s="7">
        <v>311910</v>
      </c>
      <c r="G176" s="7">
        <v>31</v>
      </c>
      <c r="H176" s="7">
        <v>19</v>
      </c>
      <c r="I176" s="7">
        <v>10</v>
      </c>
      <c r="K176" s="7" t="s">
        <v>1730</v>
      </c>
      <c r="L176" s="7">
        <v>201500</v>
      </c>
      <c r="M176" s="7">
        <v>20</v>
      </c>
      <c r="N176" s="7">
        <v>15</v>
      </c>
      <c r="O176" s="7">
        <v>0</v>
      </c>
    </row>
    <row r="177" spans="1:15">
      <c r="A177" s="7" t="s">
        <v>1717</v>
      </c>
      <c r="B177" s="7" t="s">
        <v>1496</v>
      </c>
      <c r="C177" s="7" t="s">
        <v>1718</v>
      </c>
      <c r="E177" s="7" t="s">
        <v>1731</v>
      </c>
      <c r="F177" s="7">
        <v>311920</v>
      </c>
      <c r="G177" s="7">
        <v>31</v>
      </c>
      <c r="H177" s="7">
        <v>19</v>
      </c>
      <c r="I177" s="7">
        <v>20</v>
      </c>
      <c r="K177" s="7" t="s">
        <v>1516</v>
      </c>
      <c r="L177" s="7">
        <v>210000</v>
      </c>
      <c r="M177" s="7">
        <v>21</v>
      </c>
      <c r="N177" s="7">
        <v>0</v>
      </c>
      <c r="O177" s="7">
        <v>0</v>
      </c>
    </row>
    <row r="178" spans="1:15">
      <c r="A178" s="7" t="s">
        <v>1717</v>
      </c>
      <c r="B178" s="7" t="s">
        <v>1496</v>
      </c>
      <c r="C178" s="7" t="s">
        <v>1718</v>
      </c>
      <c r="E178" s="7" t="s">
        <v>1732</v>
      </c>
      <c r="F178" s="7">
        <v>311930</v>
      </c>
      <c r="G178" s="7">
        <v>31</v>
      </c>
      <c r="H178" s="7">
        <v>19</v>
      </c>
      <c r="I178" s="7">
        <v>30</v>
      </c>
      <c r="K178" s="7" t="s">
        <v>1635</v>
      </c>
      <c r="L178" s="7">
        <v>211000</v>
      </c>
      <c r="M178" s="7">
        <v>21</v>
      </c>
      <c r="N178" s="7">
        <v>10</v>
      </c>
      <c r="O178" s="7">
        <v>0</v>
      </c>
    </row>
    <row r="179" spans="1:15">
      <c r="A179" s="7" t="s">
        <v>1717</v>
      </c>
      <c r="B179" s="7" t="s">
        <v>1496</v>
      </c>
      <c r="C179" s="7" t="s">
        <v>1718</v>
      </c>
      <c r="E179" s="7" t="s">
        <v>1733</v>
      </c>
      <c r="F179" s="7">
        <v>312000</v>
      </c>
      <c r="G179" s="7">
        <v>31</v>
      </c>
      <c r="H179" s="7">
        <v>20</v>
      </c>
      <c r="I179" s="7">
        <v>0</v>
      </c>
      <c r="K179" s="7" t="s">
        <v>145</v>
      </c>
      <c r="L179" s="7">
        <v>211100</v>
      </c>
      <c r="M179" s="7">
        <v>21</v>
      </c>
      <c r="N179" s="7">
        <v>11</v>
      </c>
      <c r="O179" s="7">
        <v>0</v>
      </c>
    </row>
    <row r="180" spans="1:15">
      <c r="A180" s="7" t="s">
        <v>1717</v>
      </c>
      <c r="B180" s="7" t="s">
        <v>1496</v>
      </c>
      <c r="C180" s="7" t="s">
        <v>1718</v>
      </c>
      <c r="E180" s="7" t="s">
        <v>1501</v>
      </c>
      <c r="F180" s="7">
        <v>312010</v>
      </c>
      <c r="G180" s="7">
        <v>31</v>
      </c>
      <c r="H180" s="7">
        <v>20</v>
      </c>
      <c r="I180" s="7">
        <v>10</v>
      </c>
      <c r="K180" s="7" t="s">
        <v>1554</v>
      </c>
      <c r="L180" s="7">
        <v>211300</v>
      </c>
      <c r="M180" s="7">
        <v>21</v>
      </c>
      <c r="N180" s="7">
        <v>13</v>
      </c>
      <c r="O180" s="7">
        <v>0</v>
      </c>
    </row>
    <row r="181" spans="1:15">
      <c r="A181" s="7" t="s">
        <v>1717</v>
      </c>
      <c r="B181" s="7" t="s">
        <v>1496</v>
      </c>
      <c r="C181" s="7" t="s">
        <v>1718</v>
      </c>
      <c r="E181" s="7" t="s">
        <v>1734</v>
      </c>
      <c r="F181" s="7">
        <v>312020</v>
      </c>
      <c r="G181" s="7">
        <v>31</v>
      </c>
      <c r="H181" s="7">
        <v>20</v>
      </c>
      <c r="I181" s="7">
        <v>20</v>
      </c>
      <c r="K181" s="7" t="s">
        <v>1557</v>
      </c>
      <c r="L181" s="7">
        <v>211400</v>
      </c>
      <c r="M181" s="7">
        <v>21</v>
      </c>
      <c r="N181" s="7">
        <v>14</v>
      </c>
      <c r="O181" s="7">
        <v>0</v>
      </c>
    </row>
    <row r="182" spans="1:15">
      <c r="A182" s="7" t="s">
        <v>1717</v>
      </c>
      <c r="B182" s="7" t="s">
        <v>1496</v>
      </c>
      <c r="C182" s="7" t="s">
        <v>1718</v>
      </c>
      <c r="E182" s="7" t="s">
        <v>1622</v>
      </c>
      <c r="F182" s="7">
        <v>312021</v>
      </c>
      <c r="G182" s="7">
        <v>31</v>
      </c>
      <c r="H182" s="7">
        <v>20</v>
      </c>
      <c r="I182" s="7">
        <v>21</v>
      </c>
      <c r="K182" s="7" t="s">
        <v>1626</v>
      </c>
      <c r="L182" s="7">
        <v>211500</v>
      </c>
      <c r="M182" s="7">
        <v>21</v>
      </c>
      <c r="N182" s="7">
        <v>15</v>
      </c>
      <c r="O182" s="7">
        <v>0</v>
      </c>
    </row>
    <row r="183" spans="1:15">
      <c r="A183" s="7" t="s">
        <v>1717</v>
      </c>
      <c r="B183" s="7" t="s">
        <v>1496</v>
      </c>
      <c r="C183" s="7" t="s">
        <v>1718</v>
      </c>
      <c r="E183" s="7" t="s">
        <v>1735</v>
      </c>
      <c r="F183" s="7">
        <v>312022</v>
      </c>
      <c r="G183" s="7">
        <v>31</v>
      </c>
      <c r="H183" s="7">
        <v>20</v>
      </c>
      <c r="I183" s="7">
        <v>22</v>
      </c>
      <c r="K183" s="7" t="s">
        <v>1629</v>
      </c>
      <c r="L183" s="7">
        <v>211600</v>
      </c>
      <c r="M183" s="7">
        <v>21</v>
      </c>
      <c r="N183" s="7">
        <v>16</v>
      </c>
      <c r="O183" s="7">
        <v>0</v>
      </c>
    </row>
    <row r="184" spans="1:15">
      <c r="A184" s="7" t="s">
        <v>1717</v>
      </c>
      <c r="B184" s="7" t="s">
        <v>1496</v>
      </c>
      <c r="C184" s="7" t="s">
        <v>1718</v>
      </c>
      <c r="D184" s="7" t="s">
        <v>1736</v>
      </c>
      <c r="E184" s="7" t="s">
        <v>1523</v>
      </c>
      <c r="F184" s="7">
        <v>790000</v>
      </c>
      <c r="G184" s="7">
        <v>79</v>
      </c>
      <c r="H184" s="7">
        <v>0</v>
      </c>
      <c r="I184" s="7">
        <v>0</v>
      </c>
      <c r="K184" s="7" t="s">
        <v>1737</v>
      </c>
      <c r="L184" s="7">
        <v>211200</v>
      </c>
      <c r="M184" s="7">
        <v>21</v>
      </c>
      <c r="N184" s="7">
        <v>12</v>
      </c>
      <c r="O184" s="7">
        <v>0</v>
      </c>
    </row>
    <row r="185" spans="1:15">
      <c r="A185" s="7" t="s">
        <v>1738</v>
      </c>
      <c r="B185" s="7" t="s">
        <v>1496</v>
      </c>
      <c r="C185" s="7" t="s">
        <v>1739</v>
      </c>
      <c r="D185" s="7" t="s">
        <v>1740</v>
      </c>
      <c r="E185" s="7" t="s">
        <v>1503</v>
      </c>
      <c r="F185" s="7">
        <v>100000</v>
      </c>
      <c r="G185" s="7">
        <v>10</v>
      </c>
      <c r="H185" s="7">
        <v>0</v>
      </c>
      <c r="I185" s="7">
        <v>0</v>
      </c>
      <c r="K185" s="7" t="s">
        <v>1741</v>
      </c>
      <c r="L185" s="7">
        <v>211210</v>
      </c>
      <c r="M185" s="7">
        <v>21</v>
      </c>
      <c r="N185" s="7">
        <v>12</v>
      </c>
      <c r="O185" s="7">
        <v>10</v>
      </c>
    </row>
    <row r="186" spans="1:15">
      <c r="A186" s="7" t="s">
        <v>1738</v>
      </c>
      <c r="B186" s="7" t="s">
        <v>1496</v>
      </c>
      <c r="C186" s="7" t="s">
        <v>1739</v>
      </c>
      <c r="E186" s="7" t="s">
        <v>1501</v>
      </c>
      <c r="F186" s="7">
        <v>101000</v>
      </c>
      <c r="G186" s="7">
        <v>10</v>
      </c>
      <c r="H186" s="7">
        <v>10</v>
      </c>
      <c r="I186" s="7">
        <v>0</v>
      </c>
      <c r="K186" s="7" t="s">
        <v>1742</v>
      </c>
      <c r="L186" s="7">
        <v>211220</v>
      </c>
      <c r="M186" s="7">
        <v>21</v>
      </c>
      <c r="N186" s="7">
        <v>12</v>
      </c>
      <c r="O186" s="7">
        <v>20</v>
      </c>
    </row>
    <row r="187" spans="1:15">
      <c r="A187" s="7" t="s">
        <v>1738</v>
      </c>
      <c r="B187" s="7" t="s">
        <v>1496</v>
      </c>
      <c r="C187" s="7" t="s">
        <v>1739</v>
      </c>
      <c r="E187" s="7" t="s">
        <v>1505</v>
      </c>
      <c r="F187" s="7">
        <v>101600</v>
      </c>
      <c r="G187" s="7">
        <v>10</v>
      </c>
      <c r="H187" s="7">
        <v>16</v>
      </c>
      <c r="I187" s="7">
        <v>0</v>
      </c>
      <c r="K187" s="7" t="s">
        <v>1743</v>
      </c>
      <c r="L187" s="7">
        <v>211230</v>
      </c>
      <c r="M187" s="7">
        <v>21</v>
      </c>
      <c r="N187" s="7">
        <v>12</v>
      </c>
      <c r="O187" s="7">
        <v>30</v>
      </c>
    </row>
    <row r="188" spans="1:15">
      <c r="A188" s="7" t="s">
        <v>1738</v>
      </c>
      <c r="B188" s="7" t="s">
        <v>1496</v>
      </c>
      <c r="C188" s="7" t="s">
        <v>1739</v>
      </c>
      <c r="E188" s="7" t="s">
        <v>1507</v>
      </c>
      <c r="F188" s="7">
        <v>101700</v>
      </c>
      <c r="G188" s="7">
        <v>10</v>
      </c>
      <c r="H188" s="7">
        <v>17</v>
      </c>
      <c r="I188" s="7">
        <v>0</v>
      </c>
      <c r="K188" s="7" t="s">
        <v>1744</v>
      </c>
      <c r="L188" s="7">
        <v>211240</v>
      </c>
      <c r="M188" s="7">
        <v>21</v>
      </c>
      <c r="N188" s="7">
        <v>12</v>
      </c>
      <c r="O188" s="7">
        <v>40</v>
      </c>
    </row>
    <row r="189" spans="1:15">
      <c r="A189" s="7" t="s">
        <v>1738</v>
      </c>
      <c r="B189" s="7" t="s">
        <v>1496</v>
      </c>
      <c r="C189" s="7" t="s">
        <v>1739</v>
      </c>
      <c r="E189" s="7" t="s">
        <v>1509</v>
      </c>
      <c r="F189" s="7">
        <v>101800</v>
      </c>
      <c r="G189" s="7">
        <v>10</v>
      </c>
      <c r="H189" s="7">
        <v>18</v>
      </c>
      <c r="I189" s="7">
        <v>0</v>
      </c>
      <c r="K189" s="7" t="s">
        <v>1642</v>
      </c>
      <c r="L189" s="7">
        <v>220000</v>
      </c>
      <c r="M189" s="7">
        <v>22</v>
      </c>
      <c r="N189" s="7">
        <v>0</v>
      </c>
      <c r="O189" s="7">
        <v>0</v>
      </c>
    </row>
    <row r="190" spans="1:15">
      <c r="A190" s="7" t="s">
        <v>1738</v>
      </c>
      <c r="B190" s="7" t="s">
        <v>1496</v>
      </c>
      <c r="C190" s="7" t="s">
        <v>1739</v>
      </c>
      <c r="E190" s="7" t="s">
        <v>1511</v>
      </c>
      <c r="F190" s="7">
        <v>101900</v>
      </c>
      <c r="G190" s="7">
        <v>10</v>
      </c>
      <c r="H190" s="7">
        <v>19</v>
      </c>
      <c r="I190" s="7">
        <v>0</v>
      </c>
      <c r="K190" s="7" t="s">
        <v>1552</v>
      </c>
      <c r="L190" s="7">
        <v>221000</v>
      </c>
      <c r="M190" s="7">
        <v>22</v>
      </c>
      <c r="N190" s="7">
        <v>10</v>
      </c>
      <c r="O190" s="7">
        <v>0</v>
      </c>
    </row>
    <row r="191" spans="1:15">
      <c r="A191" s="7" t="s">
        <v>1738</v>
      </c>
      <c r="B191" s="7" t="s">
        <v>1496</v>
      </c>
      <c r="C191" s="7" t="s">
        <v>1739</v>
      </c>
      <c r="D191" s="7" t="s">
        <v>1745</v>
      </c>
      <c r="E191" s="7" t="s">
        <v>145</v>
      </c>
      <c r="F191" s="7">
        <v>140000</v>
      </c>
      <c r="G191" s="7">
        <v>14</v>
      </c>
      <c r="H191" s="7">
        <v>0</v>
      </c>
      <c r="I191" s="7">
        <v>0</v>
      </c>
      <c r="K191" s="7" t="s">
        <v>1626</v>
      </c>
      <c r="L191" s="7">
        <v>221100</v>
      </c>
      <c r="M191" s="7">
        <v>22</v>
      </c>
      <c r="N191" s="7">
        <v>11</v>
      </c>
      <c r="O191" s="7">
        <v>0</v>
      </c>
    </row>
    <row r="192" spans="1:15">
      <c r="A192" s="7" t="s">
        <v>1738</v>
      </c>
      <c r="B192" s="7" t="s">
        <v>1496</v>
      </c>
      <c r="C192" s="7" t="s">
        <v>1739</v>
      </c>
      <c r="E192" s="7" t="s">
        <v>1501</v>
      </c>
      <c r="F192" s="7">
        <v>141000</v>
      </c>
      <c r="G192" s="7">
        <v>14</v>
      </c>
      <c r="H192" s="7">
        <v>10</v>
      </c>
      <c r="I192" s="7">
        <v>0</v>
      </c>
      <c r="K192" s="7" t="s">
        <v>1629</v>
      </c>
      <c r="L192" s="7">
        <v>221200</v>
      </c>
      <c r="M192" s="7">
        <v>22</v>
      </c>
      <c r="N192" s="7">
        <v>12</v>
      </c>
      <c r="O192" s="7">
        <v>0</v>
      </c>
    </row>
    <row r="193" spans="1:15">
      <c r="A193" s="7" t="s">
        <v>1738</v>
      </c>
      <c r="B193" s="7" t="s">
        <v>1496</v>
      </c>
      <c r="C193" s="7" t="s">
        <v>1739</v>
      </c>
      <c r="E193" s="7" t="s">
        <v>1552</v>
      </c>
      <c r="F193" s="7">
        <v>141600</v>
      </c>
      <c r="G193" s="7">
        <v>14</v>
      </c>
      <c r="H193" s="7">
        <v>16</v>
      </c>
      <c r="I193" s="7">
        <v>0</v>
      </c>
      <c r="K193" s="7" t="s">
        <v>1557</v>
      </c>
      <c r="L193" s="7">
        <v>221300</v>
      </c>
      <c r="M193" s="7">
        <v>22</v>
      </c>
      <c r="N193" s="7">
        <v>13</v>
      </c>
      <c r="O193" s="7">
        <v>0</v>
      </c>
    </row>
    <row r="194" spans="1:15">
      <c r="A194" s="7" t="s">
        <v>1738</v>
      </c>
      <c r="B194" s="7" t="s">
        <v>1496</v>
      </c>
      <c r="C194" s="7" t="s">
        <v>1739</v>
      </c>
      <c r="E194" s="7" t="s">
        <v>1560</v>
      </c>
      <c r="F194" s="7">
        <v>142400</v>
      </c>
      <c r="G194" s="7">
        <v>14</v>
      </c>
      <c r="H194" s="7">
        <v>24</v>
      </c>
      <c r="I194" s="7">
        <v>0</v>
      </c>
      <c r="K194" s="7" t="s">
        <v>1643</v>
      </c>
      <c r="L194" s="7">
        <v>221400</v>
      </c>
      <c r="M194" s="7">
        <v>22</v>
      </c>
      <c r="N194" s="7">
        <v>14</v>
      </c>
      <c r="O194" s="7">
        <v>0</v>
      </c>
    </row>
    <row r="195" spans="1:15">
      <c r="A195" s="7" t="s">
        <v>1738</v>
      </c>
      <c r="B195" s="7" t="s">
        <v>1496</v>
      </c>
      <c r="C195" s="7" t="s">
        <v>1739</v>
      </c>
      <c r="E195" s="7" t="s">
        <v>1562</v>
      </c>
      <c r="F195" s="7">
        <v>142500</v>
      </c>
      <c r="G195" s="7">
        <v>14</v>
      </c>
      <c r="H195" s="7">
        <v>25</v>
      </c>
      <c r="I195" s="7">
        <v>0</v>
      </c>
      <c r="K195" s="7" t="s">
        <v>1722</v>
      </c>
      <c r="L195" s="7">
        <v>221600</v>
      </c>
      <c r="M195" s="7">
        <v>22</v>
      </c>
      <c r="N195" s="7">
        <v>16</v>
      </c>
      <c r="O195" s="7">
        <v>0</v>
      </c>
    </row>
    <row r="196" spans="1:15">
      <c r="A196" s="7" t="s">
        <v>1738</v>
      </c>
      <c r="B196" s="7" t="s">
        <v>1496</v>
      </c>
      <c r="C196" s="7" t="s">
        <v>1739</v>
      </c>
      <c r="D196" s="7" t="s">
        <v>1746</v>
      </c>
      <c r="E196" s="7" t="s">
        <v>1499</v>
      </c>
      <c r="F196" s="7">
        <v>160000</v>
      </c>
      <c r="G196" s="7">
        <v>16</v>
      </c>
      <c r="H196" s="7">
        <v>0</v>
      </c>
      <c r="I196" s="7">
        <v>0</v>
      </c>
      <c r="K196" s="7" t="s">
        <v>1501</v>
      </c>
      <c r="L196" s="7">
        <v>221500</v>
      </c>
      <c r="M196" s="7">
        <v>22</v>
      </c>
      <c r="N196" s="7">
        <v>15</v>
      </c>
      <c r="O196" s="7">
        <v>0</v>
      </c>
    </row>
    <row r="197" spans="1:15">
      <c r="A197" s="7" t="s">
        <v>1738</v>
      </c>
      <c r="B197" s="7" t="s">
        <v>1496</v>
      </c>
      <c r="C197" s="7" t="s">
        <v>1739</v>
      </c>
      <c r="E197" s="7" t="s">
        <v>1649</v>
      </c>
      <c r="F197" s="7">
        <v>161100</v>
      </c>
      <c r="G197" s="7">
        <v>16</v>
      </c>
      <c r="H197" s="7">
        <v>11</v>
      </c>
      <c r="I197" s="7">
        <v>0</v>
      </c>
      <c r="K197" s="286" t="s">
        <v>1568</v>
      </c>
      <c r="L197" s="7">
        <v>230000</v>
      </c>
      <c r="M197" s="7">
        <v>23</v>
      </c>
      <c r="N197" s="7">
        <v>0</v>
      </c>
      <c r="O197" s="7">
        <v>0</v>
      </c>
    </row>
    <row r="198" spans="1:15">
      <c r="A198" s="7" t="s">
        <v>1738</v>
      </c>
      <c r="B198" s="7" t="s">
        <v>1496</v>
      </c>
      <c r="C198" s="7" t="s">
        <v>1739</v>
      </c>
      <c r="E198" s="7" t="s">
        <v>1651</v>
      </c>
      <c r="F198" s="7">
        <v>161110</v>
      </c>
      <c r="G198" s="7">
        <v>16</v>
      </c>
      <c r="H198" s="7">
        <v>11</v>
      </c>
      <c r="I198" s="7">
        <v>10</v>
      </c>
      <c r="K198" s="7" t="s">
        <v>1570</v>
      </c>
      <c r="L198" s="7">
        <v>231300</v>
      </c>
      <c r="M198" s="7">
        <v>23</v>
      </c>
      <c r="N198" s="7">
        <v>13</v>
      </c>
      <c r="O198" s="7">
        <v>0</v>
      </c>
    </row>
    <row r="199" spans="1:15">
      <c r="A199" s="7" t="s">
        <v>1738</v>
      </c>
      <c r="B199" s="7" t="s">
        <v>1496</v>
      </c>
      <c r="C199" s="7" t="s">
        <v>1739</v>
      </c>
      <c r="D199" s="7" t="s">
        <v>1747</v>
      </c>
      <c r="E199" s="7" t="s">
        <v>1519</v>
      </c>
      <c r="F199" s="7">
        <v>200000</v>
      </c>
      <c r="G199" s="7">
        <v>20</v>
      </c>
      <c r="H199" s="7">
        <v>0</v>
      </c>
      <c r="I199" s="7">
        <v>0</v>
      </c>
      <c r="K199" s="7" t="s">
        <v>1572</v>
      </c>
      <c r="L199" s="7">
        <v>231400</v>
      </c>
      <c r="M199" s="7">
        <v>23</v>
      </c>
      <c r="N199" s="7">
        <v>14</v>
      </c>
      <c r="O199" s="7">
        <v>0</v>
      </c>
    </row>
    <row r="200" spans="1:15">
      <c r="A200" s="7" t="s">
        <v>1738</v>
      </c>
      <c r="B200" s="7" t="s">
        <v>1496</v>
      </c>
      <c r="C200" s="7" t="s">
        <v>1739</v>
      </c>
      <c r="E200" s="7" t="s">
        <v>1501</v>
      </c>
      <c r="F200" s="7">
        <v>201000</v>
      </c>
      <c r="G200" s="7">
        <v>20</v>
      </c>
      <c r="H200" s="7">
        <v>10</v>
      </c>
      <c r="I200" s="7">
        <v>0</v>
      </c>
      <c r="K200" s="7" t="s">
        <v>1574</v>
      </c>
      <c r="L200" s="7">
        <v>231600</v>
      </c>
      <c r="M200" s="7">
        <v>23</v>
      </c>
      <c r="N200" s="7">
        <v>16</v>
      </c>
      <c r="O200" s="7">
        <v>0</v>
      </c>
    </row>
    <row r="201" spans="1:15">
      <c r="A201" s="7" t="s">
        <v>1738</v>
      </c>
      <c r="B201" s="7" t="s">
        <v>1496</v>
      </c>
      <c r="C201" s="7" t="s">
        <v>1739</v>
      </c>
      <c r="D201" s="7" t="s">
        <v>1748</v>
      </c>
      <c r="E201" s="7" t="s">
        <v>1568</v>
      </c>
      <c r="F201" s="7">
        <v>230000</v>
      </c>
      <c r="G201" s="7">
        <v>23</v>
      </c>
      <c r="H201" s="7">
        <v>0</v>
      </c>
      <c r="I201" s="7">
        <v>0</v>
      </c>
      <c r="K201" s="7" t="s">
        <v>1576</v>
      </c>
      <c r="L201" s="7">
        <v>231700</v>
      </c>
      <c r="M201" s="7">
        <v>23</v>
      </c>
      <c r="N201" s="7">
        <v>17</v>
      </c>
      <c r="O201" s="7">
        <v>0</v>
      </c>
    </row>
    <row r="202" spans="1:15">
      <c r="A202" s="7" t="s">
        <v>1738</v>
      </c>
      <c r="B202" s="7" t="s">
        <v>1496</v>
      </c>
      <c r="C202" s="7" t="s">
        <v>1739</v>
      </c>
      <c r="E202" s="7" t="s">
        <v>1570</v>
      </c>
      <c r="F202" s="7">
        <v>231300</v>
      </c>
      <c r="G202" s="7">
        <v>23</v>
      </c>
      <c r="H202" s="7">
        <v>13</v>
      </c>
      <c r="I202" s="7">
        <v>0</v>
      </c>
      <c r="K202" s="7" t="s">
        <v>1578</v>
      </c>
      <c r="L202" s="7">
        <v>231800</v>
      </c>
      <c r="M202" s="7">
        <v>23</v>
      </c>
      <c r="N202" s="7">
        <v>18</v>
      </c>
      <c r="O202" s="7">
        <v>0</v>
      </c>
    </row>
    <row r="203" spans="1:15">
      <c r="A203" s="7" t="s">
        <v>1738</v>
      </c>
      <c r="B203" s="7" t="s">
        <v>1496</v>
      </c>
      <c r="C203" s="7" t="s">
        <v>1739</v>
      </c>
      <c r="E203" s="7" t="s">
        <v>1749</v>
      </c>
      <c r="F203" s="7">
        <v>231500</v>
      </c>
      <c r="G203" s="7">
        <v>23</v>
      </c>
      <c r="H203" s="7">
        <v>15</v>
      </c>
      <c r="I203" s="7">
        <v>0</v>
      </c>
      <c r="K203" s="7" t="s">
        <v>1580</v>
      </c>
      <c r="L203" s="7">
        <v>232900</v>
      </c>
      <c r="M203" s="7">
        <v>23</v>
      </c>
      <c r="N203" s="7">
        <v>29</v>
      </c>
      <c r="O203" s="7">
        <v>0</v>
      </c>
    </row>
    <row r="204" spans="1:15">
      <c r="A204" s="7" t="s">
        <v>1738</v>
      </c>
      <c r="B204" s="7" t="s">
        <v>1496</v>
      </c>
      <c r="C204" s="7" t="s">
        <v>1739</v>
      </c>
      <c r="D204" s="7" t="s">
        <v>1750</v>
      </c>
      <c r="E204" s="7" t="s">
        <v>1587</v>
      </c>
      <c r="F204" s="7">
        <v>250000</v>
      </c>
      <c r="G204" s="7">
        <v>25</v>
      </c>
      <c r="H204" s="7">
        <v>0</v>
      </c>
      <c r="I204" s="7">
        <v>0</v>
      </c>
      <c r="K204" s="7" t="s">
        <v>1749</v>
      </c>
      <c r="L204" s="7">
        <v>231500</v>
      </c>
      <c r="M204" s="7">
        <v>23</v>
      </c>
      <c r="N204" s="7">
        <v>15</v>
      </c>
      <c r="O204" s="7">
        <v>0</v>
      </c>
    </row>
    <row r="205" spans="1:15">
      <c r="A205" s="7" t="s">
        <v>1738</v>
      </c>
      <c r="B205" s="7" t="s">
        <v>1496</v>
      </c>
      <c r="C205" s="7" t="s">
        <v>1739</v>
      </c>
      <c r="E205" s="7" t="s">
        <v>1501</v>
      </c>
      <c r="F205" s="7">
        <v>251000</v>
      </c>
      <c r="G205" s="7">
        <v>25</v>
      </c>
      <c r="H205" s="7">
        <v>10</v>
      </c>
      <c r="I205" s="7">
        <v>0</v>
      </c>
      <c r="K205" s="7" t="s">
        <v>1751</v>
      </c>
      <c r="L205" s="7">
        <v>231600</v>
      </c>
      <c r="M205" s="7">
        <v>23</v>
      </c>
      <c r="N205" s="7">
        <v>16</v>
      </c>
      <c r="O205" s="7">
        <v>0</v>
      </c>
    </row>
    <row r="206" spans="1:15">
      <c r="A206" s="7" t="s">
        <v>1738</v>
      </c>
      <c r="B206" s="7" t="s">
        <v>1496</v>
      </c>
      <c r="C206" s="7" t="s">
        <v>1739</v>
      </c>
      <c r="E206" s="7" t="s">
        <v>1590</v>
      </c>
      <c r="F206" s="7">
        <v>251010</v>
      </c>
      <c r="G206" s="7">
        <v>25</v>
      </c>
      <c r="H206" s="7">
        <v>10</v>
      </c>
      <c r="I206" s="7">
        <v>10</v>
      </c>
      <c r="K206" s="7" t="s">
        <v>1752</v>
      </c>
      <c r="L206" s="7">
        <v>232100</v>
      </c>
      <c r="M206" s="7">
        <v>23</v>
      </c>
      <c r="N206" s="7">
        <v>21</v>
      </c>
      <c r="O206" s="7">
        <v>0</v>
      </c>
    </row>
    <row r="207" spans="1:15">
      <c r="A207" s="7" t="s">
        <v>1738</v>
      </c>
      <c r="B207" s="7" t="s">
        <v>1496</v>
      </c>
      <c r="C207" s="7" t="s">
        <v>1739</v>
      </c>
      <c r="D207" s="7" t="s">
        <v>1753</v>
      </c>
      <c r="E207" s="7" t="s">
        <v>1523</v>
      </c>
      <c r="F207" s="7">
        <v>790000</v>
      </c>
      <c r="G207" s="7">
        <v>79</v>
      </c>
      <c r="H207" s="7">
        <v>0</v>
      </c>
      <c r="I207" s="7">
        <v>0</v>
      </c>
      <c r="K207" s="7" t="s">
        <v>1754</v>
      </c>
      <c r="L207" s="7">
        <v>232140</v>
      </c>
      <c r="M207" s="7">
        <v>23</v>
      </c>
      <c r="N207" s="7">
        <v>21</v>
      </c>
      <c r="O207" s="7">
        <v>40</v>
      </c>
    </row>
    <row r="208" spans="1:15">
      <c r="A208" s="7" t="s">
        <v>1755</v>
      </c>
      <c r="B208" s="7" t="s">
        <v>1496</v>
      </c>
      <c r="C208" s="7" t="s">
        <v>1756</v>
      </c>
      <c r="D208" s="7" t="s">
        <v>1757</v>
      </c>
      <c r="E208" s="7" t="s">
        <v>1499</v>
      </c>
      <c r="F208" s="7">
        <v>160000</v>
      </c>
      <c r="G208" s="7">
        <v>16</v>
      </c>
      <c r="H208" s="7">
        <v>0</v>
      </c>
      <c r="I208" s="7">
        <v>0</v>
      </c>
      <c r="K208" s="7" t="s">
        <v>1569</v>
      </c>
      <c r="L208" s="7">
        <v>232300</v>
      </c>
      <c r="M208" s="7">
        <v>23</v>
      </c>
      <c r="N208" s="7">
        <v>23</v>
      </c>
      <c r="O208" s="7">
        <v>0</v>
      </c>
    </row>
    <row r="209" spans="1:15">
      <c r="A209" s="7" t="s">
        <v>1755</v>
      </c>
      <c r="B209" s="7" t="s">
        <v>1496</v>
      </c>
      <c r="C209" s="7" t="s">
        <v>1756</v>
      </c>
      <c r="E209" s="7" t="s">
        <v>1649</v>
      </c>
      <c r="F209" s="7">
        <v>161100</v>
      </c>
      <c r="G209" s="7">
        <v>16</v>
      </c>
      <c r="H209" s="7">
        <v>11</v>
      </c>
      <c r="I209" s="7">
        <v>0</v>
      </c>
      <c r="K209" s="7" t="s">
        <v>1571</v>
      </c>
      <c r="L209" s="7">
        <v>232400</v>
      </c>
      <c r="M209" s="7">
        <v>23</v>
      </c>
      <c r="N209" s="7">
        <v>24</v>
      </c>
      <c r="O209" s="7">
        <v>0</v>
      </c>
    </row>
    <row r="210" spans="1:15">
      <c r="A210" s="7" t="s">
        <v>1755</v>
      </c>
      <c r="B210" s="7" t="s">
        <v>1496</v>
      </c>
      <c r="C210" s="7" t="s">
        <v>1756</v>
      </c>
      <c r="E210" s="7" t="s">
        <v>1651</v>
      </c>
      <c r="F210" s="7">
        <v>161110</v>
      </c>
      <c r="G210" s="7">
        <v>16</v>
      </c>
      <c r="H210" s="7">
        <v>11</v>
      </c>
      <c r="I210" s="7">
        <v>10</v>
      </c>
      <c r="K210" s="7" t="s">
        <v>1573</v>
      </c>
      <c r="L210" s="7">
        <v>232500</v>
      </c>
      <c r="M210" s="7">
        <v>23</v>
      </c>
      <c r="N210" s="7">
        <v>25</v>
      </c>
      <c r="O210" s="7">
        <v>0</v>
      </c>
    </row>
    <row r="211" spans="1:15">
      <c r="A211" s="7" t="s">
        <v>1755</v>
      </c>
      <c r="B211" s="7" t="s">
        <v>1496</v>
      </c>
      <c r="C211" s="7" t="s">
        <v>1756</v>
      </c>
      <c r="D211" s="7" t="s">
        <v>1758</v>
      </c>
      <c r="E211" s="7" t="s">
        <v>1725</v>
      </c>
      <c r="F211" s="7">
        <v>310000</v>
      </c>
      <c r="G211" s="7">
        <v>31</v>
      </c>
      <c r="H211" s="7">
        <v>0</v>
      </c>
      <c r="I211" s="7">
        <v>0</v>
      </c>
      <c r="K211" s="7" t="s">
        <v>1575</v>
      </c>
      <c r="L211" s="7">
        <v>232600</v>
      </c>
      <c r="M211" s="7">
        <v>23</v>
      </c>
      <c r="N211" s="7">
        <v>26</v>
      </c>
      <c r="O211" s="7">
        <v>0</v>
      </c>
    </row>
    <row r="212" spans="1:15">
      <c r="A212" s="7" t="s">
        <v>1755</v>
      </c>
      <c r="B212" s="7" t="s">
        <v>1496</v>
      </c>
      <c r="C212" s="7" t="s">
        <v>1756</v>
      </c>
      <c r="D212" s="7" t="s">
        <v>1759</v>
      </c>
      <c r="E212" s="7" t="s">
        <v>1523</v>
      </c>
      <c r="F212" s="7">
        <v>790000</v>
      </c>
      <c r="G212" s="7">
        <v>79</v>
      </c>
      <c r="H212" s="7">
        <v>0</v>
      </c>
      <c r="I212" s="7">
        <v>0</v>
      </c>
      <c r="K212" s="7" t="s">
        <v>1577</v>
      </c>
      <c r="L212" s="7">
        <v>232700</v>
      </c>
      <c r="M212" s="7">
        <v>23</v>
      </c>
      <c r="N212" s="7">
        <v>27</v>
      </c>
      <c r="O212" s="7">
        <v>0</v>
      </c>
    </row>
    <row r="213" spans="1:15">
      <c r="A213" s="7" t="s">
        <v>1755</v>
      </c>
      <c r="B213" s="7" t="s">
        <v>1496</v>
      </c>
      <c r="C213" s="7" t="s">
        <v>1756</v>
      </c>
      <c r="D213" s="7" t="s">
        <v>1760</v>
      </c>
      <c r="E213" s="7" t="s">
        <v>1707</v>
      </c>
      <c r="F213" s="7">
        <v>900000</v>
      </c>
      <c r="G213" s="7">
        <v>90</v>
      </c>
      <c r="H213" s="7">
        <v>0</v>
      </c>
      <c r="I213" s="7">
        <v>0</v>
      </c>
      <c r="K213" s="7" t="s">
        <v>1579</v>
      </c>
      <c r="L213" s="7">
        <v>232800</v>
      </c>
      <c r="M213" s="7">
        <v>23</v>
      </c>
      <c r="N213" s="7">
        <v>28</v>
      </c>
      <c r="O213" s="7">
        <v>0</v>
      </c>
    </row>
    <row r="214" spans="1:15">
      <c r="A214" s="7" t="s">
        <v>1755</v>
      </c>
      <c r="B214" s="7" t="s">
        <v>1496</v>
      </c>
      <c r="C214" s="7" t="s">
        <v>1756</v>
      </c>
      <c r="E214" s="7" t="s">
        <v>1708</v>
      </c>
      <c r="F214" s="7">
        <v>901900</v>
      </c>
      <c r="G214" s="7">
        <v>90</v>
      </c>
      <c r="H214" s="7">
        <v>19</v>
      </c>
      <c r="I214" s="7">
        <v>0</v>
      </c>
      <c r="K214" s="7" t="s">
        <v>1761</v>
      </c>
      <c r="L214" s="7">
        <v>232000</v>
      </c>
      <c r="M214" s="7">
        <v>23</v>
      </c>
      <c r="N214" s="7">
        <v>20</v>
      </c>
      <c r="O214" s="7">
        <v>0</v>
      </c>
    </row>
    <row r="215" spans="1:15">
      <c r="A215" s="7" t="s">
        <v>1755</v>
      </c>
      <c r="B215" s="7" t="s">
        <v>1496</v>
      </c>
      <c r="C215" s="7" t="s">
        <v>1756</v>
      </c>
      <c r="E215" s="7" t="s">
        <v>1709</v>
      </c>
      <c r="F215" s="7">
        <v>901910</v>
      </c>
      <c r="G215" s="7">
        <v>90</v>
      </c>
      <c r="H215" s="7">
        <v>19</v>
      </c>
      <c r="I215" s="7">
        <v>10</v>
      </c>
      <c r="K215" s="7" t="s">
        <v>1762</v>
      </c>
      <c r="L215" s="7">
        <v>232010</v>
      </c>
      <c r="M215" s="7">
        <v>23</v>
      </c>
      <c r="N215" s="7">
        <v>20</v>
      </c>
      <c r="O215" s="7">
        <v>10</v>
      </c>
    </row>
    <row r="216" spans="1:15">
      <c r="A216" s="7" t="s">
        <v>1755</v>
      </c>
      <c r="B216" s="7" t="s">
        <v>1496</v>
      </c>
      <c r="C216" s="7" t="s">
        <v>1756</v>
      </c>
      <c r="E216" s="7" t="s">
        <v>1710</v>
      </c>
      <c r="F216" s="7">
        <v>901920</v>
      </c>
      <c r="G216" s="7">
        <v>90</v>
      </c>
      <c r="H216" s="7">
        <v>19</v>
      </c>
      <c r="I216" s="7">
        <v>20</v>
      </c>
      <c r="K216" s="7" t="s">
        <v>1763</v>
      </c>
      <c r="L216" s="7">
        <v>232110</v>
      </c>
      <c r="M216" s="7">
        <v>23</v>
      </c>
      <c r="N216" s="7">
        <v>21</v>
      </c>
      <c r="O216" s="7">
        <v>10</v>
      </c>
    </row>
    <row r="217" spans="1:15">
      <c r="A217" s="7" t="s">
        <v>1755</v>
      </c>
      <c r="B217" s="7" t="s">
        <v>1496</v>
      </c>
      <c r="C217" s="7" t="s">
        <v>1756</v>
      </c>
      <c r="E217" s="7" t="s">
        <v>1711</v>
      </c>
      <c r="F217" s="7">
        <v>901930</v>
      </c>
      <c r="G217" s="7">
        <v>90</v>
      </c>
      <c r="H217" s="7">
        <v>19</v>
      </c>
      <c r="I217" s="7">
        <v>30</v>
      </c>
      <c r="K217" s="7" t="s">
        <v>145</v>
      </c>
      <c r="L217" s="7">
        <v>231000</v>
      </c>
      <c r="M217" s="7">
        <v>23</v>
      </c>
      <c r="N217" s="7">
        <v>10</v>
      </c>
      <c r="O217" s="7">
        <v>0</v>
      </c>
    </row>
    <row r="218" spans="1:15">
      <c r="A218" s="7" t="s">
        <v>1755</v>
      </c>
      <c r="B218" s="7" t="s">
        <v>1496</v>
      </c>
      <c r="C218" s="7" t="s">
        <v>1756</v>
      </c>
      <c r="E218" s="7" t="s">
        <v>1712</v>
      </c>
      <c r="F218" s="7">
        <v>901940</v>
      </c>
      <c r="G218" s="7">
        <v>90</v>
      </c>
      <c r="H218" s="7">
        <v>19</v>
      </c>
      <c r="I218" s="7">
        <v>40</v>
      </c>
      <c r="K218" s="7" t="s">
        <v>1527</v>
      </c>
      <c r="L218" s="7">
        <v>231100</v>
      </c>
      <c r="M218" s="7">
        <v>23</v>
      </c>
      <c r="N218" s="7">
        <v>11</v>
      </c>
      <c r="O218" s="7">
        <v>0</v>
      </c>
    </row>
    <row r="219" spans="1:15">
      <c r="A219" s="7" t="s">
        <v>1755</v>
      </c>
      <c r="B219" s="7" t="s">
        <v>1496</v>
      </c>
      <c r="C219" s="7" t="s">
        <v>1756</v>
      </c>
      <c r="E219" s="7" t="s">
        <v>1714</v>
      </c>
      <c r="F219" s="7">
        <v>902000</v>
      </c>
      <c r="G219" s="7">
        <v>90</v>
      </c>
      <c r="H219" s="7">
        <v>20</v>
      </c>
      <c r="I219" s="7">
        <v>0</v>
      </c>
      <c r="K219" s="7" t="s">
        <v>1521</v>
      </c>
      <c r="L219" s="7">
        <v>231200</v>
      </c>
      <c r="M219" s="7">
        <v>23</v>
      </c>
      <c r="N219" s="7">
        <v>12</v>
      </c>
      <c r="O219" s="7">
        <v>0</v>
      </c>
    </row>
    <row r="220" spans="1:15">
      <c r="A220" s="7" t="s">
        <v>1755</v>
      </c>
      <c r="B220" s="7" t="s">
        <v>1496</v>
      </c>
      <c r="C220" s="7" t="s">
        <v>1756</v>
      </c>
      <c r="E220" s="7" t="s">
        <v>1764</v>
      </c>
      <c r="F220" s="7">
        <v>902100</v>
      </c>
      <c r="G220" s="7">
        <v>90</v>
      </c>
      <c r="H220" s="7">
        <v>21</v>
      </c>
      <c r="I220" s="7">
        <v>0</v>
      </c>
      <c r="K220" s="7" t="s">
        <v>1765</v>
      </c>
      <c r="L220" s="7">
        <v>231900</v>
      </c>
      <c r="M220" s="7">
        <v>23</v>
      </c>
      <c r="N220" s="7">
        <v>19</v>
      </c>
      <c r="O220" s="7">
        <v>0</v>
      </c>
    </row>
    <row r="221" spans="1:15">
      <c r="A221" s="7" t="s">
        <v>1766</v>
      </c>
      <c r="B221" s="7" t="s">
        <v>1496</v>
      </c>
      <c r="C221" s="7" t="s">
        <v>1767</v>
      </c>
      <c r="D221" s="7" t="s">
        <v>1768</v>
      </c>
      <c r="E221" s="7" t="s">
        <v>1503</v>
      </c>
      <c r="F221" s="7">
        <v>100000</v>
      </c>
      <c r="G221" s="7">
        <v>10</v>
      </c>
      <c r="H221" s="7">
        <v>0</v>
      </c>
      <c r="I221" s="7">
        <v>0</v>
      </c>
      <c r="K221" s="7" t="s">
        <v>1769</v>
      </c>
      <c r="L221" s="7">
        <v>232110</v>
      </c>
      <c r="M221" s="7">
        <v>23</v>
      </c>
      <c r="N221" s="7">
        <v>21</v>
      </c>
      <c r="O221" s="7">
        <v>10</v>
      </c>
    </row>
    <row r="222" spans="1:15">
      <c r="A222" s="7" t="s">
        <v>1766</v>
      </c>
      <c r="B222" s="7" t="s">
        <v>1496</v>
      </c>
      <c r="C222" s="7" t="s">
        <v>1767</v>
      </c>
      <c r="E222" s="7" t="s">
        <v>1501</v>
      </c>
      <c r="F222" s="7">
        <v>101000</v>
      </c>
      <c r="G222" s="7">
        <v>10</v>
      </c>
      <c r="H222" s="7">
        <v>10</v>
      </c>
      <c r="I222" s="7">
        <v>0</v>
      </c>
      <c r="K222" s="7" t="s">
        <v>1770</v>
      </c>
      <c r="L222" s="7">
        <v>232120</v>
      </c>
      <c r="M222" s="7">
        <v>23</v>
      </c>
      <c r="N222" s="7">
        <v>21</v>
      </c>
      <c r="O222" s="7">
        <v>20</v>
      </c>
    </row>
    <row r="223" spans="1:15">
      <c r="A223" s="7" t="s">
        <v>1766</v>
      </c>
      <c r="B223" s="7" t="s">
        <v>1496</v>
      </c>
      <c r="C223" s="7" t="s">
        <v>1767</v>
      </c>
      <c r="D223" s="7" t="s">
        <v>1771</v>
      </c>
      <c r="E223" s="7" t="s">
        <v>145</v>
      </c>
      <c r="F223" s="7">
        <v>140000</v>
      </c>
      <c r="G223" s="7">
        <v>14</v>
      </c>
      <c r="H223" s="7">
        <v>0</v>
      </c>
      <c r="I223" s="7">
        <v>0</v>
      </c>
      <c r="K223" s="7" t="s">
        <v>1772</v>
      </c>
      <c r="L223" s="7">
        <v>232130</v>
      </c>
      <c r="M223" s="7">
        <v>23</v>
      </c>
      <c r="N223" s="7">
        <v>21</v>
      </c>
      <c r="O223" s="7">
        <v>30</v>
      </c>
    </row>
    <row r="224" spans="1:15">
      <c r="A224" s="7" t="s">
        <v>1766</v>
      </c>
      <c r="B224" s="7" t="s">
        <v>1496</v>
      </c>
      <c r="C224" s="7" t="s">
        <v>1767</v>
      </c>
      <c r="E224" s="7" t="s">
        <v>1564</v>
      </c>
      <c r="F224" s="7">
        <v>141500</v>
      </c>
      <c r="G224" s="7">
        <v>14</v>
      </c>
      <c r="H224" s="7">
        <v>15</v>
      </c>
      <c r="I224" s="7">
        <v>0</v>
      </c>
      <c r="K224" s="7" t="s">
        <v>1773</v>
      </c>
      <c r="L224" s="7">
        <v>231800</v>
      </c>
      <c r="M224" s="7">
        <v>23</v>
      </c>
      <c r="N224" s="7">
        <v>18</v>
      </c>
      <c r="O224" s="7">
        <v>0</v>
      </c>
    </row>
    <row r="225" spans="1:15">
      <c r="A225" s="7" t="s">
        <v>1766</v>
      </c>
      <c r="B225" s="7" t="s">
        <v>1496</v>
      </c>
      <c r="C225" s="7" t="s">
        <v>1767</v>
      </c>
      <c r="E225" s="7" t="s">
        <v>1566</v>
      </c>
      <c r="F225" s="7">
        <v>141510</v>
      </c>
      <c r="G225" s="7">
        <v>14</v>
      </c>
      <c r="H225" s="7">
        <v>15</v>
      </c>
      <c r="I225" s="7">
        <v>10</v>
      </c>
      <c r="K225" s="7" t="s">
        <v>1774</v>
      </c>
      <c r="L225" s="7">
        <v>232120</v>
      </c>
      <c r="M225" s="7">
        <v>23</v>
      </c>
      <c r="N225" s="7">
        <v>21</v>
      </c>
      <c r="O225" s="7">
        <v>20</v>
      </c>
    </row>
    <row r="226" spans="1:15">
      <c r="A226" s="7" t="s">
        <v>1766</v>
      </c>
      <c r="B226" s="7" t="s">
        <v>1496</v>
      </c>
      <c r="C226" s="7" t="s">
        <v>1767</v>
      </c>
      <c r="D226" s="7" t="s">
        <v>1775</v>
      </c>
      <c r="E226" s="7" t="s">
        <v>1543</v>
      </c>
      <c r="F226" s="7">
        <v>150000</v>
      </c>
      <c r="G226" s="7">
        <v>15</v>
      </c>
      <c r="H226" s="7">
        <v>0</v>
      </c>
      <c r="I226" s="7">
        <v>0</v>
      </c>
      <c r="K226" s="7" t="s">
        <v>1499</v>
      </c>
      <c r="L226" s="7">
        <v>232200</v>
      </c>
      <c r="M226" s="7">
        <v>23</v>
      </c>
      <c r="N226" s="7">
        <v>22</v>
      </c>
      <c r="O226" s="7">
        <v>0</v>
      </c>
    </row>
    <row r="227" spans="1:15">
      <c r="A227" s="7" t="s">
        <v>1766</v>
      </c>
      <c r="B227" s="7" t="s">
        <v>1496</v>
      </c>
      <c r="C227" s="7" t="s">
        <v>1767</v>
      </c>
      <c r="E227" s="7" t="s">
        <v>1544</v>
      </c>
      <c r="F227" s="7">
        <v>151100</v>
      </c>
      <c r="G227" s="7">
        <v>15</v>
      </c>
      <c r="H227" s="7">
        <v>11</v>
      </c>
      <c r="I227" s="7">
        <v>0</v>
      </c>
      <c r="K227" s="286" t="s">
        <v>1583</v>
      </c>
      <c r="L227" s="7">
        <v>240000</v>
      </c>
      <c r="M227" s="7">
        <v>24</v>
      </c>
      <c r="N227" s="7">
        <v>0</v>
      </c>
      <c r="O227" s="7">
        <v>0</v>
      </c>
    </row>
    <row r="228" spans="1:15">
      <c r="A228" s="7" t="s">
        <v>1766</v>
      </c>
      <c r="B228" s="7" t="s">
        <v>1496</v>
      </c>
      <c r="C228" s="7" t="s">
        <v>1767</v>
      </c>
      <c r="E228" s="7" t="s">
        <v>1605</v>
      </c>
      <c r="F228" s="7">
        <v>151120</v>
      </c>
      <c r="G228" s="7">
        <v>15</v>
      </c>
      <c r="H228" s="7">
        <v>11</v>
      </c>
      <c r="I228" s="7">
        <v>20</v>
      </c>
      <c r="K228" s="7" t="s">
        <v>1501</v>
      </c>
      <c r="L228" s="7">
        <v>241000</v>
      </c>
      <c r="M228" s="7">
        <v>24</v>
      </c>
      <c r="N228" s="7">
        <v>10</v>
      </c>
      <c r="O228" s="7">
        <v>0</v>
      </c>
    </row>
    <row r="229" spans="1:15">
      <c r="A229" s="7" t="s">
        <v>1766</v>
      </c>
      <c r="B229" s="7" t="s">
        <v>1496</v>
      </c>
      <c r="C229" s="7" t="s">
        <v>1767</v>
      </c>
      <c r="E229" s="7" t="s">
        <v>1609</v>
      </c>
      <c r="F229" s="7">
        <v>151130</v>
      </c>
      <c r="G229" s="7">
        <v>15</v>
      </c>
      <c r="H229" s="7">
        <v>11</v>
      </c>
      <c r="I229" s="7">
        <v>30</v>
      </c>
      <c r="K229" s="7" t="s">
        <v>1587</v>
      </c>
      <c r="L229" s="7">
        <v>250000</v>
      </c>
      <c r="M229" s="7">
        <v>25</v>
      </c>
      <c r="N229" s="7">
        <v>0</v>
      </c>
      <c r="O229" s="7">
        <v>0</v>
      </c>
    </row>
    <row r="230" spans="1:15">
      <c r="A230" s="7" t="s">
        <v>1766</v>
      </c>
      <c r="B230" s="7" t="s">
        <v>1496</v>
      </c>
      <c r="C230" s="7" t="s">
        <v>1767</v>
      </c>
      <c r="E230" s="7" t="s">
        <v>1551</v>
      </c>
      <c r="F230" s="7">
        <v>151700</v>
      </c>
      <c r="G230" s="7">
        <v>15</v>
      </c>
      <c r="H230" s="7">
        <v>17</v>
      </c>
      <c r="I230" s="7">
        <v>0</v>
      </c>
      <c r="K230" s="7" t="s">
        <v>1501</v>
      </c>
      <c r="L230" s="7">
        <v>251000</v>
      </c>
      <c r="M230" s="7">
        <v>25</v>
      </c>
      <c r="N230" s="7">
        <v>10</v>
      </c>
      <c r="O230" s="7">
        <v>0</v>
      </c>
    </row>
    <row r="231" spans="1:15">
      <c r="A231" s="7" t="s">
        <v>1766</v>
      </c>
      <c r="B231" s="7" t="s">
        <v>1496</v>
      </c>
      <c r="C231" s="7" t="s">
        <v>1767</v>
      </c>
      <c r="D231" s="7" t="s">
        <v>1776</v>
      </c>
      <c r="E231" s="7" t="s">
        <v>1556</v>
      </c>
      <c r="F231" s="7">
        <v>180000</v>
      </c>
      <c r="G231" s="7">
        <v>18</v>
      </c>
      <c r="H231" s="7">
        <v>0</v>
      </c>
      <c r="I231" s="7">
        <v>0</v>
      </c>
      <c r="K231" s="7" t="s">
        <v>1590</v>
      </c>
      <c r="L231" s="7">
        <v>251010</v>
      </c>
      <c r="M231" s="7">
        <v>25</v>
      </c>
      <c r="N231" s="7">
        <v>10</v>
      </c>
      <c r="O231" s="7">
        <v>10</v>
      </c>
    </row>
    <row r="232" spans="1:15">
      <c r="A232" s="7" t="s">
        <v>1766</v>
      </c>
      <c r="B232" s="7" t="s">
        <v>1496</v>
      </c>
      <c r="C232" s="7" t="s">
        <v>1767</v>
      </c>
      <c r="E232" s="7" t="s">
        <v>1561</v>
      </c>
      <c r="F232" s="7">
        <v>181200</v>
      </c>
      <c r="G232" s="7">
        <v>18</v>
      </c>
      <c r="H232" s="7">
        <v>12</v>
      </c>
      <c r="I232" s="7">
        <v>0</v>
      </c>
      <c r="K232" s="7" t="s">
        <v>1777</v>
      </c>
      <c r="L232" s="7">
        <v>251400</v>
      </c>
      <c r="M232" s="7">
        <v>25</v>
      </c>
      <c r="N232" s="7">
        <v>14</v>
      </c>
      <c r="O232" s="7">
        <v>0</v>
      </c>
    </row>
    <row r="233" spans="1:15">
      <c r="A233" s="7" t="s">
        <v>1766</v>
      </c>
      <c r="B233" s="7" t="s">
        <v>1496</v>
      </c>
      <c r="C233" s="7" t="s">
        <v>1767</v>
      </c>
      <c r="E233" s="7" t="s">
        <v>1564</v>
      </c>
      <c r="F233" s="7">
        <v>181300</v>
      </c>
      <c r="G233" s="7">
        <v>18</v>
      </c>
      <c r="H233" s="7">
        <v>13</v>
      </c>
      <c r="I233" s="7">
        <v>0</v>
      </c>
      <c r="K233" s="7" t="s">
        <v>1778</v>
      </c>
      <c r="L233" s="7">
        <v>260000</v>
      </c>
      <c r="M233" s="7">
        <v>26</v>
      </c>
      <c r="N233" s="7">
        <v>0</v>
      </c>
      <c r="O233" s="7">
        <v>0</v>
      </c>
    </row>
    <row r="234" spans="1:15">
      <c r="A234" s="7" t="s">
        <v>1766</v>
      </c>
      <c r="B234" s="7" t="s">
        <v>1496</v>
      </c>
      <c r="C234" s="7" t="s">
        <v>1767</v>
      </c>
      <c r="E234" s="7" t="s">
        <v>1681</v>
      </c>
      <c r="F234" s="7">
        <v>181320</v>
      </c>
      <c r="G234" s="7">
        <v>18</v>
      </c>
      <c r="H234" s="7">
        <v>13</v>
      </c>
      <c r="I234" s="7">
        <v>20</v>
      </c>
      <c r="K234" s="7" t="s">
        <v>1779</v>
      </c>
      <c r="L234" s="7">
        <v>261000</v>
      </c>
      <c r="M234" s="7">
        <v>26</v>
      </c>
      <c r="N234" s="7">
        <v>10</v>
      </c>
      <c r="O234" s="7">
        <v>0</v>
      </c>
    </row>
    <row r="235" spans="1:15">
      <c r="A235" s="7" t="s">
        <v>1766</v>
      </c>
      <c r="B235" s="7" t="s">
        <v>1496</v>
      </c>
      <c r="C235" s="7" t="s">
        <v>1767</v>
      </c>
      <c r="D235" s="7" t="s">
        <v>1780</v>
      </c>
      <c r="E235" s="7" t="s">
        <v>1568</v>
      </c>
      <c r="F235" s="7">
        <v>230000</v>
      </c>
      <c r="G235" s="7">
        <v>23</v>
      </c>
      <c r="H235" s="7">
        <v>0</v>
      </c>
      <c r="I235" s="7">
        <v>0</v>
      </c>
      <c r="K235" s="7" t="s">
        <v>1781</v>
      </c>
      <c r="L235" s="7">
        <v>261100</v>
      </c>
      <c r="M235" s="7">
        <v>26</v>
      </c>
      <c r="N235" s="7">
        <v>11</v>
      </c>
      <c r="O235" s="7">
        <v>0</v>
      </c>
    </row>
    <row r="236" spans="1:15">
      <c r="A236" s="7" t="s">
        <v>1766</v>
      </c>
      <c r="B236" s="7" t="s">
        <v>1496</v>
      </c>
      <c r="C236" s="7" t="s">
        <v>1767</v>
      </c>
      <c r="E236" s="7" t="s">
        <v>1570</v>
      </c>
      <c r="F236" s="7">
        <v>231300</v>
      </c>
      <c r="G236" s="7">
        <v>23</v>
      </c>
      <c r="H236" s="7">
        <v>13</v>
      </c>
      <c r="I236" s="7">
        <v>0</v>
      </c>
      <c r="K236" s="7" t="s">
        <v>1782</v>
      </c>
      <c r="L236" s="7">
        <v>261200</v>
      </c>
      <c r="M236" s="7">
        <v>26</v>
      </c>
      <c r="N236" s="7">
        <v>12</v>
      </c>
      <c r="O236" s="7">
        <v>0</v>
      </c>
    </row>
    <row r="237" spans="1:15">
      <c r="A237" s="7" t="s">
        <v>1766</v>
      </c>
      <c r="B237" s="7" t="s">
        <v>1496</v>
      </c>
      <c r="C237" s="7" t="s">
        <v>1767</v>
      </c>
      <c r="E237" s="7" t="s">
        <v>1572</v>
      </c>
      <c r="F237" s="7">
        <v>231400</v>
      </c>
      <c r="G237" s="7">
        <v>23</v>
      </c>
      <c r="H237" s="7">
        <v>14</v>
      </c>
      <c r="I237" s="7">
        <v>0</v>
      </c>
      <c r="K237" s="7" t="s">
        <v>1783</v>
      </c>
      <c r="L237" s="7">
        <v>261300</v>
      </c>
      <c r="M237" s="7">
        <v>26</v>
      </c>
      <c r="N237" s="7">
        <v>13</v>
      </c>
      <c r="O237" s="7">
        <v>0</v>
      </c>
    </row>
    <row r="238" spans="1:15">
      <c r="A238" s="7" t="s">
        <v>1766</v>
      </c>
      <c r="B238" s="7" t="s">
        <v>1496</v>
      </c>
      <c r="C238" s="7" t="s">
        <v>1767</v>
      </c>
      <c r="E238" s="7" t="s">
        <v>1751</v>
      </c>
      <c r="F238" s="7">
        <v>231600</v>
      </c>
      <c r="G238" s="7">
        <v>23</v>
      </c>
      <c r="H238" s="7">
        <v>16</v>
      </c>
      <c r="I238" s="7">
        <v>0</v>
      </c>
      <c r="K238" s="7" t="s">
        <v>1784</v>
      </c>
      <c r="L238" s="7">
        <v>261400</v>
      </c>
      <c r="M238" s="7">
        <v>26</v>
      </c>
      <c r="N238" s="7">
        <v>14</v>
      </c>
      <c r="O238" s="7">
        <v>0</v>
      </c>
    </row>
    <row r="239" spans="1:15">
      <c r="A239" s="7" t="s">
        <v>1766</v>
      </c>
      <c r="B239" s="7" t="s">
        <v>1496</v>
      </c>
      <c r="C239" s="7" t="s">
        <v>1767</v>
      </c>
      <c r="E239" s="7" t="s">
        <v>1576</v>
      </c>
      <c r="F239" s="7">
        <v>231700</v>
      </c>
      <c r="G239" s="7">
        <v>23</v>
      </c>
      <c r="H239" s="7">
        <v>17</v>
      </c>
      <c r="I239" s="7">
        <v>0</v>
      </c>
      <c r="K239" s="7" t="s">
        <v>1785</v>
      </c>
      <c r="L239" s="7">
        <v>270000</v>
      </c>
      <c r="M239" s="7">
        <v>27</v>
      </c>
      <c r="N239" s="7">
        <v>0</v>
      </c>
      <c r="O239" s="7">
        <v>0</v>
      </c>
    </row>
    <row r="240" spans="1:15">
      <c r="A240" s="7" t="s">
        <v>1766</v>
      </c>
      <c r="B240" s="7" t="s">
        <v>1496</v>
      </c>
      <c r="C240" s="7" t="s">
        <v>1767</v>
      </c>
      <c r="E240" s="7" t="s">
        <v>1752</v>
      </c>
      <c r="F240" s="7">
        <v>232100</v>
      </c>
      <c r="G240" s="7">
        <v>23</v>
      </c>
      <c r="H240" s="7">
        <v>21</v>
      </c>
      <c r="I240" s="7">
        <v>0</v>
      </c>
      <c r="K240" s="7" t="s">
        <v>1501</v>
      </c>
      <c r="L240" s="7">
        <v>271000</v>
      </c>
      <c r="M240" s="7">
        <v>27</v>
      </c>
      <c r="N240" s="7">
        <v>10</v>
      </c>
      <c r="O240" s="7">
        <v>0</v>
      </c>
    </row>
    <row r="241" spans="1:15">
      <c r="A241" s="7" t="s">
        <v>1766</v>
      </c>
      <c r="B241" s="7" t="s">
        <v>1496</v>
      </c>
      <c r="C241" s="7" t="s">
        <v>1767</v>
      </c>
      <c r="E241" s="7" t="s">
        <v>1754</v>
      </c>
      <c r="F241" s="7">
        <v>232140</v>
      </c>
      <c r="G241" s="7">
        <v>23</v>
      </c>
      <c r="H241" s="7">
        <v>21</v>
      </c>
      <c r="I241" s="7">
        <v>40</v>
      </c>
      <c r="K241" s="7" t="s">
        <v>1786</v>
      </c>
      <c r="L241" s="7">
        <v>271100</v>
      </c>
      <c r="M241" s="7">
        <v>27</v>
      </c>
      <c r="N241" s="7">
        <v>11</v>
      </c>
      <c r="O241" s="7">
        <v>0</v>
      </c>
    </row>
    <row r="242" spans="1:15">
      <c r="A242" s="7" t="s">
        <v>1766</v>
      </c>
      <c r="B242" s="7" t="s">
        <v>1496</v>
      </c>
      <c r="C242" s="7" t="s">
        <v>1767</v>
      </c>
      <c r="D242" s="7" t="s">
        <v>1787</v>
      </c>
      <c r="E242" s="7" t="s">
        <v>1583</v>
      </c>
      <c r="F242" s="7">
        <v>240000</v>
      </c>
      <c r="G242" s="7">
        <v>24</v>
      </c>
      <c r="H242" s="7">
        <v>0</v>
      </c>
      <c r="I242" s="7">
        <v>0</v>
      </c>
      <c r="K242" s="7" t="s">
        <v>1632</v>
      </c>
      <c r="L242" s="7">
        <v>271200</v>
      </c>
      <c r="M242" s="7">
        <v>27</v>
      </c>
      <c r="N242" s="7">
        <v>12</v>
      </c>
      <c r="O242" s="7">
        <v>0</v>
      </c>
    </row>
    <row r="243" spans="1:15">
      <c r="A243" s="7" t="s">
        <v>1766</v>
      </c>
      <c r="B243" s="7" t="s">
        <v>1496</v>
      </c>
      <c r="C243" s="7" t="s">
        <v>1767</v>
      </c>
      <c r="E243" s="7" t="s">
        <v>1501</v>
      </c>
      <c r="F243" s="7">
        <v>241000</v>
      </c>
      <c r="G243" s="7">
        <v>24</v>
      </c>
      <c r="H243" s="7">
        <v>10</v>
      </c>
      <c r="I243" s="7">
        <v>0</v>
      </c>
      <c r="K243" s="7" t="s">
        <v>1788</v>
      </c>
      <c r="L243" s="7">
        <v>271300</v>
      </c>
      <c r="M243" s="7">
        <v>27</v>
      </c>
      <c r="N243" s="7">
        <v>13</v>
      </c>
      <c r="O243" s="7">
        <v>0</v>
      </c>
    </row>
    <row r="244" spans="1:15">
      <c r="A244" s="7" t="s">
        <v>1766</v>
      </c>
      <c r="B244" s="7" t="s">
        <v>1496</v>
      </c>
      <c r="C244" s="7" t="s">
        <v>1767</v>
      </c>
      <c r="D244" s="7" t="s">
        <v>1789</v>
      </c>
      <c r="E244" s="7" t="s">
        <v>1587</v>
      </c>
      <c r="F244" s="7">
        <v>250000</v>
      </c>
      <c r="G244" s="7">
        <v>25</v>
      </c>
      <c r="H244" s="7">
        <v>0</v>
      </c>
      <c r="I244" s="7">
        <v>0</v>
      </c>
      <c r="K244" s="7" t="s">
        <v>1790</v>
      </c>
      <c r="L244" s="7">
        <v>271100</v>
      </c>
      <c r="M244" s="7">
        <v>27</v>
      </c>
      <c r="N244" s="7">
        <v>11</v>
      </c>
      <c r="O244" s="7">
        <v>0</v>
      </c>
    </row>
    <row r="245" spans="1:15">
      <c r="A245" s="7" t="s">
        <v>1766</v>
      </c>
      <c r="B245" s="7" t="s">
        <v>1496</v>
      </c>
      <c r="C245" s="7" t="s">
        <v>1767</v>
      </c>
      <c r="E245" s="7" t="s">
        <v>1501</v>
      </c>
      <c r="F245" s="7">
        <v>251000</v>
      </c>
      <c r="G245" s="7">
        <v>25</v>
      </c>
      <c r="H245" s="7">
        <v>10</v>
      </c>
      <c r="I245" s="7">
        <v>0</v>
      </c>
      <c r="K245" s="7" t="s">
        <v>1625</v>
      </c>
      <c r="L245" s="7">
        <v>280000</v>
      </c>
      <c r="M245" s="7">
        <v>28</v>
      </c>
      <c r="N245" s="7">
        <v>0</v>
      </c>
      <c r="O245" s="7">
        <v>0</v>
      </c>
    </row>
    <row r="246" spans="1:15">
      <c r="A246" s="7" t="s">
        <v>1766</v>
      </c>
      <c r="B246" s="7" t="s">
        <v>1496</v>
      </c>
      <c r="C246" s="7" t="s">
        <v>1767</v>
      </c>
      <c r="E246" s="7" t="s">
        <v>1590</v>
      </c>
      <c r="F246" s="7">
        <v>251010</v>
      </c>
      <c r="G246" s="7">
        <v>25</v>
      </c>
      <c r="H246" s="7">
        <v>10</v>
      </c>
      <c r="I246" s="7">
        <v>10</v>
      </c>
      <c r="K246" s="7" t="s">
        <v>1501</v>
      </c>
      <c r="L246" s="7">
        <v>281000</v>
      </c>
      <c r="M246" s="7">
        <v>28</v>
      </c>
      <c r="N246" s="7">
        <v>10</v>
      </c>
      <c r="O246" s="7">
        <v>0</v>
      </c>
    </row>
    <row r="247" spans="1:15">
      <c r="A247" s="7" t="s">
        <v>1766</v>
      </c>
      <c r="B247" s="7" t="s">
        <v>1496</v>
      </c>
      <c r="C247" s="7" t="s">
        <v>1767</v>
      </c>
      <c r="D247" s="7" t="s">
        <v>1791</v>
      </c>
      <c r="E247" s="7" t="s">
        <v>1593</v>
      </c>
      <c r="F247" s="7">
        <v>300000</v>
      </c>
      <c r="G247" s="7">
        <v>30</v>
      </c>
      <c r="H247" s="7">
        <v>0</v>
      </c>
      <c r="I247" s="7">
        <v>0</v>
      </c>
      <c r="K247" s="7" t="s">
        <v>1792</v>
      </c>
      <c r="L247" s="7">
        <v>290000</v>
      </c>
      <c r="M247" s="7">
        <v>29</v>
      </c>
      <c r="N247" s="7">
        <v>0</v>
      </c>
      <c r="O247" s="7">
        <v>0</v>
      </c>
    </row>
    <row r="248" spans="1:15">
      <c r="A248" s="7" t="s">
        <v>1766</v>
      </c>
      <c r="B248" s="7" t="s">
        <v>1496</v>
      </c>
      <c r="C248" s="7" t="s">
        <v>1767</v>
      </c>
      <c r="E248" s="7" t="s">
        <v>1595</v>
      </c>
      <c r="F248" s="7">
        <v>301000</v>
      </c>
      <c r="G248" s="7">
        <v>30</v>
      </c>
      <c r="H248" s="7">
        <v>10</v>
      </c>
      <c r="I248" s="7">
        <v>0</v>
      </c>
      <c r="K248" s="7" t="s">
        <v>1569</v>
      </c>
      <c r="L248" s="7">
        <v>291300</v>
      </c>
      <c r="M248" s="7">
        <v>29</v>
      </c>
      <c r="N248" s="7">
        <v>13</v>
      </c>
      <c r="O248" s="7">
        <v>0</v>
      </c>
    </row>
    <row r="249" spans="1:15">
      <c r="A249" s="7" t="s">
        <v>1766</v>
      </c>
      <c r="B249" s="7" t="s">
        <v>1496</v>
      </c>
      <c r="C249" s="7" t="s">
        <v>1767</v>
      </c>
      <c r="D249" s="7" t="s">
        <v>1793</v>
      </c>
      <c r="E249" s="7" t="s">
        <v>1597</v>
      </c>
      <c r="F249" s="7">
        <v>320000</v>
      </c>
      <c r="G249" s="7">
        <v>32</v>
      </c>
      <c r="H249" s="7">
        <v>0</v>
      </c>
      <c r="I249" s="7">
        <v>0</v>
      </c>
      <c r="K249" s="7" t="s">
        <v>1571</v>
      </c>
      <c r="L249" s="7">
        <v>291400</v>
      </c>
      <c r="M249" s="7">
        <v>29</v>
      </c>
      <c r="N249" s="7">
        <v>14</v>
      </c>
      <c r="O249" s="7">
        <v>0</v>
      </c>
    </row>
    <row r="250" spans="1:15">
      <c r="A250" s="7" t="s">
        <v>1766</v>
      </c>
      <c r="B250" s="7" t="s">
        <v>1496</v>
      </c>
      <c r="C250" s="7" t="s">
        <v>1767</v>
      </c>
      <c r="E250" s="7" t="s">
        <v>1794</v>
      </c>
      <c r="F250" s="7">
        <v>321000</v>
      </c>
      <c r="G250" s="7">
        <v>32</v>
      </c>
      <c r="H250" s="7">
        <v>10</v>
      </c>
      <c r="I250" s="7">
        <v>0</v>
      </c>
      <c r="K250" s="7" t="s">
        <v>1573</v>
      </c>
      <c r="L250" s="7">
        <v>291500</v>
      </c>
      <c r="M250" s="7">
        <v>29</v>
      </c>
      <c r="N250" s="7">
        <v>15</v>
      </c>
      <c r="O250" s="7">
        <v>0</v>
      </c>
    </row>
    <row r="251" spans="1:15">
      <c r="A251" s="7" t="s">
        <v>1766</v>
      </c>
      <c r="B251" s="7" t="s">
        <v>1496</v>
      </c>
      <c r="C251" s="7" t="s">
        <v>1767</v>
      </c>
      <c r="E251" s="7" t="s">
        <v>1599</v>
      </c>
      <c r="F251" s="7">
        <v>321300</v>
      </c>
      <c r="G251" s="7">
        <v>32</v>
      </c>
      <c r="H251" s="7">
        <v>13</v>
      </c>
      <c r="I251" s="7">
        <v>0</v>
      </c>
      <c r="K251" s="7" t="s">
        <v>1575</v>
      </c>
      <c r="L251" s="7">
        <v>291600</v>
      </c>
      <c r="M251" s="7">
        <v>29</v>
      </c>
      <c r="N251" s="7">
        <v>16</v>
      </c>
      <c r="O251" s="7">
        <v>0</v>
      </c>
    </row>
    <row r="252" spans="1:15">
      <c r="A252" s="7" t="s">
        <v>1766</v>
      </c>
      <c r="B252" s="7" t="s">
        <v>1496</v>
      </c>
      <c r="C252" s="7" t="s">
        <v>1767</v>
      </c>
      <c r="E252" s="7" t="s">
        <v>1600</v>
      </c>
      <c r="F252" s="7">
        <v>321310</v>
      </c>
      <c r="G252" s="7">
        <v>32</v>
      </c>
      <c r="H252" s="7">
        <v>13</v>
      </c>
      <c r="I252" s="7">
        <v>10</v>
      </c>
      <c r="K252" s="7" t="s">
        <v>1577</v>
      </c>
      <c r="L252" s="7">
        <v>291700</v>
      </c>
      <c r="M252" s="7">
        <v>29</v>
      </c>
      <c r="N252" s="7">
        <v>17</v>
      </c>
      <c r="O252" s="7">
        <v>0</v>
      </c>
    </row>
    <row r="253" spans="1:15">
      <c r="A253" s="7" t="s">
        <v>1766</v>
      </c>
      <c r="B253" s="7" t="s">
        <v>1496</v>
      </c>
      <c r="C253" s="7" t="s">
        <v>1767</v>
      </c>
      <c r="E253" s="7" t="s">
        <v>1601</v>
      </c>
      <c r="F253" s="7">
        <v>321320</v>
      </c>
      <c r="G253" s="7">
        <v>32</v>
      </c>
      <c r="H253" s="7">
        <v>13</v>
      </c>
      <c r="I253" s="7">
        <v>20</v>
      </c>
      <c r="K253" s="7" t="s">
        <v>1579</v>
      </c>
      <c r="L253" s="7">
        <v>291800</v>
      </c>
      <c r="M253" s="7">
        <v>29</v>
      </c>
      <c r="N253" s="7">
        <v>18</v>
      </c>
      <c r="O253" s="7">
        <v>0</v>
      </c>
    </row>
    <row r="254" spans="1:15">
      <c r="A254" s="7" t="s">
        <v>1766</v>
      </c>
      <c r="B254" s="7" t="s">
        <v>1496</v>
      </c>
      <c r="C254" s="7" t="s">
        <v>1767</v>
      </c>
      <c r="E254" s="7" t="s">
        <v>1602</v>
      </c>
      <c r="F254" s="7">
        <v>321330</v>
      </c>
      <c r="G254" s="7">
        <v>32</v>
      </c>
      <c r="H254" s="7">
        <v>13</v>
      </c>
      <c r="I254" s="7">
        <v>30</v>
      </c>
      <c r="K254" s="7" t="s">
        <v>1795</v>
      </c>
      <c r="L254" s="7">
        <v>291000</v>
      </c>
      <c r="M254" s="7">
        <v>29</v>
      </c>
      <c r="N254" s="7">
        <v>10</v>
      </c>
      <c r="O254" s="7">
        <v>0</v>
      </c>
    </row>
    <row r="255" spans="1:15">
      <c r="A255" s="7" t="s">
        <v>1766</v>
      </c>
      <c r="B255" s="7" t="s">
        <v>1496</v>
      </c>
      <c r="C255" s="7" t="s">
        <v>1767</v>
      </c>
      <c r="E255" s="7" t="s">
        <v>1603</v>
      </c>
      <c r="F255" s="7">
        <v>321340</v>
      </c>
      <c r="G255" s="7">
        <v>32</v>
      </c>
      <c r="H255" s="7">
        <v>13</v>
      </c>
      <c r="I255" s="7">
        <v>40</v>
      </c>
      <c r="K255" s="7" t="s">
        <v>1796</v>
      </c>
      <c r="L255" s="7">
        <v>291100</v>
      </c>
      <c r="M255" s="7">
        <v>29</v>
      </c>
      <c r="N255" s="7">
        <v>11</v>
      </c>
      <c r="O255" s="7">
        <v>0</v>
      </c>
    </row>
    <row r="256" spans="1:15">
      <c r="A256" s="7" t="s">
        <v>1766</v>
      </c>
      <c r="B256" s="7" t="s">
        <v>1496</v>
      </c>
      <c r="C256" s="7" t="s">
        <v>1767</v>
      </c>
      <c r="D256" s="7" t="s">
        <v>1797</v>
      </c>
      <c r="E256" s="7" t="s">
        <v>1523</v>
      </c>
      <c r="F256" s="7">
        <v>790000</v>
      </c>
      <c r="G256" s="7">
        <v>79</v>
      </c>
      <c r="H256" s="7">
        <v>0</v>
      </c>
      <c r="I256" s="7">
        <v>0</v>
      </c>
      <c r="K256" s="7" t="s">
        <v>1798</v>
      </c>
      <c r="L256" s="7">
        <v>291200</v>
      </c>
      <c r="M256" s="7">
        <v>29</v>
      </c>
      <c r="N256" s="7">
        <v>12</v>
      </c>
      <c r="O256" s="7">
        <v>0</v>
      </c>
    </row>
    <row r="257" spans="1:15">
      <c r="A257" s="7" t="s">
        <v>1766</v>
      </c>
      <c r="B257" s="7" t="s">
        <v>1496</v>
      </c>
      <c r="C257" s="7" t="s">
        <v>1767</v>
      </c>
      <c r="E257" s="7" t="s">
        <v>504</v>
      </c>
      <c r="F257" s="7">
        <v>909000</v>
      </c>
      <c r="G257" s="7">
        <v>90</v>
      </c>
      <c r="H257" s="7">
        <v>90</v>
      </c>
      <c r="I257" s="7">
        <v>0</v>
      </c>
      <c r="K257" s="286" t="s">
        <v>1593</v>
      </c>
      <c r="L257" s="7">
        <v>300000</v>
      </c>
      <c r="M257" s="7">
        <v>30</v>
      </c>
      <c r="N257" s="7">
        <v>0</v>
      </c>
      <c r="O257" s="7">
        <v>0</v>
      </c>
    </row>
    <row r="258" spans="1:15">
      <c r="A258" s="7" t="s">
        <v>1799</v>
      </c>
      <c r="B258" s="7" t="s">
        <v>1496</v>
      </c>
      <c r="C258" s="7" t="s">
        <v>1800</v>
      </c>
      <c r="D258" s="7" t="s">
        <v>1801</v>
      </c>
      <c r="E258" s="7" t="s">
        <v>1503</v>
      </c>
      <c r="F258" s="7">
        <v>100000</v>
      </c>
      <c r="G258" s="7">
        <v>10</v>
      </c>
      <c r="H258" s="7">
        <v>0</v>
      </c>
      <c r="I258" s="7">
        <v>0</v>
      </c>
      <c r="K258" s="7" t="s">
        <v>1595</v>
      </c>
      <c r="L258" s="7">
        <v>301000</v>
      </c>
      <c r="M258" s="7">
        <v>30</v>
      </c>
      <c r="N258" s="7">
        <v>10</v>
      </c>
      <c r="O258" s="7">
        <v>0</v>
      </c>
    </row>
    <row r="259" spans="1:15">
      <c r="A259" s="7" t="s">
        <v>1799</v>
      </c>
      <c r="B259" s="7" t="s">
        <v>1496</v>
      </c>
      <c r="C259" s="7" t="s">
        <v>1800</v>
      </c>
      <c r="E259" s="7" t="s">
        <v>1501</v>
      </c>
      <c r="F259" s="7">
        <v>101000</v>
      </c>
      <c r="G259" s="7">
        <v>10</v>
      </c>
      <c r="H259" s="7">
        <v>10</v>
      </c>
      <c r="I259" s="7">
        <v>0</v>
      </c>
      <c r="K259" s="7" t="s">
        <v>1802</v>
      </c>
      <c r="L259" s="7">
        <v>301100</v>
      </c>
      <c r="M259" s="7">
        <v>30</v>
      </c>
      <c r="N259" s="7">
        <v>11</v>
      </c>
      <c r="O259" s="7">
        <v>0</v>
      </c>
    </row>
    <row r="260" spans="1:15">
      <c r="A260" s="7" t="s">
        <v>1799</v>
      </c>
      <c r="B260" s="7" t="s">
        <v>1496</v>
      </c>
      <c r="C260" s="7" t="s">
        <v>1800</v>
      </c>
      <c r="E260" s="7" t="s">
        <v>1513</v>
      </c>
      <c r="F260" s="7">
        <v>101200</v>
      </c>
      <c r="G260" s="7">
        <v>10</v>
      </c>
      <c r="H260" s="7">
        <v>12</v>
      </c>
      <c r="I260" s="7">
        <v>0</v>
      </c>
      <c r="K260" s="7" t="s">
        <v>1803</v>
      </c>
      <c r="L260" s="7">
        <v>301200</v>
      </c>
      <c r="M260" s="7">
        <v>30</v>
      </c>
      <c r="N260" s="7">
        <v>12</v>
      </c>
      <c r="O260" s="7">
        <v>0</v>
      </c>
    </row>
    <row r="261" spans="1:15">
      <c r="A261" s="7" t="s">
        <v>1799</v>
      </c>
      <c r="B261" s="7" t="s">
        <v>1496</v>
      </c>
      <c r="C261" s="7" t="s">
        <v>1800</v>
      </c>
      <c r="D261" s="7" t="s">
        <v>1804</v>
      </c>
      <c r="E261" s="7" t="s">
        <v>1543</v>
      </c>
      <c r="F261" s="7">
        <v>150000</v>
      </c>
      <c r="G261" s="7">
        <v>15</v>
      </c>
      <c r="H261" s="7">
        <v>0</v>
      </c>
      <c r="I261" s="7">
        <v>0</v>
      </c>
      <c r="K261" s="7" t="s">
        <v>1805</v>
      </c>
      <c r="L261" s="7">
        <v>301300</v>
      </c>
      <c r="M261" s="7">
        <v>30</v>
      </c>
      <c r="N261" s="7">
        <v>13</v>
      </c>
      <c r="O261" s="7">
        <v>0</v>
      </c>
    </row>
    <row r="262" spans="1:15">
      <c r="A262" s="7" t="s">
        <v>1799</v>
      </c>
      <c r="B262" s="7" t="s">
        <v>1496</v>
      </c>
      <c r="C262" s="7" t="s">
        <v>1800</v>
      </c>
      <c r="E262" s="7" t="s">
        <v>1501</v>
      </c>
      <c r="F262" s="7">
        <v>151000</v>
      </c>
      <c r="G262" s="7">
        <v>15</v>
      </c>
      <c r="H262" s="7">
        <v>10</v>
      </c>
      <c r="I262" s="7">
        <v>0</v>
      </c>
      <c r="K262" s="7" t="s">
        <v>1725</v>
      </c>
      <c r="L262" s="7">
        <v>310000</v>
      </c>
      <c r="M262" s="7">
        <v>31</v>
      </c>
      <c r="N262" s="7">
        <v>0</v>
      </c>
      <c r="O262" s="7">
        <v>0</v>
      </c>
    </row>
    <row r="263" spans="1:15">
      <c r="A263" s="7" t="s">
        <v>1799</v>
      </c>
      <c r="B263" s="7" t="s">
        <v>1496</v>
      </c>
      <c r="C263" s="7" t="s">
        <v>1800</v>
      </c>
      <c r="E263" s="7" t="s">
        <v>1544</v>
      </c>
      <c r="F263" s="7">
        <v>151100</v>
      </c>
      <c r="G263" s="7">
        <v>15</v>
      </c>
      <c r="H263" s="7">
        <v>11</v>
      </c>
      <c r="I263" s="7">
        <v>0</v>
      </c>
      <c r="K263" s="7" t="s">
        <v>1727</v>
      </c>
      <c r="L263" s="7">
        <v>311900</v>
      </c>
      <c r="M263" s="7">
        <v>31</v>
      </c>
      <c r="N263" s="7">
        <v>19</v>
      </c>
      <c r="O263" s="7">
        <v>0</v>
      </c>
    </row>
    <row r="264" spans="1:15">
      <c r="A264" s="7" t="s">
        <v>1799</v>
      </c>
      <c r="B264" s="7" t="s">
        <v>1496</v>
      </c>
      <c r="C264" s="7" t="s">
        <v>1800</v>
      </c>
      <c r="E264" s="7" t="s">
        <v>1611</v>
      </c>
      <c r="F264" s="7">
        <v>151140</v>
      </c>
      <c r="G264" s="7">
        <v>15</v>
      </c>
      <c r="H264" s="7">
        <v>11</v>
      </c>
      <c r="I264" s="7">
        <v>40</v>
      </c>
      <c r="K264" s="7" t="s">
        <v>1729</v>
      </c>
      <c r="L264" s="7">
        <v>311910</v>
      </c>
      <c r="M264" s="7">
        <v>31</v>
      </c>
      <c r="N264" s="7">
        <v>19</v>
      </c>
      <c r="O264" s="7">
        <v>10</v>
      </c>
    </row>
    <row r="265" spans="1:15">
      <c r="A265" s="7" t="s">
        <v>1799</v>
      </c>
      <c r="B265" s="7" t="s">
        <v>1496</v>
      </c>
      <c r="C265" s="7" t="s">
        <v>1800</v>
      </c>
      <c r="E265" s="7" t="s">
        <v>1612</v>
      </c>
      <c r="F265" s="7">
        <v>151150</v>
      </c>
      <c r="G265" s="7">
        <v>15</v>
      </c>
      <c r="H265" s="7">
        <v>11</v>
      </c>
      <c r="I265" s="7">
        <v>50</v>
      </c>
      <c r="K265" s="7" t="s">
        <v>1731</v>
      </c>
      <c r="L265" s="7">
        <v>311920</v>
      </c>
      <c r="M265" s="7">
        <v>31</v>
      </c>
      <c r="N265" s="7">
        <v>19</v>
      </c>
      <c r="O265" s="7">
        <v>20</v>
      </c>
    </row>
    <row r="266" spans="1:15">
      <c r="A266" s="7" t="s">
        <v>1799</v>
      </c>
      <c r="B266" s="7" t="s">
        <v>1496</v>
      </c>
      <c r="C266" s="7" t="s">
        <v>1800</v>
      </c>
      <c r="E266" s="7" t="s">
        <v>1613</v>
      </c>
      <c r="F266" s="7">
        <v>151400</v>
      </c>
      <c r="G266" s="7">
        <v>15</v>
      </c>
      <c r="H266" s="7">
        <v>14</v>
      </c>
      <c r="I266" s="7">
        <v>0</v>
      </c>
      <c r="K266" s="7" t="s">
        <v>1732</v>
      </c>
      <c r="L266" s="7">
        <v>311930</v>
      </c>
      <c r="M266" s="7">
        <v>31</v>
      </c>
      <c r="N266" s="7">
        <v>19</v>
      </c>
      <c r="O266" s="7">
        <v>30</v>
      </c>
    </row>
    <row r="267" spans="1:15">
      <c r="A267" s="7" t="s">
        <v>1799</v>
      </c>
      <c r="B267" s="7" t="s">
        <v>1496</v>
      </c>
      <c r="C267" s="7" t="s">
        <v>1800</v>
      </c>
      <c r="E267" s="7" t="s">
        <v>1614</v>
      </c>
      <c r="F267" s="7">
        <v>151410</v>
      </c>
      <c r="G267" s="7">
        <v>15</v>
      </c>
      <c r="H267" s="7">
        <v>14</v>
      </c>
      <c r="I267" s="7">
        <v>10</v>
      </c>
      <c r="K267" s="7" t="s">
        <v>1733</v>
      </c>
      <c r="L267" s="7">
        <v>312000</v>
      </c>
      <c r="M267" s="7">
        <v>31</v>
      </c>
      <c r="N267" s="7">
        <v>20</v>
      </c>
      <c r="O267" s="7">
        <v>0</v>
      </c>
    </row>
    <row r="268" spans="1:15">
      <c r="A268" s="7" t="s">
        <v>1799</v>
      </c>
      <c r="B268" s="7" t="s">
        <v>1496</v>
      </c>
      <c r="C268" s="7" t="s">
        <v>1800</v>
      </c>
      <c r="E268" s="7" t="s">
        <v>1615</v>
      </c>
      <c r="F268" s="7">
        <v>151420</v>
      </c>
      <c r="G268" s="7">
        <v>15</v>
      </c>
      <c r="H268" s="7">
        <v>14</v>
      </c>
      <c r="I268" s="7">
        <v>20</v>
      </c>
      <c r="K268" s="7" t="s">
        <v>1501</v>
      </c>
      <c r="L268" s="7">
        <v>312010</v>
      </c>
      <c r="M268" s="7">
        <v>31</v>
      </c>
      <c r="N268" s="7">
        <v>20</v>
      </c>
      <c r="O268" s="7">
        <v>10</v>
      </c>
    </row>
    <row r="269" spans="1:15">
      <c r="A269" s="7" t="s">
        <v>1799</v>
      </c>
      <c r="B269" s="7" t="s">
        <v>1496</v>
      </c>
      <c r="C269" s="7" t="s">
        <v>1800</v>
      </c>
      <c r="E269" s="7" t="s">
        <v>1617</v>
      </c>
      <c r="F269" s="7">
        <v>151430</v>
      </c>
      <c r="G269" s="7">
        <v>15</v>
      </c>
      <c r="H269" s="7">
        <v>14</v>
      </c>
      <c r="I269" s="7">
        <v>30</v>
      </c>
      <c r="K269" s="7" t="s">
        <v>1734</v>
      </c>
      <c r="L269" s="7">
        <v>312020</v>
      </c>
      <c r="M269" s="7">
        <v>31</v>
      </c>
      <c r="N269" s="7">
        <v>20</v>
      </c>
      <c r="O269" s="7">
        <v>20</v>
      </c>
    </row>
    <row r="270" spans="1:15">
      <c r="A270" s="7" t="s">
        <v>1799</v>
      </c>
      <c r="B270" s="7" t="s">
        <v>1496</v>
      </c>
      <c r="C270" s="7" t="s">
        <v>1800</v>
      </c>
      <c r="E270" s="7" t="s">
        <v>1619</v>
      </c>
      <c r="F270" s="7">
        <v>151500</v>
      </c>
      <c r="G270" s="7">
        <v>15</v>
      </c>
      <c r="H270" s="7">
        <v>15</v>
      </c>
      <c r="I270" s="7">
        <v>0</v>
      </c>
      <c r="K270" s="7" t="s">
        <v>1622</v>
      </c>
      <c r="L270" s="7">
        <v>312021</v>
      </c>
      <c r="M270" s="7">
        <v>31</v>
      </c>
      <c r="N270" s="7">
        <v>20</v>
      </c>
      <c r="O270" s="7">
        <v>21</v>
      </c>
    </row>
    <row r="271" spans="1:15">
      <c r="A271" s="7" t="s">
        <v>1799</v>
      </c>
      <c r="B271" s="7" t="s">
        <v>1496</v>
      </c>
      <c r="C271" s="7" t="s">
        <v>1800</v>
      </c>
      <c r="E271" s="7" t="s">
        <v>1621</v>
      </c>
      <c r="F271" s="7">
        <v>151510</v>
      </c>
      <c r="G271" s="7">
        <v>15</v>
      </c>
      <c r="H271" s="7">
        <v>15</v>
      </c>
      <c r="I271" s="7">
        <v>10</v>
      </c>
      <c r="K271" s="7" t="s">
        <v>1735</v>
      </c>
      <c r="L271" s="7">
        <v>312022</v>
      </c>
      <c r="M271" s="7">
        <v>31</v>
      </c>
      <c r="N271" s="7">
        <v>20</v>
      </c>
      <c r="O271" s="7">
        <v>22</v>
      </c>
    </row>
    <row r="272" spans="1:15">
      <c r="A272" s="7" t="s">
        <v>1799</v>
      </c>
      <c r="B272" s="7" t="s">
        <v>1496</v>
      </c>
      <c r="C272" s="7" t="s">
        <v>1800</v>
      </c>
      <c r="E272" s="7" t="s">
        <v>1623</v>
      </c>
      <c r="F272" s="7">
        <v>151520</v>
      </c>
      <c r="G272" s="7">
        <v>15</v>
      </c>
      <c r="H272" s="7">
        <v>15</v>
      </c>
      <c r="I272" s="7">
        <v>20</v>
      </c>
      <c r="K272" s="7" t="s">
        <v>1806</v>
      </c>
      <c r="L272" s="7">
        <v>311000</v>
      </c>
      <c r="M272" s="7">
        <v>31</v>
      </c>
      <c r="N272" s="7">
        <v>10</v>
      </c>
      <c r="O272" s="7">
        <v>0</v>
      </c>
    </row>
    <row r="273" spans="1:15">
      <c r="A273" s="7" t="s">
        <v>1799</v>
      </c>
      <c r="B273" s="7" t="s">
        <v>1496</v>
      </c>
      <c r="C273" s="7" t="s">
        <v>1800</v>
      </c>
      <c r="E273" s="7" t="s">
        <v>1624</v>
      </c>
      <c r="F273" s="7">
        <v>151530</v>
      </c>
      <c r="G273" s="7">
        <v>15</v>
      </c>
      <c r="H273" s="7">
        <v>15</v>
      </c>
      <c r="I273" s="7">
        <v>30</v>
      </c>
      <c r="K273" s="7" t="s">
        <v>1807</v>
      </c>
      <c r="L273" s="7">
        <v>311100</v>
      </c>
      <c r="M273" s="7">
        <v>31</v>
      </c>
      <c r="N273" s="7">
        <v>11</v>
      </c>
      <c r="O273" s="7">
        <v>0</v>
      </c>
    </row>
    <row r="274" spans="1:15">
      <c r="A274" s="7" t="s">
        <v>1799</v>
      </c>
      <c r="B274" s="7" t="s">
        <v>1496</v>
      </c>
      <c r="C274" s="7" t="s">
        <v>1800</v>
      </c>
      <c r="D274" s="7" t="s">
        <v>1808</v>
      </c>
      <c r="E274" s="7" t="s">
        <v>1516</v>
      </c>
      <c r="F274" s="7">
        <v>210000</v>
      </c>
      <c r="G274" s="7">
        <v>21</v>
      </c>
      <c r="H274" s="7">
        <v>0</v>
      </c>
      <c r="I274" s="7">
        <v>0</v>
      </c>
      <c r="K274" s="7" t="s">
        <v>1809</v>
      </c>
      <c r="L274" s="7">
        <v>311200</v>
      </c>
      <c r="M274" s="7">
        <v>31</v>
      </c>
      <c r="N274" s="7">
        <v>12</v>
      </c>
      <c r="O274" s="7">
        <v>0</v>
      </c>
    </row>
    <row r="275" spans="1:15">
      <c r="A275" s="7" t="s">
        <v>1799</v>
      </c>
      <c r="B275" s="7" t="s">
        <v>1496</v>
      </c>
      <c r="C275" s="7" t="s">
        <v>1800</v>
      </c>
      <c r="E275" s="7" t="s">
        <v>1737</v>
      </c>
      <c r="F275" s="7">
        <v>211200</v>
      </c>
      <c r="G275" s="7">
        <v>21</v>
      </c>
      <c r="H275" s="7">
        <v>12</v>
      </c>
      <c r="I275" s="7">
        <v>0</v>
      </c>
      <c r="K275" s="7" t="s">
        <v>1810</v>
      </c>
      <c r="L275" s="7">
        <v>311300</v>
      </c>
      <c r="M275" s="7">
        <v>31</v>
      </c>
      <c r="N275" s="7">
        <v>13</v>
      </c>
      <c r="O275" s="7">
        <v>0</v>
      </c>
    </row>
    <row r="276" spans="1:15">
      <c r="A276" s="7" t="s">
        <v>1799</v>
      </c>
      <c r="B276" s="7" t="s">
        <v>1496</v>
      </c>
      <c r="C276" s="7" t="s">
        <v>1800</v>
      </c>
      <c r="E276" s="7" t="s">
        <v>1741</v>
      </c>
      <c r="F276" s="7">
        <v>211210</v>
      </c>
      <c r="G276" s="7">
        <v>21</v>
      </c>
      <c r="H276" s="7">
        <v>12</v>
      </c>
      <c r="I276" s="7">
        <v>10</v>
      </c>
      <c r="K276" s="7" t="s">
        <v>1811</v>
      </c>
      <c r="L276" s="7">
        <v>311400</v>
      </c>
      <c r="M276" s="7">
        <v>31</v>
      </c>
      <c r="N276" s="7">
        <v>14</v>
      </c>
      <c r="O276" s="7">
        <v>0</v>
      </c>
    </row>
    <row r="277" spans="1:15">
      <c r="A277" s="7" t="s">
        <v>1799</v>
      </c>
      <c r="B277" s="7" t="s">
        <v>1496</v>
      </c>
      <c r="C277" s="7" t="s">
        <v>1800</v>
      </c>
      <c r="E277" s="7" t="s">
        <v>1742</v>
      </c>
      <c r="F277" s="7">
        <v>211220</v>
      </c>
      <c r="G277" s="7">
        <v>21</v>
      </c>
      <c r="H277" s="7">
        <v>12</v>
      </c>
      <c r="I277" s="7">
        <v>20</v>
      </c>
      <c r="K277" s="7" t="s">
        <v>1812</v>
      </c>
      <c r="L277" s="7">
        <v>311500</v>
      </c>
      <c r="M277" s="7">
        <v>31</v>
      </c>
      <c r="N277" s="7">
        <v>15</v>
      </c>
      <c r="O277" s="7">
        <v>0</v>
      </c>
    </row>
    <row r="278" spans="1:15">
      <c r="A278" s="7" t="s">
        <v>1799</v>
      </c>
      <c r="B278" s="7" t="s">
        <v>1496</v>
      </c>
      <c r="C278" s="7" t="s">
        <v>1800</v>
      </c>
      <c r="E278" s="7" t="s">
        <v>1743</v>
      </c>
      <c r="F278" s="7">
        <v>211230</v>
      </c>
      <c r="G278" s="7">
        <v>21</v>
      </c>
      <c r="H278" s="7">
        <v>12</v>
      </c>
      <c r="I278" s="7">
        <v>30</v>
      </c>
      <c r="K278" s="7" t="s">
        <v>1813</v>
      </c>
      <c r="L278" s="7">
        <v>311600</v>
      </c>
      <c r="M278" s="7">
        <v>31</v>
      </c>
      <c r="N278" s="7">
        <v>16</v>
      </c>
      <c r="O278" s="7">
        <v>0</v>
      </c>
    </row>
    <row r="279" spans="1:15">
      <c r="A279" s="7" t="s">
        <v>1799</v>
      </c>
      <c r="B279" s="7" t="s">
        <v>1496</v>
      </c>
      <c r="C279" s="7" t="s">
        <v>1800</v>
      </c>
      <c r="E279" s="7" t="s">
        <v>1744</v>
      </c>
      <c r="F279" s="7">
        <v>211240</v>
      </c>
      <c r="G279" s="7">
        <v>21</v>
      </c>
      <c r="H279" s="7">
        <v>12</v>
      </c>
      <c r="I279" s="7">
        <v>40</v>
      </c>
      <c r="K279" s="7" t="s">
        <v>1814</v>
      </c>
      <c r="L279" s="7">
        <v>311700</v>
      </c>
      <c r="M279" s="7">
        <v>31</v>
      </c>
      <c r="N279" s="7">
        <v>17</v>
      </c>
      <c r="O279" s="7">
        <v>0</v>
      </c>
    </row>
    <row r="280" spans="1:15">
      <c r="A280" s="7" t="s">
        <v>1799</v>
      </c>
      <c r="B280" s="7" t="s">
        <v>1496</v>
      </c>
      <c r="C280" s="7" t="s">
        <v>1800</v>
      </c>
      <c r="D280" s="7" t="s">
        <v>1815</v>
      </c>
      <c r="E280" s="7" t="s">
        <v>1587</v>
      </c>
      <c r="F280" s="7">
        <v>250000</v>
      </c>
      <c r="G280" s="7">
        <v>25</v>
      </c>
      <c r="H280" s="7">
        <v>0</v>
      </c>
      <c r="I280" s="7">
        <v>0</v>
      </c>
      <c r="K280" s="7" t="s">
        <v>1597</v>
      </c>
      <c r="L280" s="7">
        <v>320000</v>
      </c>
      <c r="M280" s="7">
        <v>32</v>
      </c>
      <c r="N280" s="7">
        <v>0</v>
      </c>
      <c r="O280" s="7">
        <v>0</v>
      </c>
    </row>
    <row r="281" spans="1:15">
      <c r="A281" s="7" t="s">
        <v>1799</v>
      </c>
      <c r="B281" s="7" t="s">
        <v>1496</v>
      </c>
      <c r="C281" s="7" t="s">
        <v>1800</v>
      </c>
      <c r="E281" s="7" t="s">
        <v>1501</v>
      </c>
      <c r="F281" s="7">
        <v>251000</v>
      </c>
      <c r="G281" s="7">
        <v>25</v>
      </c>
      <c r="H281" s="7">
        <v>10</v>
      </c>
      <c r="I281" s="7">
        <v>0</v>
      </c>
      <c r="K281" s="7" t="s">
        <v>1598</v>
      </c>
      <c r="L281" s="7">
        <v>321100</v>
      </c>
      <c r="M281" s="7">
        <v>32</v>
      </c>
      <c r="N281" s="7">
        <v>11</v>
      </c>
      <c r="O281" s="7">
        <v>0</v>
      </c>
    </row>
    <row r="282" spans="1:15">
      <c r="A282" s="7" t="s">
        <v>1799</v>
      </c>
      <c r="B282" s="7" t="s">
        <v>1496</v>
      </c>
      <c r="C282" s="7" t="s">
        <v>1800</v>
      </c>
      <c r="D282" s="7" t="s">
        <v>1816</v>
      </c>
      <c r="E282" s="7" t="s">
        <v>1645</v>
      </c>
      <c r="F282" s="7">
        <v>780000</v>
      </c>
      <c r="G282" s="7">
        <v>78</v>
      </c>
      <c r="H282" s="7">
        <v>0</v>
      </c>
      <c r="I282" s="7">
        <v>0</v>
      </c>
      <c r="K282" s="7" t="s">
        <v>1599</v>
      </c>
      <c r="L282" s="7">
        <v>321300</v>
      </c>
      <c r="M282" s="7">
        <v>32</v>
      </c>
      <c r="N282" s="7">
        <v>13</v>
      </c>
      <c r="O282" s="7">
        <v>0</v>
      </c>
    </row>
    <row r="283" spans="1:15">
      <c r="A283" s="7" t="s">
        <v>1799</v>
      </c>
      <c r="B283" s="7" t="s">
        <v>1496</v>
      </c>
      <c r="C283" s="7" t="s">
        <v>1800</v>
      </c>
      <c r="E283" s="7" t="s">
        <v>1501</v>
      </c>
      <c r="F283" s="7">
        <v>781000</v>
      </c>
      <c r="G283" s="7">
        <v>78</v>
      </c>
      <c r="H283" s="7">
        <v>10</v>
      </c>
      <c r="I283" s="7">
        <v>0</v>
      </c>
      <c r="K283" s="7" t="s">
        <v>1600</v>
      </c>
      <c r="L283" s="7">
        <v>321310</v>
      </c>
      <c r="M283" s="7">
        <v>32</v>
      </c>
      <c r="N283" s="7">
        <v>13</v>
      </c>
      <c r="O283" s="7">
        <v>10</v>
      </c>
    </row>
    <row r="284" spans="1:15">
      <c r="A284" s="7" t="s">
        <v>1799</v>
      </c>
      <c r="B284" s="7" t="s">
        <v>1496</v>
      </c>
      <c r="C284" s="7" t="s">
        <v>1800</v>
      </c>
      <c r="D284" s="7" t="s">
        <v>1817</v>
      </c>
      <c r="E284" s="7" t="s">
        <v>1523</v>
      </c>
      <c r="F284" s="7">
        <v>790000</v>
      </c>
      <c r="G284" s="7">
        <v>79</v>
      </c>
      <c r="H284" s="7">
        <v>0</v>
      </c>
      <c r="I284" s="7">
        <v>0</v>
      </c>
      <c r="K284" s="7" t="s">
        <v>1601</v>
      </c>
      <c r="L284" s="7">
        <v>321320</v>
      </c>
      <c r="M284" s="7">
        <v>32</v>
      </c>
      <c r="N284" s="7">
        <v>13</v>
      </c>
      <c r="O284" s="7">
        <v>20</v>
      </c>
    </row>
    <row r="285" spans="1:15">
      <c r="A285" s="7" t="s">
        <v>1799</v>
      </c>
      <c r="B285" s="7" t="s">
        <v>1496</v>
      </c>
      <c r="C285" s="7" t="s">
        <v>1800</v>
      </c>
      <c r="E285" s="7" t="s">
        <v>504</v>
      </c>
      <c r="F285" s="7">
        <v>909000</v>
      </c>
      <c r="G285" s="7">
        <v>90</v>
      </c>
      <c r="H285" s="7">
        <v>90</v>
      </c>
      <c r="I285" s="7">
        <v>0</v>
      </c>
      <c r="K285" s="7" t="s">
        <v>1602</v>
      </c>
      <c r="L285" s="7">
        <v>321330</v>
      </c>
      <c r="M285" s="7">
        <v>32</v>
      </c>
      <c r="N285" s="7">
        <v>13</v>
      </c>
      <c r="O285" s="7">
        <v>30</v>
      </c>
    </row>
    <row r="286" spans="1:15">
      <c r="A286" s="7" t="s">
        <v>1818</v>
      </c>
      <c r="B286" s="7" t="s">
        <v>1496</v>
      </c>
      <c r="C286" s="7" t="s">
        <v>1819</v>
      </c>
      <c r="D286" s="7" t="s">
        <v>1820</v>
      </c>
      <c r="E286" s="7" t="s">
        <v>145</v>
      </c>
      <c r="F286" s="7">
        <v>140000</v>
      </c>
      <c r="G286" s="7">
        <v>14</v>
      </c>
      <c r="H286" s="7">
        <v>0</v>
      </c>
      <c r="I286" s="7">
        <v>0</v>
      </c>
      <c r="K286" s="7" t="s">
        <v>1603</v>
      </c>
      <c r="L286" s="7">
        <v>321340</v>
      </c>
      <c r="M286" s="7">
        <v>32</v>
      </c>
      <c r="N286" s="7">
        <v>13</v>
      </c>
      <c r="O286" s="7">
        <v>40</v>
      </c>
    </row>
    <row r="287" spans="1:15">
      <c r="A287" s="7" t="s">
        <v>1818</v>
      </c>
      <c r="B287" s="7" t="s">
        <v>1496</v>
      </c>
      <c r="C287" s="7" t="s">
        <v>1819</v>
      </c>
      <c r="E287" s="7" t="s">
        <v>1569</v>
      </c>
      <c r="F287" s="7">
        <v>142900</v>
      </c>
      <c r="G287" s="7">
        <v>14</v>
      </c>
      <c r="H287" s="7">
        <v>29</v>
      </c>
      <c r="I287" s="7">
        <v>0</v>
      </c>
      <c r="K287" s="7" t="s">
        <v>1794</v>
      </c>
      <c r="L287" s="7">
        <v>321000</v>
      </c>
      <c r="M287" s="7">
        <v>32</v>
      </c>
      <c r="N287" s="7">
        <v>10</v>
      </c>
      <c r="O287" s="7">
        <v>0</v>
      </c>
    </row>
    <row r="288" spans="1:15">
      <c r="A288" s="7" t="s">
        <v>1818</v>
      </c>
      <c r="B288" s="7" t="s">
        <v>1496</v>
      </c>
      <c r="C288" s="7" t="s">
        <v>1819</v>
      </c>
      <c r="E288" s="7" t="s">
        <v>1571</v>
      </c>
      <c r="F288" s="7">
        <v>143000</v>
      </c>
      <c r="G288" s="7">
        <v>14</v>
      </c>
      <c r="H288" s="7">
        <v>30</v>
      </c>
      <c r="I288" s="7">
        <v>0</v>
      </c>
      <c r="K288" s="7" t="s">
        <v>1821</v>
      </c>
      <c r="L288" s="7">
        <v>321200</v>
      </c>
      <c r="M288" s="7">
        <v>32</v>
      </c>
      <c r="N288" s="7">
        <v>12</v>
      </c>
      <c r="O288" s="7">
        <v>0</v>
      </c>
    </row>
    <row r="289" spans="1:15">
      <c r="A289" s="7" t="s">
        <v>1818</v>
      </c>
      <c r="B289" s="7" t="s">
        <v>1496</v>
      </c>
      <c r="C289" s="7" t="s">
        <v>1819</v>
      </c>
      <c r="E289" s="7" t="s">
        <v>1573</v>
      </c>
      <c r="F289" s="7">
        <v>143100</v>
      </c>
      <c r="G289" s="7">
        <v>14</v>
      </c>
      <c r="H289" s="7">
        <v>31</v>
      </c>
      <c r="I289" s="7">
        <v>0</v>
      </c>
      <c r="K289" s="7" t="s">
        <v>1569</v>
      </c>
      <c r="L289" s="7">
        <v>330000</v>
      </c>
      <c r="M289" s="7">
        <v>33</v>
      </c>
      <c r="N289" s="7">
        <v>0</v>
      </c>
      <c r="O289" s="7">
        <v>0</v>
      </c>
    </row>
    <row r="290" spans="1:15">
      <c r="A290" s="7" t="s">
        <v>1818</v>
      </c>
      <c r="B290" s="7" t="s">
        <v>1496</v>
      </c>
      <c r="C290" s="7" t="s">
        <v>1819</v>
      </c>
      <c r="E290" s="7" t="s">
        <v>1575</v>
      </c>
      <c r="F290" s="7">
        <v>143200</v>
      </c>
      <c r="G290" s="7">
        <v>14</v>
      </c>
      <c r="H290" s="7">
        <v>32</v>
      </c>
      <c r="I290" s="7">
        <v>0</v>
      </c>
      <c r="K290" s="7" t="s">
        <v>1822</v>
      </c>
      <c r="L290" s="7">
        <v>331000</v>
      </c>
      <c r="M290" s="7">
        <v>33</v>
      </c>
      <c r="N290" s="7">
        <v>10</v>
      </c>
      <c r="O290" s="7">
        <v>0</v>
      </c>
    </row>
    <row r="291" spans="1:15">
      <c r="A291" s="7" t="s">
        <v>1818</v>
      </c>
      <c r="B291" s="7" t="s">
        <v>1496</v>
      </c>
      <c r="C291" s="7" t="s">
        <v>1819</v>
      </c>
      <c r="E291" s="7" t="s">
        <v>1577</v>
      </c>
      <c r="F291" s="7">
        <v>143300</v>
      </c>
      <c r="G291" s="7">
        <v>14</v>
      </c>
      <c r="H291" s="7">
        <v>33</v>
      </c>
      <c r="I291" s="7">
        <v>0</v>
      </c>
      <c r="K291" s="7" t="s">
        <v>1823</v>
      </c>
      <c r="L291" s="7">
        <v>331100</v>
      </c>
      <c r="M291" s="7">
        <v>33</v>
      </c>
      <c r="N291" s="7">
        <v>11</v>
      </c>
      <c r="O291" s="7">
        <v>0</v>
      </c>
    </row>
    <row r="292" spans="1:15">
      <c r="A292" s="7" t="s">
        <v>1818</v>
      </c>
      <c r="B292" s="7" t="s">
        <v>1496</v>
      </c>
      <c r="C292" s="7" t="s">
        <v>1819</v>
      </c>
      <c r="E292" s="7" t="s">
        <v>1579</v>
      </c>
      <c r="F292" s="7">
        <v>143400</v>
      </c>
      <c r="G292" s="7">
        <v>14</v>
      </c>
      <c r="H292" s="7">
        <v>34</v>
      </c>
      <c r="I292" s="7">
        <v>0</v>
      </c>
      <c r="K292" s="7" t="s">
        <v>1577</v>
      </c>
      <c r="L292" s="7">
        <v>331200</v>
      </c>
      <c r="M292" s="7">
        <v>33</v>
      </c>
      <c r="N292" s="7">
        <v>12</v>
      </c>
      <c r="O292" s="7">
        <v>0</v>
      </c>
    </row>
    <row r="293" spans="1:15">
      <c r="A293" s="7" t="s">
        <v>1818</v>
      </c>
      <c r="B293" s="7" t="s">
        <v>1496</v>
      </c>
      <c r="C293" s="7" t="s">
        <v>1819</v>
      </c>
      <c r="D293" s="7" t="s">
        <v>1824</v>
      </c>
      <c r="E293" s="7" t="s">
        <v>1543</v>
      </c>
      <c r="F293" s="7">
        <v>150000</v>
      </c>
      <c r="G293" s="7">
        <v>15</v>
      </c>
      <c r="H293" s="7">
        <v>0</v>
      </c>
      <c r="I293" s="7">
        <v>0</v>
      </c>
      <c r="K293" s="7" t="s">
        <v>1825</v>
      </c>
      <c r="L293" s="7">
        <v>331300</v>
      </c>
      <c r="M293" s="7">
        <v>33</v>
      </c>
      <c r="N293" s="7">
        <v>13</v>
      </c>
      <c r="O293" s="7">
        <v>0</v>
      </c>
    </row>
    <row r="294" spans="1:15">
      <c r="A294" s="7" t="s">
        <v>1818</v>
      </c>
      <c r="B294" s="7" t="s">
        <v>1496</v>
      </c>
      <c r="C294" s="7" t="s">
        <v>1819</v>
      </c>
      <c r="E294" s="7" t="s">
        <v>1569</v>
      </c>
      <c r="F294" s="7">
        <v>152000</v>
      </c>
      <c r="G294" s="7">
        <v>15</v>
      </c>
      <c r="H294" s="7">
        <v>20</v>
      </c>
      <c r="I294" s="7">
        <v>0</v>
      </c>
      <c r="K294" s="7" t="s">
        <v>1826</v>
      </c>
      <c r="L294" s="7">
        <v>331400</v>
      </c>
      <c r="M294" s="7">
        <v>33</v>
      </c>
      <c r="N294" s="7">
        <v>14</v>
      </c>
      <c r="O294" s="7">
        <v>0</v>
      </c>
    </row>
    <row r="295" spans="1:15">
      <c r="A295" s="7" t="s">
        <v>1818</v>
      </c>
      <c r="B295" s="7" t="s">
        <v>1496</v>
      </c>
      <c r="C295" s="7" t="s">
        <v>1819</v>
      </c>
      <c r="E295" s="7" t="s">
        <v>1571</v>
      </c>
      <c r="F295" s="7">
        <v>152100</v>
      </c>
      <c r="G295" s="7">
        <v>15</v>
      </c>
      <c r="H295" s="7">
        <v>21</v>
      </c>
      <c r="I295" s="7">
        <v>0</v>
      </c>
      <c r="K295" s="7" t="s">
        <v>1827</v>
      </c>
      <c r="L295" s="7">
        <v>331500</v>
      </c>
      <c r="M295" s="7">
        <v>33</v>
      </c>
      <c r="N295" s="7">
        <v>15</v>
      </c>
      <c r="O295" s="7">
        <v>0</v>
      </c>
    </row>
    <row r="296" spans="1:15">
      <c r="A296" s="7" t="s">
        <v>1818</v>
      </c>
      <c r="B296" s="7" t="s">
        <v>1496</v>
      </c>
      <c r="C296" s="7" t="s">
        <v>1819</v>
      </c>
      <c r="E296" s="7" t="s">
        <v>1573</v>
      </c>
      <c r="F296" s="7">
        <v>152200</v>
      </c>
      <c r="G296" s="7">
        <v>15</v>
      </c>
      <c r="H296" s="7">
        <v>22</v>
      </c>
      <c r="I296" s="7">
        <v>0</v>
      </c>
      <c r="K296" s="7" t="s">
        <v>1828</v>
      </c>
      <c r="L296" s="7">
        <v>331600</v>
      </c>
      <c r="M296" s="7">
        <v>33</v>
      </c>
      <c r="N296" s="7">
        <v>16</v>
      </c>
      <c r="O296" s="7">
        <v>0</v>
      </c>
    </row>
    <row r="297" spans="1:15">
      <c r="A297" s="7" t="s">
        <v>1818</v>
      </c>
      <c r="B297" s="7" t="s">
        <v>1496</v>
      </c>
      <c r="C297" s="7" t="s">
        <v>1819</v>
      </c>
      <c r="E297" s="7" t="s">
        <v>1575</v>
      </c>
      <c r="F297" s="7">
        <v>152300</v>
      </c>
      <c r="G297" s="7">
        <v>15</v>
      </c>
      <c r="H297" s="7">
        <v>23</v>
      </c>
      <c r="I297" s="7">
        <v>0</v>
      </c>
      <c r="K297" s="7" t="s">
        <v>1571</v>
      </c>
      <c r="L297" s="7">
        <v>340000</v>
      </c>
      <c r="M297" s="7">
        <v>34</v>
      </c>
      <c r="N297" s="7">
        <v>0</v>
      </c>
      <c r="O297" s="7">
        <v>0</v>
      </c>
    </row>
    <row r="298" spans="1:15">
      <c r="A298" s="7" t="s">
        <v>1818</v>
      </c>
      <c r="B298" s="7" t="s">
        <v>1496</v>
      </c>
      <c r="C298" s="7" t="s">
        <v>1819</v>
      </c>
      <c r="E298" s="7" t="s">
        <v>1577</v>
      </c>
      <c r="F298" s="7">
        <v>152400</v>
      </c>
      <c r="G298" s="7">
        <v>15</v>
      </c>
      <c r="H298" s="7">
        <v>24</v>
      </c>
      <c r="I298" s="7">
        <v>0</v>
      </c>
      <c r="K298" s="7" t="s">
        <v>1822</v>
      </c>
      <c r="L298" s="7">
        <v>341000</v>
      </c>
      <c r="M298" s="7">
        <v>34</v>
      </c>
      <c r="N298" s="7">
        <v>10</v>
      </c>
      <c r="O298" s="7">
        <v>0</v>
      </c>
    </row>
    <row r="299" spans="1:15">
      <c r="A299" s="7" t="s">
        <v>1818</v>
      </c>
      <c r="B299" s="7" t="s">
        <v>1496</v>
      </c>
      <c r="C299" s="7" t="s">
        <v>1819</v>
      </c>
      <c r="E299" s="7" t="s">
        <v>1579</v>
      </c>
      <c r="F299" s="7">
        <v>152500</v>
      </c>
      <c r="G299" s="7">
        <v>15</v>
      </c>
      <c r="H299" s="7">
        <v>25</v>
      </c>
      <c r="I299" s="7">
        <v>0</v>
      </c>
      <c r="K299" s="7" t="s">
        <v>1823</v>
      </c>
      <c r="L299" s="7">
        <v>341100</v>
      </c>
      <c r="M299" s="7">
        <v>34</v>
      </c>
      <c r="N299" s="7">
        <v>11</v>
      </c>
      <c r="O299" s="7">
        <v>0</v>
      </c>
    </row>
    <row r="300" spans="1:15">
      <c r="A300" s="7" t="s">
        <v>1818</v>
      </c>
      <c r="B300" s="7" t="s">
        <v>1496</v>
      </c>
      <c r="C300" s="7" t="s">
        <v>1819</v>
      </c>
      <c r="D300" s="7" t="s">
        <v>1829</v>
      </c>
      <c r="E300" s="7" t="s">
        <v>1568</v>
      </c>
      <c r="F300" s="7">
        <v>230000</v>
      </c>
      <c r="G300" s="7">
        <v>23</v>
      </c>
      <c r="H300" s="7">
        <v>0</v>
      </c>
      <c r="I300" s="7">
        <v>0</v>
      </c>
      <c r="K300" s="7" t="s">
        <v>1577</v>
      </c>
      <c r="L300" s="7">
        <v>341200</v>
      </c>
      <c r="M300" s="7">
        <v>34</v>
      </c>
      <c r="N300" s="7">
        <v>12</v>
      </c>
      <c r="O300" s="7">
        <v>0</v>
      </c>
    </row>
    <row r="301" spans="1:15">
      <c r="A301" s="7" t="s">
        <v>1818</v>
      </c>
      <c r="B301" s="7" t="s">
        <v>1496</v>
      </c>
      <c r="C301" s="7" t="s">
        <v>1819</v>
      </c>
      <c r="E301" s="7" t="s">
        <v>1569</v>
      </c>
      <c r="F301" s="7">
        <v>232300</v>
      </c>
      <c r="G301" s="7">
        <v>23</v>
      </c>
      <c r="H301" s="7">
        <v>23</v>
      </c>
      <c r="I301" s="7">
        <v>0</v>
      </c>
      <c r="K301" s="7" t="s">
        <v>1825</v>
      </c>
      <c r="L301" s="7">
        <v>341300</v>
      </c>
      <c r="M301" s="7">
        <v>34</v>
      </c>
      <c r="N301" s="7">
        <v>13</v>
      </c>
      <c r="O301" s="7">
        <v>0</v>
      </c>
    </row>
    <row r="302" spans="1:15">
      <c r="A302" s="7" t="s">
        <v>1818</v>
      </c>
      <c r="B302" s="7" t="s">
        <v>1496</v>
      </c>
      <c r="C302" s="7" t="s">
        <v>1819</v>
      </c>
      <c r="E302" s="7" t="s">
        <v>1571</v>
      </c>
      <c r="F302" s="7">
        <v>232400</v>
      </c>
      <c r="G302" s="7">
        <v>23</v>
      </c>
      <c r="H302" s="7">
        <v>24</v>
      </c>
      <c r="I302" s="7">
        <v>0</v>
      </c>
      <c r="K302" s="7" t="s">
        <v>1826</v>
      </c>
      <c r="L302" s="7">
        <v>341400</v>
      </c>
      <c r="M302" s="7">
        <v>34</v>
      </c>
      <c r="N302" s="7">
        <v>14</v>
      </c>
      <c r="O302" s="7">
        <v>0</v>
      </c>
    </row>
    <row r="303" spans="1:15">
      <c r="A303" s="7" t="s">
        <v>1818</v>
      </c>
      <c r="B303" s="7" t="s">
        <v>1496</v>
      </c>
      <c r="C303" s="7" t="s">
        <v>1819</v>
      </c>
      <c r="E303" s="7" t="s">
        <v>1573</v>
      </c>
      <c r="F303" s="7">
        <v>232500</v>
      </c>
      <c r="G303" s="7">
        <v>23</v>
      </c>
      <c r="H303" s="7">
        <v>25</v>
      </c>
      <c r="I303" s="7">
        <v>0</v>
      </c>
      <c r="K303" s="7" t="s">
        <v>1827</v>
      </c>
      <c r="L303" s="7">
        <v>341500</v>
      </c>
      <c r="M303" s="7">
        <v>34</v>
      </c>
      <c r="N303" s="7">
        <v>15</v>
      </c>
      <c r="O303" s="7">
        <v>0</v>
      </c>
    </row>
    <row r="304" spans="1:15">
      <c r="A304" s="7" t="s">
        <v>1818</v>
      </c>
      <c r="B304" s="7" t="s">
        <v>1496</v>
      </c>
      <c r="C304" s="7" t="s">
        <v>1819</v>
      </c>
      <c r="E304" s="7" t="s">
        <v>1575</v>
      </c>
      <c r="F304" s="7">
        <v>232600</v>
      </c>
      <c r="G304" s="7">
        <v>23</v>
      </c>
      <c r="H304" s="7">
        <v>26</v>
      </c>
      <c r="I304" s="7">
        <v>0</v>
      </c>
      <c r="K304" s="7" t="s">
        <v>1828</v>
      </c>
      <c r="L304" s="7">
        <v>341600</v>
      </c>
      <c r="M304" s="7">
        <v>34</v>
      </c>
      <c r="N304" s="7">
        <v>16</v>
      </c>
      <c r="O304" s="7">
        <v>0</v>
      </c>
    </row>
    <row r="305" spans="1:15">
      <c r="A305" s="7" t="s">
        <v>1818</v>
      </c>
      <c r="B305" s="7" t="s">
        <v>1496</v>
      </c>
      <c r="C305" s="7" t="s">
        <v>1819</v>
      </c>
      <c r="E305" s="7" t="s">
        <v>1577</v>
      </c>
      <c r="F305" s="7">
        <v>232700</v>
      </c>
      <c r="G305" s="7">
        <v>23</v>
      </c>
      <c r="H305" s="7">
        <v>27</v>
      </c>
      <c r="I305" s="7">
        <v>0</v>
      </c>
      <c r="K305" s="7" t="s">
        <v>1573</v>
      </c>
      <c r="L305" s="7">
        <v>350000</v>
      </c>
      <c r="M305" s="7">
        <v>35</v>
      </c>
      <c r="N305" s="7">
        <v>0</v>
      </c>
      <c r="O305" s="7">
        <v>0</v>
      </c>
    </row>
    <row r="306" spans="1:15">
      <c r="A306" s="7" t="s">
        <v>1818</v>
      </c>
      <c r="B306" s="7" t="s">
        <v>1496</v>
      </c>
      <c r="C306" s="7" t="s">
        <v>1819</v>
      </c>
      <c r="E306" s="7" t="s">
        <v>1579</v>
      </c>
      <c r="F306" s="7">
        <v>232800</v>
      </c>
      <c r="G306" s="7">
        <v>23</v>
      </c>
      <c r="H306" s="7">
        <v>28</v>
      </c>
      <c r="I306" s="7">
        <v>0</v>
      </c>
      <c r="K306" s="7" t="s">
        <v>1822</v>
      </c>
      <c r="L306" s="7">
        <v>351000</v>
      </c>
      <c r="M306" s="7">
        <v>35</v>
      </c>
      <c r="N306" s="7">
        <v>10</v>
      </c>
      <c r="O306" s="7">
        <v>0</v>
      </c>
    </row>
    <row r="307" spans="1:15">
      <c r="A307" s="7" t="s">
        <v>1818</v>
      </c>
      <c r="B307" s="7" t="s">
        <v>1496</v>
      </c>
      <c r="C307" s="7" t="s">
        <v>1819</v>
      </c>
      <c r="D307" s="7" t="s">
        <v>1830</v>
      </c>
      <c r="E307" s="7" t="s">
        <v>1792</v>
      </c>
      <c r="F307" s="7">
        <v>290000</v>
      </c>
      <c r="G307" s="7">
        <v>29</v>
      </c>
      <c r="H307" s="7">
        <v>0</v>
      </c>
      <c r="I307" s="7">
        <v>0</v>
      </c>
      <c r="K307" s="7" t="s">
        <v>1823</v>
      </c>
      <c r="L307" s="7">
        <v>351100</v>
      </c>
      <c r="M307" s="7">
        <v>35</v>
      </c>
      <c r="N307" s="7">
        <v>11</v>
      </c>
      <c r="O307" s="7">
        <v>0</v>
      </c>
    </row>
    <row r="308" spans="1:15">
      <c r="A308" s="7" t="s">
        <v>1818</v>
      </c>
      <c r="B308" s="7" t="s">
        <v>1496</v>
      </c>
      <c r="C308" s="7" t="s">
        <v>1819</v>
      </c>
      <c r="E308" s="7" t="s">
        <v>1569</v>
      </c>
      <c r="F308" s="7">
        <v>291300</v>
      </c>
      <c r="G308" s="7">
        <v>29</v>
      </c>
      <c r="H308" s="7">
        <v>13</v>
      </c>
      <c r="I308" s="7">
        <v>0</v>
      </c>
      <c r="K308" s="7" t="s">
        <v>1577</v>
      </c>
      <c r="L308" s="7">
        <v>351200</v>
      </c>
      <c r="M308" s="7">
        <v>35</v>
      </c>
      <c r="N308" s="7">
        <v>12</v>
      </c>
      <c r="O308" s="7">
        <v>0</v>
      </c>
    </row>
    <row r="309" spans="1:15">
      <c r="A309" s="7" t="s">
        <v>1818</v>
      </c>
      <c r="B309" s="7" t="s">
        <v>1496</v>
      </c>
      <c r="C309" s="7" t="s">
        <v>1819</v>
      </c>
      <c r="E309" s="7" t="s">
        <v>1571</v>
      </c>
      <c r="F309" s="7">
        <v>291400</v>
      </c>
      <c r="G309" s="7">
        <v>29</v>
      </c>
      <c r="H309" s="7">
        <v>14</v>
      </c>
      <c r="I309" s="7">
        <v>0</v>
      </c>
      <c r="K309" s="7" t="s">
        <v>1825</v>
      </c>
      <c r="L309" s="7">
        <v>351300</v>
      </c>
      <c r="M309" s="7">
        <v>35</v>
      </c>
      <c r="N309" s="7">
        <v>13</v>
      </c>
      <c r="O309" s="7">
        <v>0</v>
      </c>
    </row>
    <row r="310" spans="1:15">
      <c r="A310" s="7" t="s">
        <v>1818</v>
      </c>
      <c r="B310" s="7" t="s">
        <v>1496</v>
      </c>
      <c r="C310" s="7" t="s">
        <v>1819</v>
      </c>
      <c r="E310" s="7" t="s">
        <v>1573</v>
      </c>
      <c r="F310" s="7">
        <v>291500</v>
      </c>
      <c r="G310" s="7">
        <v>29</v>
      </c>
      <c r="H310" s="7">
        <v>15</v>
      </c>
      <c r="I310" s="7">
        <v>0</v>
      </c>
      <c r="K310" s="7" t="s">
        <v>1826</v>
      </c>
      <c r="L310" s="7">
        <v>351400</v>
      </c>
      <c r="M310" s="7">
        <v>35</v>
      </c>
      <c r="N310" s="7">
        <v>14</v>
      </c>
      <c r="O310" s="7">
        <v>0</v>
      </c>
    </row>
    <row r="311" spans="1:15">
      <c r="A311" s="7" t="s">
        <v>1818</v>
      </c>
      <c r="B311" s="7" t="s">
        <v>1496</v>
      </c>
      <c r="C311" s="7" t="s">
        <v>1819</v>
      </c>
      <c r="E311" s="7" t="s">
        <v>1575</v>
      </c>
      <c r="F311" s="7">
        <v>291600</v>
      </c>
      <c r="G311" s="7">
        <v>29</v>
      </c>
      <c r="H311" s="7">
        <v>16</v>
      </c>
      <c r="I311" s="7">
        <v>0</v>
      </c>
      <c r="K311" s="7" t="s">
        <v>1827</v>
      </c>
      <c r="L311" s="7">
        <v>351500</v>
      </c>
      <c r="M311" s="7">
        <v>35</v>
      </c>
      <c r="N311" s="7">
        <v>15</v>
      </c>
      <c r="O311" s="7">
        <v>0</v>
      </c>
    </row>
    <row r="312" spans="1:15">
      <c r="A312" s="7" t="s">
        <v>1818</v>
      </c>
      <c r="B312" s="7" t="s">
        <v>1496</v>
      </c>
      <c r="C312" s="7" t="s">
        <v>1819</v>
      </c>
      <c r="E312" s="7" t="s">
        <v>1577</v>
      </c>
      <c r="F312" s="7">
        <v>291700</v>
      </c>
      <c r="G312" s="7">
        <v>29</v>
      </c>
      <c r="H312" s="7">
        <v>17</v>
      </c>
      <c r="I312" s="7">
        <v>0</v>
      </c>
      <c r="K312" s="7" t="s">
        <v>1828</v>
      </c>
      <c r="L312" s="7">
        <v>351600</v>
      </c>
      <c r="M312" s="7">
        <v>35</v>
      </c>
      <c r="N312" s="7">
        <v>16</v>
      </c>
      <c r="O312" s="7">
        <v>0</v>
      </c>
    </row>
    <row r="313" spans="1:15">
      <c r="A313" s="7" t="s">
        <v>1818</v>
      </c>
      <c r="B313" s="7" t="s">
        <v>1496</v>
      </c>
      <c r="C313" s="7" t="s">
        <v>1819</v>
      </c>
      <c r="E313" s="7" t="s">
        <v>1579</v>
      </c>
      <c r="F313" s="7">
        <v>291800</v>
      </c>
      <c r="G313" s="7">
        <v>29</v>
      </c>
      <c r="H313" s="7">
        <v>18</v>
      </c>
      <c r="I313" s="7">
        <v>0</v>
      </c>
      <c r="K313" s="7" t="s">
        <v>1575</v>
      </c>
      <c r="L313" s="7">
        <v>360000</v>
      </c>
      <c r="M313" s="7">
        <v>36</v>
      </c>
      <c r="N313" s="7">
        <v>0</v>
      </c>
      <c r="O313" s="7">
        <v>0</v>
      </c>
    </row>
    <row r="314" spans="1:15">
      <c r="A314" s="7" t="s">
        <v>1818</v>
      </c>
      <c r="B314" s="7" t="s">
        <v>1496</v>
      </c>
      <c r="C314" s="7" t="s">
        <v>1819</v>
      </c>
      <c r="D314" s="7" t="s">
        <v>1831</v>
      </c>
      <c r="E314" s="7" t="s">
        <v>1569</v>
      </c>
      <c r="F314" s="7">
        <v>330000</v>
      </c>
      <c r="G314" s="7">
        <v>33</v>
      </c>
      <c r="H314" s="7">
        <v>0</v>
      </c>
      <c r="I314" s="7">
        <v>0</v>
      </c>
      <c r="K314" s="7" t="s">
        <v>1822</v>
      </c>
      <c r="L314" s="7">
        <v>361000</v>
      </c>
      <c r="M314" s="7">
        <v>36</v>
      </c>
      <c r="N314" s="7">
        <v>10</v>
      </c>
      <c r="O314" s="7">
        <v>0</v>
      </c>
    </row>
    <row r="315" spans="1:15">
      <c r="A315" s="7" t="s">
        <v>1818</v>
      </c>
      <c r="B315" s="7" t="s">
        <v>1496</v>
      </c>
      <c r="C315" s="7" t="s">
        <v>1819</v>
      </c>
      <c r="E315" s="7" t="s">
        <v>1822</v>
      </c>
      <c r="F315" s="7">
        <v>331000</v>
      </c>
      <c r="G315" s="7">
        <v>33</v>
      </c>
      <c r="H315" s="7">
        <v>10</v>
      </c>
      <c r="I315" s="7">
        <v>0</v>
      </c>
      <c r="K315" s="7" t="s">
        <v>1823</v>
      </c>
      <c r="L315" s="7">
        <v>361100</v>
      </c>
      <c r="M315" s="7">
        <v>36</v>
      </c>
      <c r="N315" s="7">
        <v>11</v>
      </c>
      <c r="O315" s="7">
        <v>0</v>
      </c>
    </row>
    <row r="316" spans="1:15">
      <c r="A316" s="7" t="s">
        <v>1818</v>
      </c>
      <c r="B316" s="7" t="s">
        <v>1496</v>
      </c>
      <c r="C316" s="7" t="s">
        <v>1819</v>
      </c>
      <c r="E316" s="7" t="s">
        <v>1823</v>
      </c>
      <c r="F316" s="7">
        <v>331100</v>
      </c>
      <c r="G316" s="7">
        <v>33</v>
      </c>
      <c r="H316" s="7">
        <v>11</v>
      </c>
      <c r="I316" s="7">
        <v>0</v>
      </c>
      <c r="K316" s="7" t="s">
        <v>1577</v>
      </c>
      <c r="L316" s="7">
        <v>361200</v>
      </c>
      <c r="M316" s="7">
        <v>36</v>
      </c>
      <c r="N316" s="7">
        <v>12</v>
      </c>
      <c r="O316" s="7">
        <v>0</v>
      </c>
    </row>
    <row r="317" spans="1:15">
      <c r="A317" s="7" t="s">
        <v>1818</v>
      </c>
      <c r="B317" s="7" t="s">
        <v>1496</v>
      </c>
      <c r="C317" s="7" t="s">
        <v>1819</v>
      </c>
      <c r="E317" s="7" t="s">
        <v>1577</v>
      </c>
      <c r="F317" s="7">
        <v>331200</v>
      </c>
      <c r="G317" s="7">
        <v>33</v>
      </c>
      <c r="H317" s="7">
        <v>12</v>
      </c>
      <c r="I317" s="7">
        <v>0</v>
      </c>
      <c r="K317" s="7" t="s">
        <v>1825</v>
      </c>
      <c r="L317" s="7">
        <v>361300</v>
      </c>
      <c r="M317" s="7">
        <v>36</v>
      </c>
      <c r="N317" s="7">
        <v>13</v>
      </c>
      <c r="O317" s="7">
        <v>0</v>
      </c>
    </row>
    <row r="318" spans="1:15">
      <c r="A318" s="7" t="s">
        <v>1818</v>
      </c>
      <c r="B318" s="7" t="s">
        <v>1496</v>
      </c>
      <c r="C318" s="7" t="s">
        <v>1819</v>
      </c>
      <c r="E318" s="7" t="s">
        <v>1825</v>
      </c>
      <c r="F318" s="7">
        <v>331300</v>
      </c>
      <c r="G318" s="7">
        <v>33</v>
      </c>
      <c r="H318" s="7">
        <v>13</v>
      </c>
      <c r="I318" s="7">
        <v>0</v>
      </c>
      <c r="K318" s="7" t="s">
        <v>1826</v>
      </c>
      <c r="L318" s="7">
        <v>361400</v>
      </c>
      <c r="M318" s="7">
        <v>36</v>
      </c>
      <c r="N318" s="7">
        <v>14</v>
      </c>
      <c r="O318" s="7">
        <v>0</v>
      </c>
    </row>
    <row r="319" spans="1:15">
      <c r="A319" s="7" t="s">
        <v>1818</v>
      </c>
      <c r="B319" s="7" t="s">
        <v>1496</v>
      </c>
      <c r="C319" s="7" t="s">
        <v>1819</v>
      </c>
      <c r="E319" s="7" t="s">
        <v>1826</v>
      </c>
      <c r="F319" s="7">
        <v>331400</v>
      </c>
      <c r="G319" s="7">
        <v>33</v>
      </c>
      <c r="H319" s="7">
        <v>14</v>
      </c>
      <c r="I319" s="7">
        <v>0</v>
      </c>
      <c r="K319" s="7" t="s">
        <v>1827</v>
      </c>
      <c r="L319" s="7">
        <v>361500</v>
      </c>
      <c r="M319" s="7">
        <v>36</v>
      </c>
      <c r="N319" s="7">
        <v>15</v>
      </c>
      <c r="O319" s="7">
        <v>0</v>
      </c>
    </row>
    <row r="320" spans="1:15">
      <c r="A320" s="7" t="s">
        <v>1818</v>
      </c>
      <c r="B320" s="7" t="s">
        <v>1496</v>
      </c>
      <c r="C320" s="7" t="s">
        <v>1819</v>
      </c>
      <c r="E320" s="7" t="s">
        <v>1827</v>
      </c>
      <c r="F320" s="7">
        <v>331500</v>
      </c>
      <c r="G320" s="7">
        <v>33</v>
      </c>
      <c r="H320" s="7">
        <v>15</v>
      </c>
      <c r="I320" s="7">
        <v>0</v>
      </c>
      <c r="K320" s="7" t="s">
        <v>1828</v>
      </c>
      <c r="L320" s="7">
        <v>361600</v>
      </c>
      <c r="M320" s="7">
        <v>36</v>
      </c>
      <c r="N320" s="7">
        <v>16</v>
      </c>
      <c r="O320" s="7">
        <v>0</v>
      </c>
    </row>
    <row r="321" spans="1:15">
      <c r="A321" s="7" t="s">
        <v>1818</v>
      </c>
      <c r="B321" s="7" t="s">
        <v>1496</v>
      </c>
      <c r="C321" s="7" t="s">
        <v>1819</v>
      </c>
      <c r="E321" s="7" t="s">
        <v>1828</v>
      </c>
      <c r="F321" s="7">
        <v>331600</v>
      </c>
      <c r="G321" s="7">
        <v>33</v>
      </c>
      <c r="H321" s="7">
        <v>16</v>
      </c>
      <c r="I321" s="7">
        <v>0</v>
      </c>
      <c r="K321" s="7" t="s">
        <v>1577</v>
      </c>
      <c r="L321" s="7">
        <v>370000</v>
      </c>
      <c r="M321" s="7">
        <v>37</v>
      </c>
      <c r="N321" s="7">
        <v>0</v>
      </c>
      <c r="O321" s="7">
        <v>0</v>
      </c>
    </row>
    <row r="322" spans="1:15">
      <c r="A322" s="7" t="s">
        <v>1818</v>
      </c>
      <c r="B322" s="7" t="s">
        <v>1496</v>
      </c>
      <c r="C322" s="7" t="s">
        <v>1819</v>
      </c>
      <c r="D322" s="7" t="s">
        <v>1832</v>
      </c>
      <c r="E322" s="7" t="s">
        <v>1571</v>
      </c>
      <c r="F322" s="7">
        <v>340000</v>
      </c>
      <c r="G322" s="7">
        <v>34</v>
      </c>
      <c r="H322" s="7">
        <v>0</v>
      </c>
      <c r="I322" s="7">
        <v>0</v>
      </c>
      <c r="K322" s="7" t="s">
        <v>1822</v>
      </c>
      <c r="L322" s="7">
        <v>371000</v>
      </c>
      <c r="M322" s="7">
        <v>37</v>
      </c>
      <c r="N322" s="7">
        <v>10</v>
      </c>
      <c r="O322" s="7">
        <v>0</v>
      </c>
    </row>
    <row r="323" spans="1:15">
      <c r="A323" s="7" t="s">
        <v>1818</v>
      </c>
      <c r="B323" s="7" t="s">
        <v>1496</v>
      </c>
      <c r="C323" s="7" t="s">
        <v>1819</v>
      </c>
      <c r="E323" s="7" t="s">
        <v>1822</v>
      </c>
      <c r="F323" s="7">
        <v>341000</v>
      </c>
      <c r="G323" s="7">
        <v>34</v>
      </c>
      <c r="H323" s="7">
        <v>10</v>
      </c>
      <c r="I323" s="7">
        <v>0</v>
      </c>
      <c r="K323" s="7" t="s">
        <v>1823</v>
      </c>
      <c r="L323" s="7">
        <v>371100</v>
      </c>
      <c r="M323" s="7">
        <v>37</v>
      </c>
      <c r="N323" s="7">
        <v>11</v>
      </c>
      <c r="O323" s="7">
        <v>0</v>
      </c>
    </row>
    <row r="324" spans="1:15">
      <c r="A324" s="7" t="s">
        <v>1818</v>
      </c>
      <c r="B324" s="7" t="s">
        <v>1496</v>
      </c>
      <c r="C324" s="7" t="s">
        <v>1819</v>
      </c>
      <c r="E324" s="7" t="s">
        <v>1823</v>
      </c>
      <c r="F324" s="7">
        <v>341100</v>
      </c>
      <c r="G324" s="7">
        <v>34</v>
      </c>
      <c r="H324" s="7">
        <v>11</v>
      </c>
      <c r="I324" s="7">
        <v>0</v>
      </c>
      <c r="K324" s="7" t="s">
        <v>1833</v>
      </c>
      <c r="L324" s="7">
        <v>371200</v>
      </c>
      <c r="M324" s="7">
        <v>37</v>
      </c>
      <c r="N324" s="7">
        <v>12</v>
      </c>
      <c r="O324" s="7">
        <v>0</v>
      </c>
    </row>
    <row r="325" spans="1:15">
      <c r="A325" s="7" t="s">
        <v>1818</v>
      </c>
      <c r="B325" s="7" t="s">
        <v>1496</v>
      </c>
      <c r="C325" s="7" t="s">
        <v>1819</v>
      </c>
      <c r="E325" s="7" t="s">
        <v>1577</v>
      </c>
      <c r="F325" s="7">
        <v>341200</v>
      </c>
      <c r="G325" s="7">
        <v>34</v>
      </c>
      <c r="H325" s="7">
        <v>12</v>
      </c>
      <c r="I325" s="7">
        <v>0</v>
      </c>
      <c r="K325" s="7" t="s">
        <v>1825</v>
      </c>
      <c r="L325" s="7">
        <v>371300</v>
      </c>
      <c r="M325" s="7">
        <v>37</v>
      </c>
      <c r="N325" s="7">
        <v>13</v>
      </c>
      <c r="O325" s="7">
        <v>0</v>
      </c>
    </row>
    <row r="326" spans="1:15">
      <c r="A326" s="7" t="s">
        <v>1818</v>
      </c>
      <c r="B326" s="7" t="s">
        <v>1496</v>
      </c>
      <c r="C326" s="7" t="s">
        <v>1819</v>
      </c>
      <c r="E326" s="7" t="s">
        <v>1825</v>
      </c>
      <c r="F326" s="7">
        <v>341300</v>
      </c>
      <c r="G326" s="7">
        <v>34</v>
      </c>
      <c r="H326" s="7">
        <v>13</v>
      </c>
      <c r="I326" s="7">
        <v>0</v>
      </c>
      <c r="K326" s="7" t="s">
        <v>1826</v>
      </c>
      <c r="L326" s="7">
        <v>371400</v>
      </c>
      <c r="M326" s="7">
        <v>37</v>
      </c>
      <c r="N326" s="7">
        <v>14</v>
      </c>
      <c r="O326" s="7">
        <v>0</v>
      </c>
    </row>
    <row r="327" spans="1:15">
      <c r="A327" s="7" t="s">
        <v>1818</v>
      </c>
      <c r="B327" s="7" t="s">
        <v>1496</v>
      </c>
      <c r="C327" s="7" t="s">
        <v>1819</v>
      </c>
      <c r="E327" s="7" t="s">
        <v>1826</v>
      </c>
      <c r="F327" s="7">
        <v>341400</v>
      </c>
      <c r="G327" s="7">
        <v>34</v>
      </c>
      <c r="H327" s="7">
        <v>14</v>
      </c>
      <c r="I327" s="7">
        <v>0</v>
      </c>
      <c r="K327" s="7" t="s">
        <v>1827</v>
      </c>
      <c r="L327" s="7">
        <v>371500</v>
      </c>
      <c r="M327" s="7">
        <v>37</v>
      </c>
      <c r="N327" s="7">
        <v>15</v>
      </c>
      <c r="O327" s="7">
        <v>0</v>
      </c>
    </row>
    <row r="328" spans="1:15">
      <c r="A328" s="7" t="s">
        <v>1818</v>
      </c>
      <c r="B328" s="7" t="s">
        <v>1496</v>
      </c>
      <c r="C328" s="7" t="s">
        <v>1819</v>
      </c>
      <c r="E328" s="7" t="s">
        <v>1827</v>
      </c>
      <c r="F328" s="7">
        <v>341500</v>
      </c>
      <c r="G328" s="7">
        <v>34</v>
      </c>
      <c r="H328" s="7">
        <v>15</v>
      </c>
      <c r="I328" s="7">
        <v>0</v>
      </c>
      <c r="K328" s="7" t="s">
        <v>1828</v>
      </c>
      <c r="L328" s="7">
        <v>371600</v>
      </c>
      <c r="M328" s="7">
        <v>37</v>
      </c>
      <c r="N328" s="7">
        <v>16</v>
      </c>
      <c r="O328" s="7">
        <v>0</v>
      </c>
    </row>
    <row r="329" spans="1:15">
      <c r="A329" s="7" t="s">
        <v>1818</v>
      </c>
      <c r="B329" s="7" t="s">
        <v>1496</v>
      </c>
      <c r="C329" s="7" t="s">
        <v>1819</v>
      </c>
      <c r="E329" s="7" t="s">
        <v>1828</v>
      </c>
      <c r="F329" s="7">
        <v>341600</v>
      </c>
      <c r="G329" s="7">
        <v>34</v>
      </c>
      <c r="H329" s="7">
        <v>16</v>
      </c>
      <c r="I329" s="7">
        <v>0</v>
      </c>
      <c r="K329" s="7" t="s">
        <v>1579</v>
      </c>
      <c r="L329" s="7">
        <v>380000</v>
      </c>
      <c r="M329" s="7">
        <v>38</v>
      </c>
      <c r="N329" s="7">
        <v>0</v>
      </c>
      <c r="O329" s="7">
        <v>0</v>
      </c>
    </row>
    <row r="330" spans="1:15">
      <c r="A330" s="7" t="s">
        <v>1818</v>
      </c>
      <c r="B330" s="7" t="s">
        <v>1496</v>
      </c>
      <c r="C330" s="7" t="s">
        <v>1819</v>
      </c>
      <c r="D330" s="7" t="s">
        <v>1834</v>
      </c>
      <c r="E330" s="7" t="s">
        <v>1573</v>
      </c>
      <c r="F330" s="7">
        <v>350000</v>
      </c>
      <c r="G330" s="7">
        <v>35</v>
      </c>
      <c r="H330" s="7">
        <v>0</v>
      </c>
      <c r="I330" s="7">
        <v>0</v>
      </c>
      <c r="K330" s="7" t="s">
        <v>1822</v>
      </c>
      <c r="L330" s="7">
        <v>381000</v>
      </c>
      <c r="M330" s="7">
        <v>38</v>
      </c>
      <c r="N330" s="7">
        <v>10</v>
      </c>
      <c r="O330" s="7">
        <v>0</v>
      </c>
    </row>
    <row r="331" spans="1:15">
      <c r="A331" s="7" t="s">
        <v>1818</v>
      </c>
      <c r="B331" s="7" t="s">
        <v>1496</v>
      </c>
      <c r="C331" s="7" t="s">
        <v>1819</v>
      </c>
      <c r="E331" s="7" t="s">
        <v>1822</v>
      </c>
      <c r="F331" s="7">
        <v>351000</v>
      </c>
      <c r="G331" s="7">
        <v>35</v>
      </c>
      <c r="H331" s="7">
        <v>10</v>
      </c>
      <c r="I331" s="7">
        <v>0</v>
      </c>
      <c r="K331" s="7" t="s">
        <v>1823</v>
      </c>
      <c r="L331" s="7">
        <v>381100</v>
      </c>
      <c r="M331" s="7">
        <v>38</v>
      </c>
      <c r="N331" s="7">
        <v>11</v>
      </c>
      <c r="O331" s="7">
        <v>0</v>
      </c>
    </row>
    <row r="332" spans="1:15">
      <c r="A332" s="7" t="s">
        <v>1818</v>
      </c>
      <c r="B332" s="7" t="s">
        <v>1496</v>
      </c>
      <c r="C332" s="7" t="s">
        <v>1819</v>
      </c>
      <c r="E332" s="7" t="s">
        <v>1823</v>
      </c>
      <c r="F332" s="7">
        <v>351100</v>
      </c>
      <c r="G332" s="7">
        <v>35</v>
      </c>
      <c r="H332" s="7">
        <v>11</v>
      </c>
      <c r="I332" s="7">
        <v>0</v>
      </c>
      <c r="K332" s="7" t="s">
        <v>1833</v>
      </c>
      <c r="L332" s="7">
        <v>381200</v>
      </c>
      <c r="M332" s="7">
        <v>38</v>
      </c>
      <c r="N332" s="7">
        <v>12</v>
      </c>
      <c r="O332" s="7">
        <v>0</v>
      </c>
    </row>
    <row r="333" spans="1:15">
      <c r="A333" s="7" t="s">
        <v>1818</v>
      </c>
      <c r="B333" s="7" t="s">
        <v>1496</v>
      </c>
      <c r="C333" s="7" t="s">
        <v>1819</v>
      </c>
      <c r="E333" s="7" t="s">
        <v>1577</v>
      </c>
      <c r="F333" s="7">
        <v>351200</v>
      </c>
      <c r="G333" s="7">
        <v>35</v>
      </c>
      <c r="H333" s="7">
        <v>12</v>
      </c>
      <c r="I333" s="7">
        <v>0</v>
      </c>
      <c r="K333" s="7" t="s">
        <v>1825</v>
      </c>
      <c r="L333" s="7">
        <v>381300</v>
      </c>
      <c r="M333" s="7">
        <v>38</v>
      </c>
      <c r="N333" s="7">
        <v>13</v>
      </c>
      <c r="O333" s="7">
        <v>0</v>
      </c>
    </row>
    <row r="334" spans="1:15">
      <c r="A334" s="7" t="s">
        <v>1818</v>
      </c>
      <c r="B334" s="7" t="s">
        <v>1496</v>
      </c>
      <c r="C334" s="7" t="s">
        <v>1819</v>
      </c>
      <c r="E334" s="7" t="s">
        <v>1825</v>
      </c>
      <c r="F334" s="7">
        <v>351300</v>
      </c>
      <c r="G334" s="7">
        <v>35</v>
      </c>
      <c r="H334" s="7">
        <v>13</v>
      </c>
      <c r="I334" s="7">
        <v>0</v>
      </c>
      <c r="K334" s="7" t="s">
        <v>1826</v>
      </c>
      <c r="L334" s="7">
        <v>381400</v>
      </c>
      <c r="M334" s="7">
        <v>38</v>
      </c>
      <c r="N334" s="7">
        <v>14</v>
      </c>
      <c r="O334" s="7">
        <v>0</v>
      </c>
    </row>
    <row r="335" spans="1:15">
      <c r="A335" s="7" t="s">
        <v>1818</v>
      </c>
      <c r="B335" s="7" t="s">
        <v>1496</v>
      </c>
      <c r="C335" s="7" t="s">
        <v>1819</v>
      </c>
      <c r="E335" s="7" t="s">
        <v>1826</v>
      </c>
      <c r="F335" s="7">
        <v>351400</v>
      </c>
      <c r="G335" s="7">
        <v>35</v>
      </c>
      <c r="H335" s="7">
        <v>14</v>
      </c>
      <c r="I335" s="7">
        <v>0</v>
      </c>
      <c r="K335" s="7" t="s">
        <v>1827</v>
      </c>
      <c r="L335" s="7">
        <v>381500</v>
      </c>
      <c r="M335" s="7">
        <v>38</v>
      </c>
      <c r="N335" s="7">
        <v>15</v>
      </c>
      <c r="O335" s="7">
        <v>0</v>
      </c>
    </row>
    <row r="336" spans="1:15">
      <c r="A336" s="7" t="s">
        <v>1818</v>
      </c>
      <c r="B336" s="7" t="s">
        <v>1496</v>
      </c>
      <c r="C336" s="7" t="s">
        <v>1819</v>
      </c>
      <c r="E336" s="7" t="s">
        <v>1827</v>
      </c>
      <c r="F336" s="7">
        <v>351500</v>
      </c>
      <c r="G336" s="7">
        <v>35</v>
      </c>
      <c r="H336" s="7">
        <v>15</v>
      </c>
      <c r="I336" s="7">
        <v>0</v>
      </c>
      <c r="K336" s="7" t="s">
        <v>1828</v>
      </c>
      <c r="L336" s="7">
        <v>381600</v>
      </c>
      <c r="M336" s="7">
        <v>38</v>
      </c>
      <c r="N336" s="7">
        <v>16</v>
      </c>
      <c r="O336" s="7">
        <v>0</v>
      </c>
    </row>
    <row r="337" spans="1:15">
      <c r="A337" s="7" t="s">
        <v>1818</v>
      </c>
      <c r="B337" s="7" t="s">
        <v>1496</v>
      </c>
      <c r="C337" s="7" t="s">
        <v>1819</v>
      </c>
      <c r="E337" s="7" t="s">
        <v>1828</v>
      </c>
      <c r="F337" s="7">
        <v>351600</v>
      </c>
      <c r="G337" s="7">
        <v>35</v>
      </c>
      <c r="H337" s="7">
        <v>16</v>
      </c>
      <c r="I337" s="7">
        <v>0</v>
      </c>
      <c r="K337" s="7" t="s">
        <v>1835</v>
      </c>
      <c r="L337" s="7">
        <v>390000</v>
      </c>
      <c r="M337" s="7">
        <v>39</v>
      </c>
      <c r="N337" s="7">
        <v>0</v>
      </c>
      <c r="O337" s="7">
        <v>0</v>
      </c>
    </row>
    <row r="338" spans="1:15">
      <c r="A338" s="7" t="s">
        <v>1818</v>
      </c>
      <c r="B338" s="7" t="s">
        <v>1496</v>
      </c>
      <c r="C338" s="7" t="s">
        <v>1819</v>
      </c>
      <c r="D338" s="7" t="s">
        <v>1836</v>
      </c>
      <c r="E338" s="7" t="s">
        <v>1575</v>
      </c>
      <c r="F338" s="7">
        <v>360000</v>
      </c>
      <c r="G338" s="7">
        <v>36</v>
      </c>
      <c r="H338" s="7">
        <v>0</v>
      </c>
      <c r="I338" s="7">
        <v>0</v>
      </c>
      <c r="K338" s="7" t="s">
        <v>1837</v>
      </c>
      <c r="L338" s="7">
        <v>391000</v>
      </c>
      <c r="M338" s="7">
        <v>39</v>
      </c>
      <c r="N338" s="7">
        <v>10</v>
      </c>
      <c r="O338" s="7">
        <v>0</v>
      </c>
    </row>
    <row r="339" spans="1:15">
      <c r="A339" s="7" t="s">
        <v>1818</v>
      </c>
      <c r="B339" s="7" t="s">
        <v>1496</v>
      </c>
      <c r="C339" s="7" t="s">
        <v>1819</v>
      </c>
      <c r="E339" s="7" t="s">
        <v>1822</v>
      </c>
      <c r="F339" s="7">
        <v>361000</v>
      </c>
      <c r="G339" s="7">
        <v>36</v>
      </c>
      <c r="H339" s="7">
        <v>10</v>
      </c>
      <c r="I339" s="7">
        <v>0</v>
      </c>
      <c r="K339" s="7" t="s">
        <v>1838</v>
      </c>
      <c r="L339" s="7">
        <v>391100</v>
      </c>
      <c r="M339" s="7">
        <v>39</v>
      </c>
      <c r="N339" s="7">
        <v>11</v>
      </c>
      <c r="O339" s="7">
        <v>0</v>
      </c>
    </row>
    <row r="340" spans="1:15">
      <c r="A340" s="7" t="s">
        <v>1818</v>
      </c>
      <c r="B340" s="7" t="s">
        <v>1496</v>
      </c>
      <c r="C340" s="7" t="s">
        <v>1819</v>
      </c>
      <c r="E340" s="7" t="s">
        <v>1823</v>
      </c>
      <c r="F340" s="7">
        <v>361100</v>
      </c>
      <c r="G340" s="7">
        <v>36</v>
      </c>
      <c r="H340" s="7">
        <v>11</v>
      </c>
      <c r="I340" s="7">
        <v>0</v>
      </c>
      <c r="K340" s="7" t="s">
        <v>1839</v>
      </c>
      <c r="L340" s="7">
        <v>391200</v>
      </c>
      <c r="M340" s="7">
        <v>39</v>
      </c>
      <c r="N340" s="7">
        <v>12</v>
      </c>
      <c r="O340" s="7">
        <v>0</v>
      </c>
    </row>
    <row r="341" spans="1:15">
      <c r="A341" s="7" t="s">
        <v>1818</v>
      </c>
      <c r="B341" s="7" t="s">
        <v>1496</v>
      </c>
      <c r="C341" s="7" t="s">
        <v>1819</v>
      </c>
      <c r="E341" s="7" t="s">
        <v>1577</v>
      </c>
      <c r="F341" s="7">
        <v>361200</v>
      </c>
      <c r="G341" s="7">
        <v>36</v>
      </c>
      <c r="H341" s="7">
        <v>12</v>
      </c>
      <c r="I341" s="7">
        <v>0</v>
      </c>
      <c r="K341" s="7" t="s">
        <v>1840</v>
      </c>
      <c r="L341" s="7">
        <v>391300</v>
      </c>
      <c r="M341" s="7">
        <v>39</v>
      </c>
      <c r="N341" s="7">
        <v>13</v>
      </c>
      <c r="O341" s="7">
        <v>0</v>
      </c>
    </row>
    <row r="342" spans="1:15">
      <c r="A342" s="7" t="s">
        <v>1818</v>
      </c>
      <c r="B342" s="7" t="s">
        <v>1496</v>
      </c>
      <c r="C342" s="7" t="s">
        <v>1819</v>
      </c>
      <c r="E342" s="7" t="s">
        <v>1825</v>
      </c>
      <c r="F342" s="7">
        <v>361300</v>
      </c>
      <c r="G342" s="7">
        <v>36</v>
      </c>
      <c r="H342" s="7">
        <v>13</v>
      </c>
      <c r="I342" s="7">
        <v>0</v>
      </c>
      <c r="K342" s="7" t="s">
        <v>1645</v>
      </c>
      <c r="L342" s="7">
        <v>780000</v>
      </c>
      <c r="M342" s="7">
        <v>78</v>
      </c>
      <c r="N342" s="7">
        <v>0</v>
      </c>
      <c r="O342" s="7">
        <v>0</v>
      </c>
    </row>
    <row r="343" spans="1:15">
      <c r="A343" s="7" t="s">
        <v>1818</v>
      </c>
      <c r="B343" s="7" t="s">
        <v>1496</v>
      </c>
      <c r="C343" s="7" t="s">
        <v>1819</v>
      </c>
      <c r="E343" s="7" t="s">
        <v>1826</v>
      </c>
      <c r="F343" s="7">
        <v>361400</v>
      </c>
      <c r="G343" s="7">
        <v>36</v>
      </c>
      <c r="H343" s="7">
        <v>14</v>
      </c>
      <c r="I343" s="7">
        <v>0</v>
      </c>
      <c r="K343" s="7" t="s">
        <v>1501</v>
      </c>
      <c r="L343" s="7">
        <v>781000</v>
      </c>
      <c r="M343" s="7">
        <v>78</v>
      </c>
      <c r="N343" s="7">
        <v>10</v>
      </c>
      <c r="O343" s="7">
        <v>0</v>
      </c>
    </row>
    <row r="344" spans="1:15">
      <c r="A344" s="7" t="s">
        <v>1818</v>
      </c>
      <c r="B344" s="7" t="s">
        <v>1496</v>
      </c>
      <c r="C344" s="7" t="s">
        <v>1819</v>
      </c>
      <c r="E344" s="7" t="s">
        <v>1827</v>
      </c>
      <c r="F344" s="7">
        <v>361500</v>
      </c>
      <c r="G344" s="7">
        <v>36</v>
      </c>
      <c r="H344" s="7">
        <v>15</v>
      </c>
      <c r="I344" s="7">
        <v>0</v>
      </c>
      <c r="K344" s="7" t="s">
        <v>1841</v>
      </c>
      <c r="L344" s="7">
        <v>781100</v>
      </c>
      <c r="M344" s="7">
        <v>78</v>
      </c>
      <c r="N344" s="7">
        <v>11</v>
      </c>
      <c r="O344" s="7">
        <v>0</v>
      </c>
    </row>
    <row r="345" spans="1:15">
      <c r="A345" s="7" t="s">
        <v>1818</v>
      </c>
      <c r="B345" s="7" t="s">
        <v>1496</v>
      </c>
      <c r="C345" s="7" t="s">
        <v>1819</v>
      </c>
      <c r="E345" s="7" t="s">
        <v>1828</v>
      </c>
      <c r="F345" s="7">
        <v>361600</v>
      </c>
      <c r="G345" s="7">
        <v>36</v>
      </c>
      <c r="H345" s="7">
        <v>16</v>
      </c>
      <c r="I345" s="7">
        <v>0</v>
      </c>
      <c r="K345" s="7" t="s">
        <v>1516</v>
      </c>
      <c r="L345" s="7">
        <v>781200</v>
      </c>
      <c r="M345" s="7">
        <v>78</v>
      </c>
      <c r="N345" s="7">
        <v>12</v>
      </c>
      <c r="O345" s="7">
        <v>0</v>
      </c>
    </row>
    <row r="346" spans="1:15">
      <c r="A346" s="7" t="s">
        <v>1818</v>
      </c>
      <c r="B346" s="7" t="s">
        <v>1496</v>
      </c>
      <c r="C346" s="7" t="s">
        <v>1819</v>
      </c>
      <c r="D346" s="7" t="s">
        <v>1842</v>
      </c>
      <c r="E346" s="7" t="s">
        <v>1577</v>
      </c>
      <c r="F346" s="7">
        <v>370000</v>
      </c>
      <c r="G346" s="7">
        <v>37</v>
      </c>
      <c r="H346" s="7">
        <v>0</v>
      </c>
      <c r="I346" s="7">
        <v>0</v>
      </c>
      <c r="K346" s="7" t="s">
        <v>1843</v>
      </c>
      <c r="L346" s="7">
        <v>781300</v>
      </c>
      <c r="M346" s="7">
        <v>78</v>
      </c>
      <c r="N346" s="7">
        <v>13</v>
      </c>
      <c r="O346" s="7">
        <v>0</v>
      </c>
    </row>
    <row r="347" spans="1:15">
      <c r="A347" s="7" t="s">
        <v>1818</v>
      </c>
      <c r="B347" s="7" t="s">
        <v>1496</v>
      </c>
      <c r="C347" s="7" t="s">
        <v>1819</v>
      </c>
      <c r="E347" s="7" t="s">
        <v>1822</v>
      </c>
      <c r="F347" s="7">
        <v>371000</v>
      </c>
      <c r="G347" s="7">
        <v>37</v>
      </c>
      <c r="H347" s="7">
        <v>10</v>
      </c>
      <c r="I347" s="7">
        <v>0</v>
      </c>
      <c r="K347" s="7" t="s">
        <v>1844</v>
      </c>
      <c r="L347" s="7">
        <v>781400</v>
      </c>
      <c r="M347" s="7">
        <v>78</v>
      </c>
      <c r="N347" s="7">
        <v>14</v>
      </c>
      <c r="O347" s="7">
        <v>0</v>
      </c>
    </row>
    <row r="348" spans="1:15">
      <c r="A348" s="7" t="s">
        <v>1818</v>
      </c>
      <c r="B348" s="7" t="s">
        <v>1496</v>
      </c>
      <c r="C348" s="7" t="s">
        <v>1819</v>
      </c>
      <c r="E348" s="7" t="s">
        <v>1823</v>
      </c>
      <c r="F348" s="7">
        <v>371100</v>
      </c>
      <c r="G348" s="7">
        <v>37</v>
      </c>
      <c r="H348" s="7">
        <v>11</v>
      </c>
      <c r="I348" s="7">
        <v>0</v>
      </c>
      <c r="K348" s="7" t="s">
        <v>1523</v>
      </c>
      <c r="L348" s="7">
        <v>790000</v>
      </c>
      <c r="M348" s="7">
        <v>79</v>
      </c>
      <c r="N348" s="7">
        <v>0</v>
      </c>
      <c r="O348" s="7">
        <v>0</v>
      </c>
    </row>
    <row r="349" spans="1:15">
      <c r="A349" s="7" t="s">
        <v>1818</v>
      </c>
      <c r="B349" s="7" t="s">
        <v>1496</v>
      </c>
      <c r="C349" s="7" t="s">
        <v>1819</v>
      </c>
      <c r="E349" s="7" t="s">
        <v>1833</v>
      </c>
      <c r="F349" s="7">
        <v>371200</v>
      </c>
      <c r="G349" s="7">
        <v>37</v>
      </c>
      <c r="H349" s="7">
        <v>12</v>
      </c>
      <c r="I349" s="7">
        <v>0</v>
      </c>
      <c r="K349" s="7" t="s">
        <v>1648</v>
      </c>
      <c r="L349" s="7">
        <v>800000</v>
      </c>
      <c r="M349" s="7">
        <v>80</v>
      </c>
      <c r="N349" s="7">
        <v>0</v>
      </c>
      <c r="O349" s="7">
        <v>0</v>
      </c>
    </row>
    <row r="350" spans="1:15">
      <c r="A350" s="7" t="s">
        <v>1818</v>
      </c>
      <c r="B350" s="7" t="s">
        <v>1496</v>
      </c>
      <c r="C350" s="7" t="s">
        <v>1819</v>
      </c>
      <c r="E350" s="7" t="s">
        <v>1825</v>
      </c>
      <c r="F350" s="7">
        <v>371300</v>
      </c>
      <c r="G350" s="7">
        <v>37</v>
      </c>
      <c r="H350" s="7">
        <v>13</v>
      </c>
      <c r="I350" s="7">
        <v>0</v>
      </c>
      <c r="K350" s="7" t="s">
        <v>1650</v>
      </c>
      <c r="L350" s="7">
        <v>800010</v>
      </c>
      <c r="M350" s="7">
        <v>80</v>
      </c>
      <c r="N350" s="7">
        <v>0</v>
      </c>
      <c r="O350" s="7">
        <v>10</v>
      </c>
    </row>
    <row r="351" spans="1:15">
      <c r="A351" s="7" t="s">
        <v>1818</v>
      </c>
      <c r="B351" s="7" t="s">
        <v>1496</v>
      </c>
      <c r="C351" s="7" t="s">
        <v>1819</v>
      </c>
      <c r="E351" s="7" t="s">
        <v>1826</v>
      </c>
      <c r="F351" s="7">
        <v>371400</v>
      </c>
      <c r="G351" s="7">
        <v>37</v>
      </c>
      <c r="H351" s="7">
        <v>14</v>
      </c>
      <c r="I351" s="7">
        <v>0</v>
      </c>
      <c r="K351" s="7" t="s">
        <v>1652</v>
      </c>
      <c r="L351" s="7">
        <v>800020</v>
      </c>
      <c r="M351" s="7">
        <v>80</v>
      </c>
      <c r="N351" s="7">
        <v>0</v>
      </c>
      <c r="O351" s="7">
        <v>20</v>
      </c>
    </row>
    <row r="352" spans="1:15">
      <c r="A352" s="7" t="s">
        <v>1818</v>
      </c>
      <c r="B352" s="7" t="s">
        <v>1496</v>
      </c>
      <c r="C352" s="7" t="s">
        <v>1819</v>
      </c>
      <c r="E352" s="7" t="s">
        <v>1827</v>
      </c>
      <c r="F352" s="7">
        <v>371500</v>
      </c>
      <c r="G352" s="7">
        <v>37</v>
      </c>
      <c r="H352" s="7">
        <v>15</v>
      </c>
      <c r="I352" s="7">
        <v>0</v>
      </c>
      <c r="K352" s="7" t="s">
        <v>1653</v>
      </c>
      <c r="L352" s="7">
        <v>800030</v>
      </c>
      <c r="M352" s="7">
        <v>80</v>
      </c>
      <c r="N352" s="7">
        <v>0</v>
      </c>
      <c r="O352" s="7">
        <v>30</v>
      </c>
    </row>
    <row r="353" spans="1:15">
      <c r="A353" s="7" t="s">
        <v>1818</v>
      </c>
      <c r="B353" s="7" t="s">
        <v>1496</v>
      </c>
      <c r="C353" s="7" t="s">
        <v>1819</v>
      </c>
      <c r="E353" s="7" t="s">
        <v>1828</v>
      </c>
      <c r="F353" s="7">
        <v>371600</v>
      </c>
      <c r="G353" s="7">
        <v>37</v>
      </c>
      <c r="H353" s="7">
        <v>16</v>
      </c>
      <c r="I353" s="7">
        <v>0</v>
      </c>
      <c r="K353" s="7" t="s">
        <v>1655</v>
      </c>
      <c r="L353" s="7">
        <v>800040</v>
      </c>
      <c r="M353" s="7">
        <v>80</v>
      </c>
      <c r="N353" s="7">
        <v>0</v>
      </c>
      <c r="O353" s="7">
        <v>40</v>
      </c>
    </row>
    <row r="354" spans="1:15">
      <c r="A354" s="7" t="s">
        <v>1818</v>
      </c>
      <c r="B354" s="7" t="s">
        <v>1496</v>
      </c>
      <c r="C354" s="7" t="s">
        <v>1819</v>
      </c>
      <c r="D354" s="7" t="s">
        <v>1845</v>
      </c>
      <c r="E354" s="7" t="s">
        <v>1579</v>
      </c>
      <c r="F354" s="7">
        <v>380000</v>
      </c>
      <c r="G354" s="7">
        <v>38</v>
      </c>
      <c r="H354" s="7">
        <v>0</v>
      </c>
      <c r="I354" s="7">
        <v>0</v>
      </c>
      <c r="K354" s="7" t="s">
        <v>1657</v>
      </c>
      <c r="L354" s="7">
        <v>800050</v>
      </c>
      <c r="M354" s="7">
        <v>80</v>
      </c>
      <c r="N354" s="7">
        <v>0</v>
      </c>
      <c r="O354" s="7">
        <v>50</v>
      </c>
    </row>
    <row r="355" spans="1:15">
      <c r="A355" s="7" t="s">
        <v>1818</v>
      </c>
      <c r="B355" s="7" t="s">
        <v>1496</v>
      </c>
      <c r="C355" s="7" t="s">
        <v>1819</v>
      </c>
      <c r="E355" s="7" t="s">
        <v>1822</v>
      </c>
      <c r="F355" s="7">
        <v>381000</v>
      </c>
      <c r="G355" s="7">
        <v>38</v>
      </c>
      <c r="H355" s="7">
        <v>10</v>
      </c>
      <c r="I355" s="7">
        <v>0</v>
      </c>
      <c r="K355" s="7" t="s">
        <v>1658</v>
      </c>
      <c r="L355" s="7">
        <v>800055</v>
      </c>
      <c r="M355" s="7">
        <v>80</v>
      </c>
      <c r="N355" s="7">
        <v>0</v>
      </c>
      <c r="O355" s="7">
        <v>55</v>
      </c>
    </row>
    <row r="356" spans="1:15">
      <c r="A356" s="7" t="s">
        <v>1818</v>
      </c>
      <c r="B356" s="7" t="s">
        <v>1496</v>
      </c>
      <c r="C356" s="7" t="s">
        <v>1819</v>
      </c>
      <c r="E356" s="7" t="s">
        <v>1823</v>
      </c>
      <c r="F356" s="7">
        <v>381100</v>
      </c>
      <c r="G356" s="7">
        <v>38</v>
      </c>
      <c r="H356" s="7">
        <v>11</v>
      </c>
      <c r="I356" s="7">
        <v>0</v>
      </c>
      <c r="K356" s="7" t="s">
        <v>1659</v>
      </c>
      <c r="L356" s="7">
        <v>800060</v>
      </c>
      <c r="M356" s="7">
        <v>80</v>
      </c>
      <c r="N356" s="7">
        <v>0</v>
      </c>
      <c r="O356" s="7">
        <v>60</v>
      </c>
    </row>
    <row r="357" spans="1:15">
      <c r="A357" s="7" t="s">
        <v>1818</v>
      </c>
      <c r="B357" s="7" t="s">
        <v>1496</v>
      </c>
      <c r="C357" s="7" t="s">
        <v>1819</v>
      </c>
      <c r="E357" s="7" t="s">
        <v>1833</v>
      </c>
      <c r="F357" s="7">
        <v>381200</v>
      </c>
      <c r="G357" s="7">
        <v>38</v>
      </c>
      <c r="H357" s="7">
        <v>12</v>
      </c>
      <c r="I357" s="7">
        <v>0</v>
      </c>
      <c r="K357" s="7" t="s">
        <v>1661</v>
      </c>
      <c r="L357" s="7">
        <v>800065</v>
      </c>
      <c r="M357" s="7">
        <v>80</v>
      </c>
      <c r="N357" s="7">
        <v>0</v>
      </c>
      <c r="O357" s="7">
        <v>65</v>
      </c>
    </row>
    <row r="358" spans="1:15">
      <c r="A358" s="7" t="s">
        <v>1818</v>
      </c>
      <c r="B358" s="7" t="s">
        <v>1496</v>
      </c>
      <c r="C358" s="7" t="s">
        <v>1819</v>
      </c>
      <c r="E358" s="7" t="s">
        <v>1825</v>
      </c>
      <c r="F358" s="7">
        <v>381300</v>
      </c>
      <c r="G358" s="7">
        <v>38</v>
      </c>
      <c r="H358" s="7">
        <v>13</v>
      </c>
      <c r="I358" s="7">
        <v>0</v>
      </c>
      <c r="K358" s="7" t="s">
        <v>1663</v>
      </c>
      <c r="L358" s="7">
        <v>800070</v>
      </c>
      <c r="M358" s="7">
        <v>80</v>
      </c>
      <c r="N358" s="7">
        <v>0</v>
      </c>
      <c r="O358" s="7">
        <v>70</v>
      </c>
    </row>
    <row r="359" spans="1:15">
      <c r="A359" s="7" t="s">
        <v>1818</v>
      </c>
      <c r="B359" s="7" t="s">
        <v>1496</v>
      </c>
      <c r="C359" s="7" t="s">
        <v>1819</v>
      </c>
      <c r="E359" s="7" t="s">
        <v>1826</v>
      </c>
      <c r="F359" s="7">
        <v>381400</v>
      </c>
      <c r="G359" s="7">
        <v>38</v>
      </c>
      <c r="H359" s="7">
        <v>14</v>
      </c>
      <c r="I359" s="7">
        <v>0</v>
      </c>
      <c r="K359" s="7" t="s">
        <v>1665</v>
      </c>
      <c r="L359" s="7">
        <v>800075</v>
      </c>
      <c r="M359" s="7">
        <v>80</v>
      </c>
      <c r="N359" s="7">
        <v>0</v>
      </c>
      <c r="O359" s="7">
        <v>75</v>
      </c>
    </row>
    <row r="360" spans="1:15">
      <c r="A360" s="7" t="s">
        <v>1818</v>
      </c>
      <c r="B360" s="7" t="s">
        <v>1496</v>
      </c>
      <c r="C360" s="7" t="s">
        <v>1819</v>
      </c>
      <c r="E360" s="7" t="s">
        <v>1827</v>
      </c>
      <c r="F360" s="7">
        <v>381500</v>
      </c>
      <c r="G360" s="7">
        <v>38</v>
      </c>
      <c r="H360" s="7">
        <v>15</v>
      </c>
      <c r="I360" s="7">
        <v>0</v>
      </c>
      <c r="K360" s="7" t="s">
        <v>1667</v>
      </c>
      <c r="L360" s="7">
        <v>800080</v>
      </c>
      <c r="M360" s="7">
        <v>80</v>
      </c>
      <c r="N360" s="7">
        <v>0</v>
      </c>
      <c r="O360" s="7">
        <v>80</v>
      </c>
    </row>
    <row r="361" spans="1:15">
      <c r="A361" s="7" t="s">
        <v>1818</v>
      </c>
      <c r="B361" s="7" t="s">
        <v>1496</v>
      </c>
      <c r="C361" s="7" t="s">
        <v>1819</v>
      </c>
      <c r="E361" s="7" t="s">
        <v>1828</v>
      </c>
      <c r="F361" s="7">
        <v>381600</v>
      </c>
      <c r="G361" s="7">
        <v>38</v>
      </c>
      <c r="H361" s="7">
        <v>16</v>
      </c>
      <c r="I361" s="7">
        <v>0</v>
      </c>
      <c r="K361" s="7" t="s">
        <v>1669</v>
      </c>
      <c r="L361" s="7">
        <v>800085</v>
      </c>
      <c r="M361" s="7">
        <v>80</v>
      </c>
      <c r="N361" s="7">
        <v>0</v>
      </c>
      <c r="O361" s="7">
        <v>85</v>
      </c>
    </row>
    <row r="362" spans="1:15">
      <c r="A362" s="7" t="s">
        <v>1818</v>
      </c>
      <c r="B362" s="7" t="s">
        <v>1496</v>
      </c>
      <c r="C362" s="7" t="s">
        <v>1819</v>
      </c>
      <c r="D362" s="7" t="s">
        <v>1846</v>
      </c>
      <c r="E362" s="7" t="s">
        <v>1523</v>
      </c>
      <c r="F362" s="7">
        <v>790000</v>
      </c>
      <c r="G362" s="7">
        <v>79</v>
      </c>
      <c r="H362" s="7">
        <v>0</v>
      </c>
      <c r="I362" s="7">
        <v>0</v>
      </c>
      <c r="K362" s="7" t="s">
        <v>1672</v>
      </c>
      <c r="L362" s="7">
        <v>810000</v>
      </c>
      <c r="M362" s="7">
        <v>81</v>
      </c>
      <c r="N362" s="7">
        <v>0</v>
      </c>
      <c r="O362" s="7">
        <v>0</v>
      </c>
    </row>
    <row r="363" spans="1:15">
      <c r="A363" s="7" t="s">
        <v>1818</v>
      </c>
      <c r="B363" s="7" t="s">
        <v>1496</v>
      </c>
      <c r="C363" s="7" t="s">
        <v>1819</v>
      </c>
      <c r="E363" s="7" t="s">
        <v>504</v>
      </c>
      <c r="F363" s="7">
        <v>909000</v>
      </c>
      <c r="G363" s="7">
        <v>90</v>
      </c>
      <c r="H363" s="7">
        <v>90</v>
      </c>
      <c r="I363" s="7">
        <v>0</v>
      </c>
      <c r="K363" s="7" t="s">
        <v>1650</v>
      </c>
      <c r="L363" s="7">
        <v>810010</v>
      </c>
      <c r="M363" s="7">
        <v>81</v>
      </c>
      <c r="N363" s="7">
        <v>0</v>
      </c>
      <c r="O363" s="7">
        <v>10</v>
      </c>
    </row>
    <row r="364" spans="1:15">
      <c r="A364" s="7" t="s">
        <v>1847</v>
      </c>
      <c r="B364" s="7" t="s">
        <v>1496</v>
      </c>
      <c r="C364" s="7" t="s">
        <v>1848</v>
      </c>
      <c r="D364" s="7" t="s">
        <v>1849</v>
      </c>
      <c r="E364" s="7" t="s">
        <v>1642</v>
      </c>
      <c r="F364" s="7">
        <v>220000</v>
      </c>
      <c r="G364" s="7">
        <v>22</v>
      </c>
      <c r="H364" s="7">
        <v>0</v>
      </c>
      <c r="I364" s="7">
        <v>0</v>
      </c>
      <c r="K364" s="7" t="s">
        <v>1652</v>
      </c>
      <c r="L364" s="7">
        <v>810020</v>
      </c>
      <c r="M364" s="7">
        <v>81</v>
      </c>
      <c r="N364" s="7">
        <v>0</v>
      </c>
      <c r="O364" s="7">
        <v>20</v>
      </c>
    </row>
    <row r="365" spans="1:15">
      <c r="A365" s="7" t="s">
        <v>1847</v>
      </c>
      <c r="B365" s="7" t="s">
        <v>1496</v>
      </c>
      <c r="C365" s="7" t="s">
        <v>1848</v>
      </c>
      <c r="E365" s="7" t="s">
        <v>1643</v>
      </c>
      <c r="F365" s="7">
        <v>221400</v>
      </c>
      <c r="G365" s="7">
        <v>22</v>
      </c>
      <c r="H365" s="7">
        <v>14</v>
      </c>
      <c r="I365" s="7">
        <v>0</v>
      </c>
      <c r="K365" s="7" t="s">
        <v>1653</v>
      </c>
      <c r="L365" s="7">
        <v>810030</v>
      </c>
      <c r="M365" s="7">
        <v>81</v>
      </c>
      <c r="N365" s="7">
        <v>0</v>
      </c>
      <c r="O365" s="7">
        <v>30</v>
      </c>
    </row>
    <row r="366" spans="1:15">
      <c r="A366" s="7" t="s">
        <v>1847</v>
      </c>
      <c r="B366" s="7" t="s">
        <v>1496</v>
      </c>
      <c r="C366" s="7" t="s">
        <v>1848</v>
      </c>
      <c r="E366" s="7" t="s">
        <v>1501</v>
      </c>
      <c r="F366" s="7">
        <v>221500</v>
      </c>
      <c r="G366" s="7">
        <v>22</v>
      </c>
      <c r="H366" s="7">
        <v>15</v>
      </c>
      <c r="I366" s="7">
        <v>0</v>
      </c>
      <c r="K366" s="7" t="s">
        <v>1655</v>
      </c>
      <c r="L366" s="7">
        <v>810040</v>
      </c>
      <c r="M366" s="7">
        <v>81</v>
      </c>
      <c r="N366" s="7">
        <v>0</v>
      </c>
      <c r="O366" s="7">
        <v>40</v>
      </c>
    </row>
    <row r="367" spans="1:15">
      <c r="A367" s="7" t="s">
        <v>1847</v>
      </c>
      <c r="B367" s="7" t="s">
        <v>1496</v>
      </c>
      <c r="C367" s="7" t="s">
        <v>1848</v>
      </c>
      <c r="D367" s="7" t="s">
        <v>1850</v>
      </c>
      <c r="E367" s="7" t="s">
        <v>1523</v>
      </c>
      <c r="F367" s="7">
        <v>790000</v>
      </c>
      <c r="G367" s="7">
        <v>79</v>
      </c>
      <c r="H367" s="7">
        <v>0</v>
      </c>
      <c r="I367" s="7">
        <v>0</v>
      </c>
      <c r="K367" s="7" t="s">
        <v>1676</v>
      </c>
      <c r="L367" s="7">
        <v>810045</v>
      </c>
      <c r="M367" s="7">
        <v>81</v>
      </c>
      <c r="N367" s="7">
        <v>0</v>
      </c>
      <c r="O367" s="7">
        <v>45</v>
      </c>
    </row>
    <row r="368" spans="1:15">
      <c r="A368" s="7" t="s">
        <v>1851</v>
      </c>
      <c r="B368" s="7" t="s">
        <v>1496</v>
      </c>
      <c r="C368" s="7" t="s">
        <v>1852</v>
      </c>
      <c r="D368" s="7" t="s">
        <v>1853</v>
      </c>
      <c r="E368" s="7" t="s">
        <v>1503</v>
      </c>
      <c r="F368" s="7">
        <v>100000</v>
      </c>
      <c r="G368" s="7">
        <v>10</v>
      </c>
      <c r="H368" s="7">
        <v>0</v>
      </c>
      <c r="I368" s="7">
        <v>0</v>
      </c>
      <c r="K368" s="7" t="s">
        <v>1657</v>
      </c>
      <c r="L368" s="7">
        <v>810050</v>
      </c>
      <c r="M368" s="7">
        <v>81</v>
      </c>
      <c r="N368" s="7">
        <v>0</v>
      </c>
      <c r="O368" s="7">
        <v>50</v>
      </c>
    </row>
    <row r="369" spans="1:15">
      <c r="A369" s="7" t="s">
        <v>1851</v>
      </c>
      <c r="B369" s="7" t="s">
        <v>1496</v>
      </c>
      <c r="C369" s="7" t="s">
        <v>1852</v>
      </c>
      <c r="E369" s="7" t="s">
        <v>1501</v>
      </c>
      <c r="F369" s="7">
        <v>101000</v>
      </c>
      <c r="G369" s="7">
        <v>10</v>
      </c>
      <c r="H369" s="7">
        <v>10</v>
      </c>
      <c r="I369" s="7">
        <v>0</v>
      </c>
      <c r="K369" s="7" t="s">
        <v>1658</v>
      </c>
      <c r="L369" s="7">
        <v>810055</v>
      </c>
      <c r="M369" s="7">
        <v>81</v>
      </c>
      <c r="N369" s="7">
        <v>0</v>
      </c>
      <c r="O369" s="7">
        <v>55</v>
      </c>
    </row>
    <row r="370" spans="1:15">
      <c r="A370" s="7" t="s">
        <v>1851</v>
      </c>
      <c r="B370" s="7" t="s">
        <v>1496</v>
      </c>
      <c r="C370" s="7" t="s">
        <v>1852</v>
      </c>
      <c r="E370" s="7" t="s">
        <v>1515</v>
      </c>
      <c r="F370" s="7">
        <v>101010</v>
      </c>
      <c r="G370" s="7">
        <v>10</v>
      </c>
      <c r="H370" s="7">
        <v>10</v>
      </c>
      <c r="I370" s="7">
        <v>10</v>
      </c>
      <c r="K370" s="7" t="s">
        <v>1659</v>
      </c>
      <c r="L370" s="7">
        <v>810060</v>
      </c>
      <c r="M370" s="7">
        <v>81</v>
      </c>
      <c r="N370" s="7">
        <v>0</v>
      </c>
      <c r="O370" s="7">
        <v>60</v>
      </c>
    </row>
    <row r="371" spans="1:15">
      <c r="A371" s="7" t="s">
        <v>1851</v>
      </c>
      <c r="B371" s="7" t="s">
        <v>1496</v>
      </c>
      <c r="C371" s="7" t="s">
        <v>1852</v>
      </c>
      <c r="E371" s="7" t="s">
        <v>1517</v>
      </c>
      <c r="F371" s="7">
        <v>101020</v>
      </c>
      <c r="G371" s="7">
        <v>10</v>
      </c>
      <c r="H371" s="7">
        <v>10</v>
      </c>
      <c r="I371" s="7">
        <v>20</v>
      </c>
      <c r="K371" s="7" t="s">
        <v>1661</v>
      </c>
      <c r="L371" s="7">
        <v>810065</v>
      </c>
      <c r="M371" s="7">
        <v>81</v>
      </c>
      <c r="N371" s="7">
        <v>0</v>
      </c>
      <c r="O371" s="7">
        <v>65</v>
      </c>
    </row>
    <row r="372" spans="1:15">
      <c r="A372" s="7" t="s">
        <v>1851</v>
      </c>
      <c r="B372" s="7" t="s">
        <v>1496</v>
      </c>
      <c r="C372" s="7" t="s">
        <v>1852</v>
      </c>
      <c r="D372" s="7" t="s">
        <v>1854</v>
      </c>
      <c r="E372" s="7" t="s">
        <v>1543</v>
      </c>
      <c r="F372" s="7">
        <v>150000</v>
      </c>
      <c r="G372" s="7">
        <v>15</v>
      </c>
      <c r="H372" s="7">
        <v>0</v>
      </c>
      <c r="I372" s="7">
        <v>0</v>
      </c>
      <c r="K372" s="7" t="s">
        <v>1667</v>
      </c>
      <c r="L372" s="7">
        <v>810070</v>
      </c>
      <c r="M372" s="7">
        <v>81</v>
      </c>
      <c r="N372" s="7">
        <v>0</v>
      </c>
      <c r="O372" s="7">
        <v>70</v>
      </c>
    </row>
    <row r="373" spans="1:15">
      <c r="A373" s="7" t="s">
        <v>1851</v>
      </c>
      <c r="B373" s="7" t="s">
        <v>1496</v>
      </c>
      <c r="C373" s="7" t="s">
        <v>1852</v>
      </c>
      <c r="E373" s="7" t="s">
        <v>1546</v>
      </c>
      <c r="F373" s="7">
        <v>151200</v>
      </c>
      <c r="G373" s="7">
        <v>15</v>
      </c>
      <c r="H373" s="7">
        <v>12</v>
      </c>
      <c r="I373" s="7">
        <v>0</v>
      </c>
      <c r="K373" s="7" t="s">
        <v>1669</v>
      </c>
      <c r="L373" s="7">
        <v>810075</v>
      </c>
      <c r="M373" s="7">
        <v>81</v>
      </c>
      <c r="N373" s="7">
        <v>0</v>
      </c>
      <c r="O373" s="7">
        <v>75</v>
      </c>
    </row>
    <row r="374" spans="1:15">
      <c r="A374" s="7" t="s">
        <v>1851</v>
      </c>
      <c r="B374" s="7" t="s">
        <v>1496</v>
      </c>
      <c r="C374" s="7" t="s">
        <v>1852</v>
      </c>
      <c r="E374" s="7" t="s">
        <v>1631</v>
      </c>
      <c r="F374" s="7">
        <v>151240</v>
      </c>
      <c r="G374" s="7">
        <v>15</v>
      </c>
      <c r="H374" s="7">
        <v>12</v>
      </c>
      <c r="I374" s="7">
        <v>40</v>
      </c>
      <c r="K374" s="7" t="s">
        <v>1663</v>
      </c>
      <c r="L374" s="7">
        <v>810080</v>
      </c>
      <c r="M374" s="7">
        <v>81</v>
      </c>
      <c r="N374" s="7">
        <v>0</v>
      </c>
      <c r="O374" s="7">
        <v>80</v>
      </c>
    </row>
    <row r="375" spans="1:15">
      <c r="A375" s="7" t="s">
        <v>1851</v>
      </c>
      <c r="B375" s="7" t="s">
        <v>1496</v>
      </c>
      <c r="C375" s="7" t="s">
        <v>1852</v>
      </c>
      <c r="E375" s="7" t="s">
        <v>1632</v>
      </c>
      <c r="F375" s="7">
        <v>151900</v>
      </c>
      <c r="G375" s="7">
        <v>15</v>
      </c>
      <c r="H375" s="7">
        <v>19</v>
      </c>
      <c r="I375" s="7">
        <v>0</v>
      </c>
      <c r="K375" s="7" t="s">
        <v>1665</v>
      </c>
      <c r="L375" s="7">
        <v>810085</v>
      </c>
      <c r="M375" s="7">
        <v>81</v>
      </c>
      <c r="N375" s="7">
        <v>0</v>
      </c>
      <c r="O375" s="7">
        <v>85</v>
      </c>
    </row>
    <row r="376" spans="1:15">
      <c r="A376" s="7" t="s">
        <v>1851</v>
      </c>
      <c r="B376" s="7" t="s">
        <v>1496</v>
      </c>
      <c r="C376" s="7" t="s">
        <v>1852</v>
      </c>
      <c r="D376" s="7" t="s">
        <v>1855</v>
      </c>
      <c r="E376" s="7" t="s">
        <v>1568</v>
      </c>
      <c r="F376" s="7">
        <v>230000</v>
      </c>
      <c r="G376" s="7">
        <v>23</v>
      </c>
      <c r="H376" s="7">
        <v>0</v>
      </c>
      <c r="I376" s="7">
        <v>0</v>
      </c>
      <c r="K376" s="7" t="s">
        <v>1680</v>
      </c>
      <c r="L376" s="7">
        <v>820000</v>
      </c>
      <c r="M376" s="7">
        <v>82</v>
      </c>
      <c r="N376" s="7">
        <v>0</v>
      </c>
      <c r="O376" s="7">
        <v>0</v>
      </c>
    </row>
    <row r="377" spans="1:15">
      <c r="A377" s="7" t="s">
        <v>1851</v>
      </c>
      <c r="B377" s="7" t="s">
        <v>1496</v>
      </c>
      <c r="C377" s="7" t="s">
        <v>1852</v>
      </c>
      <c r="E377" s="7" t="s">
        <v>1580</v>
      </c>
      <c r="F377" s="7">
        <v>232900</v>
      </c>
      <c r="G377" s="7">
        <v>23</v>
      </c>
      <c r="H377" s="7">
        <v>29</v>
      </c>
      <c r="I377" s="7">
        <v>0</v>
      </c>
      <c r="K377" s="7" t="s">
        <v>1650</v>
      </c>
      <c r="L377" s="7">
        <v>820010</v>
      </c>
      <c r="M377" s="7">
        <v>82</v>
      </c>
      <c r="N377" s="7">
        <v>0</v>
      </c>
      <c r="O377" s="7">
        <v>10</v>
      </c>
    </row>
    <row r="378" spans="1:15">
      <c r="A378" s="7" t="s">
        <v>1851</v>
      </c>
      <c r="B378" s="7" t="s">
        <v>1496</v>
      </c>
      <c r="C378" s="7" t="s">
        <v>1852</v>
      </c>
      <c r="D378" s="7" t="s">
        <v>1856</v>
      </c>
      <c r="E378" s="7" t="s">
        <v>1583</v>
      </c>
      <c r="F378" s="7">
        <v>240000</v>
      </c>
      <c r="G378" s="7">
        <v>24</v>
      </c>
      <c r="H378" s="7">
        <v>0</v>
      </c>
      <c r="I378" s="7">
        <v>0</v>
      </c>
      <c r="K378" s="7" t="s">
        <v>1652</v>
      </c>
      <c r="L378" s="7">
        <v>820020</v>
      </c>
      <c r="M378" s="7">
        <v>82</v>
      </c>
      <c r="N378" s="7">
        <v>0</v>
      </c>
      <c r="O378" s="7">
        <v>20</v>
      </c>
    </row>
    <row r="379" spans="1:15">
      <c r="A379" s="7" t="s">
        <v>1851</v>
      </c>
      <c r="B379" s="7" t="s">
        <v>1496</v>
      </c>
      <c r="C379" s="7" t="s">
        <v>1852</v>
      </c>
      <c r="E379" s="7" t="s">
        <v>1501</v>
      </c>
      <c r="F379" s="7">
        <v>241000</v>
      </c>
      <c r="G379" s="7">
        <v>24</v>
      </c>
      <c r="H379" s="7">
        <v>10</v>
      </c>
      <c r="I379" s="7">
        <v>0</v>
      </c>
      <c r="K379" s="7" t="s">
        <v>1653</v>
      </c>
      <c r="L379" s="7">
        <v>820030</v>
      </c>
      <c r="M379" s="7">
        <v>82</v>
      </c>
      <c r="N379" s="7">
        <v>0</v>
      </c>
      <c r="O379" s="7">
        <v>30</v>
      </c>
    </row>
    <row r="380" spans="1:15">
      <c r="A380" s="7" t="s">
        <v>1851</v>
      </c>
      <c r="B380" s="7" t="s">
        <v>1496</v>
      </c>
      <c r="C380" s="7" t="s">
        <v>1852</v>
      </c>
      <c r="D380" s="7" t="s">
        <v>1857</v>
      </c>
      <c r="E380" s="7" t="s">
        <v>1587</v>
      </c>
      <c r="F380" s="7">
        <v>250000</v>
      </c>
      <c r="G380" s="7">
        <v>25</v>
      </c>
      <c r="H380" s="7">
        <v>0</v>
      </c>
      <c r="I380" s="7">
        <v>0</v>
      </c>
      <c r="K380" s="7" t="s">
        <v>1655</v>
      </c>
      <c r="L380" s="7">
        <v>820040</v>
      </c>
      <c r="M380" s="7">
        <v>82</v>
      </c>
      <c r="N380" s="7">
        <v>0</v>
      </c>
      <c r="O380" s="7">
        <v>40</v>
      </c>
    </row>
    <row r="381" spans="1:15">
      <c r="A381" s="7" t="s">
        <v>1851</v>
      </c>
      <c r="B381" s="7" t="s">
        <v>1496</v>
      </c>
      <c r="C381" s="7" t="s">
        <v>1852</v>
      </c>
      <c r="E381" s="7" t="s">
        <v>1501</v>
      </c>
      <c r="F381" s="7">
        <v>251000</v>
      </c>
      <c r="G381" s="7">
        <v>25</v>
      </c>
      <c r="H381" s="7">
        <v>10</v>
      </c>
      <c r="I381" s="7">
        <v>0</v>
      </c>
      <c r="K381" s="7" t="s">
        <v>1676</v>
      </c>
      <c r="L381" s="7">
        <v>820045</v>
      </c>
      <c r="M381" s="7">
        <v>82</v>
      </c>
      <c r="N381" s="7">
        <v>0</v>
      </c>
      <c r="O381" s="7">
        <v>45</v>
      </c>
    </row>
    <row r="382" spans="1:15">
      <c r="A382" s="7" t="s">
        <v>1851</v>
      </c>
      <c r="B382" s="7" t="s">
        <v>1496</v>
      </c>
      <c r="C382" s="7" t="s">
        <v>1852</v>
      </c>
      <c r="D382" s="7" t="s">
        <v>1858</v>
      </c>
      <c r="E382" s="7" t="s">
        <v>1785</v>
      </c>
      <c r="F382" s="7">
        <v>270000</v>
      </c>
      <c r="G382" s="7">
        <v>27</v>
      </c>
      <c r="H382" s="7">
        <v>0</v>
      </c>
      <c r="I382" s="7">
        <v>0</v>
      </c>
      <c r="K382" s="7" t="s">
        <v>1657</v>
      </c>
      <c r="L382" s="7">
        <v>820050</v>
      </c>
      <c r="M382" s="7">
        <v>82</v>
      </c>
      <c r="N382" s="7">
        <v>0</v>
      </c>
      <c r="O382" s="7">
        <v>50</v>
      </c>
    </row>
    <row r="383" spans="1:15">
      <c r="A383" s="7" t="s">
        <v>1851</v>
      </c>
      <c r="B383" s="7" t="s">
        <v>1496</v>
      </c>
      <c r="C383" s="7" t="s">
        <v>1852</v>
      </c>
      <c r="E383" s="7" t="s">
        <v>1501</v>
      </c>
      <c r="F383" s="7">
        <v>271000</v>
      </c>
      <c r="G383" s="7">
        <v>27</v>
      </c>
      <c r="H383" s="7">
        <v>10</v>
      </c>
      <c r="I383" s="7">
        <v>0</v>
      </c>
      <c r="K383" s="7" t="s">
        <v>1658</v>
      </c>
      <c r="L383" s="7">
        <v>820055</v>
      </c>
      <c r="M383" s="7">
        <v>82</v>
      </c>
      <c r="N383" s="7">
        <v>0</v>
      </c>
      <c r="O383" s="7">
        <v>55</v>
      </c>
    </row>
    <row r="384" spans="1:15">
      <c r="A384" s="7" t="s">
        <v>1851</v>
      </c>
      <c r="B384" s="7" t="s">
        <v>1496</v>
      </c>
      <c r="C384" s="7" t="s">
        <v>1852</v>
      </c>
      <c r="E384" s="7" t="s">
        <v>1786</v>
      </c>
      <c r="F384" s="7">
        <v>271100</v>
      </c>
      <c r="G384" s="7">
        <v>27</v>
      </c>
      <c r="H384" s="7">
        <v>11</v>
      </c>
      <c r="I384" s="7">
        <v>0</v>
      </c>
      <c r="K384" s="7" t="s">
        <v>1659</v>
      </c>
      <c r="L384" s="7">
        <v>820060</v>
      </c>
      <c r="M384" s="7">
        <v>82</v>
      </c>
      <c r="N384" s="7">
        <v>0</v>
      </c>
      <c r="O384" s="7">
        <v>60</v>
      </c>
    </row>
    <row r="385" spans="1:15">
      <c r="A385" s="7" t="s">
        <v>1851</v>
      </c>
      <c r="B385" s="7" t="s">
        <v>1496</v>
      </c>
      <c r="C385" s="7" t="s">
        <v>1852</v>
      </c>
      <c r="E385" s="7" t="s">
        <v>1632</v>
      </c>
      <c r="F385" s="7">
        <v>271200</v>
      </c>
      <c r="G385" s="7">
        <v>27</v>
      </c>
      <c r="H385" s="7">
        <v>12</v>
      </c>
      <c r="I385" s="7">
        <v>0</v>
      </c>
      <c r="K385" s="7" t="s">
        <v>1661</v>
      </c>
      <c r="L385" s="7">
        <v>820065</v>
      </c>
      <c r="M385" s="7">
        <v>82</v>
      </c>
      <c r="N385" s="7">
        <v>0</v>
      </c>
      <c r="O385" s="7">
        <v>65</v>
      </c>
    </row>
    <row r="386" spans="1:15">
      <c r="A386" s="7" t="s">
        <v>1851</v>
      </c>
      <c r="B386" s="7" t="s">
        <v>1496</v>
      </c>
      <c r="C386" s="7" t="s">
        <v>1852</v>
      </c>
      <c r="E386" s="7" t="s">
        <v>1788</v>
      </c>
      <c r="F386" s="7">
        <v>271300</v>
      </c>
      <c r="G386" s="7">
        <v>27</v>
      </c>
      <c r="H386" s="7">
        <v>13</v>
      </c>
      <c r="I386" s="7">
        <v>0</v>
      </c>
      <c r="K386" s="7" t="s">
        <v>1667</v>
      </c>
      <c r="L386" s="7">
        <v>820070</v>
      </c>
      <c r="M386" s="7">
        <v>82</v>
      </c>
      <c r="N386" s="7">
        <v>0</v>
      </c>
      <c r="O386" s="7">
        <v>70</v>
      </c>
    </row>
    <row r="387" spans="1:15">
      <c r="A387" s="7" t="s">
        <v>1851</v>
      </c>
      <c r="B387" s="7" t="s">
        <v>1496</v>
      </c>
      <c r="C387" s="7" t="s">
        <v>1852</v>
      </c>
      <c r="D387" s="7" t="s">
        <v>1859</v>
      </c>
      <c r="E387" s="7" t="s">
        <v>1593</v>
      </c>
      <c r="F387" s="7">
        <v>300000</v>
      </c>
      <c r="G387" s="7">
        <v>30</v>
      </c>
      <c r="H387" s="7">
        <v>0</v>
      </c>
      <c r="I387" s="7">
        <v>0</v>
      </c>
      <c r="K387" s="7" t="s">
        <v>1669</v>
      </c>
      <c r="L387" s="7">
        <v>820075</v>
      </c>
      <c r="M387" s="7">
        <v>82</v>
      </c>
      <c r="N387" s="7">
        <v>0</v>
      </c>
      <c r="O387" s="7">
        <v>75</v>
      </c>
    </row>
    <row r="388" spans="1:15">
      <c r="A388" s="7" t="s">
        <v>1851</v>
      </c>
      <c r="B388" s="7" t="s">
        <v>1496</v>
      </c>
      <c r="C388" s="7" t="s">
        <v>1852</v>
      </c>
      <c r="E388" s="7" t="s">
        <v>1595</v>
      </c>
      <c r="F388" s="7">
        <v>301000</v>
      </c>
      <c r="G388" s="7">
        <v>30</v>
      </c>
      <c r="H388" s="7">
        <v>10</v>
      </c>
      <c r="I388" s="7">
        <v>0</v>
      </c>
      <c r="K388" s="7" t="s">
        <v>1663</v>
      </c>
      <c r="L388" s="7">
        <v>820080</v>
      </c>
      <c r="M388" s="7">
        <v>82</v>
      </c>
      <c r="N388" s="7">
        <v>0</v>
      </c>
      <c r="O388" s="7">
        <v>80</v>
      </c>
    </row>
    <row r="389" spans="1:15">
      <c r="A389" s="7" t="s">
        <v>1851</v>
      </c>
      <c r="B389" s="7" t="s">
        <v>1496</v>
      </c>
      <c r="C389" s="7" t="s">
        <v>1852</v>
      </c>
      <c r="E389" s="7" t="s">
        <v>1802</v>
      </c>
      <c r="F389" s="7">
        <v>301100</v>
      </c>
      <c r="G389" s="7">
        <v>30</v>
      </c>
      <c r="H389" s="7">
        <v>11</v>
      </c>
      <c r="I389" s="7">
        <v>0</v>
      </c>
      <c r="K389" s="7" t="s">
        <v>1665</v>
      </c>
      <c r="L389" s="7">
        <v>820085</v>
      </c>
      <c r="M389" s="7">
        <v>82</v>
      </c>
      <c r="N389" s="7">
        <v>0</v>
      </c>
      <c r="O389" s="7">
        <v>85</v>
      </c>
    </row>
    <row r="390" spans="1:15">
      <c r="A390" s="7" t="s">
        <v>1851</v>
      </c>
      <c r="B390" s="7" t="s">
        <v>1496</v>
      </c>
      <c r="C390" s="7" t="s">
        <v>1852</v>
      </c>
      <c r="E390" s="7" t="s">
        <v>1803</v>
      </c>
      <c r="F390" s="7">
        <v>301200</v>
      </c>
      <c r="G390" s="7">
        <v>30</v>
      </c>
      <c r="H390" s="7">
        <v>12</v>
      </c>
      <c r="I390" s="7">
        <v>0</v>
      </c>
      <c r="K390" s="7" t="s">
        <v>1689</v>
      </c>
      <c r="L390" s="7">
        <v>830000</v>
      </c>
      <c r="M390" s="7">
        <v>83</v>
      </c>
      <c r="N390" s="7">
        <v>0</v>
      </c>
      <c r="O390" s="7">
        <v>0</v>
      </c>
    </row>
    <row r="391" spans="1:15">
      <c r="A391" s="7" t="s">
        <v>1851</v>
      </c>
      <c r="B391" s="7" t="s">
        <v>1496</v>
      </c>
      <c r="C391" s="7" t="s">
        <v>1852</v>
      </c>
      <c r="E391" s="7" t="s">
        <v>1805</v>
      </c>
      <c r="F391" s="7">
        <v>301300</v>
      </c>
      <c r="G391" s="7">
        <v>30</v>
      </c>
      <c r="H391" s="7">
        <v>13</v>
      </c>
      <c r="I391" s="7">
        <v>0</v>
      </c>
      <c r="K391" s="7" t="s">
        <v>1650</v>
      </c>
      <c r="L391" s="7">
        <v>830010</v>
      </c>
      <c r="M391" s="7">
        <v>83</v>
      </c>
      <c r="N391" s="7">
        <v>0</v>
      </c>
      <c r="O391" s="7">
        <v>10</v>
      </c>
    </row>
    <row r="392" spans="1:15">
      <c r="A392" s="7" t="s">
        <v>1851</v>
      </c>
      <c r="B392" s="7" t="s">
        <v>1496</v>
      </c>
      <c r="C392" s="7" t="s">
        <v>1852</v>
      </c>
      <c r="D392" s="7" t="s">
        <v>1860</v>
      </c>
      <c r="E392" s="7" t="s">
        <v>1523</v>
      </c>
      <c r="F392" s="7">
        <v>790000</v>
      </c>
      <c r="G392" s="7">
        <v>79</v>
      </c>
      <c r="H392" s="7">
        <v>0</v>
      </c>
      <c r="I392" s="7">
        <v>0</v>
      </c>
      <c r="K392" s="7" t="s">
        <v>1652</v>
      </c>
      <c r="L392" s="7">
        <v>830020</v>
      </c>
      <c r="M392" s="7">
        <v>83</v>
      </c>
      <c r="N392" s="7">
        <v>0</v>
      </c>
      <c r="O392" s="7">
        <v>20</v>
      </c>
    </row>
    <row r="393" spans="1:15">
      <c r="A393" s="7" t="s">
        <v>1851</v>
      </c>
      <c r="B393" s="7" t="s">
        <v>1496</v>
      </c>
      <c r="C393" s="7" t="s">
        <v>1852</v>
      </c>
      <c r="E393" s="7" t="s">
        <v>504</v>
      </c>
      <c r="F393" s="7">
        <v>909000</v>
      </c>
      <c r="G393" s="7">
        <v>90</v>
      </c>
      <c r="H393" s="7">
        <v>90</v>
      </c>
      <c r="I393" s="7">
        <v>0</v>
      </c>
      <c r="K393" s="7" t="s">
        <v>1653</v>
      </c>
      <c r="L393" s="7">
        <v>830030</v>
      </c>
      <c r="M393" s="7">
        <v>83</v>
      </c>
      <c r="N393" s="7">
        <v>0</v>
      </c>
      <c r="O393" s="7">
        <v>30</v>
      </c>
    </row>
    <row r="394" spans="1:15">
      <c r="A394" s="7" t="s">
        <v>1861</v>
      </c>
      <c r="B394" s="7" t="s">
        <v>1496</v>
      </c>
      <c r="C394" s="7" t="s">
        <v>1862</v>
      </c>
      <c r="D394" s="7" t="s">
        <v>1863</v>
      </c>
      <c r="E394" s="7" t="s">
        <v>1503</v>
      </c>
      <c r="F394" s="7">
        <v>100000</v>
      </c>
      <c r="G394" s="7">
        <v>10</v>
      </c>
      <c r="H394" s="7">
        <v>0</v>
      </c>
      <c r="I394" s="7">
        <v>0</v>
      </c>
      <c r="K394" s="7" t="s">
        <v>1655</v>
      </c>
      <c r="L394" s="7">
        <v>830040</v>
      </c>
      <c r="M394" s="7">
        <v>83</v>
      </c>
      <c r="N394" s="7">
        <v>0</v>
      </c>
      <c r="O394" s="7">
        <v>40</v>
      </c>
    </row>
    <row r="395" spans="1:15">
      <c r="A395" s="7" t="s">
        <v>1861</v>
      </c>
      <c r="B395" s="7" t="s">
        <v>1496</v>
      </c>
      <c r="C395" s="7" t="s">
        <v>1862</v>
      </c>
      <c r="E395" s="7" t="s">
        <v>1501</v>
      </c>
      <c r="F395" s="7">
        <v>101000</v>
      </c>
      <c r="G395" s="7">
        <v>10</v>
      </c>
      <c r="H395" s="7">
        <v>10</v>
      </c>
      <c r="I395" s="7">
        <v>0</v>
      </c>
      <c r="K395" s="7" t="s">
        <v>1676</v>
      </c>
      <c r="L395" s="7">
        <v>830045</v>
      </c>
      <c r="M395" s="7">
        <v>83</v>
      </c>
      <c r="N395" s="7">
        <v>0</v>
      </c>
      <c r="O395" s="7">
        <v>45</v>
      </c>
    </row>
    <row r="396" spans="1:15">
      <c r="A396" s="7" t="s">
        <v>1861</v>
      </c>
      <c r="B396" s="7" t="s">
        <v>1496</v>
      </c>
      <c r="C396" s="7" t="s">
        <v>1862</v>
      </c>
      <c r="D396" s="7" t="s">
        <v>1864</v>
      </c>
      <c r="E396" s="7" t="s">
        <v>145</v>
      </c>
      <c r="F396" s="7">
        <v>140000</v>
      </c>
      <c r="G396" s="7">
        <v>14</v>
      </c>
      <c r="H396" s="7">
        <v>0</v>
      </c>
      <c r="I396" s="7">
        <v>0</v>
      </c>
      <c r="K396" s="7" t="s">
        <v>1657</v>
      </c>
      <c r="L396" s="7">
        <v>830050</v>
      </c>
      <c r="M396" s="7">
        <v>83</v>
      </c>
      <c r="N396" s="7">
        <v>0</v>
      </c>
      <c r="O396" s="7">
        <v>50</v>
      </c>
    </row>
    <row r="397" spans="1:15">
      <c r="A397" s="7" t="s">
        <v>1861</v>
      </c>
      <c r="B397" s="7" t="s">
        <v>1496</v>
      </c>
      <c r="C397" s="7" t="s">
        <v>1862</v>
      </c>
      <c r="E397" s="7" t="s">
        <v>1534</v>
      </c>
      <c r="F397" s="7">
        <v>141400</v>
      </c>
      <c r="G397" s="7">
        <v>14</v>
      </c>
      <c r="H397" s="7">
        <v>14</v>
      </c>
      <c r="I397" s="7">
        <v>0</v>
      </c>
      <c r="K397" s="7" t="s">
        <v>1658</v>
      </c>
      <c r="L397" s="7">
        <v>830055</v>
      </c>
      <c r="M397" s="7">
        <v>83</v>
      </c>
      <c r="N397" s="7">
        <v>0</v>
      </c>
      <c r="O397" s="7">
        <v>55</v>
      </c>
    </row>
    <row r="398" spans="1:15">
      <c r="A398" s="7" t="s">
        <v>1861</v>
      </c>
      <c r="B398" s="7" t="s">
        <v>1496</v>
      </c>
      <c r="C398" s="7" t="s">
        <v>1862</v>
      </c>
      <c r="D398" s="7" t="s">
        <v>1865</v>
      </c>
      <c r="E398" s="7" t="s">
        <v>1543</v>
      </c>
      <c r="F398" s="7">
        <v>150000</v>
      </c>
      <c r="G398" s="7">
        <v>15</v>
      </c>
      <c r="H398" s="7">
        <v>0</v>
      </c>
      <c r="I398" s="7">
        <v>0</v>
      </c>
      <c r="K398" s="7" t="s">
        <v>1659</v>
      </c>
      <c r="L398" s="7">
        <v>830060</v>
      </c>
      <c r="M398" s="7">
        <v>83</v>
      </c>
      <c r="N398" s="7">
        <v>0</v>
      </c>
      <c r="O398" s="7">
        <v>60</v>
      </c>
    </row>
    <row r="399" spans="1:15">
      <c r="A399" s="7" t="s">
        <v>1861</v>
      </c>
      <c r="B399" s="7" t="s">
        <v>1496</v>
      </c>
      <c r="C399" s="7" t="s">
        <v>1862</v>
      </c>
      <c r="E399" s="7" t="s">
        <v>1544</v>
      </c>
      <c r="F399" s="7">
        <v>151100</v>
      </c>
      <c r="G399" s="7">
        <v>15</v>
      </c>
      <c r="H399" s="7">
        <v>11</v>
      </c>
      <c r="I399" s="7">
        <v>0</v>
      </c>
      <c r="K399" s="7" t="s">
        <v>1661</v>
      </c>
      <c r="L399" s="7">
        <v>830065</v>
      </c>
      <c r="M399" s="7">
        <v>83</v>
      </c>
      <c r="N399" s="7">
        <v>0</v>
      </c>
      <c r="O399" s="7">
        <v>65</v>
      </c>
    </row>
    <row r="400" spans="1:15">
      <c r="A400" s="7" t="s">
        <v>1861</v>
      </c>
      <c r="B400" s="7" t="s">
        <v>1496</v>
      </c>
      <c r="C400" s="7" t="s">
        <v>1862</v>
      </c>
      <c r="E400" s="7" t="s">
        <v>1605</v>
      </c>
      <c r="F400" s="7">
        <v>151120</v>
      </c>
      <c r="G400" s="7">
        <v>15</v>
      </c>
      <c r="H400" s="7">
        <v>11</v>
      </c>
      <c r="I400" s="7">
        <v>20</v>
      </c>
      <c r="K400" s="7" t="s">
        <v>1667</v>
      </c>
      <c r="L400" s="7">
        <v>830070</v>
      </c>
      <c r="M400" s="7">
        <v>83</v>
      </c>
      <c r="N400" s="7">
        <v>0</v>
      </c>
      <c r="O400" s="7">
        <v>70</v>
      </c>
    </row>
    <row r="401" spans="1:15">
      <c r="A401" s="7" t="s">
        <v>1861</v>
      </c>
      <c r="B401" s="7" t="s">
        <v>1496</v>
      </c>
      <c r="C401" s="7" t="s">
        <v>1862</v>
      </c>
      <c r="E401" s="7" t="s">
        <v>1547</v>
      </c>
      <c r="F401" s="7">
        <v>151300</v>
      </c>
      <c r="G401" s="7">
        <v>15</v>
      </c>
      <c r="H401" s="7">
        <v>13</v>
      </c>
      <c r="I401" s="7">
        <v>0</v>
      </c>
      <c r="K401" s="7" t="s">
        <v>1669</v>
      </c>
      <c r="L401" s="7">
        <v>830075</v>
      </c>
      <c r="M401" s="7">
        <v>83</v>
      </c>
      <c r="N401" s="7">
        <v>0</v>
      </c>
      <c r="O401" s="7">
        <v>75</v>
      </c>
    </row>
    <row r="402" spans="1:15">
      <c r="A402" s="7" t="s">
        <v>1861</v>
      </c>
      <c r="B402" s="7" t="s">
        <v>1496</v>
      </c>
      <c r="C402" s="7" t="s">
        <v>1862</v>
      </c>
      <c r="E402" s="7" t="s">
        <v>1550</v>
      </c>
      <c r="F402" s="7">
        <v>151600</v>
      </c>
      <c r="G402" s="7">
        <v>15</v>
      </c>
      <c r="H402" s="7">
        <v>16</v>
      </c>
      <c r="I402" s="7">
        <v>0</v>
      </c>
      <c r="K402" s="7" t="s">
        <v>1663</v>
      </c>
      <c r="L402" s="7">
        <v>830080</v>
      </c>
      <c r="M402" s="7">
        <v>83</v>
      </c>
      <c r="N402" s="7">
        <v>0</v>
      </c>
      <c r="O402" s="7">
        <v>80</v>
      </c>
    </row>
    <row r="403" spans="1:15">
      <c r="A403" s="7" t="s">
        <v>1861</v>
      </c>
      <c r="B403" s="7" t="s">
        <v>1496</v>
      </c>
      <c r="C403" s="7" t="s">
        <v>1862</v>
      </c>
      <c r="E403" s="7" t="s">
        <v>1551</v>
      </c>
      <c r="F403" s="7">
        <v>151700</v>
      </c>
      <c r="G403" s="7">
        <v>15</v>
      </c>
      <c r="H403" s="7">
        <v>17</v>
      </c>
      <c r="I403" s="7">
        <v>0</v>
      </c>
      <c r="K403" s="7" t="s">
        <v>1665</v>
      </c>
      <c r="L403" s="7">
        <v>830085</v>
      </c>
      <c r="M403" s="7">
        <v>83</v>
      </c>
      <c r="N403" s="7">
        <v>0</v>
      </c>
      <c r="O403" s="7">
        <v>85</v>
      </c>
    </row>
    <row r="404" spans="1:15">
      <c r="A404" s="7" t="s">
        <v>1861</v>
      </c>
      <c r="B404" s="7" t="s">
        <v>1496</v>
      </c>
      <c r="C404" s="7" t="s">
        <v>1862</v>
      </c>
      <c r="D404" s="7" t="s">
        <v>1866</v>
      </c>
      <c r="E404" s="7" t="s">
        <v>1556</v>
      </c>
      <c r="F404" s="7">
        <v>180000</v>
      </c>
      <c r="G404" s="7">
        <v>18</v>
      </c>
      <c r="H404" s="7">
        <v>0</v>
      </c>
      <c r="I404" s="7">
        <v>0</v>
      </c>
      <c r="K404" s="7" t="s">
        <v>1694</v>
      </c>
      <c r="L404" s="7">
        <v>850000</v>
      </c>
      <c r="M404" s="7">
        <v>85</v>
      </c>
      <c r="N404" s="7">
        <v>0</v>
      </c>
      <c r="O404" s="7">
        <v>0</v>
      </c>
    </row>
    <row r="405" spans="1:15">
      <c r="A405" s="7" t="s">
        <v>1861</v>
      </c>
      <c r="B405" s="7" t="s">
        <v>1496</v>
      </c>
      <c r="C405" s="7" t="s">
        <v>1862</v>
      </c>
      <c r="E405" s="7" t="s">
        <v>1558</v>
      </c>
      <c r="F405" s="7">
        <v>181000</v>
      </c>
      <c r="G405" s="7">
        <v>18</v>
      </c>
      <c r="H405" s="7">
        <v>10</v>
      </c>
      <c r="I405" s="7">
        <v>0</v>
      </c>
      <c r="K405" s="7" t="s">
        <v>1696</v>
      </c>
      <c r="L405" s="7">
        <v>850010</v>
      </c>
      <c r="M405" s="7">
        <v>85</v>
      </c>
      <c r="N405" s="7">
        <v>0</v>
      </c>
      <c r="O405" s="7">
        <v>10</v>
      </c>
    </row>
    <row r="406" spans="1:15">
      <c r="A406" s="7" t="s">
        <v>1861</v>
      </c>
      <c r="B406" s="7" t="s">
        <v>1496</v>
      </c>
      <c r="C406" s="7" t="s">
        <v>1862</v>
      </c>
      <c r="D406" s="7" t="s">
        <v>1867</v>
      </c>
      <c r="E406" s="7" t="s">
        <v>1519</v>
      </c>
      <c r="F406" s="7">
        <v>200000</v>
      </c>
      <c r="G406" s="7">
        <v>20</v>
      </c>
      <c r="H406" s="7">
        <v>0</v>
      </c>
      <c r="I406" s="7">
        <v>0</v>
      </c>
      <c r="K406" s="7" t="s">
        <v>1698</v>
      </c>
      <c r="L406" s="7">
        <v>850020</v>
      </c>
      <c r="M406" s="7">
        <v>85</v>
      </c>
      <c r="N406" s="7">
        <v>0</v>
      </c>
      <c r="O406" s="7">
        <v>20</v>
      </c>
    </row>
    <row r="407" spans="1:15">
      <c r="A407" s="7" t="s">
        <v>1861</v>
      </c>
      <c r="B407" s="7" t="s">
        <v>1496</v>
      </c>
      <c r="C407" s="7" t="s">
        <v>1862</v>
      </c>
      <c r="E407" s="7" t="s">
        <v>1501</v>
      </c>
      <c r="F407" s="7">
        <v>201000</v>
      </c>
      <c r="G407" s="7">
        <v>20</v>
      </c>
      <c r="H407" s="7">
        <v>10</v>
      </c>
      <c r="I407" s="7">
        <v>0</v>
      </c>
      <c r="K407" s="7" t="s">
        <v>1700</v>
      </c>
      <c r="L407" s="7">
        <v>850030</v>
      </c>
      <c r="M407" s="7">
        <v>85</v>
      </c>
      <c r="N407" s="7">
        <v>0</v>
      </c>
      <c r="O407" s="7">
        <v>30</v>
      </c>
    </row>
    <row r="408" spans="1:15">
      <c r="A408" s="7" t="s">
        <v>1861</v>
      </c>
      <c r="B408" s="7" t="s">
        <v>1496</v>
      </c>
      <c r="C408" s="7" t="s">
        <v>1862</v>
      </c>
      <c r="D408" s="7" t="s">
        <v>1868</v>
      </c>
      <c r="E408" s="7" t="s">
        <v>1568</v>
      </c>
      <c r="F408" s="7">
        <v>230000</v>
      </c>
      <c r="G408" s="7">
        <v>23</v>
      </c>
      <c r="H408" s="7">
        <v>0</v>
      </c>
      <c r="I408" s="7">
        <v>0</v>
      </c>
      <c r="K408" s="7" t="s">
        <v>1702</v>
      </c>
      <c r="L408" s="7">
        <v>850040</v>
      </c>
      <c r="M408" s="7">
        <v>85</v>
      </c>
      <c r="N408" s="7">
        <v>0</v>
      </c>
      <c r="O408" s="7">
        <v>40</v>
      </c>
    </row>
    <row r="409" spans="1:15">
      <c r="A409" s="7" t="s">
        <v>1861</v>
      </c>
      <c r="B409" s="7" t="s">
        <v>1496</v>
      </c>
      <c r="C409" s="7" t="s">
        <v>1862</v>
      </c>
      <c r="E409" s="7" t="s">
        <v>1761</v>
      </c>
      <c r="F409" s="7">
        <v>232000</v>
      </c>
      <c r="G409" s="7">
        <v>23</v>
      </c>
      <c r="H409" s="7">
        <v>20</v>
      </c>
      <c r="I409" s="7">
        <v>0</v>
      </c>
      <c r="K409" s="7" t="s">
        <v>1704</v>
      </c>
      <c r="L409" s="7">
        <v>850050</v>
      </c>
      <c r="M409" s="7">
        <v>85</v>
      </c>
      <c r="N409" s="7">
        <v>0</v>
      </c>
      <c r="O409" s="7">
        <v>50</v>
      </c>
    </row>
    <row r="410" spans="1:15">
      <c r="A410" s="7" t="s">
        <v>1861</v>
      </c>
      <c r="B410" s="7" t="s">
        <v>1496</v>
      </c>
      <c r="C410" s="7" t="s">
        <v>1862</v>
      </c>
      <c r="E410" s="7" t="s">
        <v>1762</v>
      </c>
      <c r="F410" s="7">
        <v>232010</v>
      </c>
      <c r="G410" s="7">
        <v>23</v>
      </c>
      <c r="H410" s="7">
        <v>20</v>
      </c>
      <c r="I410" s="7">
        <v>10</v>
      </c>
      <c r="K410" s="7" t="s">
        <v>504</v>
      </c>
      <c r="L410" s="7">
        <v>909000</v>
      </c>
      <c r="M410" s="7">
        <v>90</v>
      </c>
      <c r="N410" s="7">
        <v>90</v>
      </c>
      <c r="O410" s="7">
        <v>0</v>
      </c>
    </row>
    <row r="411" spans="1:15">
      <c r="A411" s="7" t="s">
        <v>1861</v>
      </c>
      <c r="B411" s="7" t="s">
        <v>1496</v>
      </c>
      <c r="C411" s="7" t="s">
        <v>1862</v>
      </c>
      <c r="E411" s="7" t="s">
        <v>1752</v>
      </c>
      <c r="F411" s="7">
        <v>232100</v>
      </c>
      <c r="G411" s="7">
        <v>23</v>
      </c>
      <c r="H411" s="7">
        <v>21</v>
      </c>
      <c r="I411" s="7">
        <v>0</v>
      </c>
      <c r="K411" s="7" t="s">
        <v>1707</v>
      </c>
      <c r="L411" s="7">
        <v>900000</v>
      </c>
      <c r="M411" s="7">
        <v>90</v>
      </c>
      <c r="N411" s="7">
        <v>0</v>
      </c>
      <c r="O411" s="7">
        <v>0</v>
      </c>
    </row>
    <row r="412" spans="1:15">
      <c r="A412" s="7" t="s">
        <v>1861</v>
      </c>
      <c r="B412" s="7" t="s">
        <v>1496</v>
      </c>
      <c r="C412" s="7" t="s">
        <v>1862</v>
      </c>
      <c r="E412" s="7" t="s">
        <v>1763</v>
      </c>
      <c r="F412" s="7">
        <v>232110</v>
      </c>
      <c r="G412" s="7">
        <v>23</v>
      </c>
      <c r="H412" s="7">
        <v>21</v>
      </c>
      <c r="I412" s="7">
        <v>10</v>
      </c>
      <c r="K412" s="7" t="s">
        <v>1708</v>
      </c>
      <c r="L412" s="7">
        <v>901900</v>
      </c>
      <c r="M412" s="7">
        <v>90</v>
      </c>
      <c r="N412" s="7">
        <v>19</v>
      </c>
      <c r="O412" s="7">
        <v>0</v>
      </c>
    </row>
    <row r="413" spans="1:15">
      <c r="A413" s="7" t="s">
        <v>1861</v>
      </c>
      <c r="B413" s="7" t="s">
        <v>1496</v>
      </c>
      <c r="C413" s="7" t="s">
        <v>1862</v>
      </c>
      <c r="D413" s="7" t="s">
        <v>1869</v>
      </c>
      <c r="E413" s="7" t="s">
        <v>1583</v>
      </c>
      <c r="F413" s="7">
        <v>240000</v>
      </c>
      <c r="G413" s="7">
        <v>24</v>
      </c>
      <c r="H413" s="7">
        <v>0</v>
      </c>
      <c r="I413" s="7">
        <v>0</v>
      </c>
      <c r="K413" s="7" t="s">
        <v>1709</v>
      </c>
      <c r="L413" s="7">
        <v>901910</v>
      </c>
      <c r="M413" s="7">
        <v>90</v>
      </c>
      <c r="N413" s="7">
        <v>19</v>
      </c>
      <c r="O413" s="7">
        <v>10</v>
      </c>
    </row>
    <row r="414" spans="1:15">
      <c r="A414" s="7" t="s">
        <v>1861</v>
      </c>
      <c r="B414" s="7" t="s">
        <v>1496</v>
      </c>
      <c r="C414" s="7" t="s">
        <v>1862</v>
      </c>
      <c r="E414" s="7" t="s">
        <v>1501</v>
      </c>
      <c r="F414" s="7">
        <v>241000</v>
      </c>
      <c r="G414" s="7">
        <v>24</v>
      </c>
      <c r="H414" s="7">
        <v>10</v>
      </c>
      <c r="I414" s="7">
        <v>0</v>
      </c>
      <c r="K414" s="7" t="s">
        <v>1710</v>
      </c>
      <c r="L414" s="7">
        <v>901920</v>
      </c>
      <c r="M414" s="7">
        <v>90</v>
      </c>
      <c r="N414" s="7">
        <v>19</v>
      </c>
      <c r="O414" s="7">
        <v>20</v>
      </c>
    </row>
    <row r="415" spans="1:15">
      <c r="A415" s="7" t="s">
        <v>1861</v>
      </c>
      <c r="B415" s="7" t="s">
        <v>1496</v>
      </c>
      <c r="C415" s="7" t="s">
        <v>1862</v>
      </c>
      <c r="D415" s="7" t="s">
        <v>1870</v>
      </c>
      <c r="E415" s="7" t="s">
        <v>1587</v>
      </c>
      <c r="F415" s="7">
        <v>250000</v>
      </c>
      <c r="G415" s="7">
        <v>25</v>
      </c>
      <c r="H415" s="7">
        <v>0</v>
      </c>
      <c r="I415" s="7">
        <v>0</v>
      </c>
      <c r="K415" s="7" t="s">
        <v>1711</v>
      </c>
      <c r="L415" s="7">
        <v>901930</v>
      </c>
      <c r="M415" s="7">
        <v>90</v>
      </c>
      <c r="N415" s="7">
        <v>19</v>
      </c>
      <c r="O415" s="7">
        <v>30</v>
      </c>
    </row>
    <row r="416" spans="1:15">
      <c r="A416" s="7" t="s">
        <v>1861</v>
      </c>
      <c r="B416" s="7" t="s">
        <v>1496</v>
      </c>
      <c r="C416" s="7" t="s">
        <v>1862</v>
      </c>
      <c r="E416" s="7" t="s">
        <v>1501</v>
      </c>
      <c r="F416" s="7">
        <v>251000</v>
      </c>
      <c r="G416" s="7">
        <v>25</v>
      </c>
      <c r="H416" s="7">
        <v>10</v>
      </c>
      <c r="I416" s="7">
        <v>0</v>
      </c>
      <c r="K416" s="7" t="s">
        <v>1712</v>
      </c>
      <c r="L416" s="7">
        <v>901940</v>
      </c>
      <c r="M416" s="7">
        <v>90</v>
      </c>
      <c r="N416" s="7">
        <v>19</v>
      </c>
      <c r="O416" s="7">
        <v>40</v>
      </c>
    </row>
    <row r="417" spans="1:15">
      <c r="A417" s="7" t="s">
        <v>1861</v>
      </c>
      <c r="B417" s="7" t="s">
        <v>1496</v>
      </c>
      <c r="C417" s="7" t="s">
        <v>1862</v>
      </c>
      <c r="E417" s="7" t="s">
        <v>1590</v>
      </c>
      <c r="F417" s="7">
        <v>251010</v>
      </c>
      <c r="G417" s="7">
        <v>25</v>
      </c>
      <c r="H417" s="7">
        <v>10</v>
      </c>
      <c r="I417" s="7">
        <v>10</v>
      </c>
      <c r="K417" s="7" t="s">
        <v>1714</v>
      </c>
      <c r="L417" s="7">
        <v>902000</v>
      </c>
      <c r="M417" s="7">
        <v>90</v>
      </c>
      <c r="N417" s="7">
        <v>20</v>
      </c>
      <c r="O417" s="7">
        <v>0</v>
      </c>
    </row>
    <row r="418" spans="1:15">
      <c r="A418" s="7" t="s">
        <v>1861</v>
      </c>
      <c r="B418" s="7" t="s">
        <v>1496</v>
      </c>
      <c r="C418" s="7" t="s">
        <v>1862</v>
      </c>
      <c r="D418" s="7" t="s">
        <v>1871</v>
      </c>
      <c r="E418" s="7" t="s">
        <v>1593</v>
      </c>
      <c r="F418" s="7">
        <v>300000</v>
      </c>
      <c r="G418" s="7">
        <v>30</v>
      </c>
      <c r="H418" s="7">
        <v>0</v>
      </c>
      <c r="I418" s="7">
        <v>0</v>
      </c>
      <c r="K418" s="7" t="s">
        <v>1715</v>
      </c>
      <c r="L418" s="7">
        <v>902100</v>
      </c>
      <c r="M418" s="7">
        <v>90</v>
      </c>
      <c r="N418" s="7">
        <v>21</v>
      </c>
      <c r="O418" s="7">
        <v>0</v>
      </c>
    </row>
    <row r="419" spans="1:15">
      <c r="A419" s="7" t="s">
        <v>1861</v>
      </c>
      <c r="B419" s="7" t="s">
        <v>1496</v>
      </c>
      <c r="C419" s="7" t="s">
        <v>1862</v>
      </c>
      <c r="E419" s="7" t="s">
        <v>1595</v>
      </c>
      <c r="F419" s="7">
        <v>301000</v>
      </c>
      <c r="G419" s="7">
        <v>30</v>
      </c>
      <c r="H419" s="7">
        <v>10</v>
      </c>
      <c r="I419" s="7">
        <v>0</v>
      </c>
      <c r="K419" s="7" t="s">
        <v>1764</v>
      </c>
      <c r="L419" s="7">
        <v>902100</v>
      </c>
      <c r="M419" s="7">
        <v>90</v>
      </c>
      <c r="N419" s="7">
        <v>21</v>
      </c>
      <c r="O419" s="7">
        <v>0</v>
      </c>
    </row>
    <row r="420" spans="1:15">
      <c r="A420" s="7" t="s">
        <v>1861</v>
      </c>
      <c r="B420" s="7" t="s">
        <v>1496</v>
      </c>
      <c r="C420" s="7" t="s">
        <v>1862</v>
      </c>
      <c r="D420" s="7" t="s">
        <v>1872</v>
      </c>
      <c r="E420" s="7" t="s">
        <v>1597</v>
      </c>
      <c r="F420" s="7">
        <v>320000</v>
      </c>
      <c r="G420" s="7">
        <v>32</v>
      </c>
      <c r="H420" s="7">
        <v>0</v>
      </c>
      <c r="I420" s="7">
        <v>0</v>
      </c>
      <c r="K420" s="7" t="s">
        <v>1873</v>
      </c>
      <c r="L420" s="7">
        <v>901500</v>
      </c>
      <c r="M420" s="7">
        <v>90</v>
      </c>
      <c r="N420" s="7">
        <v>15</v>
      </c>
      <c r="O420" s="7">
        <v>0</v>
      </c>
    </row>
    <row r="421" spans="1:15">
      <c r="A421" s="7" t="s">
        <v>1861</v>
      </c>
      <c r="B421" s="7" t="s">
        <v>1496</v>
      </c>
      <c r="C421" s="7" t="s">
        <v>1862</v>
      </c>
      <c r="E421" s="7" t="s">
        <v>1821</v>
      </c>
      <c r="F421" s="7">
        <v>321200</v>
      </c>
      <c r="G421" s="7">
        <v>32</v>
      </c>
      <c r="H421" s="7">
        <v>12</v>
      </c>
      <c r="I421" s="7">
        <v>0</v>
      </c>
      <c r="K421" s="7" t="s">
        <v>1874</v>
      </c>
      <c r="L421" s="7">
        <v>901000</v>
      </c>
      <c r="M421" s="7">
        <v>90</v>
      </c>
      <c r="N421" s="7">
        <v>10</v>
      </c>
      <c r="O421" s="7">
        <v>0</v>
      </c>
    </row>
    <row r="422" spans="1:15">
      <c r="A422" s="7" t="s">
        <v>1861</v>
      </c>
      <c r="B422" s="7" t="s">
        <v>1496</v>
      </c>
      <c r="C422" s="7" t="s">
        <v>1862</v>
      </c>
      <c r="E422" s="7" t="s">
        <v>1599</v>
      </c>
      <c r="F422" s="7">
        <v>321300</v>
      </c>
      <c r="G422" s="7">
        <v>32</v>
      </c>
      <c r="H422" s="7">
        <v>13</v>
      </c>
      <c r="I422" s="7">
        <v>0</v>
      </c>
      <c r="K422" s="7" t="s">
        <v>1875</v>
      </c>
      <c r="L422" s="7">
        <v>901100</v>
      </c>
      <c r="M422" s="7">
        <v>90</v>
      </c>
      <c r="N422" s="7">
        <v>11</v>
      </c>
      <c r="O422" s="7">
        <v>0</v>
      </c>
    </row>
    <row r="423" spans="1:15">
      <c r="A423" s="7" t="s">
        <v>1861</v>
      </c>
      <c r="B423" s="7" t="s">
        <v>1496</v>
      </c>
      <c r="C423" s="7" t="s">
        <v>1862</v>
      </c>
      <c r="E423" s="7" t="s">
        <v>1600</v>
      </c>
      <c r="F423" s="7">
        <v>321310</v>
      </c>
      <c r="G423" s="7">
        <v>32</v>
      </c>
      <c r="H423" s="7">
        <v>13</v>
      </c>
      <c r="I423" s="7">
        <v>10</v>
      </c>
      <c r="K423" s="7" t="s">
        <v>1876</v>
      </c>
      <c r="L423" s="7">
        <v>901200</v>
      </c>
      <c r="M423" s="7">
        <v>90</v>
      </c>
      <c r="N423" s="7">
        <v>12</v>
      </c>
      <c r="O423" s="7">
        <v>0</v>
      </c>
    </row>
    <row r="424" spans="1:15">
      <c r="A424" s="7" t="s">
        <v>1861</v>
      </c>
      <c r="B424" s="7" t="s">
        <v>1496</v>
      </c>
      <c r="C424" s="7" t="s">
        <v>1862</v>
      </c>
      <c r="E424" s="7" t="s">
        <v>1601</v>
      </c>
      <c r="F424" s="7">
        <v>321320</v>
      </c>
      <c r="G424" s="7">
        <v>32</v>
      </c>
      <c r="H424" s="7">
        <v>13</v>
      </c>
      <c r="I424" s="7">
        <v>20</v>
      </c>
      <c r="K424" s="7" t="s">
        <v>1877</v>
      </c>
      <c r="L424" s="7">
        <v>901300</v>
      </c>
      <c r="M424" s="7">
        <v>90</v>
      </c>
      <c r="N424" s="7">
        <v>13</v>
      </c>
      <c r="O424" s="7">
        <v>0</v>
      </c>
    </row>
    <row r="425" spans="1:15">
      <c r="A425" s="7" t="s">
        <v>1861</v>
      </c>
      <c r="B425" s="7" t="s">
        <v>1496</v>
      </c>
      <c r="C425" s="7" t="s">
        <v>1862</v>
      </c>
      <c r="E425" s="7" t="s">
        <v>1602</v>
      </c>
      <c r="F425" s="7">
        <v>321330</v>
      </c>
      <c r="G425" s="7">
        <v>32</v>
      </c>
      <c r="H425" s="7">
        <v>13</v>
      </c>
      <c r="I425" s="7">
        <v>30</v>
      </c>
      <c r="K425" s="7" t="s">
        <v>1878</v>
      </c>
      <c r="L425" s="7">
        <v>901400</v>
      </c>
      <c r="M425" s="7">
        <v>90</v>
      </c>
      <c r="N425" s="7">
        <v>14</v>
      </c>
      <c r="O425" s="7">
        <v>0</v>
      </c>
    </row>
    <row r="426" spans="1:15">
      <c r="A426" s="7" t="s">
        <v>1861</v>
      </c>
      <c r="B426" s="7" t="s">
        <v>1496</v>
      </c>
      <c r="C426" s="7" t="s">
        <v>1862</v>
      </c>
      <c r="E426" s="7" t="s">
        <v>1603</v>
      </c>
      <c r="F426" s="7">
        <v>321340</v>
      </c>
      <c r="G426" s="7">
        <v>32</v>
      </c>
      <c r="H426" s="7">
        <v>13</v>
      </c>
      <c r="I426" s="7">
        <v>40</v>
      </c>
      <c r="K426" s="7" t="s">
        <v>1879</v>
      </c>
      <c r="L426" s="7">
        <v>901600</v>
      </c>
      <c r="M426" s="7">
        <v>90</v>
      </c>
      <c r="N426" s="7">
        <v>16</v>
      </c>
      <c r="O426" s="7">
        <v>0</v>
      </c>
    </row>
    <row r="427" spans="1:15">
      <c r="A427" s="7" t="s">
        <v>1861</v>
      </c>
      <c r="B427" s="7" t="s">
        <v>1496</v>
      </c>
      <c r="C427" s="7" t="s">
        <v>1862</v>
      </c>
      <c r="D427" s="7" t="s">
        <v>1880</v>
      </c>
      <c r="E427" s="7" t="s">
        <v>1523</v>
      </c>
      <c r="F427" s="7">
        <v>790000</v>
      </c>
      <c r="G427" s="7">
        <v>79</v>
      </c>
      <c r="H427" s="7">
        <v>0</v>
      </c>
      <c r="I427" s="7">
        <v>0</v>
      </c>
      <c r="K427" s="7" t="s">
        <v>1881</v>
      </c>
      <c r="L427" s="7">
        <v>901700</v>
      </c>
      <c r="M427" s="7">
        <v>90</v>
      </c>
      <c r="N427" s="7">
        <v>17</v>
      </c>
      <c r="O427" s="7">
        <v>0</v>
      </c>
    </row>
    <row r="428" spans="1:15">
      <c r="A428" s="7" t="s">
        <v>1861</v>
      </c>
      <c r="B428" s="7" t="s">
        <v>1496</v>
      </c>
      <c r="C428" s="7" t="s">
        <v>1862</v>
      </c>
      <c r="E428" s="7" t="s">
        <v>504</v>
      </c>
      <c r="F428" s="7">
        <v>909000</v>
      </c>
      <c r="G428" s="7">
        <v>90</v>
      </c>
      <c r="H428" s="7">
        <v>90</v>
      </c>
      <c r="I428" s="7">
        <v>0</v>
      </c>
      <c r="K428" s="7" t="s">
        <v>1882</v>
      </c>
      <c r="L428" s="7">
        <v>901800</v>
      </c>
      <c r="M428" s="7">
        <v>90</v>
      </c>
      <c r="N428" s="7">
        <v>18</v>
      </c>
      <c r="O428" s="7">
        <v>0</v>
      </c>
    </row>
    <row r="429" spans="1:15">
      <c r="A429" s="7" t="s">
        <v>1883</v>
      </c>
      <c r="B429" s="7" t="s">
        <v>1496</v>
      </c>
      <c r="C429" s="7" t="s">
        <v>1884</v>
      </c>
      <c r="D429" s="7" t="s">
        <v>1885</v>
      </c>
      <c r="E429" s="7" t="s">
        <v>1499</v>
      </c>
      <c r="F429" s="7">
        <v>160000</v>
      </c>
      <c r="G429" s="7">
        <v>16</v>
      </c>
      <c r="H429" s="7">
        <v>0</v>
      </c>
      <c r="I429" s="7">
        <v>0</v>
      </c>
      <c r="K429" s="7" t="s">
        <v>1886</v>
      </c>
      <c r="L429" s="7">
        <v>901910</v>
      </c>
      <c r="M429" s="7">
        <v>90</v>
      </c>
      <c r="N429" s="7">
        <v>19</v>
      </c>
      <c r="O429" s="7">
        <v>10</v>
      </c>
    </row>
    <row r="430" spans="1:15">
      <c r="A430" s="7" t="s">
        <v>1883</v>
      </c>
      <c r="B430" s="7" t="s">
        <v>1496</v>
      </c>
      <c r="C430" s="7" t="s">
        <v>1884</v>
      </c>
      <c r="E430" s="7" t="s">
        <v>1501</v>
      </c>
      <c r="F430" s="7">
        <v>161000</v>
      </c>
      <c r="G430" s="7">
        <v>16</v>
      </c>
      <c r="H430" s="7">
        <v>10</v>
      </c>
      <c r="I430" s="7">
        <v>0</v>
      </c>
      <c r="K430" s="7" t="s">
        <v>1887</v>
      </c>
      <c r="L430" s="7">
        <v>901920</v>
      </c>
      <c r="M430" s="7">
        <v>90</v>
      </c>
      <c r="N430" s="7">
        <v>19</v>
      </c>
      <c r="O430" s="7">
        <v>20</v>
      </c>
    </row>
    <row r="431" spans="1:15">
      <c r="A431" s="7" t="s">
        <v>1883</v>
      </c>
      <c r="B431" s="7" t="s">
        <v>1496</v>
      </c>
      <c r="C431" s="7" t="s">
        <v>1884</v>
      </c>
      <c r="E431" s="7" t="s">
        <v>1649</v>
      </c>
      <c r="F431" s="7">
        <v>161100</v>
      </c>
      <c r="G431" s="7">
        <v>16</v>
      </c>
      <c r="H431" s="7">
        <v>11</v>
      </c>
      <c r="I431" s="7">
        <v>0</v>
      </c>
      <c r="K431" s="7" t="s">
        <v>1888</v>
      </c>
      <c r="L431" s="7">
        <v>901930</v>
      </c>
      <c r="M431" s="7">
        <v>90</v>
      </c>
      <c r="N431" s="7">
        <v>19</v>
      </c>
      <c r="O431" s="7">
        <v>30</v>
      </c>
    </row>
    <row r="432" spans="1:15">
      <c r="A432" s="7" t="s">
        <v>1883</v>
      </c>
      <c r="B432" s="7" t="s">
        <v>1496</v>
      </c>
      <c r="C432" s="7" t="s">
        <v>1884</v>
      </c>
      <c r="E432" s="7" t="s">
        <v>1502</v>
      </c>
      <c r="F432" s="7">
        <v>161200</v>
      </c>
      <c r="G432" s="7">
        <v>16</v>
      </c>
      <c r="H432" s="7">
        <v>12</v>
      </c>
      <c r="I432" s="7">
        <v>0</v>
      </c>
      <c r="K432" s="7" t="s">
        <v>1889</v>
      </c>
      <c r="L432" s="7">
        <v>901940</v>
      </c>
      <c r="M432" s="7">
        <v>90</v>
      </c>
      <c r="N432" s="7">
        <v>19</v>
      </c>
      <c r="O432" s="7">
        <v>40</v>
      </c>
    </row>
    <row r="433" spans="1:15">
      <c r="A433" s="7" t="s">
        <v>1883</v>
      </c>
      <c r="B433" s="7" t="s">
        <v>1496</v>
      </c>
      <c r="C433" s="7" t="s">
        <v>1884</v>
      </c>
      <c r="E433" s="7" t="s">
        <v>1504</v>
      </c>
      <c r="F433" s="7">
        <v>161300</v>
      </c>
      <c r="G433" s="7">
        <v>16</v>
      </c>
      <c r="H433" s="7">
        <v>13</v>
      </c>
      <c r="I433" s="7">
        <v>0</v>
      </c>
      <c r="K433" s="7" t="s">
        <v>1890</v>
      </c>
      <c r="L433" s="7">
        <v>902000</v>
      </c>
      <c r="M433" s="7">
        <v>90</v>
      </c>
      <c r="N433" s="7">
        <v>20</v>
      </c>
      <c r="O433" s="7">
        <v>0</v>
      </c>
    </row>
    <row r="434" spans="1:15">
      <c r="A434" s="7" t="s">
        <v>1883</v>
      </c>
      <c r="B434" s="7" t="s">
        <v>1496</v>
      </c>
      <c r="C434" s="7" t="s">
        <v>1884</v>
      </c>
      <c r="E434" s="7" t="s">
        <v>1506</v>
      </c>
      <c r="F434" s="7">
        <v>161400</v>
      </c>
      <c r="G434" s="7">
        <v>16</v>
      </c>
      <c r="H434" s="7">
        <v>14</v>
      </c>
      <c r="I434" s="7">
        <v>0</v>
      </c>
      <c r="K434" s="7" t="s">
        <v>1891</v>
      </c>
      <c r="L434" s="7">
        <v>902100</v>
      </c>
      <c r="M434" s="7">
        <v>90</v>
      </c>
      <c r="N434" s="7">
        <v>21</v>
      </c>
      <c r="O434" s="7">
        <v>0</v>
      </c>
    </row>
    <row r="435" spans="1:15">
      <c r="A435" s="7" t="s">
        <v>1883</v>
      </c>
      <c r="B435" s="7" t="s">
        <v>1496</v>
      </c>
      <c r="C435" s="7" t="s">
        <v>1884</v>
      </c>
      <c r="E435" s="7" t="s">
        <v>1508</v>
      </c>
      <c r="F435" s="7">
        <v>161500</v>
      </c>
      <c r="G435" s="7">
        <v>16</v>
      </c>
      <c r="H435" s="7">
        <v>15</v>
      </c>
      <c r="I435" s="7">
        <v>0</v>
      </c>
      <c r="K435" s="7" t="s">
        <v>1892</v>
      </c>
      <c r="L435" s="7">
        <v>902200</v>
      </c>
      <c r="M435" s="7">
        <v>90</v>
      </c>
      <c r="N435" s="7">
        <v>22</v>
      </c>
      <c r="O435" s="7">
        <v>0</v>
      </c>
    </row>
    <row r="436" spans="1:15">
      <c r="A436" s="7" t="s">
        <v>1883</v>
      </c>
      <c r="B436" s="7" t="s">
        <v>1496</v>
      </c>
      <c r="C436" s="7" t="s">
        <v>1884</v>
      </c>
      <c r="E436" s="7" t="s">
        <v>1510</v>
      </c>
      <c r="F436" s="7">
        <v>161600</v>
      </c>
      <c r="G436" s="7">
        <v>16</v>
      </c>
      <c r="H436" s="7">
        <v>16</v>
      </c>
      <c r="I436" s="7">
        <v>0</v>
      </c>
      <c r="K436"/>
      <c r="L436"/>
      <c r="M436"/>
      <c r="N436"/>
      <c r="O436"/>
    </row>
    <row r="437" spans="1:15">
      <c r="A437" s="7" t="s">
        <v>1883</v>
      </c>
      <c r="B437" s="7" t="s">
        <v>1496</v>
      </c>
      <c r="C437" s="7" t="s">
        <v>1884</v>
      </c>
      <c r="E437" s="7" t="s">
        <v>1512</v>
      </c>
      <c r="F437" s="7">
        <v>161700</v>
      </c>
      <c r="G437" s="7">
        <v>16</v>
      </c>
      <c r="H437" s="7">
        <v>17</v>
      </c>
      <c r="I437" s="7">
        <v>0</v>
      </c>
      <c r="K437"/>
      <c r="L437"/>
      <c r="M437"/>
      <c r="N437"/>
      <c r="O437"/>
    </row>
    <row r="438" spans="1:15">
      <c r="A438" s="7" t="s">
        <v>1883</v>
      </c>
      <c r="B438" s="7" t="s">
        <v>1496</v>
      </c>
      <c r="C438" s="7" t="s">
        <v>1884</v>
      </c>
      <c r="E438" s="7" t="s">
        <v>1514</v>
      </c>
      <c r="F438" s="7">
        <v>161800</v>
      </c>
      <c r="G438" s="7">
        <v>16</v>
      </c>
      <c r="H438" s="7">
        <v>18</v>
      </c>
      <c r="I438" s="7">
        <v>0</v>
      </c>
      <c r="K438"/>
      <c r="L438"/>
      <c r="M438"/>
      <c r="N438"/>
      <c r="O438"/>
    </row>
    <row r="439" spans="1:15">
      <c r="A439" s="7" t="s">
        <v>1883</v>
      </c>
      <c r="B439" s="7" t="s">
        <v>1496</v>
      </c>
      <c r="C439" s="7" t="s">
        <v>1884</v>
      </c>
      <c r="E439" s="7" t="s">
        <v>1516</v>
      </c>
      <c r="F439" s="7">
        <v>162200</v>
      </c>
      <c r="G439" s="7">
        <v>16</v>
      </c>
      <c r="H439" s="7">
        <v>22</v>
      </c>
      <c r="I439" s="7">
        <v>0</v>
      </c>
      <c r="K439"/>
      <c r="L439"/>
      <c r="M439"/>
      <c r="N439"/>
      <c r="O439"/>
    </row>
    <row r="440" spans="1:15">
      <c r="A440" s="7" t="s">
        <v>1883</v>
      </c>
      <c r="B440" s="7" t="s">
        <v>1496</v>
      </c>
      <c r="C440" s="7" t="s">
        <v>1884</v>
      </c>
      <c r="D440" s="7" t="s">
        <v>1893</v>
      </c>
      <c r="E440" s="7" t="s">
        <v>1523</v>
      </c>
      <c r="F440" s="7">
        <v>790000</v>
      </c>
      <c r="G440" s="7">
        <v>79</v>
      </c>
      <c r="H440" s="7">
        <v>0</v>
      </c>
      <c r="I440" s="7">
        <v>0</v>
      </c>
      <c r="K440"/>
      <c r="L440"/>
      <c r="M440"/>
      <c r="N440"/>
      <c r="O440"/>
    </row>
    <row r="441" spans="1:15">
      <c r="A441" s="7" t="s">
        <v>1894</v>
      </c>
      <c r="B441" s="7" t="s">
        <v>1496</v>
      </c>
      <c r="C441" s="7" t="s">
        <v>1895</v>
      </c>
      <c r="D441" s="7" t="s">
        <v>1896</v>
      </c>
      <c r="E441" s="7" t="s">
        <v>1503</v>
      </c>
      <c r="F441" s="7">
        <v>100000</v>
      </c>
      <c r="G441" s="7">
        <v>10</v>
      </c>
      <c r="H441" s="7">
        <v>0</v>
      </c>
      <c r="I441" s="7">
        <v>0</v>
      </c>
      <c r="K441"/>
      <c r="L441"/>
      <c r="M441"/>
      <c r="N441"/>
      <c r="O441"/>
    </row>
    <row r="442" spans="1:15">
      <c r="A442" s="7" t="s">
        <v>1894</v>
      </c>
      <c r="B442" s="7" t="s">
        <v>1496</v>
      </c>
      <c r="C442" s="7" t="s">
        <v>1895</v>
      </c>
      <c r="E442" s="7" t="s">
        <v>1501</v>
      </c>
      <c r="F442" s="7">
        <v>101000</v>
      </c>
      <c r="G442" s="7">
        <v>10</v>
      </c>
      <c r="H442" s="7">
        <v>10</v>
      </c>
      <c r="I442" s="7">
        <v>0</v>
      </c>
      <c r="K442"/>
      <c r="L442"/>
      <c r="M442"/>
      <c r="N442"/>
      <c r="O442"/>
    </row>
    <row r="443" spans="1:15">
      <c r="A443" s="7" t="s">
        <v>1894</v>
      </c>
      <c r="B443" s="7" t="s">
        <v>1496</v>
      </c>
      <c r="C443" s="7" t="s">
        <v>1895</v>
      </c>
      <c r="E443" s="7" t="s">
        <v>1520</v>
      </c>
      <c r="F443" s="7">
        <v>101100</v>
      </c>
      <c r="G443" s="7">
        <v>10</v>
      </c>
      <c r="H443" s="7">
        <v>11</v>
      </c>
      <c r="I443" s="7">
        <v>0</v>
      </c>
      <c r="K443"/>
      <c r="L443"/>
      <c r="M443"/>
      <c r="N443"/>
      <c r="O443"/>
    </row>
    <row r="444" spans="1:15">
      <c r="A444" s="7" t="s">
        <v>1894</v>
      </c>
      <c r="B444" s="7" t="s">
        <v>1496</v>
      </c>
      <c r="C444" s="7" t="s">
        <v>1895</v>
      </c>
      <c r="E444" s="7" t="s">
        <v>1513</v>
      </c>
      <c r="F444" s="7">
        <v>101200</v>
      </c>
      <c r="G444" s="7">
        <v>10</v>
      </c>
      <c r="H444" s="7">
        <v>12</v>
      </c>
      <c r="I444" s="7">
        <v>0</v>
      </c>
      <c r="K444"/>
      <c r="L444"/>
      <c r="M444"/>
      <c r="N444"/>
      <c r="O444"/>
    </row>
    <row r="445" spans="1:15">
      <c r="A445" s="7" t="s">
        <v>1894</v>
      </c>
      <c r="B445" s="7" t="s">
        <v>1496</v>
      </c>
      <c r="C445" s="7" t="s">
        <v>1895</v>
      </c>
      <c r="D445" s="7" t="s">
        <v>1897</v>
      </c>
      <c r="E445" s="7" t="s">
        <v>1792</v>
      </c>
      <c r="F445" s="7">
        <v>290000</v>
      </c>
      <c r="G445" s="7">
        <v>29</v>
      </c>
      <c r="H445" s="7">
        <v>0</v>
      </c>
      <c r="I445" s="7">
        <v>0</v>
      </c>
      <c r="K445"/>
      <c r="L445"/>
      <c r="M445"/>
      <c r="N445"/>
      <c r="O445"/>
    </row>
    <row r="446" spans="1:15">
      <c r="A446" s="7" t="s">
        <v>1894</v>
      </c>
      <c r="B446" s="7" t="s">
        <v>1496</v>
      </c>
      <c r="C446" s="7" t="s">
        <v>1895</v>
      </c>
      <c r="E446" s="7" t="s">
        <v>1795</v>
      </c>
      <c r="F446" s="7">
        <v>291000</v>
      </c>
      <c r="G446" s="7">
        <v>29</v>
      </c>
      <c r="H446" s="7">
        <v>10</v>
      </c>
      <c r="I446" s="7">
        <v>0</v>
      </c>
      <c r="K446"/>
      <c r="L446"/>
      <c r="M446"/>
      <c r="N446"/>
      <c r="O446"/>
    </row>
    <row r="447" spans="1:15">
      <c r="A447" s="7" t="s">
        <v>1894</v>
      </c>
      <c r="B447" s="7" t="s">
        <v>1496</v>
      </c>
      <c r="C447" s="7" t="s">
        <v>1895</v>
      </c>
      <c r="D447" s="7" t="s">
        <v>1898</v>
      </c>
      <c r="E447" s="7" t="s">
        <v>1725</v>
      </c>
      <c r="F447" s="7">
        <v>310000</v>
      </c>
      <c r="G447" s="7">
        <v>31</v>
      </c>
      <c r="H447" s="7">
        <v>0</v>
      </c>
      <c r="I447" s="7">
        <v>0</v>
      </c>
      <c r="K447"/>
      <c r="L447"/>
      <c r="M447"/>
      <c r="N447"/>
      <c r="O447"/>
    </row>
    <row r="448" spans="1:15">
      <c r="A448" s="7" t="s">
        <v>1894</v>
      </c>
      <c r="B448" s="7" t="s">
        <v>1496</v>
      </c>
      <c r="C448" s="7" t="s">
        <v>1895</v>
      </c>
      <c r="E448" s="7" t="s">
        <v>1806</v>
      </c>
      <c r="F448" s="7">
        <v>311000</v>
      </c>
      <c r="G448" s="7">
        <v>31</v>
      </c>
      <c r="H448" s="7">
        <v>10</v>
      </c>
      <c r="I448" s="7">
        <v>0</v>
      </c>
      <c r="K448"/>
      <c r="L448"/>
      <c r="M448"/>
      <c r="N448"/>
      <c r="O448"/>
    </row>
    <row r="449" spans="1:15">
      <c r="A449" s="7" t="s">
        <v>1894</v>
      </c>
      <c r="B449" s="7" t="s">
        <v>1496</v>
      </c>
      <c r="C449" s="7" t="s">
        <v>1895</v>
      </c>
      <c r="E449" s="7" t="s">
        <v>1807</v>
      </c>
      <c r="F449" s="7">
        <v>311100</v>
      </c>
      <c r="G449" s="7">
        <v>31</v>
      </c>
      <c r="H449" s="7">
        <v>11</v>
      </c>
      <c r="I449" s="7">
        <v>0</v>
      </c>
      <c r="K449"/>
      <c r="L449"/>
      <c r="M449"/>
      <c r="N449"/>
      <c r="O449"/>
    </row>
    <row r="450" spans="1:15">
      <c r="A450" s="7" t="s">
        <v>1894</v>
      </c>
      <c r="B450" s="7" t="s">
        <v>1496</v>
      </c>
      <c r="C450" s="7" t="s">
        <v>1895</v>
      </c>
      <c r="E450" s="7" t="s">
        <v>1809</v>
      </c>
      <c r="F450" s="7">
        <v>311200</v>
      </c>
      <c r="G450" s="7">
        <v>31</v>
      </c>
      <c r="H450" s="7">
        <v>12</v>
      </c>
      <c r="I450" s="7">
        <v>0</v>
      </c>
      <c r="K450"/>
      <c r="L450"/>
      <c r="M450"/>
      <c r="N450"/>
      <c r="O450"/>
    </row>
    <row r="451" spans="1:15">
      <c r="A451" s="7" t="s">
        <v>1894</v>
      </c>
      <c r="B451" s="7" t="s">
        <v>1496</v>
      </c>
      <c r="C451" s="7" t="s">
        <v>1895</v>
      </c>
      <c r="E451" s="7" t="s">
        <v>1810</v>
      </c>
      <c r="F451" s="7">
        <v>311300</v>
      </c>
      <c r="G451" s="7">
        <v>31</v>
      </c>
      <c r="H451" s="7">
        <v>13</v>
      </c>
      <c r="I451" s="7">
        <v>0</v>
      </c>
      <c r="K451"/>
      <c r="L451"/>
      <c r="M451"/>
      <c r="N451"/>
      <c r="O451"/>
    </row>
    <row r="452" spans="1:15">
      <c r="A452" s="7" t="s">
        <v>1894</v>
      </c>
      <c r="B452" s="7" t="s">
        <v>1496</v>
      </c>
      <c r="C452" s="7" t="s">
        <v>1895</v>
      </c>
      <c r="E452" s="7" t="s">
        <v>1811</v>
      </c>
      <c r="F452" s="7">
        <v>311400</v>
      </c>
      <c r="G452" s="7">
        <v>31</v>
      </c>
      <c r="H452" s="7">
        <v>14</v>
      </c>
      <c r="I452" s="7">
        <v>0</v>
      </c>
      <c r="K452"/>
      <c r="L452"/>
      <c r="M452"/>
      <c r="N452"/>
      <c r="O452"/>
    </row>
    <row r="453" spans="1:15">
      <c r="A453" s="7" t="s">
        <v>1894</v>
      </c>
      <c r="B453" s="7" t="s">
        <v>1496</v>
      </c>
      <c r="C453" s="7" t="s">
        <v>1895</v>
      </c>
      <c r="E453" s="7" t="s">
        <v>1812</v>
      </c>
      <c r="F453" s="7">
        <v>311500</v>
      </c>
      <c r="G453" s="7">
        <v>31</v>
      </c>
      <c r="H453" s="7">
        <v>15</v>
      </c>
      <c r="I453" s="7">
        <v>0</v>
      </c>
      <c r="K453"/>
      <c r="L453"/>
      <c r="M453"/>
      <c r="N453"/>
      <c r="O453"/>
    </row>
    <row r="454" spans="1:15">
      <c r="A454" s="7" t="s">
        <v>1894</v>
      </c>
      <c r="B454" s="7" t="s">
        <v>1496</v>
      </c>
      <c r="C454" s="7" t="s">
        <v>1895</v>
      </c>
      <c r="E454" s="7" t="s">
        <v>1813</v>
      </c>
      <c r="F454" s="7">
        <v>311600</v>
      </c>
      <c r="G454" s="7">
        <v>31</v>
      </c>
      <c r="H454" s="7">
        <v>16</v>
      </c>
      <c r="I454" s="7">
        <v>0</v>
      </c>
      <c r="K454"/>
      <c r="L454"/>
      <c r="M454"/>
      <c r="N454"/>
      <c r="O454"/>
    </row>
    <row r="455" spans="1:15">
      <c r="A455" s="7" t="s">
        <v>1894</v>
      </c>
      <c r="B455" s="7" t="s">
        <v>1496</v>
      </c>
      <c r="C455" s="7" t="s">
        <v>1895</v>
      </c>
      <c r="E455" s="7" t="s">
        <v>1814</v>
      </c>
      <c r="F455" s="7">
        <v>311700</v>
      </c>
      <c r="G455" s="7">
        <v>31</v>
      </c>
      <c r="H455" s="7">
        <v>17</v>
      </c>
      <c r="I455" s="7">
        <v>0</v>
      </c>
      <c r="K455"/>
      <c r="L455"/>
      <c r="M455"/>
      <c r="N455"/>
      <c r="O455"/>
    </row>
    <row r="456" spans="1:15">
      <c r="A456" s="7" t="s">
        <v>1894</v>
      </c>
      <c r="B456" s="7" t="s">
        <v>1496</v>
      </c>
      <c r="C456" s="7" t="s">
        <v>1895</v>
      </c>
      <c r="D456" s="7" t="s">
        <v>1899</v>
      </c>
      <c r="E456" s="7" t="s">
        <v>1523</v>
      </c>
      <c r="F456" s="7">
        <v>790000</v>
      </c>
      <c r="G456" s="7">
        <v>79</v>
      </c>
      <c r="H456" s="7">
        <v>0</v>
      </c>
      <c r="I456" s="7">
        <v>0</v>
      </c>
      <c r="K456"/>
      <c r="L456"/>
      <c r="M456"/>
      <c r="N456"/>
      <c r="O456"/>
    </row>
    <row r="457" spans="1:15">
      <c r="A457" s="7" t="s">
        <v>1894</v>
      </c>
      <c r="B457" s="7" t="s">
        <v>1496</v>
      </c>
      <c r="C457" s="7" t="s">
        <v>1895</v>
      </c>
      <c r="D457" s="7" t="s">
        <v>1900</v>
      </c>
      <c r="E457" s="7" t="s">
        <v>1707</v>
      </c>
      <c r="F457" s="7">
        <v>900000</v>
      </c>
      <c r="G457" s="7">
        <v>90</v>
      </c>
      <c r="H457" s="7">
        <v>0</v>
      </c>
      <c r="I457" s="7">
        <v>0</v>
      </c>
      <c r="K457"/>
      <c r="L457"/>
      <c r="M457"/>
      <c r="N457"/>
      <c r="O457"/>
    </row>
    <row r="458" spans="1:15">
      <c r="A458" s="7" t="s">
        <v>1894</v>
      </c>
      <c r="B458" s="7" t="s">
        <v>1496</v>
      </c>
      <c r="C458" s="7" t="s">
        <v>1895</v>
      </c>
      <c r="E458" s="7" t="s">
        <v>1873</v>
      </c>
      <c r="F458" s="7">
        <v>901500</v>
      </c>
      <c r="G458" s="7">
        <v>90</v>
      </c>
      <c r="H458" s="7">
        <v>15</v>
      </c>
      <c r="I458" s="7">
        <v>0</v>
      </c>
      <c r="K458"/>
      <c r="L458"/>
      <c r="M458"/>
      <c r="N458"/>
      <c r="O458"/>
    </row>
    <row r="459" spans="1:15">
      <c r="A459" s="7" t="s">
        <v>1894</v>
      </c>
      <c r="B459" s="7" t="s">
        <v>1496</v>
      </c>
      <c r="C459" s="7" t="s">
        <v>1895</v>
      </c>
      <c r="E459" s="7" t="s">
        <v>504</v>
      </c>
      <c r="F459" s="7">
        <v>909000</v>
      </c>
      <c r="G459" s="7">
        <v>90</v>
      </c>
      <c r="H459" s="7">
        <v>90</v>
      </c>
      <c r="I459" s="7">
        <v>0</v>
      </c>
      <c r="K459"/>
      <c r="L459"/>
      <c r="M459"/>
      <c r="N459"/>
      <c r="O459"/>
    </row>
    <row r="460" spans="1:15">
      <c r="A460" s="7" t="s">
        <v>1677</v>
      </c>
      <c r="B460" s="7" t="s">
        <v>1496</v>
      </c>
      <c r="C460" s="7" t="s">
        <v>1677</v>
      </c>
      <c r="D460" s="7" t="s">
        <v>1901</v>
      </c>
      <c r="E460" s="7" t="s">
        <v>1503</v>
      </c>
      <c r="F460" s="7">
        <v>100000</v>
      </c>
      <c r="G460" s="7">
        <v>10</v>
      </c>
      <c r="H460" s="7">
        <v>0</v>
      </c>
      <c r="I460" s="7">
        <v>0</v>
      </c>
      <c r="K460"/>
      <c r="L460"/>
      <c r="M460"/>
      <c r="N460"/>
      <c r="O460"/>
    </row>
    <row r="461" spans="1:15">
      <c r="A461" s="7" t="s">
        <v>1677</v>
      </c>
      <c r="B461" s="7" t="s">
        <v>1496</v>
      </c>
      <c r="C461" s="7" t="s">
        <v>1677</v>
      </c>
      <c r="E461" s="7" t="s">
        <v>1501</v>
      </c>
      <c r="F461" s="7">
        <v>101000</v>
      </c>
      <c r="G461" s="7">
        <v>10</v>
      </c>
      <c r="H461" s="7">
        <v>10</v>
      </c>
      <c r="I461" s="7">
        <v>0</v>
      </c>
      <c r="K461"/>
      <c r="L461"/>
      <c r="M461"/>
      <c r="N461"/>
      <c r="O461"/>
    </row>
    <row r="462" spans="1:15">
      <c r="A462" s="7" t="s">
        <v>1677</v>
      </c>
      <c r="B462" s="7" t="s">
        <v>1496</v>
      </c>
      <c r="C462" s="7" t="s">
        <v>1677</v>
      </c>
      <c r="E462" s="7" t="s">
        <v>1520</v>
      </c>
      <c r="F462" s="7">
        <v>101100</v>
      </c>
      <c r="G462" s="7">
        <v>10</v>
      </c>
      <c r="H462" s="7">
        <v>11</v>
      </c>
      <c r="I462" s="7">
        <v>0</v>
      </c>
      <c r="K462"/>
      <c r="L462"/>
      <c r="M462"/>
      <c r="N462"/>
      <c r="O462"/>
    </row>
    <row r="463" spans="1:15">
      <c r="A463" s="7" t="s">
        <v>1677</v>
      </c>
      <c r="B463" s="7" t="s">
        <v>1496</v>
      </c>
      <c r="C463" s="7" t="s">
        <v>1677</v>
      </c>
      <c r="E463" s="7" t="s">
        <v>1513</v>
      </c>
      <c r="F463" s="7">
        <v>101200</v>
      </c>
      <c r="G463" s="7">
        <v>10</v>
      </c>
      <c r="H463" s="7">
        <v>12</v>
      </c>
      <c r="I463" s="7">
        <v>0</v>
      </c>
      <c r="K463"/>
      <c r="L463"/>
      <c r="M463"/>
      <c r="N463"/>
      <c r="O463"/>
    </row>
    <row r="464" spans="1:15">
      <c r="A464" s="7" t="s">
        <v>1677</v>
      </c>
      <c r="B464" s="7" t="s">
        <v>1496</v>
      </c>
      <c r="C464" s="7" t="s">
        <v>1677</v>
      </c>
      <c r="D464" s="7" t="s">
        <v>1902</v>
      </c>
      <c r="E464" s="7" t="s">
        <v>1530</v>
      </c>
      <c r="F464" s="7">
        <v>110000</v>
      </c>
      <c r="G464" s="7">
        <v>11</v>
      </c>
      <c r="H464" s="7">
        <v>0</v>
      </c>
      <c r="I464" s="7">
        <v>0</v>
      </c>
      <c r="K464"/>
      <c r="L464"/>
      <c r="M464"/>
      <c r="N464"/>
      <c r="O464"/>
    </row>
    <row r="465" spans="1:15">
      <c r="A465" s="7" t="s">
        <v>1677</v>
      </c>
      <c r="B465" s="7" t="s">
        <v>1496</v>
      </c>
      <c r="C465" s="7" t="s">
        <v>1677</v>
      </c>
      <c r="E465" s="7" t="s">
        <v>1501</v>
      </c>
      <c r="F465" s="7">
        <v>111000</v>
      </c>
      <c r="G465" s="7">
        <v>11</v>
      </c>
      <c r="H465" s="7">
        <v>10</v>
      </c>
      <c r="I465" s="7">
        <v>0</v>
      </c>
      <c r="K465"/>
      <c r="L465"/>
      <c r="M465"/>
      <c r="N465"/>
      <c r="O465"/>
    </row>
    <row r="466" spans="1:15">
      <c r="A466" s="7" t="s">
        <v>1677</v>
      </c>
      <c r="B466" s="7" t="s">
        <v>1496</v>
      </c>
      <c r="C466" s="7" t="s">
        <v>1677</v>
      </c>
      <c r="D466" s="7" t="s">
        <v>1903</v>
      </c>
      <c r="E466" s="7" t="s">
        <v>1533</v>
      </c>
      <c r="F466" s="7">
        <v>120000</v>
      </c>
      <c r="G466" s="7">
        <v>12</v>
      </c>
      <c r="H466" s="7">
        <v>0</v>
      </c>
      <c r="I466" s="7">
        <v>0</v>
      </c>
      <c r="K466"/>
      <c r="L466"/>
      <c r="M466"/>
      <c r="N466"/>
      <c r="O466"/>
    </row>
    <row r="467" spans="1:15">
      <c r="A467" s="7" t="s">
        <v>1677</v>
      </c>
      <c r="B467" s="7" t="s">
        <v>1496</v>
      </c>
      <c r="C467" s="7" t="s">
        <v>1677</v>
      </c>
      <c r="E467" s="7" t="s">
        <v>1501</v>
      </c>
      <c r="F467" s="7">
        <v>121000</v>
      </c>
      <c r="G467" s="7">
        <v>12</v>
      </c>
      <c r="H467" s="7">
        <v>10</v>
      </c>
      <c r="I467" s="7">
        <v>0</v>
      </c>
      <c r="K467"/>
      <c r="L467"/>
      <c r="M467"/>
      <c r="N467"/>
      <c r="O467"/>
    </row>
    <row r="468" spans="1:15">
      <c r="A468" s="7" t="s">
        <v>1677</v>
      </c>
      <c r="B468" s="7" t="s">
        <v>1496</v>
      </c>
      <c r="C468" s="7" t="s">
        <v>1677</v>
      </c>
      <c r="E468" s="7" t="s">
        <v>1536</v>
      </c>
      <c r="F468" s="7">
        <v>121100</v>
      </c>
      <c r="G468" s="7">
        <v>12</v>
      </c>
      <c r="H468" s="7">
        <v>11</v>
      </c>
      <c r="I468" s="7">
        <v>0</v>
      </c>
      <c r="K468"/>
      <c r="L468"/>
      <c r="M468"/>
      <c r="N468"/>
      <c r="O468"/>
    </row>
    <row r="469" spans="1:15">
      <c r="A469" s="7" t="s">
        <v>1677</v>
      </c>
      <c r="B469" s="7" t="s">
        <v>1496</v>
      </c>
      <c r="C469" s="7" t="s">
        <v>1677</v>
      </c>
      <c r="E469" s="7" t="s">
        <v>1538</v>
      </c>
      <c r="F469" s="7">
        <v>121200</v>
      </c>
      <c r="G469" s="7">
        <v>12</v>
      </c>
      <c r="H469" s="7">
        <v>12</v>
      </c>
      <c r="I469" s="7">
        <v>0</v>
      </c>
      <c r="K469"/>
      <c r="L469"/>
      <c r="M469"/>
      <c r="N469"/>
      <c r="O469"/>
    </row>
    <row r="470" spans="1:15">
      <c r="A470" s="7" t="s">
        <v>1677</v>
      </c>
      <c r="B470" s="7" t="s">
        <v>1496</v>
      </c>
      <c r="C470" s="7" t="s">
        <v>1677</v>
      </c>
      <c r="D470" s="7" t="s">
        <v>1904</v>
      </c>
      <c r="E470" s="7" t="s">
        <v>1540</v>
      </c>
      <c r="F470" s="7">
        <v>130000</v>
      </c>
      <c r="G470" s="7">
        <v>13</v>
      </c>
      <c r="H470" s="7">
        <v>0</v>
      </c>
      <c r="I470" s="7">
        <v>0</v>
      </c>
      <c r="K470"/>
      <c r="L470"/>
      <c r="M470"/>
      <c r="N470"/>
      <c r="O470"/>
    </row>
    <row r="471" spans="1:15">
      <c r="A471" s="7" t="s">
        <v>1677</v>
      </c>
      <c r="B471" s="7" t="s">
        <v>1496</v>
      </c>
      <c r="C471" s="7" t="s">
        <v>1677</v>
      </c>
      <c r="E471" s="7" t="s">
        <v>1501</v>
      </c>
      <c r="F471" s="7">
        <v>131000</v>
      </c>
      <c r="G471" s="7">
        <v>13</v>
      </c>
      <c r="H471" s="7">
        <v>10</v>
      </c>
      <c r="I471" s="7">
        <v>0</v>
      </c>
      <c r="K471"/>
      <c r="L471"/>
      <c r="M471"/>
      <c r="N471"/>
      <c r="O471"/>
    </row>
    <row r="472" spans="1:15">
      <c r="A472" s="7" t="s">
        <v>1677</v>
      </c>
      <c r="B472" s="7" t="s">
        <v>1496</v>
      </c>
      <c r="C472" s="7" t="s">
        <v>1677</v>
      </c>
      <c r="D472" s="7" t="s">
        <v>1905</v>
      </c>
      <c r="E472" s="7" t="s">
        <v>145</v>
      </c>
      <c r="F472" s="7">
        <v>140000</v>
      </c>
      <c r="G472" s="7">
        <v>14</v>
      </c>
      <c r="H472" s="7">
        <v>0</v>
      </c>
      <c r="I472" s="7">
        <v>0</v>
      </c>
      <c r="K472"/>
      <c r="L472"/>
      <c r="M472"/>
      <c r="N472"/>
      <c r="O472"/>
    </row>
    <row r="473" spans="1:15">
      <c r="A473" s="7" t="s">
        <v>1677</v>
      </c>
      <c r="B473" s="7" t="s">
        <v>1496</v>
      </c>
      <c r="C473" s="7" t="s">
        <v>1677</v>
      </c>
      <c r="E473" s="7" t="s">
        <v>1501</v>
      </c>
      <c r="F473" s="7">
        <v>141000</v>
      </c>
      <c r="G473" s="7">
        <v>14</v>
      </c>
      <c r="H473" s="7">
        <v>10</v>
      </c>
      <c r="I473" s="7">
        <v>0</v>
      </c>
      <c r="K473"/>
      <c r="L473"/>
      <c r="M473"/>
      <c r="N473"/>
      <c r="O473"/>
    </row>
    <row r="474" spans="1:15">
      <c r="A474" s="7" t="s">
        <v>1677</v>
      </c>
      <c r="B474" s="7" t="s">
        <v>1496</v>
      </c>
      <c r="C474" s="7" t="s">
        <v>1677</v>
      </c>
      <c r="E474" s="7" t="s">
        <v>1531</v>
      </c>
      <c r="F474" s="7">
        <v>141010</v>
      </c>
      <c r="G474" s="7">
        <v>14</v>
      </c>
      <c r="H474" s="7">
        <v>10</v>
      </c>
      <c r="I474" s="7">
        <v>10</v>
      </c>
      <c r="K474"/>
      <c r="L474"/>
      <c r="M474"/>
      <c r="N474"/>
      <c r="O474"/>
    </row>
    <row r="475" spans="1:15">
      <c r="A475" s="7" t="s">
        <v>1677</v>
      </c>
      <c r="B475" s="7" t="s">
        <v>1496</v>
      </c>
      <c r="C475" s="7" t="s">
        <v>1677</v>
      </c>
      <c r="E475" s="7" t="s">
        <v>1581</v>
      </c>
      <c r="F475" s="7">
        <v>141100</v>
      </c>
      <c r="G475" s="7">
        <v>14</v>
      </c>
      <c r="H475" s="7">
        <v>11</v>
      </c>
      <c r="I475" s="7">
        <v>0</v>
      </c>
      <c r="K475"/>
      <c r="L475"/>
      <c r="M475"/>
      <c r="N475"/>
      <c r="O475"/>
    </row>
    <row r="476" spans="1:15">
      <c r="A476" s="7" t="s">
        <v>1677</v>
      </c>
      <c r="B476" s="7" t="s">
        <v>1496</v>
      </c>
      <c r="C476" s="7" t="s">
        <v>1677</v>
      </c>
      <c r="E476" s="7" t="s">
        <v>1584</v>
      </c>
      <c r="F476" s="7">
        <v>141200</v>
      </c>
      <c r="G476" s="7">
        <v>14</v>
      </c>
      <c r="H476" s="7">
        <v>12</v>
      </c>
      <c r="I476" s="7">
        <v>0</v>
      </c>
      <c r="K476"/>
      <c r="L476"/>
      <c r="M476"/>
      <c r="N476"/>
      <c r="O476"/>
    </row>
    <row r="477" spans="1:15">
      <c r="A477" s="7" t="s">
        <v>1677</v>
      </c>
      <c r="B477" s="7" t="s">
        <v>1496</v>
      </c>
      <c r="C477" s="7" t="s">
        <v>1677</v>
      </c>
      <c r="E477" s="7" t="s">
        <v>1539</v>
      </c>
      <c r="F477" s="7">
        <v>142600</v>
      </c>
      <c r="G477" s="7">
        <v>14</v>
      </c>
      <c r="H477" s="7">
        <v>26</v>
      </c>
      <c r="I477" s="7">
        <v>0</v>
      </c>
      <c r="K477"/>
      <c r="L477"/>
      <c r="M477"/>
      <c r="N477"/>
      <c r="O477"/>
    </row>
    <row r="478" spans="1:15">
      <c r="A478" s="7" t="s">
        <v>1677</v>
      </c>
      <c r="B478" s="7" t="s">
        <v>1496</v>
      </c>
      <c r="C478" s="7" t="s">
        <v>1677</v>
      </c>
      <c r="E478" s="7" t="s">
        <v>1541</v>
      </c>
      <c r="F478" s="7">
        <v>142700</v>
      </c>
      <c r="G478" s="7">
        <v>14</v>
      </c>
      <c r="H478" s="7">
        <v>27</v>
      </c>
      <c r="I478" s="7">
        <v>0</v>
      </c>
      <c r="K478"/>
      <c r="L478"/>
      <c r="M478"/>
      <c r="N478"/>
      <c r="O478"/>
    </row>
    <row r="479" spans="1:15">
      <c r="A479" s="7" t="s">
        <v>1677</v>
      </c>
      <c r="B479" s="7" t="s">
        <v>1496</v>
      </c>
      <c r="C479" s="7" t="s">
        <v>1677</v>
      </c>
      <c r="D479" s="7" t="s">
        <v>1906</v>
      </c>
      <c r="E479" s="7" t="s">
        <v>1499</v>
      </c>
      <c r="F479" s="7">
        <v>160000</v>
      </c>
      <c r="G479" s="7">
        <v>16</v>
      </c>
      <c r="H479" s="7">
        <v>0</v>
      </c>
      <c r="I479" s="7">
        <v>0</v>
      </c>
      <c r="K479"/>
      <c r="L479"/>
      <c r="M479"/>
      <c r="N479"/>
      <c r="O479"/>
    </row>
    <row r="480" spans="1:15">
      <c r="A480" s="7" t="s">
        <v>1677</v>
      </c>
      <c r="B480" s="7" t="s">
        <v>1496</v>
      </c>
      <c r="C480" s="7" t="s">
        <v>1677</v>
      </c>
      <c r="E480" s="7" t="s">
        <v>1618</v>
      </c>
      <c r="F480" s="7">
        <v>162300</v>
      </c>
      <c r="G480" s="7">
        <v>16</v>
      </c>
      <c r="H480" s="7">
        <v>23</v>
      </c>
      <c r="I480" s="7">
        <v>0</v>
      </c>
      <c r="K480"/>
      <c r="L480"/>
      <c r="M480"/>
      <c r="N480"/>
      <c r="O480"/>
    </row>
    <row r="481" spans="1:15">
      <c r="A481" s="7" t="s">
        <v>1677</v>
      </c>
      <c r="B481" s="7" t="s">
        <v>1496</v>
      </c>
      <c r="C481" s="7" t="s">
        <v>1677</v>
      </c>
      <c r="E481" s="7" t="s">
        <v>1654</v>
      </c>
      <c r="F481" s="7">
        <v>162400</v>
      </c>
      <c r="G481" s="7">
        <v>16</v>
      </c>
      <c r="H481" s="7">
        <v>24</v>
      </c>
      <c r="I481" s="7">
        <v>0</v>
      </c>
      <c r="K481"/>
      <c r="L481"/>
      <c r="M481"/>
      <c r="N481"/>
      <c r="O481"/>
    </row>
    <row r="482" spans="1:15">
      <c r="A482" s="7" t="s">
        <v>1677</v>
      </c>
      <c r="B482" s="7" t="s">
        <v>1496</v>
      </c>
      <c r="C482" s="7" t="s">
        <v>1677</v>
      </c>
      <c r="E482" s="7" t="s">
        <v>1656</v>
      </c>
      <c r="F482" s="7">
        <v>162500</v>
      </c>
      <c r="G482" s="7">
        <v>16</v>
      </c>
      <c r="H482" s="7">
        <v>25</v>
      </c>
      <c r="I482" s="7">
        <v>0</v>
      </c>
      <c r="K482"/>
      <c r="L482"/>
      <c r="M482"/>
      <c r="N482"/>
      <c r="O482"/>
    </row>
    <row r="483" spans="1:15">
      <c r="A483" s="7" t="s">
        <v>1677</v>
      </c>
      <c r="B483" s="7" t="s">
        <v>1496</v>
      </c>
      <c r="C483" s="7" t="s">
        <v>1677</v>
      </c>
      <c r="D483" s="7" t="s">
        <v>1907</v>
      </c>
      <c r="E483" s="7" t="s">
        <v>1521</v>
      </c>
      <c r="F483" s="7">
        <v>170000</v>
      </c>
      <c r="G483" s="7">
        <v>17</v>
      </c>
      <c r="H483" s="7">
        <v>0</v>
      </c>
      <c r="I483" s="7">
        <v>0</v>
      </c>
      <c r="K483"/>
      <c r="L483"/>
      <c r="M483"/>
      <c r="N483"/>
      <c r="O483"/>
    </row>
    <row r="484" spans="1:15">
      <c r="A484" s="7" t="s">
        <v>1677</v>
      </c>
      <c r="B484" s="7" t="s">
        <v>1496</v>
      </c>
      <c r="C484" s="7" t="s">
        <v>1677</v>
      </c>
      <c r="E484" s="7" t="s">
        <v>1660</v>
      </c>
      <c r="F484" s="7">
        <v>171000</v>
      </c>
      <c r="G484" s="7">
        <v>17</v>
      </c>
      <c r="H484" s="7">
        <v>10</v>
      </c>
      <c r="I484" s="7">
        <v>0</v>
      </c>
      <c r="K484"/>
      <c r="L484"/>
      <c r="M484"/>
      <c r="N484"/>
      <c r="O484"/>
    </row>
    <row r="485" spans="1:15">
      <c r="A485" s="7" t="s">
        <v>1677</v>
      </c>
      <c r="B485" s="7" t="s">
        <v>1496</v>
      </c>
      <c r="C485" s="7" t="s">
        <v>1677</v>
      </c>
      <c r="E485" s="7" t="s">
        <v>1662</v>
      </c>
      <c r="F485" s="7">
        <v>171100</v>
      </c>
      <c r="G485" s="7">
        <v>17</v>
      </c>
      <c r="H485" s="7">
        <v>11</v>
      </c>
      <c r="I485" s="7">
        <v>0</v>
      </c>
      <c r="K485"/>
      <c r="L485"/>
      <c r="M485"/>
      <c r="N485"/>
      <c r="O485"/>
    </row>
    <row r="486" spans="1:15">
      <c r="A486" s="7" t="s">
        <v>1677</v>
      </c>
      <c r="B486" s="7" t="s">
        <v>1496</v>
      </c>
      <c r="C486" s="7" t="s">
        <v>1677</v>
      </c>
      <c r="E486" s="7" t="s">
        <v>1664</v>
      </c>
      <c r="F486" s="7">
        <v>171200</v>
      </c>
      <c r="G486" s="7">
        <v>17</v>
      </c>
      <c r="H486" s="7">
        <v>12</v>
      </c>
      <c r="I486" s="7">
        <v>0</v>
      </c>
      <c r="K486"/>
      <c r="L486"/>
      <c r="M486"/>
      <c r="N486"/>
      <c r="O486"/>
    </row>
    <row r="487" spans="1:15">
      <c r="A487" s="7" t="s">
        <v>1677</v>
      </c>
      <c r="B487" s="7" t="s">
        <v>1496</v>
      </c>
      <c r="C487" s="7" t="s">
        <v>1677</v>
      </c>
      <c r="E487" s="7" t="s">
        <v>1666</v>
      </c>
      <c r="F487" s="7">
        <v>171300</v>
      </c>
      <c r="G487" s="7">
        <v>17</v>
      </c>
      <c r="H487" s="7">
        <v>13</v>
      </c>
      <c r="I487" s="7">
        <v>0</v>
      </c>
      <c r="K487"/>
      <c r="L487"/>
      <c r="M487"/>
      <c r="N487"/>
      <c r="O487"/>
    </row>
    <row r="488" spans="1:15">
      <c r="A488" s="7" t="s">
        <v>1677</v>
      </c>
      <c r="B488" s="7" t="s">
        <v>1496</v>
      </c>
      <c r="C488" s="7" t="s">
        <v>1677</v>
      </c>
      <c r="E488" s="7" t="s">
        <v>1668</v>
      </c>
      <c r="F488" s="7">
        <v>171400</v>
      </c>
      <c r="G488" s="7">
        <v>17</v>
      </c>
      <c r="H488" s="7">
        <v>14</v>
      </c>
      <c r="I488" s="7">
        <v>0</v>
      </c>
      <c r="K488"/>
      <c r="L488"/>
      <c r="M488"/>
      <c r="N488"/>
      <c r="O488"/>
    </row>
    <row r="489" spans="1:15">
      <c r="A489" s="7" t="s">
        <v>1677</v>
      </c>
      <c r="B489" s="7" t="s">
        <v>1496</v>
      </c>
      <c r="C489" s="7" t="s">
        <v>1677</v>
      </c>
      <c r="E489" s="7" t="s">
        <v>1531</v>
      </c>
      <c r="F489" s="7">
        <v>171510</v>
      </c>
      <c r="G489" s="7">
        <v>17</v>
      </c>
      <c r="H489" s="7">
        <v>15</v>
      </c>
      <c r="I489" s="7">
        <v>10</v>
      </c>
      <c r="K489"/>
      <c r="L489"/>
      <c r="M489"/>
      <c r="N489"/>
      <c r="O489"/>
    </row>
    <row r="490" spans="1:15">
      <c r="A490" s="7" t="s">
        <v>1677</v>
      </c>
      <c r="B490" s="7" t="s">
        <v>1496</v>
      </c>
      <c r="C490" s="7" t="s">
        <v>1677</v>
      </c>
      <c r="D490" s="7" t="s">
        <v>1908</v>
      </c>
      <c r="E490" s="7" t="s">
        <v>1556</v>
      </c>
      <c r="F490" s="7">
        <v>180000</v>
      </c>
      <c r="G490" s="7">
        <v>18</v>
      </c>
      <c r="H490" s="7">
        <v>0</v>
      </c>
      <c r="I490" s="7">
        <v>0</v>
      </c>
      <c r="K490"/>
      <c r="L490"/>
      <c r="M490"/>
      <c r="N490"/>
      <c r="O490"/>
    </row>
    <row r="491" spans="1:15">
      <c r="A491" s="7" t="s">
        <v>1677</v>
      </c>
      <c r="B491" s="7" t="s">
        <v>1496</v>
      </c>
      <c r="C491" s="7" t="s">
        <v>1677</v>
      </c>
      <c r="E491" s="7" t="s">
        <v>1682</v>
      </c>
      <c r="F491" s="7">
        <v>181400</v>
      </c>
      <c r="G491" s="7">
        <v>18</v>
      </c>
      <c r="H491" s="7">
        <v>14</v>
      </c>
      <c r="I491" s="7">
        <v>0</v>
      </c>
      <c r="K491"/>
      <c r="L491"/>
      <c r="M491"/>
      <c r="N491"/>
      <c r="O491"/>
    </row>
    <row r="492" spans="1:15">
      <c r="A492" s="7" t="s">
        <v>1677</v>
      </c>
      <c r="B492" s="7" t="s">
        <v>1496</v>
      </c>
      <c r="C492" s="7" t="s">
        <v>1677</v>
      </c>
      <c r="E492" s="7" t="s">
        <v>1683</v>
      </c>
      <c r="F492" s="7">
        <v>181500</v>
      </c>
      <c r="G492" s="7">
        <v>18</v>
      </c>
      <c r="H492" s="7">
        <v>15</v>
      </c>
      <c r="I492" s="7">
        <v>0</v>
      </c>
      <c r="K492"/>
      <c r="L492"/>
      <c r="M492"/>
      <c r="N492"/>
      <c r="O492"/>
    </row>
    <row r="493" spans="1:15">
      <c r="A493" s="7" t="s">
        <v>1677</v>
      </c>
      <c r="B493" s="7" t="s">
        <v>1496</v>
      </c>
      <c r="C493" s="7" t="s">
        <v>1677</v>
      </c>
      <c r="E493" s="7" t="s">
        <v>1684</v>
      </c>
      <c r="F493" s="7">
        <v>181600</v>
      </c>
      <c r="G493" s="7">
        <v>18</v>
      </c>
      <c r="H493" s="7">
        <v>16</v>
      </c>
      <c r="I493" s="7">
        <v>0</v>
      </c>
      <c r="K493"/>
      <c r="L493"/>
      <c r="M493"/>
      <c r="N493"/>
      <c r="O493"/>
    </row>
    <row r="494" spans="1:15">
      <c r="A494" s="7" t="s">
        <v>1677</v>
      </c>
      <c r="B494" s="7" t="s">
        <v>1496</v>
      </c>
      <c r="C494" s="7" t="s">
        <v>1677</v>
      </c>
      <c r="E494" s="7" t="s">
        <v>1685</v>
      </c>
      <c r="F494" s="7">
        <v>181700</v>
      </c>
      <c r="G494" s="7">
        <v>18</v>
      </c>
      <c r="H494" s="7">
        <v>17</v>
      </c>
      <c r="I494" s="7">
        <v>0</v>
      </c>
      <c r="K494"/>
      <c r="L494"/>
      <c r="M494"/>
      <c r="N494"/>
      <c r="O494"/>
    </row>
    <row r="495" spans="1:15">
      <c r="A495" s="7" t="s">
        <v>1677</v>
      </c>
      <c r="B495" s="7" t="s">
        <v>1496</v>
      </c>
      <c r="C495" s="7" t="s">
        <v>1677</v>
      </c>
      <c r="D495" s="7" t="s">
        <v>1909</v>
      </c>
      <c r="E495" s="7" t="s">
        <v>1527</v>
      </c>
      <c r="F495" s="7">
        <v>190000</v>
      </c>
      <c r="G495" s="7">
        <v>19</v>
      </c>
      <c r="H495" s="7">
        <v>0</v>
      </c>
      <c r="I495" s="7">
        <v>0</v>
      </c>
      <c r="K495"/>
      <c r="L495"/>
      <c r="M495"/>
      <c r="N495"/>
      <c r="O495"/>
    </row>
    <row r="496" spans="1:15">
      <c r="A496" s="7" t="s">
        <v>1677</v>
      </c>
      <c r="B496" s="7" t="s">
        <v>1496</v>
      </c>
      <c r="C496" s="7" t="s">
        <v>1677</v>
      </c>
      <c r="E496" s="7" t="s">
        <v>1690</v>
      </c>
      <c r="F496" s="7">
        <v>191810</v>
      </c>
      <c r="G496" s="7">
        <v>19</v>
      </c>
      <c r="H496" s="7">
        <v>18</v>
      </c>
      <c r="I496" s="7">
        <v>10</v>
      </c>
      <c r="K496"/>
      <c r="L496"/>
      <c r="M496"/>
      <c r="N496"/>
      <c r="O496"/>
    </row>
    <row r="497" spans="1:15">
      <c r="A497" s="7" t="s">
        <v>1677</v>
      </c>
      <c r="B497" s="7" t="s">
        <v>1496</v>
      </c>
      <c r="C497" s="7" t="s">
        <v>1677</v>
      </c>
      <c r="D497" s="7" t="s">
        <v>1910</v>
      </c>
      <c r="E497" s="7" t="s">
        <v>1778</v>
      </c>
      <c r="F497" s="7">
        <v>260000</v>
      </c>
      <c r="G497" s="7">
        <v>26</v>
      </c>
      <c r="H497" s="7">
        <v>0</v>
      </c>
      <c r="I497" s="7">
        <v>0</v>
      </c>
      <c r="K497"/>
      <c r="L497"/>
      <c r="M497"/>
      <c r="N497"/>
      <c r="O497"/>
    </row>
    <row r="498" spans="1:15">
      <c r="A498" s="7" t="s">
        <v>1677</v>
      </c>
      <c r="B498" s="7" t="s">
        <v>1496</v>
      </c>
      <c r="C498" s="7" t="s">
        <v>1677</v>
      </c>
      <c r="E498" s="7" t="s">
        <v>1779</v>
      </c>
      <c r="F498" s="7">
        <v>261000</v>
      </c>
      <c r="G498" s="7">
        <v>26</v>
      </c>
      <c r="H498" s="7">
        <v>10</v>
      </c>
      <c r="I498" s="7">
        <v>0</v>
      </c>
      <c r="K498"/>
      <c r="L498"/>
      <c r="M498"/>
      <c r="N498"/>
      <c r="O498"/>
    </row>
    <row r="499" spans="1:15">
      <c r="A499" s="7" t="s">
        <v>1677</v>
      </c>
      <c r="B499" s="7" t="s">
        <v>1496</v>
      </c>
      <c r="C499" s="7" t="s">
        <v>1677</v>
      </c>
      <c r="E499" s="7" t="s">
        <v>1781</v>
      </c>
      <c r="F499" s="7">
        <v>261100</v>
      </c>
      <c r="G499" s="7">
        <v>26</v>
      </c>
      <c r="H499" s="7">
        <v>11</v>
      </c>
      <c r="I499" s="7">
        <v>0</v>
      </c>
      <c r="K499"/>
      <c r="L499"/>
      <c r="M499"/>
      <c r="N499"/>
      <c r="O499"/>
    </row>
    <row r="500" spans="1:15">
      <c r="A500" s="7" t="s">
        <v>1677</v>
      </c>
      <c r="B500" s="7" t="s">
        <v>1496</v>
      </c>
      <c r="C500" s="7" t="s">
        <v>1677</v>
      </c>
      <c r="E500" s="7" t="s">
        <v>1782</v>
      </c>
      <c r="F500" s="7">
        <v>261200</v>
      </c>
      <c r="G500" s="7">
        <v>26</v>
      </c>
      <c r="H500" s="7">
        <v>12</v>
      </c>
      <c r="I500" s="7">
        <v>0</v>
      </c>
      <c r="K500"/>
      <c r="L500"/>
      <c r="M500"/>
      <c r="N500"/>
      <c r="O500"/>
    </row>
    <row r="501" spans="1:15">
      <c r="A501" s="7" t="s">
        <v>1677</v>
      </c>
      <c r="B501" s="7" t="s">
        <v>1496</v>
      </c>
      <c r="C501" s="7" t="s">
        <v>1677</v>
      </c>
      <c r="E501" s="7" t="s">
        <v>1783</v>
      </c>
      <c r="F501" s="7">
        <v>261300</v>
      </c>
      <c r="G501" s="7">
        <v>26</v>
      </c>
      <c r="H501" s="7">
        <v>13</v>
      </c>
      <c r="I501" s="7">
        <v>0</v>
      </c>
      <c r="K501"/>
      <c r="L501"/>
      <c r="M501"/>
      <c r="N501"/>
      <c r="O501"/>
    </row>
    <row r="502" spans="1:15">
      <c r="A502" s="7" t="s">
        <v>1677</v>
      </c>
      <c r="B502" s="7" t="s">
        <v>1496</v>
      </c>
      <c r="C502" s="7" t="s">
        <v>1677</v>
      </c>
      <c r="E502" s="7" t="s">
        <v>1784</v>
      </c>
      <c r="F502" s="7">
        <v>261400</v>
      </c>
      <c r="G502" s="7">
        <v>26</v>
      </c>
      <c r="H502" s="7">
        <v>14</v>
      </c>
      <c r="I502" s="7">
        <v>0</v>
      </c>
      <c r="K502"/>
      <c r="L502"/>
      <c r="M502"/>
      <c r="N502"/>
      <c r="O502"/>
    </row>
    <row r="503" spans="1:15">
      <c r="A503" s="7" t="s">
        <v>1677</v>
      </c>
      <c r="B503" s="7" t="s">
        <v>1496</v>
      </c>
      <c r="C503" s="7" t="s">
        <v>1677</v>
      </c>
      <c r="D503" s="7" t="s">
        <v>1911</v>
      </c>
      <c r="E503" s="7" t="s">
        <v>1625</v>
      </c>
      <c r="F503" s="7">
        <v>280000</v>
      </c>
      <c r="G503" s="7">
        <v>28</v>
      </c>
      <c r="H503" s="7">
        <v>0</v>
      </c>
      <c r="I503" s="7">
        <v>0</v>
      </c>
      <c r="K503"/>
      <c r="L503"/>
      <c r="M503"/>
      <c r="N503"/>
      <c r="O503"/>
    </row>
    <row r="504" spans="1:15">
      <c r="A504" s="7" t="s">
        <v>1677</v>
      </c>
      <c r="B504" s="7" t="s">
        <v>1496</v>
      </c>
      <c r="C504" s="7" t="s">
        <v>1677</v>
      </c>
      <c r="E504" s="7" t="s">
        <v>1501</v>
      </c>
      <c r="F504" s="7">
        <v>281000</v>
      </c>
      <c r="G504" s="7">
        <v>28</v>
      </c>
      <c r="H504" s="7">
        <v>10</v>
      </c>
      <c r="I504" s="7">
        <v>0</v>
      </c>
      <c r="K504"/>
      <c r="L504"/>
      <c r="M504"/>
      <c r="N504"/>
      <c r="O504"/>
    </row>
    <row r="505" spans="1:15">
      <c r="A505" s="7" t="s">
        <v>1677</v>
      </c>
      <c r="B505" s="7" t="s">
        <v>1496</v>
      </c>
      <c r="C505" s="7" t="s">
        <v>1677</v>
      </c>
      <c r="D505" s="7" t="s">
        <v>1912</v>
      </c>
      <c r="E505" s="7" t="s">
        <v>1792</v>
      </c>
      <c r="F505" s="7">
        <v>290000</v>
      </c>
      <c r="G505" s="7">
        <v>29</v>
      </c>
      <c r="H505" s="7">
        <v>0</v>
      </c>
      <c r="I505" s="7">
        <v>0</v>
      </c>
      <c r="K505"/>
      <c r="L505"/>
      <c r="M505"/>
      <c r="N505"/>
      <c r="O505"/>
    </row>
    <row r="506" spans="1:15">
      <c r="A506" s="7" t="s">
        <v>1677</v>
      </c>
      <c r="B506" s="7" t="s">
        <v>1496</v>
      </c>
      <c r="C506" s="7" t="s">
        <v>1677</v>
      </c>
      <c r="E506" s="7" t="s">
        <v>1795</v>
      </c>
      <c r="F506" s="7">
        <v>291000</v>
      </c>
      <c r="G506" s="7">
        <v>29</v>
      </c>
      <c r="H506" s="7">
        <v>10</v>
      </c>
      <c r="I506" s="7">
        <v>0</v>
      </c>
      <c r="K506"/>
      <c r="L506"/>
      <c r="M506"/>
      <c r="N506"/>
      <c r="O506"/>
    </row>
    <row r="507" spans="1:15">
      <c r="A507" s="7" t="s">
        <v>1677</v>
      </c>
      <c r="B507" s="7" t="s">
        <v>1496</v>
      </c>
      <c r="C507" s="7" t="s">
        <v>1677</v>
      </c>
      <c r="E507" s="7" t="s">
        <v>1796</v>
      </c>
      <c r="F507" s="7">
        <v>291100</v>
      </c>
      <c r="G507" s="7">
        <v>29</v>
      </c>
      <c r="H507" s="7">
        <v>11</v>
      </c>
      <c r="I507" s="7">
        <v>0</v>
      </c>
      <c r="K507"/>
      <c r="L507"/>
      <c r="M507"/>
      <c r="N507"/>
      <c r="O507"/>
    </row>
    <row r="508" spans="1:15">
      <c r="A508" s="7" t="s">
        <v>1677</v>
      </c>
      <c r="B508" s="7" t="s">
        <v>1496</v>
      </c>
      <c r="C508" s="7" t="s">
        <v>1677</v>
      </c>
      <c r="E508" s="7" t="s">
        <v>1798</v>
      </c>
      <c r="F508" s="7">
        <v>291200</v>
      </c>
      <c r="G508" s="7">
        <v>29</v>
      </c>
      <c r="H508" s="7">
        <v>12</v>
      </c>
      <c r="I508" s="7">
        <v>0</v>
      </c>
      <c r="K508"/>
      <c r="L508"/>
      <c r="M508"/>
      <c r="N508"/>
      <c r="O508"/>
    </row>
    <row r="509" spans="1:15">
      <c r="A509" s="7" t="s">
        <v>1677</v>
      </c>
      <c r="B509" s="7" t="s">
        <v>1496</v>
      </c>
      <c r="C509" s="7" t="s">
        <v>1677</v>
      </c>
      <c r="D509" s="7" t="s">
        <v>1913</v>
      </c>
      <c r="E509" s="7" t="s">
        <v>1645</v>
      </c>
      <c r="F509" s="7">
        <v>780000</v>
      </c>
      <c r="G509" s="7">
        <v>78</v>
      </c>
      <c r="H509" s="7">
        <v>0</v>
      </c>
      <c r="I509" s="7">
        <v>0</v>
      </c>
      <c r="K509"/>
      <c r="L509"/>
      <c r="M509"/>
      <c r="N509"/>
      <c r="O509"/>
    </row>
    <row r="510" spans="1:15">
      <c r="A510" s="7" t="s">
        <v>1677</v>
      </c>
      <c r="B510" s="7" t="s">
        <v>1496</v>
      </c>
      <c r="C510" s="7" t="s">
        <v>1677</v>
      </c>
      <c r="E510" s="7" t="s">
        <v>1501</v>
      </c>
      <c r="F510" s="7">
        <v>781000</v>
      </c>
      <c r="G510" s="7">
        <v>78</v>
      </c>
      <c r="H510" s="7">
        <v>10</v>
      </c>
      <c r="I510" s="7">
        <v>0</v>
      </c>
      <c r="K510"/>
      <c r="L510"/>
      <c r="M510"/>
      <c r="N510"/>
      <c r="O510"/>
    </row>
    <row r="511" spans="1:15">
      <c r="A511" s="7" t="s">
        <v>1677</v>
      </c>
      <c r="B511" s="7" t="s">
        <v>1496</v>
      </c>
      <c r="C511" s="7" t="s">
        <v>1677</v>
      </c>
      <c r="D511" s="7" t="s">
        <v>1914</v>
      </c>
      <c r="E511" s="7" t="s">
        <v>1523</v>
      </c>
      <c r="F511" s="7">
        <v>790000</v>
      </c>
      <c r="G511" s="7">
        <v>79</v>
      </c>
      <c r="H511" s="7">
        <v>0</v>
      </c>
      <c r="I511" s="7">
        <v>0</v>
      </c>
      <c r="K511"/>
      <c r="L511"/>
      <c r="M511"/>
      <c r="N511"/>
      <c r="O511"/>
    </row>
    <row r="512" spans="1:15">
      <c r="A512" s="7" t="s">
        <v>1677</v>
      </c>
      <c r="B512" s="7" t="s">
        <v>1496</v>
      </c>
      <c r="C512" s="7" t="s">
        <v>1677</v>
      </c>
      <c r="E512" s="7" t="s">
        <v>504</v>
      </c>
      <c r="F512" s="7">
        <v>909000</v>
      </c>
      <c r="G512" s="7">
        <v>90</v>
      </c>
      <c r="H512" s="7">
        <v>90</v>
      </c>
      <c r="I512" s="7">
        <v>0</v>
      </c>
      <c r="K512"/>
      <c r="L512"/>
      <c r="M512"/>
      <c r="N512"/>
      <c r="O512"/>
    </row>
    <row r="513" spans="1:15">
      <c r="A513" s="7" t="s">
        <v>1915</v>
      </c>
      <c r="B513" s="7" t="s">
        <v>1496</v>
      </c>
      <c r="C513" s="7" t="s">
        <v>323</v>
      </c>
      <c r="D513" s="7" t="s">
        <v>1916</v>
      </c>
      <c r="E513" s="7" t="s">
        <v>1835</v>
      </c>
      <c r="F513" s="7">
        <v>390000</v>
      </c>
      <c r="G513" s="7">
        <v>39</v>
      </c>
      <c r="H513" s="7">
        <v>0</v>
      </c>
      <c r="I513" s="7">
        <v>0</v>
      </c>
      <c r="K513"/>
      <c r="L513"/>
      <c r="M513"/>
      <c r="N513"/>
      <c r="O513"/>
    </row>
    <row r="514" spans="1:15">
      <c r="A514" s="7" t="s">
        <v>1915</v>
      </c>
      <c r="B514" s="7" t="s">
        <v>1496</v>
      </c>
      <c r="C514" s="7" t="s">
        <v>323</v>
      </c>
      <c r="E514" s="7" t="s">
        <v>1837</v>
      </c>
      <c r="F514" s="7">
        <v>391000</v>
      </c>
      <c r="G514" s="7">
        <v>39</v>
      </c>
      <c r="H514" s="7">
        <v>10</v>
      </c>
      <c r="I514" s="7">
        <v>0</v>
      </c>
      <c r="K514"/>
      <c r="L514"/>
      <c r="M514"/>
      <c r="N514"/>
      <c r="O514"/>
    </row>
    <row r="515" spans="1:15">
      <c r="A515" s="7" t="s">
        <v>1915</v>
      </c>
      <c r="B515" s="7" t="s">
        <v>1496</v>
      </c>
      <c r="C515" s="7" t="s">
        <v>323</v>
      </c>
      <c r="E515" s="7" t="s">
        <v>1838</v>
      </c>
      <c r="F515" s="7">
        <v>391100</v>
      </c>
      <c r="G515" s="7">
        <v>39</v>
      </c>
      <c r="H515" s="7">
        <v>11</v>
      </c>
      <c r="I515" s="7">
        <v>0</v>
      </c>
      <c r="K515"/>
      <c r="L515"/>
      <c r="M515"/>
      <c r="N515"/>
      <c r="O515"/>
    </row>
    <row r="516" spans="1:15">
      <c r="A516" s="7" t="s">
        <v>1915</v>
      </c>
      <c r="B516" s="7" t="s">
        <v>1496</v>
      </c>
      <c r="C516" s="7" t="s">
        <v>323</v>
      </c>
      <c r="E516" s="7" t="s">
        <v>1839</v>
      </c>
      <c r="F516" s="7">
        <v>391200</v>
      </c>
      <c r="G516" s="7">
        <v>39</v>
      </c>
      <c r="H516" s="7">
        <v>12</v>
      </c>
      <c r="I516" s="7">
        <v>0</v>
      </c>
      <c r="K516"/>
      <c r="L516"/>
      <c r="M516"/>
      <c r="N516"/>
      <c r="O516"/>
    </row>
    <row r="517" spans="1:15">
      <c r="A517" s="7" t="s">
        <v>1915</v>
      </c>
      <c r="B517" s="7" t="s">
        <v>1496</v>
      </c>
      <c r="C517" s="7" t="s">
        <v>323</v>
      </c>
      <c r="E517" s="7" t="s">
        <v>1840</v>
      </c>
      <c r="F517" s="7">
        <v>391300</v>
      </c>
      <c r="G517" s="7">
        <v>39</v>
      </c>
      <c r="H517" s="7">
        <v>13</v>
      </c>
      <c r="I517" s="7">
        <v>0</v>
      </c>
      <c r="K517"/>
      <c r="L517"/>
      <c r="M517"/>
      <c r="N517"/>
      <c r="O517"/>
    </row>
    <row r="518" spans="1:15">
      <c r="A518" s="7" t="s">
        <v>1915</v>
      </c>
      <c r="B518" s="7" t="s">
        <v>1496</v>
      </c>
      <c r="C518" s="7" t="s">
        <v>323</v>
      </c>
      <c r="D518" s="7" t="s">
        <v>1917</v>
      </c>
      <c r="E518" s="7" t="s">
        <v>1523</v>
      </c>
      <c r="F518" s="7">
        <v>790000</v>
      </c>
      <c r="G518" s="7">
        <v>79</v>
      </c>
      <c r="H518" s="7">
        <v>0</v>
      </c>
      <c r="I518" s="7">
        <v>0</v>
      </c>
      <c r="K518"/>
      <c r="L518"/>
      <c r="M518"/>
      <c r="N518"/>
      <c r="O518"/>
    </row>
    <row r="519" spans="1:15">
      <c r="A519" s="7" t="s">
        <v>1918</v>
      </c>
      <c r="B519" s="7" t="s">
        <v>1496</v>
      </c>
      <c r="C519" s="7" t="s">
        <v>1919</v>
      </c>
      <c r="D519" s="7" t="s">
        <v>1920</v>
      </c>
      <c r="E519" s="7" t="s">
        <v>1503</v>
      </c>
      <c r="F519" s="7">
        <v>100000</v>
      </c>
      <c r="G519" s="7">
        <v>10</v>
      </c>
      <c r="H519" s="7">
        <v>0</v>
      </c>
      <c r="I519" s="7">
        <v>0</v>
      </c>
      <c r="K519"/>
      <c r="L519"/>
      <c r="M519"/>
      <c r="N519"/>
      <c r="O519"/>
    </row>
    <row r="520" spans="1:15">
      <c r="A520" s="7" t="s">
        <v>1918</v>
      </c>
      <c r="B520" s="7" t="s">
        <v>1496</v>
      </c>
      <c r="C520" s="7" t="s">
        <v>1919</v>
      </c>
      <c r="E520" s="7" t="s">
        <v>1501</v>
      </c>
      <c r="F520" s="7">
        <v>101000</v>
      </c>
      <c r="G520" s="7">
        <v>10</v>
      </c>
      <c r="H520" s="7">
        <v>10</v>
      </c>
      <c r="I520" s="7">
        <v>0</v>
      </c>
      <c r="K520"/>
      <c r="L520"/>
      <c r="M520"/>
      <c r="N520"/>
      <c r="O520"/>
    </row>
    <row r="521" spans="1:15">
      <c r="A521" s="7" t="s">
        <v>1918</v>
      </c>
      <c r="B521" s="7" t="s">
        <v>1496</v>
      </c>
      <c r="C521" s="7" t="s">
        <v>1919</v>
      </c>
      <c r="E521" s="7" t="s">
        <v>1507</v>
      </c>
      <c r="F521" s="7">
        <v>101700</v>
      </c>
      <c r="G521" s="7">
        <v>10</v>
      </c>
      <c r="H521" s="7">
        <v>17</v>
      </c>
      <c r="I521" s="7">
        <v>0</v>
      </c>
      <c r="K521"/>
      <c r="L521"/>
      <c r="M521"/>
      <c r="N521"/>
      <c r="O521"/>
    </row>
    <row r="522" spans="1:15">
      <c r="A522" s="7" t="s">
        <v>1918</v>
      </c>
      <c r="B522" s="7" t="s">
        <v>1496</v>
      </c>
      <c r="C522" s="7" t="s">
        <v>1919</v>
      </c>
      <c r="D522" s="7" t="s">
        <v>1921</v>
      </c>
      <c r="E522" s="7" t="s">
        <v>1523</v>
      </c>
      <c r="F522" s="7">
        <v>790000</v>
      </c>
      <c r="G522" s="7">
        <v>79</v>
      </c>
      <c r="H522" s="7">
        <v>0</v>
      </c>
      <c r="I522" s="7">
        <v>0</v>
      </c>
      <c r="K522"/>
      <c r="L522"/>
      <c r="M522"/>
      <c r="N522"/>
      <c r="O522"/>
    </row>
    <row r="523" spans="1:15">
      <c r="A523" s="7" t="s">
        <v>1918</v>
      </c>
      <c r="B523" s="7" t="s">
        <v>1496</v>
      </c>
      <c r="C523" s="7" t="s">
        <v>1919</v>
      </c>
      <c r="E523" s="7" t="s">
        <v>504</v>
      </c>
      <c r="F523" s="7">
        <v>909000</v>
      </c>
      <c r="G523" s="7">
        <v>90</v>
      </c>
      <c r="H523" s="7">
        <v>90</v>
      </c>
      <c r="I523" s="7">
        <v>0</v>
      </c>
      <c r="K523"/>
      <c r="L523"/>
      <c r="M523"/>
      <c r="N523"/>
      <c r="O523"/>
    </row>
    <row r="524" spans="1:15">
      <c r="A524" s="7" t="s">
        <v>1922</v>
      </c>
      <c r="B524" s="7" t="s">
        <v>1496</v>
      </c>
      <c r="C524" s="7" t="s">
        <v>1923</v>
      </c>
      <c r="D524" s="7" t="s">
        <v>1924</v>
      </c>
      <c r="E524" s="7" t="s">
        <v>1503</v>
      </c>
      <c r="F524" s="7">
        <v>100000</v>
      </c>
      <c r="G524" s="7">
        <v>10</v>
      </c>
      <c r="H524" s="7">
        <v>0</v>
      </c>
      <c r="I524" s="7">
        <v>0</v>
      </c>
      <c r="K524"/>
      <c r="L524"/>
      <c r="M524"/>
      <c r="N524"/>
      <c r="O524"/>
    </row>
    <row r="525" spans="1:15">
      <c r="A525" s="7" t="s">
        <v>1922</v>
      </c>
      <c r="B525" s="7" t="s">
        <v>1496</v>
      </c>
      <c r="C525" s="7" t="s">
        <v>1923</v>
      </c>
      <c r="E525" s="7" t="s">
        <v>1501</v>
      </c>
      <c r="F525" s="7">
        <v>101000</v>
      </c>
      <c r="G525" s="7">
        <v>10</v>
      </c>
      <c r="H525" s="7">
        <v>10</v>
      </c>
      <c r="I525" s="7">
        <v>0</v>
      </c>
      <c r="K525"/>
      <c r="L525"/>
      <c r="M525"/>
      <c r="N525"/>
      <c r="O525"/>
    </row>
    <row r="526" spans="1:15">
      <c r="A526" s="7" t="s">
        <v>1922</v>
      </c>
      <c r="B526" s="7" t="s">
        <v>1496</v>
      </c>
      <c r="C526" s="7" t="s">
        <v>1923</v>
      </c>
      <c r="D526" s="7" t="s">
        <v>1925</v>
      </c>
      <c r="E526" s="7" t="s">
        <v>1527</v>
      </c>
      <c r="F526" s="7">
        <v>190000</v>
      </c>
      <c r="G526" s="7">
        <v>19</v>
      </c>
      <c r="H526" s="7">
        <v>0</v>
      </c>
      <c r="I526" s="7">
        <v>0</v>
      </c>
      <c r="K526"/>
      <c r="L526"/>
      <c r="M526"/>
      <c r="N526"/>
      <c r="O526"/>
    </row>
    <row r="527" spans="1:15">
      <c r="A527" s="7" t="s">
        <v>1922</v>
      </c>
      <c r="B527" s="7" t="s">
        <v>1496</v>
      </c>
      <c r="C527" s="7" t="s">
        <v>1923</v>
      </c>
      <c r="E527" s="7" t="s">
        <v>1618</v>
      </c>
      <c r="F527" s="7">
        <v>191000</v>
      </c>
      <c r="G527" s="7">
        <v>19</v>
      </c>
      <c r="H527" s="7">
        <v>10</v>
      </c>
      <c r="I527" s="7">
        <v>0</v>
      </c>
      <c r="K527"/>
      <c r="L527"/>
      <c r="M527"/>
      <c r="N527"/>
      <c r="O527"/>
    </row>
    <row r="528" spans="1:15">
      <c r="A528" s="7" t="s">
        <v>1922</v>
      </c>
      <c r="B528" s="7" t="s">
        <v>1496</v>
      </c>
      <c r="C528" s="7" t="s">
        <v>1923</v>
      </c>
      <c r="D528" s="7" t="s">
        <v>1926</v>
      </c>
      <c r="E528" s="7" t="s">
        <v>1523</v>
      </c>
      <c r="F528" s="7">
        <v>790000</v>
      </c>
      <c r="G528" s="7">
        <v>79</v>
      </c>
      <c r="H528" s="7">
        <v>0</v>
      </c>
      <c r="I528" s="7">
        <v>0</v>
      </c>
      <c r="K528"/>
      <c r="L528"/>
      <c r="M528"/>
      <c r="N528"/>
      <c r="O528"/>
    </row>
    <row r="529" spans="1:15">
      <c r="A529" s="7" t="s">
        <v>1927</v>
      </c>
      <c r="B529" s="7" t="s">
        <v>1496</v>
      </c>
      <c r="C529" s="7" t="s">
        <v>1928</v>
      </c>
      <c r="D529" s="7" t="s">
        <v>1929</v>
      </c>
      <c r="E529" s="7" t="s">
        <v>1503</v>
      </c>
      <c r="F529" s="7">
        <v>100000</v>
      </c>
      <c r="G529" s="7">
        <v>10</v>
      </c>
      <c r="H529" s="7">
        <v>0</v>
      </c>
      <c r="I529" s="7">
        <v>0</v>
      </c>
      <c r="K529"/>
      <c r="L529"/>
      <c r="M529"/>
      <c r="N529"/>
      <c r="O529"/>
    </row>
    <row r="530" spans="1:15">
      <c r="A530" s="7" t="s">
        <v>1927</v>
      </c>
      <c r="B530" s="7" t="s">
        <v>1496</v>
      </c>
      <c r="C530" s="7" t="s">
        <v>1928</v>
      </c>
      <c r="E530" s="7" t="s">
        <v>1501</v>
      </c>
      <c r="F530" s="7">
        <v>101000</v>
      </c>
      <c r="G530" s="7">
        <v>10</v>
      </c>
      <c r="H530" s="7">
        <v>10</v>
      </c>
      <c r="I530" s="7">
        <v>0</v>
      </c>
      <c r="K530"/>
      <c r="L530"/>
      <c r="M530"/>
      <c r="N530"/>
      <c r="O530"/>
    </row>
    <row r="531" spans="1:15">
      <c r="A531" s="7" t="s">
        <v>1927</v>
      </c>
      <c r="B531" s="7" t="s">
        <v>1496</v>
      </c>
      <c r="C531" s="7" t="s">
        <v>1928</v>
      </c>
      <c r="E531" s="7" t="s">
        <v>1513</v>
      </c>
      <c r="F531" s="7">
        <v>101200</v>
      </c>
      <c r="G531" s="7">
        <v>10</v>
      </c>
      <c r="H531" s="7">
        <v>12</v>
      </c>
      <c r="I531" s="7">
        <v>0</v>
      </c>
      <c r="K531"/>
      <c r="L531"/>
      <c r="M531"/>
      <c r="N531"/>
      <c r="O531"/>
    </row>
    <row r="532" spans="1:15">
      <c r="A532" s="7" t="s">
        <v>1927</v>
      </c>
      <c r="B532" s="7" t="s">
        <v>1496</v>
      </c>
      <c r="C532" s="7" t="s">
        <v>1928</v>
      </c>
      <c r="D532" s="7" t="s">
        <v>1930</v>
      </c>
      <c r="E532" s="7" t="s">
        <v>1533</v>
      </c>
      <c r="F532" s="7">
        <v>120000</v>
      </c>
      <c r="G532" s="7">
        <v>12</v>
      </c>
      <c r="H532" s="7">
        <v>0</v>
      </c>
      <c r="I532" s="7">
        <v>0</v>
      </c>
      <c r="K532"/>
      <c r="L532"/>
      <c r="M532"/>
      <c r="N532"/>
      <c r="O532"/>
    </row>
    <row r="533" spans="1:15">
      <c r="A533" s="7" t="s">
        <v>1927</v>
      </c>
      <c r="B533" s="7" t="s">
        <v>1496</v>
      </c>
      <c r="C533" s="7" t="s">
        <v>1928</v>
      </c>
      <c r="E533" s="7" t="s">
        <v>1501</v>
      </c>
      <c r="F533" s="7">
        <v>121000</v>
      </c>
      <c r="G533" s="7">
        <v>12</v>
      </c>
      <c r="H533" s="7">
        <v>10</v>
      </c>
      <c r="I533" s="7">
        <v>0</v>
      </c>
      <c r="K533"/>
      <c r="L533"/>
      <c r="M533"/>
      <c r="N533"/>
      <c r="O533"/>
    </row>
    <row r="534" spans="1:15">
      <c r="A534" s="7" t="s">
        <v>1927</v>
      </c>
      <c r="B534" s="7" t="s">
        <v>1496</v>
      </c>
      <c r="C534" s="7" t="s">
        <v>1928</v>
      </c>
      <c r="E534" s="7" t="s">
        <v>1536</v>
      </c>
      <c r="F534" s="7">
        <v>121100</v>
      </c>
      <c r="G534" s="7">
        <v>12</v>
      </c>
      <c r="H534" s="7">
        <v>11</v>
      </c>
      <c r="I534" s="7">
        <v>0</v>
      </c>
      <c r="K534"/>
      <c r="L534"/>
      <c r="M534"/>
      <c r="N534"/>
      <c r="O534"/>
    </row>
    <row r="535" spans="1:15">
      <c r="A535" s="7" t="s">
        <v>1927</v>
      </c>
      <c r="B535" s="7" t="s">
        <v>1496</v>
      </c>
      <c r="C535" s="7" t="s">
        <v>1928</v>
      </c>
      <c r="E535" s="7" t="s">
        <v>1538</v>
      </c>
      <c r="F535" s="7">
        <v>121200</v>
      </c>
      <c r="G535" s="7">
        <v>12</v>
      </c>
      <c r="H535" s="7">
        <v>12</v>
      </c>
      <c r="I535" s="7">
        <v>0</v>
      </c>
      <c r="K535"/>
      <c r="L535"/>
      <c r="M535"/>
      <c r="N535"/>
      <c r="O535"/>
    </row>
    <row r="536" spans="1:15">
      <c r="A536" s="7" t="s">
        <v>1927</v>
      </c>
      <c r="B536" s="7" t="s">
        <v>1496</v>
      </c>
      <c r="C536" s="7" t="s">
        <v>1928</v>
      </c>
      <c r="D536" s="7" t="s">
        <v>1931</v>
      </c>
      <c r="E536" s="7" t="s">
        <v>145</v>
      </c>
      <c r="F536" s="7">
        <v>140000</v>
      </c>
      <c r="G536" s="7">
        <v>14</v>
      </c>
      <c r="H536" s="7">
        <v>0</v>
      </c>
      <c r="I536" s="7">
        <v>0</v>
      </c>
      <c r="K536"/>
      <c r="L536"/>
      <c r="M536"/>
      <c r="N536"/>
      <c r="O536"/>
    </row>
    <row r="537" spans="1:15">
      <c r="A537" s="7" t="s">
        <v>1927</v>
      </c>
      <c r="B537" s="7" t="s">
        <v>1496</v>
      </c>
      <c r="C537" s="7" t="s">
        <v>1928</v>
      </c>
      <c r="E537" s="7" t="s">
        <v>1501</v>
      </c>
      <c r="F537" s="7">
        <v>141000</v>
      </c>
      <c r="G537" s="7">
        <v>14</v>
      </c>
      <c r="H537" s="7">
        <v>10</v>
      </c>
      <c r="I537" s="7">
        <v>0</v>
      </c>
      <c r="K537"/>
      <c r="L537"/>
      <c r="M537"/>
      <c r="N537"/>
      <c r="O537"/>
    </row>
    <row r="538" spans="1:15">
      <c r="A538" s="7" t="s">
        <v>1927</v>
      </c>
      <c r="B538" s="7" t="s">
        <v>1496</v>
      </c>
      <c r="C538" s="7" t="s">
        <v>1928</v>
      </c>
      <c r="E538" s="7" t="s">
        <v>1531</v>
      </c>
      <c r="F538" s="7">
        <v>141010</v>
      </c>
      <c r="G538" s="7">
        <v>14</v>
      </c>
      <c r="H538" s="7">
        <v>10</v>
      </c>
      <c r="I538" s="7">
        <v>10</v>
      </c>
      <c r="K538"/>
      <c r="L538"/>
      <c r="M538"/>
      <c r="N538"/>
      <c r="O538"/>
    </row>
    <row r="539" spans="1:15">
      <c r="A539" s="7" t="s">
        <v>1927</v>
      </c>
      <c r="B539" s="7" t="s">
        <v>1496</v>
      </c>
      <c r="C539" s="7" t="s">
        <v>1928</v>
      </c>
      <c r="E539" s="7" t="s">
        <v>1581</v>
      </c>
      <c r="F539" s="7">
        <v>141100</v>
      </c>
      <c r="G539" s="7">
        <v>14</v>
      </c>
      <c r="H539" s="7">
        <v>11</v>
      </c>
      <c r="I539" s="7">
        <v>0</v>
      </c>
      <c r="K539"/>
      <c r="L539"/>
      <c r="M539"/>
      <c r="N539"/>
      <c r="O539"/>
    </row>
    <row r="540" spans="1:15">
      <c r="A540" s="7" t="s">
        <v>1927</v>
      </c>
      <c r="B540" s="7" t="s">
        <v>1496</v>
      </c>
      <c r="C540" s="7" t="s">
        <v>1928</v>
      </c>
      <c r="E540" s="7" t="s">
        <v>1584</v>
      </c>
      <c r="F540" s="7">
        <v>141200</v>
      </c>
      <c r="G540" s="7">
        <v>14</v>
      </c>
      <c r="H540" s="7">
        <v>12</v>
      </c>
      <c r="I540" s="7">
        <v>0</v>
      </c>
      <c r="K540"/>
      <c r="L540"/>
      <c r="M540"/>
      <c r="N540"/>
      <c r="O540"/>
    </row>
    <row r="541" spans="1:15">
      <c r="A541" s="7" t="s">
        <v>1927</v>
      </c>
      <c r="B541" s="7" t="s">
        <v>1496</v>
      </c>
      <c r="C541" s="7" t="s">
        <v>1928</v>
      </c>
      <c r="E541" s="7" t="s">
        <v>1537</v>
      </c>
      <c r="F541" s="7">
        <v>141700</v>
      </c>
      <c r="G541" s="7">
        <v>14</v>
      </c>
      <c r="H541" s="7">
        <v>17</v>
      </c>
      <c r="I541" s="7">
        <v>0</v>
      </c>
      <c r="K541"/>
      <c r="L541"/>
      <c r="M541"/>
      <c r="N541"/>
      <c r="O541"/>
    </row>
    <row r="542" spans="1:15">
      <c r="A542" s="7" t="s">
        <v>1927</v>
      </c>
      <c r="B542" s="7" t="s">
        <v>1496</v>
      </c>
      <c r="C542" s="7" t="s">
        <v>1928</v>
      </c>
      <c r="E542" s="7" t="s">
        <v>1539</v>
      </c>
      <c r="F542" s="7">
        <v>142600</v>
      </c>
      <c r="G542" s="7">
        <v>14</v>
      </c>
      <c r="H542" s="7">
        <v>26</v>
      </c>
      <c r="I542" s="7">
        <v>0</v>
      </c>
      <c r="K542"/>
      <c r="L542"/>
      <c r="M542"/>
      <c r="N542"/>
      <c r="O542"/>
    </row>
    <row r="543" spans="1:15">
      <c r="A543" s="7" t="s">
        <v>1927</v>
      </c>
      <c r="B543" s="7" t="s">
        <v>1496</v>
      </c>
      <c r="C543" s="7" t="s">
        <v>1928</v>
      </c>
      <c r="E543" s="7" t="s">
        <v>1541</v>
      </c>
      <c r="F543" s="7">
        <v>142700</v>
      </c>
      <c r="G543" s="7">
        <v>14</v>
      </c>
      <c r="H543" s="7">
        <v>27</v>
      </c>
      <c r="I543" s="7">
        <v>0</v>
      </c>
      <c r="K543"/>
      <c r="L543"/>
      <c r="M543"/>
      <c r="N543"/>
      <c r="O543"/>
    </row>
    <row r="544" spans="1:15">
      <c r="A544" s="7" t="s">
        <v>1927</v>
      </c>
      <c r="B544" s="7" t="s">
        <v>1496</v>
      </c>
      <c r="C544" s="7" t="s">
        <v>1928</v>
      </c>
      <c r="D544" s="7" t="s">
        <v>1932</v>
      </c>
      <c r="E544" s="7" t="s">
        <v>1499</v>
      </c>
      <c r="F544" s="7">
        <v>160000</v>
      </c>
      <c r="G544" s="7">
        <v>16</v>
      </c>
      <c r="H544" s="7">
        <v>0</v>
      </c>
      <c r="I544" s="7">
        <v>0</v>
      </c>
      <c r="K544"/>
      <c r="L544"/>
      <c r="M544"/>
      <c r="N544"/>
      <c r="O544"/>
    </row>
    <row r="545" spans="1:15">
      <c r="A545" s="7" t="s">
        <v>1927</v>
      </c>
      <c r="B545" s="7" t="s">
        <v>1496</v>
      </c>
      <c r="C545" s="7" t="s">
        <v>1928</v>
      </c>
      <c r="E545" s="7" t="s">
        <v>1618</v>
      </c>
      <c r="F545" s="7">
        <v>162300</v>
      </c>
      <c r="G545" s="7">
        <v>16</v>
      </c>
      <c r="H545" s="7">
        <v>23</v>
      </c>
      <c r="I545" s="7">
        <v>0</v>
      </c>
      <c r="K545"/>
      <c r="L545"/>
      <c r="M545"/>
      <c r="N545"/>
      <c r="O545"/>
    </row>
    <row r="546" spans="1:15">
      <c r="A546" s="7" t="s">
        <v>1927</v>
      </c>
      <c r="B546" s="7" t="s">
        <v>1496</v>
      </c>
      <c r="C546" s="7" t="s">
        <v>1928</v>
      </c>
      <c r="E546" s="7" t="s">
        <v>1654</v>
      </c>
      <c r="F546" s="7">
        <v>162400</v>
      </c>
      <c r="G546" s="7">
        <v>16</v>
      </c>
      <c r="H546" s="7">
        <v>24</v>
      </c>
      <c r="I546" s="7">
        <v>0</v>
      </c>
      <c r="K546"/>
      <c r="L546"/>
      <c r="M546"/>
      <c r="N546"/>
      <c r="O546"/>
    </row>
    <row r="547" spans="1:15">
      <c r="A547" s="7" t="s">
        <v>1927</v>
      </c>
      <c r="B547" s="7" t="s">
        <v>1496</v>
      </c>
      <c r="C547" s="7" t="s">
        <v>1928</v>
      </c>
      <c r="E547" s="7" t="s">
        <v>1656</v>
      </c>
      <c r="F547" s="7">
        <v>162500</v>
      </c>
      <c r="G547" s="7">
        <v>16</v>
      </c>
      <c r="H547" s="7">
        <v>25</v>
      </c>
      <c r="I547" s="7">
        <v>0</v>
      </c>
      <c r="K547"/>
      <c r="L547"/>
      <c r="M547"/>
      <c r="N547"/>
      <c r="O547"/>
    </row>
    <row r="548" spans="1:15">
      <c r="A548" s="7" t="s">
        <v>1927</v>
      </c>
      <c r="B548" s="7" t="s">
        <v>1496</v>
      </c>
      <c r="C548" s="7" t="s">
        <v>1928</v>
      </c>
      <c r="D548" s="7" t="s">
        <v>1933</v>
      </c>
      <c r="E548" s="7" t="s">
        <v>1521</v>
      </c>
      <c r="F548" s="7">
        <v>170000</v>
      </c>
      <c r="G548" s="7">
        <v>17</v>
      </c>
      <c r="H548" s="7">
        <v>0</v>
      </c>
      <c r="I548" s="7">
        <v>0</v>
      </c>
      <c r="K548"/>
      <c r="L548"/>
      <c r="M548"/>
      <c r="N548"/>
      <c r="O548"/>
    </row>
    <row r="549" spans="1:15">
      <c r="A549" s="7" t="s">
        <v>1927</v>
      </c>
      <c r="B549" s="7" t="s">
        <v>1496</v>
      </c>
      <c r="C549" s="7" t="s">
        <v>1928</v>
      </c>
      <c r="E549" s="7" t="s">
        <v>1531</v>
      </c>
      <c r="F549" s="7">
        <v>171510</v>
      </c>
      <c r="G549" s="7">
        <v>17</v>
      </c>
      <c r="H549" s="7">
        <v>15</v>
      </c>
      <c r="I549" s="7">
        <v>10</v>
      </c>
      <c r="K549"/>
      <c r="L549"/>
      <c r="M549"/>
      <c r="N549"/>
      <c r="O549"/>
    </row>
    <row r="550" spans="1:15">
      <c r="A550" s="7" t="s">
        <v>1927</v>
      </c>
      <c r="B550" s="7" t="s">
        <v>1496</v>
      </c>
      <c r="C550" s="7" t="s">
        <v>1928</v>
      </c>
      <c r="D550" s="7" t="s">
        <v>1934</v>
      </c>
      <c r="E550" s="7" t="s">
        <v>1556</v>
      </c>
      <c r="F550" s="7">
        <v>180000</v>
      </c>
      <c r="G550" s="7">
        <v>18</v>
      </c>
      <c r="H550" s="7">
        <v>0</v>
      </c>
      <c r="I550" s="7">
        <v>0</v>
      </c>
      <c r="K550"/>
      <c r="L550"/>
      <c r="M550"/>
      <c r="N550"/>
      <c r="O550"/>
    </row>
    <row r="551" spans="1:15">
      <c r="A551" s="7" t="s">
        <v>1927</v>
      </c>
      <c r="B551" s="7" t="s">
        <v>1496</v>
      </c>
      <c r="C551" s="7" t="s">
        <v>1928</v>
      </c>
      <c r="E551" s="7" t="s">
        <v>1686</v>
      </c>
      <c r="F551" s="7">
        <v>181800</v>
      </c>
      <c r="G551" s="7">
        <v>18</v>
      </c>
      <c r="H551" s="7">
        <v>18</v>
      </c>
      <c r="I551" s="7">
        <v>0</v>
      </c>
      <c r="K551"/>
      <c r="L551"/>
      <c r="M551"/>
      <c r="N551"/>
      <c r="O551"/>
    </row>
    <row r="552" spans="1:15">
      <c r="A552" s="7" t="s">
        <v>1927</v>
      </c>
      <c r="B552" s="7" t="s">
        <v>1496</v>
      </c>
      <c r="C552" s="7" t="s">
        <v>1928</v>
      </c>
      <c r="D552" s="7" t="s">
        <v>1935</v>
      </c>
      <c r="E552" s="7" t="s">
        <v>1527</v>
      </c>
      <c r="F552" s="7">
        <v>190000</v>
      </c>
      <c r="G552" s="7">
        <v>19</v>
      </c>
      <c r="H552" s="7">
        <v>0</v>
      </c>
      <c r="I552" s="7">
        <v>0</v>
      </c>
      <c r="K552"/>
      <c r="L552"/>
      <c r="M552"/>
      <c r="N552"/>
      <c r="O552"/>
    </row>
    <row r="553" spans="1:15">
      <c r="A553" s="7" t="s">
        <v>1927</v>
      </c>
      <c r="B553" s="7" t="s">
        <v>1496</v>
      </c>
      <c r="C553" s="7" t="s">
        <v>1928</v>
      </c>
      <c r="E553" s="7" t="s">
        <v>1618</v>
      </c>
      <c r="F553" s="7">
        <v>191000</v>
      </c>
      <c r="G553" s="7">
        <v>19</v>
      </c>
      <c r="H553" s="7">
        <v>10</v>
      </c>
      <c r="I553" s="7">
        <v>0</v>
      </c>
      <c r="K553"/>
      <c r="L553"/>
      <c r="M553"/>
      <c r="N553"/>
      <c r="O553"/>
    </row>
    <row r="554" spans="1:15">
      <c r="A554" s="7" t="s">
        <v>1927</v>
      </c>
      <c r="B554" s="7" t="s">
        <v>1496</v>
      </c>
      <c r="C554" s="7" t="s">
        <v>1928</v>
      </c>
      <c r="E554" s="7" t="s">
        <v>1620</v>
      </c>
      <c r="F554" s="7">
        <v>191100</v>
      </c>
      <c r="G554" s="7">
        <v>19</v>
      </c>
      <c r="H554" s="7">
        <v>11</v>
      </c>
      <c r="I554" s="7">
        <v>0</v>
      </c>
      <c r="K554"/>
      <c r="L554"/>
      <c r="M554"/>
      <c r="N554"/>
      <c r="O554"/>
    </row>
    <row r="555" spans="1:15">
      <c r="A555" s="7" t="s">
        <v>1927</v>
      </c>
      <c r="B555" s="7" t="s">
        <v>1496</v>
      </c>
      <c r="C555" s="7" t="s">
        <v>1928</v>
      </c>
      <c r="E555" s="7" t="s">
        <v>1512</v>
      </c>
      <c r="F555" s="7">
        <v>191300</v>
      </c>
      <c r="G555" s="7">
        <v>19</v>
      </c>
      <c r="H555" s="7">
        <v>13</v>
      </c>
      <c r="I555" s="7">
        <v>0</v>
      </c>
      <c r="K555"/>
      <c r="L555"/>
      <c r="M555"/>
      <c r="N555"/>
      <c r="O555"/>
    </row>
    <row r="556" spans="1:15">
      <c r="A556" s="7" t="s">
        <v>1927</v>
      </c>
      <c r="B556" s="7" t="s">
        <v>1496</v>
      </c>
      <c r="C556" s="7" t="s">
        <v>1928</v>
      </c>
      <c r="E556" s="7" t="s">
        <v>1626</v>
      </c>
      <c r="F556" s="7">
        <v>191800</v>
      </c>
      <c r="G556" s="7">
        <v>19</v>
      </c>
      <c r="H556" s="7">
        <v>18</v>
      </c>
      <c r="I556" s="7">
        <v>0</v>
      </c>
      <c r="K556"/>
      <c r="L556"/>
      <c r="M556"/>
      <c r="N556"/>
      <c r="O556"/>
    </row>
    <row r="557" spans="1:15">
      <c r="A557" s="7" t="s">
        <v>1927</v>
      </c>
      <c r="B557" s="7" t="s">
        <v>1496</v>
      </c>
      <c r="C557" s="7" t="s">
        <v>1928</v>
      </c>
      <c r="E557" s="7" t="s">
        <v>1690</v>
      </c>
      <c r="F557" s="7">
        <v>191810</v>
      </c>
      <c r="G557" s="7">
        <v>19</v>
      </c>
      <c r="H557" s="7">
        <v>18</v>
      </c>
      <c r="I557" s="7">
        <v>10</v>
      </c>
      <c r="K557"/>
      <c r="L557"/>
      <c r="M557"/>
      <c r="N557"/>
      <c r="O557"/>
    </row>
    <row r="558" spans="1:15">
      <c r="A558" s="7" t="s">
        <v>1927</v>
      </c>
      <c r="B558" s="7" t="s">
        <v>1496</v>
      </c>
      <c r="C558" s="7" t="s">
        <v>1928</v>
      </c>
      <c r="E558" s="7" t="s">
        <v>1642</v>
      </c>
      <c r="F558" s="7">
        <v>191900</v>
      </c>
      <c r="G558" s="7">
        <v>19</v>
      </c>
      <c r="H558" s="7">
        <v>19</v>
      </c>
      <c r="I558" s="7">
        <v>0</v>
      </c>
      <c r="K558"/>
      <c r="L558"/>
      <c r="M558"/>
      <c r="N558"/>
      <c r="O558"/>
    </row>
    <row r="559" spans="1:15">
      <c r="A559" s="7" t="s">
        <v>1927</v>
      </c>
      <c r="B559" s="7" t="s">
        <v>1496</v>
      </c>
      <c r="C559" s="7" t="s">
        <v>1928</v>
      </c>
      <c r="D559" s="7" t="s">
        <v>1936</v>
      </c>
      <c r="E559" s="7" t="s">
        <v>1587</v>
      </c>
      <c r="F559" s="7">
        <v>250000</v>
      </c>
      <c r="G559" s="7">
        <v>25</v>
      </c>
      <c r="H559" s="7">
        <v>0</v>
      </c>
      <c r="I559" s="7">
        <v>0</v>
      </c>
      <c r="K559"/>
      <c r="L559"/>
      <c r="M559"/>
      <c r="N559"/>
      <c r="O559"/>
    </row>
    <row r="560" spans="1:15">
      <c r="A560" s="7" t="s">
        <v>1927</v>
      </c>
      <c r="B560" s="7" t="s">
        <v>1496</v>
      </c>
      <c r="C560" s="7" t="s">
        <v>1928</v>
      </c>
      <c r="E560" s="7" t="s">
        <v>1501</v>
      </c>
      <c r="F560" s="7">
        <v>251000</v>
      </c>
      <c r="G560" s="7">
        <v>25</v>
      </c>
      <c r="H560" s="7">
        <v>10</v>
      </c>
      <c r="I560" s="7">
        <v>0</v>
      </c>
      <c r="K560"/>
      <c r="L560"/>
      <c r="M560"/>
      <c r="N560"/>
      <c r="O560"/>
    </row>
    <row r="561" spans="1:15">
      <c r="A561" s="7" t="s">
        <v>1927</v>
      </c>
      <c r="B561" s="7" t="s">
        <v>1496</v>
      </c>
      <c r="C561" s="7" t="s">
        <v>1928</v>
      </c>
      <c r="E561" s="7" t="s">
        <v>1777</v>
      </c>
      <c r="F561" s="7">
        <v>251400</v>
      </c>
      <c r="G561" s="7">
        <v>25</v>
      </c>
      <c r="H561" s="7">
        <v>14</v>
      </c>
      <c r="I561" s="7">
        <v>0</v>
      </c>
      <c r="K561"/>
      <c r="L561"/>
      <c r="M561"/>
      <c r="N561"/>
      <c r="O561"/>
    </row>
    <row r="562" spans="1:15">
      <c r="A562" s="7" t="s">
        <v>1927</v>
      </c>
      <c r="B562" s="7" t="s">
        <v>1496</v>
      </c>
      <c r="C562" s="7" t="s">
        <v>1928</v>
      </c>
      <c r="D562" s="7" t="s">
        <v>1937</v>
      </c>
      <c r="E562" s="7" t="s">
        <v>1625</v>
      </c>
      <c r="F562" s="7">
        <v>280000</v>
      </c>
      <c r="G562" s="7">
        <v>28</v>
      </c>
      <c r="H562" s="7">
        <v>0</v>
      </c>
      <c r="I562" s="7">
        <v>0</v>
      </c>
      <c r="K562"/>
      <c r="L562"/>
      <c r="M562"/>
      <c r="N562"/>
      <c r="O562"/>
    </row>
    <row r="563" spans="1:15">
      <c r="A563" s="7" t="s">
        <v>1927</v>
      </c>
      <c r="B563" s="7" t="s">
        <v>1496</v>
      </c>
      <c r="C563" s="7" t="s">
        <v>1928</v>
      </c>
      <c r="E563" s="7" t="s">
        <v>1501</v>
      </c>
      <c r="F563" s="7">
        <v>281000</v>
      </c>
      <c r="G563" s="7">
        <v>28</v>
      </c>
      <c r="H563" s="7">
        <v>10</v>
      </c>
      <c r="I563" s="7">
        <v>0</v>
      </c>
      <c r="K563"/>
      <c r="L563"/>
      <c r="M563"/>
      <c r="N563"/>
      <c r="O563"/>
    </row>
    <row r="564" spans="1:15">
      <c r="A564" s="7" t="s">
        <v>1927</v>
      </c>
      <c r="B564" s="7" t="s">
        <v>1496</v>
      </c>
      <c r="C564" s="7" t="s">
        <v>1928</v>
      </c>
      <c r="D564" s="7" t="s">
        <v>1938</v>
      </c>
      <c r="E564" s="7" t="s">
        <v>1792</v>
      </c>
      <c r="F564" s="7">
        <v>290000</v>
      </c>
      <c r="G564" s="7">
        <v>29</v>
      </c>
      <c r="H564" s="7">
        <v>0</v>
      </c>
      <c r="I564" s="7">
        <v>0</v>
      </c>
      <c r="K564"/>
      <c r="L564"/>
      <c r="M564"/>
      <c r="N564"/>
      <c r="O564"/>
    </row>
    <row r="565" spans="1:15">
      <c r="A565" s="7" t="s">
        <v>1927</v>
      </c>
      <c r="B565" s="7" t="s">
        <v>1496</v>
      </c>
      <c r="C565" s="7" t="s">
        <v>1928</v>
      </c>
      <c r="E565" s="7" t="s">
        <v>1795</v>
      </c>
      <c r="F565" s="7">
        <v>291000</v>
      </c>
      <c r="G565" s="7">
        <v>29</v>
      </c>
      <c r="H565" s="7">
        <v>10</v>
      </c>
      <c r="I565" s="7">
        <v>0</v>
      </c>
      <c r="K565"/>
      <c r="L565"/>
      <c r="M565"/>
      <c r="N565"/>
      <c r="O565"/>
    </row>
    <row r="566" spans="1:15">
      <c r="A566" s="7" t="s">
        <v>1927</v>
      </c>
      <c r="B566" s="7" t="s">
        <v>1496</v>
      </c>
      <c r="C566" s="7" t="s">
        <v>1928</v>
      </c>
      <c r="E566" s="7" t="s">
        <v>1796</v>
      </c>
      <c r="F566" s="7">
        <v>291100</v>
      </c>
      <c r="G566" s="7">
        <v>29</v>
      </c>
      <c r="H566" s="7">
        <v>11</v>
      </c>
      <c r="I566" s="7">
        <v>0</v>
      </c>
      <c r="K566"/>
      <c r="L566"/>
      <c r="M566"/>
      <c r="N566"/>
      <c r="O566"/>
    </row>
    <row r="567" spans="1:15">
      <c r="A567" s="7" t="s">
        <v>1927</v>
      </c>
      <c r="B567" s="7" t="s">
        <v>1496</v>
      </c>
      <c r="C567" s="7" t="s">
        <v>1928</v>
      </c>
      <c r="E567" s="7" t="s">
        <v>1798</v>
      </c>
      <c r="F567" s="7">
        <v>291200</v>
      </c>
      <c r="G567" s="7">
        <v>29</v>
      </c>
      <c r="H567" s="7">
        <v>12</v>
      </c>
      <c r="I567" s="7">
        <v>0</v>
      </c>
      <c r="K567"/>
      <c r="L567"/>
      <c r="M567"/>
      <c r="N567"/>
      <c r="O567"/>
    </row>
    <row r="568" spans="1:15">
      <c r="A568" s="7" t="s">
        <v>1927</v>
      </c>
      <c r="B568" s="7" t="s">
        <v>1496</v>
      </c>
      <c r="C568" s="7" t="s">
        <v>1928</v>
      </c>
      <c r="D568" s="7" t="s">
        <v>1939</v>
      </c>
      <c r="E568" s="7" t="s">
        <v>1645</v>
      </c>
      <c r="F568" s="7">
        <v>780000</v>
      </c>
      <c r="G568" s="7">
        <v>78</v>
      </c>
      <c r="H568" s="7">
        <v>0</v>
      </c>
      <c r="I568" s="7">
        <v>0</v>
      </c>
      <c r="K568"/>
      <c r="L568"/>
      <c r="M568"/>
      <c r="N568"/>
      <c r="O568"/>
    </row>
    <row r="569" spans="1:15">
      <c r="A569" s="7" t="s">
        <v>1927</v>
      </c>
      <c r="B569" s="7" t="s">
        <v>1496</v>
      </c>
      <c r="C569" s="7" t="s">
        <v>1928</v>
      </c>
      <c r="E569" s="7" t="s">
        <v>1501</v>
      </c>
      <c r="F569" s="7">
        <v>781000</v>
      </c>
      <c r="G569" s="7">
        <v>78</v>
      </c>
      <c r="H569" s="7">
        <v>10</v>
      </c>
      <c r="I569" s="7">
        <v>0</v>
      </c>
      <c r="K569"/>
      <c r="L569"/>
      <c r="M569"/>
      <c r="N569"/>
      <c r="O569"/>
    </row>
    <row r="570" spans="1:15">
      <c r="A570" s="7" t="s">
        <v>1927</v>
      </c>
      <c r="B570" s="7" t="s">
        <v>1496</v>
      </c>
      <c r="C570" s="7" t="s">
        <v>1928</v>
      </c>
      <c r="D570" s="7" t="s">
        <v>1940</v>
      </c>
      <c r="E570" s="7" t="s">
        <v>1523</v>
      </c>
      <c r="F570" s="7">
        <v>790000</v>
      </c>
      <c r="G570" s="7">
        <v>79</v>
      </c>
      <c r="H570" s="7">
        <v>0</v>
      </c>
      <c r="I570" s="7">
        <v>0</v>
      </c>
      <c r="K570"/>
      <c r="L570"/>
      <c r="M570"/>
      <c r="N570"/>
      <c r="O570"/>
    </row>
    <row r="571" spans="1:15">
      <c r="A571" s="7" t="s">
        <v>1927</v>
      </c>
      <c r="B571" s="7" t="s">
        <v>1496</v>
      </c>
      <c r="C571" s="7" t="s">
        <v>1928</v>
      </c>
      <c r="E571" s="7" t="s">
        <v>504</v>
      </c>
      <c r="F571" s="7">
        <v>909000</v>
      </c>
      <c r="G571" s="7">
        <v>90</v>
      </c>
      <c r="H571" s="7">
        <v>90</v>
      </c>
      <c r="I571" s="7">
        <v>0</v>
      </c>
      <c r="K571"/>
      <c r="L571"/>
      <c r="M571"/>
      <c r="N571"/>
      <c r="O571"/>
    </row>
    <row r="572" spans="1:15">
      <c r="A572" s="7" t="s">
        <v>1941</v>
      </c>
      <c r="B572" s="7" t="s">
        <v>1496</v>
      </c>
      <c r="C572" s="7" t="s">
        <v>1942</v>
      </c>
      <c r="D572" s="7" t="s">
        <v>1943</v>
      </c>
      <c r="E572" s="7" t="s">
        <v>1503</v>
      </c>
      <c r="F572" s="7">
        <v>100000</v>
      </c>
      <c r="G572" s="7">
        <v>10</v>
      </c>
      <c r="H572" s="7">
        <v>0</v>
      </c>
      <c r="I572" s="7">
        <v>0</v>
      </c>
      <c r="K572"/>
      <c r="L572"/>
      <c r="M572"/>
      <c r="N572"/>
      <c r="O572"/>
    </row>
    <row r="573" spans="1:15">
      <c r="A573" s="7" t="s">
        <v>1941</v>
      </c>
      <c r="B573" s="7" t="s">
        <v>1496</v>
      </c>
      <c r="C573" s="7" t="s">
        <v>1942</v>
      </c>
      <c r="E573" s="7" t="s">
        <v>1501</v>
      </c>
      <c r="F573" s="7">
        <v>101000</v>
      </c>
      <c r="G573" s="7">
        <v>10</v>
      </c>
      <c r="H573" s="7">
        <v>10</v>
      </c>
      <c r="I573" s="7">
        <v>0</v>
      </c>
      <c r="K573"/>
      <c r="L573"/>
      <c r="M573"/>
      <c r="N573"/>
      <c r="O573"/>
    </row>
    <row r="574" spans="1:15">
      <c r="A574" s="7" t="s">
        <v>1941</v>
      </c>
      <c r="B574" s="7" t="s">
        <v>1496</v>
      </c>
      <c r="C574" s="7" t="s">
        <v>1942</v>
      </c>
      <c r="E574" s="7" t="s">
        <v>1521</v>
      </c>
      <c r="F574" s="7">
        <v>101300</v>
      </c>
      <c r="G574" s="7">
        <v>10</v>
      </c>
      <c r="H574" s="7">
        <v>13</v>
      </c>
      <c r="I574" s="7">
        <v>0</v>
      </c>
      <c r="K574"/>
      <c r="L574"/>
      <c r="M574"/>
      <c r="N574"/>
      <c r="O574"/>
    </row>
    <row r="575" spans="1:15">
      <c r="A575" s="7" t="s">
        <v>1941</v>
      </c>
      <c r="B575" s="7" t="s">
        <v>1496</v>
      </c>
      <c r="C575" s="7" t="s">
        <v>1942</v>
      </c>
      <c r="E575" s="7" t="s">
        <v>145</v>
      </c>
      <c r="F575" s="7">
        <v>101400</v>
      </c>
      <c r="G575" s="7">
        <v>10</v>
      </c>
      <c r="H575" s="7">
        <v>14</v>
      </c>
      <c r="I575" s="7">
        <v>0</v>
      </c>
      <c r="K575"/>
      <c r="L575"/>
      <c r="M575"/>
      <c r="N575"/>
      <c r="O575"/>
    </row>
    <row r="576" spans="1:15">
      <c r="A576" s="7" t="s">
        <v>1941</v>
      </c>
      <c r="B576" s="7" t="s">
        <v>1496</v>
      </c>
      <c r="C576" s="7" t="s">
        <v>1942</v>
      </c>
      <c r="E576" s="7" t="s">
        <v>1527</v>
      </c>
      <c r="F576" s="7">
        <v>101500</v>
      </c>
      <c r="G576" s="7">
        <v>10</v>
      </c>
      <c r="H576" s="7">
        <v>15</v>
      </c>
      <c r="I576" s="7">
        <v>0</v>
      </c>
      <c r="K576"/>
      <c r="L576"/>
      <c r="M576"/>
      <c r="N576"/>
      <c r="O576"/>
    </row>
    <row r="577" spans="1:15">
      <c r="A577" s="7" t="s">
        <v>1941</v>
      </c>
      <c r="B577" s="7" t="s">
        <v>1496</v>
      </c>
      <c r="C577" s="7" t="s">
        <v>1942</v>
      </c>
      <c r="D577" s="7" t="s">
        <v>1944</v>
      </c>
      <c r="E577" s="7" t="s">
        <v>145</v>
      </c>
      <c r="F577" s="7">
        <v>140000</v>
      </c>
      <c r="G577" s="7">
        <v>14</v>
      </c>
      <c r="H577" s="7">
        <v>0</v>
      </c>
      <c r="I577" s="7">
        <v>0</v>
      </c>
      <c r="K577"/>
      <c r="L577"/>
      <c r="M577"/>
      <c r="N577"/>
      <c r="O577"/>
    </row>
    <row r="578" spans="1:15">
      <c r="A578" s="7" t="s">
        <v>1941</v>
      </c>
      <c r="B578" s="7" t="s">
        <v>1496</v>
      </c>
      <c r="C578" s="7" t="s">
        <v>1942</v>
      </c>
      <c r="E578" s="7" t="s">
        <v>1531</v>
      </c>
      <c r="F578" s="7">
        <v>141010</v>
      </c>
      <c r="G578" s="7">
        <v>14</v>
      </c>
      <c r="H578" s="7">
        <v>10</v>
      </c>
      <c r="I578" s="7">
        <v>10</v>
      </c>
      <c r="K578"/>
      <c r="L578"/>
      <c r="M578"/>
      <c r="N578"/>
      <c r="O578"/>
    </row>
    <row r="579" spans="1:15">
      <c r="A579" s="7" t="s">
        <v>1941</v>
      </c>
      <c r="B579" s="7" t="s">
        <v>1496</v>
      </c>
      <c r="C579" s="7" t="s">
        <v>1942</v>
      </c>
      <c r="E579" s="7" t="s">
        <v>1581</v>
      </c>
      <c r="F579" s="7">
        <v>141100</v>
      </c>
      <c r="G579" s="7">
        <v>14</v>
      </c>
      <c r="H579" s="7">
        <v>11</v>
      </c>
      <c r="I579" s="7">
        <v>0</v>
      </c>
      <c r="K579"/>
      <c r="L579"/>
      <c r="M579"/>
      <c r="N579"/>
      <c r="O579"/>
    </row>
    <row r="580" spans="1:15">
      <c r="A580" s="7" t="s">
        <v>1941</v>
      </c>
      <c r="B580" s="7" t="s">
        <v>1496</v>
      </c>
      <c r="C580" s="7" t="s">
        <v>1942</v>
      </c>
      <c r="E580" s="7" t="s">
        <v>1552</v>
      </c>
      <c r="F580" s="7">
        <v>141600</v>
      </c>
      <c r="G580" s="7">
        <v>14</v>
      </c>
      <c r="H580" s="7">
        <v>16</v>
      </c>
      <c r="I580" s="7">
        <v>0</v>
      </c>
      <c r="K580"/>
      <c r="L580"/>
      <c r="M580"/>
      <c r="N580"/>
      <c r="O580"/>
    </row>
    <row r="581" spans="1:15">
      <c r="A581" s="7" t="s">
        <v>1941</v>
      </c>
      <c r="B581" s="7" t="s">
        <v>1496</v>
      </c>
      <c r="C581" s="7" t="s">
        <v>1942</v>
      </c>
      <c r="E581" s="7" t="s">
        <v>1537</v>
      </c>
      <c r="F581" s="7">
        <v>141700</v>
      </c>
      <c r="G581" s="7">
        <v>14</v>
      </c>
      <c r="H581" s="7">
        <v>17</v>
      </c>
      <c r="I581" s="7">
        <v>0</v>
      </c>
      <c r="K581"/>
      <c r="L581"/>
      <c r="M581"/>
      <c r="N581"/>
      <c r="O581"/>
    </row>
    <row r="582" spans="1:15">
      <c r="A582" s="7" t="s">
        <v>1941</v>
      </c>
      <c r="B582" s="7" t="s">
        <v>1496</v>
      </c>
      <c r="C582" s="7" t="s">
        <v>1942</v>
      </c>
      <c r="E582" s="7" t="s">
        <v>1516</v>
      </c>
      <c r="F582" s="7">
        <v>141800</v>
      </c>
      <c r="G582" s="7">
        <v>14</v>
      </c>
      <c r="H582" s="7">
        <v>18</v>
      </c>
      <c r="I582" s="7">
        <v>0</v>
      </c>
      <c r="K582"/>
      <c r="L582"/>
      <c r="M582"/>
      <c r="N582"/>
      <c r="O582"/>
    </row>
    <row r="583" spans="1:15">
      <c r="A583" s="7" t="s">
        <v>1941</v>
      </c>
      <c r="B583" s="7" t="s">
        <v>1496</v>
      </c>
      <c r="C583" s="7" t="s">
        <v>1942</v>
      </c>
      <c r="E583" s="7" t="s">
        <v>1585</v>
      </c>
      <c r="F583" s="7">
        <v>141900</v>
      </c>
      <c r="G583" s="7">
        <v>14</v>
      </c>
      <c r="H583" s="7">
        <v>19</v>
      </c>
      <c r="I583" s="7">
        <v>0</v>
      </c>
      <c r="K583"/>
      <c r="L583"/>
      <c r="M583"/>
      <c r="N583"/>
      <c r="O583"/>
    </row>
    <row r="584" spans="1:15">
      <c r="A584" s="7" t="s">
        <v>1941</v>
      </c>
      <c r="B584" s="7" t="s">
        <v>1496</v>
      </c>
      <c r="C584" s="7" t="s">
        <v>1942</v>
      </c>
      <c r="E584" s="7" t="s">
        <v>1588</v>
      </c>
      <c r="F584" s="7">
        <v>142000</v>
      </c>
      <c r="G584" s="7">
        <v>14</v>
      </c>
      <c r="H584" s="7">
        <v>20</v>
      </c>
      <c r="I584" s="7">
        <v>0</v>
      </c>
      <c r="K584"/>
      <c r="L584"/>
      <c r="M584"/>
      <c r="N584"/>
      <c r="O584"/>
    </row>
    <row r="585" spans="1:15">
      <c r="A585" s="7" t="s">
        <v>1941</v>
      </c>
      <c r="B585" s="7" t="s">
        <v>1496</v>
      </c>
      <c r="C585" s="7" t="s">
        <v>1942</v>
      </c>
      <c r="E585" s="7" t="s">
        <v>1589</v>
      </c>
      <c r="F585" s="7">
        <v>142100</v>
      </c>
      <c r="G585" s="7">
        <v>14</v>
      </c>
      <c r="H585" s="7">
        <v>21</v>
      </c>
      <c r="I585" s="7">
        <v>0</v>
      </c>
      <c r="K585"/>
      <c r="L585"/>
      <c r="M585"/>
      <c r="N585"/>
      <c r="O585"/>
    </row>
    <row r="586" spans="1:15">
      <c r="A586" s="7" t="s">
        <v>1941</v>
      </c>
      <c r="B586" s="7" t="s">
        <v>1496</v>
      </c>
      <c r="C586" s="7" t="s">
        <v>1942</v>
      </c>
      <c r="E586" s="7" t="s">
        <v>1539</v>
      </c>
      <c r="F586" s="7">
        <v>142600</v>
      </c>
      <c r="G586" s="7">
        <v>14</v>
      </c>
      <c r="H586" s="7">
        <v>26</v>
      </c>
      <c r="I586" s="7">
        <v>0</v>
      </c>
      <c r="K586"/>
      <c r="L586"/>
      <c r="M586"/>
      <c r="N586"/>
      <c r="O586"/>
    </row>
    <row r="587" spans="1:15">
      <c r="A587" s="7" t="s">
        <v>1941</v>
      </c>
      <c r="B587" s="7" t="s">
        <v>1496</v>
      </c>
      <c r="C587" s="7" t="s">
        <v>1942</v>
      </c>
      <c r="E587" s="7" t="s">
        <v>1541</v>
      </c>
      <c r="F587" s="7">
        <v>142700</v>
      </c>
      <c r="G587" s="7">
        <v>14</v>
      </c>
      <c r="H587" s="7">
        <v>27</v>
      </c>
      <c r="I587" s="7">
        <v>0</v>
      </c>
      <c r="K587"/>
      <c r="L587"/>
      <c r="M587"/>
      <c r="N587"/>
      <c r="O587"/>
    </row>
    <row r="588" spans="1:15">
      <c r="A588" s="7" t="s">
        <v>1941</v>
      </c>
      <c r="B588" s="7" t="s">
        <v>1496</v>
      </c>
      <c r="C588" s="7" t="s">
        <v>1942</v>
      </c>
      <c r="D588" s="7" t="s">
        <v>1945</v>
      </c>
      <c r="E588" s="7" t="s">
        <v>1521</v>
      </c>
      <c r="F588" s="7">
        <v>170000</v>
      </c>
      <c r="G588" s="7">
        <v>17</v>
      </c>
      <c r="H588" s="7">
        <v>0</v>
      </c>
      <c r="I588" s="7">
        <v>0</v>
      </c>
      <c r="K588"/>
      <c r="L588"/>
      <c r="M588"/>
      <c r="N588"/>
      <c r="O588"/>
    </row>
    <row r="589" spans="1:15">
      <c r="A589" s="7" t="s">
        <v>1941</v>
      </c>
      <c r="B589" s="7" t="s">
        <v>1496</v>
      </c>
      <c r="C589" s="7" t="s">
        <v>1942</v>
      </c>
      <c r="E589" s="7" t="s">
        <v>1670</v>
      </c>
      <c r="F589" s="7">
        <v>171500</v>
      </c>
      <c r="G589" s="7">
        <v>17</v>
      </c>
      <c r="H589" s="7">
        <v>15</v>
      </c>
      <c r="I589" s="7">
        <v>0</v>
      </c>
      <c r="K589"/>
      <c r="L589"/>
      <c r="M589"/>
      <c r="N589"/>
      <c r="O589"/>
    </row>
    <row r="590" spans="1:15">
      <c r="A590" s="7" t="s">
        <v>1941</v>
      </c>
      <c r="B590" s="7" t="s">
        <v>1496</v>
      </c>
      <c r="C590" s="7" t="s">
        <v>1942</v>
      </c>
      <c r="E590" s="7" t="s">
        <v>1531</v>
      </c>
      <c r="F590" s="7">
        <v>171510</v>
      </c>
      <c r="G590" s="7">
        <v>17</v>
      </c>
      <c r="H590" s="7">
        <v>15</v>
      </c>
      <c r="I590" s="7">
        <v>10</v>
      </c>
      <c r="K590"/>
      <c r="L590"/>
      <c r="M590"/>
      <c r="N590"/>
      <c r="O590"/>
    </row>
    <row r="591" spans="1:15">
      <c r="A591" s="7" t="s">
        <v>1941</v>
      </c>
      <c r="B591" s="7" t="s">
        <v>1496</v>
      </c>
      <c r="C591" s="7" t="s">
        <v>1942</v>
      </c>
      <c r="E591" s="7" t="s">
        <v>1673</v>
      </c>
      <c r="F591" s="7">
        <v>171600</v>
      </c>
      <c r="G591" s="7">
        <v>17</v>
      </c>
      <c r="H591" s="7">
        <v>16</v>
      </c>
      <c r="I591" s="7">
        <v>0</v>
      </c>
      <c r="K591"/>
      <c r="L591"/>
      <c r="M591"/>
      <c r="N591"/>
      <c r="O591"/>
    </row>
    <row r="592" spans="1:15">
      <c r="A592" s="7" t="s">
        <v>1941</v>
      </c>
      <c r="B592" s="7" t="s">
        <v>1496</v>
      </c>
      <c r="C592" s="7" t="s">
        <v>1942</v>
      </c>
      <c r="E592" s="7" t="s">
        <v>1516</v>
      </c>
      <c r="F592" s="7">
        <v>171700</v>
      </c>
      <c r="G592" s="7">
        <v>17</v>
      </c>
      <c r="H592" s="7">
        <v>17</v>
      </c>
      <c r="I592" s="7">
        <v>0</v>
      </c>
      <c r="K592"/>
      <c r="L592"/>
      <c r="M592"/>
      <c r="N592"/>
      <c r="O592"/>
    </row>
    <row r="593" spans="1:15">
      <c r="A593" s="7" t="s">
        <v>1941</v>
      </c>
      <c r="B593" s="7" t="s">
        <v>1496</v>
      </c>
      <c r="C593" s="7" t="s">
        <v>1942</v>
      </c>
      <c r="E593" s="7" t="s">
        <v>1674</v>
      </c>
      <c r="F593" s="7">
        <v>171800</v>
      </c>
      <c r="G593" s="7">
        <v>17</v>
      </c>
      <c r="H593" s="7">
        <v>18</v>
      </c>
      <c r="I593" s="7">
        <v>0</v>
      </c>
      <c r="K593"/>
      <c r="L593"/>
      <c r="M593"/>
      <c r="N593"/>
      <c r="O593"/>
    </row>
    <row r="594" spans="1:15">
      <c r="A594" s="7" t="s">
        <v>1941</v>
      </c>
      <c r="B594" s="7" t="s">
        <v>1496</v>
      </c>
      <c r="C594" s="7" t="s">
        <v>1942</v>
      </c>
      <c r="E594" s="7" t="s">
        <v>1552</v>
      </c>
      <c r="F594" s="7">
        <v>171900</v>
      </c>
      <c r="G594" s="7">
        <v>17</v>
      </c>
      <c r="H594" s="7">
        <v>19</v>
      </c>
      <c r="I594" s="7">
        <v>0</v>
      </c>
      <c r="K594"/>
      <c r="L594"/>
      <c r="M594"/>
      <c r="N594"/>
      <c r="O594"/>
    </row>
    <row r="595" spans="1:15">
      <c r="A595" s="7" t="s">
        <v>1941</v>
      </c>
      <c r="B595" s="7" t="s">
        <v>1496</v>
      </c>
      <c r="C595" s="7" t="s">
        <v>1942</v>
      </c>
      <c r="E595" s="7" t="s">
        <v>1675</v>
      </c>
      <c r="F595" s="7">
        <v>171910</v>
      </c>
      <c r="G595" s="7">
        <v>17</v>
      </c>
      <c r="H595" s="7">
        <v>19</v>
      </c>
      <c r="I595" s="7">
        <v>10</v>
      </c>
      <c r="K595"/>
      <c r="L595"/>
      <c r="M595"/>
      <c r="N595"/>
      <c r="O595"/>
    </row>
    <row r="596" spans="1:15">
      <c r="A596" s="7" t="s">
        <v>1941</v>
      </c>
      <c r="B596" s="7" t="s">
        <v>1496</v>
      </c>
      <c r="C596" s="7" t="s">
        <v>1942</v>
      </c>
      <c r="E596" s="7" t="s">
        <v>1588</v>
      </c>
      <c r="F596" s="7">
        <v>172000</v>
      </c>
      <c r="G596" s="7">
        <v>17</v>
      </c>
      <c r="H596" s="7">
        <v>20</v>
      </c>
      <c r="I596" s="7">
        <v>0</v>
      </c>
      <c r="K596"/>
      <c r="L596"/>
      <c r="M596"/>
      <c r="N596"/>
      <c r="O596"/>
    </row>
    <row r="597" spans="1:15">
      <c r="A597" s="7" t="s">
        <v>1941</v>
      </c>
      <c r="B597" s="7" t="s">
        <v>1496</v>
      </c>
      <c r="C597" s="7" t="s">
        <v>1942</v>
      </c>
      <c r="E597" s="7" t="s">
        <v>1543</v>
      </c>
      <c r="F597" s="7">
        <v>172100</v>
      </c>
      <c r="G597" s="7">
        <v>17</v>
      </c>
      <c r="H597" s="7">
        <v>21</v>
      </c>
      <c r="I597" s="7">
        <v>0</v>
      </c>
      <c r="K597"/>
      <c r="L597"/>
      <c r="M597"/>
      <c r="N597"/>
      <c r="O597"/>
    </row>
    <row r="598" spans="1:15">
      <c r="A598" s="7" t="s">
        <v>1941</v>
      </c>
      <c r="B598" s="7" t="s">
        <v>1496</v>
      </c>
      <c r="C598" s="7" t="s">
        <v>1942</v>
      </c>
      <c r="E598" s="7" t="s">
        <v>1642</v>
      </c>
      <c r="F598" s="7">
        <v>172200</v>
      </c>
      <c r="G598" s="7">
        <v>17</v>
      </c>
      <c r="H598" s="7">
        <v>22</v>
      </c>
      <c r="I598" s="7">
        <v>0</v>
      </c>
      <c r="K598"/>
      <c r="L598"/>
      <c r="M598"/>
      <c r="N598"/>
      <c r="O598"/>
    </row>
    <row r="599" spans="1:15">
      <c r="A599" s="7" t="s">
        <v>1941</v>
      </c>
      <c r="B599" s="7" t="s">
        <v>1496</v>
      </c>
      <c r="C599" s="7" t="s">
        <v>1942</v>
      </c>
      <c r="E599" s="7" t="s">
        <v>1677</v>
      </c>
      <c r="F599" s="7">
        <v>172300</v>
      </c>
      <c r="G599" s="7">
        <v>17</v>
      </c>
      <c r="H599" s="7">
        <v>23</v>
      </c>
      <c r="I599" s="7">
        <v>0</v>
      </c>
      <c r="K599"/>
      <c r="L599"/>
      <c r="M599"/>
      <c r="N599"/>
      <c r="O599"/>
    </row>
    <row r="600" spans="1:15">
      <c r="A600" s="7" t="s">
        <v>1941</v>
      </c>
      <c r="B600" s="7" t="s">
        <v>1496</v>
      </c>
      <c r="C600" s="7" t="s">
        <v>1942</v>
      </c>
      <c r="E600" s="7" t="s">
        <v>1589</v>
      </c>
      <c r="F600" s="7">
        <v>172400</v>
      </c>
      <c r="G600" s="7">
        <v>17</v>
      </c>
      <c r="H600" s="7">
        <v>24</v>
      </c>
      <c r="I600" s="7">
        <v>0</v>
      </c>
      <c r="K600"/>
      <c r="L600"/>
      <c r="M600"/>
      <c r="N600"/>
      <c r="O600"/>
    </row>
    <row r="601" spans="1:15">
      <c r="A601" s="7" t="s">
        <v>1941</v>
      </c>
      <c r="B601" s="7" t="s">
        <v>1496</v>
      </c>
      <c r="C601" s="7" t="s">
        <v>1942</v>
      </c>
      <c r="D601" s="7" t="s">
        <v>1946</v>
      </c>
      <c r="E601" s="7" t="s">
        <v>1527</v>
      </c>
      <c r="F601" s="7">
        <v>190000</v>
      </c>
      <c r="G601" s="7">
        <v>19</v>
      </c>
      <c r="H601" s="7">
        <v>0</v>
      </c>
      <c r="I601" s="7">
        <v>0</v>
      </c>
      <c r="K601"/>
      <c r="L601"/>
      <c r="M601"/>
      <c r="N601"/>
      <c r="O601"/>
    </row>
    <row r="602" spans="1:15">
      <c r="A602" s="7" t="s">
        <v>1941</v>
      </c>
      <c r="B602" s="7" t="s">
        <v>1496</v>
      </c>
      <c r="C602" s="7" t="s">
        <v>1942</v>
      </c>
      <c r="E602" s="7" t="s">
        <v>1618</v>
      </c>
      <c r="F602" s="7">
        <v>191000</v>
      </c>
      <c r="G602" s="7">
        <v>19</v>
      </c>
      <c r="H602" s="7">
        <v>10</v>
      </c>
      <c r="I602" s="7">
        <v>0</v>
      </c>
      <c r="K602"/>
      <c r="L602"/>
      <c r="M602"/>
      <c r="N602"/>
      <c r="O602"/>
    </row>
    <row r="603" spans="1:15">
      <c r="A603" s="7" t="s">
        <v>1941</v>
      </c>
      <c r="B603" s="7" t="s">
        <v>1496</v>
      </c>
      <c r="C603" s="7" t="s">
        <v>1942</v>
      </c>
      <c r="E603" s="7" t="s">
        <v>1620</v>
      </c>
      <c r="F603" s="7">
        <v>191100</v>
      </c>
      <c r="G603" s="7">
        <v>19</v>
      </c>
      <c r="H603" s="7">
        <v>11</v>
      </c>
      <c r="I603" s="7">
        <v>0</v>
      </c>
      <c r="K603"/>
      <c r="L603"/>
      <c r="M603"/>
      <c r="N603"/>
      <c r="O603"/>
    </row>
    <row r="604" spans="1:15">
      <c r="A604" s="7" t="s">
        <v>1941</v>
      </c>
      <c r="B604" s="7" t="s">
        <v>1496</v>
      </c>
      <c r="C604" s="7" t="s">
        <v>1942</v>
      </c>
      <c r="E604" s="7" t="s">
        <v>1622</v>
      </c>
      <c r="F604" s="7">
        <v>191200</v>
      </c>
      <c r="G604" s="7">
        <v>19</v>
      </c>
      <c r="H604" s="7">
        <v>12</v>
      </c>
      <c r="I604" s="7">
        <v>0</v>
      </c>
      <c r="K604"/>
      <c r="L604"/>
      <c r="M604"/>
      <c r="N604"/>
      <c r="O604"/>
    </row>
    <row r="605" spans="1:15">
      <c r="A605" s="7" t="s">
        <v>1941</v>
      </c>
      <c r="B605" s="7" t="s">
        <v>1496</v>
      </c>
      <c r="C605" s="7" t="s">
        <v>1942</v>
      </c>
      <c r="E605" s="7" t="s">
        <v>1512</v>
      </c>
      <c r="F605" s="7">
        <v>191300</v>
      </c>
      <c r="G605" s="7">
        <v>19</v>
      </c>
      <c r="H605" s="7">
        <v>13</v>
      </c>
      <c r="I605" s="7">
        <v>0</v>
      </c>
      <c r="K605"/>
      <c r="L605"/>
      <c r="M605"/>
      <c r="N605"/>
      <c r="O605"/>
    </row>
    <row r="606" spans="1:15">
      <c r="A606" s="7" t="s">
        <v>1941</v>
      </c>
      <c r="B606" s="7" t="s">
        <v>1496</v>
      </c>
      <c r="C606" s="7" t="s">
        <v>1942</v>
      </c>
      <c r="E606" s="7" t="s">
        <v>1625</v>
      </c>
      <c r="F606" s="7">
        <v>191400</v>
      </c>
      <c r="G606" s="7">
        <v>19</v>
      </c>
      <c r="H606" s="7">
        <v>14</v>
      </c>
      <c r="I606" s="7">
        <v>0</v>
      </c>
      <c r="K606"/>
      <c r="L606"/>
      <c r="M606"/>
      <c r="N606"/>
      <c r="O606"/>
    </row>
    <row r="607" spans="1:15">
      <c r="A607" s="7" t="s">
        <v>1941</v>
      </c>
      <c r="B607" s="7" t="s">
        <v>1496</v>
      </c>
      <c r="C607" s="7" t="s">
        <v>1942</v>
      </c>
      <c r="E607" s="7" t="s">
        <v>1516</v>
      </c>
      <c r="F607" s="7">
        <v>191500</v>
      </c>
      <c r="G607" s="7">
        <v>19</v>
      </c>
      <c r="H607" s="7">
        <v>15</v>
      </c>
      <c r="I607" s="7">
        <v>0</v>
      </c>
      <c r="K607"/>
      <c r="L607"/>
      <c r="M607"/>
      <c r="N607"/>
      <c r="O607"/>
    </row>
    <row r="608" spans="1:15">
      <c r="A608" s="7" t="s">
        <v>1941</v>
      </c>
      <c r="B608" s="7" t="s">
        <v>1496</v>
      </c>
      <c r="C608" s="7" t="s">
        <v>1942</v>
      </c>
      <c r="E608" s="7" t="s">
        <v>1552</v>
      </c>
      <c r="F608" s="7">
        <v>191600</v>
      </c>
      <c r="G608" s="7">
        <v>19</v>
      </c>
      <c r="H608" s="7">
        <v>16</v>
      </c>
      <c r="I608" s="7">
        <v>0</v>
      </c>
      <c r="K608"/>
      <c r="L608"/>
      <c r="M608"/>
      <c r="N608"/>
      <c r="O608"/>
    </row>
    <row r="609" spans="1:15">
      <c r="A609" s="7" t="s">
        <v>1941</v>
      </c>
      <c r="B609" s="7" t="s">
        <v>1496</v>
      </c>
      <c r="C609" s="7" t="s">
        <v>1942</v>
      </c>
      <c r="E609" s="7" t="s">
        <v>1588</v>
      </c>
      <c r="F609" s="7">
        <v>191700</v>
      </c>
      <c r="G609" s="7">
        <v>19</v>
      </c>
      <c r="H609" s="7">
        <v>17</v>
      </c>
      <c r="I609" s="7">
        <v>0</v>
      </c>
      <c r="K609"/>
      <c r="L609"/>
      <c r="M609"/>
      <c r="N609"/>
      <c r="O609"/>
    </row>
    <row r="610" spans="1:15">
      <c r="A610" s="7" t="s">
        <v>1941</v>
      </c>
      <c r="B610" s="7" t="s">
        <v>1496</v>
      </c>
      <c r="C610" s="7" t="s">
        <v>1942</v>
      </c>
      <c r="E610" s="7" t="s">
        <v>1626</v>
      </c>
      <c r="F610" s="7">
        <v>191800</v>
      </c>
      <c r="G610" s="7">
        <v>19</v>
      </c>
      <c r="H610" s="7">
        <v>18</v>
      </c>
      <c r="I610" s="7">
        <v>0</v>
      </c>
      <c r="K610"/>
      <c r="L610"/>
      <c r="M610"/>
      <c r="N610"/>
      <c r="O610"/>
    </row>
    <row r="611" spans="1:15">
      <c r="A611" s="7" t="s">
        <v>1941</v>
      </c>
      <c r="B611" s="7" t="s">
        <v>1496</v>
      </c>
      <c r="C611" s="7" t="s">
        <v>1942</v>
      </c>
      <c r="E611" s="7" t="s">
        <v>1690</v>
      </c>
      <c r="F611" s="7">
        <v>191810</v>
      </c>
      <c r="G611" s="7">
        <v>19</v>
      </c>
      <c r="H611" s="7">
        <v>18</v>
      </c>
      <c r="I611" s="7">
        <v>10</v>
      </c>
      <c r="K611"/>
      <c r="L611"/>
      <c r="M611"/>
      <c r="N611"/>
      <c r="O611"/>
    </row>
    <row r="612" spans="1:15">
      <c r="A612" s="7" t="s">
        <v>1941</v>
      </c>
      <c r="B612" s="7" t="s">
        <v>1496</v>
      </c>
      <c r="C612" s="7" t="s">
        <v>1942</v>
      </c>
      <c r="E612" s="7" t="s">
        <v>1642</v>
      </c>
      <c r="F612" s="7">
        <v>191900</v>
      </c>
      <c r="G612" s="7">
        <v>19</v>
      </c>
      <c r="H612" s="7">
        <v>19</v>
      </c>
      <c r="I612" s="7">
        <v>0</v>
      </c>
      <c r="K612"/>
      <c r="L612"/>
      <c r="M612"/>
      <c r="N612"/>
      <c r="O612"/>
    </row>
    <row r="613" spans="1:15">
      <c r="A613" s="7" t="s">
        <v>1941</v>
      </c>
      <c r="B613" s="7" t="s">
        <v>1496</v>
      </c>
      <c r="C613" s="7" t="s">
        <v>1942</v>
      </c>
      <c r="E613" s="7" t="s">
        <v>1677</v>
      </c>
      <c r="F613" s="7">
        <v>192000</v>
      </c>
      <c r="G613" s="7">
        <v>19</v>
      </c>
      <c r="H613" s="7">
        <v>20</v>
      </c>
      <c r="I613" s="7">
        <v>0</v>
      </c>
      <c r="K613"/>
      <c r="L613"/>
      <c r="M613"/>
      <c r="N613"/>
      <c r="O613"/>
    </row>
    <row r="614" spans="1:15">
      <c r="A614" s="7" t="s">
        <v>1941</v>
      </c>
      <c r="B614" s="7" t="s">
        <v>1496</v>
      </c>
      <c r="C614" s="7" t="s">
        <v>1942</v>
      </c>
      <c r="E614" s="7" t="s">
        <v>1691</v>
      </c>
      <c r="F614" s="7">
        <v>192500</v>
      </c>
      <c r="G614" s="7">
        <v>19</v>
      </c>
      <c r="H614" s="7">
        <v>25</v>
      </c>
      <c r="I614" s="7">
        <v>0</v>
      </c>
      <c r="K614"/>
      <c r="L614"/>
      <c r="M614"/>
      <c r="N614"/>
      <c r="O614"/>
    </row>
    <row r="615" spans="1:15">
      <c r="A615" s="7" t="s">
        <v>1941</v>
      </c>
      <c r="B615" s="7" t="s">
        <v>1496</v>
      </c>
      <c r="C615" s="7" t="s">
        <v>1942</v>
      </c>
      <c r="E615" s="7" t="s">
        <v>1692</v>
      </c>
      <c r="F615" s="7">
        <v>192510</v>
      </c>
      <c r="G615" s="7">
        <v>19</v>
      </c>
      <c r="H615" s="7">
        <v>25</v>
      </c>
      <c r="I615" s="7">
        <v>10</v>
      </c>
      <c r="K615"/>
      <c r="L615"/>
      <c r="M615"/>
      <c r="N615"/>
      <c r="O615"/>
    </row>
    <row r="616" spans="1:15">
      <c r="A616" s="7" t="s">
        <v>1941</v>
      </c>
      <c r="B616" s="7" t="s">
        <v>1496</v>
      </c>
      <c r="C616" s="7" t="s">
        <v>1942</v>
      </c>
      <c r="E616" s="7" t="s">
        <v>1695</v>
      </c>
      <c r="F616" s="7">
        <v>192520</v>
      </c>
      <c r="G616" s="7">
        <v>19</v>
      </c>
      <c r="H616" s="7">
        <v>25</v>
      </c>
      <c r="I616" s="7">
        <v>20</v>
      </c>
      <c r="K616"/>
      <c r="L616"/>
      <c r="M616"/>
      <c r="N616"/>
      <c r="O616"/>
    </row>
    <row r="617" spans="1:15">
      <c r="A617" s="7" t="s">
        <v>1941</v>
      </c>
      <c r="B617" s="7" t="s">
        <v>1496</v>
      </c>
      <c r="C617" s="7" t="s">
        <v>1942</v>
      </c>
      <c r="E617" s="7" t="s">
        <v>1697</v>
      </c>
      <c r="F617" s="7">
        <v>192530</v>
      </c>
      <c r="G617" s="7">
        <v>19</v>
      </c>
      <c r="H617" s="7">
        <v>25</v>
      </c>
      <c r="I617" s="7">
        <v>30</v>
      </c>
      <c r="K617"/>
      <c r="L617"/>
      <c r="M617"/>
      <c r="N617"/>
      <c r="O617"/>
    </row>
    <row r="618" spans="1:15">
      <c r="A618" s="7" t="s">
        <v>1941</v>
      </c>
      <c r="B618" s="7" t="s">
        <v>1496</v>
      </c>
      <c r="C618" s="7" t="s">
        <v>1942</v>
      </c>
      <c r="E618" s="7" t="s">
        <v>1699</v>
      </c>
      <c r="F618" s="7">
        <v>192540</v>
      </c>
      <c r="G618" s="7">
        <v>19</v>
      </c>
      <c r="H618" s="7">
        <v>25</v>
      </c>
      <c r="I618" s="7">
        <v>40</v>
      </c>
      <c r="K618"/>
      <c r="L618"/>
      <c r="M618"/>
      <c r="N618"/>
      <c r="O618"/>
    </row>
    <row r="619" spans="1:15">
      <c r="A619" s="7" t="s">
        <v>1941</v>
      </c>
      <c r="B619" s="7" t="s">
        <v>1496</v>
      </c>
      <c r="C619" s="7" t="s">
        <v>1942</v>
      </c>
      <c r="E619" s="7" t="s">
        <v>1701</v>
      </c>
      <c r="F619" s="7">
        <v>192550</v>
      </c>
      <c r="G619" s="7">
        <v>19</v>
      </c>
      <c r="H619" s="7">
        <v>25</v>
      </c>
      <c r="I619" s="7">
        <v>50</v>
      </c>
      <c r="K619"/>
      <c r="L619"/>
      <c r="M619"/>
      <c r="N619"/>
      <c r="O619"/>
    </row>
    <row r="620" spans="1:15">
      <c r="A620" s="7" t="s">
        <v>1941</v>
      </c>
      <c r="B620" s="7" t="s">
        <v>1496</v>
      </c>
      <c r="C620" s="7" t="s">
        <v>1942</v>
      </c>
      <c r="E620" s="7" t="s">
        <v>1703</v>
      </c>
      <c r="F620" s="7">
        <v>192560</v>
      </c>
      <c r="G620" s="7">
        <v>19</v>
      </c>
      <c r="H620" s="7">
        <v>25</v>
      </c>
      <c r="I620" s="7">
        <v>60</v>
      </c>
      <c r="K620"/>
      <c r="L620"/>
      <c r="M620"/>
      <c r="N620"/>
      <c r="O620"/>
    </row>
    <row r="621" spans="1:15">
      <c r="A621" s="7" t="s">
        <v>1941</v>
      </c>
      <c r="B621" s="7" t="s">
        <v>1496</v>
      </c>
      <c r="C621" s="7" t="s">
        <v>1942</v>
      </c>
      <c r="E621" s="7" t="s">
        <v>1705</v>
      </c>
      <c r="F621" s="7">
        <v>192600</v>
      </c>
      <c r="G621" s="7">
        <v>19</v>
      </c>
      <c r="H621" s="7">
        <v>26</v>
      </c>
      <c r="I621" s="7">
        <v>0</v>
      </c>
      <c r="K621"/>
      <c r="L621"/>
      <c r="M621"/>
      <c r="N621"/>
      <c r="O621"/>
    </row>
    <row r="622" spans="1:15">
      <c r="A622" s="7" t="s">
        <v>1941</v>
      </c>
      <c r="B622" s="7" t="s">
        <v>1496</v>
      </c>
      <c r="C622" s="7" t="s">
        <v>1942</v>
      </c>
      <c r="E622" s="7" t="s">
        <v>1692</v>
      </c>
      <c r="F622" s="7">
        <v>192610</v>
      </c>
      <c r="G622" s="7">
        <v>19</v>
      </c>
      <c r="H622" s="7">
        <v>26</v>
      </c>
      <c r="I622" s="7">
        <v>10</v>
      </c>
      <c r="K622"/>
      <c r="L622"/>
      <c r="M622"/>
      <c r="N622"/>
      <c r="O622"/>
    </row>
    <row r="623" spans="1:15">
      <c r="A623" s="7" t="s">
        <v>1941</v>
      </c>
      <c r="B623" s="7" t="s">
        <v>1496</v>
      </c>
      <c r="C623" s="7" t="s">
        <v>1942</v>
      </c>
      <c r="E623" s="7" t="s">
        <v>1695</v>
      </c>
      <c r="F623" s="7">
        <v>192620</v>
      </c>
      <c r="G623" s="7">
        <v>19</v>
      </c>
      <c r="H623" s="7">
        <v>26</v>
      </c>
      <c r="I623" s="7">
        <v>20</v>
      </c>
      <c r="K623"/>
      <c r="L623"/>
      <c r="M623"/>
      <c r="N623"/>
      <c r="O623"/>
    </row>
    <row r="624" spans="1:15">
      <c r="A624" s="7" t="s">
        <v>1941</v>
      </c>
      <c r="B624" s="7" t="s">
        <v>1496</v>
      </c>
      <c r="C624" s="7" t="s">
        <v>1942</v>
      </c>
      <c r="E624" s="7" t="s">
        <v>1697</v>
      </c>
      <c r="F624" s="7">
        <v>192630</v>
      </c>
      <c r="G624" s="7">
        <v>19</v>
      </c>
      <c r="H624" s="7">
        <v>26</v>
      </c>
      <c r="I624" s="7">
        <v>30</v>
      </c>
      <c r="K624"/>
      <c r="L624"/>
      <c r="M624"/>
      <c r="N624"/>
      <c r="O624"/>
    </row>
    <row r="625" spans="1:15">
      <c r="A625" s="7" t="s">
        <v>1941</v>
      </c>
      <c r="B625" s="7" t="s">
        <v>1496</v>
      </c>
      <c r="C625" s="7" t="s">
        <v>1942</v>
      </c>
      <c r="E625" s="7" t="s">
        <v>1699</v>
      </c>
      <c r="F625" s="7">
        <v>192640</v>
      </c>
      <c r="G625" s="7">
        <v>19</v>
      </c>
      <c r="H625" s="7">
        <v>26</v>
      </c>
      <c r="I625" s="7">
        <v>40</v>
      </c>
      <c r="K625"/>
      <c r="L625"/>
      <c r="M625"/>
      <c r="N625"/>
      <c r="O625"/>
    </row>
    <row r="626" spans="1:15">
      <c r="A626" s="7" t="s">
        <v>1941</v>
      </c>
      <c r="B626" s="7" t="s">
        <v>1496</v>
      </c>
      <c r="C626" s="7" t="s">
        <v>1942</v>
      </c>
      <c r="E626" s="7" t="s">
        <v>1701</v>
      </c>
      <c r="F626" s="7">
        <v>192650</v>
      </c>
      <c r="G626" s="7">
        <v>19</v>
      </c>
      <c r="H626" s="7">
        <v>26</v>
      </c>
      <c r="I626" s="7">
        <v>50</v>
      </c>
      <c r="K626"/>
      <c r="L626"/>
      <c r="M626"/>
      <c r="N626"/>
      <c r="O626"/>
    </row>
    <row r="627" spans="1:15">
      <c r="A627" s="7" t="s">
        <v>1941</v>
      </c>
      <c r="B627" s="7" t="s">
        <v>1496</v>
      </c>
      <c r="C627" s="7" t="s">
        <v>1942</v>
      </c>
      <c r="E627" s="7" t="s">
        <v>1713</v>
      </c>
      <c r="F627" s="7">
        <v>192700</v>
      </c>
      <c r="G627" s="7">
        <v>19</v>
      </c>
      <c r="H627" s="7">
        <v>27</v>
      </c>
      <c r="I627" s="7">
        <v>0</v>
      </c>
      <c r="K627"/>
      <c r="L627"/>
      <c r="M627"/>
      <c r="N627"/>
      <c r="O627"/>
    </row>
    <row r="628" spans="1:15">
      <c r="A628" s="7" t="s">
        <v>1941</v>
      </c>
      <c r="B628" s="7" t="s">
        <v>1496</v>
      </c>
      <c r="C628" s="7" t="s">
        <v>1942</v>
      </c>
      <c r="E628" s="7" t="s">
        <v>1692</v>
      </c>
      <c r="F628" s="7">
        <v>192710</v>
      </c>
      <c r="G628" s="7">
        <v>19</v>
      </c>
      <c r="H628" s="7">
        <v>27</v>
      </c>
      <c r="I628" s="7">
        <v>10</v>
      </c>
      <c r="K628"/>
      <c r="L628"/>
      <c r="M628"/>
      <c r="N628"/>
      <c r="O628"/>
    </row>
    <row r="629" spans="1:15">
      <c r="A629" s="7" t="s">
        <v>1941</v>
      </c>
      <c r="B629" s="7" t="s">
        <v>1496</v>
      </c>
      <c r="C629" s="7" t="s">
        <v>1942</v>
      </c>
      <c r="D629" s="7" t="s">
        <v>1947</v>
      </c>
      <c r="E629" s="7" t="s">
        <v>1519</v>
      </c>
      <c r="F629" s="7">
        <v>200000</v>
      </c>
      <c r="G629" s="7">
        <v>20</v>
      </c>
      <c r="H629" s="7">
        <v>0</v>
      </c>
      <c r="I629" s="7">
        <v>0</v>
      </c>
      <c r="K629"/>
      <c r="L629"/>
      <c r="M629"/>
      <c r="N629"/>
      <c r="O629"/>
    </row>
    <row r="630" spans="1:15">
      <c r="A630" s="7" t="s">
        <v>1941</v>
      </c>
      <c r="B630" s="7" t="s">
        <v>1496</v>
      </c>
      <c r="C630" s="7" t="s">
        <v>1942</v>
      </c>
      <c r="E630" s="7" t="s">
        <v>1721</v>
      </c>
      <c r="F630" s="7">
        <v>201100</v>
      </c>
      <c r="G630" s="7">
        <v>20</v>
      </c>
      <c r="H630" s="7">
        <v>11</v>
      </c>
      <c r="I630" s="7">
        <v>0</v>
      </c>
      <c r="K630"/>
      <c r="L630"/>
      <c r="M630"/>
      <c r="N630"/>
      <c r="O630"/>
    </row>
    <row r="631" spans="1:15">
      <c r="A631" s="7" t="s">
        <v>1941</v>
      </c>
      <c r="B631" s="7" t="s">
        <v>1496</v>
      </c>
      <c r="C631" s="7" t="s">
        <v>1942</v>
      </c>
      <c r="E631" s="7" t="s">
        <v>1723</v>
      </c>
      <c r="F631" s="7">
        <v>201200</v>
      </c>
      <c r="G631" s="7">
        <v>20</v>
      </c>
      <c r="H631" s="7">
        <v>12</v>
      </c>
      <c r="I631" s="7">
        <v>0</v>
      </c>
      <c r="K631"/>
      <c r="L631"/>
      <c r="M631"/>
      <c r="N631"/>
      <c r="O631"/>
    </row>
    <row r="632" spans="1:15">
      <c r="A632" s="7" t="s">
        <v>1941</v>
      </c>
      <c r="B632" s="7" t="s">
        <v>1496</v>
      </c>
      <c r="C632" s="7" t="s">
        <v>1942</v>
      </c>
      <c r="E632" s="7" t="s">
        <v>1726</v>
      </c>
      <c r="F632" s="7">
        <v>201300</v>
      </c>
      <c r="G632" s="7">
        <v>20</v>
      </c>
      <c r="H632" s="7">
        <v>13</v>
      </c>
      <c r="I632" s="7">
        <v>0</v>
      </c>
      <c r="K632"/>
      <c r="L632"/>
      <c r="M632"/>
      <c r="N632"/>
      <c r="O632"/>
    </row>
    <row r="633" spans="1:15">
      <c r="A633" s="7" t="s">
        <v>1941</v>
      </c>
      <c r="B633" s="7" t="s">
        <v>1496</v>
      </c>
      <c r="C633" s="7" t="s">
        <v>1942</v>
      </c>
      <c r="E633" s="7" t="s">
        <v>1728</v>
      </c>
      <c r="F633" s="7">
        <v>201400</v>
      </c>
      <c r="G633" s="7">
        <v>20</v>
      </c>
      <c r="H633" s="7">
        <v>14</v>
      </c>
      <c r="I633" s="7">
        <v>0</v>
      </c>
      <c r="K633"/>
      <c r="L633"/>
      <c r="M633"/>
      <c r="N633"/>
      <c r="O633"/>
    </row>
    <row r="634" spans="1:15">
      <c r="A634" s="7" t="s">
        <v>1941</v>
      </c>
      <c r="B634" s="7" t="s">
        <v>1496</v>
      </c>
      <c r="C634" s="7" t="s">
        <v>1942</v>
      </c>
      <c r="D634" s="7" t="s">
        <v>1948</v>
      </c>
      <c r="E634" s="7" t="s">
        <v>1568</v>
      </c>
      <c r="F634" s="7">
        <v>230000</v>
      </c>
      <c r="G634" s="7">
        <v>23</v>
      </c>
      <c r="H634" s="7">
        <v>0</v>
      </c>
      <c r="I634" s="7">
        <v>0</v>
      </c>
      <c r="K634"/>
      <c r="L634"/>
      <c r="M634"/>
      <c r="N634"/>
      <c r="O634"/>
    </row>
    <row r="635" spans="1:15">
      <c r="A635" s="7" t="s">
        <v>1941</v>
      </c>
      <c r="B635" s="7" t="s">
        <v>1496</v>
      </c>
      <c r="C635" s="7" t="s">
        <v>1942</v>
      </c>
      <c r="E635" s="7" t="s">
        <v>145</v>
      </c>
      <c r="F635" s="7">
        <v>231000</v>
      </c>
      <c r="G635" s="7">
        <v>23</v>
      </c>
      <c r="H635" s="7">
        <v>10</v>
      </c>
      <c r="I635" s="7">
        <v>0</v>
      </c>
      <c r="K635"/>
      <c r="L635"/>
      <c r="M635"/>
      <c r="N635"/>
      <c r="O635"/>
    </row>
    <row r="636" spans="1:15">
      <c r="A636" s="7" t="s">
        <v>1941</v>
      </c>
      <c r="B636" s="7" t="s">
        <v>1496</v>
      </c>
      <c r="C636" s="7" t="s">
        <v>1942</v>
      </c>
      <c r="E636" s="7" t="s">
        <v>1527</v>
      </c>
      <c r="F636" s="7">
        <v>231100</v>
      </c>
      <c r="G636" s="7">
        <v>23</v>
      </c>
      <c r="H636" s="7">
        <v>11</v>
      </c>
      <c r="I636" s="7">
        <v>0</v>
      </c>
      <c r="K636"/>
      <c r="L636"/>
      <c r="M636"/>
      <c r="N636"/>
      <c r="O636"/>
    </row>
    <row r="637" spans="1:15">
      <c r="A637" s="7" t="s">
        <v>1941</v>
      </c>
      <c r="B637" s="7" t="s">
        <v>1496</v>
      </c>
      <c r="C637" s="7" t="s">
        <v>1942</v>
      </c>
      <c r="E637" s="7" t="s">
        <v>1521</v>
      </c>
      <c r="F637" s="7">
        <v>231200</v>
      </c>
      <c r="G637" s="7">
        <v>23</v>
      </c>
      <c r="H637" s="7">
        <v>12</v>
      </c>
      <c r="I637" s="7">
        <v>0</v>
      </c>
      <c r="K637"/>
      <c r="L637"/>
      <c r="M637"/>
      <c r="N637"/>
      <c r="O637"/>
    </row>
    <row r="638" spans="1:15">
      <c r="A638" s="7" t="s">
        <v>1941</v>
      </c>
      <c r="B638" s="7" t="s">
        <v>1496</v>
      </c>
      <c r="C638" s="7" t="s">
        <v>1942</v>
      </c>
      <c r="D638" s="7" t="s">
        <v>1949</v>
      </c>
      <c r="E638" s="7" t="s">
        <v>1645</v>
      </c>
      <c r="F638" s="7">
        <v>780000</v>
      </c>
      <c r="G638" s="7">
        <v>78</v>
      </c>
      <c r="H638" s="7">
        <v>0</v>
      </c>
      <c r="I638" s="7">
        <v>0</v>
      </c>
      <c r="K638"/>
      <c r="L638"/>
      <c r="M638"/>
      <c r="N638"/>
      <c r="O638"/>
    </row>
    <row r="639" spans="1:15">
      <c r="A639" s="7" t="s">
        <v>1941</v>
      </c>
      <c r="B639" s="7" t="s">
        <v>1496</v>
      </c>
      <c r="C639" s="7" t="s">
        <v>1942</v>
      </c>
      <c r="E639" s="7" t="s">
        <v>1841</v>
      </c>
      <c r="F639" s="7">
        <v>781100</v>
      </c>
      <c r="G639" s="7">
        <v>78</v>
      </c>
      <c r="H639" s="7">
        <v>11</v>
      </c>
      <c r="I639" s="7">
        <v>0</v>
      </c>
      <c r="K639"/>
      <c r="L639"/>
      <c r="M639"/>
      <c r="N639"/>
      <c r="O639"/>
    </row>
    <row r="640" spans="1:15">
      <c r="A640" s="7" t="s">
        <v>1941</v>
      </c>
      <c r="B640" s="7" t="s">
        <v>1496</v>
      </c>
      <c r="C640" s="7" t="s">
        <v>1942</v>
      </c>
      <c r="E640" s="7" t="s">
        <v>1516</v>
      </c>
      <c r="F640" s="7">
        <v>781200</v>
      </c>
      <c r="G640" s="7">
        <v>78</v>
      </c>
      <c r="H640" s="7">
        <v>12</v>
      </c>
      <c r="I640" s="7">
        <v>0</v>
      </c>
      <c r="K640"/>
      <c r="L640"/>
      <c r="M640"/>
      <c r="N640"/>
      <c r="O640"/>
    </row>
    <row r="641" spans="1:15">
      <c r="A641" s="7" t="s">
        <v>1941</v>
      </c>
      <c r="B641" s="7" t="s">
        <v>1496</v>
      </c>
      <c r="C641" s="7" t="s">
        <v>1942</v>
      </c>
      <c r="E641" s="7" t="s">
        <v>1843</v>
      </c>
      <c r="F641" s="7">
        <v>781300</v>
      </c>
      <c r="G641" s="7">
        <v>78</v>
      </c>
      <c r="H641" s="7">
        <v>13</v>
      </c>
      <c r="I641" s="7">
        <v>0</v>
      </c>
      <c r="K641"/>
      <c r="L641"/>
      <c r="M641"/>
      <c r="N641"/>
      <c r="O641"/>
    </row>
    <row r="642" spans="1:15">
      <c r="A642" s="7" t="s">
        <v>1941</v>
      </c>
      <c r="B642" s="7" t="s">
        <v>1496</v>
      </c>
      <c r="C642" s="7" t="s">
        <v>1942</v>
      </c>
      <c r="E642" s="7" t="s">
        <v>1844</v>
      </c>
      <c r="F642" s="7">
        <v>781400</v>
      </c>
      <c r="G642" s="7">
        <v>78</v>
      </c>
      <c r="H642" s="7">
        <v>14</v>
      </c>
      <c r="I642" s="7">
        <v>0</v>
      </c>
      <c r="K642"/>
      <c r="L642"/>
      <c r="M642"/>
      <c r="N642"/>
      <c r="O642"/>
    </row>
    <row r="643" spans="1:15">
      <c r="A643" s="7" t="s">
        <v>1941</v>
      </c>
      <c r="B643" s="7" t="s">
        <v>1496</v>
      </c>
      <c r="C643" s="7" t="s">
        <v>1942</v>
      </c>
      <c r="D643" s="7" t="s">
        <v>1950</v>
      </c>
      <c r="E643" s="7" t="s">
        <v>1523</v>
      </c>
      <c r="F643" s="7">
        <v>790000</v>
      </c>
      <c r="G643" s="7">
        <v>79</v>
      </c>
      <c r="H643" s="7">
        <v>0</v>
      </c>
      <c r="I643" s="7">
        <v>0</v>
      </c>
      <c r="K643"/>
      <c r="L643"/>
      <c r="M643"/>
      <c r="N643"/>
      <c r="O643"/>
    </row>
    <row r="644" spans="1:15">
      <c r="A644" s="7" t="s">
        <v>1941</v>
      </c>
      <c r="B644" s="7" t="s">
        <v>1496</v>
      </c>
      <c r="C644" s="7" t="s">
        <v>1942</v>
      </c>
      <c r="E644" s="7" t="s">
        <v>504</v>
      </c>
      <c r="F644" s="7">
        <v>909000</v>
      </c>
      <c r="G644" s="7">
        <v>90</v>
      </c>
      <c r="H644" s="7">
        <v>90</v>
      </c>
      <c r="I644" s="7">
        <v>0</v>
      </c>
      <c r="K644"/>
      <c r="L644"/>
      <c r="M644"/>
      <c r="N644"/>
      <c r="O644"/>
    </row>
    <row r="645" spans="1:15">
      <c r="A645" s="7" t="s">
        <v>1951</v>
      </c>
      <c r="B645" s="7" t="s">
        <v>1496</v>
      </c>
      <c r="C645" s="7" t="s">
        <v>329</v>
      </c>
      <c r="D645" s="7" t="s">
        <v>1952</v>
      </c>
      <c r="E645" s="7" t="s">
        <v>1707</v>
      </c>
      <c r="F645" s="7">
        <v>900000</v>
      </c>
      <c r="G645" s="7">
        <v>90</v>
      </c>
      <c r="H645" s="7">
        <v>0</v>
      </c>
      <c r="I645" s="7">
        <v>0</v>
      </c>
      <c r="K645"/>
      <c r="L645"/>
      <c r="M645"/>
      <c r="N645"/>
      <c r="O645"/>
    </row>
    <row r="646" spans="1:15">
      <c r="A646" s="7" t="s">
        <v>1951</v>
      </c>
      <c r="B646" s="7" t="s">
        <v>1496</v>
      </c>
      <c r="C646" s="7" t="s">
        <v>329</v>
      </c>
      <c r="E646" s="7" t="s">
        <v>1874</v>
      </c>
      <c r="F646" s="7">
        <v>901000</v>
      </c>
      <c r="G646" s="7">
        <v>90</v>
      </c>
      <c r="H646" s="7">
        <v>10</v>
      </c>
      <c r="I646" s="7">
        <v>0</v>
      </c>
      <c r="K646"/>
      <c r="L646"/>
      <c r="M646"/>
      <c r="N646"/>
      <c r="O646"/>
    </row>
    <row r="647" spans="1:15">
      <c r="A647" s="7" t="s">
        <v>1951</v>
      </c>
      <c r="B647" s="7" t="s">
        <v>1496</v>
      </c>
      <c r="C647" s="7" t="s">
        <v>329</v>
      </c>
      <c r="E647" s="7" t="s">
        <v>1875</v>
      </c>
      <c r="F647" s="7">
        <v>901100</v>
      </c>
      <c r="G647" s="7">
        <v>90</v>
      </c>
      <c r="H647" s="7">
        <v>11</v>
      </c>
      <c r="I647" s="7">
        <v>0</v>
      </c>
      <c r="K647"/>
      <c r="L647"/>
      <c r="M647"/>
      <c r="N647"/>
      <c r="O647"/>
    </row>
    <row r="648" spans="1:15">
      <c r="A648" s="7" t="s">
        <v>1951</v>
      </c>
      <c r="B648" s="7" t="s">
        <v>1496</v>
      </c>
      <c r="C648" s="7" t="s">
        <v>329</v>
      </c>
      <c r="E648" s="7" t="s">
        <v>1876</v>
      </c>
      <c r="F648" s="7">
        <v>901200</v>
      </c>
      <c r="G648" s="7">
        <v>90</v>
      </c>
      <c r="H648" s="7">
        <v>12</v>
      </c>
      <c r="I648" s="7">
        <v>0</v>
      </c>
      <c r="K648"/>
      <c r="L648"/>
      <c r="M648"/>
      <c r="N648"/>
      <c r="O648"/>
    </row>
    <row r="649" spans="1:15">
      <c r="A649" s="7" t="s">
        <v>1951</v>
      </c>
      <c r="B649" s="7" t="s">
        <v>1496</v>
      </c>
      <c r="C649" s="7" t="s">
        <v>329</v>
      </c>
      <c r="E649" s="7" t="s">
        <v>1877</v>
      </c>
      <c r="F649" s="7">
        <v>901300</v>
      </c>
      <c r="G649" s="7">
        <v>90</v>
      </c>
      <c r="H649" s="7">
        <v>13</v>
      </c>
      <c r="I649" s="7">
        <v>0</v>
      </c>
      <c r="K649"/>
      <c r="L649"/>
      <c r="M649"/>
      <c r="N649"/>
      <c r="O649"/>
    </row>
    <row r="650" spans="1:15">
      <c r="A650" s="7" t="s">
        <v>1951</v>
      </c>
      <c r="B650" s="7" t="s">
        <v>1496</v>
      </c>
      <c r="C650" s="7" t="s">
        <v>329</v>
      </c>
      <c r="E650" s="7" t="s">
        <v>1878</v>
      </c>
      <c r="F650" s="7">
        <v>901400</v>
      </c>
      <c r="G650" s="7">
        <v>90</v>
      </c>
      <c r="H650" s="7">
        <v>14</v>
      </c>
      <c r="I650" s="7">
        <v>0</v>
      </c>
      <c r="K650"/>
      <c r="L650"/>
      <c r="M650"/>
      <c r="N650"/>
      <c r="O650"/>
    </row>
    <row r="651" spans="1:15">
      <c r="A651" s="7" t="s">
        <v>1951</v>
      </c>
      <c r="B651" s="7" t="s">
        <v>1496</v>
      </c>
      <c r="C651" s="7" t="s">
        <v>329</v>
      </c>
      <c r="E651" s="7" t="s">
        <v>1873</v>
      </c>
      <c r="F651" s="7">
        <v>901500</v>
      </c>
      <c r="G651" s="7">
        <v>90</v>
      </c>
      <c r="H651" s="7">
        <v>15</v>
      </c>
      <c r="I651" s="7">
        <v>0</v>
      </c>
      <c r="K651"/>
      <c r="L651"/>
      <c r="M651"/>
      <c r="N651"/>
      <c r="O651"/>
    </row>
    <row r="652" spans="1:15">
      <c r="A652" s="7" t="s">
        <v>1951</v>
      </c>
      <c r="B652" s="7" t="s">
        <v>1496</v>
      </c>
      <c r="C652" s="7" t="s">
        <v>329</v>
      </c>
      <c r="E652" s="7" t="s">
        <v>1879</v>
      </c>
      <c r="F652" s="7">
        <v>901600</v>
      </c>
      <c r="G652" s="7">
        <v>90</v>
      </c>
      <c r="H652" s="7">
        <v>16</v>
      </c>
      <c r="I652" s="7">
        <v>0</v>
      </c>
      <c r="K652"/>
      <c r="L652"/>
      <c r="M652"/>
      <c r="N652"/>
      <c r="O652"/>
    </row>
    <row r="653" spans="1:15">
      <c r="A653" s="7" t="s">
        <v>1951</v>
      </c>
      <c r="B653" s="7" t="s">
        <v>1496</v>
      </c>
      <c r="C653" s="7" t="s">
        <v>329</v>
      </c>
      <c r="E653" s="7" t="s">
        <v>1881</v>
      </c>
      <c r="F653" s="7">
        <v>901700</v>
      </c>
      <c r="G653" s="7">
        <v>90</v>
      </c>
      <c r="H653" s="7">
        <v>17</v>
      </c>
      <c r="I653" s="7">
        <v>0</v>
      </c>
      <c r="K653"/>
      <c r="L653"/>
      <c r="M653"/>
      <c r="N653"/>
      <c r="O653"/>
    </row>
    <row r="654" spans="1:15">
      <c r="A654" s="7" t="s">
        <v>1951</v>
      </c>
      <c r="B654" s="7" t="s">
        <v>1496</v>
      </c>
      <c r="C654" s="7" t="s">
        <v>329</v>
      </c>
      <c r="E654" s="7" t="s">
        <v>1882</v>
      </c>
      <c r="F654" s="7">
        <v>901800</v>
      </c>
      <c r="G654" s="7">
        <v>90</v>
      </c>
      <c r="H654" s="7">
        <v>18</v>
      </c>
      <c r="I654" s="7">
        <v>0</v>
      </c>
      <c r="K654"/>
      <c r="L654"/>
      <c r="M654"/>
      <c r="N654"/>
      <c r="O654"/>
    </row>
    <row r="655" spans="1:15">
      <c r="A655" s="7" t="s">
        <v>1951</v>
      </c>
      <c r="B655" s="7" t="s">
        <v>1496</v>
      </c>
      <c r="C655" s="7" t="s">
        <v>329</v>
      </c>
      <c r="E655" s="7" t="s">
        <v>1708</v>
      </c>
      <c r="F655" s="7">
        <v>901900</v>
      </c>
      <c r="G655" s="7">
        <v>90</v>
      </c>
      <c r="H655" s="7">
        <v>19</v>
      </c>
      <c r="I655" s="7">
        <v>0</v>
      </c>
      <c r="K655"/>
      <c r="L655"/>
      <c r="M655"/>
      <c r="N655"/>
      <c r="O655"/>
    </row>
    <row r="656" spans="1:15">
      <c r="A656" s="7" t="s">
        <v>1951</v>
      </c>
      <c r="B656" s="7" t="s">
        <v>1496</v>
      </c>
      <c r="C656" s="7" t="s">
        <v>329</v>
      </c>
      <c r="E656" s="7" t="s">
        <v>1886</v>
      </c>
      <c r="F656" s="7">
        <v>901910</v>
      </c>
      <c r="G656" s="7">
        <v>90</v>
      </c>
      <c r="H656" s="7">
        <v>19</v>
      </c>
      <c r="I656" s="7">
        <v>10</v>
      </c>
      <c r="K656"/>
      <c r="L656"/>
      <c r="M656"/>
      <c r="N656"/>
      <c r="O656"/>
    </row>
    <row r="657" spans="1:15">
      <c r="A657" s="7" t="s">
        <v>1951</v>
      </c>
      <c r="B657" s="7" t="s">
        <v>1496</v>
      </c>
      <c r="C657" s="7" t="s">
        <v>329</v>
      </c>
      <c r="E657" s="7" t="s">
        <v>1887</v>
      </c>
      <c r="F657" s="7">
        <v>901920</v>
      </c>
      <c r="G657" s="7">
        <v>90</v>
      </c>
      <c r="H657" s="7">
        <v>19</v>
      </c>
      <c r="I657" s="7">
        <v>20</v>
      </c>
      <c r="K657"/>
      <c r="L657"/>
      <c r="M657"/>
      <c r="N657"/>
      <c r="O657"/>
    </row>
    <row r="658" spans="1:15">
      <c r="A658" s="7" t="s">
        <v>1951</v>
      </c>
      <c r="B658" s="7" t="s">
        <v>1496</v>
      </c>
      <c r="C658" s="7" t="s">
        <v>329</v>
      </c>
      <c r="E658" s="7" t="s">
        <v>1888</v>
      </c>
      <c r="F658" s="7">
        <v>901930</v>
      </c>
      <c r="G658" s="7">
        <v>90</v>
      </c>
      <c r="H658" s="7">
        <v>19</v>
      </c>
      <c r="I658" s="7">
        <v>30</v>
      </c>
      <c r="K658"/>
      <c r="L658"/>
      <c r="M658"/>
      <c r="N658"/>
      <c r="O658"/>
    </row>
    <row r="659" spans="1:15">
      <c r="A659" s="7" t="s">
        <v>1951</v>
      </c>
      <c r="B659" s="7" t="s">
        <v>1496</v>
      </c>
      <c r="C659" s="7" t="s">
        <v>329</v>
      </c>
      <c r="E659" s="7" t="s">
        <v>1889</v>
      </c>
      <c r="F659" s="7">
        <v>901940</v>
      </c>
      <c r="G659" s="7">
        <v>90</v>
      </c>
      <c r="H659" s="7">
        <v>19</v>
      </c>
      <c r="I659" s="7">
        <v>40</v>
      </c>
      <c r="K659"/>
      <c r="L659"/>
      <c r="M659"/>
      <c r="N659"/>
      <c r="O659"/>
    </row>
    <row r="660" spans="1:15">
      <c r="A660" s="7" t="s">
        <v>1951</v>
      </c>
      <c r="B660" s="7" t="s">
        <v>1496</v>
      </c>
      <c r="C660" s="7" t="s">
        <v>329</v>
      </c>
      <c r="E660" s="7" t="s">
        <v>1890</v>
      </c>
      <c r="F660" s="7">
        <v>902000</v>
      </c>
      <c r="G660" s="7">
        <v>90</v>
      </c>
      <c r="H660" s="7">
        <v>20</v>
      </c>
      <c r="I660" s="7">
        <v>0</v>
      </c>
      <c r="K660"/>
      <c r="L660"/>
      <c r="M660"/>
      <c r="N660"/>
      <c r="O660"/>
    </row>
    <row r="661" spans="1:15">
      <c r="A661" s="7" t="s">
        <v>1951</v>
      </c>
      <c r="B661" s="7" t="s">
        <v>1496</v>
      </c>
      <c r="C661" s="7" t="s">
        <v>329</v>
      </c>
      <c r="E661" s="7" t="s">
        <v>1891</v>
      </c>
      <c r="F661" s="7">
        <v>902100</v>
      </c>
      <c r="G661" s="7">
        <v>90</v>
      </c>
      <c r="H661" s="7">
        <v>21</v>
      </c>
      <c r="I661" s="7">
        <v>0</v>
      </c>
      <c r="K661"/>
      <c r="L661"/>
      <c r="M661"/>
      <c r="N661"/>
      <c r="O661"/>
    </row>
    <row r="662" spans="1:15">
      <c r="A662" s="7" t="s">
        <v>1951</v>
      </c>
      <c r="B662" s="7" t="s">
        <v>1496</v>
      </c>
      <c r="C662" s="7" t="s">
        <v>329</v>
      </c>
      <c r="E662" s="7" t="s">
        <v>1892</v>
      </c>
      <c r="F662" s="7">
        <v>902200</v>
      </c>
      <c r="G662" s="7">
        <v>90</v>
      </c>
      <c r="H662" s="7">
        <v>22</v>
      </c>
      <c r="I662" s="7">
        <v>0</v>
      </c>
      <c r="K662"/>
      <c r="L662"/>
      <c r="M662"/>
      <c r="N662"/>
      <c r="O662"/>
    </row>
    <row r="663" spans="1:15">
      <c r="A663" s="7" t="s">
        <v>1953</v>
      </c>
      <c r="B663" s="7" t="s">
        <v>1496</v>
      </c>
      <c r="C663" s="7" t="s">
        <v>1954</v>
      </c>
      <c r="D663" s="7" t="s">
        <v>1955</v>
      </c>
      <c r="E663" s="7" t="s">
        <v>1503</v>
      </c>
      <c r="F663" s="7">
        <v>100000</v>
      </c>
      <c r="G663" s="7">
        <v>10</v>
      </c>
      <c r="H663" s="7">
        <v>0</v>
      </c>
      <c r="I663" s="7">
        <v>0</v>
      </c>
      <c r="K663"/>
      <c r="L663"/>
      <c r="M663"/>
      <c r="N663"/>
      <c r="O663"/>
    </row>
    <row r="664" spans="1:15">
      <c r="A664" s="7" t="s">
        <v>1953</v>
      </c>
      <c r="B664" s="7" t="s">
        <v>1496</v>
      </c>
      <c r="C664" s="7" t="s">
        <v>1954</v>
      </c>
      <c r="E664" s="7" t="s">
        <v>1501</v>
      </c>
      <c r="F664" s="7">
        <v>101000</v>
      </c>
      <c r="G664" s="7">
        <v>10</v>
      </c>
      <c r="H664" s="7">
        <v>10</v>
      </c>
      <c r="I664" s="7">
        <v>0</v>
      </c>
      <c r="K664"/>
      <c r="L664"/>
      <c r="M664"/>
      <c r="N664"/>
      <c r="O664"/>
    </row>
    <row r="665" spans="1:15">
      <c r="A665" s="7" t="s">
        <v>1953</v>
      </c>
      <c r="B665" s="7" t="s">
        <v>1496</v>
      </c>
      <c r="C665" s="7" t="s">
        <v>1954</v>
      </c>
      <c r="D665" s="7" t="s">
        <v>1956</v>
      </c>
      <c r="E665" s="7" t="s">
        <v>145</v>
      </c>
      <c r="F665" s="7">
        <v>140000</v>
      </c>
      <c r="G665" s="7">
        <v>14</v>
      </c>
      <c r="H665" s="7">
        <v>0</v>
      </c>
      <c r="I665" s="7">
        <v>0</v>
      </c>
      <c r="K665"/>
      <c r="L665"/>
      <c r="M665"/>
      <c r="N665"/>
      <c r="O665"/>
    </row>
    <row r="666" spans="1:15">
      <c r="A666" s="7" t="s">
        <v>1953</v>
      </c>
      <c r="B666" s="7" t="s">
        <v>1496</v>
      </c>
      <c r="C666" s="7" t="s">
        <v>1954</v>
      </c>
      <c r="E666" s="7" t="s">
        <v>1531</v>
      </c>
      <c r="F666" s="7">
        <v>141010</v>
      </c>
      <c r="G666" s="7">
        <v>14</v>
      </c>
      <c r="H666" s="7">
        <v>10</v>
      </c>
      <c r="I666" s="7">
        <v>10</v>
      </c>
      <c r="K666"/>
      <c r="L666"/>
      <c r="M666"/>
      <c r="N666"/>
      <c r="O666"/>
    </row>
    <row r="667" spans="1:15">
      <c r="A667" s="7" t="s">
        <v>1953</v>
      </c>
      <c r="B667" s="7" t="s">
        <v>1496</v>
      </c>
      <c r="C667" s="7" t="s">
        <v>1954</v>
      </c>
      <c r="E667" s="7" t="s">
        <v>1537</v>
      </c>
      <c r="F667" s="7">
        <v>141700</v>
      </c>
      <c r="G667" s="7">
        <v>14</v>
      </c>
      <c r="H667" s="7">
        <v>17</v>
      </c>
      <c r="I667" s="7">
        <v>0</v>
      </c>
      <c r="K667"/>
      <c r="L667"/>
      <c r="M667"/>
      <c r="N667"/>
      <c r="O667"/>
    </row>
    <row r="668" spans="1:15">
      <c r="A668" s="7" t="s">
        <v>1953</v>
      </c>
      <c r="B668" s="7" t="s">
        <v>1496</v>
      </c>
      <c r="C668" s="7" t="s">
        <v>1954</v>
      </c>
      <c r="E668" s="7" t="s">
        <v>1591</v>
      </c>
      <c r="F668" s="7">
        <v>142600</v>
      </c>
      <c r="G668" s="7">
        <v>14</v>
      </c>
      <c r="H668" s="7">
        <v>26</v>
      </c>
      <c r="I668" s="7">
        <v>0</v>
      </c>
      <c r="K668"/>
      <c r="L668"/>
      <c r="M668"/>
      <c r="N668"/>
      <c r="O668"/>
    </row>
    <row r="669" spans="1:15">
      <c r="A669" s="7" t="s">
        <v>1953</v>
      </c>
      <c r="B669" s="7" t="s">
        <v>1496</v>
      </c>
      <c r="C669" s="7" t="s">
        <v>1954</v>
      </c>
      <c r="E669" s="7" t="s">
        <v>1541</v>
      </c>
      <c r="F669" s="7">
        <v>142700</v>
      </c>
      <c r="G669" s="7">
        <v>14</v>
      </c>
      <c r="H669" s="7">
        <v>27</v>
      </c>
      <c r="I669" s="7">
        <v>0</v>
      </c>
      <c r="K669"/>
      <c r="L669"/>
      <c r="M669"/>
      <c r="N669"/>
      <c r="O669"/>
    </row>
    <row r="670" spans="1:15">
      <c r="A670" s="7" t="s">
        <v>1953</v>
      </c>
      <c r="B670" s="7" t="s">
        <v>1496</v>
      </c>
      <c r="C670" s="7" t="s">
        <v>1954</v>
      </c>
      <c r="D670" s="7" t="s">
        <v>1957</v>
      </c>
      <c r="E670" s="7" t="s">
        <v>1499</v>
      </c>
      <c r="F670" s="7">
        <v>160000</v>
      </c>
      <c r="G670" s="7">
        <v>16</v>
      </c>
      <c r="H670" s="7">
        <v>0</v>
      </c>
      <c r="I670" s="7">
        <v>0</v>
      </c>
      <c r="K670"/>
      <c r="L670"/>
      <c r="M670"/>
      <c r="N670"/>
      <c r="O670"/>
    </row>
    <row r="671" spans="1:15">
      <c r="A671" s="7" t="s">
        <v>1953</v>
      </c>
      <c r="B671" s="7" t="s">
        <v>1496</v>
      </c>
      <c r="C671" s="7" t="s">
        <v>1954</v>
      </c>
      <c r="E671" s="7" t="s">
        <v>1501</v>
      </c>
      <c r="F671" s="7">
        <v>161000</v>
      </c>
      <c r="G671" s="7">
        <v>16</v>
      </c>
      <c r="H671" s="7">
        <v>10</v>
      </c>
      <c r="I671" s="7">
        <v>0</v>
      </c>
      <c r="K671"/>
      <c r="L671"/>
      <c r="M671"/>
      <c r="N671"/>
      <c r="O671"/>
    </row>
    <row r="672" spans="1:15">
      <c r="A672" s="7" t="s">
        <v>1953</v>
      </c>
      <c r="B672" s="7" t="s">
        <v>1496</v>
      </c>
      <c r="C672" s="7" t="s">
        <v>1954</v>
      </c>
      <c r="D672" s="7" t="s">
        <v>1958</v>
      </c>
      <c r="E672" s="7" t="s">
        <v>1521</v>
      </c>
      <c r="F672" s="7">
        <v>170000</v>
      </c>
      <c r="G672" s="7">
        <v>17</v>
      </c>
      <c r="H672" s="7">
        <v>0</v>
      </c>
      <c r="I672" s="7">
        <v>0</v>
      </c>
      <c r="K672"/>
      <c r="L672"/>
      <c r="M672"/>
      <c r="N672"/>
      <c r="O672"/>
    </row>
    <row r="673" spans="1:15">
      <c r="A673" s="7" t="s">
        <v>1953</v>
      </c>
      <c r="B673" s="7" t="s">
        <v>1496</v>
      </c>
      <c r="C673" s="7" t="s">
        <v>1954</v>
      </c>
      <c r="E673" s="7" t="s">
        <v>1531</v>
      </c>
      <c r="F673" s="7">
        <v>171510</v>
      </c>
      <c r="G673" s="7">
        <v>17</v>
      </c>
      <c r="H673" s="7">
        <v>15</v>
      </c>
      <c r="I673" s="7">
        <v>10</v>
      </c>
      <c r="K673"/>
      <c r="L673"/>
      <c r="M673"/>
      <c r="N673"/>
      <c r="O673"/>
    </row>
    <row r="674" spans="1:15">
      <c r="A674" s="7" t="s">
        <v>1953</v>
      </c>
      <c r="B674" s="7" t="s">
        <v>1496</v>
      </c>
      <c r="C674" s="7" t="s">
        <v>1954</v>
      </c>
      <c r="D674" s="7" t="s">
        <v>1959</v>
      </c>
      <c r="E674" s="7" t="s">
        <v>1527</v>
      </c>
      <c r="F674" s="7">
        <v>190000</v>
      </c>
      <c r="G674" s="7">
        <v>19</v>
      </c>
      <c r="H674" s="7">
        <v>0</v>
      </c>
      <c r="I674" s="7">
        <v>0</v>
      </c>
      <c r="K674"/>
      <c r="L674"/>
      <c r="M674"/>
      <c r="N674"/>
      <c r="O674"/>
    </row>
    <row r="675" spans="1:15">
      <c r="A675" s="7" t="s">
        <v>1953</v>
      </c>
      <c r="B675" s="7" t="s">
        <v>1496</v>
      </c>
      <c r="C675" s="7" t="s">
        <v>1954</v>
      </c>
      <c r="E675" s="7" t="s">
        <v>1618</v>
      </c>
      <c r="F675" s="7">
        <v>191000</v>
      </c>
      <c r="G675" s="7">
        <v>19</v>
      </c>
      <c r="H675" s="7">
        <v>10</v>
      </c>
      <c r="I675" s="7">
        <v>0</v>
      </c>
      <c r="K675"/>
      <c r="L675"/>
      <c r="M675"/>
      <c r="N675"/>
      <c r="O675"/>
    </row>
    <row r="676" spans="1:15">
      <c r="A676" s="7" t="s">
        <v>1953</v>
      </c>
      <c r="B676" s="7" t="s">
        <v>1496</v>
      </c>
      <c r="C676" s="7" t="s">
        <v>1954</v>
      </c>
      <c r="E676" s="7" t="s">
        <v>1620</v>
      </c>
      <c r="F676" s="7">
        <v>191100</v>
      </c>
      <c r="G676" s="7">
        <v>19</v>
      </c>
      <c r="H676" s="7">
        <v>11</v>
      </c>
      <c r="I676" s="7">
        <v>0</v>
      </c>
      <c r="K676"/>
      <c r="L676"/>
      <c r="M676"/>
      <c r="N676"/>
      <c r="O676"/>
    </row>
    <row r="677" spans="1:15">
      <c r="A677" s="7" t="s">
        <v>1953</v>
      </c>
      <c r="B677" s="7" t="s">
        <v>1496</v>
      </c>
      <c r="C677" s="7" t="s">
        <v>1954</v>
      </c>
      <c r="E677" s="7" t="s">
        <v>1512</v>
      </c>
      <c r="F677" s="7">
        <v>191300</v>
      </c>
      <c r="G677" s="7">
        <v>19</v>
      </c>
      <c r="H677" s="7">
        <v>13</v>
      </c>
      <c r="I677" s="7">
        <v>0</v>
      </c>
      <c r="K677"/>
      <c r="L677"/>
      <c r="M677"/>
      <c r="N677"/>
      <c r="O677"/>
    </row>
    <row r="678" spans="1:15">
      <c r="A678" s="7" t="s">
        <v>1953</v>
      </c>
      <c r="B678" s="7" t="s">
        <v>1496</v>
      </c>
      <c r="C678" s="7" t="s">
        <v>1954</v>
      </c>
      <c r="E678" s="7" t="s">
        <v>1625</v>
      </c>
      <c r="F678" s="7">
        <v>191400</v>
      </c>
      <c r="G678" s="7">
        <v>19</v>
      </c>
      <c r="H678" s="7">
        <v>14</v>
      </c>
      <c r="I678" s="7">
        <v>0</v>
      </c>
      <c r="K678"/>
      <c r="L678"/>
      <c r="M678"/>
      <c r="N678"/>
      <c r="O678"/>
    </row>
    <row r="679" spans="1:15">
      <c r="A679" s="7" t="s">
        <v>1953</v>
      </c>
      <c r="B679" s="7" t="s">
        <v>1496</v>
      </c>
      <c r="C679" s="7" t="s">
        <v>1954</v>
      </c>
      <c r="E679" s="7" t="s">
        <v>1516</v>
      </c>
      <c r="F679" s="7">
        <v>191500</v>
      </c>
      <c r="G679" s="7">
        <v>19</v>
      </c>
      <c r="H679" s="7">
        <v>15</v>
      </c>
      <c r="I679" s="7">
        <v>0</v>
      </c>
      <c r="K679"/>
      <c r="L679"/>
      <c r="M679"/>
      <c r="N679"/>
      <c r="O679"/>
    </row>
    <row r="680" spans="1:15">
      <c r="A680" s="7" t="s">
        <v>1953</v>
      </c>
      <c r="B680" s="7" t="s">
        <v>1496</v>
      </c>
      <c r="C680" s="7" t="s">
        <v>1954</v>
      </c>
      <c r="E680" s="7" t="s">
        <v>1626</v>
      </c>
      <c r="F680" s="7">
        <v>191800</v>
      </c>
      <c r="G680" s="7">
        <v>19</v>
      </c>
      <c r="H680" s="7">
        <v>18</v>
      </c>
      <c r="I680" s="7">
        <v>0</v>
      </c>
      <c r="K680"/>
      <c r="L680"/>
      <c r="M680"/>
      <c r="N680"/>
      <c r="O680"/>
    </row>
    <row r="681" spans="1:15">
      <c r="A681" s="7" t="s">
        <v>1953</v>
      </c>
      <c r="B681" s="7" t="s">
        <v>1496</v>
      </c>
      <c r="C681" s="7" t="s">
        <v>1954</v>
      </c>
      <c r="D681" s="7" t="s">
        <v>1960</v>
      </c>
      <c r="E681" s="7" t="s">
        <v>1645</v>
      </c>
      <c r="F681" s="7">
        <v>780000</v>
      </c>
      <c r="G681" s="7">
        <v>78</v>
      </c>
      <c r="H681" s="7">
        <v>0</v>
      </c>
      <c r="I681" s="7">
        <v>0</v>
      </c>
      <c r="K681"/>
      <c r="L681"/>
      <c r="M681"/>
      <c r="N681"/>
      <c r="O681"/>
    </row>
    <row r="682" spans="1:15">
      <c r="A682" s="7" t="s">
        <v>1953</v>
      </c>
      <c r="B682" s="7" t="s">
        <v>1496</v>
      </c>
      <c r="C682" s="7" t="s">
        <v>1954</v>
      </c>
      <c r="E682" s="7" t="s">
        <v>1841</v>
      </c>
      <c r="F682" s="7">
        <v>781100</v>
      </c>
      <c r="G682" s="7">
        <v>78</v>
      </c>
      <c r="H682" s="7">
        <v>11</v>
      </c>
      <c r="I682" s="7">
        <v>0</v>
      </c>
      <c r="K682"/>
      <c r="L682"/>
      <c r="M682"/>
      <c r="N682"/>
      <c r="O682"/>
    </row>
    <row r="683" spans="1:15">
      <c r="A683" s="7" t="s">
        <v>1953</v>
      </c>
      <c r="B683" s="7" t="s">
        <v>1496</v>
      </c>
      <c r="C683" s="7" t="s">
        <v>1954</v>
      </c>
      <c r="E683" s="7" t="s">
        <v>1843</v>
      </c>
      <c r="F683" s="7">
        <v>781300</v>
      </c>
      <c r="G683" s="7">
        <v>78</v>
      </c>
      <c r="H683" s="7">
        <v>13</v>
      </c>
      <c r="I683" s="7">
        <v>0</v>
      </c>
      <c r="K683"/>
      <c r="L683"/>
      <c r="M683"/>
      <c r="N683"/>
      <c r="O683"/>
    </row>
    <row r="684" spans="1:15">
      <c r="A684" s="7" t="s">
        <v>1953</v>
      </c>
      <c r="B684" s="7" t="s">
        <v>1496</v>
      </c>
      <c r="C684" s="7" t="s">
        <v>1954</v>
      </c>
      <c r="D684" s="7" t="s">
        <v>1961</v>
      </c>
      <c r="E684" s="7" t="s">
        <v>1523</v>
      </c>
      <c r="F684" s="7">
        <v>790000</v>
      </c>
      <c r="G684" s="7">
        <v>79</v>
      </c>
      <c r="H684" s="7">
        <v>0</v>
      </c>
      <c r="I684" s="7">
        <v>0</v>
      </c>
      <c r="K684"/>
      <c r="L684"/>
      <c r="M684"/>
      <c r="N684"/>
      <c r="O684"/>
    </row>
    <row r="685" spans="1:15">
      <c r="A685" s="7" t="s">
        <v>1953</v>
      </c>
      <c r="B685" s="7" t="s">
        <v>1496</v>
      </c>
      <c r="C685" s="7" t="s">
        <v>1954</v>
      </c>
      <c r="E685" s="7" t="s">
        <v>504</v>
      </c>
      <c r="F685" s="7">
        <v>909000</v>
      </c>
      <c r="G685" s="7">
        <v>90</v>
      </c>
      <c r="H685" s="7">
        <v>90</v>
      </c>
      <c r="I685" s="7">
        <v>0</v>
      </c>
      <c r="K685"/>
      <c r="L685"/>
      <c r="M685"/>
      <c r="N685"/>
      <c r="O685"/>
    </row>
    <row r="686" spans="1:15">
      <c r="A686" s="7" t="s">
        <v>1962</v>
      </c>
      <c r="B686" s="7" t="s">
        <v>1496</v>
      </c>
      <c r="C686" s="7" t="s">
        <v>1963</v>
      </c>
      <c r="D686" s="7" t="s">
        <v>1964</v>
      </c>
      <c r="E686" s="7" t="s">
        <v>1503</v>
      </c>
      <c r="F686" s="7">
        <v>100000</v>
      </c>
      <c r="G686" s="7">
        <v>10</v>
      </c>
      <c r="H686" s="7">
        <v>0</v>
      </c>
      <c r="I686" s="7">
        <v>0</v>
      </c>
      <c r="K686"/>
      <c r="L686"/>
      <c r="M686"/>
      <c r="N686"/>
      <c r="O686"/>
    </row>
    <row r="687" spans="1:15">
      <c r="A687" s="7" t="s">
        <v>1962</v>
      </c>
      <c r="B687" s="7" t="s">
        <v>1496</v>
      </c>
      <c r="C687" s="7" t="s">
        <v>1963</v>
      </c>
      <c r="E687" s="7" t="s">
        <v>1501</v>
      </c>
      <c r="F687" s="7">
        <v>101000</v>
      </c>
      <c r="G687" s="7">
        <v>10</v>
      </c>
      <c r="H687" s="7">
        <v>10</v>
      </c>
      <c r="I687" s="7">
        <v>0</v>
      </c>
      <c r="K687"/>
      <c r="L687"/>
      <c r="M687"/>
      <c r="N687"/>
      <c r="O687"/>
    </row>
    <row r="688" spans="1:15">
      <c r="A688" s="7" t="s">
        <v>1962</v>
      </c>
      <c r="B688" s="7" t="s">
        <v>1496</v>
      </c>
      <c r="C688" s="7" t="s">
        <v>1963</v>
      </c>
      <c r="E688" s="7" t="s">
        <v>1528</v>
      </c>
      <c r="F688" s="7">
        <v>101300</v>
      </c>
      <c r="G688" s="7">
        <v>10</v>
      </c>
      <c r="H688" s="7">
        <v>13</v>
      </c>
      <c r="I688" s="7">
        <v>0</v>
      </c>
      <c r="K688"/>
      <c r="L688"/>
      <c r="M688"/>
      <c r="N688"/>
      <c r="O688"/>
    </row>
    <row r="689" spans="1:15">
      <c r="A689" s="7" t="s">
        <v>1962</v>
      </c>
      <c r="B689" s="7" t="s">
        <v>1496</v>
      </c>
      <c r="C689" s="7" t="s">
        <v>1963</v>
      </c>
      <c r="E689" s="7" t="s">
        <v>145</v>
      </c>
      <c r="F689" s="7">
        <v>101400</v>
      </c>
      <c r="G689" s="7">
        <v>10</v>
      </c>
      <c r="H689" s="7">
        <v>14</v>
      </c>
      <c r="I689" s="7">
        <v>0</v>
      </c>
      <c r="K689"/>
      <c r="L689"/>
      <c r="M689"/>
      <c r="N689"/>
      <c r="O689"/>
    </row>
    <row r="690" spans="1:15">
      <c r="A690" s="7" t="s">
        <v>1962</v>
      </c>
      <c r="B690" s="7" t="s">
        <v>1496</v>
      </c>
      <c r="C690" s="7" t="s">
        <v>1963</v>
      </c>
      <c r="E690" s="7" t="s">
        <v>1527</v>
      </c>
      <c r="F690" s="7">
        <v>101500</v>
      </c>
      <c r="G690" s="7">
        <v>10</v>
      </c>
      <c r="H690" s="7">
        <v>15</v>
      </c>
      <c r="I690" s="7">
        <v>0</v>
      </c>
      <c r="K690"/>
      <c r="L690"/>
      <c r="M690"/>
      <c r="N690"/>
      <c r="O690"/>
    </row>
    <row r="691" spans="1:15">
      <c r="A691" s="7" t="s">
        <v>1962</v>
      </c>
      <c r="B691" s="7" t="s">
        <v>1496</v>
      </c>
      <c r="C691" s="7" t="s">
        <v>1963</v>
      </c>
      <c r="D691" s="7" t="s">
        <v>1965</v>
      </c>
      <c r="E691" s="7" t="s">
        <v>145</v>
      </c>
      <c r="F691" s="7">
        <v>140000</v>
      </c>
      <c r="G691" s="7">
        <v>14</v>
      </c>
      <c r="H691" s="7">
        <v>0</v>
      </c>
      <c r="I691" s="7">
        <v>0</v>
      </c>
      <c r="K691"/>
      <c r="L691"/>
      <c r="M691"/>
      <c r="N691"/>
      <c r="O691"/>
    </row>
    <row r="692" spans="1:15">
      <c r="A692" s="7" t="s">
        <v>1962</v>
      </c>
      <c r="B692" s="7" t="s">
        <v>1496</v>
      </c>
      <c r="C692" s="7" t="s">
        <v>1963</v>
      </c>
      <c r="E692" s="7" t="s">
        <v>1531</v>
      </c>
      <c r="F692" s="7">
        <v>141010</v>
      </c>
      <c r="G692" s="7">
        <v>14</v>
      </c>
      <c r="H692" s="7">
        <v>10</v>
      </c>
      <c r="I692" s="7">
        <v>10</v>
      </c>
      <c r="K692"/>
      <c r="L692"/>
      <c r="M692"/>
      <c r="N692"/>
      <c r="O692"/>
    </row>
    <row r="693" spans="1:15">
      <c r="A693" s="7" t="s">
        <v>1962</v>
      </c>
      <c r="B693" s="7" t="s">
        <v>1496</v>
      </c>
      <c r="C693" s="7" t="s">
        <v>1963</v>
      </c>
      <c r="E693" s="7" t="s">
        <v>1581</v>
      </c>
      <c r="F693" s="7">
        <v>141100</v>
      </c>
      <c r="G693" s="7">
        <v>14</v>
      </c>
      <c r="H693" s="7">
        <v>11</v>
      </c>
      <c r="I693" s="7">
        <v>0</v>
      </c>
      <c r="K693"/>
      <c r="L693"/>
      <c r="M693"/>
      <c r="N693"/>
      <c r="O693"/>
    </row>
    <row r="694" spans="1:15">
      <c r="A694" s="7" t="s">
        <v>1962</v>
      </c>
      <c r="B694" s="7" t="s">
        <v>1496</v>
      </c>
      <c r="C694" s="7" t="s">
        <v>1963</v>
      </c>
      <c r="E694" s="7" t="s">
        <v>1552</v>
      </c>
      <c r="F694" s="7">
        <v>141600</v>
      </c>
      <c r="G694" s="7">
        <v>14</v>
      </c>
      <c r="H694" s="7">
        <v>16</v>
      </c>
      <c r="I694" s="7">
        <v>0</v>
      </c>
      <c r="K694"/>
      <c r="L694"/>
      <c r="M694"/>
      <c r="N694"/>
      <c r="O694"/>
    </row>
    <row r="695" spans="1:15">
      <c r="A695" s="7" t="s">
        <v>1962</v>
      </c>
      <c r="B695" s="7" t="s">
        <v>1496</v>
      </c>
      <c r="C695" s="7" t="s">
        <v>1963</v>
      </c>
      <c r="E695" s="7" t="s">
        <v>1537</v>
      </c>
      <c r="F695" s="7">
        <v>141700</v>
      </c>
      <c r="G695" s="7">
        <v>14</v>
      </c>
      <c r="H695" s="7">
        <v>17</v>
      </c>
      <c r="I695" s="7">
        <v>0</v>
      </c>
      <c r="K695"/>
      <c r="L695"/>
      <c r="M695"/>
      <c r="N695"/>
      <c r="O695"/>
    </row>
    <row r="696" spans="1:15">
      <c r="A696" s="7" t="s">
        <v>1962</v>
      </c>
      <c r="B696" s="7" t="s">
        <v>1496</v>
      </c>
      <c r="C696" s="7" t="s">
        <v>1963</v>
      </c>
      <c r="E696" s="7" t="s">
        <v>1516</v>
      </c>
      <c r="F696" s="7">
        <v>141800</v>
      </c>
      <c r="G696" s="7">
        <v>14</v>
      </c>
      <c r="H696" s="7">
        <v>18</v>
      </c>
      <c r="I696" s="7">
        <v>0</v>
      </c>
      <c r="K696"/>
      <c r="L696"/>
      <c r="M696"/>
      <c r="N696"/>
      <c r="O696"/>
    </row>
    <row r="697" spans="1:15">
      <c r="A697" s="7" t="s">
        <v>1962</v>
      </c>
      <c r="B697" s="7" t="s">
        <v>1496</v>
      </c>
      <c r="C697" s="7" t="s">
        <v>1963</v>
      </c>
      <c r="E697" s="7" t="s">
        <v>1585</v>
      </c>
      <c r="F697" s="7">
        <v>141900</v>
      </c>
      <c r="G697" s="7">
        <v>14</v>
      </c>
      <c r="H697" s="7">
        <v>19</v>
      </c>
      <c r="I697" s="7">
        <v>0</v>
      </c>
      <c r="K697"/>
      <c r="L697"/>
      <c r="M697"/>
      <c r="N697"/>
      <c r="O697"/>
    </row>
    <row r="698" spans="1:15">
      <c r="A698" s="7" t="s">
        <v>1962</v>
      </c>
      <c r="B698" s="7" t="s">
        <v>1496</v>
      </c>
      <c r="C698" s="7" t="s">
        <v>1963</v>
      </c>
      <c r="E698" s="7" t="s">
        <v>1589</v>
      </c>
      <c r="F698" s="7">
        <v>142100</v>
      </c>
      <c r="G698" s="7">
        <v>14</v>
      </c>
      <c r="H698" s="7">
        <v>21</v>
      </c>
      <c r="I698" s="7">
        <v>0</v>
      </c>
      <c r="K698"/>
      <c r="L698"/>
      <c r="M698"/>
      <c r="N698"/>
      <c r="O698"/>
    </row>
    <row r="699" spans="1:15">
      <c r="A699" s="7" t="s">
        <v>1962</v>
      </c>
      <c r="B699" s="7" t="s">
        <v>1496</v>
      </c>
      <c r="C699" s="7" t="s">
        <v>1963</v>
      </c>
      <c r="E699" s="7" t="s">
        <v>1539</v>
      </c>
      <c r="F699" s="7">
        <v>142600</v>
      </c>
      <c r="G699" s="7">
        <v>14</v>
      </c>
      <c r="H699" s="7">
        <v>26</v>
      </c>
      <c r="I699" s="7">
        <v>0</v>
      </c>
      <c r="K699"/>
      <c r="L699"/>
      <c r="M699"/>
      <c r="N699"/>
      <c r="O699"/>
    </row>
    <row r="700" spans="1:15">
      <c r="A700" s="7" t="s">
        <v>1962</v>
      </c>
      <c r="B700" s="7" t="s">
        <v>1496</v>
      </c>
      <c r="C700" s="7" t="s">
        <v>1963</v>
      </c>
      <c r="E700" s="7" t="s">
        <v>1541</v>
      </c>
      <c r="F700" s="7">
        <v>142700</v>
      </c>
      <c r="G700" s="7">
        <v>14</v>
      </c>
      <c r="H700" s="7">
        <v>27</v>
      </c>
      <c r="I700" s="7">
        <v>0</v>
      </c>
      <c r="K700"/>
      <c r="L700"/>
      <c r="M700"/>
      <c r="N700"/>
      <c r="O700"/>
    </row>
    <row r="701" spans="1:15">
      <c r="A701" s="7" t="s">
        <v>1962</v>
      </c>
      <c r="B701" s="7" t="s">
        <v>1496</v>
      </c>
      <c r="C701" s="7" t="s">
        <v>1963</v>
      </c>
      <c r="D701" s="7" t="s">
        <v>1966</v>
      </c>
      <c r="E701" s="7" t="s">
        <v>1521</v>
      </c>
      <c r="F701" s="7">
        <v>170000</v>
      </c>
      <c r="G701" s="7">
        <v>17</v>
      </c>
      <c r="H701" s="7">
        <v>0</v>
      </c>
      <c r="I701" s="7">
        <v>0</v>
      </c>
      <c r="K701"/>
      <c r="L701"/>
      <c r="M701"/>
      <c r="N701"/>
      <c r="O701"/>
    </row>
    <row r="702" spans="1:15">
      <c r="A702" s="7" t="s">
        <v>1962</v>
      </c>
      <c r="B702" s="7" t="s">
        <v>1496</v>
      </c>
      <c r="C702" s="7" t="s">
        <v>1963</v>
      </c>
      <c r="E702" s="7" t="s">
        <v>1670</v>
      </c>
      <c r="F702" s="7">
        <v>171500</v>
      </c>
      <c r="G702" s="7">
        <v>17</v>
      </c>
      <c r="H702" s="7">
        <v>15</v>
      </c>
      <c r="I702" s="7">
        <v>0</v>
      </c>
      <c r="K702"/>
      <c r="L702"/>
      <c r="M702"/>
      <c r="N702"/>
      <c r="O702"/>
    </row>
    <row r="703" spans="1:15">
      <c r="A703" s="7" t="s">
        <v>1962</v>
      </c>
      <c r="B703" s="7" t="s">
        <v>1496</v>
      </c>
      <c r="C703" s="7" t="s">
        <v>1963</v>
      </c>
      <c r="E703" s="7" t="s">
        <v>1531</v>
      </c>
      <c r="F703" s="7">
        <v>171510</v>
      </c>
      <c r="G703" s="7">
        <v>17</v>
      </c>
      <c r="H703" s="7">
        <v>15</v>
      </c>
      <c r="I703" s="7">
        <v>10</v>
      </c>
      <c r="K703"/>
      <c r="L703"/>
      <c r="M703"/>
      <c r="N703"/>
      <c r="O703"/>
    </row>
    <row r="704" spans="1:15">
      <c r="A704" s="7" t="s">
        <v>1962</v>
      </c>
      <c r="B704" s="7" t="s">
        <v>1496</v>
      </c>
      <c r="C704" s="7" t="s">
        <v>1963</v>
      </c>
      <c r="E704" s="7" t="s">
        <v>1673</v>
      </c>
      <c r="F704" s="7">
        <v>171600</v>
      </c>
      <c r="G704" s="7">
        <v>17</v>
      </c>
      <c r="H704" s="7">
        <v>16</v>
      </c>
      <c r="I704" s="7">
        <v>0</v>
      </c>
      <c r="K704"/>
      <c r="L704"/>
      <c r="M704"/>
      <c r="N704"/>
      <c r="O704"/>
    </row>
    <row r="705" spans="1:15">
      <c r="A705" s="7" t="s">
        <v>1962</v>
      </c>
      <c r="B705" s="7" t="s">
        <v>1496</v>
      </c>
      <c r="C705" s="7" t="s">
        <v>1963</v>
      </c>
      <c r="E705" s="7" t="s">
        <v>1516</v>
      </c>
      <c r="F705" s="7">
        <v>171700</v>
      </c>
      <c r="G705" s="7">
        <v>17</v>
      </c>
      <c r="H705" s="7">
        <v>17</v>
      </c>
      <c r="I705" s="7">
        <v>0</v>
      </c>
      <c r="K705"/>
      <c r="L705"/>
      <c r="M705"/>
      <c r="N705"/>
      <c r="O705"/>
    </row>
    <row r="706" spans="1:15">
      <c r="A706" s="7" t="s">
        <v>1962</v>
      </c>
      <c r="B706" s="7" t="s">
        <v>1496</v>
      </c>
      <c r="C706" s="7" t="s">
        <v>1963</v>
      </c>
      <c r="E706" s="7" t="s">
        <v>1674</v>
      </c>
      <c r="F706" s="7">
        <v>171800</v>
      </c>
      <c r="G706" s="7">
        <v>17</v>
      </c>
      <c r="H706" s="7">
        <v>18</v>
      </c>
      <c r="I706" s="7">
        <v>0</v>
      </c>
      <c r="K706"/>
      <c r="L706"/>
      <c r="M706"/>
      <c r="N706"/>
      <c r="O706"/>
    </row>
    <row r="707" spans="1:15">
      <c r="A707" s="7" t="s">
        <v>1962</v>
      </c>
      <c r="B707" s="7" t="s">
        <v>1496</v>
      </c>
      <c r="C707" s="7" t="s">
        <v>1963</v>
      </c>
      <c r="E707" s="7" t="s">
        <v>1552</v>
      </c>
      <c r="F707" s="7">
        <v>171900</v>
      </c>
      <c r="G707" s="7">
        <v>17</v>
      </c>
      <c r="H707" s="7">
        <v>19</v>
      </c>
      <c r="I707" s="7">
        <v>0</v>
      </c>
      <c r="K707"/>
      <c r="L707"/>
      <c r="M707"/>
      <c r="N707"/>
      <c r="O707"/>
    </row>
    <row r="708" spans="1:15">
      <c r="A708" s="7" t="s">
        <v>1962</v>
      </c>
      <c r="B708" s="7" t="s">
        <v>1496</v>
      </c>
      <c r="C708" s="7" t="s">
        <v>1963</v>
      </c>
      <c r="E708" s="7" t="s">
        <v>1675</v>
      </c>
      <c r="F708" s="7">
        <v>171910</v>
      </c>
      <c r="G708" s="7">
        <v>17</v>
      </c>
      <c r="H708" s="7">
        <v>19</v>
      </c>
      <c r="I708" s="7">
        <v>10</v>
      </c>
      <c r="K708"/>
      <c r="L708"/>
      <c r="M708"/>
      <c r="N708"/>
      <c r="O708"/>
    </row>
    <row r="709" spans="1:15">
      <c r="A709" s="7" t="s">
        <v>1962</v>
      </c>
      <c r="B709" s="7" t="s">
        <v>1496</v>
      </c>
      <c r="C709" s="7" t="s">
        <v>1963</v>
      </c>
      <c r="E709" s="7" t="s">
        <v>1589</v>
      </c>
      <c r="F709" s="7">
        <v>172400</v>
      </c>
      <c r="G709" s="7">
        <v>17</v>
      </c>
      <c r="H709" s="7">
        <v>24</v>
      </c>
      <c r="I709" s="7">
        <v>0</v>
      </c>
      <c r="K709"/>
      <c r="L709"/>
      <c r="M709"/>
      <c r="N709"/>
      <c r="O709"/>
    </row>
    <row r="710" spans="1:15">
      <c r="A710" s="7" t="s">
        <v>1962</v>
      </c>
      <c r="B710" s="7" t="s">
        <v>1496</v>
      </c>
      <c r="C710" s="7" t="s">
        <v>1963</v>
      </c>
      <c r="D710" s="7" t="s">
        <v>1967</v>
      </c>
      <c r="E710" s="7" t="s">
        <v>1527</v>
      </c>
      <c r="F710" s="7">
        <v>190000</v>
      </c>
      <c r="G710" s="7">
        <v>19</v>
      </c>
      <c r="H710" s="7">
        <v>0</v>
      </c>
      <c r="I710" s="7">
        <v>0</v>
      </c>
      <c r="K710"/>
      <c r="L710"/>
      <c r="M710"/>
      <c r="N710"/>
      <c r="O710"/>
    </row>
    <row r="711" spans="1:15">
      <c r="A711" s="7" t="s">
        <v>1962</v>
      </c>
      <c r="B711" s="7" t="s">
        <v>1496</v>
      </c>
      <c r="C711" s="7" t="s">
        <v>1963</v>
      </c>
      <c r="E711" s="7" t="s">
        <v>1618</v>
      </c>
      <c r="F711" s="7">
        <v>191000</v>
      </c>
      <c r="G711" s="7">
        <v>19</v>
      </c>
      <c r="H711" s="7">
        <v>10</v>
      </c>
      <c r="I711" s="7">
        <v>0</v>
      </c>
      <c r="K711"/>
      <c r="L711"/>
      <c r="M711"/>
      <c r="N711"/>
      <c r="O711"/>
    </row>
    <row r="712" spans="1:15">
      <c r="A712" s="7" t="s">
        <v>1962</v>
      </c>
      <c r="B712" s="7" t="s">
        <v>1496</v>
      </c>
      <c r="C712" s="7" t="s">
        <v>1963</v>
      </c>
      <c r="E712" s="7" t="s">
        <v>1620</v>
      </c>
      <c r="F712" s="7">
        <v>191100</v>
      </c>
      <c r="G712" s="7">
        <v>19</v>
      </c>
      <c r="H712" s="7">
        <v>11</v>
      </c>
      <c r="I712" s="7">
        <v>0</v>
      </c>
      <c r="K712"/>
      <c r="L712"/>
      <c r="M712"/>
      <c r="N712"/>
      <c r="O712"/>
    </row>
    <row r="713" spans="1:15">
      <c r="A713" s="7" t="s">
        <v>1962</v>
      </c>
      <c r="B713" s="7" t="s">
        <v>1496</v>
      </c>
      <c r="C713" s="7" t="s">
        <v>1963</v>
      </c>
      <c r="E713" s="7" t="s">
        <v>1622</v>
      </c>
      <c r="F713" s="7">
        <v>191200</v>
      </c>
      <c r="G713" s="7">
        <v>19</v>
      </c>
      <c r="H713" s="7">
        <v>12</v>
      </c>
      <c r="I713" s="7">
        <v>0</v>
      </c>
      <c r="K713"/>
      <c r="L713"/>
      <c r="M713"/>
      <c r="N713"/>
      <c r="O713"/>
    </row>
    <row r="714" spans="1:15">
      <c r="A714" s="7" t="s">
        <v>1962</v>
      </c>
      <c r="B714" s="7" t="s">
        <v>1496</v>
      </c>
      <c r="C714" s="7" t="s">
        <v>1963</v>
      </c>
      <c r="E714" s="7" t="s">
        <v>1512</v>
      </c>
      <c r="F714" s="7">
        <v>191300</v>
      </c>
      <c r="G714" s="7">
        <v>19</v>
      </c>
      <c r="H714" s="7">
        <v>13</v>
      </c>
      <c r="I714" s="7">
        <v>0</v>
      </c>
      <c r="K714"/>
      <c r="L714"/>
      <c r="M714"/>
      <c r="N714"/>
      <c r="O714"/>
    </row>
    <row r="715" spans="1:15">
      <c r="A715" s="7" t="s">
        <v>1962</v>
      </c>
      <c r="B715" s="7" t="s">
        <v>1496</v>
      </c>
      <c r="C715" s="7" t="s">
        <v>1963</v>
      </c>
      <c r="E715" s="7" t="s">
        <v>1625</v>
      </c>
      <c r="F715" s="7">
        <v>191400</v>
      </c>
      <c r="G715" s="7">
        <v>19</v>
      </c>
      <c r="H715" s="7">
        <v>14</v>
      </c>
      <c r="I715" s="7">
        <v>0</v>
      </c>
      <c r="K715"/>
      <c r="L715"/>
      <c r="M715"/>
      <c r="N715"/>
      <c r="O715"/>
    </row>
    <row r="716" spans="1:15">
      <c r="A716" s="7" t="s">
        <v>1962</v>
      </c>
      <c r="B716" s="7" t="s">
        <v>1496</v>
      </c>
      <c r="C716" s="7" t="s">
        <v>1963</v>
      </c>
      <c r="E716" s="7" t="s">
        <v>1516</v>
      </c>
      <c r="F716" s="7">
        <v>191500</v>
      </c>
      <c r="G716" s="7">
        <v>19</v>
      </c>
      <c r="H716" s="7">
        <v>15</v>
      </c>
      <c r="I716" s="7">
        <v>0</v>
      </c>
      <c r="K716"/>
      <c r="L716"/>
      <c r="M716"/>
      <c r="N716"/>
      <c r="O716"/>
    </row>
    <row r="717" spans="1:15">
      <c r="A717" s="7" t="s">
        <v>1962</v>
      </c>
      <c r="B717" s="7" t="s">
        <v>1496</v>
      </c>
      <c r="C717" s="7" t="s">
        <v>1963</v>
      </c>
      <c r="E717" s="7" t="s">
        <v>1626</v>
      </c>
      <c r="F717" s="7">
        <v>191800</v>
      </c>
      <c r="G717" s="7">
        <v>19</v>
      </c>
      <c r="H717" s="7">
        <v>18</v>
      </c>
      <c r="I717" s="7">
        <v>0</v>
      </c>
      <c r="K717"/>
      <c r="L717"/>
      <c r="M717"/>
      <c r="N717"/>
      <c r="O717"/>
    </row>
    <row r="718" spans="1:15">
      <c r="A718" s="7" t="s">
        <v>1962</v>
      </c>
      <c r="B718" s="7" t="s">
        <v>1496</v>
      </c>
      <c r="C718" s="7" t="s">
        <v>1963</v>
      </c>
      <c r="E718" s="7" t="s">
        <v>1642</v>
      </c>
      <c r="F718" s="7">
        <v>191900</v>
      </c>
      <c r="G718" s="7">
        <v>19</v>
      </c>
      <c r="H718" s="7">
        <v>19</v>
      </c>
      <c r="I718" s="7">
        <v>0</v>
      </c>
      <c r="K718"/>
      <c r="L718"/>
      <c r="M718"/>
      <c r="N718"/>
      <c r="O718"/>
    </row>
    <row r="719" spans="1:15">
      <c r="A719" s="7" t="s">
        <v>1962</v>
      </c>
      <c r="B719" s="7" t="s">
        <v>1496</v>
      </c>
      <c r="C719" s="7" t="s">
        <v>1963</v>
      </c>
      <c r="D719" s="7" t="s">
        <v>1968</v>
      </c>
      <c r="E719" s="7" t="s">
        <v>1519</v>
      </c>
      <c r="F719" s="7">
        <v>200000</v>
      </c>
      <c r="G719" s="7">
        <v>20</v>
      </c>
      <c r="H719" s="7">
        <v>0</v>
      </c>
      <c r="I719" s="7">
        <v>0</v>
      </c>
      <c r="K719"/>
      <c r="L719"/>
      <c r="M719"/>
      <c r="N719"/>
      <c r="O719"/>
    </row>
    <row r="720" spans="1:15">
      <c r="A720" s="7" t="s">
        <v>1962</v>
      </c>
      <c r="B720" s="7" t="s">
        <v>1496</v>
      </c>
      <c r="C720" s="7" t="s">
        <v>1963</v>
      </c>
      <c r="E720" s="7" t="s">
        <v>1723</v>
      </c>
      <c r="F720" s="7">
        <v>201200</v>
      </c>
      <c r="G720" s="7">
        <v>20</v>
      </c>
      <c r="H720" s="7">
        <v>12</v>
      </c>
      <c r="I720" s="7">
        <v>0</v>
      </c>
      <c r="K720"/>
      <c r="L720"/>
      <c r="M720"/>
      <c r="N720"/>
      <c r="O720"/>
    </row>
    <row r="721" spans="1:15">
      <c r="A721" s="7" t="s">
        <v>1962</v>
      </c>
      <c r="B721" s="7" t="s">
        <v>1496</v>
      </c>
      <c r="C721" s="7" t="s">
        <v>1963</v>
      </c>
      <c r="E721" s="7" t="s">
        <v>1726</v>
      </c>
      <c r="F721" s="7">
        <v>201300</v>
      </c>
      <c r="G721" s="7">
        <v>20</v>
      </c>
      <c r="H721" s="7">
        <v>13</v>
      </c>
      <c r="I721" s="7">
        <v>0</v>
      </c>
      <c r="K721"/>
      <c r="L721"/>
      <c r="M721"/>
      <c r="N721"/>
      <c r="O721"/>
    </row>
    <row r="722" spans="1:15">
      <c r="A722" s="7" t="s">
        <v>1962</v>
      </c>
      <c r="B722" s="7" t="s">
        <v>1496</v>
      </c>
      <c r="C722" s="7" t="s">
        <v>1963</v>
      </c>
      <c r="E722" s="7" t="s">
        <v>1728</v>
      </c>
      <c r="F722" s="7">
        <v>201400</v>
      </c>
      <c r="G722" s="7">
        <v>20</v>
      </c>
      <c r="H722" s="7">
        <v>14</v>
      </c>
      <c r="I722" s="7">
        <v>0</v>
      </c>
      <c r="K722"/>
      <c r="L722"/>
      <c r="M722"/>
      <c r="N722"/>
      <c r="O722"/>
    </row>
    <row r="723" spans="1:15">
      <c r="A723" s="7" t="s">
        <v>1962</v>
      </c>
      <c r="B723" s="7" t="s">
        <v>1496</v>
      </c>
      <c r="C723" s="7" t="s">
        <v>1963</v>
      </c>
      <c r="D723" s="7" t="s">
        <v>1969</v>
      </c>
      <c r="E723" s="7" t="s">
        <v>1645</v>
      </c>
      <c r="F723" s="7">
        <v>780000</v>
      </c>
      <c r="G723" s="7">
        <v>78</v>
      </c>
      <c r="H723" s="7">
        <v>0</v>
      </c>
      <c r="I723" s="7">
        <v>0</v>
      </c>
      <c r="K723"/>
      <c r="L723"/>
      <c r="M723"/>
      <c r="N723"/>
      <c r="O723"/>
    </row>
    <row r="724" spans="1:15">
      <c r="A724" s="7" t="s">
        <v>1962</v>
      </c>
      <c r="B724" s="7" t="s">
        <v>1496</v>
      </c>
      <c r="C724" s="7" t="s">
        <v>1963</v>
      </c>
      <c r="E724" s="7" t="s">
        <v>1841</v>
      </c>
      <c r="F724" s="7">
        <v>781100</v>
      </c>
      <c r="G724" s="7">
        <v>78</v>
      </c>
      <c r="H724" s="7">
        <v>11</v>
      </c>
      <c r="I724" s="7">
        <v>0</v>
      </c>
      <c r="K724"/>
      <c r="L724"/>
      <c r="M724"/>
      <c r="N724"/>
      <c r="O724"/>
    </row>
    <row r="725" spans="1:15">
      <c r="A725" s="7" t="s">
        <v>1962</v>
      </c>
      <c r="B725" s="7" t="s">
        <v>1496</v>
      </c>
      <c r="C725" s="7" t="s">
        <v>1963</v>
      </c>
      <c r="E725" s="7" t="s">
        <v>1516</v>
      </c>
      <c r="F725" s="7">
        <v>781200</v>
      </c>
      <c r="G725" s="7">
        <v>78</v>
      </c>
      <c r="H725" s="7">
        <v>12</v>
      </c>
      <c r="I725" s="7">
        <v>0</v>
      </c>
      <c r="K725"/>
      <c r="L725"/>
      <c r="M725"/>
      <c r="N725"/>
      <c r="O725"/>
    </row>
    <row r="726" spans="1:15">
      <c r="A726" s="7" t="s">
        <v>1962</v>
      </c>
      <c r="B726" s="7" t="s">
        <v>1496</v>
      </c>
      <c r="C726" s="7" t="s">
        <v>1963</v>
      </c>
      <c r="E726" s="7" t="s">
        <v>1843</v>
      </c>
      <c r="F726" s="7">
        <v>781300</v>
      </c>
      <c r="G726" s="7">
        <v>78</v>
      </c>
      <c r="H726" s="7">
        <v>13</v>
      </c>
      <c r="I726" s="7">
        <v>0</v>
      </c>
      <c r="K726"/>
      <c r="L726"/>
      <c r="M726"/>
      <c r="N726"/>
      <c r="O726"/>
    </row>
    <row r="727" spans="1:15">
      <c r="A727" s="7" t="s">
        <v>1962</v>
      </c>
      <c r="B727" s="7" t="s">
        <v>1496</v>
      </c>
      <c r="C727" s="7" t="s">
        <v>1963</v>
      </c>
      <c r="E727" s="7" t="s">
        <v>1844</v>
      </c>
      <c r="F727" s="7">
        <v>781400</v>
      </c>
      <c r="G727" s="7">
        <v>78</v>
      </c>
      <c r="H727" s="7">
        <v>14</v>
      </c>
      <c r="I727" s="7">
        <v>0</v>
      </c>
      <c r="K727"/>
      <c r="L727"/>
      <c r="M727"/>
      <c r="N727"/>
      <c r="O727"/>
    </row>
    <row r="728" spans="1:15">
      <c r="A728" s="7" t="s">
        <v>1962</v>
      </c>
      <c r="B728" s="7" t="s">
        <v>1496</v>
      </c>
      <c r="C728" s="7" t="s">
        <v>1963</v>
      </c>
      <c r="D728" s="7" t="s">
        <v>1970</v>
      </c>
      <c r="E728" s="7" t="s">
        <v>1523</v>
      </c>
      <c r="F728" s="7">
        <v>790000</v>
      </c>
      <c r="G728" s="7">
        <v>79</v>
      </c>
      <c r="H728" s="7">
        <v>0</v>
      </c>
      <c r="I728" s="7">
        <v>0</v>
      </c>
      <c r="K728"/>
      <c r="L728"/>
      <c r="M728"/>
      <c r="N728"/>
      <c r="O728"/>
    </row>
    <row r="729" spans="1:15">
      <c r="A729" s="7" t="s">
        <v>1962</v>
      </c>
      <c r="B729" s="7" t="s">
        <v>1496</v>
      </c>
      <c r="C729" s="7" t="s">
        <v>1963</v>
      </c>
      <c r="E729" s="7" t="s">
        <v>504</v>
      </c>
      <c r="F729" s="7">
        <v>909000</v>
      </c>
      <c r="G729" s="7">
        <v>90</v>
      </c>
      <c r="H729" s="7">
        <v>90</v>
      </c>
      <c r="I729" s="7">
        <v>0</v>
      </c>
      <c r="K729"/>
      <c r="L729"/>
      <c r="M729"/>
      <c r="N729"/>
      <c r="O729"/>
    </row>
    <row r="730" spans="1:15">
      <c r="A730" s="7" t="s">
        <v>1971</v>
      </c>
      <c r="B730" s="7" t="s">
        <v>1496</v>
      </c>
      <c r="C730" s="7" t="s">
        <v>1972</v>
      </c>
      <c r="D730" s="7" t="s">
        <v>1973</v>
      </c>
      <c r="E730" s="7" t="s">
        <v>1503</v>
      </c>
      <c r="F730" s="7">
        <v>100000</v>
      </c>
      <c r="G730" s="7">
        <v>10</v>
      </c>
      <c r="H730" s="7">
        <v>0</v>
      </c>
      <c r="I730" s="7">
        <v>0</v>
      </c>
      <c r="K730"/>
      <c r="L730"/>
      <c r="M730"/>
      <c r="N730"/>
      <c r="O730"/>
    </row>
    <row r="731" spans="1:15">
      <c r="A731" s="7" t="s">
        <v>1971</v>
      </c>
      <c r="B731" s="7" t="s">
        <v>1496</v>
      </c>
      <c r="C731" s="7" t="s">
        <v>1972</v>
      </c>
      <c r="E731" s="7" t="s">
        <v>1501</v>
      </c>
      <c r="F731" s="7">
        <v>101000</v>
      </c>
      <c r="G731" s="7">
        <v>10</v>
      </c>
      <c r="H731" s="7">
        <v>10</v>
      </c>
      <c r="I731" s="7">
        <v>0</v>
      </c>
      <c r="K731"/>
      <c r="L731"/>
      <c r="M731"/>
      <c r="N731"/>
      <c r="O731"/>
    </row>
    <row r="732" spans="1:15">
      <c r="A732" s="7" t="s">
        <v>1971</v>
      </c>
      <c r="B732" s="7" t="s">
        <v>1496</v>
      </c>
      <c r="C732" s="7" t="s">
        <v>1972</v>
      </c>
      <c r="D732" s="7" t="s">
        <v>1974</v>
      </c>
      <c r="E732" s="7" t="s">
        <v>1533</v>
      </c>
      <c r="F732" s="7">
        <v>120000</v>
      </c>
      <c r="G732" s="7">
        <v>12</v>
      </c>
      <c r="H732" s="7">
        <v>0</v>
      </c>
      <c r="I732" s="7">
        <v>0</v>
      </c>
      <c r="K732"/>
      <c r="L732"/>
      <c r="M732"/>
      <c r="N732"/>
      <c r="O732"/>
    </row>
    <row r="733" spans="1:15">
      <c r="A733" s="7" t="s">
        <v>1971</v>
      </c>
      <c r="B733" s="7" t="s">
        <v>1496</v>
      </c>
      <c r="C733" s="7" t="s">
        <v>1972</v>
      </c>
      <c r="E733" s="7" t="s">
        <v>1501</v>
      </c>
      <c r="F733" s="7">
        <v>121000</v>
      </c>
      <c r="G733" s="7">
        <v>12</v>
      </c>
      <c r="H733" s="7">
        <v>10</v>
      </c>
      <c r="I733" s="7">
        <v>0</v>
      </c>
      <c r="K733"/>
      <c r="L733"/>
      <c r="M733"/>
      <c r="N733"/>
      <c r="O733"/>
    </row>
    <row r="734" spans="1:15">
      <c r="A734" s="7" t="s">
        <v>1971</v>
      </c>
      <c r="B734" s="7" t="s">
        <v>1496</v>
      </c>
      <c r="C734" s="7" t="s">
        <v>1972</v>
      </c>
      <c r="E734" s="7" t="s">
        <v>1536</v>
      </c>
      <c r="F734" s="7">
        <v>121100</v>
      </c>
      <c r="G734" s="7">
        <v>12</v>
      </c>
      <c r="H734" s="7">
        <v>11</v>
      </c>
      <c r="I734" s="7">
        <v>0</v>
      </c>
      <c r="K734"/>
      <c r="L734"/>
      <c r="M734"/>
      <c r="N734"/>
      <c r="O734"/>
    </row>
    <row r="735" spans="1:15">
      <c r="A735" s="7" t="s">
        <v>1971</v>
      </c>
      <c r="B735" s="7" t="s">
        <v>1496</v>
      </c>
      <c r="C735" s="7" t="s">
        <v>1972</v>
      </c>
      <c r="E735" s="7" t="s">
        <v>1538</v>
      </c>
      <c r="F735" s="7">
        <v>121200</v>
      </c>
      <c r="G735" s="7">
        <v>12</v>
      </c>
      <c r="H735" s="7">
        <v>12</v>
      </c>
      <c r="I735" s="7">
        <v>0</v>
      </c>
      <c r="K735"/>
      <c r="L735"/>
      <c r="M735"/>
      <c r="N735"/>
      <c r="O735"/>
    </row>
    <row r="736" spans="1:15">
      <c r="A736" s="7" t="s">
        <v>1971</v>
      </c>
      <c r="B736" s="7" t="s">
        <v>1496</v>
      </c>
      <c r="C736" s="7" t="s">
        <v>1972</v>
      </c>
      <c r="D736" s="7" t="s">
        <v>1975</v>
      </c>
      <c r="E736" s="7" t="s">
        <v>145</v>
      </c>
      <c r="F736" s="7">
        <v>140000</v>
      </c>
      <c r="G736" s="7">
        <v>14</v>
      </c>
      <c r="H736" s="7">
        <v>0</v>
      </c>
      <c r="I736" s="7">
        <v>0</v>
      </c>
      <c r="K736"/>
      <c r="L736"/>
      <c r="M736"/>
      <c r="N736"/>
      <c r="O736"/>
    </row>
    <row r="737" spans="1:15">
      <c r="A737" s="7" t="s">
        <v>1971</v>
      </c>
      <c r="B737" s="7" t="s">
        <v>1496</v>
      </c>
      <c r="C737" s="7" t="s">
        <v>1972</v>
      </c>
      <c r="E737" s="7" t="s">
        <v>1531</v>
      </c>
      <c r="F737" s="7">
        <v>141010</v>
      </c>
      <c r="G737" s="7">
        <v>14</v>
      </c>
      <c r="H737" s="7">
        <v>10</v>
      </c>
      <c r="I737" s="7">
        <v>10</v>
      </c>
      <c r="K737"/>
      <c r="L737"/>
      <c r="M737"/>
      <c r="N737"/>
      <c r="O737"/>
    </row>
    <row r="738" spans="1:15">
      <c r="A738" s="7" t="s">
        <v>1971</v>
      </c>
      <c r="B738" s="7" t="s">
        <v>1496</v>
      </c>
      <c r="C738" s="7" t="s">
        <v>1972</v>
      </c>
      <c r="E738" s="7" t="s">
        <v>1581</v>
      </c>
      <c r="F738" s="7">
        <v>141100</v>
      </c>
      <c r="G738" s="7">
        <v>14</v>
      </c>
      <c r="H738" s="7">
        <v>11</v>
      </c>
      <c r="I738" s="7">
        <v>0</v>
      </c>
      <c r="K738"/>
      <c r="L738"/>
      <c r="M738"/>
      <c r="N738"/>
      <c r="O738"/>
    </row>
    <row r="739" spans="1:15">
      <c r="A739" s="7" t="s">
        <v>1971</v>
      </c>
      <c r="B739" s="7" t="s">
        <v>1496</v>
      </c>
      <c r="C739" s="7" t="s">
        <v>1972</v>
      </c>
      <c r="E739" s="7" t="s">
        <v>1552</v>
      </c>
      <c r="F739" s="7">
        <v>141600</v>
      </c>
      <c r="G739" s="7">
        <v>14</v>
      </c>
      <c r="H739" s="7">
        <v>16</v>
      </c>
      <c r="I739" s="7">
        <v>0</v>
      </c>
      <c r="K739"/>
      <c r="L739"/>
      <c r="M739"/>
      <c r="N739"/>
      <c r="O739"/>
    </row>
    <row r="740" spans="1:15">
      <c r="A740" s="7" t="s">
        <v>1971</v>
      </c>
      <c r="B740" s="7" t="s">
        <v>1496</v>
      </c>
      <c r="C740" s="7" t="s">
        <v>1972</v>
      </c>
      <c r="E740" s="7" t="s">
        <v>1537</v>
      </c>
      <c r="F740" s="7">
        <v>141700</v>
      </c>
      <c r="G740" s="7">
        <v>14</v>
      </c>
      <c r="H740" s="7">
        <v>17</v>
      </c>
      <c r="I740" s="7">
        <v>0</v>
      </c>
      <c r="K740"/>
      <c r="L740"/>
      <c r="M740"/>
      <c r="N740"/>
      <c r="O740"/>
    </row>
    <row r="741" spans="1:15">
      <c r="A741" s="7" t="s">
        <v>1971</v>
      </c>
      <c r="B741" s="7" t="s">
        <v>1496</v>
      </c>
      <c r="C741" s="7" t="s">
        <v>1972</v>
      </c>
      <c r="E741" s="7" t="s">
        <v>1516</v>
      </c>
      <c r="F741" s="7">
        <v>141800</v>
      </c>
      <c r="G741" s="7">
        <v>14</v>
      </c>
      <c r="H741" s="7">
        <v>18</v>
      </c>
      <c r="I741" s="7">
        <v>0</v>
      </c>
      <c r="K741"/>
      <c r="L741"/>
      <c r="M741"/>
      <c r="N741"/>
      <c r="O741"/>
    </row>
    <row r="742" spans="1:15">
      <c r="A742" s="7" t="s">
        <v>1971</v>
      </c>
      <c r="B742" s="7" t="s">
        <v>1496</v>
      </c>
      <c r="C742" s="7" t="s">
        <v>1972</v>
      </c>
      <c r="E742" s="7" t="s">
        <v>1585</v>
      </c>
      <c r="F742" s="7">
        <v>141900</v>
      </c>
      <c r="G742" s="7">
        <v>14</v>
      </c>
      <c r="H742" s="7">
        <v>19</v>
      </c>
      <c r="I742" s="7">
        <v>0</v>
      </c>
      <c r="K742"/>
      <c r="L742"/>
      <c r="M742"/>
      <c r="N742"/>
      <c r="O742"/>
    </row>
    <row r="743" spans="1:15">
      <c r="A743" s="7" t="s">
        <v>1971</v>
      </c>
      <c r="B743" s="7" t="s">
        <v>1496</v>
      </c>
      <c r="C743" s="7" t="s">
        <v>1972</v>
      </c>
      <c r="E743" s="7" t="s">
        <v>1589</v>
      </c>
      <c r="F743" s="7">
        <v>142100</v>
      </c>
      <c r="G743" s="7">
        <v>14</v>
      </c>
      <c r="H743" s="7">
        <v>21</v>
      </c>
      <c r="I743" s="7">
        <v>0</v>
      </c>
      <c r="K743"/>
      <c r="L743"/>
      <c r="M743"/>
      <c r="N743"/>
      <c r="O743"/>
    </row>
    <row r="744" spans="1:15">
      <c r="A744" s="7" t="s">
        <v>1971</v>
      </c>
      <c r="B744" s="7" t="s">
        <v>1496</v>
      </c>
      <c r="C744" s="7" t="s">
        <v>1972</v>
      </c>
      <c r="E744" s="7" t="s">
        <v>1539</v>
      </c>
      <c r="F744" s="7">
        <v>142600</v>
      </c>
      <c r="G744" s="7">
        <v>14</v>
      </c>
      <c r="H744" s="7">
        <v>26</v>
      </c>
      <c r="I744" s="7">
        <v>0</v>
      </c>
      <c r="K744"/>
      <c r="L744"/>
      <c r="M744"/>
      <c r="N744"/>
      <c r="O744"/>
    </row>
    <row r="745" spans="1:15">
      <c r="A745" s="7" t="s">
        <v>1971</v>
      </c>
      <c r="B745" s="7" t="s">
        <v>1496</v>
      </c>
      <c r="C745" s="7" t="s">
        <v>1972</v>
      </c>
      <c r="E745" s="7" t="s">
        <v>1541</v>
      </c>
      <c r="F745" s="7">
        <v>142700</v>
      </c>
      <c r="G745" s="7">
        <v>14</v>
      </c>
      <c r="H745" s="7">
        <v>27</v>
      </c>
      <c r="I745" s="7">
        <v>0</v>
      </c>
      <c r="K745"/>
      <c r="L745"/>
      <c r="M745"/>
      <c r="N745"/>
      <c r="O745"/>
    </row>
    <row r="746" spans="1:15">
      <c r="A746" s="7" t="s">
        <v>1971</v>
      </c>
      <c r="B746" s="7" t="s">
        <v>1496</v>
      </c>
      <c r="C746" s="7" t="s">
        <v>1972</v>
      </c>
      <c r="D746" s="7" t="s">
        <v>1976</v>
      </c>
      <c r="E746" s="7" t="s">
        <v>1499</v>
      </c>
      <c r="F746" s="7">
        <v>160000</v>
      </c>
      <c r="G746" s="7">
        <v>16</v>
      </c>
      <c r="H746" s="7">
        <v>0</v>
      </c>
      <c r="I746" s="7">
        <v>0</v>
      </c>
      <c r="K746"/>
      <c r="L746"/>
      <c r="M746"/>
      <c r="N746"/>
      <c r="O746"/>
    </row>
    <row r="747" spans="1:15">
      <c r="A747" s="7" t="s">
        <v>1971</v>
      </c>
      <c r="B747" s="7" t="s">
        <v>1496</v>
      </c>
      <c r="C747" s="7" t="s">
        <v>1972</v>
      </c>
      <c r="E747" s="7" t="s">
        <v>1501</v>
      </c>
      <c r="F747" s="7">
        <v>161000</v>
      </c>
      <c r="G747" s="7">
        <v>16</v>
      </c>
      <c r="H747" s="7">
        <v>10</v>
      </c>
      <c r="I747" s="7">
        <v>0</v>
      </c>
      <c r="K747"/>
      <c r="L747"/>
      <c r="M747"/>
      <c r="N747"/>
      <c r="O747"/>
    </row>
    <row r="748" spans="1:15">
      <c r="A748" s="7" t="s">
        <v>1971</v>
      </c>
      <c r="B748" s="7" t="s">
        <v>1496</v>
      </c>
      <c r="C748" s="7" t="s">
        <v>1972</v>
      </c>
      <c r="D748" s="7" t="s">
        <v>1977</v>
      </c>
      <c r="E748" s="7" t="s">
        <v>1521</v>
      </c>
      <c r="F748" s="7">
        <v>170000</v>
      </c>
      <c r="G748" s="7">
        <v>17</v>
      </c>
      <c r="H748" s="7">
        <v>0</v>
      </c>
      <c r="I748" s="7">
        <v>0</v>
      </c>
      <c r="K748"/>
      <c r="L748"/>
      <c r="M748"/>
      <c r="N748"/>
      <c r="O748"/>
    </row>
    <row r="749" spans="1:15">
      <c r="A749" s="7" t="s">
        <v>1971</v>
      </c>
      <c r="B749" s="7" t="s">
        <v>1496</v>
      </c>
      <c r="C749" s="7" t="s">
        <v>1972</v>
      </c>
      <c r="E749" s="7" t="s">
        <v>1670</v>
      </c>
      <c r="F749" s="7">
        <v>171500</v>
      </c>
      <c r="G749" s="7">
        <v>17</v>
      </c>
      <c r="H749" s="7">
        <v>15</v>
      </c>
      <c r="I749" s="7">
        <v>0</v>
      </c>
      <c r="K749"/>
      <c r="L749"/>
      <c r="M749"/>
      <c r="N749"/>
      <c r="O749"/>
    </row>
    <row r="750" spans="1:15">
      <c r="A750" s="7" t="s">
        <v>1971</v>
      </c>
      <c r="B750" s="7" t="s">
        <v>1496</v>
      </c>
      <c r="C750" s="7" t="s">
        <v>1972</v>
      </c>
      <c r="E750" s="7" t="s">
        <v>1531</v>
      </c>
      <c r="F750" s="7">
        <v>171510</v>
      </c>
      <c r="G750" s="7">
        <v>17</v>
      </c>
      <c r="H750" s="7">
        <v>15</v>
      </c>
      <c r="I750" s="7">
        <v>10</v>
      </c>
      <c r="K750"/>
      <c r="L750"/>
      <c r="M750"/>
      <c r="N750"/>
      <c r="O750"/>
    </row>
    <row r="751" spans="1:15">
      <c r="A751" s="7" t="s">
        <v>1971</v>
      </c>
      <c r="B751" s="7" t="s">
        <v>1496</v>
      </c>
      <c r="C751" s="7" t="s">
        <v>1972</v>
      </c>
      <c r="E751" s="7" t="s">
        <v>1673</v>
      </c>
      <c r="F751" s="7">
        <v>171600</v>
      </c>
      <c r="G751" s="7">
        <v>17</v>
      </c>
      <c r="H751" s="7">
        <v>16</v>
      </c>
      <c r="I751" s="7">
        <v>0</v>
      </c>
      <c r="K751"/>
      <c r="L751"/>
      <c r="M751"/>
      <c r="N751"/>
      <c r="O751"/>
    </row>
    <row r="752" spans="1:15">
      <c r="A752" s="7" t="s">
        <v>1971</v>
      </c>
      <c r="B752" s="7" t="s">
        <v>1496</v>
      </c>
      <c r="C752" s="7" t="s">
        <v>1972</v>
      </c>
      <c r="E752" s="7" t="s">
        <v>1516</v>
      </c>
      <c r="F752" s="7">
        <v>171700</v>
      </c>
      <c r="G752" s="7">
        <v>17</v>
      </c>
      <c r="H752" s="7">
        <v>17</v>
      </c>
      <c r="I752" s="7">
        <v>0</v>
      </c>
      <c r="K752"/>
      <c r="L752"/>
      <c r="M752"/>
      <c r="N752"/>
      <c r="O752"/>
    </row>
    <row r="753" spans="1:15">
      <c r="A753" s="7" t="s">
        <v>1971</v>
      </c>
      <c r="B753" s="7" t="s">
        <v>1496</v>
      </c>
      <c r="C753" s="7" t="s">
        <v>1972</v>
      </c>
      <c r="E753" s="7" t="s">
        <v>1674</v>
      </c>
      <c r="F753" s="7">
        <v>171800</v>
      </c>
      <c r="G753" s="7">
        <v>17</v>
      </c>
      <c r="H753" s="7">
        <v>18</v>
      </c>
      <c r="I753" s="7">
        <v>0</v>
      </c>
      <c r="K753"/>
      <c r="L753"/>
      <c r="M753"/>
      <c r="N753"/>
      <c r="O753"/>
    </row>
    <row r="754" spans="1:15">
      <c r="A754" s="7" t="s">
        <v>1971</v>
      </c>
      <c r="B754" s="7" t="s">
        <v>1496</v>
      </c>
      <c r="C754" s="7" t="s">
        <v>1972</v>
      </c>
      <c r="E754" s="7" t="s">
        <v>1552</v>
      </c>
      <c r="F754" s="7">
        <v>171900</v>
      </c>
      <c r="G754" s="7">
        <v>17</v>
      </c>
      <c r="H754" s="7">
        <v>19</v>
      </c>
      <c r="I754" s="7">
        <v>0</v>
      </c>
      <c r="K754"/>
      <c r="L754"/>
      <c r="M754"/>
      <c r="N754"/>
      <c r="O754"/>
    </row>
    <row r="755" spans="1:15">
      <c r="A755" s="7" t="s">
        <v>1971</v>
      </c>
      <c r="B755" s="7" t="s">
        <v>1496</v>
      </c>
      <c r="C755" s="7" t="s">
        <v>1972</v>
      </c>
      <c r="E755" s="7" t="s">
        <v>1675</v>
      </c>
      <c r="F755" s="7">
        <v>171910</v>
      </c>
      <c r="G755" s="7">
        <v>17</v>
      </c>
      <c r="H755" s="7">
        <v>19</v>
      </c>
      <c r="I755" s="7">
        <v>10</v>
      </c>
      <c r="K755"/>
      <c r="L755"/>
      <c r="M755"/>
      <c r="N755"/>
      <c r="O755"/>
    </row>
    <row r="756" spans="1:15">
      <c r="A756" s="7" t="s">
        <v>1971</v>
      </c>
      <c r="B756" s="7" t="s">
        <v>1496</v>
      </c>
      <c r="C756" s="7" t="s">
        <v>1972</v>
      </c>
      <c r="E756" s="7" t="s">
        <v>1589</v>
      </c>
      <c r="F756" s="7">
        <v>172400</v>
      </c>
      <c r="G756" s="7">
        <v>17</v>
      </c>
      <c r="H756" s="7">
        <v>24</v>
      </c>
      <c r="I756" s="7">
        <v>0</v>
      </c>
      <c r="K756"/>
      <c r="L756"/>
      <c r="M756"/>
      <c r="N756"/>
      <c r="O756"/>
    </row>
    <row r="757" spans="1:15">
      <c r="A757" s="7" t="s">
        <v>1971</v>
      </c>
      <c r="B757" s="7" t="s">
        <v>1496</v>
      </c>
      <c r="C757" s="7" t="s">
        <v>1972</v>
      </c>
      <c r="D757" s="7" t="s">
        <v>1978</v>
      </c>
      <c r="E757" s="7" t="s">
        <v>1527</v>
      </c>
      <c r="F757" s="7">
        <v>190000</v>
      </c>
      <c r="G757" s="7">
        <v>19</v>
      </c>
      <c r="H757" s="7">
        <v>0</v>
      </c>
      <c r="I757" s="7">
        <v>0</v>
      </c>
      <c r="K757"/>
      <c r="L757"/>
      <c r="M757"/>
      <c r="N757"/>
      <c r="O757"/>
    </row>
    <row r="758" spans="1:15">
      <c r="A758" s="7" t="s">
        <v>1971</v>
      </c>
      <c r="B758" s="7" t="s">
        <v>1496</v>
      </c>
      <c r="C758" s="7" t="s">
        <v>1972</v>
      </c>
      <c r="E758" s="7" t="s">
        <v>1618</v>
      </c>
      <c r="F758" s="7">
        <v>191000</v>
      </c>
      <c r="G758" s="7">
        <v>19</v>
      </c>
      <c r="H758" s="7">
        <v>10</v>
      </c>
      <c r="I758" s="7">
        <v>0</v>
      </c>
      <c r="K758"/>
      <c r="L758"/>
      <c r="M758"/>
      <c r="N758"/>
      <c r="O758"/>
    </row>
    <row r="759" spans="1:15">
      <c r="A759" s="7" t="s">
        <v>1971</v>
      </c>
      <c r="B759" s="7" t="s">
        <v>1496</v>
      </c>
      <c r="C759" s="7" t="s">
        <v>1972</v>
      </c>
      <c r="E759" s="7" t="s">
        <v>1620</v>
      </c>
      <c r="F759" s="7">
        <v>191100</v>
      </c>
      <c r="G759" s="7">
        <v>19</v>
      </c>
      <c r="H759" s="7">
        <v>11</v>
      </c>
      <c r="I759" s="7">
        <v>0</v>
      </c>
      <c r="K759"/>
      <c r="L759"/>
      <c r="M759"/>
      <c r="N759"/>
      <c r="O759"/>
    </row>
    <row r="760" spans="1:15">
      <c r="A760" s="7" t="s">
        <v>1971</v>
      </c>
      <c r="B760" s="7" t="s">
        <v>1496</v>
      </c>
      <c r="C760" s="7" t="s">
        <v>1972</v>
      </c>
      <c r="E760" s="7" t="s">
        <v>1622</v>
      </c>
      <c r="F760" s="7">
        <v>191200</v>
      </c>
      <c r="G760" s="7">
        <v>19</v>
      </c>
      <c r="H760" s="7">
        <v>12</v>
      </c>
      <c r="I760" s="7">
        <v>0</v>
      </c>
      <c r="K760"/>
      <c r="L760"/>
      <c r="M760"/>
      <c r="N760"/>
      <c r="O760"/>
    </row>
    <row r="761" spans="1:15">
      <c r="A761" s="7" t="s">
        <v>1971</v>
      </c>
      <c r="B761" s="7" t="s">
        <v>1496</v>
      </c>
      <c r="C761" s="7" t="s">
        <v>1972</v>
      </c>
      <c r="E761" s="7" t="s">
        <v>1512</v>
      </c>
      <c r="F761" s="7">
        <v>191300</v>
      </c>
      <c r="G761" s="7">
        <v>19</v>
      </c>
      <c r="H761" s="7">
        <v>13</v>
      </c>
      <c r="I761" s="7">
        <v>0</v>
      </c>
      <c r="K761"/>
      <c r="L761"/>
      <c r="M761"/>
      <c r="N761"/>
      <c r="O761"/>
    </row>
    <row r="762" spans="1:15">
      <c r="A762" s="7" t="s">
        <v>1971</v>
      </c>
      <c r="B762" s="7" t="s">
        <v>1496</v>
      </c>
      <c r="C762" s="7" t="s">
        <v>1972</v>
      </c>
      <c r="E762" s="7" t="s">
        <v>1625</v>
      </c>
      <c r="F762" s="7">
        <v>191400</v>
      </c>
      <c r="G762" s="7">
        <v>19</v>
      </c>
      <c r="H762" s="7">
        <v>14</v>
      </c>
      <c r="I762" s="7">
        <v>0</v>
      </c>
      <c r="K762"/>
      <c r="L762"/>
      <c r="M762"/>
      <c r="N762"/>
      <c r="O762"/>
    </row>
    <row r="763" spans="1:15">
      <c r="A763" s="7" t="s">
        <v>1971</v>
      </c>
      <c r="B763" s="7" t="s">
        <v>1496</v>
      </c>
      <c r="C763" s="7" t="s">
        <v>1972</v>
      </c>
      <c r="E763" s="7" t="s">
        <v>1516</v>
      </c>
      <c r="F763" s="7">
        <v>191500</v>
      </c>
      <c r="G763" s="7">
        <v>19</v>
      </c>
      <c r="H763" s="7">
        <v>15</v>
      </c>
      <c r="I763" s="7">
        <v>0</v>
      </c>
      <c r="K763"/>
      <c r="L763"/>
      <c r="M763"/>
      <c r="N763"/>
      <c r="O763"/>
    </row>
    <row r="764" spans="1:15">
      <c r="A764" s="7" t="s">
        <v>1971</v>
      </c>
      <c r="B764" s="7" t="s">
        <v>1496</v>
      </c>
      <c r="C764" s="7" t="s">
        <v>1972</v>
      </c>
      <c r="E764" s="7" t="s">
        <v>1626</v>
      </c>
      <c r="F764" s="7">
        <v>191800</v>
      </c>
      <c r="G764" s="7">
        <v>19</v>
      </c>
      <c r="H764" s="7">
        <v>18</v>
      </c>
      <c r="I764" s="7">
        <v>0</v>
      </c>
      <c r="K764"/>
      <c r="L764"/>
      <c r="M764"/>
      <c r="N764"/>
      <c r="O764"/>
    </row>
    <row r="765" spans="1:15">
      <c r="A765" s="7" t="s">
        <v>1971</v>
      </c>
      <c r="B765" s="7" t="s">
        <v>1496</v>
      </c>
      <c r="C765" s="7" t="s">
        <v>1972</v>
      </c>
      <c r="E765" s="7" t="s">
        <v>1690</v>
      </c>
      <c r="F765" s="7">
        <v>191810</v>
      </c>
      <c r="G765" s="7">
        <v>19</v>
      </c>
      <c r="H765" s="7">
        <v>18</v>
      </c>
      <c r="I765" s="7">
        <v>10</v>
      </c>
      <c r="K765"/>
      <c r="L765"/>
      <c r="M765"/>
      <c r="N765"/>
      <c r="O765"/>
    </row>
    <row r="766" spans="1:15">
      <c r="A766" s="7" t="s">
        <v>1971</v>
      </c>
      <c r="B766" s="7" t="s">
        <v>1496</v>
      </c>
      <c r="C766" s="7" t="s">
        <v>1972</v>
      </c>
      <c r="E766" s="7" t="s">
        <v>1642</v>
      </c>
      <c r="F766" s="7">
        <v>191900</v>
      </c>
      <c r="G766" s="7">
        <v>19</v>
      </c>
      <c r="H766" s="7">
        <v>19</v>
      </c>
      <c r="I766" s="7">
        <v>0</v>
      </c>
      <c r="K766"/>
      <c r="L766"/>
      <c r="M766"/>
      <c r="N766"/>
      <c r="O766"/>
    </row>
    <row r="767" spans="1:15">
      <c r="A767" s="7" t="s">
        <v>1971</v>
      </c>
      <c r="B767" s="7" t="s">
        <v>1496</v>
      </c>
      <c r="C767" s="7" t="s">
        <v>1972</v>
      </c>
      <c r="D767" s="7" t="s">
        <v>1979</v>
      </c>
      <c r="E767" s="7" t="s">
        <v>1519</v>
      </c>
      <c r="F767" s="7">
        <v>200000</v>
      </c>
      <c r="G767" s="7">
        <v>20</v>
      </c>
      <c r="H767" s="7">
        <v>0</v>
      </c>
      <c r="I767" s="7">
        <v>0</v>
      </c>
      <c r="K767"/>
      <c r="L767"/>
      <c r="M767"/>
      <c r="N767"/>
      <c r="O767"/>
    </row>
    <row r="768" spans="1:15">
      <c r="A768" s="7" t="s">
        <v>1971</v>
      </c>
      <c r="B768" s="7" t="s">
        <v>1496</v>
      </c>
      <c r="C768" s="7" t="s">
        <v>1972</v>
      </c>
      <c r="E768" s="7" t="s">
        <v>1728</v>
      </c>
      <c r="F768" s="7">
        <v>201400</v>
      </c>
      <c r="G768" s="7">
        <v>20</v>
      </c>
      <c r="H768" s="7">
        <v>14</v>
      </c>
      <c r="I768" s="7">
        <v>0</v>
      </c>
      <c r="K768"/>
      <c r="L768"/>
      <c r="M768"/>
      <c r="N768"/>
      <c r="O768"/>
    </row>
    <row r="769" spans="1:15">
      <c r="A769" s="7" t="s">
        <v>1971</v>
      </c>
      <c r="B769" s="7" t="s">
        <v>1496</v>
      </c>
      <c r="C769" s="7" t="s">
        <v>1972</v>
      </c>
      <c r="D769" s="7" t="s">
        <v>1980</v>
      </c>
      <c r="E769" s="7" t="s">
        <v>1645</v>
      </c>
      <c r="F769" s="7">
        <v>780000</v>
      </c>
      <c r="G769" s="7">
        <v>78</v>
      </c>
      <c r="H769" s="7">
        <v>0</v>
      </c>
      <c r="I769" s="7">
        <v>0</v>
      </c>
      <c r="K769"/>
      <c r="L769"/>
      <c r="M769"/>
      <c r="N769"/>
      <c r="O769"/>
    </row>
    <row r="770" spans="1:15">
      <c r="A770" s="7" t="s">
        <v>1971</v>
      </c>
      <c r="B770" s="7" t="s">
        <v>1496</v>
      </c>
      <c r="C770" s="7" t="s">
        <v>1972</v>
      </c>
      <c r="E770" s="7" t="s">
        <v>1841</v>
      </c>
      <c r="F770" s="7">
        <v>781100</v>
      </c>
      <c r="G770" s="7">
        <v>78</v>
      </c>
      <c r="H770" s="7">
        <v>11</v>
      </c>
      <c r="I770" s="7">
        <v>0</v>
      </c>
      <c r="K770"/>
      <c r="L770"/>
      <c r="M770"/>
      <c r="N770"/>
      <c r="O770"/>
    </row>
    <row r="771" spans="1:15">
      <c r="A771" s="7" t="s">
        <v>1971</v>
      </c>
      <c r="B771" s="7" t="s">
        <v>1496</v>
      </c>
      <c r="C771" s="7" t="s">
        <v>1972</v>
      </c>
      <c r="E771" s="7" t="s">
        <v>1516</v>
      </c>
      <c r="F771" s="7">
        <v>781200</v>
      </c>
      <c r="G771" s="7">
        <v>78</v>
      </c>
      <c r="H771" s="7">
        <v>12</v>
      </c>
      <c r="I771" s="7">
        <v>0</v>
      </c>
      <c r="K771"/>
      <c r="L771"/>
      <c r="M771"/>
      <c r="N771"/>
      <c r="O771"/>
    </row>
    <row r="772" spans="1:15">
      <c r="A772" s="7" t="s">
        <v>1971</v>
      </c>
      <c r="B772" s="7" t="s">
        <v>1496</v>
      </c>
      <c r="C772" s="7" t="s">
        <v>1972</v>
      </c>
      <c r="E772" s="7" t="s">
        <v>1843</v>
      </c>
      <c r="F772" s="7">
        <v>781300</v>
      </c>
      <c r="G772" s="7">
        <v>78</v>
      </c>
      <c r="H772" s="7">
        <v>13</v>
      </c>
      <c r="I772" s="7">
        <v>0</v>
      </c>
      <c r="K772"/>
      <c r="L772"/>
      <c r="M772"/>
      <c r="N772"/>
      <c r="O772"/>
    </row>
    <row r="773" spans="1:15">
      <c r="A773" s="7" t="s">
        <v>1971</v>
      </c>
      <c r="B773" s="7" t="s">
        <v>1496</v>
      </c>
      <c r="C773" s="7" t="s">
        <v>1972</v>
      </c>
      <c r="E773" s="7" t="s">
        <v>1844</v>
      </c>
      <c r="F773" s="7">
        <v>781400</v>
      </c>
      <c r="G773" s="7">
        <v>78</v>
      </c>
      <c r="H773" s="7">
        <v>14</v>
      </c>
      <c r="I773" s="7">
        <v>0</v>
      </c>
      <c r="K773"/>
      <c r="L773"/>
      <c r="M773"/>
      <c r="N773"/>
      <c r="O773"/>
    </row>
    <row r="774" spans="1:15">
      <c r="A774" s="7" t="s">
        <v>1971</v>
      </c>
      <c r="B774" s="7" t="s">
        <v>1496</v>
      </c>
      <c r="C774" s="7" t="s">
        <v>1972</v>
      </c>
      <c r="D774" s="7" t="s">
        <v>1981</v>
      </c>
      <c r="E774" s="7" t="s">
        <v>1523</v>
      </c>
      <c r="F774" s="7">
        <v>790000</v>
      </c>
      <c r="G774" s="7">
        <v>79</v>
      </c>
      <c r="H774" s="7">
        <v>0</v>
      </c>
      <c r="I774" s="7">
        <v>0</v>
      </c>
      <c r="K774"/>
      <c r="L774"/>
      <c r="M774"/>
      <c r="N774"/>
      <c r="O774"/>
    </row>
    <row r="775" spans="1:15">
      <c r="A775" s="7" t="s">
        <v>1971</v>
      </c>
      <c r="B775" s="7" t="s">
        <v>1496</v>
      </c>
      <c r="C775" s="7" t="s">
        <v>1972</v>
      </c>
      <c r="E775" s="7" t="s">
        <v>504</v>
      </c>
      <c r="F775" s="7">
        <v>909000</v>
      </c>
      <c r="G775" s="7">
        <v>90</v>
      </c>
      <c r="H775" s="7">
        <v>90</v>
      </c>
      <c r="I775" s="7">
        <v>0</v>
      </c>
      <c r="K775"/>
      <c r="L775"/>
      <c r="M775"/>
      <c r="N775"/>
      <c r="O775"/>
    </row>
    <row r="776" spans="1:15">
      <c r="A776" s="7" t="s">
        <v>1982</v>
      </c>
      <c r="B776" s="7" t="s">
        <v>1496</v>
      </c>
      <c r="C776" s="7" t="s">
        <v>1983</v>
      </c>
      <c r="D776" s="7" t="s">
        <v>1984</v>
      </c>
      <c r="E776" s="7" t="s">
        <v>1503</v>
      </c>
      <c r="F776" s="7">
        <v>100000</v>
      </c>
      <c r="G776" s="7">
        <v>10</v>
      </c>
      <c r="H776" s="7">
        <v>0</v>
      </c>
      <c r="I776" s="7">
        <v>0</v>
      </c>
      <c r="K776"/>
      <c r="L776"/>
      <c r="M776"/>
      <c r="N776"/>
      <c r="O776"/>
    </row>
    <row r="777" spans="1:15">
      <c r="A777" s="7" t="s">
        <v>1982</v>
      </c>
      <c r="B777" s="7" t="s">
        <v>1496</v>
      </c>
      <c r="C777" s="7" t="s">
        <v>1983</v>
      </c>
      <c r="E777" s="7" t="s">
        <v>1501</v>
      </c>
      <c r="F777" s="7">
        <v>101000</v>
      </c>
      <c r="G777" s="7">
        <v>10</v>
      </c>
      <c r="H777" s="7">
        <v>10</v>
      </c>
      <c r="I777" s="7">
        <v>0</v>
      </c>
      <c r="K777"/>
      <c r="L777"/>
      <c r="M777"/>
      <c r="N777"/>
      <c r="O777"/>
    </row>
    <row r="778" spans="1:15">
      <c r="A778" s="7" t="s">
        <v>1982</v>
      </c>
      <c r="B778" s="7" t="s">
        <v>1496</v>
      </c>
      <c r="C778" s="7" t="s">
        <v>1983</v>
      </c>
      <c r="E778" s="7" t="s">
        <v>145</v>
      </c>
      <c r="F778" s="7">
        <v>101400</v>
      </c>
      <c r="G778" s="7">
        <v>10</v>
      </c>
      <c r="H778" s="7">
        <v>14</v>
      </c>
      <c r="I778" s="7">
        <v>0</v>
      </c>
      <c r="K778"/>
      <c r="L778"/>
      <c r="M778"/>
      <c r="N778"/>
      <c r="O778"/>
    </row>
    <row r="779" spans="1:15">
      <c r="A779" s="7" t="s">
        <v>1982</v>
      </c>
      <c r="B779" s="7" t="s">
        <v>1496</v>
      </c>
      <c r="C779" s="7" t="s">
        <v>1983</v>
      </c>
      <c r="E779" s="7" t="s">
        <v>1527</v>
      </c>
      <c r="F779" s="7">
        <v>101500</v>
      </c>
      <c r="G779" s="7">
        <v>10</v>
      </c>
      <c r="H779" s="7">
        <v>15</v>
      </c>
      <c r="I779" s="7">
        <v>0</v>
      </c>
      <c r="K779"/>
      <c r="L779"/>
      <c r="M779"/>
      <c r="N779"/>
      <c r="O779"/>
    </row>
    <row r="780" spans="1:15">
      <c r="A780" s="7" t="s">
        <v>1982</v>
      </c>
      <c r="B780" s="7" t="s">
        <v>1496</v>
      </c>
      <c r="C780" s="7" t="s">
        <v>1983</v>
      </c>
      <c r="D780" s="7" t="s">
        <v>1985</v>
      </c>
      <c r="E780" s="7" t="s">
        <v>145</v>
      </c>
      <c r="F780" s="7">
        <v>140000</v>
      </c>
      <c r="G780" s="7">
        <v>14</v>
      </c>
      <c r="H780" s="7">
        <v>0</v>
      </c>
      <c r="I780" s="7">
        <v>0</v>
      </c>
      <c r="K780"/>
      <c r="L780"/>
      <c r="M780"/>
      <c r="N780"/>
      <c r="O780"/>
    </row>
    <row r="781" spans="1:15">
      <c r="A781" s="7" t="s">
        <v>1982</v>
      </c>
      <c r="B781" s="7" t="s">
        <v>1496</v>
      </c>
      <c r="C781" s="7" t="s">
        <v>1983</v>
      </c>
      <c r="E781" s="7" t="s">
        <v>1531</v>
      </c>
      <c r="F781" s="7">
        <v>141010</v>
      </c>
      <c r="G781" s="7">
        <v>14</v>
      </c>
      <c r="H781" s="7">
        <v>10</v>
      </c>
      <c r="I781" s="7">
        <v>10</v>
      </c>
      <c r="K781"/>
      <c r="L781"/>
      <c r="M781"/>
      <c r="N781"/>
      <c r="O781"/>
    </row>
    <row r="782" spans="1:15">
      <c r="A782" s="7" t="s">
        <v>1982</v>
      </c>
      <c r="B782" s="7" t="s">
        <v>1496</v>
      </c>
      <c r="C782" s="7" t="s">
        <v>1983</v>
      </c>
      <c r="E782" s="7" t="s">
        <v>1581</v>
      </c>
      <c r="F782" s="7">
        <v>141100</v>
      </c>
      <c r="G782" s="7">
        <v>14</v>
      </c>
      <c r="H782" s="7">
        <v>11</v>
      </c>
      <c r="I782" s="7">
        <v>0</v>
      </c>
      <c r="K782"/>
      <c r="L782"/>
      <c r="M782"/>
      <c r="N782"/>
      <c r="O782"/>
    </row>
    <row r="783" spans="1:15">
      <c r="A783" s="7" t="s">
        <v>1982</v>
      </c>
      <c r="B783" s="7" t="s">
        <v>1496</v>
      </c>
      <c r="C783" s="7" t="s">
        <v>1983</v>
      </c>
      <c r="E783" s="7" t="s">
        <v>1552</v>
      </c>
      <c r="F783" s="7">
        <v>141600</v>
      </c>
      <c r="G783" s="7">
        <v>14</v>
      </c>
      <c r="H783" s="7">
        <v>16</v>
      </c>
      <c r="I783" s="7">
        <v>0</v>
      </c>
      <c r="K783"/>
      <c r="L783"/>
      <c r="M783"/>
      <c r="N783"/>
      <c r="O783"/>
    </row>
    <row r="784" spans="1:15">
      <c r="A784" s="7" t="s">
        <v>1982</v>
      </c>
      <c r="B784" s="7" t="s">
        <v>1496</v>
      </c>
      <c r="C784" s="7" t="s">
        <v>1983</v>
      </c>
      <c r="E784" s="7" t="s">
        <v>1537</v>
      </c>
      <c r="F784" s="7">
        <v>141700</v>
      </c>
      <c r="G784" s="7">
        <v>14</v>
      </c>
      <c r="H784" s="7">
        <v>17</v>
      </c>
      <c r="I784" s="7">
        <v>0</v>
      </c>
      <c r="K784"/>
      <c r="L784"/>
      <c r="M784"/>
      <c r="N784"/>
      <c r="O784"/>
    </row>
    <row r="785" spans="1:15">
      <c r="A785" s="7" t="s">
        <v>1982</v>
      </c>
      <c r="B785" s="7" t="s">
        <v>1496</v>
      </c>
      <c r="C785" s="7" t="s">
        <v>1983</v>
      </c>
      <c r="E785" s="7" t="s">
        <v>1516</v>
      </c>
      <c r="F785" s="7">
        <v>141800</v>
      </c>
      <c r="G785" s="7">
        <v>14</v>
      </c>
      <c r="H785" s="7">
        <v>18</v>
      </c>
      <c r="I785" s="7">
        <v>0</v>
      </c>
      <c r="K785"/>
      <c r="L785"/>
      <c r="M785"/>
      <c r="N785"/>
      <c r="O785"/>
    </row>
    <row r="786" spans="1:15">
      <c r="A786" s="7" t="s">
        <v>1982</v>
      </c>
      <c r="B786" s="7" t="s">
        <v>1496</v>
      </c>
      <c r="C786" s="7" t="s">
        <v>1983</v>
      </c>
      <c r="E786" s="7" t="s">
        <v>1585</v>
      </c>
      <c r="F786" s="7">
        <v>141900</v>
      </c>
      <c r="G786" s="7">
        <v>14</v>
      </c>
      <c r="H786" s="7">
        <v>19</v>
      </c>
      <c r="I786" s="7">
        <v>0</v>
      </c>
      <c r="K786"/>
      <c r="L786"/>
      <c r="M786"/>
      <c r="N786"/>
      <c r="O786"/>
    </row>
    <row r="787" spans="1:15">
      <c r="A787" s="7" t="s">
        <v>1982</v>
      </c>
      <c r="B787" s="7" t="s">
        <v>1496</v>
      </c>
      <c r="C787" s="7" t="s">
        <v>1983</v>
      </c>
      <c r="E787" s="7" t="s">
        <v>1589</v>
      </c>
      <c r="F787" s="7">
        <v>142100</v>
      </c>
      <c r="G787" s="7">
        <v>14</v>
      </c>
      <c r="H787" s="7">
        <v>21</v>
      </c>
      <c r="I787" s="7">
        <v>0</v>
      </c>
      <c r="K787"/>
      <c r="L787"/>
      <c r="M787"/>
      <c r="N787"/>
      <c r="O787"/>
    </row>
    <row r="788" spans="1:15">
      <c r="A788" s="7" t="s">
        <v>1982</v>
      </c>
      <c r="B788" s="7" t="s">
        <v>1496</v>
      </c>
      <c r="C788" s="7" t="s">
        <v>1983</v>
      </c>
      <c r="E788" s="7" t="s">
        <v>1539</v>
      </c>
      <c r="F788" s="7">
        <v>142600</v>
      </c>
      <c r="G788" s="7">
        <v>14</v>
      </c>
      <c r="H788" s="7">
        <v>26</v>
      </c>
      <c r="I788" s="7">
        <v>0</v>
      </c>
      <c r="K788"/>
      <c r="L788"/>
      <c r="M788"/>
      <c r="N788"/>
      <c r="O788"/>
    </row>
    <row r="789" spans="1:15">
      <c r="A789" s="7" t="s">
        <v>1982</v>
      </c>
      <c r="B789" s="7" t="s">
        <v>1496</v>
      </c>
      <c r="C789" s="7" t="s">
        <v>1983</v>
      </c>
      <c r="E789" s="7" t="s">
        <v>1541</v>
      </c>
      <c r="F789" s="7">
        <v>142700</v>
      </c>
      <c r="G789" s="7">
        <v>14</v>
      </c>
      <c r="H789" s="7">
        <v>27</v>
      </c>
      <c r="I789" s="7">
        <v>0</v>
      </c>
      <c r="K789"/>
      <c r="L789"/>
      <c r="M789"/>
      <c r="N789"/>
      <c r="O789"/>
    </row>
    <row r="790" spans="1:15">
      <c r="A790" s="7" t="s">
        <v>1982</v>
      </c>
      <c r="B790" s="7" t="s">
        <v>1496</v>
      </c>
      <c r="C790" s="7" t="s">
        <v>1983</v>
      </c>
      <c r="D790" s="7" t="s">
        <v>1986</v>
      </c>
      <c r="E790" s="7" t="s">
        <v>1499</v>
      </c>
      <c r="F790" s="7">
        <v>160000</v>
      </c>
      <c r="G790" s="7">
        <v>16</v>
      </c>
      <c r="H790" s="7">
        <v>0</v>
      </c>
      <c r="I790" s="7">
        <v>0</v>
      </c>
      <c r="K790"/>
      <c r="L790"/>
      <c r="M790"/>
      <c r="N790"/>
      <c r="O790"/>
    </row>
    <row r="791" spans="1:15">
      <c r="A791" s="7" t="s">
        <v>1982</v>
      </c>
      <c r="B791" s="7" t="s">
        <v>1496</v>
      </c>
      <c r="C791" s="7" t="s">
        <v>1983</v>
      </c>
      <c r="E791" s="7" t="s">
        <v>1501</v>
      </c>
      <c r="F791" s="7">
        <v>161000</v>
      </c>
      <c r="G791" s="7">
        <v>16</v>
      </c>
      <c r="H791" s="7">
        <v>10</v>
      </c>
      <c r="I791" s="7">
        <v>0</v>
      </c>
      <c r="K791"/>
      <c r="L791"/>
      <c r="M791"/>
      <c r="N791"/>
      <c r="O791"/>
    </row>
    <row r="792" spans="1:15">
      <c r="A792" s="7" t="s">
        <v>1982</v>
      </c>
      <c r="B792" s="7" t="s">
        <v>1496</v>
      </c>
      <c r="C792" s="7" t="s">
        <v>1983</v>
      </c>
      <c r="D792" s="7" t="s">
        <v>1987</v>
      </c>
      <c r="E792" s="7" t="s">
        <v>1521</v>
      </c>
      <c r="F792" s="7">
        <v>170000</v>
      </c>
      <c r="G792" s="7">
        <v>17</v>
      </c>
      <c r="H792" s="7">
        <v>0</v>
      </c>
      <c r="I792" s="7">
        <v>0</v>
      </c>
      <c r="K792"/>
      <c r="L792"/>
      <c r="M792"/>
      <c r="N792"/>
      <c r="O792"/>
    </row>
    <row r="793" spans="1:15">
      <c r="A793" s="7" t="s">
        <v>1982</v>
      </c>
      <c r="B793" s="7" t="s">
        <v>1496</v>
      </c>
      <c r="C793" s="7" t="s">
        <v>1983</v>
      </c>
      <c r="E793" s="7" t="s">
        <v>1670</v>
      </c>
      <c r="F793" s="7">
        <v>171500</v>
      </c>
      <c r="G793" s="7">
        <v>17</v>
      </c>
      <c r="H793" s="7">
        <v>15</v>
      </c>
      <c r="I793" s="7">
        <v>0</v>
      </c>
      <c r="K793"/>
      <c r="L793"/>
      <c r="M793"/>
      <c r="N793"/>
      <c r="O793"/>
    </row>
    <row r="794" spans="1:15">
      <c r="A794" s="7" t="s">
        <v>1982</v>
      </c>
      <c r="B794" s="7" t="s">
        <v>1496</v>
      </c>
      <c r="C794" s="7" t="s">
        <v>1983</v>
      </c>
      <c r="E794" s="7" t="s">
        <v>1531</v>
      </c>
      <c r="F794" s="7">
        <v>171510</v>
      </c>
      <c r="G794" s="7">
        <v>17</v>
      </c>
      <c r="H794" s="7">
        <v>15</v>
      </c>
      <c r="I794" s="7">
        <v>10</v>
      </c>
      <c r="K794"/>
      <c r="L794"/>
      <c r="M794"/>
      <c r="N794"/>
      <c r="O794"/>
    </row>
    <row r="795" spans="1:15">
      <c r="A795" s="7" t="s">
        <v>1982</v>
      </c>
      <c r="B795" s="7" t="s">
        <v>1496</v>
      </c>
      <c r="C795" s="7" t="s">
        <v>1983</v>
      </c>
      <c r="E795" s="7" t="s">
        <v>1673</v>
      </c>
      <c r="F795" s="7">
        <v>171600</v>
      </c>
      <c r="G795" s="7">
        <v>17</v>
      </c>
      <c r="H795" s="7">
        <v>16</v>
      </c>
      <c r="I795" s="7">
        <v>0</v>
      </c>
      <c r="K795"/>
      <c r="L795"/>
      <c r="M795"/>
      <c r="N795"/>
      <c r="O795"/>
    </row>
    <row r="796" spans="1:15">
      <c r="A796" s="7" t="s">
        <v>1982</v>
      </c>
      <c r="B796" s="7" t="s">
        <v>1496</v>
      </c>
      <c r="C796" s="7" t="s">
        <v>1983</v>
      </c>
      <c r="D796" s="7" t="s">
        <v>1988</v>
      </c>
      <c r="E796" s="7" t="s">
        <v>1527</v>
      </c>
      <c r="F796" s="7">
        <v>190000</v>
      </c>
      <c r="G796" s="7">
        <v>19</v>
      </c>
      <c r="H796" s="7">
        <v>0</v>
      </c>
      <c r="I796" s="7">
        <v>0</v>
      </c>
      <c r="K796"/>
      <c r="L796"/>
      <c r="M796"/>
      <c r="N796"/>
      <c r="O796"/>
    </row>
    <row r="797" spans="1:15">
      <c r="A797" s="7" t="s">
        <v>1982</v>
      </c>
      <c r="B797" s="7" t="s">
        <v>1496</v>
      </c>
      <c r="C797" s="7" t="s">
        <v>1983</v>
      </c>
      <c r="E797" s="7" t="s">
        <v>1618</v>
      </c>
      <c r="F797" s="7">
        <v>191000</v>
      </c>
      <c r="G797" s="7">
        <v>19</v>
      </c>
      <c r="H797" s="7">
        <v>10</v>
      </c>
      <c r="I797" s="7">
        <v>0</v>
      </c>
      <c r="K797"/>
      <c r="L797"/>
      <c r="M797"/>
      <c r="N797"/>
      <c r="O797"/>
    </row>
    <row r="798" spans="1:15">
      <c r="A798" s="7" t="s">
        <v>1982</v>
      </c>
      <c r="B798" s="7" t="s">
        <v>1496</v>
      </c>
      <c r="C798" s="7" t="s">
        <v>1983</v>
      </c>
      <c r="E798" s="7" t="s">
        <v>1620</v>
      </c>
      <c r="F798" s="7">
        <v>191100</v>
      </c>
      <c r="G798" s="7">
        <v>19</v>
      </c>
      <c r="H798" s="7">
        <v>11</v>
      </c>
      <c r="I798" s="7">
        <v>0</v>
      </c>
      <c r="K798"/>
      <c r="L798"/>
      <c r="M798"/>
      <c r="N798"/>
      <c r="O798"/>
    </row>
    <row r="799" spans="1:15">
      <c r="A799" s="7" t="s">
        <v>1982</v>
      </c>
      <c r="B799" s="7" t="s">
        <v>1496</v>
      </c>
      <c r="C799" s="7" t="s">
        <v>1983</v>
      </c>
      <c r="E799" s="7" t="s">
        <v>1622</v>
      </c>
      <c r="F799" s="7">
        <v>191200</v>
      </c>
      <c r="G799" s="7">
        <v>19</v>
      </c>
      <c r="H799" s="7">
        <v>12</v>
      </c>
      <c r="I799" s="7">
        <v>0</v>
      </c>
      <c r="K799"/>
      <c r="L799"/>
      <c r="M799"/>
      <c r="N799"/>
      <c r="O799"/>
    </row>
    <row r="800" spans="1:15">
      <c r="A800" s="7" t="s">
        <v>1982</v>
      </c>
      <c r="B800" s="7" t="s">
        <v>1496</v>
      </c>
      <c r="C800" s="7" t="s">
        <v>1983</v>
      </c>
      <c r="E800" s="7" t="s">
        <v>1512</v>
      </c>
      <c r="F800" s="7">
        <v>191300</v>
      </c>
      <c r="G800" s="7">
        <v>19</v>
      </c>
      <c r="H800" s="7">
        <v>13</v>
      </c>
      <c r="I800" s="7">
        <v>0</v>
      </c>
      <c r="K800"/>
      <c r="L800"/>
      <c r="M800"/>
      <c r="N800"/>
      <c r="O800"/>
    </row>
    <row r="801" spans="1:15">
      <c r="A801" s="7" t="s">
        <v>1982</v>
      </c>
      <c r="B801" s="7" t="s">
        <v>1496</v>
      </c>
      <c r="C801" s="7" t="s">
        <v>1983</v>
      </c>
      <c r="E801" s="7" t="s">
        <v>1625</v>
      </c>
      <c r="F801" s="7">
        <v>191400</v>
      </c>
      <c r="G801" s="7">
        <v>19</v>
      </c>
      <c r="H801" s="7">
        <v>14</v>
      </c>
      <c r="I801" s="7">
        <v>0</v>
      </c>
      <c r="K801"/>
      <c r="L801"/>
      <c r="M801"/>
      <c r="N801"/>
      <c r="O801"/>
    </row>
    <row r="802" spans="1:15">
      <c r="A802" s="7" t="s">
        <v>1982</v>
      </c>
      <c r="B802" s="7" t="s">
        <v>1496</v>
      </c>
      <c r="C802" s="7" t="s">
        <v>1983</v>
      </c>
      <c r="E802" s="7" t="s">
        <v>1516</v>
      </c>
      <c r="F802" s="7">
        <v>191500</v>
      </c>
      <c r="G802" s="7">
        <v>19</v>
      </c>
      <c r="H802" s="7">
        <v>15</v>
      </c>
      <c r="I802" s="7">
        <v>0</v>
      </c>
      <c r="K802"/>
      <c r="L802"/>
      <c r="M802"/>
      <c r="N802"/>
      <c r="O802"/>
    </row>
    <row r="803" spans="1:15">
      <c r="A803" s="7" t="s">
        <v>1982</v>
      </c>
      <c r="B803" s="7" t="s">
        <v>1496</v>
      </c>
      <c r="C803" s="7" t="s">
        <v>1983</v>
      </c>
      <c r="E803" s="7" t="s">
        <v>1626</v>
      </c>
      <c r="F803" s="7">
        <v>191800</v>
      </c>
      <c r="G803" s="7">
        <v>19</v>
      </c>
      <c r="H803" s="7">
        <v>18</v>
      </c>
      <c r="I803" s="7">
        <v>0</v>
      </c>
      <c r="K803"/>
      <c r="L803"/>
      <c r="M803"/>
      <c r="N803"/>
      <c r="O803"/>
    </row>
    <row r="804" spans="1:15">
      <c r="A804" s="7" t="s">
        <v>1982</v>
      </c>
      <c r="B804" s="7" t="s">
        <v>1496</v>
      </c>
      <c r="C804" s="7" t="s">
        <v>1983</v>
      </c>
      <c r="E804" s="7" t="s">
        <v>1690</v>
      </c>
      <c r="F804" s="7">
        <v>191810</v>
      </c>
      <c r="G804" s="7">
        <v>19</v>
      </c>
      <c r="H804" s="7">
        <v>18</v>
      </c>
      <c r="I804" s="7">
        <v>10</v>
      </c>
      <c r="K804"/>
      <c r="L804"/>
      <c r="M804"/>
      <c r="N804"/>
      <c r="O804"/>
    </row>
    <row r="805" spans="1:15">
      <c r="A805" s="7" t="s">
        <v>1982</v>
      </c>
      <c r="B805" s="7" t="s">
        <v>1496</v>
      </c>
      <c r="C805" s="7" t="s">
        <v>1983</v>
      </c>
      <c r="E805" s="7" t="s">
        <v>1642</v>
      </c>
      <c r="F805" s="7">
        <v>191900</v>
      </c>
      <c r="G805" s="7">
        <v>19</v>
      </c>
      <c r="H805" s="7">
        <v>19</v>
      </c>
      <c r="I805" s="7">
        <v>0</v>
      </c>
      <c r="K805"/>
      <c r="L805"/>
      <c r="M805"/>
      <c r="N805"/>
      <c r="O805"/>
    </row>
    <row r="806" spans="1:15">
      <c r="A806" s="7" t="s">
        <v>1982</v>
      </c>
      <c r="B806" s="7" t="s">
        <v>1496</v>
      </c>
      <c r="C806" s="7" t="s">
        <v>1983</v>
      </c>
      <c r="E806" s="7" t="s">
        <v>1677</v>
      </c>
      <c r="F806" s="7">
        <v>192000</v>
      </c>
      <c r="G806" s="7">
        <v>19</v>
      </c>
      <c r="H806" s="7">
        <v>20</v>
      </c>
      <c r="I806" s="7">
        <v>0</v>
      </c>
      <c r="K806"/>
      <c r="L806"/>
      <c r="M806"/>
      <c r="N806"/>
      <c r="O806"/>
    </row>
    <row r="807" spans="1:15">
      <c r="A807" s="7" t="s">
        <v>1982</v>
      </c>
      <c r="B807" s="7" t="s">
        <v>1496</v>
      </c>
      <c r="C807" s="7" t="s">
        <v>1983</v>
      </c>
      <c r="E807" s="7" t="s">
        <v>1691</v>
      </c>
      <c r="F807" s="7">
        <v>192500</v>
      </c>
      <c r="G807" s="7">
        <v>19</v>
      </c>
      <c r="H807" s="7">
        <v>25</v>
      </c>
      <c r="I807" s="7">
        <v>0</v>
      </c>
      <c r="K807"/>
      <c r="L807"/>
      <c r="M807"/>
      <c r="N807"/>
      <c r="O807"/>
    </row>
    <row r="808" spans="1:15">
      <c r="A808" s="7" t="s">
        <v>1982</v>
      </c>
      <c r="B808" s="7" t="s">
        <v>1496</v>
      </c>
      <c r="C808" s="7" t="s">
        <v>1983</v>
      </c>
      <c r="E808" s="7" t="s">
        <v>1692</v>
      </c>
      <c r="F808" s="7">
        <v>192510</v>
      </c>
      <c r="G808" s="7">
        <v>19</v>
      </c>
      <c r="H808" s="7">
        <v>25</v>
      </c>
      <c r="I808" s="7">
        <v>10</v>
      </c>
      <c r="K808"/>
      <c r="L808"/>
      <c r="M808"/>
      <c r="N808"/>
      <c r="O808"/>
    </row>
    <row r="809" spans="1:15">
      <c r="A809" s="7" t="s">
        <v>1982</v>
      </c>
      <c r="B809" s="7" t="s">
        <v>1496</v>
      </c>
      <c r="C809" s="7" t="s">
        <v>1983</v>
      </c>
      <c r="E809" s="7" t="s">
        <v>1695</v>
      </c>
      <c r="F809" s="7">
        <v>192520</v>
      </c>
      <c r="G809" s="7">
        <v>19</v>
      </c>
      <c r="H809" s="7">
        <v>25</v>
      </c>
      <c r="I809" s="7">
        <v>20</v>
      </c>
      <c r="K809"/>
      <c r="L809"/>
      <c r="M809"/>
      <c r="N809"/>
      <c r="O809"/>
    </row>
    <row r="810" spans="1:15">
      <c r="A810" s="7" t="s">
        <v>1982</v>
      </c>
      <c r="B810" s="7" t="s">
        <v>1496</v>
      </c>
      <c r="C810" s="7" t="s">
        <v>1983</v>
      </c>
      <c r="E810" s="7" t="s">
        <v>1697</v>
      </c>
      <c r="F810" s="7">
        <v>192530</v>
      </c>
      <c r="G810" s="7">
        <v>19</v>
      </c>
      <c r="H810" s="7">
        <v>25</v>
      </c>
      <c r="I810" s="7">
        <v>30</v>
      </c>
      <c r="K810"/>
      <c r="L810"/>
      <c r="M810"/>
      <c r="N810"/>
      <c r="O810"/>
    </row>
    <row r="811" spans="1:15">
      <c r="A811" s="7" t="s">
        <v>1982</v>
      </c>
      <c r="B811" s="7" t="s">
        <v>1496</v>
      </c>
      <c r="C811" s="7" t="s">
        <v>1983</v>
      </c>
      <c r="E811" s="7" t="s">
        <v>1699</v>
      </c>
      <c r="F811" s="7">
        <v>192540</v>
      </c>
      <c r="G811" s="7">
        <v>19</v>
      </c>
      <c r="H811" s="7">
        <v>25</v>
      </c>
      <c r="I811" s="7">
        <v>40</v>
      </c>
      <c r="K811"/>
      <c r="L811"/>
      <c r="M811"/>
      <c r="N811"/>
      <c r="O811"/>
    </row>
    <row r="812" spans="1:15">
      <c r="A812" s="7" t="s">
        <v>1982</v>
      </c>
      <c r="B812" s="7" t="s">
        <v>1496</v>
      </c>
      <c r="C812" s="7" t="s">
        <v>1983</v>
      </c>
      <c r="E812" s="7" t="s">
        <v>1701</v>
      </c>
      <c r="F812" s="7">
        <v>192550</v>
      </c>
      <c r="G812" s="7">
        <v>19</v>
      </c>
      <c r="H812" s="7">
        <v>25</v>
      </c>
      <c r="I812" s="7">
        <v>50</v>
      </c>
      <c r="K812"/>
      <c r="L812"/>
      <c r="M812"/>
      <c r="N812"/>
      <c r="O812"/>
    </row>
    <row r="813" spans="1:15">
      <c r="A813" s="7" t="s">
        <v>1982</v>
      </c>
      <c r="B813" s="7" t="s">
        <v>1496</v>
      </c>
      <c r="C813" s="7" t="s">
        <v>1983</v>
      </c>
      <c r="E813" s="7" t="s">
        <v>1703</v>
      </c>
      <c r="F813" s="7">
        <v>192560</v>
      </c>
      <c r="G813" s="7">
        <v>19</v>
      </c>
      <c r="H813" s="7">
        <v>25</v>
      </c>
      <c r="I813" s="7">
        <v>60</v>
      </c>
      <c r="K813"/>
      <c r="L813"/>
      <c r="M813"/>
      <c r="N813"/>
      <c r="O813"/>
    </row>
    <row r="814" spans="1:15">
      <c r="A814" s="7" t="s">
        <v>1982</v>
      </c>
      <c r="B814" s="7" t="s">
        <v>1496</v>
      </c>
      <c r="C814" s="7" t="s">
        <v>1983</v>
      </c>
      <c r="E814" s="7" t="s">
        <v>1705</v>
      </c>
      <c r="F814" s="7">
        <v>192600</v>
      </c>
      <c r="G814" s="7">
        <v>19</v>
      </c>
      <c r="H814" s="7">
        <v>26</v>
      </c>
      <c r="I814" s="7">
        <v>0</v>
      </c>
      <c r="K814"/>
      <c r="L814"/>
      <c r="M814"/>
      <c r="N814"/>
      <c r="O814"/>
    </row>
    <row r="815" spans="1:15">
      <c r="A815" s="7" t="s">
        <v>1982</v>
      </c>
      <c r="B815" s="7" t="s">
        <v>1496</v>
      </c>
      <c r="C815" s="7" t="s">
        <v>1983</v>
      </c>
      <c r="E815" s="7" t="s">
        <v>1692</v>
      </c>
      <c r="F815" s="7">
        <v>192610</v>
      </c>
      <c r="G815" s="7">
        <v>19</v>
      </c>
      <c r="H815" s="7">
        <v>26</v>
      </c>
      <c r="I815" s="7">
        <v>10</v>
      </c>
      <c r="K815"/>
      <c r="L815"/>
      <c r="M815"/>
      <c r="N815"/>
      <c r="O815"/>
    </row>
    <row r="816" spans="1:15">
      <c r="A816" s="7" t="s">
        <v>1982</v>
      </c>
      <c r="B816" s="7" t="s">
        <v>1496</v>
      </c>
      <c r="C816" s="7" t="s">
        <v>1983</v>
      </c>
      <c r="E816" s="7" t="s">
        <v>1695</v>
      </c>
      <c r="F816" s="7">
        <v>192620</v>
      </c>
      <c r="G816" s="7">
        <v>19</v>
      </c>
      <c r="H816" s="7">
        <v>26</v>
      </c>
      <c r="I816" s="7">
        <v>20</v>
      </c>
      <c r="K816"/>
      <c r="L816"/>
      <c r="M816"/>
      <c r="N816"/>
      <c r="O816"/>
    </row>
    <row r="817" spans="1:15">
      <c r="A817" s="7" t="s">
        <v>1982</v>
      </c>
      <c r="B817" s="7" t="s">
        <v>1496</v>
      </c>
      <c r="C817" s="7" t="s">
        <v>1983</v>
      </c>
      <c r="E817" s="7" t="s">
        <v>1697</v>
      </c>
      <c r="F817" s="7">
        <v>192630</v>
      </c>
      <c r="G817" s="7">
        <v>19</v>
      </c>
      <c r="H817" s="7">
        <v>26</v>
      </c>
      <c r="I817" s="7">
        <v>30</v>
      </c>
      <c r="K817"/>
      <c r="L817"/>
      <c r="M817"/>
      <c r="N817"/>
      <c r="O817"/>
    </row>
    <row r="818" spans="1:15">
      <c r="A818" s="7" t="s">
        <v>1982</v>
      </c>
      <c r="B818" s="7" t="s">
        <v>1496</v>
      </c>
      <c r="C818" s="7" t="s">
        <v>1983</v>
      </c>
      <c r="E818" s="7" t="s">
        <v>1699</v>
      </c>
      <c r="F818" s="7">
        <v>192640</v>
      </c>
      <c r="G818" s="7">
        <v>19</v>
      </c>
      <c r="H818" s="7">
        <v>26</v>
      </c>
      <c r="I818" s="7">
        <v>40</v>
      </c>
      <c r="K818"/>
      <c r="L818"/>
      <c r="M818"/>
      <c r="N818"/>
      <c r="O818"/>
    </row>
    <row r="819" spans="1:15">
      <c r="A819" s="7" t="s">
        <v>1982</v>
      </c>
      <c r="B819" s="7" t="s">
        <v>1496</v>
      </c>
      <c r="C819" s="7" t="s">
        <v>1983</v>
      </c>
      <c r="E819" s="7" t="s">
        <v>1701</v>
      </c>
      <c r="F819" s="7">
        <v>192650</v>
      </c>
      <c r="G819" s="7">
        <v>19</v>
      </c>
      <c r="H819" s="7">
        <v>26</v>
      </c>
      <c r="I819" s="7">
        <v>50</v>
      </c>
      <c r="K819"/>
      <c r="L819"/>
      <c r="M819"/>
      <c r="N819"/>
      <c r="O819"/>
    </row>
    <row r="820" spans="1:15">
      <c r="A820" s="7" t="s">
        <v>1982</v>
      </c>
      <c r="B820" s="7" t="s">
        <v>1496</v>
      </c>
      <c r="C820" s="7" t="s">
        <v>1983</v>
      </c>
      <c r="E820" s="7" t="s">
        <v>1713</v>
      </c>
      <c r="F820" s="7">
        <v>192700</v>
      </c>
      <c r="G820" s="7">
        <v>19</v>
      </c>
      <c r="H820" s="7">
        <v>27</v>
      </c>
      <c r="I820" s="7">
        <v>0</v>
      </c>
      <c r="K820"/>
      <c r="L820"/>
      <c r="M820"/>
      <c r="N820"/>
      <c r="O820"/>
    </row>
    <row r="821" spans="1:15">
      <c r="A821" s="7" t="s">
        <v>1982</v>
      </c>
      <c r="B821" s="7" t="s">
        <v>1496</v>
      </c>
      <c r="C821" s="7" t="s">
        <v>1983</v>
      </c>
      <c r="E821" s="7" t="s">
        <v>1692</v>
      </c>
      <c r="F821" s="7">
        <v>192710</v>
      </c>
      <c r="G821" s="7">
        <v>19</v>
      </c>
      <c r="H821" s="7">
        <v>27</v>
      </c>
      <c r="I821" s="7">
        <v>10</v>
      </c>
      <c r="K821"/>
      <c r="L821"/>
      <c r="M821"/>
      <c r="N821"/>
      <c r="O821"/>
    </row>
    <row r="822" spans="1:15">
      <c r="A822" s="7" t="s">
        <v>1982</v>
      </c>
      <c r="B822" s="7" t="s">
        <v>1496</v>
      </c>
      <c r="C822" s="7" t="s">
        <v>1983</v>
      </c>
      <c r="D822" s="7" t="s">
        <v>1989</v>
      </c>
      <c r="E822" s="7" t="s">
        <v>1519</v>
      </c>
      <c r="F822" s="7">
        <v>200000</v>
      </c>
      <c r="G822" s="7">
        <v>20</v>
      </c>
      <c r="H822" s="7">
        <v>0</v>
      </c>
      <c r="I822" s="7">
        <v>0</v>
      </c>
      <c r="K822"/>
      <c r="L822"/>
      <c r="M822"/>
      <c r="N822"/>
      <c r="O822"/>
    </row>
    <row r="823" spans="1:15">
      <c r="A823" s="7" t="s">
        <v>1982</v>
      </c>
      <c r="B823" s="7" t="s">
        <v>1496</v>
      </c>
      <c r="C823" s="7" t="s">
        <v>1983</v>
      </c>
      <c r="E823" s="7" t="s">
        <v>1728</v>
      </c>
      <c r="F823" s="7">
        <v>201400</v>
      </c>
      <c r="G823" s="7">
        <v>20</v>
      </c>
      <c r="H823" s="7">
        <v>14</v>
      </c>
      <c r="I823" s="7">
        <v>0</v>
      </c>
      <c r="K823"/>
      <c r="L823"/>
      <c r="M823"/>
      <c r="N823"/>
      <c r="O823"/>
    </row>
    <row r="824" spans="1:15">
      <c r="A824" s="7" t="s">
        <v>1982</v>
      </c>
      <c r="B824" s="7" t="s">
        <v>1496</v>
      </c>
      <c r="C824" s="7" t="s">
        <v>1983</v>
      </c>
      <c r="D824" s="7" t="s">
        <v>1990</v>
      </c>
      <c r="E824" s="7" t="s">
        <v>1991</v>
      </c>
      <c r="F824" s="7">
        <v>780000</v>
      </c>
      <c r="G824" s="7">
        <v>78</v>
      </c>
      <c r="H824" s="7">
        <v>0</v>
      </c>
      <c r="I824" s="7">
        <v>0</v>
      </c>
      <c r="K824"/>
      <c r="L824"/>
      <c r="M824"/>
      <c r="N824"/>
      <c r="O824"/>
    </row>
    <row r="825" spans="1:15">
      <c r="A825" s="7" t="s">
        <v>1982</v>
      </c>
      <c r="B825" s="7" t="s">
        <v>1496</v>
      </c>
      <c r="C825" s="7" t="s">
        <v>1983</v>
      </c>
      <c r="E825" s="7" t="s">
        <v>1841</v>
      </c>
      <c r="F825" s="7">
        <v>781100</v>
      </c>
      <c r="G825" s="7">
        <v>78</v>
      </c>
      <c r="H825" s="7">
        <v>11</v>
      </c>
      <c r="I825" s="7">
        <v>0</v>
      </c>
      <c r="K825"/>
      <c r="L825"/>
      <c r="M825"/>
      <c r="N825"/>
      <c r="O825"/>
    </row>
    <row r="826" spans="1:15">
      <c r="A826" s="7" t="s">
        <v>1982</v>
      </c>
      <c r="B826" s="7" t="s">
        <v>1496</v>
      </c>
      <c r="C826" s="7" t="s">
        <v>1983</v>
      </c>
      <c r="E826" s="7" t="s">
        <v>1516</v>
      </c>
      <c r="F826" s="7">
        <v>781200</v>
      </c>
      <c r="G826" s="7">
        <v>78</v>
      </c>
      <c r="H826" s="7">
        <v>12</v>
      </c>
      <c r="I826" s="7">
        <v>0</v>
      </c>
      <c r="K826"/>
      <c r="L826"/>
      <c r="M826"/>
      <c r="N826"/>
      <c r="O826"/>
    </row>
    <row r="827" spans="1:15">
      <c r="A827" s="7" t="s">
        <v>1982</v>
      </c>
      <c r="B827" s="7" t="s">
        <v>1496</v>
      </c>
      <c r="C827" s="7" t="s">
        <v>1983</v>
      </c>
      <c r="E827" s="7" t="s">
        <v>1843</v>
      </c>
      <c r="F827" s="7">
        <v>781300</v>
      </c>
      <c r="G827" s="7">
        <v>78</v>
      </c>
      <c r="H827" s="7">
        <v>13</v>
      </c>
      <c r="I827" s="7">
        <v>0</v>
      </c>
      <c r="K827"/>
      <c r="L827"/>
      <c r="M827"/>
      <c r="N827"/>
      <c r="O827"/>
    </row>
    <row r="828" spans="1:15">
      <c r="A828" s="7" t="s">
        <v>1982</v>
      </c>
      <c r="B828" s="7" t="s">
        <v>1496</v>
      </c>
      <c r="C828" s="7" t="s">
        <v>1983</v>
      </c>
      <c r="E828" s="7" t="s">
        <v>1844</v>
      </c>
      <c r="F828" s="7">
        <v>781400</v>
      </c>
      <c r="G828" s="7">
        <v>78</v>
      </c>
      <c r="H828" s="7">
        <v>14</v>
      </c>
      <c r="I828" s="7">
        <v>0</v>
      </c>
      <c r="K828"/>
      <c r="L828"/>
      <c r="M828"/>
      <c r="N828"/>
      <c r="O828"/>
    </row>
    <row r="829" spans="1:15">
      <c r="A829" s="7" t="s">
        <v>1982</v>
      </c>
      <c r="B829" s="7" t="s">
        <v>1496</v>
      </c>
      <c r="C829" s="7" t="s">
        <v>1983</v>
      </c>
      <c r="D829" s="7" t="s">
        <v>1992</v>
      </c>
      <c r="E829" s="7" t="s">
        <v>1523</v>
      </c>
      <c r="F829" s="7">
        <v>790000</v>
      </c>
      <c r="G829" s="7">
        <v>79</v>
      </c>
      <c r="H829" s="7">
        <v>0</v>
      </c>
      <c r="I829" s="7">
        <v>0</v>
      </c>
      <c r="K829"/>
      <c r="L829"/>
      <c r="M829"/>
      <c r="N829"/>
      <c r="O829"/>
    </row>
    <row r="830" spans="1:15">
      <c r="A830" s="7" t="s">
        <v>1982</v>
      </c>
      <c r="B830" s="7" t="s">
        <v>1496</v>
      </c>
      <c r="C830" s="7" t="s">
        <v>1983</v>
      </c>
      <c r="E830" s="7" t="s">
        <v>504</v>
      </c>
      <c r="F830" s="7">
        <v>909000</v>
      </c>
      <c r="G830" s="7">
        <v>90</v>
      </c>
      <c r="H830" s="7">
        <v>90</v>
      </c>
      <c r="I830" s="7">
        <v>0</v>
      </c>
      <c r="K830"/>
      <c r="L830"/>
      <c r="M830"/>
      <c r="N830"/>
      <c r="O830"/>
    </row>
    <row r="831" spans="1:15">
      <c r="A831" s="7" t="s">
        <v>1993</v>
      </c>
      <c r="B831" s="7" t="s">
        <v>1496</v>
      </c>
      <c r="C831" s="7" t="s">
        <v>1994</v>
      </c>
      <c r="D831" s="7" t="s">
        <v>1995</v>
      </c>
      <c r="E831" s="7" t="s">
        <v>1503</v>
      </c>
      <c r="F831" s="7">
        <v>100000</v>
      </c>
      <c r="G831" s="7">
        <v>10</v>
      </c>
      <c r="H831" s="7">
        <v>0</v>
      </c>
      <c r="I831" s="7">
        <v>0</v>
      </c>
      <c r="K831"/>
      <c r="L831"/>
      <c r="M831"/>
      <c r="N831"/>
      <c r="O831"/>
    </row>
    <row r="832" spans="1:15">
      <c r="A832" s="7" t="s">
        <v>1993</v>
      </c>
      <c r="B832" s="7" t="s">
        <v>1496</v>
      </c>
      <c r="C832" s="7" t="s">
        <v>1994</v>
      </c>
      <c r="E832" s="7" t="s">
        <v>1501</v>
      </c>
      <c r="F832" s="7">
        <v>101000</v>
      </c>
      <c r="G832" s="7">
        <v>10</v>
      </c>
      <c r="H832" s="7">
        <v>10</v>
      </c>
      <c r="I832" s="7">
        <v>0</v>
      </c>
      <c r="K832"/>
      <c r="L832"/>
      <c r="M832"/>
      <c r="N832"/>
      <c r="O832"/>
    </row>
    <row r="833" spans="1:15">
      <c r="A833" s="7" t="s">
        <v>1993</v>
      </c>
      <c r="B833" s="7" t="s">
        <v>1496</v>
      </c>
      <c r="C833" s="7" t="s">
        <v>1994</v>
      </c>
      <c r="D833" s="7" t="s">
        <v>1996</v>
      </c>
      <c r="E833" s="7" t="s">
        <v>145</v>
      </c>
      <c r="F833" s="7">
        <v>140000</v>
      </c>
      <c r="G833" s="7">
        <v>14</v>
      </c>
      <c r="H833" s="7">
        <v>0</v>
      </c>
      <c r="I833" s="7">
        <v>0</v>
      </c>
      <c r="K833"/>
      <c r="L833"/>
      <c r="M833"/>
      <c r="N833"/>
      <c r="O833"/>
    </row>
    <row r="834" spans="1:15">
      <c r="A834" s="7" t="s">
        <v>1993</v>
      </c>
      <c r="B834" s="7" t="s">
        <v>1496</v>
      </c>
      <c r="C834" s="7" t="s">
        <v>1994</v>
      </c>
      <c r="E834" s="7" t="s">
        <v>1531</v>
      </c>
      <c r="F834" s="7">
        <v>141010</v>
      </c>
      <c r="G834" s="7">
        <v>14</v>
      </c>
      <c r="H834" s="7">
        <v>10</v>
      </c>
      <c r="I834" s="7">
        <v>10</v>
      </c>
      <c r="K834"/>
      <c r="L834"/>
      <c r="M834"/>
      <c r="N834"/>
      <c r="O834"/>
    </row>
    <row r="835" spans="1:15">
      <c r="A835" s="7" t="s">
        <v>1993</v>
      </c>
      <c r="B835" s="7" t="s">
        <v>1496</v>
      </c>
      <c r="C835" s="7" t="s">
        <v>1994</v>
      </c>
      <c r="E835" s="7" t="s">
        <v>1534</v>
      </c>
      <c r="F835" s="7">
        <v>141400</v>
      </c>
      <c r="G835" s="7">
        <v>14</v>
      </c>
      <c r="H835" s="7">
        <v>14</v>
      </c>
      <c r="I835" s="7">
        <v>0</v>
      </c>
      <c r="K835"/>
      <c r="L835"/>
      <c r="M835"/>
      <c r="N835"/>
      <c r="O835"/>
    </row>
    <row r="836" spans="1:15">
      <c r="A836" s="7" t="s">
        <v>1993</v>
      </c>
      <c r="B836" s="7" t="s">
        <v>1496</v>
      </c>
      <c r="C836" s="7" t="s">
        <v>1994</v>
      </c>
      <c r="E836" s="7" t="s">
        <v>1539</v>
      </c>
      <c r="F836" s="7">
        <v>142600</v>
      </c>
      <c r="G836" s="7">
        <v>14</v>
      </c>
      <c r="H836" s="7">
        <v>26</v>
      </c>
      <c r="I836" s="7">
        <v>0</v>
      </c>
      <c r="K836"/>
      <c r="L836"/>
      <c r="M836"/>
      <c r="N836"/>
      <c r="O836"/>
    </row>
    <row r="837" spans="1:15">
      <c r="A837" s="7" t="s">
        <v>1993</v>
      </c>
      <c r="B837" s="7" t="s">
        <v>1496</v>
      </c>
      <c r="C837" s="7" t="s">
        <v>1994</v>
      </c>
      <c r="E837" s="7" t="s">
        <v>1541</v>
      </c>
      <c r="F837" s="7">
        <v>142700</v>
      </c>
      <c r="G837" s="7">
        <v>14</v>
      </c>
      <c r="H837" s="7">
        <v>27</v>
      </c>
      <c r="I837" s="7">
        <v>0</v>
      </c>
      <c r="K837"/>
      <c r="L837"/>
      <c r="M837"/>
      <c r="N837"/>
      <c r="O837"/>
    </row>
    <row r="838" spans="1:15">
      <c r="A838" s="7" t="s">
        <v>1993</v>
      </c>
      <c r="B838" s="7" t="s">
        <v>1496</v>
      </c>
      <c r="C838" s="7" t="s">
        <v>1994</v>
      </c>
      <c r="D838" s="7" t="s">
        <v>1997</v>
      </c>
      <c r="E838" s="7" t="s">
        <v>1543</v>
      </c>
      <c r="F838" s="7">
        <v>150000</v>
      </c>
      <c r="G838" s="7">
        <v>15</v>
      </c>
      <c r="H838" s="7">
        <v>0</v>
      </c>
      <c r="I838" s="7">
        <v>0</v>
      </c>
      <c r="K838"/>
      <c r="L838"/>
      <c r="M838"/>
      <c r="N838"/>
      <c r="O838"/>
    </row>
    <row r="839" spans="1:15">
      <c r="A839" s="7" t="s">
        <v>1993</v>
      </c>
      <c r="B839" s="7" t="s">
        <v>1496</v>
      </c>
      <c r="C839" s="7" t="s">
        <v>1994</v>
      </c>
      <c r="E839" s="7" t="s">
        <v>1546</v>
      </c>
      <c r="F839" s="7">
        <v>151200</v>
      </c>
      <c r="G839" s="7">
        <v>15</v>
      </c>
      <c r="H839" s="7">
        <v>12</v>
      </c>
      <c r="I839" s="7">
        <v>0</v>
      </c>
      <c r="K839"/>
      <c r="L839"/>
      <c r="M839"/>
      <c r="N839"/>
      <c r="O839"/>
    </row>
    <row r="840" spans="1:15">
      <c r="A840" s="7" t="s">
        <v>1993</v>
      </c>
      <c r="B840" s="7" t="s">
        <v>1496</v>
      </c>
      <c r="C840" s="7" t="s">
        <v>1994</v>
      </c>
      <c r="E840" s="7" t="s">
        <v>1634</v>
      </c>
      <c r="F840" s="7">
        <v>151210</v>
      </c>
      <c r="G840" s="7">
        <v>15</v>
      </c>
      <c r="H840" s="7">
        <v>12</v>
      </c>
      <c r="I840" s="7">
        <v>10</v>
      </c>
      <c r="K840"/>
      <c r="L840"/>
      <c r="M840"/>
      <c r="N840"/>
      <c r="O840"/>
    </row>
    <row r="841" spans="1:15">
      <c r="A841" s="7" t="s">
        <v>1993</v>
      </c>
      <c r="B841" s="7" t="s">
        <v>1496</v>
      </c>
      <c r="C841" s="7" t="s">
        <v>1994</v>
      </c>
      <c r="E841" s="7" t="s">
        <v>1636</v>
      </c>
      <c r="F841" s="7">
        <v>151220</v>
      </c>
      <c r="G841" s="7">
        <v>15</v>
      </c>
      <c r="H841" s="7">
        <v>12</v>
      </c>
      <c r="I841" s="7">
        <v>20</v>
      </c>
      <c r="K841"/>
      <c r="L841"/>
      <c r="M841"/>
      <c r="N841"/>
      <c r="O841"/>
    </row>
    <row r="842" spans="1:15">
      <c r="A842" s="7" t="s">
        <v>1993</v>
      </c>
      <c r="B842" s="7" t="s">
        <v>1496</v>
      </c>
      <c r="C842" s="7" t="s">
        <v>1994</v>
      </c>
      <c r="E842" s="7" t="s">
        <v>1637</v>
      </c>
      <c r="F842" s="7">
        <v>151230</v>
      </c>
      <c r="G842" s="7">
        <v>15</v>
      </c>
      <c r="H842" s="7">
        <v>12</v>
      </c>
      <c r="I842" s="7">
        <v>30</v>
      </c>
      <c r="K842"/>
      <c r="L842"/>
      <c r="M842"/>
      <c r="N842"/>
      <c r="O842"/>
    </row>
    <row r="843" spans="1:15">
      <c r="A843" s="7" t="s">
        <v>1993</v>
      </c>
      <c r="B843" s="7" t="s">
        <v>1496</v>
      </c>
      <c r="C843" s="7" t="s">
        <v>1994</v>
      </c>
      <c r="E843" s="7" t="s">
        <v>1551</v>
      </c>
      <c r="F843" s="7">
        <v>151700</v>
      </c>
      <c r="G843" s="7">
        <v>15</v>
      </c>
      <c r="H843" s="7">
        <v>17</v>
      </c>
      <c r="I843" s="7">
        <v>0</v>
      </c>
      <c r="K843"/>
      <c r="L843"/>
      <c r="M843"/>
      <c r="N843"/>
      <c r="O843"/>
    </row>
    <row r="844" spans="1:15">
      <c r="A844" s="7" t="s">
        <v>1993</v>
      </c>
      <c r="B844" s="7" t="s">
        <v>1496</v>
      </c>
      <c r="C844" s="7" t="s">
        <v>1994</v>
      </c>
      <c r="D844" s="7" t="s">
        <v>1998</v>
      </c>
      <c r="E844" s="7" t="s">
        <v>1521</v>
      </c>
      <c r="F844" s="7">
        <v>170000</v>
      </c>
      <c r="G844" s="7">
        <v>17</v>
      </c>
      <c r="H844" s="7">
        <v>0</v>
      </c>
      <c r="I844" s="7">
        <v>0</v>
      </c>
      <c r="K844"/>
      <c r="L844"/>
      <c r="M844"/>
      <c r="N844"/>
      <c r="O844"/>
    </row>
    <row r="845" spans="1:15">
      <c r="A845" s="7" t="s">
        <v>1993</v>
      </c>
      <c r="B845" s="7" t="s">
        <v>1496</v>
      </c>
      <c r="C845" s="7" t="s">
        <v>1994</v>
      </c>
      <c r="E845" s="7" t="s">
        <v>1531</v>
      </c>
      <c r="F845" s="7">
        <v>171510</v>
      </c>
      <c r="G845" s="7">
        <v>17</v>
      </c>
      <c r="H845" s="7">
        <v>15</v>
      </c>
      <c r="I845" s="7">
        <v>10</v>
      </c>
      <c r="K845"/>
      <c r="L845"/>
      <c r="M845"/>
      <c r="N845"/>
      <c r="O845"/>
    </row>
    <row r="846" spans="1:15">
      <c r="A846" s="7" t="s">
        <v>1993</v>
      </c>
      <c r="B846" s="7" t="s">
        <v>1496</v>
      </c>
      <c r="C846" s="7" t="s">
        <v>1994</v>
      </c>
      <c r="D846" s="7" t="s">
        <v>1999</v>
      </c>
      <c r="E846" s="7" t="s">
        <v>1556</v>
      </c>
      <c r="F846" s="7">
        <v>180000</v>
      </c>
      <c r="G846" s="7">
        <v>18</v>
      </c>
      <c r="H846" s="7">
        <v>0</v>
      </c>
      <c r="I846" s="7">
        <v>0</v>
      </c>
      <c r="K846"/>
      <c r="L846"/>
      <c r="M846"/>
      <c r="N846"/>
      <c r="O846"/>
    </row>
    <row r="847" spans="1:15">
      <c r="A847" s="7" t="s">
        <v>1993</v>
      </c>
      <c r="B847" s="7" t="s">
        <v>1496</v>
      </c>
      <c r="C847" s="7" t="s">
        <v>1994</v>
      </c>
      <c r="E847" s="7" t="s">
        <v>1558</v>
      </c>
      <c r="F847" s="7">
        <v>181000</v>
      </c>
      <c r="G847" s="7">
        <v>18</v>
      </c>
      <c r="H847" s="7">
        <v>10</v>
      </c>
      <c r="I847" s="7">
        <v>0</v>
      </c>
      <c r="K847"/>
      <c r="L847"/>
      <c r="M847"/>
      <c r="N847"/>
      <c r="O847"/>
    </row>
    <row r="848" spans="1:15">
      <c r="A848" s="7" t="s">
        <v>1993</v>
      </c>
      <c r="B848" s="7" t="s">
        <v>1496</v>
      </c>
      <c r="C848" s="7" t="s">
        <v>1994</v>
      </c>
      <c r="E848" s="7" t="s">
        <v>1561</v>
      </c>
      <c r="F848" s="7">
        <v>181200</v>
      </c>
      <c r="G848" s="7">
        <v>18</v>
      </c>
      <c r="H848" s="7">
        <v>12</v>
      </c>
      <c r="I848" s="7">
        <v>0</v>
      </c>
      <c r="K848"/>
      <c r="L848"/>
      <c r="M848"/>
      <c r="N848"/>
      <c r="O848"/>
    </row>
    <row r="849" spans="1:15">
      <c r="A849" s="7" t="s">
        <v>1993</v>
      </c>
      <c r="B849" s="7" t="s">
        <v>1496</v>
      </c>
      <c r="C849" s="7" t="s">
        <v>1994</v>
      </c>
      <c r="E849" s="7" t="s">
        <v>1564</v>
      </c>
      <c r="F849" s="7">
        <v>181300</v>
      </c>
      <c r="G849" s="7">
        <v>18</v>
      </c>
      <c r="H849" s="7">
        <v>13</v>
      </c>
      <c r="I849" s="7">
        <v>0</v>
      </c>
      <c r="K849"/>
      <c r="L849"/>
      <c r="M849"/>
      <c r="N849"/>
      <c r="O849"/>
    </row>
    <row r="850" spans="1:15">
      <c r="A850" s="7" t="s">
        <v>1993</v>
      </c>
      <c r="B850" s="7" t="s">
        <v>1496</v>
      </c>
      <c r="C850" s="7" t="s">
        <v>1994</v>
      </c>
      <c r="E850" s="7" t="s">
        <v>1687</v>
      </c>
      <c r="F850" s="7">
        <v>181310</v>
      </c>
      <c r="G850" s="7">
        <v>18</v>
      </c>
      <c r="H850" s="7">
        <v>13</v>
      </c>
      <c r="I850" s="7">
        <v>10</v>
      </c>
      <c r="K850"/>
      <c r="L850"/>
      <c r="M850"/>
      <c r="N850"/>
      <c r="O850"/>
    </row>
    <row r="851" spans="1:15">
      <c r="A851" s="7" t="s">
        <v>1993</v>
      </c>
      <c r="B851" s="7" t="s">
        <v>1496</v>
      </c>
      <c r="C851" s="7" t="s">
        <v>1994</v>
      </c>
      <c r="D851" s="7" t="s">
        <v>2000</v>
      </c>
      <c r="E851" s="7" t="s">
        <v>1527</v>
      </c>
      <c r="F851" s="7">
        <v>190000</v>
      </c>
      <c r="G851" s="7">
        <v>19</v>
      </c>
      <c r="H851" s="7">
        <v>0</v>
      </c>
      <c r="I851" s="7">
        <v>0</v>
      </c>
      <c r="K851"/>
      <c r="L851"/>
      <c r="M851"/>
      <c r="N851"/>
      <c r="O851"/>
    </row>
    <row r="852" spans="1:15">
      <c r="A852" s="7" t="s">
        <v>1993</v>
      </c>
      <c r="B852" s="7" t="s">
        <v>1496</v>
      </c>
      <c r="C852" s="7" t="s">
        <v>1994</v>
      </c>
      <c r="E852" s="7" t="s">
        <v>1690</v>
      </c>
      <c r="F852" s="7">
        <v>191810</v>
      </c>
      <c r="G852" s="7">
        <v>19</v>
      </c>
      <c r="H852" s="7">
        <v>18</v>
      </c>
      <c r="I852" s="7">
        <v>10</v>
      </c>
      <c r="K852"/>
      <c r="L852"/>
      <c r="M852"/>
      <c r="N852"/>
      <c r="O852"/>
    </row>
    <row r="853" spans="1:15">
      <c r="A853" s="7" t="s">
        <v>1993</v>
      </c>
      <c r="B853" s="7" t="s">
        <v>1496</v>
      </c>
      <c r="C853" s="7" t="s">
        <v>1994</v>
      </c>
      <c r="D853" s="7" t="s">
        <v>2001</v>
      </c>
      <c r="E853" s="7" t="s">
        <v>1568</v>
      </c>
      <c r="F853" s="7">
        <v>230000</v>
      </c>
      <c r="G853" s="7">
        <v>23</v>
      </c>
      <c r="H853" s="7">
        <v>0</v>
      </c>
      <c r="I853" s="7">
        <v>0</v>
      </c>
      <c r="K853"/>
      <c r="L853"/>
      <c r="M853"/>
      <c r="N853"/>
      <c r="O853"/>
    </row>
    <row r="854" spans="1:15">
      <c r="A854" s="7" t="s">
        <v>1993</v>
      </c>
      <c r="B854" s="7" t="s">
        <v>1496</v>
      </c>
      <c r="C854" s="7" t="s">
        <v>1994</v>
      </c>
      <c r="E854" s="7" t="s">
        <v>1570</v>
      </c>
      <c r="F854" s="7">
        <v>231300</v>
      </c>
      <c r="G854" s="7">
        <v>23</v>
      </c>
      <c r="H854" s="7">
        <v>13</v>
      </c>
      <c r="I854" s="7">
        <v>0</v>
      </c>
      <c r="K854"/>
      <c r="L854"/>
      <c r="M854"/>
      <c r="N854"/>
      <c r="O854"/>
    </row>
    <row r="855" spans="1:15">
      <c r="A855" s="7" t="s">
        <v>1993</v>
      </c>
      <c r="B855" s="7" t="s">
        <v>1496</v>
      </c>
      <c r="C855" s="7" t="s">
        <v>1994</v>
      </c>
      <c r="E855" s="7" t="s">
        <v>1572</v>
      </c>
      <c r="F855" s="7">
        <v>231400</v>
      </c>
      <c r="G855" s="7">
        <v>23</v>
      </c>
      <c r="H855" s="7">
        <v>14</v>
      </c>
      <c r="I855" s="7">
        <v>0</v>
      </c>
      <c r="K855"/>
      <c r="L855"/>
      <c r="M855"/>
      <c r="N855"/>
      <c r="O855"/>
    </row>
    <row r="856" spans="1:15">
      <c r="A856" s="7" t="s">
        <v>1993</v>
      </c>
      <c r="B856" s="7" t="s">
        <v>1496</v>
      </c>
      <c r="C856" s="7" t="s">
        <v>1994</v>
      </c>
      <c r="E856" s="7" t="s">
        <v>1751</v>
      </c>
      <c r="F856" s="7">
        <v>231600</v>
      </c>
      <c r="G856" s="7">
        <v>23</v>
      </c>
      <c r="H856" s="7">
        <v>16</v>
      </c>
      <c r="I856" s="7">
        <v>0</v>
      </c>
      <c r="K856"/>
      <c r="L856"/>
      <c r="M856"/>
      <c r="N856"/>
      <c r="O856"/>
    </row>
    <row r="857" spans="1:15">
      <c r="A857" s="7" t="s">
        <v>1993</v>
      </c>
      <c r="B857" s="7" t="s">
        <v>1496</v>
      </c>
      <c r="C857" s="7" t="s">
        <v>1994</v>
      </c>
      <c r="E857" s="7" t="s">
        <v>1576</v>
      </c>
      <c r="F857" s="7">
        <v>231700</v>
      </c>
      <c r="G857" s="7">
        <v>23</v>
      </c>
      <c r="H857" s="7">
        <v>17</v>
      </c>
      <c r="I857" s="7">
        <v>0</v>
      </c>
      <c r="K857"/>
      <c r="L857"/>
      <c r="M857"/>
      <c r="N857"/>
      <c r="O857"/>
    </row>
    <row r="858" spans="1:15">
      <c r="A858" s="7" t="s">
        <v>1993</v>
      </c>
      <c r="B858" s="7" t="s">
        <v>1496</v>
      </c>
      <c r="C858" s="7" t="s">
        <v>1994</v>
      </c>
      <c r="E858" s="7" t="s">
        <v>1578</v>
      </c>
      <c r="F858" s="7">
        <v>231800</v>
      </c>
      <c r="G858" s="7">
        <v>23</v>
      </c>
      <c r="H858" s="7">
        <v>18</v>
      </c>
      <c r="I858" s="7">
        <v>0</v>
      </c>
      <c r="K858"/>
      <c r="L858"/>
      <c r="M858"/>
      <c r="N858"/>
      <c r="O858"/>
    </row>
    <row r="859" spans="1:15">
      <c r="A859" s="7" t="s">
        <v>1993</v>
      </c>
      <c r="B859" s="7" t="s">
        <v>1496</v>
      </c>
      <c r="C859" s="7" t="s">
        <v>1994</v>
      </c>
      <c r="E859" s="7" t="s">
        <v>1765</v>
      </c>
      <c r="F859" s="7">
        <v>231900</v>
      </c>
      <c r="G859" s="7">
        <v>23</v>
      </c>
      <c r="H859" s="7">
        <v>19</v>
      </c>
      <c r="I859" s="7">
        <v>0</v>
      </c>
      <c r="K859"/>
      <c r="L859"/>
      <c r="M859"/>
      <c r="N859"/>
      <c r="O859"/>
    </row>
    <row r="860" spans="1:15">
      <c r="A860" s="7" t="s">
        <v>1993</v>
      </c>
      <c r="B860" s="7" t="s">
        <v>1496</v>
      </c>
      <c r="C860" s="7" t="s">
        <v>1994</v>
      </c>
      <c r="E860" s="7" t="s">
        <v>1752</v>
      </c>
      <c r="F860" s="7">
        <v>232100</v>
      </c>
      <c r="G860" s="7">
        <v>23</v>
      </c>
      <c r="H860" s="7">
        <v>21</v>
      </c>
      <c r="I860" s="7">
        <v>0</v>
      </c>
      <c r="K860"/>
      <c r="L860"/>
      <c r="M860"/>
      <c r="N860"/>
      <c r="O860"/>
    </row>
    <row r="861" spans="1:15">
      <c r="A861" s="7" t="s">
        <v>1993</v>
      </c>
      <c r="B861" s="7" t="s">
        <v>1496</v>
      </c>
      <c r="C861" s="7" t="s">
        <v>1994</v>
      </c>
      <c r="E861" s="7" t="s">
        <v>1769</v>
      </c>
      <c r="F861" s="7">
        <v>232110</v>
      </c>
      <c r="G861" s="7">
        <v>23</v>
      </c>
      <c r="H861" s="7">
        <v>21</v>
      </c>
      <c r="I861" s="7">
        <v>10</v>
      </c>
      <c r="K861"/>
      <c r="L861"/>
      <c r="M861"/>
      <c r="N861"/>
      <c r="O861"/>
    </row>
    <row r="862" spans="1:15">
      <c r="A862" s="7" t="s">
        <v>1993</v>
      </c>
      <c r="B862" s="7" t="s">
        <v>1496</v>
      </c>
      <c r="C862" s="7" t="s">
        <v>1994</v>
      </c>
      <c r="E862" s="7" t="s">
        <v>1770</v>
      </c>
      <c r="F862" s="7">
        <v>232120</v>
      </c>
      <c r="G862" s="7">
        <v>23</v>
      </c>
      <c r="H862" s="7">
        <v>21</v>
      </c>
      <c r="I862" s="7">
        <v>20</v>
      </c>
      <c r="K862"/>
      <c r="L862"/>
      <c r="M862"/>
      <c r="N862"/>
      <c r="O862"/>
    </row>
    <row r="863" spans="1:15">
      <c r="A863" s="7" t="s">
        <v>1993</v>
      </c>
      <c r="B863" s="7" t="s">
        <v>1496</v>
      </c>
      <c r="C863" s="7" t="s">
        <v>1994</v>
      </c>
      <c r="E863" s="7" t="s">
        <v>1772</v>
      </c>
      <c r="F863" s="7">
        <v>232130</v>
      </c>
      <c r="G863" s="7">
        <v>23</v>
      </c>
      <c r="H863" s="7">
        <v>21</v>
      </c>
      <c r="I863" s="7">
        <v>30</v>
      </c>
      <c r="K863"/>
      <c r="L863"/>
      <c r="M863"/>
      <c r="N863"/>
      <c r="O863"/>
    </row>
    <row r="864" spans="1:15">
      <c r="A864" s="7" t="s">
        <v>1993</v>
      </c>
      <c r="B864" s="7" t="s">
        <v>1496</v>
      </c>
      <c r="C864" s="7" t="s">
        <v>1994</v>
      </c>
      <c r="D864" s="7" t="s">
        <v>2002</v>
      </c>
      <c r="E864" s="7" t="s">
        <v>1583</v>
      </c>
      <c r="F864" s="7">
        <v>240000</v>
      </c>
      <c r="G864" s="7">
        <v>24</v>
      </c>
      <c r="H864" s="7">
        <v>0</v>
      </c>
      <c r="I864" s="7">
        <v>0</v>
      </c>
      <c r="K864"/>
      <c r="L864"/>
      <c r="M864"/>
      <c r="N864"/>
      <c r="O864"/>
    </row>
    <row r="865" spans="1:15">
      <c r="A865" s="7" t="s">
        <v>1993</v>
      </c>
      <c r="B865" s="7" t="s">
        <v>1496</v>
      </c>
      <c r="C865" s="7" t="s">
        <v>1994</v>
      </c>
      <c r="E865" s="7" t="s">
        <v>1501</v>
      </c>
      <c r="F865" s="7">
        <v>241000</v>
      </c>
      <c r="G865" s="7">
        <v>24</v>
      </c>
      <c r="H865" s="7">
        <v>10</v>
      </c>
      <c r="I865" s="7">
        <v>0</v>
      </c>
      <c r="K865"/>
      <c r="L865"/>
      <c r="M865"/>
      <c r="N865"/>
      <c r="O865"/>
    </row>
    <row r="866" spans="1:15">
      <c r="A866" s="7" t="s">
        <v>1993</v>
      </c>
      <c r="B866" s="7" t="s">
        <v>1496</v>
      </c>
      <c r="C866" s="7" t="s">
        <v>1994</v>
      </c>
      <c r="D866" s="7" t="s">
        <v>2003</v>
      </c>
      <c r="E866" s="7" t="s">
        <v>1587</v>
      </c>
      <c r="F866" s="7">
        <v>250000</v>
      </c>
      <c r="G866" s="7">
        <v>25</v>
      </c>
      <c r="H866" s="7">
        <v>0</v>
      </c>
      <c r="I866" s="7">
        <v>0</v>
      </c>
      <c r="K866"/>
      <c r="L866"/>
      <c r="M866"/>
      <c r="N866"/>
      <c r="O866"/>
    </row>
    <row r="867" spans="1:15">
      <c r="A867" s="7" t="s">
        <v>1993</v>
      </c>
      <c r="B867" s="7" t="s">
        <v>1496</v>
      </c>
      <c r="C867" s="7" t="s">
        <v>1994</v>
      </c>
      <c r="E867" s="7" t="s">
        <v>1501</v>
      </c>
      <c r="F867" s="7">
        <v>251000</v>
      </c>
      <c r="G867" s="7">
        <v>25</v>
      </c>
      <c r="H867" s="7">
        <v>10</v>
      </c>
      <c r="I867" s="7">
        <v>0</v>
      </c>
      <c r="K867"/>
      <c r="L867"/>
      <c r="M867"/>
      <c r="N867"/>
      <c r="O867"/>
    </row>
    <row r="868" spans="1:15">
      <c r="A868" s="7" t="s">
        <v>1993</v>
      </c>
      <c r="B868" s="7" t="s">
        <v>1496</v>
      </c>
      <c r="C868" s="7" t="s">
        <v>1994</v>
      </c>
      <c r="E868" s="7" t="s">
        <v>1590</v>
      </c>
      <c r="F868" s="7">
        <v>251010</v>
      </c>
      <c r="G868" s="7">
        <v>25</v>
      </c>
      <c r="H868" s="7">
        <v>10</v>
      </c>
      <c r="I868" s="7">
        <v>10</v>
      </c>
      <c r="K868"/>
      <c r="L868"/>
      <c r="M868"/>
      <c r="N868"/>
      <c r="O868"/>
    </row>
    <row r="869" spans="1:15">
      <c r="A869" s="7" t="s">
        <v>1993</v>
      </c>
      <c r="B869" s="7" t="s">
        <v>1496</v>
      </c>
      <c r="C869" s="7" t="s">
        <v>1994</v>
      </c>
      <c r="D869" s="7" t="s">
        <v>2004</v>
      </c>
      <c r="E869" s="7" t="s">
        <v>1593</v>
      </c>
      <c r="F869" s="7">
        <v>300000</v>
      </c>
      <c r="G869" s="7">
        <v>30</v>
      </c>
      <c r="H869" s="7">
        <v>0</v>
      </c>
      <c r="I869" s="7">
        <v>0</v>
      </c>
      <c r="K869"/>
      <c r="L869"/>
      <c r="M869"/>
      <c r="N869"/>
      <c r="O869"/>
    </row>
    <row r="870" spans="1:15">
      <c r="A870" s="7" t="s">
        <v>1993</v>
      </c>
      <c r="B870" s="7" t="s">
        <v>1496</v>
      </c>
      <c r="C870" s="7" t="s">
        <v>1994</v>
      </c>
      <c r="E870" s="7" t="s">
        <v>1595</v>
      </c>
      <c r="F870" s="7">
        <v>301000</v>
      </c>
      <c r="G870" s="7">
        <v>30</v>
      </c>
      <c r="H870" s="7">
        <v>10</v>
      </c>
      <c r="I870" s="7">
        <v>0</v>
      </c>
      <c r="K870"/>
      <c r="L870"/>
      <c r="M870"/>
      <c r="N870"/>
      <c r="O870"/>
    </row>
    <row r="871" spans="1:15">
      <c r="A871" s="7" t="s">
        <v>1993</v>
      </c>
      <c r="B871" s="7" t="s">
        <v>1496</v>
      </c>
      <c r="C871" s="7" t="s">
        <v>1994</v>
      </c>
      <c r="D871" s="7" t="s">
        <v>2005</v>
      </c>
      <c r="E871" s="7" t="s">
        <v>1597</v>
      </c>
      <c r="F871" s="7">
        <v>320000</v>
      </c>
      <c r="G871" s="7">
        <v>32</v>
      </c>
      <c r="H871" s="7">
        <v>0</v>
      </c>
      <c r="I871" s="7">
        <v>0</v>
      </c>
      <c r="K871"/>
      <c r="L871"/>
      <c r="M871"/>
      <c r="N871"/>
      <c r="O871"/>
    </row>
    <row r="872" spans="1:15">
      <c r="A872" s="7" t="s">
        <v>1993</v>
      </c>
      <c r="B872" s="7" t="s">
        <v>1496</v>
      </c>
      <c r="C872" s="7" t="s">
        <v>1994</v>
      </c>
      <c r="E872" s="7" t="s">
        <v>1794</v>
      </c>
      <c r="F872" s="7">
        <v>321000</v>
      </c>
      <c r="G872" s="7">
        <v>32</v>
      </c>
      <c r="H872" s="7">
        <v>10</v>
      </c>
      <c r="I872" s="7">
        <v>0</v>
      </c>
      <c r="K872"/>
      <c r="L872"/>
      <c r="M872"/>
      <c r="N872"/>
      <c r="O872"/>
    </row>
    <row r="873" spans="1:15">
      <c r="A873" s="7" t="s">
        <v>1993</v>
      </c>
      <c r="B873" s="7" t="s">
        <v>1496</v>
      </c>
      <c r="C873" s="7" t="s">
        <v>1994</v>
      </c>
      <c r="E873" s="7" t="s">
        <v>1821</v>
      </c>
      <c r="F873" s="7">
        <v>321200</v>
      </c>
      <c r="G873" s="7">
        <v>32</v>
      </c>
      <c r="H873" s="7">
        <v>12</v>
      </c>
      <c r="I873" s="7">
        <v>0</v>
      </c>
      <c r="K873"/>
      <c r="L873"/>
      <c r="M873"/>
      <c r="N873"/>
      <c r="O873"/>
    </row>
    <row r="874" spans="1:15">
      <c r="A874" s="7" t="s">
        <v>1993</v>
      </c>
      <c r="B874" s="7" t="s">
        <v>1496</v>
      </c>
      <c r="C874" s="7" t="s">
        <v>1994</v>
      </c>
      <c r="E874" s="7" t="s">
        <v>1599</v>
      </c>
      <c r="F874" s="7">
        <v>321300</v>
      </c>
      <c r="G874" s="7">
        <v>32</v>
      </c>
      <c r="H874" s="7">
        <v>13</v>
      </c>
      <c r="I874" s="7">
        <v>0</v>
      </c>
      <c r="K874"/>
      <c r="L874"/>
      <c r="M874"/>
      <c r="N874"/>
      <c r="O874"/>
    </row>
    <row r="875" spans="1:15">
      <c r="A875" s="7" t="s">
        <v>1993</v>
      </c>
      <c r="B875" s="7" t="s">
        <v>1496</v>
      </c>
      <c r="C875" s="7" t="s">
        <v>1994</v>
      </c>
      <c r="E875" s="7" t="s">
        <v>1600</v>
      </c>
      <c r="F875" s="7">
        <v>321310</v>
      </c>
      <c r="G875" s="7">
        <v>32</v>
      </c>
      <c r="H875" s="7">
        <v>13</v>
      </c>
      <c r="I875" s="7">
        <v>10</v>
      </c>
      <c r="K875"/>
      <c r="L875"/>
      <c r="M875"/>
      <c r="N875"/>
      <c r="O875"/>
    </row>
    <row r="876" spans="1:15">
      <c r="A876" s="7" t="s">
        <v>1993</v>
      </c>
      <c r="B876" s="7" t="s">
        <v>1496</v>
      </c>
      <c r="C876" s="7" t="s">
        <v>1994</v>
      </c>
      <c r="E876" s="7" t="s">
        <v>1601</v>
      </c>
      <c r="F876" s="7">
        <v>321320</v>
      </c>
      <c r="G876" s="7">
        <v>32</v>
      </c>
      <c r="H876" s="7">
        <v>13</v>
      </c>
      <c r="I876" s="7">
        <v>20</v>
      </c>
      <c r="K876"/>
      <c r="L876"/>
      <c r="M876"/>
      <c r="N876"/>
      <c r="O876"/>
    </row>
    <row r="877" spans="1:15">
      <c r="A877" s="7" t="s">
        <v>1993</v>
      </c>
      <c r="B877" s="7" t="s">
        <v>1496</v>
      </c>
      <c r="C877" s="7" t="s">
        <v>1994</v>
      </c>
      <c r="E877" s="7" t="s">
        <v>1602</v>
      </c>
      <c r="F877" s="7">
        <v>321330</v>
      </c>
      <c r="G877" s="7">
        <v>32</v>
      </c>
      <c r="H877" s="7">
        <v>13</v>
      </c>
      <c r="I877" s="7">
        <v>30</v>
      </c>
      <c r="K877"/>
      <c r="L877"/>
      <c r="M877"/>
      <c r="N877"/>
      <c r="O877"/>
    </row>
    <row r="878" spans="1:15">
      <c r="A878" s="7" t="s">
        <v>1993</v>
      </c>
      <c r="B878" s="7" t="s">
        <v>1496</v>
      </c>
      <c r="C878" s="7" t="s">
        <v>1994</v>
      </c>
      <c r="E878" s="7" t="s">
        <v>1603</v>
      </c>
      <c r="F878" s="7">
        <v>321340</v>
      </c>
      <c r="G878" s="7">
        <v>32</v>
      </c>
      <c r="H878" s="7">
        <v>13</v>
      </c>
      <c r="I878" s="7">
        <v>40</v>
      </c>
      <c r="K878"/>
      <c r="L878"/>
      <c r="M878"/>
      <c r="N878"/>
      <c r="O878"/>
    </row>
    <row r="879" spans="1:15">
      <c r="A879" s="7" t="s">
        <v>1993</v>
      </c>
      <c r="B879" s="7" t="s">
        <v>1496</v>
      </c>
      <c r="C879" s="7" t="s">
        <v>1994</v>
      </c>
      <c r="D879" s="7" t="s">
        <v>2006</v>
      </c>
      <c r="E879" s="7" t="s">
        <v>1523</v>
      </c>
      <c r="F879" s="7">
        <v>790000</v>
      </c>
      <c r="G879" s="7">
        <v>79</v>
      </c>
      <c r="H879" s="7">
        <v>0</v>
      </c>
      <c r="I879" s="7">
        <v>0</v>
      </c>
      <c r="K879"/>
      <c r="L879"/>
      <c r="M879"/>
      <c r="N879"/>
      <c r="O879"/>
    </row>
    <row r="880" spans="1:15">
      <c r="A880" s="7" t="s">
        <v>1993</v>
      </c>
      <c r="B880" s="7" t="s">
        <v>1496</v>
      </c>
      <c r="C880" s="7" t="s">
        <v>1994</v>
      </c>
      <c r="E880" s="7" t="s">
        <v>504</v>
      </c>
      <c r="F880" s="7">
        <v>909000</v>
      </c>
      <c r="G880" s="7">
        <v>90</v>
      </c>
      <c r="H880" s="7">
        <v>90</v>
      </c>
      <c r="I880" s="7">
        <v>0</v>
      </c>
      <c r="K880"/>
      <c r="L880"/>
      <c r="M880"/>
      <c r="N880"/>
      <c r="O880"/>
    </row>
    <row r="881" spans="1:15">
      <c r="A881" s="7" t="s">
        <v>2007</v>
      </c>
      <c r="B881" s="7" t="s">
        <v>1496</v>
      </c>
      <c r="C881" s="7" t="s">
        <v>2008</v>
      </c>
      <c r="D881" s="7" t="s">
        <v>2009</v>
      </c>
      <c r="E881" s="7" t="s">
        <v>1503</v>
      </c>
      <c r="F881" s="7">
        <v>100000</v>
      </c>
      <c r="G881" s="7">
        <v>10</v>
      </c>
      <c r="H881" s="7">
        <v>0</v>
      </c>
      <c r="I881" s="7">
        <v>0</v>
      </c>
      <c r="K881"/>
      <c r="L881"/>
      <c r="M881"/>
      <c r="N881"/>
      <c r="O881"/>
    </row>
    <row r="882" spans="1:15">
      <c r="A882" s="7" t="s">
        <v>2007</v>
      </c>
      <c r="B882" s="7" t="s">
        <v>1496</v>
      </c>
      <c r="C882" s="7" t="s">
        <v>2008</v>
      </c>
      <c r="E882" s="7" t="s">
        <v>1501</v>
      </c>
      <c r="F882" s="7">
        <v>101000</v>
      </c>
      <c r="G882" s="7">
        <v>10</v>
      </c>
      <c r="H882" s="7">
        <v>10</v>
      </c>
      <c r="I882" s="7">
        <v>0</v>
      </c>
      <c r="K882"/>
      <c r="L882"/>
      <c r="M882"/>
      <c r="N882"/>
      <c r="O882"/>
    </row>
    <row r="883" spans="1:15">
      <c r="A883" s="7" t="s">
        <v>2007</v>
      </c>
      <c r="B883" s="7" t="s">
        <v>1496</v>
      </c>
      <c r="C883" s="7" t="s">
        <v>2008</v>
      </c>
      <c r="E883" s="7" t="s">
        <v>1521</v>
      </c>
      <c r="F883" s="7">
        <v>101300</v>
      </c>
      <c r="G883" s="7">
        <v>10</v>
      </c>
      <c r="H883" s="7">
        <v>13</v>
      </c>
      <c r="I883" s="7">
        <v>0</v>
      </c>
      <c r="K883"/>
      <c r="L883"/>
      <c r="M883"/>
      <c r="N883"/>
      <c r="O883"/>
    </row>
    <row r="884" spans="1:15">
      <c r="A884" s="7" t="s">
        <v>2007</v>
      </c>
      <c r="B884" s="7" t="s">
        <v>1496</v>
      </c>
      <c r="C884" s="7" t="s">
        <v>2008</v>
      </c>
      <c r="E884" s="7" t="s">
        <v>145</v>
      </c>
      <c r="F884" s="7">
        <v>101400</v>
      </c>
      <c r="G884" s="7">
        <v>10</v>
      </c>
      <c r="H884" s="7">
        <v>14</v>
      </c>
      <c r="I884" s="7">
        <v>0</v>
      </c>
      <c r="K884"/>
      <c r="L884"/>
      <c r="M884"/>
      <c r="N884"/>
      <c r="O884"/>
    </row>
    <row r="885" spans="1:15">
      <c r="A885" s="7" t="s">
        <v>2007</v>
      </c>
      <c r="B885" s="7" t="s">
        <v>1496</v>
      </c>
      <c r="C885" s="7" t="s">
        <v>2008</v>
      </c>
      <c r="E885" s="7" t="s">
        <v>1527</v>
      </c>
      <c r="F885" s="7">
        <v>101500</v>
      </c>
      <c r="G885" s="7">
        <v>10</v>
      </c>
      <c r="H885" s="7">
        <v>15</v>
      </c>
      <c r="I885" s="7">
        <v>0</v>
      </c>
      <c r="K885"/>
      <c r="L885"/>
      <c r="M885"/>
      <c r="N885"/>
      <c r="O885"/>
    </row>
    <row r="886" spans="1:15">
      <c r="A886" s="7" t="s">
        <v>2007</v>
      </c>
      <c r="B886" s="7" t="s">
        <v>1496</v>
      </c>
      <c r="C886" s="7" t="s">
        <v>2008</v>
      </c>
      <c r="D886" s="7" t="s">
        <v>2010</v>
      </c>
      <c r="E886" s="7" t="s">
        <v>145</v>
      </c>
      <c r="F886" s="7">
        <v>140000</v>
      </c>
      <c r="G886" s="7">
        <v>14</v>
      </c>
      <c r="H886" s="7">
        <v>0</v>
      </c>
      <c r="I886" s="7">
        <v>0</v>
      </c>
      <c r="K886"/>
      <c r="L886"/>
      <c r="M886"/>
      <c r="N886"/>
      <c r="O886"/>
    </row>
    <row r="887" spans="1:15">
      <c r="A887" s="7" t="s">
        <v>2007</v>
      </c>
      <c r="B887" s="7" t="s">
        <v>1496</v>
      </c>
      <c r="C887" s="7" t="s">
        <v>2008</v>
      </c>
      <c r="E887" s="7" t="s">
        <v>1581</v>
      </c>
      <c r="F887" s="7">
        <v>141100</v>
      </c>
      <c r="G887" s="7">
        <v>14</v>
      </c>
      <c r="H887" s="7">
        <v>11</v>
      </c>
      <c r="I887" s="7">
        <v>0</v>
      </c>
      <c r="K887"/>
      <c r="L887"/>
      <c r="M887"/>
      <c r="N887"/>
      <c r="O887"/>
    </row>
    <row r="888" spans="1:15">
      <c r="A888" s="7" t="s">
        <v>2007</v>
      </c>
      <c r="B888" s="7" t="s">
        <v>1496</v>
      </c>
      <c r="C888" s="7" t="s">
        <v>2008</v>
      </c>
      <c r="E888" s="7" t="s">
        <v>1552</v>
      </c>
      <c r="F888" s="7">
        <v>141600</v>
      </c>
      <c r="G888" s="7">
        <v>14</v>
      </c>
      <c r="H888" s="7">
        <v>16</v>
      </c>
      <c r="I888" s="7">
        <v>0</v>
      </c>
      <c r="K888"/>
      <c r="L888"/>
      <c r="M888"/>
      <c r="N888"/>
      <c r="O888"/>
    </row>
    <row r="889" spans="1:15">
      <c r="A889" s="7" t="s">
        <v>2007</v>
      </c>
      <c r="B889" s="7" t="s">
        <v>1496</v>
      </c>
      <c r="C889" s="7" t="s">
        <v>2008</v>
      </c>
      <c r="E889" s="7" t="s">
        <v>1537</v>
      </c>
      <c r="F889" s="7">
        <v>141700</v>
      </c>
      <c r="G889" s="7">
        <v>14</v>
      </c>
      <c r="H889" s="7">
        <v>17</v>
      </c>
      <c r="I889" s="7">
        <v>0</v>
      </c>
      <c r="K889"/>
      <c r="L889"/>
      <c r="M889"/>
      <c r="N889"/>
      <c r="O889"/>
    </row>
    <row r="890" spans="1:15">
      <c r="A890" s="7" t="s">
        <v>2007</v>
      </c>
      <c r="B890" s="7" t="s">
        <v>1496</v>
      </c>
      <c r="C890" s="7" t="s">
        <v>2008</v>
      </c>
      <c r="E890" s="7" t="s">
        <v>1516</v>
      </c>
      <c r="F890" s="7">
        <v>141800</v>
      </c>
      <c r="G890" s="7">
        <v>14</v>
      </c>
      <c r="H890" s="7">
        <v>18</v>
      </c>
      <c r="I890" s="7">
        <v>0</v>
      </c>
      <c r="K890"/>
      <c r="L890"/>
      <c r="M890"/>
      <c r="N890"/>
      <c r="O890"/>
    </row>
    <row r="891" spans="1:15">
      <c r="A891" s="7" t="s">
        <v>2007</v>
      </c>
      <c r="B891" s="7" t="s">
        <v>1496</v>
      </c>
      <c r="C891" s="7" t="s">
        <v>2008</v>
      </c>
      <c r="E891" s="7" t="s">
        <v>1585</v>
      </c>
      <c r="F891" s="7">
        <v>141900</v>
      </c>
      <c r="G891" s="7">
        <v>14</v>
      </c>
      <c r="H891" s="7">
        <v>19</v>
      </c>
      <c r="I891" s="7">
        <v>0</v>
      </c>
      <c r="K891"/>
      <c r="L891"/>
      <c r="M891"/>
      <c r="N891"/>
      <c r="O891"/>
    </row>
    <row r="892" spans="1:15">
      <c r="A892" s="7" t="s">
        <v>2007</v>
      </c>
      <c r="B892" s="7" t="s">
        <v>1496</v>
      </c>
      <c r="C892" s="7" t="s">
        <v>2008</v>
      </c>
      <c r="E892" s="7" t="s">
        <v>1588</v>
      </c>
      <c r="F892" s="7">
        <v>142000</v>
      </c>
      <c r="G892" s="7">
        <v>14</v>
      </c>
      <c r="H892" s="7">
        <v>20</v>
      </c>
      <c r="I892" s="7">
        <v>0</v>
      </c>
      <c r="K892"/>
      <c r="L892"/>
      <c r="M892"/>
      <c r="N892"/>
      <c r="O892"/>
    </row>
    <row r="893" spans="1:15">
      <c r="A893" s="7" t="s">
        <v>2007</v>
      </c>
      <c r="B893" s="7" t="s">
        <v>1496</v>
      </c>
      <c r="C893" s="7" t="s">
        <v>2008</v>
      </c>
      <c r="E893" s="7" t="s">
        <v>1589</v>
      </c>
      <c r="F893" s="7">
        <v>142100</v>
      </c>
      <c r="G893" s="7">
        <v>14</v>
      </c>
      <c r="H893" s="7">
        <v>21</v>
      </c>
      <c r="I893" s="7">
        <v>0</v>
      </c>
      <c r="K893"/>
      <c r="L893"/>
      <c r="M893"/>
      <c r="N893"/>
      <c r="O893"/>
    </row>
    <row r="894" spans="1:15">
      <c r="A894" s="7" t="s">
        <v>2007</v>
      </c>
      <c r="B894" s="7" t="s">
        <v>1496</v>
      </c>
      <c r="C894" s="7" t="s">
        <v>2008</v>
      </c>
      <c r="D894" s="7" t="s">
        <v>2011</v>
      </c>
      <c r="E894" s="7" t="s">
        <v>1499</v>
      </c>
      <c r="F894" s="7">
        <v>160000</v>
      </c>
      <c r="G894" s="7">
        <v>16</v>
      </c>
      <c r="H894" s="7">
        <v>0</v>
      </c>
      <c r="I894" s="7">
        <v>0</v>
      </c>
      <c r="K894"/>
      <c r="L894"/>
      <c r="M894"/>
      <c r="N894"/>
      <c r="O894"/>
    </row>
    <row r="895" spans="1:15">
      <c r="A895" s="7" t="s">
        <v>2007</v>
      </c>
      <c r="B895" s="7" t="s">
        <v>1496</v>
      </c>
      <c r="C895" s="7" t="s">
        <v>2008</v>
      </c>
      <c r="E895" s="7" t="s">
        <v>1501</v>
      </c>
      <c r="F895" s="7">
        <v>161000</v>
      </c>
      <c r="G895" s="7">
        <v>16</v>
      </c>
      <c r="H895" s="7">
        <v>10</v>
      </c>
      <c r="I895" s="7">
        <v>0</v>
      </c>
      <c r="K895"/>
      <c r="L895"/>
      <c r="M895"/>
      <c r="N895"/>
      <c r="O895"/>
    </row>
    <row r="896" spans="1:15">
      <c r="A896" s="7" t="s">
        <v>2007</v>
      </c>
      <c r="B896" s="7" t="s">
        <v>1496</v>
      </c>
      <c r="C896" s="7" t="s">
        <v>2008</v>
      </c>
      <c r="E896" s="7" t="s">
        <v>1502</v>
      </c>
      <c r="F896" s="7">
        <v>161200</v>
      </c>
      <c r="G896" s="7">
        <v>16</v>
      </c>
      <c r="H896" s="7">
        <v>12</v>
      </c>
      <c r="I896" s="7">
        <v>0</v>
      </c>
      <c r="K896"/>
      <c r="L896"/>
      <c r="M896"/>
      <c r="N896"/>
      <c r="O896"/>
    </row>
    <row r="897" spans="1:15">
      <c r="A897" s="7" t="s">
        <v>2007</v>
      </c>
      <c r="B897" s="7" t="s">
        <v>1496</v>
      </c>
      <c r="C897" s="7" t="s">
        <v>2008</v>
      </c>
      <c r="E897" s="7" t="s">
        <v>1504</v>
      </c>
      <c r="F897" s="7">
        <v>161300</v>
      </c>
      <c r="G897" s="7">
        <v>16</v>
      </c>
      <c r="H897" s="7">
        <v>13</v>
      </c>
      <c r="I897" s="7">
        <v>0</v>
      </c>
      <c r="K897"/>
      <c r="L897"/>
      <c r="M897"/>
      <c r="N897"/>
      <c r="O897"/>
    </row>
    <row r="898" spans="1:15">
      <c r="A898" s="7" t="s">
        <v>2007</v>
      </c>
      <c r="B898" s="7" t="s">
        <v>1496</v>
      </c>
      <c r="C898" s="7" t="s">
        <v>2008</v>
      </c>
      <c r="E898" s="7" t="s">
        <v>1506</v>
      </c>
      <c r="F898" s="7">
        <v>161400</v>
      </c>
      <c r="G898" s="7">
        <v>16</v>
      </c>
      <c r="H898" s="7">
        <v>14</v>
      </c>
      <c r="I898" s="7">
        <v>0</v>
      </c>
      <c r="K898"/>
      <c r="L898"/>
      <c r="M898"/>
      <c r="N898"/>
      <c r="O898"/>
    </row>
    <row r="899" spans="1:15">
      <c r="A899" s="7" t="s">
        <v>2007</v>
      </c>
      <c r="B899" s="7" t="s">
        <v>1496</v>
      </c>
      <c r="C899" s="7" t="s">
        <v>2008</v>
      </c>
      <c r="E899" s="7" t="s">
        <v>1508</v>
      </c>
      <c r="F899" s="7">
        <v>161500</v>
      </c>
      <c r="G899" s="7">
        <v>16</v>
      </c>
      <c r="H899" s="7">
        <v>15</v>
      </c>
      <c r="I899" s="7">
        <v>0</v>
      </c>
      <c r="K899"/>
      <c r="L899"/>
      <c r="M899"/>
      <c r="N899"/>
      <c r="O899"/>
    </row>
    <row r="900" spans="1:15">
      <c r="A900" s="7" t="s">
        <v>2007</v>
      </c>
      <c r="B900" s="7" t="s">
        <v>1496</v>
      </c>
      <c r="C900" s="7" t="s">
        <v>2008</v>
      </c>
      <c r="E900" s="7" t="s">
        <v>1510</v>
      </c>
      <c r="F900" s="7">
        <v>161600</v>
      </c>
      <c r="G900" s="7">
        <v>16</v>
      </c>
      <c r="H900" s="7">
        <v>16</v>
      </c>
      <c r="I900" s="7">
        <v>0</v>
      </c>
      <c r="K900"/>
      <c r="L900"/>
      <c r="M900"/>
      <c r="N900"/>
      <c r="O900"/>
    </row>
    <row r="901" spans="1:15">
      <c r="A901" s="7" t="s">
        <v>2007</v>
      </c>
      <c r="B901" s="7" t="s">
        <v>1496</v>
      </c>
      <c r="C901" s="7" t="s">
        <v>2008</v>
      </c>
      <c r="E901" s="7" t="s">
        <v>1512</v>
      </c>
      <c r="F901" s="7">
        <v>161700</v>
      </c>
      <c r="G901" s="7">
        <v>16</v>
      </c>
      <c r="H901" s="7">
        <v>17</v>
      </c>
      <c r="I901" s="7">
        <v>0</v>
      </c>
      <c r="K901"/>
      <c r="L901"/>
      <c r="M901"/>
      <c r="N901"/>
      <c r="O901"/>
    </row>
    <row r="902" spans="1:15">
      <c r="A902" s="7" t="s">
        <v>2007</v>
      </c>
      <c r="B902" s="7" t="s">
        <v>1496</v>
      </c>
      <c r="C902" s="7" t="s">
        <v>2008</v>
      </c>
      <c r="E902" s="7" t="s">
        <v>1514</v>
      </c>
      <c r="F902" s="7">
        <v>161800</v>
      </c>
      <c r="G902" s="7">
        <v>16</v>
      </c>
      <c r="H902" s="7">
        <v>18</v>
      </c>
      <c r="I902" s="7">
        <v>0</v>
      </c>
      <c r="K902"/>
      <c r="L902"/>
      <c r="M902"/>
      <c r="N902"/>
      <c r="O902"/>
    </row>
    <row r="903" spans="1:15">
      <c r="A903" s="7" t="s">
        <v>2007</v>
      </c>
      <c r="B903" s="7" t="s">
        <v>1496</v>
      </c>
      <c r="C903" s="7" t="s">
        <v>2008</v>
      </c>
      <c r="E903" s="7" t="s">
        <v>1516</v>
      </c>
      <c r="F903" s="7">
        <v>162200</v>
      </c>
      <c r="G903" s="7">
        <v>16</v>
      </c>
      <c r="H903" s="7">
        <v>22</v>
      </c>
      <c r="I903" s="7">
        <v>0</v>
      </c>
      <c r="K903"/>
      <c r="L903"/>
      <c r="M903"/>
      <c r="N903"/>
      <c r="O903"/>
    </row>
    <row r="904" spans="1:15">
      <c r="A904" s="7" t="s">
        <v>2007</v>
      </c>
      <c r="B904" s="7" t="s">
        <v>1496</v>
      </c>
      <c r="C904" s="7" t="s">
        <v>2008</v>
      </c>
      <c r="D904" s="7" t="s">
        <v>2012</v>
      </c>
      <c r="E904" s="7" t="s">
        <v>1521</v>
      </c>
      <c r="F904" s="7">
        <v>170000</v>
      </c>
      <c r="G904" s="7">
        <v>17</v>
      </c>
      <c r="H904" s="7">
        <v>0</v>
      </c>
      <c r="I904" s="7">
        <v>0</v>
      </c>
      <c r="K904"/>
      <c r="L904"/>
      <c r="M904"/>
      <c r="N904"/>
      <c r="O904"/>
    </row>
    <row r="905" spans="1:15">
      <c r="A905" s="7" t="s">
        <v>2007</v>
      </c>
      <c r="B905" s="7" t="s">
        <v>1496</v>
      </c>
      <c r="C905" s="7" t="s">
        <v>2008</v>
      </c>
      <c r="E905" s="7" t="s">
        <v>1670</v>
      </c>
      <c r="F905" s="7">
        <v>171500</v>
      </c>
      <c r="G905" s="7">
        <v>17</v>
      </c>
      <c r="H905" s="7">
        <v>15</v>
      </c>
      <c r="I905" s="7">
        <v>0</v>
      </c>
      <c r="K905"/>
      <c r="L905"/>
      <c r="M905"/>
      <c r="N905"/>
      <c r="O905"/>
    </row>
    <row r="906" spans="1:15">
      <c r="A906" s="7" t="s">
        <v>2007</v>
      </c>
      <c r="B906" s="7" t="s">
        <v>1496</v>
      </c>
      <c r="C906" s="7" t="s">
        <v>2008</v>
      </c>
      <c r="E906" s="7" t="s">
        <v>1678</v>
      </c>
      <c r="F906" s="7">
        <v>171600</v>
      </c>
      <c r="G906" s="7">
        <v>17</v>
      </c>
      <c r="H906" s="7">
        <v>16</v>
      </c>
      <c r="I906" s="7">
        <v>0</v>
      </c>
      <c r="K906"/>
      <c r="L906"/>
      <c r="M906"/>
      <c r="N906"/>
      <c r="O906"/>
    </row>
    <row r="907" spans="1:15">
      <c r="A907" s="7" t="s">
        <v>2007</v>
      </c>
      <c r="B907" s="7" t="s">
        <v>1496</v>
      </c>
      <c r="C907" s="7" t="s">
        <v>2008</v>
      </c>
      <c r="E907" s="7" t="s">
        <v>1516</v>
      </c>
      <c r="F907" s="7">
        <v>171700</v>
      </c>
      <c r="G907" s="7">
        <v>17</v>
      </c>
      <c r="H907" s="7">
        <v>17</v>
      </c>
      <c r="I907" s="7">
        <v>0</v>
      </c>
      <c r="K907"/>
      <c r="L907"/>
      <c r="M907"/>
      <c r="N907"/>
      <c r="O907"/>
    </row>
    <row r="908" spans="1:15">
      <c r="A908" s="7" t="s">
        <v>2007</v>
      </c>
      <c r="B908" s="7" t="s">
        <v>1496</v>
      </c>
      <c r="C908" s="7" t="s">
        <v>2008</v>
      </c>
      <c r="E908" s="7" t="s">
        <v>1674</v>
      </c>
      <c r="F908" s="7">
        <v>171800</v>
      </c>
      <c r="G908" s="7">
        <v>17</v>
      </c>
      <c r="H908" s="7">
        <v>18</v>
      </c>
      <c r="I908" s="7">
        <v>0</v>
      </c>
      <c r="K908"/>
      <c r="L908"/>
      <c r="M908"/>
      <c r="N908"/>
      <c r="O908"/>
    </row>
    <row r="909" spans="1:15">
      <c r="A909" s="7" t="s">
        <v>2007</v>
      </c>
      <c r="B909" s="7" t="s">
        <v>1496</v>
      </c>
      <c r="C909" s="7" t="s">
        <v>2008</v>
      </c>
      <c r="E909" s="7" t="s">
        <v>1552</v>
      </c>
      <c r="F909" s="7">
        <v>171900</v>
      </c>
      <c r="G909" s="7">
        <v>17</v>
      </c>
      <c r="H909" s="7">
        <v>19</v>
      </c>
      <c r="I909" s="7">
        <v>0</v>
      </c>
      <c r="K909"/>
      <c r="L909"/>
      <c r="M909"/>
      <c r="N909"/>
      <c r="O909"/>
    </row>
    <row r="910" spans="1:15">
      <c r="A910" s="7" t="s">
        <v>2007</v>
      </c>
      <c r="B910" s="7" t="s">
        <v>1496</v>
      </c>
      <c r="C910" s="7" t="s">
        <v>2008</v>
      </c>
      <c r="E910" s="7" t="s">
        <v>1675</v>
      </c>
      <c r="F910" s="7">
        <v>171910</v>
      </c>
      <c r="G910" s="7">
        <v>17</v>
      </c>
      <c r="H910" s="7">
        <v>19</v>
      </c>
      <c r="I910" s="7">
        <v>10</v>
      </c>
      <c r="K910"/>
      <c r="L910"/>
      <c r="M910"/>
      <c r="N910"/>
      <c r="O910"/>
    </row>
    <row r="911" spans="1:15">
      <c r="A911" s="7" t="s">
        <v>2007</v>
      </c>
      <c r="B911" s="7" t="s">
        <v>1496</v>
      </c>
      <c r="C911" s="7" t="s">
        <v>2008</v>
      </c>
      <c r="E911" s="7" t="s">
        <v>1588</v>
      </c>
      <c r="F911" s="7">
        <v>172000</v>
      </c>
      <c r="G911" s="7">
        <v>17</v>
      </c>
      <c r="H911" s="7">
        <v>20</v>
      </c>
      <c r="I911" s="7">
        <v>0</v>
      </c>
      <c r="K911"/>
      <c r="L911"/>
      <c r="M911"/>
      <c r="N911"/>
      <c r="O911"/>
    </row>
    <row r="912" spans="1:15">
      <c r="A912" s="7" t="s">
        <v>2007</v>
      </c>
      <c r="B912" s="7" t="s">
        <v>1496</v>
      </c>
      <c r="C912" s="7" t="s">
        <v>2008</v>
      </c>
      <c r="E912" s="7" t="s">
        <v>1543</v>
      </c>
      <c r="F912" s="7">
        <v>172100</v>
      </c>
      <c r="G912" s="7">
        <v>17</v>
      </c>
      <c r="H912" s="7">
        <v>21</v>
      </c>
      <c r="I912" s="7">
        <v>0</v>
      </c>
      <c r="K912"/>
      <c r="L912"/>
      <c r="M912"/>
      <c r="N912"/>
      <c r="O912"/>
    </row>
    <row r="913" spans="1:15">
      <c r="A913" s="7" t="s">
        <v>2007</v>
      </c>
      <c r="B913" s="7" t="s">
        <v>1496</v>
      </c>
      <c r="C913" s="7" t="s">
        <v>2008</v>
      </c>
      <c r="E913" s="7" t="s">
        <v>1642</v>
      </c>
      <c r="F913" s="7">
        <v>172200</v>
      </c>
      <c r="G913" s="7">
        <v>17</v>
      </c>
      <c r="H913" s="7">
        <v>22</v>
      </c>
      <c r="I913" s="7">
        <v>0</v>
      </c>
      <c r="K913"/>
      <c r="L913"/>
      <c r="M913"/>
      <c r="N913"/>
      <c r="O913"/>
    </row>
    <row r="914" spans="1:15">
      <c r="A914" s="7" t="s">
        <v>2007</v>
      </c>
      <c r="B914" s="7" t="s">
        <v>1496</v>
      </c>
      <c r="C914" s="7" t="s">
        <v>2008</v>
      </c>
      <c r="E914" s="7" t="s">
        <v>1677</v>
      </c>
      <c r="F914" s="7">
        <v>172300</v>
      </c>
      <c r="G914" s="7">
        <v>17</v>
      </c>
      <c r="H914" s="7">
        <v>23</v>
      </c>
      <c r="I914" s="7">
        <v>0</v>
      </c>
      <c r="K914"/>
      <c r="L914"/>
      <c r="M914"/>
      <c r="N914"/>
      <c r="O914"/>
    </row>
    <row r="915" spans="1:15">
      <c r="A915" s="7" t="s">
        <v>2007</v>
      </c>
      <c r="B915" s="7" t="s">
        <v>1496</v>
      </c>
      <c r="C915" s="7" t="s">
        <v>2008</v>
      </c>
      <c r="E915" s="7" t="s">
        <v>1589</v>
      </c>
      <c r="F915" s="7">
        <v>172400</v>
      </c>
      <c r="G915" s="7">
        <v>17</v>
      </c>
      <c r="H915" s="7">
        <v>24</v>
      </c>
      <c r="I915" s="7">
        <v>0</v>
      </c>
      <c r="K915"/>
      <c r="L915"/>
      <c r="M915"/>
      <c r="N915"/>
      <c r="O915"/>
    </row>
    <row r="916" spans="1:15">
      <c r="A916" s="7" t="s">
        <v>2007</v>
      </c>
      <c r="B916" s="7" t="s">
        <v>1496</v>
      </c>
      <c r="C916" s="7" t="s">
        <v>2008</v>
      </c>
      <c r="D916" s="7" t="s">
        <v>2013</v>
      </c>
      <c r="E916" s="7" t="s">
        <v>1527</v>
      </c>
      <c r="F916" s="7">
        <v>190000</v>
      </c>
      <c r="G916" s="7">
        <v>19</v>
      </c>
      <c r="H916" s="7">
        <v>0</v>
      </c>
      <c r="I916" s="7">
        <v>0</v>
      </c>
      <c r="K916"/>
      <c r="L916"/>
      <c r="M916"/>
      <c r="N916"/>
      <c r="O916"/>
    </row>
    <row r="917" spans="1:15">
      <c r="A917" s="7" t="s">
        <v>2007</v>
      </c>
      <c r="B917" s="7" t="s">
        <v>1496</v>
      </c>
      <c r="C917" s="7" t="s">
        <v>2008</v>
      </c>
      <c r="E917" s="7" t="s">
        <v>1618</v>
      </c>
      <c r="F917" s="7">
        <v>191000</v>
      </c>
      <c r="G917" s="7">
        <v>19</v>
      </c>
      <c r="H917" s="7">
        <v>10</v>
      </c>
      <c r="I917" s="7">
        <v>0</v>
      </c>
      <c r="K917"/>
      <c r="L917"/>
      <c r="M917"/>
      <c r="N917"/>
      <c r="O917"/>
    </row>
    <row r="918" spans="1:15">
      <c r="A918" s="7" t="s">
        <v>2007</v>
      </c>
      <c r="B918" s="7" t="s">
        <v>1496</v>
      </c>
      <c r="C918" s="7" t="s">
        <v>2008</v>
      </c>
      <c r="E918" s="7" t="s">
        <v>1620</v>
      </c>
      <c r="F918" s="7">
        <v>191100</v>
      </c>
      <c r="G918" s="7">
        <v>19</v>
      </c>
      <c r="H918" s="7">
        <v>11</v>
      </c>
      <c r="I918" s="7">
        <v>0</v>
      </c>
      <c r="K918"/>
      <c r="L918"/>
      <c r="M918"/>
      <c r="N918"/>
      <c r="O918"/>
    </row>
    <row r="919" spans="1:15">
      <c r="A919" s="7" t="s">
        <v>2007</v>
      </c>
      <c r="B919" s="7" t="s">
        <v>1496</v>
      </c>
      <c r="C919" s="7" t="s">
        <v>2008</v>
      </c>
      <c r="E919" s="7" t="s">
        <v>1622</v>
      </c>
      <c r="F919" s="7">
        <v>191200</v>
      </c>
      <c r="G919" s="7">
        <v>19</v>
      </c>
      <c r="H919" s="7">
        <v>12</v>
      </c>
      <c r="I919" s="7">
        <v>0</v>
      </c>
      <c r="K919"/>
      <c r="L919"/>
      <c r="M919"/>
      <c r="N919"/>
      <c r="O919"/>
    </row>
    <row r="920" spans="1:15">
      <c r="A920" s="7" t="s">
        <v>2007</v>
      </c>
      <c r="B920" s="7" t="s">
        <v>1496</v>
      </c>
      <c r="C920" s="7" t="s">
        <v>2008</v>
      </c>
      <c r="E920" s="7" t="s">
        <v>1512</v>
      </c>
      <c r="F920" s="7">
        <v>191300</v>
      </c>
      <c r="G920" s="7">
        <v>19</v>
      </c>
      <c r="H920" s="7">
        <v>13</v>
      </c>
      <c r="I920" s="7">
        <v>0</v>
      </c>
      <c r="K920"/>
      <c r="L920"/>
      <c r="M920"/>
      <c r="N920"/>
      <c r="O920"/>
    </row>
    <row r="921" spans="1:15">
      <c r="A921" s="7" t="s">
        <v>2007</v>
      </c>
      <c r="B921" s="7" t="s">
        <v>1496</v>
      </c>
      <c r="C921" s="7" t="s">
        <v>2008</v>
      </c>
      <c r="E921" s="7" t="s">
        <v>1625</v>
      </c>
      <c r="F921" s="7">
        <v>191400</v>
      </c>
      <c r="G921" s="7">
        <v>19</v>
      </c>
      <c r="H921" s="7">
        <v>14</v>
      </c>
      <c r="I921" s="7">
        <v>0</v>
      </c>
      <c r="K921"/>
      <c r="L921"/>
      <c r="M921"/>
      <c r="N921"/>
      <c r="O921"/>
    </row>
    <row r="922" spans="1:15">
      <c r="A922" s="7" t="s">
        <v>2007</v>
      </c>
      <c r="B922" s="7" t="s">
        <v>1496</v>
      </c>
      <c r="C922" s="7" t="s">
        <v>2008</v>
      </c>
      <c r="E922" s="7" t="s">
        <v>1516</v>
      </c>
      <c r="F922" s="7">
        <v>191500</v>
      </c>
      <c r="G922" s="7">
        <v>19</v>
      </c>
      <c r="H922" s="7">
        <v>15</v>
      </c>
      <c r="I922" s="7">
        <v>0</v>
      </c>
      <c r="K922"/>
      <c r="L922"/>
      <c r="M922"/>
      <c r="N922"/>
      <c r="O922"/>
    </row>
    <row r="923" spans="1:15">
      <c r="A923" s="7" t="s">
        <v>2007</v>
      </c>
      <c r="B923" s="7" t="s">
        <v>1496</v>
      </c>
      <c r="C923" s="7" t="s">
        <v>2008</v>
      </c>
      <c r="E923" s="7" t="s">
        <v>1552</v>
      </c>
      <c r="F923" s="7">
        <v>191600</v>
      </c>
      <c r="G923" s="7">
        <v>19</v>
      </c>
      <c r="H923" s="7">
        <v>16</v>
      </c>
      <c r="I923" s="7">
        <v>0</v>
      </c>
      <c r="K923"/>
      <c r="L923"/>
      <c r="M923"/>
      <c r="N923"/>
      <c r="O923"/>
    </row>
    <row r="924" spans="1:15">
      <c r="A924" s="7" t="s">
        <v>2007</v>
      </c>
      <c r="B924" s="7" t="s">
        <v>1496</v>
      </c>
      <c r="C924" s="7" t="s">
        <v>2008</v>
      </c>
      <c r="E924" s="7" t="s">
        <v>1588</v>
      </c>
      <c r="F924" s="7">
        <v>191700</v>
      </c>
      <c r="G924" s="7">
        <v>19</v>
      </c>
      <c r="H924" s="7">
        <v>17</v>
      </c>
      <c r="I924" s="7">
        <v>0</v>
      </c>
      <c r="K924"/>
      <c r="L924"/>
      <c r="M924"/>
      <c r="N924"/>
      <c r="O924"/>
    </row>
    <row r="925" spans="1:15">
      <c r="A925" s="7" t="s">
        <v>2007</v>
      </c>
      <c r="B925" s="7" t="s">
        <v>1496</v>
      </c>
      <c r="C925" s="7" t="s">
        <v>2008</v>
      </c>
      <c r="E925" s="7" t="s">
        <v>1626</v>
      </c>
      <c r="F925" s="7">
        <v>191800</v>
      </c>
      <c r="G925" s="7">
        <v>19</v>
      </c>
      <c r="H925" s="7">
        <v>18</v>
      </c>
      <c r="I925" s="7">
        <v>0</v>
      </c>
      <c r="K925"/>
      <c r="L925"/>
      <c r="M925"/>
      <c r="N925"/>
      <c r="O925"/>
    </row>
    <row r="926" spans="1:15">
      <c r="A926" s="7" t="s">
        <v>2007</v>
      </c>
      <c r="B926" s="7" t="s">
        <v>1496</v>
      </c>
      <c r="C926" s="7" t="s">
        <v>2008</v>
      </c>
      <c r="E926" s="7" t="s">
        <v>1642</v>
      </c>
      <c r="F926" s="7">
        <v>191900</v>
      </c>
      <c r="G926" s="7">
        <v>19</v>
      </c>
      <c r="H926" s="7">
        <v>19</v>
      </c>
      <c r="I926" s="7">
        <v>0</v>
      </c>
      <c r="K926"/>
      <c r="L926"/>
      <c r="M926"/>
      <c r="N926"/>
      <c r="O926"/>
    </row>
    <row r="927" spans="1:15">
      <c r="A927" s="7" t="s">
        <v>2007</v>
      </c>
      <c r="B927" s="7" t="s">
        <v>1496</v>
      </c>
      <c r="C927" s="7" t="s">
        <v>2008</v>
      </c>
      <c r="E927" s="7" t="s">
        <v>1677</v>
      </c>
      <c r="F927" s="7">
        <v>192000</v>
      </c>
      <c r="G927" s="7">
        <v>19</v>
      </c>
      <c r="H927" s="7">
        <v>20</v>
      </c>
      <c r="I927" s="7">
        <v>0</v>
      </c>
      <c r="K927"/>
      <c r="L927"/>
      <c r="M927"/>
      <c r="N927"/>
      <c r="O927"/>
    </row>
    <row r="928" spans="1:15">
      <c r="A928" s="7" t="s">
        <v>2007</v>
      </c>
      <c r="B928" s="7" t="s">
        <v>1496</v>
      </c>
      <c r="C928" s="7" t="s">
        <v>2008</v>
      </c>
      <c r="D928" s="7" t="s">
        <v>2014</v>
      </c>
      <c r="E928" s="7" t="s">
        <v>1519</v>
      </c>
      <c r="F928" s="7">
        <v>200000</v>
      </c>
      <c r="G928" s="7">
        <v>20</v>
      </c>
      <c r="H928" s="7">
        <v>0</v>
      </c>
      <c r="I928" s="7">
        <v>0</v>
      </c>
      <c r="K928"/>
      <c r="L928"/>
      <c r="M928"/>
      <c r="N928"/>
      <c r="O928"/>
    </row>
    <row r="929" spans="1:15">
      <c r="A929" s="7" t="s">
        <v>2007</v>
      </c>
      <c r="B929" s="7" t="s">
        <v>1496</v>
      </c>
      <c r="C929" s="7" t="s">
        <v>2008</v>
      </c>
      <c r="E929" s="7" t="s">
        <v>1721</v>
      </c>
      <c r="F929" s="7">
        <v>201100</v>
      </c>
      <c r="G929" s="7">
        <v>20</v>
      </c>
      <c r="H929" s="7">
        <v>11</v>
      </c>
      <c r="I929" s="7">
        <v>0</v>
      </c>
      <c r="K929"/>
      <c r="L929"/>
      <c r="M929"/>
      <c r="N929"/>
      <c r="O929"/>
    </row>
    <row r="930" spans="1:15">
      <c r="A930" s="7" t="s">
        <v>2007</v>
      </c>
      <c r="B930" s="7" t="s">
        <v>1496</v>
      </c>
      <c r="C930" s="7" t="s">
        <v>2008</v>
      </c>
      <c r="E930" s="7" t="s">
        <v>1723</v>
      </c>
      <c r="F930" s="7">
        <v>201200</v>
      </c>
      <c r="G930" s="7">
        <v>20</v>
      </c>
      <c r="H930" s="7">
        <v>12</v>
      </c>
      <c r="I930" s="7">
        <v>0</v>
      </c>
      <c r="K930"/>
      <c r="L930"/>
      <c r="M930"/>
      <c r="N930"/>
      <c r="O930"/>
    </row>
    <row r="931" spans="1:15">
      <c r="A931" s="7" t="s">
        <v>2007</v>
      </c>
      <c r="B931" s="7" t="s">
        <v>1496</v>
      </c>
      <c r="C931" s="7" t="s">
        <v>2008</v>
      </c>
      <c r="E931" s="7" t="s">
        <v>1726</v>
      </c>
      <c r="F931" s="7">
        <v>201300</v>
      </c>
      <c r="G931" s="7">
        <v>20</v>
      </c>
      <c r="H931" s="7">
        <v>13</v>
      </c>
      <c r="I931" s="7">
        <v>0</v>
      </c>
      <c r="K931"/>
      <c r="L931"/>
      <c r="M931"/>
      <c r="N931"/>
      <c r="O931"/>
    </row>
    <row r="932" spans="1:15">
      <c r="A932" s="7" t="s">
        <v>2007</v>
      </c>
      <c r="B932" s="7" t="s">
        <v>1496</v>
      </c>
      <c r="C932" s="7" t="s">
        <v>2008</v>
      </c>
      <c r="E932" s="7" t="s">
        <v>1728</v>
      </c>
      <c r="F932" s="7">
        <v>201400</v>
      </c>
      <c r="G932" s="7">
        <v>20</v>
      </c>
      <c r="H932" s="7">
        <v>14</v>
      </c>
      <c r="I932" s="7">
        <v>0</v>
      </c>
      <c r="K932"/>
      <c r="L932"/>
      <c r="M932"/>
      <c r="N932"/>
      <c r="O932"/>
    </row>
    <row r="933" spans="1:15">
      <c r="A933" s="7" t="s">
        <v>2007</v>
      </c>
      <c r="B933" s="7" t="s">
        <v>1496</v>
      </c>
      <c r="C933" s="7" t="s">
        <v>2008</v>
      </c>
      <c r="D933" s="7" t="s">
        <v>2015</v>
      </c>
      <c r="E933" s="7" t="s">
        <v>1568</v>
      </c>
      <c r="F933" s="7">
        <v>230000</v>
      </c>
      <c r="G933" s="7">
        <v>23</v>
      </c>
      <c r="H933" s="7">
        <v>0</v>
      </c>
      <c r="I933" s="7">
        <v>0</v>
      </c>
      <c r="K933"/>
      <c r="L933"/>
      <c r="M933"/>
      <c r="N933"/>
      <c r="O933"/>
    </row>
    <row r="934" spans="1:15">
      <c r="A934" s="7" t="s">
        <v>2007</v>
      </c>
      <c r="B934" s="7" t="s">
        <v>1496</v>
      </c>
      <c r="C934" s="7" t="s">
        <v>2008</v>
      </c>
      <c r="E934" s="7" t="s">
        <v>145</v>
      </c>
      <c r="F934" s="7">
        <v>231000</v>
      </c>
      <c r="G934" s="7">
        <v>23</v>
      </c>
      <c r="H934" s="7">
        <v>10</v>
      </c>
      <c r="I934" s="7">
        <v>0</v>
      </c>
      <c r="K934"/>
      <c r="L934"/>
      <c r="M934"/>
      <c r="N934"/>
      <c r="O934"/>
    </row>
    <row r="935" spans="1:15">
      <c r="A935" s="7" t="s">
        <v>2007</v>
      </c>
      <c r="B935" s="7" t="s">
        <v>1496</v>
      </c>
      <c r="C935" s="7" t="s">
        <v>2008</v>
      </c>
      <c r="E935" s="7" t="s">
        <v>1527</v>
      </c>
      <c r="F935" s="7">
        <v>231100</v>
      </c>
      <c r="G935" s="7">
        <v>23</v>
      </c>
      <c r="H935" s="7">
        <v>11</v>
      </c>
      <c r="I935" s="7">
        <v>0</v>
      </c>
      <c r="K935"/>
      <c r="L935"/>
      <c r="M935"/>
      <c r="N935"/>
      <c r="O935"/>
    </row>
    <row r="936" spans="1:15">
      <c r="A936" s="7" t="s">
        <v>2007</v>
      </c>
      <c r="B936" s="7" t="s">
        <v>1496</v>
      </c>
      <c r="C936" s="7" t="s">
        <v>2008</v>
      </c>
      <c r="E936" s="7" t="s">
        <v>1521</v>
      </c>
      <c r="F936" s="7">
        <v>231200</v>
      </c>
      <c r="G936" s="7">
        <v>23</v>
      </c>
      <c r="H936" s="7">
        <v>12</v>
      </c>
      <c r="I936" s="7">
        <v>0</v>
      </c>
      <c r="K936"/>
      <c r="L936"/>
      <c r="M936"/>
      <c r="N936"/>
      <c r="O936"/>
    </row>
    <row r="937" spans="1:15">
      <c r="A937" s="7" t="s">
        <v>2007</v>
      </c>
      <c r="B937" s="7" t="s">
        <v>1496</v>
      </c>
      <c r="C937" s="7" t="s">
        <v>2008</v>
      </c>
      <c r="E937" s="7" t="s">
        <v>1572</v>
      </c>
      <c r="F937" s="7">
        <v>231400</v>
      </c>
      <c r="G937" s="7">
        <v>23</v>
      </c>
      <c r="H937" s="7">
        <v>14</v>
      </c>
      <c r="I937" s="7">
        <v>0</v>
      </c>
      <c r="K937"/>
      <c r="L937"/>
      <c r="M937"/>
      <c r="N937"/>
      <c r="O937"/>
    </row>
    <row r="938" spans="1:15">
      <c r="A938" s="7" t="s">
        <v>2007</v>
      </c>
      <c r="B938" s="7" t="s">
        <v>1496</v>
      </c>
      <c r="C938" s="7" t="s">
        <v>2008</v>
      </c>
      <c r="D938" s="7" t="s">
        <v>2016</v>
      </c>
      <c r="E938" s="7" t="s">
        <v>1645</v>
      </c>
      <c r="F938" s="7">
        <v>780000</v>
      </c>
      <c r="G938" s="7">
        <v>78</v>
      </c>
      <c r="H938" s="7">
        <v>0</v>
      </c>
      <c r="I938" s="7">
        <v>0</v>
      </c>
      <c r="K938"/>
      <c r="L938"/>
      <c r="M938"/>
      <c r="N938"/>
      <c r="O938"/>
    </row>
    <row r="939" spans="1:15">
      <c r="A939" s="7" t="s">
        <v>2007</v>
      </c>
      <c r="B939" s="7" t="s">
        <v>1496</v>
      </c>
      <c r="C939" s="7" t="s">
        <v>2008</v>
      </c>
      <c r="E939" s="7" t="s">
        <v>1841</v>
      </c>
      <c r="F939" s="7">
        <v>781100</v>
      </c>
      <c r="G939" s="7">
        <v>78</v>
      </c>
      <c r="H939" s="7">
        <v>11</v>
      </c>
      <c r="I939" s="7">
        <v>0</v>
      </c>
      <c r="K939"/>
      <c r="L939"/>
      <c r="M939"/>
      <c r="N939"/>
      <c r="O939"/>
    </row>
    <row r="940" spans="1:15">
      <c r="A940" s="7" t="s">
        <v>2007</v>
      </c>
      <c r="B940" s="7" t="s">
        <v>1496</v>
      </c>
      <c r="C940" s="7" t="s">
        <v>2008</v>
      </c>
      <c r="E940" s="7" t="s">
        <v>1516</v>
      </c>
      <c r="F940" s="7">
        <v>781200</v>
      </c>
      <c r="G940" s="7">
        <v>78</v>
      </c>
      <c r="H940" s="7">
        <v>12</v>
      </c>
      <c r="I940" s="7">
        <v>0</v>
      </c>
      <c r="K940"/>
      <c r="L940"/>
      <c r="M940"/>
      <c r="N940"/>
      <c r="O940"/>
    </row>
    <row r="941" spans="1:15">
      <c r="A941" s="7" t="s">
        <v>2007</v>
      </c>
      <c r="B941" s="7" t="s">
        <v>1496</v>
      </c>
      <c r="C941" s="7" t="s">
        <v>2008</v>
      </c>
      <c r="E941" s="7" t="s">
        <v>1843</v>
      </c>
      <c r="F941" s="7">
        <v>781300</v>
      </c>
      <c r="G941" s="7">
        <v>78</v>
      </c>
      <c r="H941" s="7">
        <v>13</v>
      </c>
      <c r="I941" s="7">
        <v>0</v>
      </c>
      <c r="K941"/>
      <c r="L941"/>
      <c r="M941"/>
      <c r="N941"/>
      <c r="O941"/>
    </row>
    <row r="942" spans="1:15">
      <c r="A942" s="7" t="s">
        <v>2007</v>
      </c>
      <c r="B942" s="7" t="s">
        <v>1496</v>
      </c>
      <c r="C942" s="7" t="s">
        <v>2008</v>
      </c>
      <c r="E942" s="7" t="s">
        <v>1844</v>
      </c>
      <c r="F942" s="7">
        <v>781400</v>
      </c>
      <c r="G942" s="7">
        <v>78</v>
      </c>
      <c r="H942" s="7">
        <v>14</v>
      </c>
      <c r="I942" s="7">
        <v>0</v>
      </c>
      <c r="K942"/>
      <c r="L942"/>
      <c r="M942"/>
      <c r="N942"/>
      <c r="O942"/>
    </row>
    <row r="943" spans="1:15">
      <c r="A943" s="7" t="s">
        <v>2007</v>
      </c>
      <c r="B943" s="7" t="s">
        <v>1496</v>
      </c>
      <c r="C943" s="7" t="s">
        <v>2008</v>
      </c>
      <c r="D943" s="7" t="s">
        <v>2017</v>
      </c>
      <c r="E943" s="7" t="s">
        <v>1523</v>
      </c>
      <c r="F943" s="7">
        <v>790000</v>
      </c>
      <c r="G943" s="7">
        <v>79</v>
      </c>
      <c r="H943" s="7">
        <v>0</v>
      </c>
      <c r="I943" s="7">
        <v>0</v>
      </c>
      <c r="K943"/>
      <c r="L943"/>
      <c r="M943"/>
      <c r="N943"/>
      <c r="O943"/>
    </row>
    <row r="944" spans="1:15">
      <c r="A944" s="7" t="s">
        <v>2018</v>
      </c>
      <c r="B944" s="7" t="s">
        <v>1496</v>
      </c>
      <c r="C944" s="7" t="s">
        <v>2019</v>
      </c>
      <c r="D944" s="7" t="s">
        <v>2020</v>
      </c>
      <c r="E944" s="7" t="s">
        <v>1503</v>
      </c>
      <c r="F944" s="7">
        <v>100000</v>
      </c>
      <c r="G944" s="7">
        <v>10</v>
      </c>
      <c r="H944" s="7">
        <v>0</v>
      </c>
      <c r="I944" s="7">
        <v>0</v>
      </c>
      <c r="K944"/>
      <c r="L944"/>
      <c r="M944"/>
      <c r="N944"/>
      <c r="O944"/>
    </row>
    <row r="945" spans="1:15">
      <c r="A945" s="7" t="s">
        <v>2018</v>
      </c>
      <c r="B945" s="7" t="s">
        <v>1496</v>
      </c>
      <c r="C945" s="7" t="s">
        <v>2019</v>
      </c>
      <c r="E945" s="7" t="s">
        <v>1501</v>
      </c>
      <c r="F945" s="7">
        <v>101000</v>
      </c>
      <c r="G945" s="7">
        <v>10</v>
      </c>
      <c r="H945" s="7">
        <v>10</v>
      </c>
      <c r="I945" s="7">
        <v>0</v>
      </c>
      <c r="K945"/>
      <c r="L945"/>
      <c r="M945"/>
      <c r="N945"/>
      <c r="O945"/>
    </row>
    <row r="946" spans="1:15">
      <c r="A946" s="7" t="s">
        <v>2018</v>
      </c>
      <c r="B946" s="7" t="s">
        <v>1496</v>
      </c>
      <c r="C946" s="7" t="s">
        <v>2019</v>
      </c>
      <c r="E946" s="7" t="s">
        <v>1520</v>
      </c>
      <c r="F946" s="7">
        <v>101100</v>
      </c>
      <c r="G946" s="7">
        <v>10</v>
      </c>
      <c r="H946" s="7">
        <v>11</v>
      </c>
      <c r="I946" s="7">
        <v>0</v>
      </c>
      <c r="K946"/>
      <c r="L946"/>
      <c r="M946"/>
      <c r="N946"/>
      <c r="O946"/>
    </row>
    <row r="947" spans="1:15">
      <c r="A947" s="7" t="s">
        <v>2018</v>
      </c>
      <c r="B947" s="7" t="s">
        <v>1496</v>
      </c>
      <c r="C947" s="7" t="s">
        <v>2019</v>
      </c>
      <c r="E947" s="7" t="s">
        <v>1513</v>
      </c>
      <c r="F947" s="7">
        <v>101200</v>
      </c>
      <c r="G947" s="7">
        <v>10</v>
      </c>
      <c r="H947" s="7">
        <v>12</v>
      </c>
      <c r="I947" s="7">
        <v>0</v>
      </c>
      <c r="K947"/>
      <c r="L947"/>
      <c r="M947"/>
      <c r="N947"/>
      <c r="O947"/>
    </row>
    <row r="948" spans="1:15">
      <c r="A948" s="7" t="s">
        <v>2018</v>
      </c>
      <c r="B948" s="7" t="s">
        <v>1496</v>
      </c>
      <c r="C948" s="7" t="s">
        <v>2019</v>
      </c>
      <c r="E948" s="7" t="s">
        <v>1521</v>
      </c>
      <c r="F948" s="7">
        <v>101300</v>
      </c>
      <c r="G948" s="7">
        <v>10</v>
      </c>
      <c r="H948" s="7">
        <v>13</v>
      </c>
      <c r="I948" s="7">
        <v>0</v>
      </c>
      <c r="K948"/>
      <c r="L948"/>
      <c r="M948"/>
      <c r="N948"/>
      <c r="O948"/>
    </row>
    <row r="949" spans="1:15">
      <c r="A949" s="7" t="s">
        <v>2018</v>
      </c>
      <c r="B949" s="7" t="s">
        <v>1496</v>
      </c>
      <c r="C949" s="7" t="s">
        <v>2019</v>
      </c>
      <c r="E949" s="7" t="s">
        <v>145</v>
      </c>
      <c r="F949" s="7">
        <v>101400</v>
      </c>
      <c r="G949" s="7">
        <v>10</v>
      </c>
      <c r="H949" s="7">
        <v>14</v>
      </c>
      <c r="I949" s="7">
        <v>0</v>
      </c>
      <c r="K949"/>
      <c r="L949"/>
      <c r="M949"/>
      <c r="N949"/>
      <c r="O949"/>
    </row>
    <row r="950" spans="1:15">
      <c r="A950" s="7" t="s">
        <v>2018</v>
      </c>
      <c r="B950" s="7" t="s">
        <v>1496</v>
      </c>
      <c r="C950" s="7" t="s">
        <v>2019</v>
      </c>
      <c r="E950" s="7" t="s">
        <v>1527</v>
      </c>
      <c r="F950" s="7">
        <v>101500</v>
      </c>
      <c r="G950" s="7">
        <v>10</v>
      </c>
      <c r="H950" s="7">
        <v>15</v>
      </c>
      <c r="I950" s="7">
        <v>0</v>
      </c>
      <c r="K950"/>
      <c r="L950"/>
      <c r="M950"/>
      <c r="N950"/>
      <c r="O950"/>
    </row>
    <row r="951" spans="1:15">
      <c r="A951" s="7" t="s">
        <v>2018</v>
      </c>
      <c r="B951" s="7" t="s">
        <v>1496</v>
      </c>
      <c r="C951" s="7" t="s">
        <v>2019</v>
      </c>
      <c r="E951" s="7" t="s">
        <v>1505</v>
      </c>
      <c r="F951" s="7">
        <v>101600</v>
      </c>
      <c r="G951" s="7">
        <v>10</v>
      </c>
      <c r="H951" s="7">
        <v>16</v>
      </c>
      <c r="I951" s="7">
        <v>0</v>
      </c>
      <c r="K951"/>
      <c r="L951"/>
      <c r="M951"/>
      <c r="N951"/>
      <c r="O951"/>
    </row>
    <row r="952" spans="1:15">
      <c r="A952" s="7" t="s">
        <v>2018</v>
      </c>
      <c r="B952" s="7" t="s">
        <v>1496</v>
      </c>
      <c r="C952" s="7" t="s">
        <v>2019</v>
      </c>
      <c r="E952" s="7" t="s">
        <v>1507</v>
      </c>
      <c r="F952" s="7">
        <v>101700</v>
      </c>
      <c r="G952" s="7">
        <v>10</v>
      </c>
      <c r="H952" s="7">
        <v>17</v>
      </c>
      <c r="I952" s="7">
        <v>0</v>
      </c>
      <c r="K952"/>
      <c r="L952"/>
      <c r="M952"/>
      <c r="N952"/>
      <c r="O952"/>
    </row>
    <row r="953" spans="1:15">
      <c r="A953" s="7" t="s">
        <v>2018</v>
      </c>
      <c r="B953" s="7" t="s">
        <v>1496</v>
      </c>
      <c r="C953" s="7" t="s">
        <v>2019</v>
      </c>
      <c r="E953" s="7" t="s">
        <v>1509</v>
      </c>
      <c r="F953" s="7">
        <v>101800</v>
      </c>
      <c r="G953" s="7">
        <v>10</v>
      </c>
      <c r="H953" s="7">
        <v>18</v>
      </c>
      <c r="I953" s="7">
        <v>0</v>
      </c>
      <c r="K953"/>
      <c r="L953"/>
      <c r="M953"/>
      <c r="N953"/>
      <c r="O953"/>
    </row>
    <row r="954" spans="1:15">
      <c r="A954" s="7" t="s">
        <v>2018</v>
      </c>
      <c r="B954" s="7" t="s">
        <v>1496</v>
      </c>
      <c r="C954" s="7" t="s">
        <v>2019</v>
      </c>
      <c r="D954" s="7" t="s">
        <v>2021</v>
      </c>
      <c r="E954" s="7" t="s">
        <v>145</v>
      </c>
      <c r="F954" s="7">
        <v>140000</v>
      </c>
      <c r="G954" s="7">
        <v>14</v>
      </c>
      <c r="H954" s="7">
        <v>0</v>
      </c>
      <c r="I954" s="7">
        <v>0</v>
      </c>
      <c r="K954"/>
      <c r="L954"/>
      <c r="M954"/>
      <c r="N954"/>
      <c r="O954"/>
    </row>
    <row r="955" spans="1:15">
      <c r="A955" s="7" t="s">
        <v>2018</v>
      </c>
      <c r="B955" s="7" t="s">
        <v>1496</v>
      </c>
      <c r="C955" s="7" t="s">
        <v>2019</v>
      </c>
      <c r="E955" s="7" t="s">
        <v>1501</v>
      </c>
      <c r="F955" s="7">
        <v>141000</v>
      </c>
      <c r="G955" s="7">
        <v>14</v>
      </c>
      <c r="H955" s="7">
        <v>10</v>
      </c>
      <c r="I955" s="7">
        <v>0</v>
      </c>
      <c r="K955"/>
      <c r="L955"/>
      <c r="M955"/>
      <c r="N955"/>
      <c r="O955"/>
    </row>
    <row r="956" spans="1:15">
      <c r="A956" s="7" t="s">
        <v>2018</v>
      </c>
      <c r="B956" s="7" t="s">
        <v>1496</v>
      </c>
      <c r="C956" s="7" t="s">
        <v>2019</v>
      </c>
      <c r="E956" s="7" t="s">
        <v>1531</v>
      </c>
      <c r="F956" s="7">
        <v>141010</v>
      </c>
      <c r="G956" s="7">
        <v>14</v>
      </c>
      <c r="H956" s="7">
        <v>10</v>
      </c>
      <c r="I956" s="7">
        <v>10</v>
      </c>
      <c r="K956"/>
      <c r="L956"/>
      <c r="M956"/>
      <c r="N956"/>
      <c r="O956"/>
    </row>
    <row r="957" spans="1:15">
      <c r="A957" s="7" t="s">
        <v>2018</v>
      </c>
      <c r="B957" s="7" t="s">
        <v>1496</v>
      </c>
      <c r="C957" s="7" t="s">
        <v>2019</v>
      </c>
      <c r="E957" s="7" t="s">
        <v>1534</v>
      </c>
      <c r="F957" s="7">
        <v>141400</v>
      </c>
      <c r="G957" s="7">
        <v>14</v>
      </c>
      <c r="H957" s="7">
        <v>14</v>
      </c>
      <c r="I957" s="7">
        <v>0</v>
      </c>
      <c r="K957"/>
      <c r="L957"/>
      <c r="M957"/>
      <c r="N957"/>
      <c r="O957"/>
    </row>
    <row r="958" spans="1:15">
      <c r="A958" s="7" t="s">
        <v>2018</v>
      </c>
      <c r="B958" s="7" t="s">
        <v>1496</v>
      </c>
      <c r="C958" s="7" t="s">
        <v>2019</v>
      </c>
      <c r="E958" s="7" t="s">
        <v>1564</v>
      </c>
      <c r="F958" s="7">
        <v>141500</v>
      </c>
      <c r="G958" s="7">
        <v>14</v>
      </c>
      <c r="H958" s="7">
        <v>15</v>
      </c>
      <c r="I958" s="7">
        <v>0</v>
      </c>
      <c r="K958"/>
      <c r="L958"/>
      <c r="M958"/>
      <c r="N958"/>
      <c r="O958"/>
    </row>
    <row r="959" spans="1:15">
      <c r="A959" s="7" t="s">
        <v>2018</v>
      </c>
      <c r="B959" s="7" t="s">
        <v>1496</v>
      </c>
      <c r="C959" s="7" t="s">
        <v>2019</v>
      </c>
      <c r="E959" s="7" t="s">
        <v>1594</v>
      </c>
      <c r="F959" s="7">
        <v>141510</v>
      </c>
      <c r="G959" s="7">
        <v>14</v>
      </c>
      <c r="H959" s="7">
        <v>15</v>
      </c>
      <c r="I959" s="7">
        <v>10</v>
      </c>
      <c r="K959"/>
      <c r="L959"/>
      <c r="M959"/>
      <c r="N959"/>
      <c r="O959"/>
    </row>
    <row r="960" spans="1:15">
      <c r="A960" s="7" t="s">
        <v>2018</v>
      </c>
      <c r="B960" s="7" t="s">
        <v>1496</v>
      </c>
      <c r="C960" s="7" t="s">
        <v>2019</v>
      </c>
      <c r="E960" s="7" t="s">
        <v>1552</v>
      </c>
      <c r="F960" s="7">
        <v>141600</v>
      </c>
      <c r="G960" s="7">
        <v>14</v>
      </c>
      <c r="H960" s="7">
        <v>16</v>
      </c>
      <c r="I960" s="7">
        <v>0</v>
      </c>
      <c r="K960"/>
      <c r="L960"/>
      <c r="M960"/>
      <c r="N960"/>
      <c r="O960"/>
    </row>
    <row r="961" spans="1:15">
      <c r="A961" s="7" t="s">
        <v>2018</v>
      </c>
      <c r="B961" s="7" t="s">
        <v>1496</v>
      </c>
      <c r="C961" s="7" t="s">
        <v>2019</v>
      </c>
      <c r="E961" s="7" t="s">
        <v>1537</v>
      </c>
      <c r="F961" s="7">
        <v>141700</v>
      </c>
      <c r="G961" s="7">
        <v>14</v>
      </c>
      <c r="H961" s="7">
        <v>17</v>
      </c>
      <c r="I961" s="7">
        <v>0</v>
      </c>
      <c r="K961"/>
      <c r="L961"/>
      <c r="M961"/>
      <c r="N961"/>
      <c r="O961"/>
    </row>
    <row r="962" spans="1:15">
      <c r="A962" s="7" t="s">
        <v>2018</v>
      </c>
      <c r="B962" s="7" t="s">
        <v>1496</v>
      </c>
      <c r="C962" s="7" t="s">
        <v>2019</v>
      </c>
      <c r="E962" s="7" t="s">
        <v>1516</v>
      </c>
      <c r="F962" s="7">
        <v>141800</v>
      </c>
      <c r="G962" s="7">
        <v>14</v>
      </c>
      <c r="H962" s="7">
        <v>18</v>
      </c>
      <c r="I962" s="7">
        <v>0</v>
      </c>
      <c r="K962"/>
      <c r="L962"/>
      <c r="M962"/>
      <c r="N962"/>
      <c r="O962"/>
    </row>
    <row r="963" spans="1:15">
      <c r="A963" s="7" t="s">
        <v>2018</v>
      </c>
      <c r="B963" s="7" t="s">
        <v>1496</v>
      </c>
      <c r="C963" s="7" t="s">
        <v>2019</v>
      </c>
      <c r="E963" s="7" t="s">
        <v>1557</v>
      </c>
      <c r="F963" s="7">
        <v>142300</v>
      </c>
      <c r="G963" s="7">
        <v>14</v>
      </c>
      <c r="H963" s="7">
        <v>23</v>
      </c>
      <c r="I963" s="7">
        <v>0</v>
      </c>
      <c r="K963"/>
      <c r="L963"/>
      <c r="M963"/>
      <c r="N963"/>
      <c r="O963"/>
    </row>
    <row r="964" spans="1:15">
      <c r="A964" s="7" t="s">
        <v>2018</v>
      </c>
      <c r="B964" s="7" t="s">
        <v>1496</v>
      </c>
      <c r="C964" s="7" t="s">
        <v>2019</v>
      </c>
      <c r="E964" s="7" t="s">
        <v>1539</v>
      </c>
      <c r="F964" s="7">
        <v>142600</v>
      </c>
      <c r="G964" s="7">
        <v>14</v>
      </c>
      <c r="H964" s="7">
        <v>26</v>
      </c>
      <c r="I964" s="7">
        <v>0</v>
      </c>
      <c r="K964"/>
      <c r="L964"/>
      <c r="M964"/>
      <c r="N964"/>
      <c r="O964"/>
    </row>
    <row r="965" spans="1:15">
      <c r="A965" s="7" t="s">
        <v>2018</v>
      </c>
      <c r="B965" s="7" t="s">
        <v>1496</v>
      </c>
      <c r="C965" s="7" t="s">
        <v>2019</v>
      </c>
      <c r="E965" s="7" t="s">
        <v>1541</v>
      </c>
      <c r="F965" s="7">
        <v>142700</v>
      </c>
      <c r="G965" s="7">
        <v>14</v>
      </c>
      <c r="H965" s="7">
        <v>27</v>
      </c>
      <c r="I965" s="7">
        <v>0</v>
      </c>
      <c r="K965"/>
      <c r="L965"/>
      <c r="M965"/>
      <c r="N965"/>
      <c r="O965"/>
    </row>
    <row r="966" spans="1:15">
      <c r="A966" s="7" t="s">
        <v>2018</v>
      </c>
      <c r="B966" s="7" t="s">
        <v>1496</v>
      </c>
      <c r="C966" s="7" t="s">
        <v>2019</v>
      </c>
      <c r="D966" s="7" t="s">
        <v>2022</v>
      </c>
      <c r="E966" s="7" t="s">
        <v>1543</v>
      </c>
      <c r="F966" s="7">
        <v>150000</v>
      </c>
      <c r="G966" s="7">
        <v>15</v>
      </c>
      <c r="H966" s="7">
        <v>0</v>
      </c>
      <c r="I966" s="7">
        <v>0</v>
      </c>
      <c r="K966"/>
      <c r="L966"/>
      <c r="M966"/>
      <c r="N966"/>
      <c r="O966"/>
    </row>
    <row r="967" spans="1:15">
      <c r="A967" s="7" t="s">
        <v>2018</v>
      </c>
      <c r="B967" s="7" t="s">
        <v>1496</v>
      </c>
      <c r="C967" s="7" t="s">
        <v>2019</v>
      </c>
      <c r="E967" s="7" t="s">
        <v>1501</v>
      </c>
      <c r="F967" s="7">
        <v>151000</v>
      </c>
      <c r="G967" s="7">
        <v>15</v>
      </c>
      <c r="H967" s="7">
        <v>10</v>
      </c>
      <c r="I967" s="7">
        <v>0</v>
      </c>
      <c r="K967"/>
      <c r="L967"/>
      <c r="M967"/>
      <c r="N967"/>
      <c r="O967"/>
    </row>
    <row r="968" spans="1:15">
      <c r="A968" s="7" t="s">
        <v>2018</v>
      </c>
      <c r="B968" s="7" t="s">
        <v>1496</v>
      </c>
      <c r="C968" s="7" t="s">
        <v>2019</v>
      </c>
      <c r="E968" s="7" t="s">
        <v>1638</v>
      </c>
      <c r="F968" s="7">
        <v>151100</v>
      </c>
      <c r="G968" s="7">
        <v>15</v>
      </c>
      <c r="H968" s="7">
        <v>11</v>
      </c>
      <c r="I968" s="7">
        <v>0</v>
      </c>
      <c r="K968"/>
      <c r="L968"/>
      <c r="M968"/>
      <c r="N968"/>
      <c r="O968"/>
    </row>
    <row r="969" spans="1:15">
      <c r="A969" s="7" t="s">
        <v>2018</v>
      </c>
      <c r="B969" s="7" t="s">
        <v>1496</v>
      </c>
      <c r="C969" s="7" t="s">
        <v>2019</v>
      </c>
      <c r="E969" s="7" t="s">
        <v>1545</v>
      </c>
      <c r="F969" s="7">
        <v>151110</v>
      </c>
      <c r="G969" s="7">
        <v>15</v>
      </c>
      <c r="H969" s="7">
        <v>11</v>
      </c>
      <c r="I969" s="7">
        <v>10</v>
      </c>
      <c r="K969"/>
      <c r="L969"/>
      <c r="M969"/>
      <c r="N969"/>
      <c r="O969"/>
    </row>
    <row r="970" spans="1:15">
      <c r="A970" s="7" t="s">
        <v>2018</v>
      </c>
      <c r="B970" s="7" t="s">
        <v>1496</v>
      </c>
      <c r="C970" s="7" t="s">
        <v>2019</v>
      </c>
      <c r="E970" s="7" t="s">
        <v>1605</v>
      </c>
      <c r="F970" s="7">
        <v>151120</v>
      </c>
      <c r="G970" s="7">
        <v>15</v>
      </c>
      <c r="H970" s="7">
        <v>11</v>
      </c>
      <c r="I970" s="7">
        <v>20</v>
      </c>
      <c r="K970"/>
      <c r="L970"/>
      <c r="M970"/>
      <c r="N970"/>
      <c r="O970"/>
    </row>
    <row r="971" spans="1:15">
      <c r="A971" s="7" t="s">
        <v>2018</v>
      </c>
      <c r="B971" s="7" t="s">
        <v>1496</v>
      </c>
      <c r="C971" s="7" t="s">
        <v>2019</v>
      </c>
      <c r="E971" s="7" t="s">
        <v>1609</v>
      </c>
      <c r="F971" s="7">
        <v>151130</v>
      </c>
      <c r="G971" s="7">
        <v>15</v>
      </c>
      <c r="H971" s="7">
        <v>11</v>
      </c>
      <c r="I971" s="7">
        <v>30</v>
      </c>
      <c r="K971"/>
      <c r="L971"/>
      <c r="M971"/>
      <c r="N971"/>
      <c r="O971"/>
    </row>
    <row r="972" spans="1:15">
      <c r="A972" s="7" t="s">
        <v>2018</v>
      </c>
      <c r="B972" s="7" t="s">
        <v>1496</v>
      </c>
      <c r="C972" s="7" t="s">
        <v>2019</v>
      </c>
      <c r="E972" s="7" t="s">
        <v>1611</v>
      </c>
      <c r="F972" s="7">
        <v>151140</v>
      </c>
      <c r="G972" s="7">
        <v>15</v>
      </c>
      <c r="H972" s="7">
        <v>11</v>
      </c>
      <c r="I972" s="7">
        <v>40</v>
      </c>
      <c r="K972"/>
      <c r="L972"/>
      <c r="M972"/>
      <c r="N972"/>
      <c r="O972"/>
    </row>
    <row r="973" spans="1:15">
      <c r="A973" s="7" t="s">
        <v>2018</v>
      </c>
      <c r="B973" s="7" t="s">
        <v>1496</v>
      </c>
      <c r="C973" s="7" t="s">
        <v>2019</v>
      </c>
      <c r="E973" s="7" t="s">
        <v>1639</v>
      </c>
      <c r="F973" s="7">
        <v>151150</v>
      </c>
      <c r="G973" s="7">
        <v>15</v>
      </c>
      <c r="H973" s="7">
        <v>11</v>
      </c>
      <c r="I973" s="7">
        <v>50</v>
      </c>
      <c r="K973"/>
      <c r="L973"/>
      <c r="M973"/>
      <c r="N973"/>
      <c r="O973"/>
    </row>
    <row r="974" spans="1:15">
      <c r="A974" s="7" t="s">
        <v>2018</v>
      </c>
      <c r="B974" s="7" t="s">
        <v>1496</v>
      </c>
      <c r="C974" s="7" t="s">
        <v>2019</v>
      </c>
      <c r="E974" s="7" t="s">
        <v>1546</v>
      </c>
      <c r="F974" s="7">
        <v>151200</v>
      </c>
      <c r="G974" s="7">
        <v>15</v>
      </c>
      <c r="H974" s="7">
        <v>12</v>
      </c>
      <c r="I974" s="7">
        <v>0</v>
      </c>
      <c r="K974"/>
      <c r="L974"/>
      <c r="M974"/>
      <c r="N974"/>
      <c r="O974"/>
    </row>
    <row r="975" spans="1:15">
      <c r="A975" s="7" t="s">
        <v>2018</v>
      </c>
      <c r="B975" s="7" t="s">
        <v>1496</v>
      </c>
      <c r="C975" s="7" t="s">
        <v>2019</v>
      </c>
      <c r="E975" s="7" t="s">
        <v>1634</v>
      </c>
      <c r="F975" s="7">
        <v>151210</v>
      </c>
      <c r="G975" s="7">
        <v>15</v>
      </c>
      <c r="H975" s="7">
        <v>12</v>
      </c>
      <c r="I975" s="7">
        <v>10</v>
      </c>
      <c r="K975"/>
      <c r="L975"/>
      <c r="M975"/>
      <c r="N975"/>
      <c r="O975"/>
    </row>
    <row r="976" spans="1:15">
      <c r="A976" s="7" t="s">
        <v>2018</v>
      </c>
      <c r="B976" s="7" t="s">
        <v>1496</v>
      </c>
      <c r="C976" s="7" t="s">
        <v>2019</v>
      </c>
      <c r="E976" s="7" t="s">
        <v>1636</v>
      </c>
      <c r="F976" s="7">
        <v>151220</v>
      </c>
      <c r="G976" s="7">
        <v>15</v>
      </c>
      <c r="H976" s="7">
        <v>12</v>
      </c>
      <c r="I976" s="7">
        <v>20</v>
      </c>
      <c r="K976"/>
      <c r="L976"/>
      <c r="M976"/>
      <c r="N976"/>
      <c r="O976"/>
    </row>
    <row r="977" spans="1:15">
      <c r="A977" s="7" t="s">
        <v>2018</v>
      </c>
      <c r="B977" s="7" t="s">
        <v>1496</v>
      </c>
      <c r="C977" s="7" t="s">
        <v>2019</v>
      </c>
      <c r="E977" s="7" t="s">
        <v>1637</v>
      </c>
      <c r="F977" s="7">
        <v>151230</v>
      </c>
      <c r="G977" s="7">
        <v>15</v>
      </c>
      <c r="H977" s="7">
        <v>12</v>
      </c>
      <c r="I977" s="7">
        <v>30</v>
      </c>
      <c r="K977"/>
      <c r="L977"/>
      <c r="M977"/>
      <c r="N977"/>
      <c r="O977"/>
    </row>
    <row r="978" spans="1:15">
      <c r="A978" s="7" t="s">
        <v>2018</v>
      </c>
      <c r="B978" s="7" t="s">
        <v>1496</v>
      </c>
      <c r="C978" s="7" t="s">
        <v>2019</v>
      </c>
      <c r="E978" s="7" t="s">
        <v>1631</v>
      </c>
      <c r="F978" s="7">
        <v>151240</v>
      </c>
      <c r="G978" s="7">
        <v>15</v>
      </c>
      <c r="H978" s="7">
        <v>12</v>
      </c>
      <c r="I978" s="7">
        <v>40</v>
      </c>
      <c r="K978"/>
      <c r="L978"/>
      <c r="M978"/>
      <c r="N978"/>
      <c r="O978"/>
    </row>
    <row r="979" spans="1:15">
      <c r="A979" s="7" t="s">
        <v>2018</v>
      </c>
      <c r="B979" s="7" t="s">
        <v>1496</v>
      </c>
      <c r="C979" s="7" t="s">
        <v>2019</v>
      </c>
      <c r="E979" s="7" t="s">
        <v>1547</v>
      </c>
      <c r="F979" s="7">
        <v>151300</v>
      </c>
      <c r="G979" s="7">
        <v>15</v>
      </c>
      <c r="H979" s="7">
        <v>13</v>
      </c>
      <c r="I979" s="7">
        <v>0</v>
      </c>
      <c r="K979"/>
      <c r="L979"/>
      <c r="M979"/>
      <c r="N979"/>
      <c r="O979"/>
    </row>
    <row r="980" spans="1:15">
      <c r="A980" s="7" t="s">
        <v>2018</v>
      </c>
      <c r="B980" s="7" t="s">
        <v>1496</v>
      </c>
      <c r="C980" s="7" t="s">
        <v>2019</v>
      </c>
      <c r="E980" s="7" t="s">
        <v>1548</v>
      </c>
      <c r="F980" s="7">
        <v>151310</v>
      </c>
      <c r="G980" s="7">
        <v>15</v>
      </c>
      <c r="H980" s="7">
        <v>13</v>
      </c>
      <c r="I980" s="7">
        <v>10</v>
      </c>
      <c r="K980"/>
      <c r="L980"/>
      <c r="M980"/>
      <c r="N980"/>
      <c r="O980"/>
    </row>
    <row r="981" spans="1:15">
      <c r="A981" s="7" t="s">
        <v>2018</v>
      </c>
      <c r="B981" s="7" t="s">
        <v>1496</v>
      </c>
      <c r="C981" s="7" t="s">
        <v>2019</v>
      </c>
      <c r="E981" s="7" t="s">
        <v>1549</v>
      </c>
      <c r="F981" s="7">
        <v>151320</v>
      </c>
      <c r="G981" s="7">
        <v>15</v>
      </c>
      <c r="H981" s="7">
        <v>13</v>
      </c>
      <c r="I981" s="7">
        <v>20</v>
      </c>
      <c r="K981"/>
      <c r="L981"/>
      <c r="M981"/>
      <c r="N981"/>
      <c r="O981"/>
    </row>
    <row r="982" spans="1:15">
      <c r="A982" s="7" t="s">
        <v>2018</v>
      </c>
      <c r="B982" s="7" t="s">
        <v>1496</v>
      </c>
      <c r="C982" s="7" t="s">
        <v>2019</v>
      </c>
      <c r="E982" s="7" t="s">
        <v>1550</v>
      </c>
      <c r="F982" s="7">
        <v>151600</v>
      </c>
      <c r="G982" s="7">
        <v>15</v>
      </c>
      <c r="H982" s="7">
        <v>16</v>
      </c>
      <c r="I982" s="7">
        <v>0</v>
      </c>
      <c r="K982"/>
      <c r="L982"/>
      <c r="M982"/>
      <c r="N982"/>
      <c r="O982"/>
    </row>
    <row r="983" spans="1:15">
      <c r="A983" s="7" t="s">
        <v>2018</v>
      </c>
      <c r="B983" s="7" t="s">
        <v>1496</v>
      </c>
      <c r="C983" s="7" t="s">
        <v>2019</v>
      </c>
      <c r="E983" s="7" t="s">
        <v>1551</v>
      </c>
      <c r="F983" s="7">
        <v>151700</v>
      </c>
      <c r="G983" s="7">
        <v>15</v>
      </c>
      <c r="H983" s="7">
        <v>17</v>
      </c>
      <c r="I983" s="7">
        <v>0</v>
      </c>
      <c r="K983"/>
      <c r="L983"/>
      <c r="M983"/>
      <c r="N983"/>
      <c r="O983"/>
    </row>
    <row r="984" spans="1:15">
      <c r="A984" s="7" t="s">
        <v>2018</v>
      </c>
      <c r="B984" s="7" t="s">
        <v>1496</v>
      </c>
      <c r="C984" s="7" t="s">
        <v>2019</v>
      </c>
      <c r="E984" s="7" t="s">
        <v>1640</v>
      </c>
      <c r="F984" s="7">
        <v>151800</v>
      </c>
      <c r="G984" s="7">
        <v>15</v>
      </c>
      <c r="H984" s="7">
        <v>18</v>
      </c>
      <c r="I984" s="7">
        <v>0</v>
      </c>
      <c r="K984"/>
      <c r="L984"/>
      <c r="M984"/>
      <c r="N984"/>
      <c r="O984"/>
    </row>
    <row r="985" spans="1:15">
      <c r="A985" s="7" t="s">
        <v>2018</v>
      </c>
      <c r="B985" s="7" t="s">
        <v>1496</v>
      </c>
      <c r="C985" s="7" t="s">
        <v>2019</v>
      </c>
      <c r="D985" s="7" t="s">
        <v>2023</v>
      </c>
      <c r="E985" s="7" t="s">
        <v>1499</v>
      </c>
      <c r="F985" s="7">
        <v>160000</v>
      </c>
      <c r="G985" s="7">
        <v>16</v>
      </c>
      <c r="H985" s="7">
        <v>0</v>
      </c>
      <c r="I985" s="7">
        <v>0</v>
      </c>
      <c r="K985"/>
      <c r="L985"/>
      <c r="M985"/>
      <c r="N985"/>
      <c r="O985"/>
    </row>
    <row r="986" spans="1:15">
      <c r="A986" s="7" t="s">
        <v>2018</v>
      </c>
      <c r="B986" s="7" t="s">
        <v>1496</v>
      </c>
      <c r="C986" s="7" t="s">
        <v>2019</v>
      </c>
      <c r="E986" s="7" t="s">
        <v>1501</v>
      </c>
      <c r="F986" s="7">
        <v>161000</v>
      </c>
      <c r="G986" s="7">
        <v>16</v>
      </c>
      <c r="H986" s="7">
        <v>10</v>
      </c>
      <c r="I986" s="7">
        <v>0</v>
      </c>
      <c r="K986"/>
      <c r="L986"/>
      <c r="M986"/>
      <c r="N986"/>
      <c r="O986"/>
    </row>
    <row r="987" spans="1:15">
      <c r="A987" s="7" t="s">
        <v>2018</v>
      </c>
      <c r="B987" s="7" t="s">
        <v>1496</v>
      </c>
      <c r="C987" s="7" t="s">
        <v>2019</v>
      </c>
      <c r="E987" s="7" t="s">
        <v>1502</v>
      </c>
      <c r="F987" s="7">
        <v>161200</v>
      </c>
      <c r="G987" s="7">
        <v>16</v>
      </c>
      <c r="H987" s="7">
        <v>12</v>
      </c>
      <c r="I987" s="7">
        <v>0</v>
      </c>
      <c r="K987"/>
      <c r="L987"/>
      <c r="M987"/>
      <c r="N987"/>
      <c r="O987"/>
    </row>
    <row r="988" spans="1:15">
      <c r="A988" s="7" t="s">
        <v>2018</v>
      </c>
      <c r="B988" s="7" t="s">
        <v>1496</v>
      </c>
      <c r="C988" s="7" t="s">
        <v>2019</v>
      </c>
      <c r="E988" s="7" t="s">
        <v>1504</v>
      </c>
      <c r="F988" s="7">
        <v>161300</v>
      </c>
      <c r="G988" s="7">
        <v>16</v>
      </c>
      <c r="H988" s="7">
        <v>13</v>
      </c>
      <c r="I988" s="7">
        <v>0</v>
      </c>
      <c r="K988"/>
      <c r="L988"/>
      <c r="M988"/>
      <c r="N988"/>
      <c r="O988"/>
    </row>
    <row r="989" spans="1:15">
      <c r="A989" s="7" t="s">
        <v>2018</v>
      </c>
      <c r="B989" s="7" t="s">
        <v>1496</v>
      </c>
      <c r="C989" s="7" t="s">
        <v>2019</v>
      </c>
      <c r="E989" s="7" t="s">
        <v>1506</v>
      </c>
      <c r="F989" s="7">
        <v>161400</v>
      </c>
      <c r="G989" s="7">
        <v>16</v>
      </c>
      <c r="H989" s="7">
        <v>14</v>
      </c>
      <c r="I989" s="7">
        <v>0</v>
      </c>
      <c r="K989"/>
      <c r="L989"/>
      <c r="M989"/>
      <c r="N989"/>
      <c r="O989"/>
    </row>
    <row r="990" spans="1:15">
      <c r="A990" s="7" t="s">
        <v>2018</v>
      </c>
      <c r="B990" s="7" t="s">
        <v>1496</v>
      </c>
      <c r="C990" s="7" t="s">
        <v>2019</v>
      </c>
      <c r="E990" s="7" t="s">
        <v>1508</v>
      </c>
      <c r="F990" s="7">
        <v>161500</v>
      </c>
      <c r="G990" s="7">
        <v>16</v>
      </c>
      <c r="H990" s="7">
        <v>15</v>
      </c>
      <c r="I990" s="7">
        <v>0</v>
      </c>
      <c r="K990"/>
      <c r="L990"/>
      <c r="M990"/>
      <c r="N990"/>
      <c r="O990"/>
    </row>
    <row r="991" spans="1:15">
      <c r="A991" s="7" t="s">
        <v>2018</v>
      </c>
      <c r="B991" s="7" t="s">
        <v>1496</v>
      </c>
      <c r="C991" s="7" t="s">
        <v>2019</v>
      </c>
      <c r="E991" s="7" t="s">
        <v>1510</v>
      </c>
      <c r="F991" s="7">
        <v>161600</v>
      </c>
      <c r="G991" s="7">
        <v>16</v>
      </c>
      <c r="H991" s="7">
        <v>16</v>
      </c>
      <c r="I991" s="7">
        <v>0</v>
      </c>
      <c r="K991"/>
      <c r="L991"/>
      <c r="M991"/>
      <c r="N991"/>
      <c r="O991"/>
    </row>
    <row r="992" spans="1:15">
      <c r="A992" s="7" t="s">
        <v>2018</v>
      </c>
      <c r="B992" s="7" t="s">
        <v>1496</v>
      </c>
      <c r="C992" s="7" t="s">
        <v>2019</v>
      </c>
      <c r="E992" s="7" t="s">
        <v>1512</v>
      </c>
      <c r="F992" s="7">
        <v>161700</v>
      </c>
      <c r="G992" s="7">
        <v>16</v>
      </c>
      <c r="H992" s="7">
        <v>17</v>
      </c>
      <c r="I992" s="7">
        <v>0</v>
      </c>
      <c r="K992"/>
      <c r="L992"/>
      <c r="M992"/>
      <c r="N992"/>
      <c r="O992"/>
    </row>
    <row r="993" spans="1:15">
      <c r="A993" s="7" t="s">
        <v>2018</v>
      </c>
      <c r="B993" s="7" t="s">
        <v>1496</v>
      </c>
      <c r="C993" s="7" t="s">
        <v>2019</v>
      </c>
      <c r="E993" s="7" t="s">
        <v>1514</v>
      </c>
      <c r="F993" s="7">
        <v>161800</v>
      </c>
      <c r="G993" s="7">
        <v>16</v>
      </c>
      <c r="H993" s="7">
        <v>18</v>
      </c>
      <c r="I993" s="7">
        <v>0</v>
      </c>
      <c r="K993"/>
      <c r="L993"/>
      <c r="M993"/>
      <c r="N993"/>
      <c r="O993"/>
    </row>
    <row r="994" spans="1:15">
      <c r="A994" s="7" t="s">
        <v>2018</v>
      </c>
      <c r="B994" s="7" t="s">
        <v>1496</v>
      </c>
      <c r="C994" s="7" t="s">
        <v>2019</v>
      </c>
      <c r="E994" s="7" t="s">
        <v>1516</v>
      </c>
      <c r="F994" s="7">
        <v>162200</v>
      </c>
      <c r="G994" s="7">
        <v>16</v>
      </c>
      <c r="H994" s="7">
        <v>22</v>
      </c>
      <c r="I994" s="7">
        <v>0</v>
      </c>
      <c r="K994"/>
      <c r="L994"/>
      <c r="M994"/>
      <c r="N994"/>
      <c r="O994"/>
    </row>
    <row r="995" spans="1:15">
      <c r="A995" s="7" t="s">
        <v>2018</v>
      </c>
      <c r="B995" s="7" t="s">
        <v>1496</v>
      </c>
      <c r="C995" s="7" t="s">
        <v>2019</v>
      </c>
      <c r="D995" s="7" t="s">
        <v>2024</v>
      </c>
      <c r="E995" s="7" t="s">
        <v>1521</v>
      </c>
      <c r="F995" s="7">
        <v>170000</v>
      </c>
      <c r="G995" s="7">
        <v>17</v>
      </c>
      <c r="H995" s="7">
        <v>0</v>
      </c>
      <c r="I995" s="7">
        <v>0</v>
      </c>
      <c r="K995"/>
      <c r="L995"/>
      <c r="M995"/>
      <c r="N995"/>
      <c r="O995"/>
    </row>
    <row r="996" spans="1:15">
      <c r="A996" s="7" t="s">
        <v>2018</v>
      </c>
      <c r="B996" s="7" t="s">
        <v>1496</v>
      </c>
      <c r="C996" s="7" t="s">
        <v>2019</v>
      </c>
      <c r="E996" s="7" t="s">
        <v>1531</v>
      </c>
      <c r="F996" s="7">
        <v>171510</v>
      </c>
      <c r="G996" s="7">
        <v>17</v>
      </c>
      <c r="H996" s="7">
        <v>15</v>
      </c>
      <c r="I996" s="7">
        <v>10</v>
      </c>
      <c r="K996"/>
      <c r="L996"/>
      <c r="M996"/>
      <c r="N996"/>
      <c r="O996"/>
    </row>
    <row r="997" spans="1:15">
      <c r="A997" s="7" t="s">
        <v>2018</v>
      </c>
      <c r="B997" s="7" t="s">
        <v>1496</v>
      </c>
      <c r="C997" s="7" t="s">
        <v>2019</v>
      </c>
      <c r="D997" s="7" t="s">
        <v>2025</v>
      </c>
      <c r="E997" s="7" t="s">
        <v>1556</v>
      </c>
      <c r="F997" s="7">
        <v>180000</v>
      </c>
      <c r="G997" s="7">
        <v>18</v>
      </c>
      <c r="H997" s="7">
        <v>0</v>
      </c>
      <c r="I997" s="7">
        <v>0</v>
      </c>
      <c r="K997"/>
      <c r="L997"/>
      <c r="M997"/>
      <c r="N997"/>
      <c r="O997"/>
    </row>
    <row r="998" spans="1:15">
      <c r="A998" s="7" t="s">
        <v>2018</v>
      </c>
      <c r="B998" s="7" t="s">
        <v>1496</v>
      </c>
      <c r="C998" s="7" t="s">
        <v>2019</v>
      </c>
      <c r="E998" s="7" t="s">
        <v>1558</v>
      </c>
      <c r="F998" s="7">
        <v>181000</v>
      </c>
      <c r="G998" s="7">
        <v>18</v>
      </c>
      <c r="H998" s="7">
        <v>10</v>
      </c>
      <c r="I998" s="7">
        <v>0</v>
      </c>
      <c r="K998"/>
      <c r="L998"/>
      <c r="M998"/>
      <c r="N998"/>
      <c r="O998"/>
    </row>
    <row r="999" spans="1:15">
      <c r="A999" s="7" t="s">
        <v>2018</v>
      </c>
      <c r="B999" s="7" t="s">
        <v>1496</v>
      </c>
      <c r="C999" s="7" t="s">
        <v>2019</v>
      </c>
      <c r="E999" s="7" t="s">
        <v>1559</v>
      </c>
      <c r="F999" s="7">
        <v>181100</v>
      </c>
      <c r="G999" s="7">
        <v>18</v>
      </c>
      <c r="H999" s="7">
        <v>11</v>
      </c>
      <c r="I999" s="7">
        <v>0</v>
      </c>
      <c r="K999"/>
      <c r="L999"/>
      <c r="M999"/>
      <c r="N999"/>
      <c r="O999"/>
    </row>
    <row r="1000" spans="1:15">
      <c r="A1000" s="7" t="s">
        <v>2018</v>
      </c>
      <c r="B1000" s="7" t="s">
        <v>1496</v>
      </c>
      <c r="C1000" s="7" t="s">
        <v>2019</v>
      </c>
      <c r="E1000" s="7" t="s">
        <v>1561</v>
      </c>
      <c r="F1000" s="7">
        <v>181200</v>
      </c>
      <c r="G1000" s="7">
        <v>18</v>
      </c>
      <c r="H1000" s="7">
        <v>12</v>
      </c>
      <c r="I1000" s="7">
        <v>0</v>
      </c>
      <c r="K1000"/>
      <c r="L1000"/>
      <c r="M1000"/>
      <c r="N1000"/>
      <c r="O1000"/>
    </row>
    <row r="1001" spans="1:15">
      <c r="A1001" s="7" t="s">
        <v>2018</v>
      </c>
      <c r="B1001" s="7" t="s">
        <v>1496</v>
      </c>
      <c r="C1001" s="7" t="s">
        <v>2019</v>
      </c>
      <c r="E1001" s="7" t="s">
        <v>1564</v>
      </c>
      <c r="F1001" s="7">
        <v>181300</v>
      </c>
      <c r="G1001" s="7">
        <v>18</v>
      </c>
      <c r="H1001" s="7">
        <v>13</v>
      </c>
      <c r="I1001" s="7">
        <v>0</v>
      </c>
      <c r="K1001"/>
      <c r="L1001"/>
      <c r="M1001"/>
      <c r="N1001"/>
      <c r="O1001"/>
    </row>
    <row r="1002" spans="1:15">
      <c r="A1002" s="7" t="s">
        <v>2018</v>
      </c>
      <c r="B1002" s="7" t="s">
        <v>1496</v>
      </c>
      <c r="C1002" s="7" t="s">
        <v>2019</v>
      </c>
      <c r="E1002" s="7" t="s">
        <v>1687</v>
      </c>
      <c r="F1002" s="7">
        <v>181310</v>
      </c>
      <c r="G1002" s="7">
        <v>18</v>
      </c>
      <c r="H1002" s="7">
        <v>13</v>
      </c>
      <c r="I1002" s="7">
        <v>10</v>
      </c>
      <c r="K1002"/>
      <c r="L1002"/>
      <c r="M1002"/>
      <c r="N1002"/>
      <c r="O1002"/>
    </row>
    <row r="1003" spans="1:15">
      <c r="A1003" s="7" t="s">
        <v>2018</v>
      </c>
      <c r="B1003" s="7" t="s">
        <v>1496</v>
      </c>
      <c r="C1003" s="7" t="s">
        <v>2019</v>
      </c>
      <c r="E1003" s="7" t="s">
        <v>1681</v>
      </c>
      <c r="F1003" s="7">
        <v>181320</v>
      </c>
      <c r="G1003" s="7">
        <v>18</v>
      </c>
      <c r="H1003" s="7">
        <v>13</v>
      </c>
      <c r="I1003" s="7">
        <v>20</v>
      </c>
      <c r="K1003"/>
      <c r="L1003"/>
      <c r="M1003"/>
      <c r="N1003"/>
      <c r="O1003"/>
    </row>
    <row r="1004" spans="1:15">
      <c r="A1004" s="7" t="s">
        <v>2018</v>
      </c>
      <c r="B1004" s="7" t="s">
        <v>1496</v>
      </c>
      <c r="C1004" s="7" t="s">
        <v>2019</v>
      </c>
      <c r="D1004" s="7" t="s">
        <v>2026</v>
      </c>
      <c r="E1004" s="7" t="s">
        <v>1527</v>
      </c>
      <c r="F1004" s="7">
        <v>190000</v>
      </c>
      <c r="G1004" s="7">
        <v>19</v>
      </c>
      <c r="H1004" s="7">
        <v>0</v>
      </c>
      <c r="I1004" s="7">
        <v>0</v>
      </c>
      <c r="K1004"/>
      <c r="L1004"/>
      <c r="M1004"/>
      <c r="N1004"/>
      <c r="O1004"/>
    </row>
    <row r="1005" spans="1:15">
      <c r="A1005" s="7" t="s">
        <v>2018</v>
      </c>
      <c r="B1005" s="7" t="s">
        <v>1496</v>
      </c>
      <c r="C1005" s="7" t="s">
        <v>2019</v>
      </c>
      <c r="E1005" s="7" t="s">
        <v>1618</v>
      </c>
      <c r="F1005" s="7">
        <v>191000</v>
      </c>
      <c r="G1005" s="7">
        <v>19</v>
      </c>
      <c r="H1005" s="7">
        <v>10</v>
      </c>
      <c r="I1005" s="7">
        <v>0</v>
      </c>
      <c r="K1005"/>
      <c r="L1005"/>
      <c r="M1005"/>
      <c r="N1005"/>
      <c r="O1005"/>
    </row>
    <row r="1006" spans="1:15">
      <c r="A1006" s="7" t="s">
        <v>2018</v>
      </c>
      <c r="B1006" s="7" t="s">
        <v>1496</v>
      </c>
      <c r="C1006" s="7" t="s">
        <v>2019</v>
      </c>
      <c r="E1006" s="7" t="s">
        <v>1620</v>
      </c>
      <c r="F1006" s="7">
        <v>191100</v>
      </c>
      <c r="G1006" s="7">
        <v>19</v>
      </c>
      <c r="H1006" s="7">
        <v>11</v>
      </c>
      <c r="I1006" s="7">
        <v>0</v>
      </c>
      <c r="K1006"/>
      <c r="L1006"/>
      <c r="M1006"/>
      <c r="N1006"/>
      <c r="O1006"/>
    </row>
    <row r="1007" spans="1:15">
      <c r="A1007" s="7" t="s">
        <v>2018</v>
      </c>
      <c r="B1007" s="7" t="s">
        <v>1496</v>
      </c>
      <c r="C1007" s="7" t="s">
        <v>2019</v>
      </c>
      <c r="E1007" s="7" t="s">
        <v>1622</v>
      </c>
      <c r="F1007" s="7">
        <v>191200</v>
      </c>
      <c r="G1007" s="7">
        <v>19</v>
      </c>
      <c r="H1007" s="7">
        <v>12</v>
      </c>
      <c r="I1007" s="7">
        <v>0</v>
      </c>
      <c r="K1007"/>
      <c r="L1007"/>
      <c r="M1007"/>
      <c r="N1007"/>
      <c r="O1007"/>
    </row>
    <row r="1008" spans="1:15">
      <c r="A1008" s="7" t="s">
        <v>2018</v>
      </c>
      <c r="B1008" s="7" t="s">
        <v>1496</v>
      </c>
      <c r="C1008" s="7" t="s">
        <v>2019</v>
      </c>
      <c r="E1008" s="7" t="s">
        <v>1512</v>
      </c>
      <c r="F1008" s="7">
        <v>191300</v>
      </c>
      <c r="G1008" s="7">
        <v>19</v>
      </c>
      <c r="H1008" s="7">
        <v>13</v>
      </c>
      <c r="I1008" s="7">
        <v>0</v>
      </c>
      <c r="K1008"/>
      <c r="L1008"/>
      <c r="M1008"/>
      <c r="N1008"/>
      <c r="O1008"/>
    </row>
    <row r="1009" spans="1:15">
      <c r="A1009" s="7" t="s">
        <v>2018</v>
      </c>
      <c r="B1009" s="7" t="s">
        <v>1496</v>
      </c>
      <c r="C1009" s="7" t="s">
        <v>2019</v>
      </c>
      <c r="E1009" s="7" t="s">
        <v>1625</v>
      </c>
      <c r="F1009" s="7">
        <v>191400</v>
      </c>
      <c r="G1009" s="7">
        <v>19</v>
      </c>
      <c r="H1009" s="7">
        <v>14</v>
      </c>
      <c r="I1009" s="7">
        <v>0</v>
      </c>
      <c r="K1009"/>
      <c r="L1009"/>
      <c r="M1009"/>
      <c r="N1009"/>
      <c r="O1009"/>
    </row>
    <row r="1010" spans="1:15">
      <c r="A1010" s="7" t="s">
        <v>2018</v>
      </c>
      <c r="B1010" s="7" t="s">
        <v>1496</v>
      </c>
      <c r="C1010" s="7" t="s">
        <v>2019</v>
      </c>
      <c r="E1010" s="7" t="s">
        <v>1516</v>
      </c>
      <c r="F1010" s="7">
        <v>191500</v>
      </c>
      <c r="G1010" s="7">
        <v>19</v>
      </c>
      <c r="H1010" s="7">
        <v>15</v>
      </c>
      <c r="I1010" s="7">
        <v>0</v>
      </c>
      <c r="K1010"/>
      <c r="L1010"/>
      <c r="M1010"/>
      <c r="N1010"/>
      <c r="O1010"/>
    </row>
    <row r="1011" spans="1:15">
      <c r="A1011" s="7" t="s">
        <v>2018</v>
      </c>
      <c r="B1011" s="7" t="s">
        <v>1496</v>
      </c>
      <c r="C1011" s="7" t="s">
        <v>2019</v>
      </c>
      <c r="E1011" s="7" t="s">
        <v>1552</v>
      </c>
      <c r="F1011" s="7">
        <v>191600</v>
      </c>
      <c r="G1011" s="7">
        <v>19</v>
      </c>
      <c r="H1011" s="7">
        <v>16</v>
      </c>
      <c r="I1011" s="7">
        <v>0</v>
      </c>
      <c r="K1011"/>
      <c r="L1011"/>
      <c r="M1011"/>
      <c r="N1011"/>
      <c r="O1011"/>
    </row>
    <row r="1012" spans="1:15">
      <c r="A1012" s="7" t="s">
        <v>2018</v>
      </c>
      <c r="B1012" s="7" t="s">
        <v>1496</v>
      </c>
      <c r="C1012" s="7" t="s">
        <v>2019</v>
      </c>
      <c r="E1012" s="7" t="s">
        <v>1565</v>
      </c>
      <c r="F1012" s="7">
        <v>191810</v>
      </c>
      <c r="G1012" s="7">
        <v>19</v>
      </c>
      <c r="H1012" s="7">
        <v>18</v>
      </c>
      <c r="I1012" s="7">
        <v>10</v>
      </c>
      <c r="K1012"/>
      <c r="L1012"/>
      <c r="M1012"/>
      <c r="N1012"/>
      <c r="O1012"/>
    </row>
    <row r="1013" spans="1:15">
      <c r="A1013" s="7" t="s">
        <v>2018</v>
      </c>
      <c r="B1013" s="7" t="s">
        <v>1496</v>
      </c>
      <c r="C1013" s="7" t="s">
        <v>2019</v>
      </c>
      <c r="E1013" s="7" t="s">
        <v>1716</v>
      </c>
      <c r="F1013" s="7">
        <v>192400</v>
      </c>
      <c r="G1013" s="7">
        <v>19</v>
      </c>
      <c r="H1013" s="7">
        <v>24</v>
      </c>
      <c r="I1013" s="7">
        <v>0</v>
      </c>
      <c r="K1013"/>
      <c r="L1013"/>
      <c r="M1013"/>
      <c r="N1013"/>
      <c r="O1013"/>
    </row>
    <row r="1014" spans="1:15">
      <c r="A1014" s="7" t="s">
        <v>2018</v>
      </c>
      <c r="B1014" s="7" t="s">
        <v>1496</v>
      </c>
      <c r="C1014" s="7" t="s">
        <v>2019</v>
      </c>
      <c r="D1014" s="7" t="s">
        <v>2027</v>
      </c>
      <c r="E1014" s="7" t="s">
        <v>1519</v>
      </c>
      <c r="F1014" s="7">
        <v>200000</v>
      </c>
      <c r="G1014" s="7">
        <v>20</v>
      </c>
      <c r="H1014" s="7">
        <v>0</v>
      </c>
      <c r="I1014" s="7">
        <v>0</v>
      </c>
      <c r="K1014"/>
      <c r="L1014"/>
      <c r="M1014"/>
      <c r="N1014"/>
      <c r="O1014"/>
    </row>
    <row r="1015" spans="1:15">
      <c r="A1015" s="7" t="s">
        <v>2018</v>
      </c>
      <c r="B1015" s="7" t="s">
        <v>1496</v>
      </c>
      <c r="C1015" s="7" t="s">
        <v>2019</v>
      </c>
      <c r="E1015" s="7" t="s">
        <v>1501</v>
      </c>
      <c r="F1015" s="7">
        <v>201000</v>
      </c>
      <c r="G1015" s="7">
        <v>20</v>
      </c>
      <c r="H1015" s="7">
        <v>10</v>
      </c>
      <c r="I1015" s="7">
        <v>0</v>
      </c>
      <c r="K1015"/>
      <c r="L1015"/>
      <c r="M1015"/>
      <c r="N1015"/>
      <c r="O1015"/>
    </row>
    <row r="1016" spans="1:15">
      <c r="A1016" s="7" t="s">
        <v>2018</v>
      </c>
      <c r="B1016" s="7" t="s">
        <v>1496</v>
      </c>
      <c r="C1016" s="7" t="s">
        <v>2019</v>
      </c>
      <c r="E1016" s="7" t="s">
        <v>1721</v>
      </c>
      <c r="F1016" s="7">
        <v>201100</v>
      </c>
      <c r="G1016" s="7">
        <v>20</v>
      </c>
      <c r="H1016" s="7">
        <v>11</v>
      </c>
      <c r="I1016" s="7">
        <v>0</v>
      </c>
      <c r="K1016"/>
      <c r="L1016"/>
      <c r="M1016"/>
      <c r="N1016"/>
      <c r="O1016"/>
    </row>
    <row r="1017" spans="1:15">
      <c r="A1017" s="7" t="s">
        <v>2018</v>
      </c>
      <c r="B1017" s="7" t="s">
        <v>1496</v>
      </c>
      <c r="C1017" s="7" t="s">
        <v>2019</v>
      </c>
      <c r="E1017" s="7" t="s">
        <v>1723</v>
      </c>
      <c r="F1017" s="7">
        <v>201200</v>
      </c>
      <c r="G1017" s="7">
        <v>20</v>
      </c>
      <c r="H1017" s="7">
        <v>12</v>
      </c>
      <c r="I1017" s="7">
        <v>0</v>
      </c>
      <c r="K1017"/>
      <c r="L1017"/>
      <c r="M1017"/>
      <c r="N1017"/>
      <c r="O1017"/>
    </row>
    <row r="1018" spans="1:15">
      <c r="A1018" s="7" t="s">
        <v>2018</v>
      </c>
      <c r="B1018" s="7" t="s">
        <v>1496</v>
      </c>
      <c r="C1018" s="7" t="s">
        <v>2019</v>
      </c>
      <c r="E1018" s="7" t="s">
        <v>1726</v>
      </c>
      <c r="F1018" s="7">
        <v>201300</v>
      </c>
      <c r="G1018" s="7">
        <v>20</v>
      </c>
      <c r="H1018" s="7">
        <v>13</v>
      </c>
      <c r="I1018" s="7">
        <v>0</v>
      </c>
      <c r="K1018"/>
      <c r="L1018"/>
      <c r="M1018"/>
      <c r="N1018"/>
      <c r="O1018"/>
    </row>
    <row r="1019" spans="1:15">
      <c r="A1019" s="7" t="s">
        <v>2018</v>
      </c>
      <c r="B1019" s="7" t="s">
        <v>1496</v>
      </c>
      <c r="C1019" s="7" t="s">
        <v>2019</v>
      </c>
      <c r="E1019" s="7" t="s">
        <v>1728</v>
      </c>
      <c r="F1019" s="7">
        <v>201400</v>
      </c>
      <c r="G1019" s="7">
        <v>20</v>
      </c>
      <c r="H1019" s="7">
        <v>14</v>
      </c>
      <c r="I1019" s="7">
        <v>0</v>
      </c>
      <c r="K1019"/>
      <c r="L1019"/>
      <c r="M1019"/>
      <c r="N1019"/>
      <c r="O1019"/>
    </row>
    <row r="1020" spans="1:15">
      <c r="A1020" s="7" t="s">
        <v>2018</v>
      </c>
      <c r="B1020" s="7" t="s">
        <v>1496</v>
      </c>
      <c r="C1020" s="7" t="s">
        <v>2019</v>
      </c>
      <c r="E1020" s="7" t="s">
        <v>1730</v>
      </c>
      <c r="F1020" s="7">
        <v>201500</v>
      </c>
      <c r="G1020" s="7">
        <v>20</v>
      </c>
      <c r="H1020" s="7">
        <v>15</v>
      </c>
      <c r="I1020" s="7">
        <v>0</v>
      </c>
      <c r="K1020"/>
      <c r="L1020"/>
      <c r="M1020"/>
      <c r="N1020"/>
      <c r="O1020"/>
    </row>
    <row r="1021" spans="1:15">
      <c r="A1021" s="7" t="s">
        <v>2018</v>
      </c>
      <c r="B1021" s="7" t="s">
        <v>1496</v>
      </c>
      <c r="C1021" s="7" t="s">
        <v>2019</v>
      </c>
      <c r="D1021" s="7" t="s">
        <v>2028</v>
      </c>
      <c r="E1021" s="7" t="s">
        <v>1642</v>
      </c>
      <c r="F1021" s="7">
        <v>220000</v>
      </c>
      <c r="G1021" s="7">
        <v>22</v>
      </c>
      <c r="H1021" s="7">
        <v>0</v>
      </c>
      <c r="I1021" s="7">
        <v>0</v>
      </c>
      <c r="K1021"/>
      <c r="L1021"/>
      <c r="M1021"/>
      <c r="N1021"/>
      <c r="O1021"/>
    </row>
    <row r="1022" spans="1:15">
      <c r="A1022" s="7" t="s">
        <v>2018</v>
      </c>
      <c r="B1022" s="7" t="s">
        <v>1496</v>
      </c>
      <c r="C1022" s="7" t="s">
        <v>2019</v>
      </c>
      <c r="E1022" s="7" t="s">
        <v>1552</v>
      </c>
      <c r="F1022" s="7">
        <v>221000</v>
      </c>
      <c r="G1022" s="7">
        <v>22</v>
      </c>
      <c r="H1022" s="7">
        <v>10</v>
      </c>
      <c r="I1022" s="7">
        <v>0</v>
      </c>
      <c r="K1022"/>
      <c r="L1022"/>
      <c r="M1022"/>
      <c r="N1022"/>
      <c r="O1022"/>
    </row>
    <row r="1023" spans="1:15">
      <c r="A1023" s="7" t="s">
        <v>2018</v>
      </c>
      <c r="B1023" s="7" t="s">
        <v>1496</v>
      </c>
      <c r="C1023" s="7" t="s">
        <v>2019</v>
      </c>
      <c r="E1023" s="7" t="s">
        <v>1626</v>
      </c>
      <c r="F1023" s="7">
        <v>221100</v>
      </c>
      <c r="G1023" s="7">
        <v>22</v>
      </c>
      <c r="H1023" s="7">
        <v>11</v>
      </c>
      <c r="I1023" s="7">
        <v>0</v>
      </c>
      <c r="K1023"/>
      <c r="L1023"/>
      <c r="M1023"/>
      <c r="N1023"/>
      <c r="O1023"/>
    </row>
    <row r="1024" spans="1:15">
      <c r="A1024" s="7" t="s">
        <v>2018</v>
      </c>
      <c r="B1024" s="7" t="s">
        <v>1496</v>
      </c>
      <c r="C1024" s="7" t="s">
        <v>2019</v>
      </c>
      <c r="E1024" s="7" t="s">
        <v>1629</v>
      </c>
      <c r="F1024" s="7">
        <v>221200</v>
      </c>
      <c r="G1024" s="7">
        <v>22</v>
      </c>
      <c r="H1024" s="7">
        <v>12</v>
      </c>
      <c r="I1024" s="7">
        <v>0</v>
      </c>
      <c r="K1024"/>
      <c r="L1024"/>
      <c r="M1024"/>
      <c r="N1024"/>
      <c r="O1024"/>
    </row>
    <row r="1025" spans="1:15">
      <c r="A1025" s="7" t="s">
        <v>2018</v>
      </c>
      <c r="B1025" s="7" t="s">
        <v>1496</v>
      </c>
      <c r="C1025" s="7" t="s">
        <v>2019</v>
      </c>
      <c r="E1025" s="7" t="s">
        <v>1557</v>
      </c>
      <c r="F1025" s="7">
        <v>221300</v>
      </c>
      <c r="G1025" s="7">
        <v>22</v>
      </c>
      <c r="H1025" s="7">
        <v>13</v>
      </c>
      <c r="I1025" s="7">
        <v>0</v>
      </c>
      <c r="K1025"/>
      <c r="L1025"/>
      <c r="M1025"/>
      <c r="N1025"/>
      <c r="O1025"/>
    </row>
    <row r="1026" spans="1:15">
      <c r="A1026" s="7" t="s">
        <v>2018</v>
      </c>
      <c r="B1026" s="7" t="s">
        <v>1496</v>
      </c>
      <c r="C1026" s="7" t="s">
        <v>2019</v>
      </c>
      <c r="E1026" s="7" t="s">
        <v>1643</v>
      </c>
      <c r="F1026" s="7">
        <v>221400</v>
      </c>
      <c r="G1026" s="7">
        <v>22</v>
      </c>
      <c r="H1026" s="7">
        <v>14</v>
      </c>
      <c r="I1026" s="7">
        <v>0</v>
      </c>
      <c r="K1026"/>
      <c r="L1026"/>
      <c r="M1026"/>
      <c r="N1026"/>
      <c r="O1026"/>
    </row>
    <row r="1027" spans="1:15">
      <c r="A1027" s="7" t="s">
        <v>2018</v>
      </c>
      <c r="B1027" s="7" t="s">
        <v>1496</v>
      </c>
      <c r="C1027" s="7" t="s">
        <v>2019</v>
      </c>
      <c r="D1027" s="7" t="s">
        <v>2029</v>
      </c>
      <c r="E1027" s="7" t="s">
        <v>1568</v>
      </c>
      <c r="F1027" s="7">
        <v>230000</v>
      </c>
      <c r="G1027" s="7">
        <v>23</v>
      </c>
      <c r="H1027" s="7">
        <v>0</v>
      </c>
      <c r="I1027" s="7">
        <v>0</v>
      </c>
      <c r="K1027"/>
      <c r="L1027"/>
      <c r="M1027"/>
      <c r="N1027"/>
      <c r="O1027"/>
    </row>
    <row r="1028" spans="1:15">
      <c r="A1028" s="7" t="s">
        <v>2018</v>
      </c>
      <c r="B1028" s="7" t="s">
        <v>1496</v>
      </c>
      <c r="C1028" s="7" t="s">
        <v>2019</v>
      </c>
      <c r="E1028" s="7" t="s">
        <v>145</v>
      </c>
      <c r="F1028" s="7">
        <v>231000</v>
      </c>
      <c r="G1028" s="7">
        <v>23</v>
      </c>
      <c r="H1028" s="7">
        <v>10</v>
      </c>
      <c r="I1028" s="7">
        <v>0</v>
      </c>
      <c r="K1028"/>
      <c r="L1028"/>
      <c r="M1028"/>
      <c r="N1028"/>
      <c r="O1028"/>
    </row>
    <row r="1029" spans="1:15">
      <c r="A1029" s="7" t="s">
        <v>2018</v>
      </c>
      <c r="B1029" s="7" t="s">
        <v>1496</v>
      </c>
      <c r="C1029" s="7" t="s">
        <v>2019</v>
      </c>
      <c r="E1029" s="7" t="s">
        <v>1527</v>
      </c>
      <c r="F1029" s="7">
        <v>231100</v>
      </c>
      <c r="G1029" s="7">
        <v>23</v>
      </c>
      <c r="H1029" s="7">
        <v>11</v>
      </c>
      <c r="I1029" s="7">
        <v>0</v>
      </c>
      <c r="K1029"/>
      <c r="L1029"/>
      <c r="M1029"/>
      <c r="N1029"/>
      <c r="O1029"/>
    </row>
    <row r="1030" spans="1:15">
      <c r="A1030" s="7" t="s">
        <v>2018</v>
      </c>
      <c r="B1030" s="7" t="s">
        <v>1496</v>
      </c>
      <c r="C1030" s="7" t="s">
        <v>2019</v>
      </c>
      <c r="E1030" s="7" t="s">
        <v>1521</v>
      </c>
      <c r="F1030" s="7">
        <v>231200</v>
      </c>
      <c r="G1030" s="7">
        <v>23</v>
      </c>
      <c r="H1030" s="7">
        <v>12</v>
      </c>
      <c r="I1030" s="7">
        <v>0</v>
      </c>
      <c r="K1030"/>
      <c r="L1030"/>
      <c r="M1030"/>
      <c r="N1030"/>
      <c r="O1030"/>
    </row>
    <row r="1031" spans="1:15">
      <c r="A1031" s="7" t="s">
        <v>2018</v>
      </c>
      <c r="B1031" s="7" t="s">
        <v>1496</v>
      </c>
      <c r="C1031" s="7" t="s">
        <v>2019</v>
      </c>
      <c r="E1031" s="7" t="s">
        <v>1570</v>
      </c>
      <c r="F1031" s="7">
        <v>231300</v>
      </c>
      <c r="G1031" s="7">
        <v>23</v>
      </c>
      <c r="H1031" s="7">
        <v>13</v>
      </c>
      <c r="I1031" s="7">
        <v>0</v>
      </c>
      <c r="K1031"/>
      <c r="L1031"/>
      <c r="M1031"/>
      <c r="N1031"/>
      <c r="O1031"/>
    </row>
    <row r="1032" spans="1:15">
      <c r="A1032" s="7" t="s">
        <v>2018</v>
      </c>
      <c r="B1032" s="7" t="s">
        <v>1496</v>
      </c>
      <c r="C1032" s="7" t="s">
        <v>2019</v>
      </c>
      <c r="E1032" s="7" t="s">
        <v>1572</v>
      </c>
      <c r="F1032" s="7">
        <v>231400</v>
      </c>
      <c r="G1032" s="7">
        <v>23</v>
      </c>
      <c r="H1032" s="7">
        <v>14</v>
      </c>
      <c r="I1032" s="7">
        <v>0</v>
      </c>
      <c r="K1032"/>
      <c r="L1032"/>
      <c r="M1032"/>
      <c r="N1032"/>
      <c r="O1032"/>
    </row>
    <row r="1033" spans="1:15">
      <c r="A1033" s="7" t="s">
        <v>2018</v>
      </c>
      <c r="B1033" s="7" t="s">
        <v>1496</v>
      </c>
      <c r="C1033" s="7" t="s">
        <v>2019</v>
      </c>
      <c r="E1033" s="7" t="s">
        <v>1749</v>
      </c>
      <c r="F1033" s="7">
        <v>231500</v>
      </c>
      <c r="G1033" s="7">
        <v>23</v>
      </c>
      <c r="H1033" s="7">
        <v>15</v>
      </c>
      <c r="I1033" s="7">
        <v>0</v>
      </c>
      <c r="K1033"/>
      <c r="L1033"/>
      <c r="M1033"/>
      <c r="N1033"/>
      <c r="O1033"/>
    </row>
    <row r="1034" spans="1:15">
      <c r="A1034" s="7" t="s">
        <v>2018</v>
      </c>
      <c r="B1034" s="7" t="s">
        <v>1496</v>
      </c>
      <c r="C1034" s="7" t="s">
        <v>2019</v>
      </c>
      <c r="E1034" s="7" t="s">
        <v>1751</v>
      </c>
      <c r="F1034" s="7">
        <v>231600</v>
      </c>
      <c r="G1034" s="7">
        <v>23</v>
      </c>
      <c r="H1034" s="7">
        <v>16</v>
      </c>
      <c r="I1034" s="7">
        <v>0</v>
      </c>
      <c r="K1034"/>
      <c r="L1034"/>
      <c r="M1034"/>
      <c r="N1034"/>
      <c r="O1034"/>
    </row>
    <row r="1035" spans="1:15">
      <c r="A1035" s="7" t="s">
        <v>2018</v>
      </c>
      <c r="B1035" s="7" t="s">
        <v>1496</v>
      </c>
      <c r="C1035" s="7" t="s">
        <v>2019</v>
      </c>
      <c r="E1035" s="7" t="s">
        <v>1576</v>
      </c>
      <c r="F1035" s="7">
        <v>231700</v>
      </c>
      <c r="G1035" s="7">
        <v>23</v>
      </c>
      <c r="H1035" s="7">
        <v>17</v>
      </c>
      <c r="I1035" s="7">
        <v>0</v>
      </c>
      <c r="K1035"/>
      <c r="L1035"/>
      <c r="M1035"/>
      <c r="N1035"/>
      <c r="O1035"/>
    </row>
    <row r="1036" spans="1:15">
      <c r="A1036" s="7" t="s">
        <v>2018</v>
      </c>
      <c r="B1036" s="7" t="s">
        <v>1496</v>
      </c>
      <c r="C1036" s="7" t="s">
        <v>2019</v>
      </c>
      <c r="E1036" s="7" t="s">
        <v>1773</v>
      </c>
      <c r="F1036" s="7">
        <v>231800</v>
      </c>
      <c r="G1036" s="7">
        <v>23</v>
      </c>
      <c r="H1036" s="7">
        <v>18</v>
      </c>
      <c r="I1036" s="7">
        <v>0</v>
      </c>
      <c r="K1036"/>
      <c r="L1036"/>
      <c r="M1036"/>
      <c r="N1036"/>
      <c r="O1036"/>
    </row>
    <row r="1037" spans="1:15">
      <c r="A1037" s="7" t="s">
        <v>2018</v>
      </c>
      <c r="B1037" s="7" t="s">
        <v>1496</v>
      </c>
      <c r="C1037" s="7" t="s">
        <v>2019</v>
      </c>
      <c r="E1037" s="7" t="s">
        <v>1765</v>
      </c>
      <c r="F1037" s="7">
        <v>231900</v>
      </c>
      <c r="G1037" s="7">
        <v>23</v>
      </c>
      <c r="H1037" s="7">
        <v>19</v>
      </c>
      <c r="I1037" s="7">
        <v>0</v>
      </c>
      <c r="K1037"/>
      <c r="L1037"/>
      <c r="M1037"/>
      <c r="N1037"/>
      <c r="O1037"/>
    </row>
    <row r="1038" spans="1:15">
      <c r="A1038" s="7" t="s">
        <v>2018</v>
      </c>
      <c r="B1038" s="7" t="s">
        <v>1496</v>
      </c>
      <c r="C1038" s="7" t="s">
        <v>2019</v>
      </c>
      <c r="E1038" s="7" t="s">
        <v>1761</v>
      </c>
      <c r="F1038" s="7">
        <v>232000</v>
      </c>
      <c r="G1038" s="7">
        <v>23</v>
      </c>
      <c r="H1038" s="7">
        <v>20</v>
      </c>
      <c r="I1038" s="7">
        <v>0</v>
      </c>
      <c r="K1038"/>
      <c r="L1038"/>
      <c r="M1038"/>
      <c r="N1038"/>
      <c r="O1038"/>
    </row>
    <row r="1039" spans="1:15">
      <c r="A1039" s="7" t="s">
        <v>2018</v>
      </c>
      <c r="B1039" s="7" t="s">
        <v>1496</v>
      </c>
      <c r="C1039" s="7" t="s">
        <v>2019</v>
      </c>
      <c r="E1039" s="7" t="s">
        <v>1762</v>
      </c>
      <c r="F1039" s="7">
        <v>232010</v>
      </c>
      <c r="G1039" s="7">
        <v>23</v>
      </c>
      <c r="H1039" s="7">
        <v>20</v>
      </c>
      <c r="I1039" s="7">
        <v>10</v>
      </c>
      <c r="K1039"/>
      <c r="L1039"/>
      <c r="M1039"/>
      <c r="N1039"/>
      <c r="O1039"/>
    </row>
    <row r="1040" spans="1:15">
      <c r="A1040" s="7" t="s">
        <v>2018</v>
      </c>
      <c r="B1040" s="7" t="s">
        <v>1496</v>
      </c>
      <c r="C1040" s="7" t="s">
        <v>2019</v>
      </c>
      <c r="E1040" s="7" t="s">
        <v>1752</v>
      </c>
      <c r="F1040" s="7">
        <v>232100</v>
      </c>
      <c r="G1040" s="7">
        <v>23</v>
      </c>
      <c r="H1040" s="7">
        <v>21</v>
      </c>
      <c r="I1040" s="7">
        <v>0</v>
      </c>
      <c r="K1040"/>
      <c r="L1040"/>
      <c r="M1040"/>
      <c r="N1040"/>
      <c r="O1040"/>
    </row>
    <row r="1041" spans="1:15">
      <c r="A1041" s="7" t="s">
        <v>2018</v>
      </c>
      <c r="B1041" s="7" t="s">
        <v>1496</v>
      </c>
      <c r="C1041" s="7" t="s">
        <v>2019</v>
      </c>
      <c r="E1041" s="7" t="s">
        <v>1769</v>
      </c>
      <c r="F1041" s="7">
        <v>232110</v>
      </c>
      <c r="G1041" s="7">
        <v>23</v>
      </c>
      <c r="H1041" s="7">
        <v>21</v>
      </c>
      <c r="I1041" s="7">
        <v>10</v>
      </c>
      <c r="K1041"/>
      <c r="L1041"/>
      <c r="M1041"/>
      <c r="N1041"/>
      <c r="O1041"/>
    </row>
    <row r="1042" spans="1:15">
      <c r="A1042" s="7" t="s">
        <v>2018</v>
      </c>
      <c r="B1042" s="7" t="s">
        <v>1496</v>
      </c>
      <c r="C1042" s="7" t="s">
        <v>2019</v>
      </c>
      <c r="E1042" s="7" t="s">
        <v>1774</v>
      </c>
      <c r="F1042" s="7">
        <v>232120</v>
      </c>
      <c r="G1042" s="7">
        <v>23</v>
      </c>
      <c r="H1042" s="7">
        <v>21</v>
      </c>
      <c r="I1042" s="7">
        <v>20</v>
      </c>
      <c r="K1042"/>
      <c r="L1042"/>
      <c r="M1042"/>
      <c r="N1042"/>
      <c r="O1042"/>
    </row>
    <row r="1043" spans="1:15">
      <c r="A1043" s="7" t="s">
        <v>2018</v>
      </c>
      <c r="B1043" s="7" t="s">
        <v>1496</v>
      </c>
      <c r="C1043" s="7" t="s">
        <v>2019</v>
      </c>
      <c r="E1043" s="7" t="s">
        <v>1772</v>
      </c>
      <c r="F1043" s="7">
        <v>232130</v>
      </c>
      <c r="G1043" s="7">
        <v>23</v>
      </c>
      <c r="H1043" s="7">
        <v>21</v>
      </c>
      <c r="I1043" s="7">
        <v>30</v>
      </c>
      <c r="K1043"/>
      <c r="L1043"/>
      <c r="M1043"/>
      <c r="N1043"/>
      <c r="O1043"/>
    </row>
    <row r="1044" spans="1:15">
      <c r="A1044" s="7" t="s">
        <v>2018</v>
      </c>
      <c r="B1044" s="7" t="s">
        <v>1496</v>
      </c>
      <c r="C1044" s="7" t="s">
        <v>2019</v>
      </c>
      <c r="E1044" s="7" t="s">
        <v>1754</v>
      </c>
      <c r="F1044" s="7">
        <v>232140</v>
      </c>
      <c r="G1044" s="7">
        <v>23</v>
      </c>
      <c r="H1044" s="7">
        <v>21</v>
      </c>
      <c r="I1044" s="7">
        <v>40</v>
      </c>
      <c r="K1044"/>
      <c r="L1044"/>
      <c r="M1044"/>
      <c r="N1044"/>
      <c r="O1044"/>
    </row>
    <row r="1045" spans="1:15">
      <c r="A1045" s="7" t="s">
        <v>2018</v>
      </c>
      <c r="B1045" s="7" t="s">
        <v>1496</v>
      </c>
      <c r="C1045" s="7" t="s">
        <v>2019</v>
      </c>
      <c r="E1045" s="7" t="s">
        <v>1499</v>
      </c>
      <c r="F1045" s="7">
        <v>232200</v>
      </c>
      <c r="G1045" s="7">
        <v>23</v>
      </c>
      <c r="H1045" s="7">
        <v>22</v>
      </c>
      <c r="I1045" s="7">
        <v>0</v>
      </c>
      <c r="K1045"/>
      <c r="L1045"/>
      <c r="M1045"/>
      <c r="N1045"/>
      <c r="O1045"/>
    </row>
    <row r="1046" spans="1:15">
      <c r="A1046" s="7" t="s">
        <v>2018</v>
      </c>
      <c r="B1046" s="7" t="s">
        <v>1496</v>
      </c>
      <c r="C1046" s="7" t="s">
        <v>2019</v>
      </c>
      <c r="D1046" s="7" t="s">
        <v>2030</v>
      </c>
      <c r="E1046" s="7" t="s">
        <v>1785</v>
      </c>
      <c r="F1046" s="7">
        <v>270000</v>
      </c>
      <c r="G1046" s="7">
        <v>27</v>
      </c>
      <c r="H1046" s="7">
        <v>0</v>
      </c>
      <c r="I1046" s="7">
        <v>0</v>
      </c>
      <c r="K1046"/>
      <c r="L1046"/>
      <c r="M1046"/>
      <c r="N1046"/>
      <c r="O1046"/>
    </row>
    <row r="1047" spans="1:15">
      <c r="A1047" s="7" t="s">
        <v>2018</v>
      </c>
      <c r="B1047" s="7" t="s">
        <v>1496</v>
      </c>
      <c r="C1047" s="7" t="s">
        <v>2019</v>
      </c>
      <c r="E1047" s="7" t="s">
        <v>1501</v>
      </c>
      <c r="F1047" s="7">
        <v>271000</v>
      </c>
      <c r="G1047" s="7">
        <v>27</v>
      </c>
      <c r="H1047" s="7">
        <v>10</v>
      </c>
      <c r="I1047" s="7">
        <v>0</v>
      </c>
      <c r="K1047"/>
      <c r="L1047"/>
      <c r="M1047"/>
      <c r="N1047"/>
      <c r="O1047"/>
    </row>
    <row r="1048" spans="1:15">
      <c r="A1048" s="7" t="s">
        <v>2018</v>
      </c>
      <c r="B1048" s="7" t="s">
        <v>1496</v>
      </c>
      <c r="C1048" s="7" t="s">
        <v>2019</v>
      </c>
      <c r="E1048" s="7" t="s">
        <v>1790</v>
      </c>
      <c r="F1048" s="7">
        <v>271100</v>
      </c>
      <c r="G1048" s="7">
        <v>27</v>
      </c>
      <c r="H1048" s="7">
        <v>11</v>
      </c>
      <c r="I1048" s="7">
        <v>0</v>
      </c>
      <c r="K1048"/>
      <c r="L1048"/>
      <c r="M1048"/>
      <c r="N1048"/>
      <c r="O1048"/>
    </row>
    <row r="1049" spans="1:15">
      <c r="A1049" s="7" t="s">
        <v>2018</v>
      </c>
      <c r="B1049" s="7" t="s">
        <v>1496</v>
      </c>
      <c r="C1049" s="7" t="s">
        <v>2019</v>
      </c>
      <c r="D1049" s="7" t="s">
        <v>2031</v>
      </c>
      <c r="E1049" s="7" t="s">
        <v>1593</v>
      </c>
      <c r="F1049" s="7">
        <v>300000</v>
      </c>
      <c r="G1049" s="7">
        <v>30</v>
      </c>
      <c r="H1049" s="7">
        <v>0</v>
      </c>
      <c r="I1049" s="7">
        <v>0</v>
      </c>
      <c r="K1049"/>
      <c r="L1049"/>
      <c r="M1049"/>
      <c r="N1049"/>
      <c r="O1049"/>
    </row>
    <row r="1050" spans="1:15">
      <c r="A1050" s="7" t="s">
        <v>2018</v>
      </c>
      <c r="B1050" s="7" t="s">
        <v>1496</v>
      </c>
      <c r="C1050" s="7" t="s">
        <v>2019</v>
      </c>
      <c r="E1050" s="7" t="s">
        <v>1595</v>
      </c>
      <c r="F1050" s="7">
        <v>301000</v>
      </c>
      <c r="G1050" s="7">
        <v>30</v>
      </c>
      <c r="H1050" s="7">
        <v>10</v>
      </c>
      <c r="I1050" s="7">
        <v>0</v>
      </c>
      <c r="K1050"/>
      <c r="L1050"/>
      <c r="M1050"/>
      <c r="N1050"/>
      <c r="O1050"/>
    </row>
    <row r="1051" spans="1:15">
      <c r="A1051" s="7" t="s">
        <v>2018</v>
      </c>
      <c r="B1051" s="7" t="s">
        <v>1496</v>
      </c>
      <c r="C1051" s="7" t="s">
        <v>2019</v>
      </c>
      <c r="E1051" s="7" t="s">
        <v>1802</v>
      </c>
      <c r="F1051" s="7">
        <v>301100</v>
      </c>
      <c r="G1051" s="7">
        <v>30</v>
      </c>
      <c r="H1051" s="7">
        <v>11</v>
      </c>
      <c r="I1051" s="7">
        <v>0</v>
      </c>
      <c r="K1051"/>
      <c r="L1051"/>
      <c r="M1051"/>
      <c r="N1051"/>
      <c r="O1051"/>
    </row>
    <row r="1052" spans="1:15">
      <c r="A1052" s="7" t="s">
        <v>2018</v>
      </c>
      <c r="B1052" s="7" t="s">
        <v>1496</v>
      </c>
      <c r="C1052" s="7" t="s">
        <v>2019</v>
      </c>
      <c r="D1052" s="7" t="s">
        <v>2032</v>
      </c>
      <c r="E1052" s="7" t="s">
        <v>1645</v>
      </c>
      <c r="F1052" s="7">
        <v>780000</v>
      </c>
      <c r="G1052" s="7">
        <v>78</v>
      </c>
      <c r="H1052" s="7">
        <v>0</v>
      </c>
      <c r="I1052" s="7">
        <v>0</v>
      </c>
      <c r="K1052"/>
      <c r="L1052"/>
      <c r="M1052"/>
      <c r="N1052"/>
      <c r="O1052"/>
    </row>
    <row r="1053" spans="1:15">
      <c r="A1053" s="7" t="s">
        <v>2018</v>
      </c>
      <c r="B1053" s="7" t="s">
        <v>1496</v>
      </c>
      <c r="C1053" s="7" t="s">
        <v>2019</v>
      </c>
      <c r="E1053" s="7" t="s">
        <v>1501</v>
      </c>
      <c r="F1053" s="7">
        <v>781000</v>
      </c>
      <c r="G1053" s="7">
        <v>78</v>
      </c>
      <c r="H1053" s="7">
        <v>10</v>
      </c>
      <c r="I1053" s="7">
        <v>0</v>
      </c>
      <c r="K1053"/>
      <c r="L1053"/>
      <c r="M1053"/>
      <c r="N1053"/>
      <c r="O1053"/>
    </row>
    <row r="1054" spans="1:15">
      <c r="A1054" s="7" t="s">
        <v>2018</v>
      </c>
      <c r="B1054" s="7" t="s">
        <v>1496</v>
      </c>
      <c r="C1054" s="7" t="s">
        <v>2019</v>
      </c>
      <c r="D1054" s="7" t="s">
        <v>2033</v>
      </c>
      <c r="E1054" s="7" t="s">
        <v>1523</v>
      </c>
      <c r="F1054" s="7">
        <v>790000</v>
      </c>
      <c r="G1054" s="7">
        <v>79</v>
      </c>
      <c r="H1054" s="7">
        <v>0</v>
      </c>
      <c r="I1054" s="7">
        <v>0</v>
      </c>
      <c r="K1054"/>
      <c r="L1054"/>
      <c r="M1054"/>
      <c r="N1054"/>
      <c r="O1054"/>
    </row>
    <row r="1055" spans="1:15">
      <c r="A1055" s="7" t="s">
        <v>2018</v>
      </c>
      <c r="B1055" s="7" t="s">
        <v>1496</v>
      </c>
      <c r="C1055" s="7" t="s">
        <v>2019</v>
      </c>
      <c r="E1055" s="7" t="s">
        <v>504</v>
      </c>
      <c r="F1055" s="7">
        <v>909000</v>
      </c>
      <c r="G1055" s="7">
        <v>90</v>
      </c>
      <c r="H1055" s="7">
        <v>90</v>
      </c>
      <c r="I1055" s="7">
        <v>0</v>
      </c>
      <c r="K1055"/>
      <c r="L1055"/>
      <c r="M1055"/>
      <c r="N1055"/>
      <c r="O1055"/>
    </row>
    <row r="1056" spans="1:15">
      <c r="A1056" s="7" t="s">
        <v>2034</v>
      </c>
      <c r="B1056" s="7" t="s">
        <v>1496</v>
      </c>
      <c r="C1056" s="7" t="s">
        <v>2035</v>
      </c>
      <c r="D1056" s="7" t="s">
        <v>2036</v>
      </c>
      <c r="E1056" s="7" t="s">
        <v>1503</v>
      </c>
      <c r="F1056" s="7">
        <v>100000</v>
      </c>
      <c r="G1056" s="7">
        <v>10</v>
      </c>
      <c r="H1056" s="7">
        <v>0</v>
      </c>
      <c r="I1056" s="7">
        <v>0</v>
      </c>
      <c r="K1056"/>
      <c r="L1056"/>
      <c r="M1056"/>
      <c r="N1056"/>
      <c r="O1056"/>
    </row>
    <row r="1057" spans="1:15">
      <c r="A1057" s="7" t="s">
        <v>2034</v>
      </c>
      <c r="B1057" s="7" t="s">
        <v>1496</v>
      </c>
      <c r="C1057" s="7" t="s">
        <v>2035</v>
      </c>
      <c r="E1057" s="7" t="s">
        <v>1501</v>
      </c>
      <c r="F1057" s="7">
        <v>101000</v>
      </c>
      <c r="G1057" s="7">
        <v>10</v>
      </c>
      <c r="H1057" s="7">
        <v>10</v>
      </c>
      <c r="I1057" s="7">
        <v>0</v>
      </c>
      <c r="K1057"/>
      <c r="L1057"/>
      <c r="M1057"/>
      <c r="N1057"/>
      <c r="O1057"/>
    </row>
    <row r="1058" spans="1:15">
      <c r="A1058" s="7" t="s">
        <v>2034</v>
      </c>
      <c r="B1058" s="7" t="s">
        <v>1496</v>
      </c>
      <c r="C1058" s="7" t="s">
        <v>2035</v>
      </c>
      <c r="D1058" s="7" t="s">
        <v>2037</v>
      </c>
      <c r="E1058" s="7" t="s">
        <v>145</v>
      </c>
      <c r="F1058" s="7">
        <v>140000</v>
      </c>
      <c r="G1058" s="7">
        <v>14</v>
      </c>
      <c r="H1058" s="7">
        <v>0</v>
      </c>
      <c r="I1058" s="7">
        <v>0</v>
      </c>
      <c r="K1058"/>
      <c r="L1058"/>
      <c r="M1058"/>
      <c r="N1058"/>
      <c r="O1058"/>
    </row>
    <row r="1059" spans="1:15">
      <c r="A1059" s="7" t="s">
        <v>2034</v>
      </c>
      <c r="B1059" s="7" t="s">
        <v>1496</v>
      </c>
      <c r="C1059" s="7" t="s">
        <v>2035</v>
      </c>
      <c r="E1059" s="7" t="s">
        <v>1552</v>
      </c>
      <c r="F1059" s="7">
        <v>141600</v>
      </c>
      <c r="G1059" s="7">
        <v>14</v>
      </c>
      <c r="H1059" s="7">
        <v>16</v>
      </c>
      <c r="I1059" s="7">
        <v>0</v>
      </c>
      <c r="K1059"/>
      <c r="L1059"/>
      <c r="M1059"/>
      <c r="N1059"/>
      <c r="O1059"/>
    </row>
    <row r="1060" spans="1:15">
      <c r="A1060" s="7" t="s">
        <v>2034</v>
      </c>
      <c r="B1060" s="7" t="s">
        <v>1496</v>
      </c>
      <c r="C1060" s="7" t="s">
        <v>2035</v>
      </c>
      <c r="E1060" s="7" t="s">
        <v>1516</v>
      </c>
      <c r="F1060" s="7">
        <v>141800</v>
      </c>
      <c r="G1060" s="7">
        <v>14</v>
      </c>
      <c r="H1060" s="7">
        <v>18</v>
      </c>
      <c r="I1060" s="7">
        <v>0</v>
      </c>
      <c r="K1060"/>
      <c r="L1060"/>
      <c r="M1060"/>
      <c r="N1060"/>
      <c r="O1060"/>
    </row>
    <row r="1061" spans="1:15">
      <c r="A1061" s="7" t="s">
        <v>2034</v>
      </c>
      <c r="B1061" s="7" t="s">
        <v>1496</v>
      </c>
      <c r="C1061" s="7" t="s">
        <v>2035</v>
      </c>
      <c r="E1061" s="7" t="s">
        <v>1554</v>
      </c>
      <c r="F1061" s="7">
        <v>142200</v>
      </c>
      <c r="G1061" s="7">
        <v>14</v>
      </c>
      <c r="H1061" s="7">
        <v>22</v>
      </c>
      <c r="I1061" s="7">
        <v>0</v>
      </c>
      <c r="K1061"/>
      <c r="L1061"/>
      <c r="M1061"/>
      <c r="N1061"/>
      <c r="O1061"/>
    </row>
    <row r="1062" spans="1:15">
      <c r="A1062" s="7" t="s">
        <v>2034</v>
      </c>
      <c r="B1062" s="7" t="s">
        <v>1496</v>
      </c>
      <c r="C1062" s="7" t="s">
        <v>2035</v>
      </c>
      <c r="E1062" s="7" t="s">
        <v>1557</v>
      </c>
      <c r="F1062" s="7">
        <v>142300</v>
      </c>
      <c r="G1062" s="7">
        <v>14</v>
      </c>
      <c r="H1062" s="7">
        <v>23</v>
      </c>
      <c r="I1062" s="7">
        <v>0</v>
      </c>
      <c r="K1062"/>
      <c r="L1062"/>
      <c r="M1062"/>
      <c r="N1062"/>
      <c r="O1062"/>
    </row>
    <row r="1063" spans="1:15">
      <c r="A1063" s="7" t="s">
        <v>2034</v>
      </c>
      <c r="B1063" s="7" t="s">
        <v>1496</v>
      </c>
      <c r="C1063" s="7" t="s">
        <v>2035</v>
      </c>
      <c r="D1063" s="7" t="s">
        <v>2038</v>
      </c>
      <c r="E1063" s="7" t="s">
        <v>1527</v>
      </c>
      <c r="F1063" s="7">
        <v>190000</v>
      </c>
      <c r="G1063" s="7">
        <v>19</v>
      </c>
      <c r="H1063" s="7">
        <v>0</v>
      </c>
      <c r="I1063" s="7">
        <v>0</v>
      </c>
      <c r="K1063"/>
      <c r="L1063"/>
      <c r="M1063"/>
      <c r="N1063"/>
      <c r="O1063"/>
    </row>
    <row r="1064" spans="1:15">
      <c r="A1064" s="7" t="s">
        <v>2034</v>
      </c>
      <c r="B1064" s="7" t="s">
        <v>1496</v>
      </c>
      <c r="C1064" s="7" t="s">
        <v>2035</v>
      </c>
      <c r="E1064" s="7" t="s">
        <v>1618</v>
      </c>
      <c r="F1064" s="7">
        <v>191000</v>
      </c>
      <c r="G1064" s="7">
        <v>19</v>
      </c>
      <c r="H1064" s="7">
        <v>10</v>
      </c>
      <c r="I1064" s="7">
        <v>0</v>
      </c>
      <c r="K1064"/>
      <c r="L1064"/>
      <c r="M1064"/>
      <c r="N1064"/>
      <c r="O1064"/>
    </row>
    <row r="1065" spans="1:15">
      <c r="A1065" s="7" t="s">
        <v>2034</v>
      </c>
      <c r="B1065" s="7" t="s">
        <v>1496</v>
      </c>
      <c r="C1065" s="7" t="s">
        <v>2035</v>
      </c>
      <c r="E1065" s="7" t="s">
        <v>1620</v>
      </c>
      <c r="F1065" s="7">
        <v>191100</v>
      </c>
      <c r="G1065" s="7">
        <v>19</v>
      </c>
      <c r="H1065" s="7">
        <v>11</v>
      </c>
      <c r="I1065" s="7">
        <v>0</v>
      </c>
      <c r="K1065"/>
      <c r="L1065"/>
      <c r="M1065"/>
      <c r="N1065"/>
      <c r="O1065"/>
    </row>
    <row r="1066" spans="1:15">
      <c r="A1066" s="7" t="s">
        <v>2034</v>
      </c>
      <c r="B1066" s="7" t="s">
        <v>1496</v>
      </c>
      <c r="C1066" s="7" t="s">
        <v>2035</v>
      </c>
      <c r="E1066" s="7" t="s">
        <v>1622</v>
      </c>
      <c r="F1066" s="7">
        <v>191200</v>
      </c>
      <c r="G1066" s="7">
        <v>19</v>
      </c>
      <c r="H1066" s="7">
        <v>12</v>
      </c>
      <c r="I1066" s="7">
        <v>0</v>
      </c>
      <c r="K1066"/>
      <c r="L1066"/>
      <c r="M1066"/>
      <c r="N1066"/>
      <c r="O1066"/>
    </row>
    <row r="1067" spans="1:15">
      <c r="A1067" s="7" t="s">
        <v>2034</v>
      </c>
      <c r="B1067" s="7" t="s">
        <v>1496</v>
      </c>
      <c r="C1067" s="7" t="s">
        <v>2035</v>
      </c>
      <c r="E1067" s="7" t="s">
        <v>1512</v>
      </c>
      <c r="F1067" s="7">
        <v>191300</v>
      </c>
      <c r="G1067" s="7">
        <v>19</v>
      </c>
      <c r="H1067" s="7">
        <v>13</v>
      </c>
      <c r="I1067" s="7">
        <v>0</v>
      </c>
      <c r="K1067"/>
      <c r="L1067"/>
      <c r="M1067"/>
      <c r="N1067"/>
      <c r="O1067"/>
    </row>
    <row r="1068" spans="1:15">
      <c r="A1068" s="7" t="s">
        <v>2034</v>
      </c>
      <c r="B1068" s="7" t="s">
        <v>1496</v>
      </c>
      <c r="C1068" s="7" t="s">
        <v>2035</v>
      </c>
      <c r="E1068" s="7" t="s">
        <v>1625</v>
      </c>
      <c r="F1068" s="7">
        <v>191400</v>
      </c>
      <c r="G1068" s="7">
        <v>19</v>
      </c>
      <c r="H1068" s="7">
        <v>14</v>
      </c>
      <c r="I1068" s="7">
        <v>0</v>
      </c>
      <c r="K1068"/>
      <c r="L1068"/>
      <c r="M1068"/>
      <c r="N1068"/>
      <c r="O1068"/>
    </row>
    <row r="1069" spans="1:15">
      <c r="A1069" s="7" t="s">
        <v>2034</v>
      </c>
      <c r="B1069" s="7" t="s">
        <v>1496</v>
      </c>
      <c r="C1069" s="7" t="s">
        <v>2035</v>
      </c>
      <c r="E1069" s="7" t="s">
        <v>1552</v>
      </c>
      <c r="F1069" s="7">
        <v>191600</v>
      </c>
      <c r="G1069" s="7">
        <v>19</v>
      </c>
      <c r="H1069" s="7">
        <v>16</v>
      </c>
      <c r="I1069" s="7">
        <v>0</v>
      </c>
      <c r="K1069"/>
      <c r="L1069"/>
      <c r="M1069"/>
      <c r="N1069"/>
      <c r="O1069"/>
    </row>
    <row r="1070" spans="1:15">
      <c r="A1070" s="7" t="s">
        <v>2034</v>
      </c>
      <c r="B1070" s="7" t="s">
        <v>1496</v>
      </c>
      <c r="C1070" s="7" t="s">
        <v>2035</v>
      </c>
      <c r="E1070" s="7" t="s">
        <v>1626</v>
      </c>
      <c r="F1070" s="7">
        <v>191800</v>
      </c>
      <c r="G1070" s="7">
        <v>19</v>
      </c>
      <c r="H1070" s="7">
        <v>18</v>
      </c>
      <c r="I1070" s="7">
        <v>0</v>
      </c>
      <c r="K1070"/>
      <c r="L1070"/>
      <c r="M1070"/>
      <c r="N1070"/>
      <c r="O1070"/>
    </row>
    <row r="1071" spans="1:15">
      <c r="A1071" s="7" t="s">
        <v>2034</v>
      </c>
      <c r="B1071" s="7" t="s">
        <v>1496</v>
      </c>
      <c r="C1071" s="7" t="s">
        <v>2035</v>
      </c>
      <c r="E1071" s="7" t="s">
        <v>1627</v>
      </c>
      <c r="F1071" s="7">
        <v>192100</v>
      </c>
      <c r="G1071" s="7">
        <v>19</v>
      </c>
      <c r="H1071" s="7">
        <v>21</v>
      </c>
      <c r="I1071" s="7">
        <v>0</v>
      </c>
      <c r="K1071"/>
      <c r="L1071"/>
      <c r="M1071"/>
      <c r="N1071"/>
      <c r="O1071"/>
    </row>
    <row r="1072" spans="1:15">
      <c r="A1072" s="7" t="s">
        <v>2034</v>
      </c>
      <c r="B1072" s="7" t="s">
        <v>1496</v>
      </c>
      <c r="C1072" s="7" t="s">
        <v>2035</v>
      </c>
      <c r="E1072" s="7" t="s">
        <v>1628</v>
      </c>
      <c r="F1072" s="7">
        <v>192200</v>
      </c>
      <c r="G1072" s="7">
        <v>19</v>
      </c>
      <c r="H1072" s="7">
        <v>22</v>
      </c>
      <c r="I1072" s="7">
        <v>0</v>
      </c>
      <c r="K1072"/>
      <c r="L1072"/>
      <c r="M1072"/>
      <c r="N1072"/>
      <c r="O1072"/>
    </row>
    <row r="1073" spans="1:15">
      <c r="A1073" s="7" t="s">
        <v>2034</v>
      </c>
      <c r="B1073" s="7" t="s">
        <v>1496</v>
      </c>
      <c r="C1073" s="7" t="s">
        <v>2035</v>
      </c>
      <c r="E1073" s="7" t="s">
        <v>1629</v>
      </c>
      <c r="F1073" s="7">
        <v>192300</v>
      </c>
      <c r="G1073" s="7">
        <v>19</v>
      </c>
      <c r="H1073" s="7">
        <v>23</v>
      </c>
      <c r="I1073" s="7">
        <v>0</v>
      </c>
      <c r="K1073"/>
      <c r="L1073"/>
      <c r="M1073"/>
      <c r="N1073"/>
      <c r="O1073"/>
    </row>
    <row r="1074" spans="1:15">
      <c r="A1074" s="7" t="s">
        <v>2034</v>
      </c>
      <c r="B1074" s="7" t="s">
        <v>1496</v>
      </c>
      <c r="C1074" s="7" t="s">
        <v>2035</v>
      </c>
      <c r="D1074" s="7" t="s">
        <v>2039</v>
      </c>
      <c r="E1074" s="7" t="s">
        <v>1519</v>
      </c>
      <c r="F1074" s="7">
        <v>200000</v>
      </c>
      <c r="G1074" s="7">
        <v>20</v>
      </c>
      <c r="H1074" s="7">
        <v>0</v>
      </c>
      <c r="I1074" s="7">
        <v>0</v>
      </c>
      <c r="K1074"/>
      <c r="L1074"/>
      <c r="M1074"/>
      <c r="N1074"/>
      <c r="O1074"/>
    </row>
    <row r="1075" spans="1:15">
      <c r="A1075" s="7" t="s">
        <v>2034</v>
      </c>
      <c r="B1075" s="7" t="s">
        <v>1496</v>
      </c>
      <c r="C1075" s="7" t="s">
        <v>2035</v>
      </c>
      <c r="E1075" s="7" t="s">
        <v>1501</v>
      </c>
      <c r="F1075" s="7">
        <v>201000</v>
      </c>
      <c r="G1075" s="7">
        <v>20</v>
      </c>
      <c r="H1075" s="7">
        <v>10</v>
      </c>
      <c r="I1075" s="7">
        <v>0</v>
      </c>
      <c r="K1075"/>
      <c r="L1075"/>
      <c r="M1075"/>
      <c r="N1075"/>
      <c r="O1075"/>
    </row>
    <row r="1076" spans="1:15">
      <c r="A1076" s="7" t="s">
        <v>2034</v>
      </c>
      <c r="B1076" s="7" t="s">
        <v>1496</v>
      </c>
      <c r="C1076" s="7" t="s">
        <v>2035</v>
      </c>
      <c r="D1076" s="7" t="s">
        <v>2040</v>
      </c>
      <c r="E1076" s="7" t="s">
        <v>1516</v>
      </c>
      <c r="F1076" s="7">
        <v>210000</v>
      </c>
      <c r="G1076" s="7">
        <v>21</v>
      </c>
      <c r="H1076" s="7">
        <v>0</v>
      </c>
      <c r="I1076" s="7">
        <v>0</v>
      </c>
      <c r="K1076"/>
      <c r="L1076"/>
      <c r="M1076"/>
      <c r="N1076"/>
      <c r="O1076"/>
    </row>
    <row r="1077" spans="1:15">
      <c r="A1077" s="7" t="s">
        <v>2034</v>
      </c>
      <c r="B1077" s="7" t="s">
        <v>1496</v>
      </c>
      <c r="C1077" s="7" t="s">
        <v>2035</v>
      </c>
      <c r="E1077" s="7" t="s">
        <v>1635</v>
      </c>
      <c r="F1077" s="7">
        <v>211000</v>
      </c>
      <c r="G1077" s="7">
        <v>21</v>
      </c>
      <c r="H1077" s="7">
        <v>10</v>
      </c>
      <c r="I1077" s="7">
        <v>0</v>
      </c>
      <c r="K1077"/>
      <c r="L1077"/>
      <c r="M1077"/>
      <c r="N1077"/>
      <c r="O1077"/>
    </row>
    <row r="1078" spans="1:15">
      <c r="A1078" s="7" t="s">
        <v>2034</v>
      </c>
      <c r="B1078" s="7" t="s">
        <v>1496</v>
      </c>
      <c r="C1078" s="7" t="s">
        <v>2035</v>
      </c>
      <c r="E1078" s="7" t="s">
        <v>145</v>
      </c>
      <c r="F1078" s="7">
        <v>211100</v>
      </c>
      <c r="G1078" s="7">
        <v>21</v>
      </c>
      <c r="H1078" s="7">
        <v>11</v>
      </c>
      <c r="I1078" s="7">
        <v>0</v>
      </c>
      <c r="K1078"/>
      <c r="L1078"/>
      <c r="M1078"/>
      <c r="N1078"/>
      <c r="O1078"/>
    </row>
    <row r="1079" spans="1:15">
      <c r="A1079" s="7" t="s">
        <v>2034</v>
      </c>
      <c r="B1079" s="7" t="s">
        <v>1496</v>
      </c>
      <c r="C1079" s="7" t="s">
        <v>2035</v>
      </c>
      <c r="E1079" s="7" t="s">
        <v>1554</v>
      </c>
      <c r="F1079" s="7">
        <v>211300</v>
      </c>
      <c r="G1079" s="7">
        <v>21</v>
      </c>
      <c r="H1079" s="7">
        <v>13</v>
      </c>
      <c r="I1079" s="7">
        <v>0</v>
      </c>
      <c r="K1079"/>
      <c r="L1079"/>
      <c r="M1079"/>
      <c r="N1079"/>
      <c r="O1079"/>
    </row>
    <row r="1080" spans="1:15">
      <c r="A1080" s="7" t="s">
        <v>2034</v>
      </c>
      <c r="B1080" s="7" t="s">
        <v>1496</v>
      </c>
      <c r="C1080" s="7" t="s">
        <v>2035</v>
      </c>
      <c r="E1080" s="7" t="s">
        <v>1557</v>
      </c>
      <c r="F1080" s="7">
        <v>211400</v>
      </c>
      <c r="G1080" s="7">
        <v>21</v>
      </c>
      <c r="H1080" s="7">
        <v>14</v>
      </c>
      <c r="I1080" s="7">
        <v>0</v>
      </c>
      <c r="K1080"/>
      <c r="L1080"/>
      <c r="M1080"/>
      <c r="N1080"/>
      <c r="O1080"/>
    </row>
    <row r="1081" spans="1:15">
      <c r="A1081" s="7" t="s">
        <v>2034</v>
      </c>
      <c r="B1081" s="7" t="s">
        <v>1496</v>
      </c>
      <c r="C1081" s="7" t="s">
        <v>2035</v>
      </c>
      <c r="E1081" s="7" t="s">
        <v>1626</v>
      </c>
      <c r="F1081" s="7">
        <v>211500</v>
      </c>
      <c r="G1081" s="7">
        <v>21</v>
      </c>
      <c r="H1081" s="7">
        <v>15</v>
      </c>
      <c r="I1081" s="7">
        <v>0</v>
      </c>
      <c r="K1081"/>
      <c r="L1081"/>
      <c r="M1081"/>
      <c r="N1081"/>
      <c r="O1081"/>
    </row>
    <row r="1082" spans="1:15">
      <c r="A1082" s="7" t="s">
        <v>2034</v>
      </c>
      <c r="B1082" s="7" t="s">
        <v>1496</v>
      </c>
      <c r="C1082" s="7" t="s">
        <v>2035</v>
      </c>
      <c r="E1082" s="7" t="s">
        <v>1629</v>
      </c>
      <c r="F1082" s="7">
        <v>211600</v>
      </c>
      <c r="G1082" s="7">
        <v>21</v>
      </c>
      <c r="H1082" s="7">
        <v>16</v>
      </c>
      <c r="I1082" s="7">
        <v>0</v>
      </c>
      <c r="K1082"/>
      <c r="L1082"/>
      <c r="M1082"/>
      <c r="N1082"/>
      <c r="O1082"/>
    </row>
    <row r="1083" spans="1:15">
      <c r="A1083" s="7" t="s">
        <v>2034</v>
      </c>
      <c r="B1083" s="7" t="s">
        <v>1496</v>
      </c>
      <c r="C1083" s="7" t="s">
        <v>2035</v>
      </c>
      <c r="D1083" s="7" t="s">
        <v>2041</v>
      </c>
      <c r="E1083" s="7" t="s">
        <v>1642</v>
      </c>
      <c r="F1083" s="7">
        <v>220000</v>
      </c>
      <c r="G1083" s="7">
        <v>22</v>
      </c>
      <c r="H1083" s="7">
        <v>0</v>
      </c>
      <c r="I1083" s="7">
        <v>0</v>
      </c>
      <c r="K1083"/>
      <c r="L1083"/>
      <c r="M1083"/>
      <c r="N1083"/>
      <c r="O1083"/>
    </row>
    <row r="1084" spans="1:15">
      <c r="A1084" s="7" t="s">
        <v>2034</v>
      </c>
      <c r="B1084" s="7" t="s">
        <v>1496</v>
      </c>
      <c r="C1084" s="7" t="s">
        <v>2035</v>
      </c>
      <c r="E1084" s="7" t="s">
        <v>1552</v>
      </c>
      <c r="F1084" s="7">
        <v>221000</v>
      </c>
      <c r="G1084" s="7">
        <v>22</v>
      </c>
      <c r="H1084" s="7">
        <v>10</v>
      </c>
      <c r="I1084" s="7">
        <v>0</v>
      </c>
      <c r="K1084"/>
      <c r="L1084"/>
      <c r="M1084"/>
      <c r="N1084"/>
      <c r="O1084"/>
    </row>
    <row r="1085" spans="1:15">
      <c r="A1085" s="7" t="s">
        <v>2034</v>
      </c>
      <c r="B1085" s="7" t="s">
        <v>1496</v>
      </c>
      <c r="C1085" s="7" t="s">
        <v>2035</v>
      </c>
      <c r="E1085" s="7" t="s">
        <v>1626</v>
      </c>
      <c r="F1085" s="7">
        <v>221100</v>
      </c>
      <c r="G1085" s="7">
        <v>22</v>
      </c>
      <c r="H1085" s="7">
        <v>11</v>
      </c>
      <c r="I1085" s="7">
        <v>0</v>
      </c>
      <c r="K1085"/>
      <c r="L1085"/>
      <c r="M1085"/>
      <c r="N1085"/>
      <c r="O1085"/>
    </row>
    <row r="1086" spans="1:15">
      <c r="A1086" s="7" t="s">
        <v>2034</v>
      </c>
      <c r="B1086" s="7" t="s">
        <v>1496</v>
      </c>
      <c r="C1086" s="7" t="s">
        <v>2035</v>
      </c>
      <c r="E1086" s="7" t="s">
        <v>1629</v>
      </c>
      <c r="F1086" s="7">
        <v>221200</v>
      </c>
      <c r="G1086" s="7">
        <v>22</v>
      </c>
      <c r="H1086" s="7">
        <v>12</v>
      </c>
      <c r="I1086" s="7">
        <v>0</v>
      </c>
      <c r="K1086"/>
      <c r="L1086"/>
      <c r="M1086"/>
      <c r="N1086"/>
      <c r="O1086"/>
    </row>
    <row r="1087" spans="1:15">
      <c r="A1087" s="7" t="s">
        <v>2034</v>
      </c>
      <c r="B1087" s="7" t="s">
        <v>1496</v>
      </c>
      <c r="C1087" s="7" t="s">
        <v>2035</v>
      </c>
      <c r="E1087" s="7" t="s">
        <v>1557</v>
      </c>
      <c r="F1087" s="7">
        <v>221300</v>
      </c>
      <c r="G1087" s="7">
        <v>22</v>
      </c>
      <c r="H1087" s="7">
        <v>13</v>
      </c>
      <c r="I1087" s="7">
        <v>0</v>
      </c>
      <c r="K1087"/>
      <c r="L1087"/>
      <c r="M1087"/>
      <c r="N1087"/>
      <c r="O1087"/>
    </row>
    <row r="1088" spans="1:15">
      <c r="A1088" s="7" t="s">
        <v>2034</v>
      </c>
      <c r="B1088" s="7" t="s">
        <v>1496</v>
      </c>
      <c r="C1088" s="7" t="s">
        <v>2035</v>
      </c>
      <c r="E1088" s="7" t="s">
        <v>1643</v>
      </c>
      <c r="F1088" s="7">
        <v>221400</v>
      </c>
      <c r="G1088" s="7">
        <v>22</v>
      </c>
      <c r="H1088" s="7">
        <v>14</v>
      </c>
      <c r="I1088" s="7">
        <v>0</v>
      </c>
      <c r="K1088"/>
      <c r="L1088"/>
      <c r="M1088"/>
      <c r="N1088"/>
      <c r="O1088"/>
    </row>
    <row r="1089" spans="1:15">
      <c r="A1089" s="7" t="s">
        <v>2034</v>
      </c>
      <c r="B1089" s="7" t="s">
        <v>1496</v>
      </c>
      <c r="C1089" s="7" t="s">
        <v>2035</v>
      </c>
      <c r="D1089" s="7" t="s">
        <v>2042</v>
      </c>
      <c r="E1089" s="7" t="s">
        <v>1645</v>
      </c>
      <c r="F1089" s="7">
        <v>780000</v>
      </c>
      <c r="G1089" s="7">
        <v>78</v>
      </c>
      <c r="H1089" s="7">
        <v>0</v>
      </c>
      <c r="I1089" s="7">
        <v>0</v>
      </c>
      <c r="K1089"/>
      <c r="L1089"/>
      <c r="M1089"/>
      <c r="N1089"/>
      <c r="O1089"/>
    </row>
    <row r="1090" spans="1:15">
      <c r="A1090" s="7" t="s">
        <v>2034</v>
      </c>
      <c r="B1090" s="7" t="s">
        <v>1496</v>
      </c>
      <c r="C1090" s="7" t="s">
        <v>2035</v>
      </c>
      <c r="E1090" s="7" t="s">
        <v>1501</v>
      </c>
      <c r="F1090" s="7">
        <v>781000</v>
      </c>
      <c r="G1090" s="7">
        <v>78</v>
      </c>
      <c r="H1090" s="7">
        <v>10</v>
      </c>
      <c r="I1090" s="7">
        <v>0</v>
      </c>
      <c r="K1090"/>
      <c r="L1090"/>
      <c r="M1090"/>
      <c r="N1090"/>
      <c r="O1090"/>
    </row>
    <row r="1091" spans="1:15">
      <c r="A1091" s="7" t="s">
        <v>2034</v>
      </c>
      <c r="B1091" s="7" t="s">
        <v>1496</v>
      </c>
      <c r="C1091" s="7" t="s">
        <v>2035</v>
      </c>
      <c r="D1091" s="7" t="s">
        <v>2043</v>
      </c>
      <c r="E1091" s="7" t="s">
        <v>1523</v>
      </c>
      <c r="F1091" s="7">
        <v>790000</v>
      </c>
      <c r="G1091" s="7">
        <v>79</v>
      </c>
      <c r="H1091" s="7">
        <v>0</v>
      </c>
      <c r="I1091" s="7">
        <v>0</v>
      </c>
      <c r="K1091"/>
      <c r="L1091"/>
      <c r="M1091"/>
      <c r="N1091"/>
      <c r="O1091"/>
    </row>
  </sheetData>
  <autoFilter ref="A1:I1091" xr:uid="{00000000-0009-0000-0000-000005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C511"/>
  <sheetViews>
    <sheetView workbookViewId="0"/>
  </sheetViews>
  <sheetFormatPr baseColWidth="10" defaultColWidth="9.3984375" defaultRowHeight="15"/>
  <cols>
    <col min="1" max="1" width="16" style="29" customWidth="1"/>
    <col min="2" max="2" width="79.3984375" style="29" customWidth="1"/>
    <col min="3" max="16384" width="9.3984375" style="29"/>
  </cols>
  <sheetData>
    <row r="1" spans="1:3">
      <c r="A1" s="28" t="s">
        <v>532</v>
      </c>
    </row>
    <row r="2" spans="1:3">
      <c r="A2" s="30" t="s">
        <v>537</v>
      </c>
      <c r="B2" s="30"/>
      <c r="C2" s="30"/>
    </row>
    <row r="3" spans="1:3">
      <c r="A3" s="281">
        <v>13100</v>
      </c>
      <c r="B3" s="278" t="s">
        <v>542</v>
      </c>
    </row>
    <row r="4" spans="1:3">
      <c r="A4" s="281">
        <v>13300</v>
      </c>
      <c r="B4" s="278" t="s">
        <v>547</v>
      </c>
    </row>
    <row r="5" spans="1:3">
      <c r="A5" s="281">
        <v>13500</v>
      </c>
      <c r="B5" s="278" t="s">
        <v>552</v>
      </c>
    </row>
    <row r="6" spans="1:3">
      <c r="A6" s="38">
        <v>13501</v>
      </c>
      <c r="B6" s="39" t="s">
        <v>555</v>
      </c>
    </row>
    <row r="7" spans="1:3">
      <c r="A7" s="38">
        <v>14100</v>
      </c>
      <c r="B7" s="39" t="s">
        <v>559</v>
      </c>
    </row>
    <row r="8" spans="1:3">
      <c r="A8" s="281">
        <v>15000</v>
      </c>
      <c r="B8" s="278" t="s">
        <v>564</v>
      </c>
    </row>
    <row r="9" spans="1:3">
      <c r="A9" s="281">
        <v>15001</v>
      </c>
      <c r="B9" s="278" t="s">
        <v>569</v>
      </c>
    </row>
    <row r="10" spans="1:3">
      <c r="A10" s="38">
        <v>15002</v>
      </c>
      <c r="B10" s="39" t="s">
        <v>572</v>
      </c>
    </row>
    <row r="11" spans="1:3">
      <c r="A11" s="281">
        <v>15123</v>
      </c>
      <c r="B11" s="278" t="s">
        <v>577</v>
      </c>
    </row>
    <row r="12" spans="1:3">
      <c r="A12" s="281">
        <v>15323</v>
      </c>
      <c r="B12" s="278" t="s">
        <v>581</v>
      </c>
    </row>
    <row r="13" spans="1:3">
      <c r="A13" s="281">
        <v>15400</v>
      </c>
      <c r="B13" s="278" t="s">
        <v>585</v>
      </c>
    </row>
    <row r="14" spans="1:3">
      <c r="A14" s="281">
        <v>15500</v>
      </c>
      <c r="B14" s="278" t="s">
        <v>589</v>
      </c>
    </row>
    <row r="15" spans="1:3">
      <c r="A15" s="281">
        <v>15600</v>
      </c>
      <c r="B15" s="278" t="s">
        <v>593</v>
      </c>
      <c r="C15" s="283"/>
    </row>
    <row r="16" spans="1:3">
      <c r="A16" s="281">
        <v>15713</v>
      </c>
      <c r="B16" s="278" t="s">
        <v>597</v>
      </c>
    </row>
    <row r="17" spans="1:3">
      <c r="A17" s="281">
        <v>16600</v>
      </c>
      <c r="B17" s="278" t="s">
        <v>601</v>
      </c>
    </row>
    <row r="18" spans="1:3">
      <c r="A18" s="281">
        <v>17329</v>
      </c>
      <c r="B18" s="278" t="s">
        <v>605</v>
      </c>
    </row>
    <row r="19" spans="1:3">
      <c r="A19" s="281">
        <v>17400</v>
      </c>
      <c r="B19" s="278" t="s">
        <v>609</v>
      </c>
    </row>
    <row r="20" spans="1:3">
      <c r="A20" s="281">
        <v>17419</v>
      </c>
      <c r="B20" s="278" t="s">
        <v>613</v>
      </c>
    </row>
    <row r="21" spans="1:3">
      <c r="A21" s="281">
        <v>19100</v>
      </c>
      <c r="B21" s="278" t="s">
        <v>615</v>
      </c>
    </row>
    <row r="22" spans="1:3">
      <c r="A22" s="28" t="s">
        <v>617</v>
      </c>
    </row>
    <row r="23" spans="1:3">
      <c r="A23" s="30" t="s">
        <v>619</v>
      </c>
      <c r="B23" s="30"/>
      <c r="C23" s="30"/>
    </row>
    <row r="24" spans="1:3">
      <c r="A24" s="31">
        <v>20500</v>
      </c>
      <c r="B24" s="29" t="s">
        <v>623</v>
      </c>
    </row>
    <row r="25" spans="1:3">
      <c r="A25" s="31">
        <v>24113</v>
      </c>
      <c r="B25" s="29" t="s">
        <v>627</v>
      </c>
    </row>
    <row r="26" spans="1:3">
      <c r="A26" s="31">
        <v>24119</v>
      </c>
      <c r="B26" s="29" t="s">
        <v>631</v>
      </c>
    </row>
    <row r="27" spans="1:3">
      <c r="A27" s="31">
        <v>25000</v>
      </c>
      <c r="B27" s="29" t="s">
        <v>634</v>
      </c>
    </row>
    <row r="28" spans="1:3">
      <c r="A28" s="31">
        <v>26100</v>
      </c>
      <c r="B28" s="29" t="s">
        <v>638</v>
      </c>
    </row>
    <row r="29" spans="1:3">
      <c r="A29" s="31">
        <v>26500</v>
      </c>
      <c r="B29" s="29" t="s">
        <v>642</v>
      </c>
    </row>
    <row r="30" spans="1:3">
      <c r="A30" s="31">
        <v>27100</v>
      </c>
      <c r="B30" s="29" t="s">
        <v>645</v>
      </c>
    </row>
    <row r="31" spans="1:3">
      <c r="A31" s="31">
        <v>28213</v>
      </c>
      <c r="B31" s="29" t="s">
        <v>648</v>
      </c>
    </row>
    <row r="32" spans="1:3">
      <c r="A32" s="31">
        <v>28216</v>
      </c>
      <c r="B32" s="29" t="s">
        <v>652</v>
      </c>
    </row>
    <row r="33" spans="1:3">
      <c r="A33" s="31">
        <v>28313</v>
      </c>
      <c r="B33" s="29" t="s">
        <v>656</v>
      </c>
    </row>
    <row r="34" spans="1:3">
      <c r="A34" s="31">
        <v>28319</v>
      </c>
      <c r="B34" s="29" t="s">
        <v>659</v>
      </c>
    </row>
    <row r="35" spans="1:3">
      <c r="A35" s="31">
        <v>28400</v>
      </c>
      <c r="B35" s="29" t="s">
        <v>663</v>
      </c>
    </row>
    <row r="36" spans="1:3">
      <c r="A36" s="30" t="s">
        <v>666</v>
      </c>
      <c r="B36" s="30"/>
      <c r="C36" s="30"/>
    </row>
    <row r="37" spans="1:3">
      <c r="A37" s="31">
        <v>30500</v>
      </c>
      <c r="B37" s="29" t="s">
        <v>668</v>
      </c>
    </row>
    <row r="38" spans="1:3">
      <c r="A38" s="31">
        <v>31100</v>
      </c>
      <c r="B38" s="29" t="s">
        <v>670</v>
      </c>
    </row>
    <row r="39" spans="1:3">
      <c r="A39" s="31">
        <v>31500</v>
      </c>
      <c r="B39" s="29" t="s">
        <v>673</v>
      </c>
    </row>
    <row r="40" spans="1:3">
      <c r="A40" s="31">
        <v>32000</v>
      </c>
      <c r="B40" s="29" t="s">
        <v>676</v>
      </c>
    </row>
    <row r="41" spans="1:3">
      <c r="A41" s="31">
        <v>33000</v>
      </c>
      <c r="B41" s="29" t="s">
        <v>679</v>
      </c>
    </row>
    <row r="42" spans="1:3">
      <c r="A42" s="31">
        <v>36000</v>
      </c>
      <c r="B42" s="29" t="s">
        <v>682</v>
      </c>
    </row>
    <row r="43" spans="1:3">
      <c r="A43" s="30" t="s">
        <v>683</v>
      </c>
      <c r="B43" s="30"/>
      <c r="C43" s="30"/>
    </row>
    <row r="44" spans="1:3">
      <c r="A44" s="31">
        <v>40500</v>
      </c>
      <c r="B44" s="29" t="s">
        <v>685</v>
      </c>
    </row>
    <row r="45" spans="1:3">
      <c r="A45" s="31">
        <v>40513</v>
      </c>
      <c r="B45" s="29" t="s">
        <v>687</v>
      </c>
    </row>
    <row r="46" spans="1:3">
      <c r="A46" s="31">
        <v>40523</v>
      </c>
      <c r="B46" s="29" t="s">
        <v>689</v>
      </c>
    </row>
    <row r="47" spans="1:3">
      <c r="A47" s="31">
        <v>42113</v>
      </c>
      <c r="B47" s="29" t="s">
        <v>691</v>
      </c>
    </row>
    <row r="48" spans="1:3">
      <c r="A48" s="31">
        <v>42200</v>
      </c>
      <c r="B48" s="29" t="s">
        <v>693</v>
      </c>
    </row>
    <row r="49" spans="1:3">
      <c r="A49" s="30" t="s">
        <v>694</v>
      </c>
      <c r="B49" s="30"/>
      <c r="C49" s="30"/>
    </row>
    <row r="50" spans="1:3">
      <c r="A50" s="31">
        <v>50500</v>
      </c>
      <c r="B50" s="29" t="s">
        <v>696</v>
      </c>
    </row>
    <row r="51" spans="1:3">
      <c r="A51" s="31">
        <v>50513</v>
      </c>
      <c r="B51" s="29" t="s">
        <v>698</v>
      </c>
    </row>
    <row r="52" spans="1:3">
      <c r="A52" s="31">
        <v>51200</v>
      </c>
      <c r="B52" s="29" t="s">
        <v>700</v>
      </c>
    </row>
    <row r="53" spans="1:3">
      <c r="A53" s="31">
        <v>51213</v>
      </c>
      <c r="B53" s="29" t="s">
        <v>702</v>
      </c>
    </row>
    <row r="54" spans="1:3">
      <c r="A54" s="31">
        <v>52100</v>
      </c>
      <c r="B54" s="29" t="s">
        <v>704</v>
      </c>
    </row>
    <row r="55" spans="1:3">
      <c r="A55" s="31">
        <v>53100</v>
      </c>
      <c r="B55" s="29" t="s">
        <v>707</v>
      </c>
    </row>
    <row r="56" spans="1:3">
      <c r="A56" s="31">
        <v>54000</v>
      </c>
      <c r="B56" s="29" t="s">
        <v>710</v>
      </c>
    </row>
    <row r="57" spans="1:3">
      <c r="A57" s="31">
        <v>55000</v>
      </c>
      <c r="B57" s="29" t="s">
        <v>713</v>
      </c>
    </row>
    <row r="58" spans="1:3">
      <c r="A58" s="31">
        <v>55200</v>
      </c>
      <c r="B58" s="29" t="s">
        <v>716</v>
      </c>
    </row>
    <row r="59" spans="1:3">
      <c r="A59" s="31">
        <v>57050</v>
      </c>
      <c r="B59" s="29" t="s">
        <v>719</v>
      </c>
    </row>
    <row r="60" spans="1:3">
      <c r="A60" s="31">
        <v>57300</v>
      </c>
      <c r="B60" s="29" t="s">
        <v>722</v>
      </c>
    </row>
    <row r="61" spans="1:3">
      <c r="A61" s="31">
        <v>57500</v>
      </c>
      <c r="B61" s="29" t="s">
        <v>725</v>
      </c>
    </row>
    <row r="62" spans="1:3">
      <c r="A62" s="30" t="s">
        <v>726</v>
      </c>
      <c r="B62" s="30"/>
      <c r="C62" s="30"/>
    </row>
    <row r="63" spans="1:3">
      <c r="A63" s="31">
        <v>60500</v>
      </c>
      <c r="B63" s="29" t="s">
        <v>728</v>
      </c>
    </row>
    <row r="64" spans="1:3">
      <c r="A64" s="31">
        <v>60100</v>
      </c>
      <c r="B64" s="29" t="s">
        <v>731</v>
      </c>
    </row>
    <row r="65" spans="1:3">
      <c r="A65" s="31">
        <v>61000</v>
      </c>
      <c r="B65" s="29" t="s">
        <v>733</v>
      </c>
    </row>
    <row r="66" spans="1:3">
      <c r="A66" s="31">
        <v>61100</v>
      </c>
      <c r="B66" s="29" t="s">
        <v>735</v>
      </c>
    </row>
    <row r="67" spans="1:3">
      <c r="A67" s="31">
        <v>61400</v>
      </c>
      <c r="B67" s="29" t="s">
        <v>737</v>
      </c>
    </row>
    <row r="68" spans="1:3">
      <c r="A68" s="31">
        <v>62000</v>
      </c>
      <c r="B68" s="29" t="s">
        <v>739</v>
      </c>
    </row>
    <row r="69" spans="1:3">
      <c r="A69" s="31">
        <v>64000</v>
      </c>
      <c r="B69" s="29" t="s">
        <v>741</v>
      </c>
    </row>
    <row r="70" spans="1:3">
      <c r="A70" s="31">
        <v>64100</v>
      </c>
      <c r="B70" s="29" t="s">
        <v>743</v>
      </c>
    </row>
    <row r="71" spans="1:3">
      <c r="A71" s="31">
        <v>64200</v>
      </c>
      <c r="B71" s="29" t="s">
        <v>746</v>
      </c>
    </row>
    <row r="72" spans="1:3">
      <c r="A72" s="31">
        <v>64600</v>
      </c>
      <c r="B72" s="29" t="s">
        <v>749</v>
      </c>
    </row>
    <row r="73" spans="1:3">
      <c r="A73" s="31">
        <v>65113</v>
      </c>
      <c r="B73" s="29" t="s">
        <v>752</v>
      </c>
    </row>
    <row r="74" spans="1:3">
      <c r="A74" s="31">
        <v>66000</v>
      </c>
      <c r="B74" s="29" t="s">
        <v>754</v>
      </c>
    </row>
    <row r="75" spans="1:3">
      <c r="A75" s="30" t="s">
        <v>755</v>
      </c>
      <c r="B75" s="30"/>
      <c r="C75" s="30"/>
    </row>
    <row r="76" spans="1:3">
      <c r="A76" s="31">
        <v>70500</v>
      </c>
      <c r="B76" s="29" t="s">
        <v>757</v>
      </c>
    </row>
    <row r="77" spans="1:3">
      <c r="A77" s="31">
        <v>70152</v>
      </c>
      <c r="B77" s="29" t="s">
        <v>759</v>
      </c>
    </row>
    <row r="78" spans="1:3">
      <c r="A78" s="31">
        <v>70153</v>
      </c>
      <c r="B78" s="29" t="s">
        <v>762</v>
      </c>
    </row>
    <row r="79" spans="1:3">
      <c r="A79" s="31">
        <v>71000</v>
      </c>
      <c r="B79" s="29" t="s">
        <v>763</v>
      </c>
    </row>
    <row r="80" spans="1:3">
      <c r="A80" s="31">
        <v>71100</v>
      </c>
      <c r="B80" s="283" t="s">
        <v>765</v>
      </c>
    </row>
    <row r="81" spans="1:2">
      <c r="A81" s="31">
        <v>71800</v>
      </c>
      <c r="B81" s="29" t="s">
        <v>768</v>
      </c>
    </row>
    <row r="82" spans="1:2">
      <c r="A82" s="31">
        <v>72100</v>
      </c>
      <c r="B82" s="29" t="s">
        <v>770</v>
      </c>
    </row>
    <row r="83" spans="1:2">
      <c r="A83" s="31">
        <v>72600</v>
      </c>
      <c r="B83" s="29" t="s">
        <v>772</v>
      </c>
    </row>
    <row r="84" spans="1:2">
      <c r="A84" s="31">
        <v>72700</v>
      </c>
      <c r="B84" s="29" t="s">
        <v>774</v>
      </c>
    </row>
    <row r="85" spans="1:2">
      <c r="A85" s="31">
        <v>74100</v>
      </c>
      <c r="B85" s="29" t="s">
        <v>776</v>
      </c>
    </row>
    <row r="86" spans="1:2">
      <c r="A86" s="31">
        <v>74200</v>
      </c>
      <c r="B86" s="29" t="s">
        <v>778</v>
      </c>
    </row>
    <row r="87" spans="1:2">
      <c r="A87" s="31">
        <v>75000</v>
      </c>
      <c r="B87" s="29" t="s">
        <v>780</v>
      </c>
    </row>
    <row r="88" spans="1:2">
      <c r="A88" s="31">
        <v>75100</v>
      </c>
      <c r="B88" s="29" t="s">
        <v>782</v>
      </c>
    </row>
    <row r="89" spans="1:2">
      <c r="A89" s="31">
        <v>75200</v>
      </c>
      <c r="B89" s="29" t="s">
        <v>784</v>
      </c>
    </row>
    <row r="90" spans="1:2">
      <c r="A90" s="31">
        <v>75300</v>
      </c>
      <c r="B90" s="29" t="s">
        <v>786</v>
      </c>
    </row>
    <row r="91" spans="1:2">
      <c r="A91" s="31">
        <v>76100</v>
      </c>
      <c r="B91" s="29" t="s">
        <v>788</v>
      </c>
    </row>
    <row r="92" spans="1:2">
      <c r="A92" s="31">
        <v>76200</v>
      </c>
      <c r="B92" s="29" t="s">
        <v>791</v>
      </c>
    </row>
    <row r="93" spans="1:2">
      <c r="A93" s="31">
        <v>77123</v>
      </c>
      <c r="B93" s="29" t="s">
        <v>794</v>
      </c>
    </row>
    <row r="94" spans="1:2">
      <c r="A94" s="31">
        <v>77200</v>
      </c>
      <c r="B94" s="29" t="s">
        <v>797</v>
      </c>
    </row>
    <row r="95" spans="1:2">
      <c r="A95" s="31">
        <v>78100</v>
      </c>
      <c r="B95" s="29" t="s">
        <v>800</v>
      </c>
    </row>
    <row r="96" spans="1:2">
      <c r="A96" s="31">
        <v>78400</v>
      </c>
      <c r="B96" s="283" t="s">
        <v>802</v>
      </c>
    </row>
    <row r="97" spans="1:3">
      <c r="A97" s="31">
        <v>79200</v>
      </c>
      <c r="B97" s="29" t="s">
        <v>805</v>
      </c>
    </row>
    <row r="98" spans="1:3">
      <c r="A98" s="31">
        <v>79500</v>
      </c>
      <c r="B98" s="29" t="s">
        <v>808</v>
      </c>
    </row>
    <row r="99" spans="1:3">
      <c r="A99" s="30" t="s">
        <v>809</v>
      </c>
      <c r="B99" s="30"/>
      <c r="C99" s="30"/>
    </row>
    <row r="100" spans="1:3">
      <c r="A100" s="31">
        <v>80500</v>
      </c>
      <c r="B100" s="29" t="s">
        <v>811</v>
      </c>
    </row>
    <row r="101" spans="1:3">
      <c r="A101" s="31">
        <v>80600</v>
      </c>
      <c r="B101" s="29" t="s">
        <v>814</v>
      </c>
    </row>
    <row r="102" spans="1:3">
      <c r="A102" s="31">
        <v>81100</v>
      </c>
      <c r="B102" s="29" t="s">
        <v>816</v>
      </c>
    </row>
    <row r="103" spans="1:3">
      <c r="A103" s="31">
        <v>81400</v>
      </c>
      <c r="B103" s="29" t="s">
        <v>818</v>
      </c>
    </row>
    <row r="104" spans="1:3">
      <c r="A104" s="31">
        <v>83100</v>
      </c>
      <c r="B104" s="29" t="s">
        <v>820</v>
      </c>
    </row>
    <row r="105" spans="1:3">
      <c r="A105" s="31">
        <v>83300</v>
      </c>
      <c r="B105" s="29" t="s">
        <v>823</v>
      </c>
    </row>
    <row r="106" spans="1:3">
      <c r="A106" s="31">
        <v>83600</v>
      </c>
      <c r="B106" s="29" t="s">
        <v>826</v>
      </c>
    </row>
    <row r="107" spans="1:3">
      <c r="A107" s="31">
        <v>84113</v>
      </c>
      <c r="B107" s="29" t="s">
        <v>828</v>
      </c>
    </row>
    <row r="108" spans="1:3">
      <c r="A108" s="31">
        <v>84126</v>
      </c>
      <c r="B108" s="29" t="s">
        <v>830</v>
      </c>
    </row>
    <row r="109" spans="1:3">
      <c r="A109" s="31">
        <v>84200</v>
      </c>
      <c r="B109" s="29" t="s">
        <v>832</v>
      </c>
    </row>
    <row r="110" spans="1:3">
      <c r="A110" s="31">
        <v>84400</v>
      </c>
      <c r="B110" s="29" t="s">
        <v>835</v>
      </c>
    </row>
    <row r="111" spans="1:3">
      <c r="A111" s="31">
        <v>85000</v>
      </c>
      <c r="B111" s="29" t="s">
        <v>836</v>
      </c>
    </row>
    <row r="112" spans="1:3">
      <c r="A112" s="31">
        <v>85100</v>
      </c>
      <c r="B112" s="29" t="s">
        <v>838</v>
      </c>
    </row>
    <row r="113" spans="1:3">
      <c r="A113" s="31">
        <v>85600</v>
      </c>
      <c r="B113" s="29" t="s">
        <v>841</v>
      </c>
    </row>
    <row r="114" spans="1:3">
      <c r="A114" s="31">
        <v>86000</v>
      </c>
      <c r="B114" s="29" t="s">
        <v>842</v>
      </c>
    </row>
    <row r="115" spans="1:3">
      <c r="A115" s="31">
        <v>87000</v>
      </c>
      <c r="B115" s="29" t="s">
        <v>844</v>
      </c>
    </row>
    <row r="116" spans="1:3">
      <c r="A116" s="31">
        <v>87100</v>
      </c>
      <c r="B116" s="29" t="s">
        <v>846</v>
      </c>
    </row>
    <row r="117" spans="1:3">
      <c r="A117" s="31">
        <v>88000</v>
      </c>
      <c r="B117" s="29" t="s">
        <v>847</v>
      </c>
    </row>
    <row r="118" spans="1:3">
      <c r="A118" s="31">
        <v>89000</v>
      </c>
      <c r="B118" s="29" t="s">
        <v>851</v>
      </c>
    </row>
    <row r="119" spans="1:3">
      <c r="A119" s="30" t="s">
        <v>852</v>
      </c>
      <c r="B119" s="30"/>
      <c r="C119" s="30"/>
    </row>
    <row r="120" spans="1:3">
      <c r="A120" s="31">
        <v>90500</v>
      </c>
      <c r="B120" s="29" t="s">
        <v>854</v>
      </c>
    </row>
    <row r="121" spans="1:3">
      <c r="A121" s="31">
        <v>90600</v>
      </c>
      <c r="B121" s="29" t="s">
        <v>856</v>
      </c>
    </row>
    <row r="122" spans="1:3">
      <c r="A122" s="31">
        <v>92100</v>
      </c>
      <c r="B122" s="29" t="s">
        <v>858</v>
      </c>
    </row>
    <row r="123" spans="1:3">
      <c r="A123" s="31">
        <v>92200</v>
      </c>
      <c r="B123" s="29" t="s">
        <v>860</v>
      </c>
    </row>
    <row r="124" spans="1:3">
      <c r="A124" s="31">
        <v>92216</v>
      </c>
      <c r="B124" s="29" t="s">
        <v>862</v>
      </c>
    </row>
    <row r="125" spans="1:3">
      <c r="A125" s="31">
        <v>92236</v>
      </c>
      <c r="B125" s="29" t="s">
        <v>864</v>
      </c>
    </row>
    <row r="126" spans="1:3">
      <c r="A126" s="31">
        <v>92600</v>
      </c>
      <c r="B126" s="29" t="s">
        <v>866</v>
      </c>
    </row>
    <row r="127" spans="1:3">
      <c r="A127" s="31">
        <v>92713</v>
      </c>
      <c r="B127" s="29" t="s">
        <v>868</v>
      </c>
    </row>
    <row r="128" spans="1:3">
      <c r="A128" s="31">
        <v>92900</v>
      </c>
      <c r="B128" s="29" t="s">
        <v>871</v>
      </c>
    </row>
    <row r="129" spans="1:2">
      <c r="A129" s="31">
        <v>93000</v>
      </c>
      <c r="B129" s="29" t="s">
        <v>872</v>
      </c>
    </row>
    <row r="130" spans="1:2">
      <c r="A130" s="31">
        <v>93013</v>
      </c>
      <c r="B130" s="29" t="s">
        <v>874</v>
      </c>
    </row>
    <row r="131" spans="1:2">
      <c r="A131" s="31">
        <v>93014</v>
      </c>
      <c r="B131" s="29" t="s">
        <v>876</v>
      </c>
    </row>
    <row r="132" spans="1:2">
      <c r="A132" s="31">
        <v>95100</v>
      </c>
      <c r="B132" s="29" t="s">
        <v>878</v>
      </c>
    </row>
    <row r="133" spans="1:2">
      <c r="A133" s="31">
        <v>95400</v>
      </c>
      <c r="B133" s="29" t="s">
        <v>881</v>
      </c>
    </row>
    <row r="134" spans="1:2">
      <c r="A134" s="31">
        <v>96100</v>
      </c>
      <c r="B134" s="29" t="s">
        <v>883</v>
      </c>
    </row>
    <row r="135" spans="1:2">
      <c r="A135" s="31">
        <v>96200</v>
      </c>
      <c r="B135" s="29" t="s">
        <v>885</v>
      </c>
    </row>
    <row r="136" spans="1:2">
      <c r="A136" s="31">
        <v>96300</v>
      </c>
      <c r="B136" s="29" t="s">
        <v>888</v>
      </c>
    </row>
    <row r="137" spans="1:2">
      <c r="A137" s="31">
        <v>96340</v>
      </c>
      <c r="B137" s="29" t="s">
        <v>890</v>
      </c>
    </row>
    <row r="138" spans="1:2">
      <c r="A138" s="31">
        <v>96400</v>
      </c>
      <c r="B138" s="29" t="s">
        <v>893</v>
      </c>
    </row>
    <row r="139" spans="1:2">
      <c r="A139" s="31">
        <v>96500</v>
      </c>
      <c r="B139" s="29" t="s">
        <v>895</v>
      </c>
    </row>
    <row r="140" spans="1:2">
      <c r="A140" s="31">
        <v>96519</v>
      </c>
      <c r="B140" s="29" t="s">
        <v>897</v>
      </c>
    </row>
    <row r="141" spans="1:2">
      <c r="A141" s="31">
        <v>96600</v>
      </c>
      <c r="B141" s="29" t="s">
        <v>900</v>
      </c>
    </row>
    <row r="142" spans="1:2">
      <c r="A142" s="31">
        <v>96800</v>
      </c>
      <c r="B142" s="29" t="s">
        <v>901</v>
      </c>
    </row>
    <row r="143" spans="1:2">
      <c r="A143" s="31">
        <v>96900</v>
      </c>
      <c r="B143" s="29" t="s">
        <v>905</v>
      </c>
    </row>
    <row r="144" spans="1:2">
      <c r="A144" s="31">
        <v>97200</v>
      </c>
      <c r="B144" s="29" t="s">
        <v>907</v>
      </c>
    </row>
    <row r="145" spans="1:3">
      <c r="A145" s="31">
        <v>97500</v>
      </c>
      <c r="B145" s="29" t="s">
        <v>909</v>
      </c>
    </row>
    <row r="146" spans="1:3">
      <c r="A146" s="31">
        <v>97700</v>
      </c>
      <c r="B146" s="29" t="s">
        <v>912</v>
      </c>
    </row>
    <row r="147" spans="1:3">
      <c r="A147" s="31">
        <v>98400</v>
      </c>
      <c r="B147" s="29" t="s">
        <v>914</v>
      </c>
    </row>
    <row r="148" spans="1:3">
      <c r="A148" s="31">
        <v>99100</v>
      </c>
      <c r="B148" s="29" t="s">
        <v>917</v>
      </c>
    </row>
    <row r="149" spans="1:3">
      <c r="A149" s="31">
        <v>99700</v>
      </c>
      <c r="B149" s="29" t="s">
        <v>920</v>
      </c>
    </row>
    <row r="150" spans="1:3">
      <c r="A150" s="30" t="s">
        <v>921</v>
      </c>
      <c r="B150" s="30"/>
      <c r="C150" s="30"/>
    </row>
    <row r="151" spans="1:3">
      <c r="A151" s="31">
        <v>100500</v>
      </c>
      <c r="B151" s="29" t="s">
        <v>923</v>
      </c>
    </row>
    <row r="152" spans="1:3">
      <c r="A152" s="29">
        <v>101100</v>
      </c>
      <c r="B152" s="29" t="s">
        <v>925</v>
      </c>
    </row>
    <row r="153" spans="1:3">
      <c r="A153" s="29">
        <v>101400</v>
      </c>
      <c r="B153" s="29" t="s">
        <v>927</v>
      </c>
    </row>
    <row r="154" spans="1:3">
      <c r="A154" s="29">
        <v>101453</v>
      </c>
      <c r="B154" s="29" t="s">
        <v>929</v>
      </c>
    </row>
    <row r="155" spans="1:3">
      <c r="A155" s="29">
        <v>101463</v>
      </c>
      <c r="B155" s="29" t="s">
        <v>931</v>
      </c>
    </row>
    <row r="156" spans="1:3">
      <c r="A156" s="29">
        <v>102113</v>
      </c>
      <c r="B156" s="29" t="s">
        <v>933</v>
      </c>
    </row>
    <row r="157" spans="1:3">
      <c r="A157" s="29">
        <v>102226</v>
      </c>
      <c r="B157" s="29" t="s">
        <v>935</v>
      </c>
    </row>
    <row r="158" spans="1:3">
      <c r="A158" s="29">
        <v>102500</v>
      </c>
      <c r="B158" s="29" t="s">
        <v>938</v>
      </c>
    </row>
    <row r="159" spans="1:3">
      <c r="A159" s="29">
        <v>102600</v>
      </c>
      <c r="B159" s="29" t="s">
        <v>940</v>
      </c>
    </row>
    <row r="160" spans="1:3">
      <c r="A160" s="29">
        <v>102800</v>
      </c>
      <c r="B160" s="29" t="s">
        <v>943</v>
      </c>
    </row>
    <row r="161" spans="1:3">
      <c r="A161" s="29">
        <v>104400</v>
      </c>
      <c r="B161" s="29" t="s">
        <v>945</v>
      </c>
    </row>
    <row r="162" spans="1:3">
      <c r="A162" s="29">
        <v>105100</v>
      </c>
      <c r="B162" s="29" t="s">
        <v>946</v>
      </c>
    </row>
    <row r="163" spans="1:3">
      <c r="A163" s="29">
        <v>107343</v>
      </c>
      <c r="B163" s="29" t="s">
        <v>949</v>
      </c>
    </row>
    <row r="164" spans="1:3">
      <c r="A164" s="29">
        <v>107500</v>
      </c>
      <c r="B164" s="29" t="s">
        <v>950</v>
      </c>
    </row>
    <row r="165" spans="1:3">
      <c r="A165" s="30" t="s">
        <v>951</v>
      </c>
      <c r="B165" s="30"/>
      <c r="C165" s="30"/>
    </row>
    <row r="166" spans="1:3">
      <c r="A166" s="31">
        <v>110500</v>
      </c>
      <c r="B166" s="29" t="s">
        <v>953</v>
      </c>
    </row>
    <row r="167" spans="1:3">
      <c r="A167" s="29">
        <v>111100</v>
      </c>
      <c r="B167" s="29" t="s">
        <v>955</v>
      </c>
    </row>
    <row r="168" spans="1:3">
      <c r="A168" s="29">
        <v>111200</v>
      </c>
      <c r="B168" s="29" t="s">
        <v>957</v>
      </c>
    </row>
    <row r="169" spans="1:3">
      <c r="A169" s="29">
        <v>111300</v>
      </c>
      <c r="B169" s="29" t="s">
        <v>959</v>
      </c>
    </row>
    <row r="170" spans="1:3">
      <c r="A170" s="29">
        <v>114000</v>
      </c>
      <c r="B170" s="29" t="s">
        <v>961</v>
      </c>
    </row>
    <row r="171" spans="1:3">
      <c r="A171" s="29">
        <v>115213</v>
      </c>
      <c r="B171" s="29" t="s">
        <v>963</v>
      </c>
    </row>
    <row r="172" spans="1:3">
      <c r="A172" s="29">
        <v>118200</v>
      </c>
      <c r="B172" s="29" t="s">
        <v>965</v>
      </c>
    </row>
    <row r="173" spans="1:3">
      <c r="A173" s="30" t="s">
        <v>966</v>
      </c>
      <c r="B173" s="30"/>
      <c r="C173" s="30"/>
    </row>
    <row r="174" spans="1:3">
      <c r="A174" s="31">
        <v>120500</v>
      </c>
      <c r="B174" s="29" t="s">
        <v>968</v>
      </c>
    </row>
    <row r="175" spans="1:3">
      <c r="A175" s="29">
        <v>121000</v>
      </c>
      <c r="B175" s="29" t="s">
        <v>969</v>
      </c>
    </row>
    <row r="176" spans="1:3">
      <c r="A176" s="29">
        <v>122000</v>
      </c>
      <c r="B176" s="29" t="s">
        <v>971</v>
      </c>
    </row>
    <row r="177" spans="1:3">
      <c r="A177" s="29">
        <v>124000</v>
      </c>
      <c r="B177" s="29" t="s">
        <v>973</v>
      </c>
    </row>
    <row r="178" spans="1:3">
      <c r="A178" s="29">
        <v>124619</v>
      </c>
      <c r="B178" s="29" t="s">
        <v>974</v>
      </c>
    </row>
    <row r="179" spans="1:3">
      <c r="A179" s="29">
        <v>124843</v>
      </c>
      <c r="B179" s="29" t="s">
        <v>977</v>
      </c>
    </row>
    <row r="180" spans="1:3">
      <c r="A180" s="29">
        <v>125000</v>
      </c>
      <c r="B180" s="29" t="s">
        <v>978</v>
      </c>
    </row>
    <row r="181" spans="1:3">
      <c r="A181" s="29">
        <v>126000</v>
      </c>
      <c r="B181" s="29" t="s">
        <v>980</v>
      </c>
    </row>
    <row r="182" spans="1:3">
      <c r="A182" s="29">
        <v>129200</v>
      </c>
      <c r="B182" s="29" t="s">
        <v>982</v>
      </c>
    </row>
    <row r="183" spans="1:3">
      <c r="A183" s="30" t="s">
        <v>983</v>
      </c>
      <c r="B183" s="30"/>
      <c r="C183" s="30"/>
    </row>
    <row r="184" spans="1:3">
      <c r="A184" s="31">
        <v>130500</v>
      </c>
      <c r="B184" s="29" t="s">
        <v>985</v>
      </c>
    </row>
    <row r="185" spans="1:3">
      <c r="A185" s="29">
        <v>133400</v>
      </c>
      <c r="B185" s="29" t="s">
        <v>988</v>
      </c>
    </row>
    <row r="186" spans="1:3">
      <c r="A186" s="30" t="s">
        <v>989</v>
      </c>
      <c r="B186" s="30"/>
      <c r="C186" s="30"/>
    </row>
    <row r="187" spans="1:3">
      <c r="A187" s="31">
        <v>140500</v>
      </c>
      <c r="B187" s="29" t="s">
        <v>991</v>
      </c>
    </row>
    <row r="188" spans="1:3">
      <c r="A188" s="29">
        <v>142000</v>
      </c>
      <c r="B188" s="29" t="s">
        <v>992</v>
      </c>
    </row>
    <row r="189" spans="1:3">
      <c r="A189" s="29">
        <v>143100</v>
      </c>
      <c r="B189" s="29" t="s">
        <v>993</v>
      </c>
    </row>
    <row r="190" spans="1:3">
      <c r="A190" s="29">
        <v>143200</v>
      </c>
      <c r="B190" s="29" t="s">
        <v>996</v>
      </c>
    </row>
    <row r="191" spans="1:3">
      <c r="A191" s="29">
        <v>144000</v>
      </c>
      <c r="B191" s="29" t="s">
        <v>997</v>
      </c>
    </row>
    <row r="192" spans="1:3">
      <c r="A192" s="30" t="s">
        <v>998</v>
      </c>
      <c r="B192" s="30"/>
      <c r="C192" s="30"/>
    </row>
    <row r="193" spans="1:3">
      <c r="A193" s="29">
        <v>210500</v>
      </c>
      <c r="B193" s="29" t="s">
        <v>1000</v>
      </c>
    </row>
    <row r="194" spans="1:3">
      <c r="A194" s="29">
        <v>210519</v>
      </c>
      <c r="B194" s="29" t="s">
        <v>1002</v>
      </c>
    </row>
    <row r="195" spans="1:3">
      <c r="A195" s="29">
        <v>210520</v>
      </c>
      <c r="B195" s="29" t="s">
        <v>1004</v>
      </c>
    </row>
    <row r="196" spans="1:3">
      <c r="A196" s="29">
        <v>210523</v>
      </c>
      <c r="B196" s="29" t="s">
        <v>1006</v>
      </c>
    </row>
    <row r="197" spans="1:3">
      <c r="A197" s="29">
        <v>210529</v>
      </c>
      <c r="B197" s="29" t="s">
        <v>1008</v>
      </c>
    </row>
    <row r="198" spans="1:3">
      <c r="A198" s="29">
        <v>210548</v>
      </c>
      <c r="B198" s="29" t="s">
        <v>1010</v>
      </c>
    </row>
    <row r="199" spans="1:3">
      <c r="A199" s="29">
        <v>210553</v>
      </c>
      <c r="B199" s="29" t="s">
        <v>1012</v>
      </c>
    </row>
    <row r="200" spans="1:3">
      <c r="A200" s="29">
        <v>210590</v>
      </c>
      <c r="B200" s="29" t="s">
        <v>1014</v>
      </c>
    </row>
    <row r="201" spans="1:3">
      <c r="A201" s="29">
        <v>210719</v>
      </c>
      <c r="B201" s="29" t="s">
        <v>1017</v>
      </c>
    </row>
    <row r="202" spans="1:3">
      <c r="A202" s="29">
        <v>211100</v>
      </c>
      <c r="B202" s="29" t="s">
        <v>1019</v>
      </c>
    </row>
    <row r="203" spans="1:3">
      <c r="A203" s="29">
        <v>211120</v>
      </c>
      <c r="B203" s="29" t="s">
        <v>1021</v>
      </c>
    </row>
    <row r="204" spans="1:3">
      <c r="A204" s="29">
        <v>212000</v>
      </c>
      <c r="B204" s="29" t="s">
        <v>1023</v>
      </c>
    </row>
    <row r="205" spans="1:3">
      <c r="A205" s="29">
        <v>212200</v>
      </c>
      <c r="B205" s="283" t="s">
        <v>1025</v>
      </c>
    </row>
    <row r="206" spans="1:3">
      <c r="A206" s="30" t="s">
        <v>1026</v>
      </c>
      <c r="B206" s="30"/>
      <c r="C206" s="30"/>
    </row>
    <row r="207" spans="1:3">
      <c r="A207" s="29">
        <v>220500</v>
      </c>
      <c r="B207" s="29" t="s">
        <v>1028</v>
      </c>
    </row>
    <row r="208" spans="1:3">
      <c r="A208" s="29">
        <v>220519</v>
      </c>
      <c r="B208" s="29" t="s">
        <v>1030</v>
      </c>
    </row>
    <row r="209" spans="1:3">
      <c r="A209" s="29">
        <v>220520</v>
      </c>
      <c r="B209" s="29" t="s">
        <v>1032</v>
      </c>
    </row>
    <row r="210" spans="1:3">
      <c r="A210" s="29">
        <v>220523</v>
      </c>
      <c r="B210" s="29" t="s">
        <v>1034</v>
      </c>
    </row>
    <row r="211" spans="1:3">
      <c r="A211" s="29">
        <v>220529</v>
      </c>
      <c r="B211" s="29" t="s">
        <v>1036</v>
      </c>
    </row>
    <row r="212" spans="1:3">
      <c r="A212" s="29">
        <v>220545</v>
      </c>
      <c r="B212" s="29" t="s">
        <v>1039</v>
      </c>
    </row>
    <row r="213" spans="1:3">
      <c r="A213" s="29">
        <v>220548</v>
      </c>
      <c r="B213" s="29" t="s">
        <v>1041</v>
      </c>
    </row>
    <row r="214" spans="1:3">
      <c r="A214" s="29">
        <v>220553</v>
      </c>
      <c r="B214" s="29" t="s">
        <v>1043</v>
      </c>
    </row>
    <row r="215" spans="1:3">
      <c r="A215" s="29">
        <v>220590</v>
      </c>
      <c r="B215" s="29" t="s">
        <v>1045</v>
      </c>
    </row>
    <row r="216" spans="1:3">
      <c r="A216" s="29">
        <v>220719</v>
      </c>
      <c r="B216" s="29" t="s">
        <v>1047</v>
      </c>
    </row>
    <row r="217" spans="1:3">
      <c r="A217" s="29">
        <v>221100</v>
      </c>
      <c r="B217" s="29" t="s">
        <v>1049</v>
      </c>
    </row>
    <row r="218" spans="1:3">
      <c r="A218" s="29">
        <v>221120</v>
      </c>
      <c r="B218" s="29" t="s">
        <v>1051</v>
      </c>
    </row>
    <row r="219" spans="1:3">
      <c r="A219" s="29">
        <v>221319</v>
      </c>
      <c r="B219" s="29" t="s">
        <v>1053</v>
      </c>
    </row>
    <row r="220" spans="1:3">
      <c r="A220" s="29">
        <v>223000</v>
      </c>
      <c r="B220" s="29" t="s">
        <v>1055</v>
      </c>
    </row>
    <row r="221" spans="1:3">
      <c r="A221" s="29">
        <v>224000</v>
      </c>
      <c r="B221" s="29" t="s">
        <v>1057</v>
      </c>
    </row>
    <row r="222" spans="1:3">
      <c r="A222" s="30" t="s">
        <v>1058</v>
      </c>
      <c r="B222" s="30"/>
      <c r="C222" s="30"/>
    </row>
    <row r="223" spans="1:3">
      <c r="A223" s="29">
        <v>230500</v>
      </c>
      <c r="B223" s="29" t="s">
        <v>1060</v>
      </c>
    </row>
    <row r="224" spans="1:3">
      <c r="A224" s="29">
        <v>230518</v>
      </c>
      <c r="B224" s="29" t="s">
        <v>1062</v>
      </c>
    </row>
    <row r="225" spans="1:2">
      <c r="A225" s="29">
        <v>230519</v>
      </c>
      <c r="B225" s="29" t="s">
        <v>1064</v>
      </c>
    </row>
    <row r="226" spans="1:2">
      <c r="A226" s="29">
        <v>230520</v>
      </c>
      <c r="B226" s="29" t="s">
        <v>1066</v>
      </c>
    </row>
    <row r="227" spans="1:2">
      <c r="A227" s="29">
        <v>230523</v>
      </c>
      <c r="B227" s="29" t="s">
        <v>1068</v>
      </c>
    </row>
    <row r="228" spans="1:2">
      <c r="A228" s="29">
        <v>230529</v>
      </c>
      <c r="B228" s="29" t="s">
        <v>1070</v>
      </c>
    </row>
    <row r="229" spans="1:2">
      <c r="A229" s="29">
        <v>230545</v>
      </c>
      <c r="B229" s="29" t="s">
        <v>1072</v>
      </c>
    </row>
    <row r="230" spans="1:2">
      <c r="A230" s="29">
        <v>230548</v>
      </c>
      <c r="B230" s="29" t="s">
        <v>1074</v>
      </c>
    </row>
    <row r="231" spans="1:2">
      <c r="A231" s="29">
        <v>230553</v>
      </c>
      <c r="B231" s="29" t="s">
        <v>1076</v>
      </c>
    </row>
    <row r="232" spans="1:2">
      <c r="A232" s="29">
        <v>230590</v>
      </c>
      <c r="B232" s="29" t="s">
        <v>1078</v>
      </c>
    </row>
    <row r="233" spans="1:2">
      <c r="A233" s="29">
        <v>230593</v>
      </c>
      <c r="B233" s="29" t="s">
        <v>1081</v>
      </c>
    </row>
    <row r="234" spans="1:2">
      <c r="A234" s="29">
        <v>230719</v>
      </c>
      <c r="B234" s="29" t="s">
        <v>1083</v>
      </c>
    </row>
    <row r="235" spans="1:2">
      <c r="A235" s="29">
        <v>230900</v>
      </c>
      <c r="B235" s="29" t="s">
        <v>1086</v>
      </c>
    </row>
    <row r="236" spans="1:2">
      <c r="A236" s="29">
        <v>231216</v>
      </c>
      <c r="B236" s="29" t="s">
        <v>1088</v>
      </c>
    </row>
    <row r="237" spans="1:2">
      <c r="A237" s="29">
        <v>232000</v>
      </c>
      <c r="B237" s="29" t="s">
        <v>1090</v>
      </c>
    </row>
    <row r="238" spans="1:2">
      <c r="A238" s="29">
        <v>232215</v>
      </c>
      <c r="B238" s="29" t="s">
        <v>1092</v>
      </c>
    </row>
    <row r="239" spans="1:2">
      <c r="A239" s="29">
        <v>232220</v>
      </c>
      <c r="B239" s="29" t="s">
        <v>1094</v>
      </c>
    </row>
    <row r="240" spans="1:2">
      <c r="A240" s="29">
        <v>232400</v>
      </c>
      <c r="B240" s="29" t="s">
        <v>1097</v>
      </c>
    </row>
    <row r="241" spans="1:2">
      <c r="A241" s="29">
        <v>232500</v>
      </c>
      <c r="B241" s="29" t="s">
        <v>1099</v>
      </c>
    </row>
    <row r="242" spans="1:2">
      <c r="A242" s="29">
        <v>232923</v>
      </c>
      <c r="B242" s="29" t="s">
        <v>1101</v>
      </c>
    </row>
    <row r="243" spans="1:2">
      <c r="A243" s="29">
        <v>233113</v>
      </c>
      <c r="B243" s="29" t="s">
        <v>1103</v>
      </c>
    </row>
    <row r="244" spans="1:2">
      <c r="A244" s="29">
        <v>233114</v>
      </c>
      <c r="B244" s="29" t="s">
        <v>1105</v>
      </c>
    </row>
    <row r="245" spans="1:2">
      <c r="A245" s="29">
        <v>233115</v>
      </c>
      <c r="B245" s="29" t="s">
        <v>1107</v>
      </c>
    </row>
    <row r="246" spans="1:2">
      <c r="A246" s="29">
        <v>233300</v>
      </c>
      <c r="B246" s="29" t="s">
        <v>1109</v>
      </c>
    </row>
    <row r="247" spans="1:2">
      <c r="A247" s="29">
        <v>233319</v>
      </c>
      <c r="B247" s="29" t="s">
        <v>1111</v>
      </c>
    </row>
    <row r="248" spans="1:2">
      <c r="A248" s="29">
        <v>233400</v>
      </c>
      <c r="B248" s="29" t="s">
        <v>1113</v>
      </c>
    </row>
    <row r="249" spans="1:2">
      <c r="A249" s="29">
        <v>233443</v>
      </c>
      <c r="B249" s="29" t="s">
        <v>1115</v>
      </c>
    </row>
    <row r="250" spans="1:2">
      <c r="A250" s="29">
        <v>233600</v>
      </c>
      <c r="B250" s="29" t="s">
        <v>1117</v>
      </c>
    </row>
    <row r="251" spans="1:2">
      <c r="A251" s="29">
        <v>233700</v>
      </c>
      <c r="B251" s="29" t="s">
        <v>1120</v>
      </c>
    </row>
    <row r="252" spans="1:2">
      <c r="A252" s="29">
        <v>234000</v>
      </c>
      <c r="B252" s="29" t="s">
        <v>1122</v>
      </c>
    </row>
    <row r="253" spans="1:2">
      <c r="A253" s="29">
        <v>235100</v>
      </c>
      <c r="B253" s="29" t="s">
        <v>1124</v>
      </c>
    </row>
    <row r="254" spans="1:2">
      <c r="A254" s="29">
        <v>235200</v>
      </c>
      <c r="B254" s="29" t="s">
        <v>1126</v>
      </c>
    </row>
    <row r="255" spans="1:2">
      <c r="A255" s="29">
        <v>235500</v>
      </c>
      <c r="B255" s="29" t="s">
        <v>1129</v>
      </c>
    </row>
    <row r="256" spans="1:2">
      <c r="A256" s="29">
        <v>235523</v>
      </c>
      <c r="B256" s="29" t="s">
        <v>1131</v>
      </c>
    </row>
    <row r="257" spans="1:3">
      <c r="A257" s="29">
        <v>235700</v>
      </c>
      <c r="B257" s="29" t="s">
        <v>1134</v>
      </c>
    </row>
    <row r="258" spans="1:3">
      <c r="A258" s="29">
        <v>236400</v>
      </c>
      <c r="B258" s="29" t="s">
        <v>1136</v>
      </c>
    </row>
    <row r="259" spans="1:3">
      <c r="A259" s="29">
        <v>237000</v>
      </c>
      <c r="B259" s="29" t="s">
        <v>1138</v>
      </c>
    </row>
    <row r="260" spans="1:3">
      <c r="A260" s="29">
        <v>238100</v>
      </c>
      <c r="B260" s="29" t="s">
        <v>1140</v>
      </c>
    </row>
    <row r="261" spans="1:3">
      <c r="A261" s="29">
        <v>238116</v>
      </c>
      <c r="B261" s="29" t="s">
        <v>1142</v>
      </c>
    </row>
    <row r="262" spans="1:3">
      <c r="A262" s="29">
        <v>238200</v>
      </c>
      <c r="B262" s="29" t="s">
        <v>1144</v>
      </c>
    </row>
    <row r="263" spans="1:3">
      <c r="A263" s="30" t="s">
        <v>1145</v>
      </c>
      <c r="B263" s="30"/>
      <c r="C263" s="30"/>
    </row>
    <row r="264" spans="1:3">
      <c r="A264" s="29">
        <v>260500</v>
      </c>
      <c r="B264" s="29" t="s">
        <v>1147</v>
      </c>
    </row>
    <row r="265" spans="1:3">
      <c r="A265" s="29">
        <v>260513</v>
      </c>
      <c r="B265" s="29" t="s">
        <v>1149</v>
      </c>
    </row>
    <row r="266" spans="1:3">
      <c r="A266" s="29">
        <v>260519</v>
      </c>
      <c r="B266" s="29" t="s">
        <v>1151</v>
      </c>
    </row>
    <row r="267" spans="1:3">
      <c r="A267" s="29">
        <v>260526</v>
      </c>
      <c r="B267" s="29" t="s">
        <v>1153</v>
      </c>
    </row>
    <row r="268" spans="1:3">
      <c r="A268" s="29">
        <v>260529</v>
      </c>
      <c r="B268" s="29" t="s">
        <v>1155</v>
      </c>
    </row>
    <row r="269" spans="1:3">
      <c r="A269" s="29">
        <v>260533</v>
      </c>
      <c r="B269" s="29" t="s">
        <v>1157</v>
      </c>
    </row>
    <row r="270" spans="1:3">
      <c r="A270" s="29">
        <v>260536</v>
      </c>
      <c r="B270" s="29" t="s">
        <v>1159</v>
      </c>
    </row>
    <row r="271" spans="1:3">
      <c r="A271" s="29">
        <v>260543</v>
      </c>
      <c r="B271" s="29" t="s">
        <v>1161</v>
      </c>
    </row>
    <row r="272" spans="1:3">
      <c r="A272" s="29">
        <v>260553</v>
      </c>
      <c r="B272" s="29" t="s">
        <v>1163</v>
      </c>
    </row>
    <row r="273" spans="1:2">
      <c r="A273" s="29">
        <v>260573</v>
      </c>
      <c r="B273" s="29" t="s">
        <v>1165</v>
      </c>
    </row>
    <row r="274" spans="1:2">
      <c r="A274" s="29">
        <v>260800</v>
      </c>
      <c r="B274" s="29" t="s">
        <v>1168</v>
      </c>
    </row>
    <row r="275" spans="1:2">
      <c r="A275" s="29">
        <v>260913</v>
      </c>
      <c r="B275" s="29" t="s">
        <v>1170</v>
      </c>
    </row>
    <row r="276" spans="1:2">
      <c r="A276" s="29">
        <v>260943</v>
      </c>
      <c r="B276" s="29" t="s">
        <v>1172</v>
      </c>
    </row>
    <row r="277" spans="1:2">
      <c r="A277" s="29">
        <v>261100</v>
      </c>
      <c r="B277" s="29" t="s">
        <v>1173</v>
      </c>
    </row>
    <row r="278" spans="1:2">
      <c r="A278" s="29">
        <v>261216</v>
      </c>
      <c r="B278" s="29" t="s">
        <v>1175</v>
      </c>
    </row>
    <row r="279" spans="1:2">
      <c r="A279" s="29">
        <v>262200</v>
      </c>
      <c r="B279" s="29" t="s">
        <v>1177</v>
      </c>
    </row>
    <row r="280" spans="1:2">
      <c r="A280" s="29">
        <v>262300</v>
      </c>
      <c r="B280" s="29" t="s">
        <v>1179</v>
      </c>
    </row>
    <row r="281" spans="1:2">
      <c r="A281" s="29">
        <v>262400</v>
      </c>
      <c r="B281" s="283" t="s">
        <v>1181</v>
      </c>
    </row>
    <row r="282" spans="1:2">
      <c r="A282" s="29">
        <v>262500</v>
      </c>
      <c r="B282" s="29" t="s">
        <v>1183</v>
      </c>
    </row>
    <row r="283" spans="1:2">
      <c r="A283" s="29">
        <v>262726</v>
      </c>
      <c r="B283" s="29" t="s">
        <v>1185</v>
      </c>
    </row>
    <row r="284" spans="1:2">
      <c r="A284" s="29">
        <v>262816</v>
      </c>
      <c r="B284" s="29" t="s">
        <v>1187</v>
      </c>
    </row>
    <row r="285" spans="1:2">
      <c r="A285" s="29">
        <v>262900</v>
      </c>
      <c r="B285" s="29" t="s">
        <v>1189</v>
      </c>
    </row>
    <row r="286" spans="1:2">
      <c r="A286" s="29">
        <v>263200</v>
      </c>
      <c r="B286" s="32" t="s">
        <v>1191</v>
      </c>
    </row>
    <row r="287" spans="1:2">
      <c r="A287" s="29">
        <v>263353</v>
      </c>
      <c r="B287" s="29" t="s">
        <v>1193</v>
      </c>
    </row>
    <row r="288" spans="1:2">
      <c r="A288" s="29">
        <v>263600</v>
      </c>
      <c r="B288" s="29" t="s">
        <v>1195</v>
      </c>
    </row>
    <row r="289" spans="1:3">
      <c r="A289" s="29">
        <v>265000</v>
      </c>
      <c r="B289" s="29" t="s">
        <v>1196</v>
      </c>
    </row>
    <row r="290" spans="1:3">
      <c r="A290" s="29">
        <v>265619</v>
      </c>
      <c r="B290" s="29" t="s">
        <v>1198</v>
      </c>
    </row>
    <row r="291" spans="1:3">
      <c r="A291" s="29">
        <v>265623</v>
      </c>
      <c r="B291" s="29" t="s">
        <v>1200</v>
      </c>
    </row>
    <row r="292" spans="1:3">
      <c r="A292" s="30" t="s">
        <v>1201</v>
      </c>
      <c r="B292" s="34"/>
      <c r="C292" s="34"/>
    </row>
    <row r="293" spans="1:3">
      <c r="A293" s="29">
        <v>270500</v>
      </c>
      <c r="B293" s="29" t="s">
        <v>1203</v>
      </c>
    </row>
    <row r="294" spans="1:3">
      <c r="A294" s="29">
        <v>270553</v>
      </c>
      <c r="B294" s="29" t="s">
        <v>1205</v>
      </c>
    </row>
    <row r="295" spans="1:3">
      <c r="A295" s="29">
        <v>271000</v>
      </c>
      <c r="B295" s="29" t="s">
        <v>1207</v>
      </c>
    </row>
    <row r="296" spans="1:3">
      <c r="A296" s="29">
        <v>272100</v>
      </c>
      <c r="B296" s="32" t="s">
        <v>1209</v>
      </c>
    </row>
    <row r="297" spans="1:3">
      <c r="A297" s="29">
        <v>272133</v>
      </c>
      <c r="B297" s="32" t="s">
        <v>1211</v>
      </c>
    </row>
    <row r="298" spans="1:3">
      <c r="A298" s="29">
        <v>272200</v>
      </c>
      <c r="B298" s="32" t="s">
        <v>1213</v>
      </c>
    </row>
    <row r="299" spans="1:3">
      <c r="A299" s="29">
        <v>272219</v>
      </c>
      <c r="B299" s="32" t="s">
        <v>1214</v>
      </c>
    </row>
    <row r="300" spans="1:3">
      <c r="A300" s="29">
        <v>272223</v>
      </c>
      <c r="B300" s="32" t="s">
        <v>1215</v>
      </c>
    </row>
    <row r="301" spans="1:3">
      <c r="A301" s="29">
        <v>272226</v>
      </c>
      <c r="B301" s="32" t="s">
        <v>1216</v>
      </c>
    </row>
    <row r="302" spans="1:3">
      <c r="A302" s="29">
        <v>272232</v>
      </c>
      <c r="B302" s="29" t="s">
        <v>1218</v>
      </c>
    </row>
    <row r="303" spans="1:3">
      <c r="A303" s="29">
        <v>272234</v>
      </c>
      <c r="B303" s="29" t="s">
        <v>1220</v>
      </c>
    </row>
    <row r="304" spans="1:3">
      <c r="A304" s="29">
        <v>272236</v>
      </c>
      <c r="B304" s="29" t="s">
        <v>1222</v>
      </c>
    </row>
    <row r="305" spans="1:3">
      <c r="A305" s="29">
        <v>272413</v>
      </c>
      <c r="B305" s="32" t="s">
        <v>1223</v>
      </c>
    </row>
    <row r="306" spans="1:3">
      <c r="A306" s="29">
        <v>272500</v>
      </c>
      <c r="B306" s="32" t="s">
        <v>1225</v>
      </c>
    </row>
    <row r="307" spans="1:3">
      <c r="A307" s="29">
        <v>273000</v>
      </c>
      <c r="B307" s="32" t="s">
        <v>1227</v>
      </c>
    </row>
    <row r="308" spans="1:3">
      <c r="A308" s="29">
        <v>274100</v>
      </c>
      <c r="B308" s="29" t="s">
        <v>1229</v>
      </c>
    </row>
    <row r="309" spans="1:3">
      <c r="A309" s="29">
        <v>275116</v>
      </c>
      <c r="B309" s="29" t="s">
        <v>1231</v>
      </c>
    </row>
    <row r="310" spans="1:3">
      <c r="A310" s="35">
        <v>275319</v>
      </c>
      <c r="B310" s="32" t="s">
        <v>1233</v>
      </c>
    </row>
    <row r="311" spans="1:3">
      <c r="A311" s="30" t="s">
        <v>1234</v>
      </c>
      <c r="B311" s="30"/>
      <c r="C311" s="30"/>
    </row>
    <row r="312" spans="1:3">
      <c r="A312" s="283">
        <v>280500</v>
      </c>
      <c r="B312" s="283" t="s">
        <v>1236</v>
      </c>
    </row>
    <row r="313" spans="1:3">
      <c r="A313" s="283">
        <v>280513</v>
      </c>
      <c r="B313" s="283" t="s">
        <v>1238</v>
      </c>
    </row>
    <row r="314" spans="1:3">
      <c r="A314" s="283">
        <v>281300</v>
      </c>
      <c r="B314" s="283" t="s">
        <v>1240</v>
      </c>
    </row>
    <row r="315" spans="1:3">
      <c r="A315" s="283">
        <v>282300</v>
      </c>
      <c r="B315" s="283" t="s">
        <v>1242</v>
      </c>
    </row>
    <row r="316" spans="1:3">
      <c r="A316" s="283">
        <v>282316</v>
      </c>
      <c r="B316" s="284" t="s">
        <v>1244</v>
      </c>
    </row>
    <row r="317" spans="1:3">
      <c r="A317" s="283">
        <v>282319</v>
      </c>
      <c r="B317" s="284" t="s">
        <v>1245</v>
      </c>
    </row>
    <row r="318" spans="1:3">
      <c r="A318" s="283">
        <v>282329</v>
      </c>
      <c r="B318" s="284" t="s">
        <v>1247</v>
      </c>
    </row>
    <row r="319" spans="1:3">
      <c r="A319" s="283">
        <v>281323</v>
      </c>
      <c r="B319" s="284" t="s">
        <v>1249</v>
      </c>
    </row>
    <row r="320" spans="1:3">
      <c r="A320" s="283">
        <v>283100</v>
      </c>
      <c r="B320" s="284" t="s">
        <v>1251</v>
      </c>
    </row>
    <row r="321" spans="1:3">
      <c r="A321" s="28" t="s">
        <v>1252</v>
      </c>
    </row>
    <row r="322" spans="1:3">
      <c r="A322" s="30" t="s">
        <v>1253</v>
      </c>
      <c r="B322" s="30"/>
      <c r="C322" s="30"/>
    </row>
    <row r="323" spans="1:3">
      <c r="A323" s="283">
        <v>310500</v>
      </c>
      <c r="B323" s="285" t="s">
        <v>1255</v>
      </c>
    </row>
    <row r="324" spans="1:3">
      <c r="A324" s="283">
        <v>312000</v>
      </c>
      <c r="B324" s="285" t="s">
        <v>1257</v>
      </c>
    </row>
    <row r="325" spans="1:3">
      <c r="A325" s="283">
        <v>312300</v>
      </c>
      <c r="B325" s="285" t="s">
        <v>1259</v>
      </c>
    </row>
    <row r="326" spans="1:3">
      <c r="A326" s="283">
        <v>312319</v>
      </c>
      <c r="B326" s="285" t="s">
        <v>1260</v>
      </c>
    </row>
    <row r="327" spans="1:3">
      <c r="A327" s="283">
        <v>313200</v>
      </c>
      <c r="B327" s="285" t="s">
        <v>1262</v>
      </c>
    </row>
    <row r="328" spans="1:3">
      <c r="A328" s="283">
        <v>313700</v>
      </c>
      <c r="B328" s="285" t="s">
        <v>1264</v>
      </c>
    </row>
    <row r="329" spans="1:3">
      <c r="A329" s="283">
        <v>316213</v>
      </c>
      <c r="B329" s="285" t="s">
        <v>1266</v>
      </c>
    </row>
    <row r="330" spans="1:3">
      <c r="A330" s="283">
        <v>316214</v>
      </c>
      <c r="B330" s="285" t="s">
        <v>1268</v>
      </c>
    </row>
    <row r="331" spans="1:3">
      <c r="A331" s="283">
        <v>316216</v>
      </c>
      <c r="B331" s="285" t="s">
        <v>1270</v>
      </c>
    </row>
    <row r="332" spans="1:3">
      <c r="A332" s="283">
        <v>316217</v>
      </c>
      <c r="B332" s="285" t="s">
        <v>1272</v>
      </c>
    </row>
    <row r="333" spans="1:3">
      <c r="A333" s="283">
        <v>316300</v>
      </c>
      <c r="B333" s="285" t="s">
        <v>1274</v>
      </c>
    </row>
    <row r="334" spans="1:3">
      <c r="A334" s="283">
        <v>316329</v>
      </c>
      <c r="B334" s="285" t="s">
        <v>1276</v>
      </c>
    </row>
    <row r="335" spans="1:3">
      <c r="A335" s="30" t="s">
        <v>1277</v>
      </c>
      <c r="B335" s="30"/>
      <c r="C335" s="30"/>
    </row>
    <row r="336" spans="1:3">
      <c r="A336" s="29">
        <v>320500</v>
      </c>
      <c r="B336" s="29" t="s">
        <v>1279</v>
      </c>
    </row>
    <row r="337" spans="1:3">
      <c r="A337" s="29">
        <v>320117</v>
      </c>
      <c r="B337" s="29" t="s">
        <v>1282</v>
      </c>
    </row>
    <row r="338" spans="1:3">
      <c r="A338" s="29">
        <v>320118</v>
      </c>
      <c r="B338" s="29" t="s">
        <v>1284</v>
      </c>
    </row>
    <row r="339" spans="1:3">
      <c r="A339" s="29">
        <v>320128</v>
      </c>
      <c r="B339" s="29" t="s">
        <v>1286</v>
      </c>
    </row>
    <row r="340" spans="1:3">
      <c r="A340" s="29">
        <v>321123</v>
      </c>
      <c r="B340" s="29" t="s">
        <v>1288</v>
      </c>
      <c r="C340" s="33"/>
    </row>
    <row r="341" spans="1:3">
      <c r="A341" s="29">
        <v>321133</v>
      </c>
      <c r="B341" s="29" t="s">
        <v>1290</v>
      </c>
      <c r="C341" s="33"/>
    </row>
    <row r="342" spans="1:3">
      <c r="A342" s="29">
        <v>321200</v>
      </c>
      <c r="B342" s="29" t="s">
        <v>1292</v>
      </c>
    </row>
    <row r="343" spans="1:3">
      <c r="A343" s="29">
        <v>321236</v>
      </c>
      <c r="B343" s="29" t="s">
        <v>1294</v>
      </c>
    </row>
    <row r="344" spans="1:3">
      <c r="A344" s="29">
        <v>321238</v>
      </c>
      <c r="B344" s="29" t="s">
        <v>1297</v>
      </c>
    </row>
    <row r="345" spans="1:3">
      <c r="A345" s="29">
        <v>321273</v>
      </c>
      <c r="B345" s="29" t="s">
        <v>1299</v>
      </c>
    </row>
    <row r="346" spans="1:3">
      <c r="A346" s="29">
        <v>321300</v>
      </c>
      <c r="B346" s="29" t="s">
        <v>1301</v>
      </c>
      <c r="C346" s="33"/>
    </row>
    <row r="347" spans="1:3">
      <c r="A347" s="29">
        <v>321373</v>
      </c>
      <c r="B347" s="29" t="s">
        <v>1303</v>
      </c>
    </row>
    <row r="348" spans="1:3">
      <c r="A348" s="29">
        <v>321416</v>
      </c>
      <c r="B348" s="29" t="s">
        <v>1305</v>
      </c>
    </row>
    <row r="349" spans="1:3">
      <c r="A349" s="29">
        <v>321613</v>
      </c>
      <c r="B349" s="29" t="s">
        <v>1307</v>
      </c>
    </row>
    <row r="350" spans="1:3">
      <c r="A350" s="29">
        <v>321614</v>
      </c>
      <c r="B350" s="29" t="s">
        <v>1309</v>
      </c>
    </row>
    <row r="351" spans="1:3">
      <c r="A351" s="29">
        <v>321615</v>
      </c>
      <c r="B351" s="29" t="s">
        <v>1311</v>
      </c>
    </row>
    <row r="352" spans="1:3">
      <c r="A352" s="29">
        <v>321723</v>
      </c>
      <c r="B352" s="29" t="s">
        <v>1313</v>
      </c>
    </row>
    <row r="353" spans="1:3">
      <c r="A353" s="29">
        <v>323113</v>
      </c>
      <c r="B353" s="29" t="s">
        <v>1315</v>
      </c>
      <c r="C353" s="33"/>
    </row>
    <row r="354" spans="1:3">
      <c r="A354" s="29">
        <v>323114</v>
      </c>
      <c r="B354" s="29" t="s">
        <v>1317</v>
      </c>
    </row>
    <row r="355" spans="1:3">
      <c r="A355" s="29">
        <v>328400</v>
      </c>
      <c r="B355" s="29" t="s">
        <v>1319</v>
      </c>
    </row>
    <row r="356" spans="1:3">
      <c r="A356" s="29">
        <v>329000</v>
      </c>
      <c r="B356" s="29" t="s">
        <v>1321</v>
      </c>
    </row>
    <row r="357" spans="1:3">
      <c r="A357" s="29">
        <v>329113</v>
      </c>
      <c r="B357" s="29" t="s">
        <v>1323</v>
      </c>
    </row>
    <row r="358" spans="1:3">
      <c r="A358" s="29">
        <v>329119</v>
      </c>
      <c r="B358" s="29" t="s">
        <v>1325</v>
      </c>
    </row>
    <row r="359" spans="1:3">
      <c r="A359" s="29">
        <v>329200</v>
      </c>
      <c r="B359" s="29" t="s">
        <v>1327</v>
      </c>
    </row>
    <row r="360" spans="1:3">
      <c r="A360" s="29">
        <v>329219</v>
      </c>
      <c r="B360" s="29" t="s">
        <v>1328</v>
      </c>
    </row>
    <row r="361" spans="1:3">
      <c r="A361" s="29">
        <v>329219</v>
      </c>
      <c r="B361" s="29" t="s">
        <v>1330</v>
      </c>
      <c r="C361" s="33"/>
    </row>
    <row r="362" spans="1:3">
      <c r="A362" s="29">
        <v>329223</v>
      </c>
      <c r="B362" s="29" t="s">
        <v>1331</v>
      </c>
      <c r="C362" s="33"/>
    </row>
    <row r="363" spans="1:3">
      <c r="A363" s="29">
        <v>329300</v>
      </c>
      <c r="B363" s="29" t="s">
        <v>1333</v>
      </c>
    </row>
    <row r="364" spans="1:3">
      <c r="A364" s="30" t="s">
        <v>1334</v>
      </c>
      <c r="B364" s="30"/>
      <c r="C364" s="30"/>
    </row>
    <row r="365" spans="1:3">
      <c r="A365" s="29">
        <v>330500</v>
      </c>
      <c r="B365" s="29" t="s">
        <v>1336</v>
      </c>
    </row>
    <row r="366" spans="1:3">
      <c r="A366" s="29">
        <v>330516</v>
      </c>
      <c r="B366" s="29" t="s">
        <v>1338</v>
      </c>
    </row>
    <row r="367" spans="1:3">
      <c r="A367" s="29">
        <v>331116</v>
      </c>
      <c r="B367" s="29" t="s">
        <v>1340</v>
      </c>
    </row>
    <row r="368" spans="1:3">
      <c r="A368" s="29">
        <v>333100</v>
      </c>
      <c r="B368" s="29" t="s">
        <v>1342</v>
      </c>
    </row>
    <row r="369" spans="1:3">
      <c r="A369" s="29">
        <v>333213</v>
      </c>
      <c r="B369" s="29" t="s">
        <v>1344</v>
      </c>
    </row>
    <row r="370" spans="1:3">
      <c r="A370" s="29">
        <v>334100</v>
      </c>
      <c r="B370" s="29" t="s">
        <v>1346</v>
      </c>
      <c r="C370" s="33"/>
    </row>
    <row r="371" spans="1:3">
      <c r="A371" s="30" t="s">
        <v>1347</v>
      </c>
      <c r="B371" s="30"/>
      <c r="C371" s="30"/>
    </row>
    <row r="372" spans="1:3">
      <c r="A372" s="283">
        <v>340523</v>
      </c>
      <c r="B372" s="283" t="s">
        <v>1349</v>
      </c>
    </row>
    <row r="373" spans="1:3">
      <c r="A373" s="283">
        <v>340524</v>
      </c>
      <c r="B373" s="283" t="s">
        <v>1351</v>
      </c>
    </row>
    <row r="374" spans="1:3">
      <c r="A374" s="283">
        <v>340526</v>
      </c>
      <c r="B374" s="283" t="s">
        <v>1353</v>
      </c>
    </row>
    <row r="375" spans="1:3">
      <c r="A375" s="283">
        <v>341113</v>
      </c>
      <c r="B375" s="283" t="s">
        <v>1355</v>
      </c>
    </row>
    <row r="376" spans="1:3">
      <c r="A376" s="283">
        <v>341116</v>
      </c>
      <c r="B376" s="283" t="s">
        <v>1357</v>
      </c>
    </row>
    <row r="377" spans="1:3">
      <c r="A377" s="283">
        <v>341126</v>
      </c>
      <c r="B377" s="283" t="s">
        <v>1359</v>
      </c>
    </row>
    <row r="378" spans="1:3">
      <c r="A378" s="283">
        <v>341193</v>
      </c>
      <c r="B378" s="283" t="s">
        <v>1361</v>
      </c>
    </row>
    <row r="379" spans="1:3">
      <c r="A379" s="283">
        <v>344113</v>
      </c>
      <c r="B379" s="283" t="s">
        <v>1363</v>
      </c>
    </row>
    <row r="380" spans="1:3">
      <c r="A380" s="283">
        <v>344213</v>
      </c>
      <c r="B380" s="283" t="s">
        <v>1365</v>
      </c>
    </row>
    <row r="381" spans="1:3">
      <c r="A381" s="283">
        <v>344300</v>
      </c>
      <c r="B381" s="283" t="s">
        <v>1367</v>
      </c>
    </row>
    <row r="382" spans="1:3">
      <c r="A382" s="283">
        <v>344302</v>
      </c>
      <c r="B382" s="283" t="s">
        <v>1369</v>
      </c>
    </row>
    <row r="383" spans="1:3">
      <c r="A383" s="283">
        <v>347113</v>
      </c>
      <c r="B383" s="283" t="s">
        <v>1371</v>
      </c>
    </row>
    <row r="384" spans="1:3">
      <c r="A384" s="283">
        <v>347600</v>
      </c>
      <c r="B384" s="283" t="s">
        <v>1373</v>
      </c>
    </row>
    <row r="385" spans="1:3">
      <c r="A385" s="283">
        <v>347613</v>
      </c>
      <c r="B385" s="283" t="s">
        <v>1375</v>
      </c>
    </row>
    <row r="386" spans="1:3">
      <c r="A386" s="283">
        <v>347713</v>
      </c>
      <c r="B386" s="283" t="s">
        <v>1377</v>
      </c>
    </row>
    <row r="387" spans="1:3">
      <c r="A387" s="283">
        <v>347716</v>
      </c>
      <c r="B387" s="283" t="s">
        <v>1379</v>
      </c>
    </row>
    <row r="388" spans="1:3">
      <c r="A388" s="30" t="s">
        <v>1381</v>
      </c>
      <c r="B388" s="30"/>
      <c r="C388" s="30"/>
    </row>
    <row r="389" spans="1:3">
      <c r="A389" s="29">
        <v>350500</v>
      </c>
      <c r="B389" s="29" t="s">
        <v>1383</v>
      </c>
    </row>
    <row r="390" spans="1:3">
      <c r="A390" s="29">
        <v>353200</v>
      </c>
      <c r="B390" s="29" t="s">
        <v>1385</v>
      </c>
    </row>
    <row r="391" spans="1:3">
      <c r="A391" s="29">
        <v>354000</v>
      </c>
      <c r="B391" s="29" t="s">
        <v>1387</v>
      </c>
    </row>
    <row r="392" spans="1:3">
      <c r="A392" s="29">
        <v>354237</v>
      </c>
      <c r="B392" s="29" t="s">
        <v>1389</v>
      </c>
    </row>
    <row r="393" spans="1:3">
      <c r="A393" s="29">
        <v>355912</v>
      </c>
      <c r="B393" s="29" t="s">
        <v>1391</v>
      </c>
    </row>
    <row r="394" spans="1:3">
      <c r="A394" s="29">
        <v>355913</v>
      </c>
      <c r="B394" s="29" t="s">
        <v>1394</v>
      </c>
    </row>
    <row r="395" spans="1:3">
      <c r="A395" s="29">
        <v>355914</v>
      </c>
      <c r="B395" s="29" t="s">
        <v>1396</v>
      </c>
    </row>
    <row r="396" spans="1:3">
      <c r="A396" s="29">
        <v>356213</v>
      </c>
      <c r="B396" s="29" t="s">
        <v>1398</v>
      </c>
    </row>
    <row r="397" spans="1:3">
      <c r="A397" s="29">
        <v>356214</v>
      </c>
      <c r="B397" s="29" t="s">
        <v>1400</v>
      </c>
    </row>
    <row r="398" spans="1:3">
      <c r="A398" s="29">
        <v>356216</v>
      </c>
      <c r="B398" s="29" t="s">
        <v>1402</v>
      </c>
    </row>
    <row r="399" spans="1:3">
      <c r="A399" s="29">
        <v>356217</v>
      </c>
      <c r="B399" s="29" t="s">
        <v>1404</v>
      </c>
    </row>
    <row r="400" spans="1:3">
      <c r="A400" s="29">
        <v>352023</v>
      </c>
      <c r="B400" s="29" t="s">
        <v>1384</v>
      </c>
    </row>
    <row r="401" spans="1:3">
      <c r="A401" s="28" t="s">
        <v>1406</v>
      </c>
    </row>
    <row r="402" spans="1:3">
      <c r="A402" s="30" t="s">
        <v>1407</v>
      </c>
      <c r="B402" s="30"/>
      <c r="C402" s="30"/>
    </row>
    <row r="403" spans="1:3">
      <c r="A403" s="283">
        <v>412213</v>
      </c>
      <c r="B403" s="283" t="s">
        <v>1408</v>
      </c>
    </row>
    <row r="404" spans="1:3">
      <c r="A404" s="29">
        <v>412214</v>
      </c>
      <c r="B404" s="29" t="s">
        <v>1410</v>
      </c>
    </row>
    <row r="405" spans="1:3">
      <c r="A405" s="28" t="s">
        <v>1411</v>
      </c>
    </row>
    <row r="406" spans="1:3">
      <c r="A406" s="30" t="s">
        <v>1412</v>
      </c>
      <c r="B406" s="30"/>
      <c r="C406" s="30"/>
    </row>
    <row r="407" spans="1:3">
      <c r="A407" s="29">
        <v>510101</v>
      </c>
      <c r="B407" s="29" t="s">
        <v>1413</v>
      </c>
    </row>
    <row r="408" spans="1:3">
      <c r="A408" s="29">
        <v>510151</v>
      </c>
      <c r="B408" s="29" t="s">
        <v>1414</v>
      </c>
    </row>
    <row r="409" spans="1:3">
      <c r="A409" s="29">
        <v>510152</v>
      </c>
      <c r="B409" s="29" t="s">
        <v>1415</v>
      </c>
    </row>
    <row r="410" spans="1:3">
      <c r="A410" s="29">
        <v>510153</v>
      </c>
      <c r="B410" s="29" t="s">
        <v>1416</v>
      </c>
    </row>
    <row r="411" spans="1:3">
      <c r="A411" s="29">
        <v>510154</v>
      </c>
      <c r="B411" s="283" t="s">
        <v>1418</v>
      </c>
    </row>
    <row r="412" spans="1:3">
      <c r="A412" s="29">
        <v>510155</v>
      </c>
      <c r="B412" s="283" t="s">
        <v>1420</v>
      </c>
    </row>
    <row r="413" spans="1:3">
      <c r="A413" s="29">
        <v>510156</v>
      </c>
      <c r="B413" s="29" t="s">
        <v>1421</v>
      </c>
    </row>
    <row r="414" spans="1:3">
      <c r="A414" s="29">
        <v>510158</v>
      </c>
      <c r="B414" s="283" t="s">
        <v>1423</v>
      </c>
    </row>
    <row r="415" spans="1:3">
      <c r="A415" s="29">
        <v>510161</v>
      </c>
      <c r="B415" s="29" t="s">
        <v>1424</v>
      </c>
    </row>
    <row r="416" spans="1:3">
      <c r="A416" s="30" t="s">
        <v>1425</v>
      </c>
      <c r="B416" s="30"/>
      <c r="C416" s="30"/>
    </row>
    <row r="417" spans="1:3">
      <c r="A417" s="29">
        <v>520208</v>
      </c>
      <c r="B417" s="29" t="s">
        <v>1426</v>
      </c>
    </row>
    <row r="418" spans="1:3">
      <c r="A418" s="29">
        <v>520209</v>
      </c>
      <c r="B418" s="29" t="s">
        <v>1427</v>
      </c>
    </row>
    <row r="419" spans="1:3">
      <c r="A419" s="29">
        <v>520210</v>
      </c>
      <c r="B419" s="29" t="s">
        <v>1428</v>
      </c>
    </row>
    <row r="420" spans="1:3">
      <c r="A420" s="29">
        <v>520211</v>
      </c>
      <c r="B420" s="29" t="s">
        <v>1429</v>
      </c>
    </row>
    <row r="421" spans="1:3">
      <c r="A421" s="29">
        <v>520212</v>
      </c>
      <c r="B421" s="29" t="s">
        <v>1430</v>
      </c>
    </row>
    <row r="422" spans="1:3">
      <c r="A422" s="29">
        <v>520213</v>
      </c>
      <c r="B422" s="29" t="s">
        <v>1431</v>
      </c>
    </row>
    <row r="423" spans="1:3">
      <c r="A423" s="29">
        <v>520217</v>
      </c>
      <c r="B423" s="29" t="s">
        <v>1432</v>
      </c>
    </row>
    <row r="424" spans="1:3">
      <c r="A424" s="30" t="s">
        <v>1433</v>
      </c>
      <c r="B424" s="30"/>
      <c r="C424" s="30"/>
    </row>
    <row r="425" spans="1:3">
      <c r="A425" s="29">
        <v>530301</v>
      </c>
      <c r="B425" s="29" t="s">
        <v>1434</v>
      </c>
    </row>
    <row r="426" spans="1:3">
      <c r="A426" s="29">
        <v>530304</v>
      </c>
      <c r="B426" s="29" t="s">
        <v>1435</v>
      </c>
    </row>
    <row r="427" spans="1:3">
      <c r="A427" s="29">
        <v>530306</v>
      </c>
      <c r="B427" s="283" t="s">
        <v>1437</v>
      </c>
    </row>
    <row r="428" spans="1:3">
      <c r="A428" s="30" t="s">
        <v>1438</v>
      </c>
      <c r="B428" s="30"/>
      <c r="C428" s="30"/>
    </row>
    <row r="429" spans="1:3">
      <c r="A429" s="29">
        <v>540401</v>
      </c>
      <c r="B429" s="29" t="s">
        <v>1439</v>
      </c>
    </row>
    <row r="430" spans="1:3">
      <c r="A430" s="29">
        <v>540402</v>
      </c>
      <c r="B430" s="29" t="s">
        <v>1440</v>
      </c>
    </row>
    <row r="431" spans="1:3">
      <c r="A431" s="29">
        <v>540403</v>
      </c>
      <c r="B431" s="29" t="s">
        <v>1441</v>
      </c>
    </row>
    <row r="432" spans="1:3">
      <c r="A432" s="30" t="s">
        <v>1442</v>
      </c>
      <c r="B432" s="30"/>
      <c r="C432" s="30"/>
    </row>
    <row r="433" spans="1:3">
      <c r="A433" s="29">
        <v>550501</v>
      </c>
      <c r="B433" s="29" t="s">
        <v>1443</v>
      </c>
    </row>
    <row r="434" spans="1:3">
      <c r="A434" s="30" t="s">
        <v>1444</v>
      </c>
      <c r="B434" s="30"/>
      <c r="C434" s="30"/>
    </row>
    <row r="435" spans="1:3">
      <c r="A435" s="29">
        <v>560602</v>
      </c>
      <c r="B435" s="29" t="s">
        <v>1445</v>
      </c>
    </row>
    <row r="436" spans="1:3">
      <c r="A436" s="29">
        <v>560603</v>
      </c>
      <c r="B436" s="29" t="s">
        <v>1446</v>
      </c>
    </row>
    <row r="437" spans="1:3">
      <c r="A437" s="29">
        <v>560604</v>
      </c>
      <c r="B437" s="29" t="s">
        <v>1447</v>
      </c>
    </row>
    <row r="438" spans="1:3">
      <c r="A438" s="29">
        <v>560605</v>
      </c>
      <c r="B438" s="29" t="s">
        <v>1448</v>
      </c>
    </row>
    <row r="439" spans="1:3">
      <c r="A439" s="29">
        <v>560606</v>
      </c>
      <c r="B439" s="29" t="s">
        <v>1449</v>
      </c>
    </row>
    <row r="440" spans="1:3">
      <c r="A440" s="29">
        <v>560609</v>
      </c>
      <c r="B440" s="29" t="s">
        <v>1450</v>
      </c>
    </row>
    <row r="441" spans="1:3">
      <c r="A441" s="29">
        <v>560610</v>
      </c>
      <c r="B441" s="29" t="s">
        <v>1451</v>
      </c>
    </row>
    <row r="442" spans="1:3">
      <c r="A442" s="29">
        <v>560620</v>
      </c>
      <c r="B442" s="29" t="s">
        <v>1452</v>
      </c>
    </row>
    <row r="443" spans="1:3">
      <c r="A443" s="29">
        <v>560621</v>
      </c>
      <c r="B443" s="29" t="s">
        <v>1453</v>
      </c>
    </row>
    <row r="444" spans="1:3">
      <c r="A444" s="29">
        <v>560625</v>
      </c>
      <c r="B444" s="29" t="s">
        <v>1454</v>
      </c>
    </row>
    <row r="445" spans="1:3">
      <c r="A445" s="29">
        <v>560626</v>
      </c>
      <c r="B445" s="29" t="s">
        <v>1455</v>
      </c>
    </row>
    <row r="446" spans="1:3">
      <c r="A446" s="29">
        <v>560631</v>
      </c>
      <c r="B446" s="29" t="s">
        <v>1456</v>
      </c>
    </row>
    <row r="447" spans="1:3">
      <c r="A447" s="30" t="s">
        <v>1457</v>
      </c>
      <c r="B447" s="30"/>
      <c r="C447" s="30"/>
    </row>
    <row r="448" spans="1:3">
      <c r="A448" s="29">
        <v>570160</v>
      </c>
      <c r="B448" s="29" t="s">
        <v>1458</v>
      </c>
    </row>
    <row r="449" spans="1:3">
      <c r="A449" s="29">
        <v>570161</v>
      </c>
      <c r="B449" s="29" t="s">
        <v>1459</v>
      </c>
    </row>
    <row r="450" spans="1:3">
      <c r="A450" s="29">
        <v>570162</v>
      </c>
      <c r="B450" s="29" t="s">
        <v>1460</v>
      </c>
    </row>
    <row r="451" spans="1:3">
      <c r="A451" s="29">
        <v>570163</v>
      </c>
      <c r="B451" s="29" t="s">
        <v>1461</v>
      </c>
    </row>
    <row r="452" spans="1:3">
      <c r="A452" s="30" t="s">
        <v>1462</v>
      </c>
      <c r="B452" s="30"/>
      <c r="C452" s="30"/>
    </row>
    <row r="453" spans="1:3">
      <c r="A453" s="29">
        <v>580701</v>
      </c>
      <c r="B453" s="29" t="s">
        <v>1463</v>
      </c>
    </row>
    <row r="454" spans="1:3">
      <c r="A454" s="29">
        <v>580702</v>
      </c>
      <c r="B454" s="29" t="s">
        <v>1464</v>
      </c>
    </row>
    <row r="455" spans="1:3">
      <c r="A455" s="29">
        <v>580705</v>
      </c>
      <c r="B455" s="283" t="s">
        <v>1466</v>
      </c>
    </row>
    <row r="456" spans="1:3">
      <c r="A456" s="29">
        <v>580751</v>
      </c>
      <c r="B456" s="29" t="s">
        <v>1467</v>
      </c>
    </row>
    <row r="457" spans="1:3">
      <c r="A457" s="29">
        <v>580752</v>
      </c>
      <c r="B457" s="29" t="s">
        <v>1468</v>
      </c>
    </row>
    <row r="458" spans="1:3">
      <c r="A458" s="29">
        <v>580754</v>
      </c>
      <c r="B458" s="29" t="s">
        <v>1469</v>
      </c>
    </row>
    <row r="459" spans="1:3">
      <c r="A459" s="30" t="s">
        <v>1470</v>
      </c>
      <c r="B459" s="30"/>
      <c r="C459" s="30"/>
    </row>
    <row r="460" spans="1:3">
      <c r="A460" s="29">
        <v>590901</v>
      </c>
      <c r="B460" s="29" t="s">
        <v>1471</v>
      </c>
    </row>
    <row r="461" spans="1:3">
      <c r="A461" s="29">
        <v>590903</v>
      </c>
      <c r="B461" s="29" t="s">
        <v>1472</v>
      </c>
    </row>
    <row r="462" spans="1:3">
      <c r="A462" s="29">
        <v>590904</v>
      </c>
      <c r="B462" s="29" t="s">
        <v>1473</v>
      </c>
    </row>
    <row r="463" spans="1:3">
      <c r="A463" s="29">
        <v>590905</v>
      </c>
      <c r="B463" s="29" t="s">
        <v>1474</v>
      </c>
    </row>
    <row r="464" spans="1:3">
      <c r="A464" s="29">
        <v>590907</v>
      </c>
      <c r="B464" s="29" t="s">
        <v>1475</v>
      </c>
    </row>
    <row r="465" spans="1:3">
      <c r="A465" s="29">
        <v>590908</v>
      </c>
      <c r="B465" s="29" t="s">
        <v>1476</v>
      </c>
    </row>
    <row r="466" spans="1:3">
      <c r="A466" s="30" t="s">
        <v>1477</v>
      </c>
      <c r="B466" s="30"/>
      <c r="C466" s="30"/>
    </row>
    <row r="467" spans="1:3">
      <c r="A467" s="29">
        <v>600101</v>
      </c>
      <c r="B467" s="29" t="s">
        <v>1478</v>
      </c>
    </row>
    <row r="468" spans="1:3">
      <c r="A468" s="29">
        <v>600102</v>
      </c>
      <c r="B468" s="29" t="s">
        <v>1479</v>
      </c>
    </row>
    <row r="469" spans="1:3">
      <c r="A469" s="29">
        <v>600103</v>
      </c>
      <c r="B469" s="29" t="s">
        <v>1480</v>
      </c>
    </row>
    <row r="470" spans="1:3">
      <c r="A470" s="29">
        <v>600107</v>
      </c>
      <c r="B470" s="29" t="s">
        <v>1481</v>
      </c>
    </row>
    <row r="471" spans="1:3">
      <c r="A471" s="29">
        <v>600108</v>
      </c>
      <c r="B471" s="29" t="s">
        <v>1482</v>
      </c>
    </row>
    <row r="472" spans="1:3">
      <c r="A472" s="29">
        <v>600109</v>
      </c>
      <c r="B472" s="29" t="s">
        <v>1483</v>
      </c>
    </row>
    <row r="473" spans="1:3">
      <c r="A473" s="29">
        <v>600110</v>
      </c>
      <c r="B473" s="29" t="s">
        <v>1484</v>
      </c>
    </row>
    <row r="474" spans="1:3">
      <c r="A474" s="29">
        <v>600115</v>
      </c>
      <c r="B474" s="29" t="s">
        <v>1485</v>
      </c>
    </row>
    <row r="475" spans="1:3">
      <c r="A475" s="29">
        <v>600119</v>
      </c>
      <c r="B475" s="29" t="s">
        <v>1486</v>
      </c>
    </row>
    <row r="511" spans="1:1">
      <c r="A511" s="29" t="s">
        <v>1487</v>
      </c>
    </row>
  </sheetData>
  <sortState xmlns:xlrd2="http://schemas.microsoft.com/office/spreadsheetml/2017/richdata2" ref="A3:B36">
    <sortCondition ref="A3:A36"/>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8"/>
  <dimension ref="B1:G16"/>
  <sheetViews>
    <sheetView workbookViewId="0">
      <selection activeCell="C2" sqref="C2:C16"/>
    </sheetView>
  </sheetViews>
  <sheetFormatPr baseColWidth="10" defaultColWidth="9.3984375" defaultRowHeight="13"/>
  <cols>
    <col min="1" max="2" width="9.3984375" style="1"/>
    <col min="3" max="3" width="9.3984375" style="8"/>
    <col min="4" max="16384" width="9.3984375" style="1"/>
  </cols>
  <sheetData>
    <row r="1" spans="2:7">
      <c r="B1" s="1" t="s">
        <v>2044</v>
      </c>
    </row>
    <row r="2" spans="2:7">
      <c r="B2" s="1" t="s">
        <v>2045</v>
      </c>
      <c r="C2" s="8" t="s">
        <v>2046</v>
      </c>
      <c r="D2" s="1">
        <v>1</v>
      </c>
      <c r="E2" s="1" t="s">
        <v>2047</v>
      </c>
      <c r="G2" s="8"/>
    </row>
    <row r="3" spans="2:7">
      <c r="B3" s="1" t="s">
        <v>2045</v>
      </c>
      <c r="C3" s="8" t="s">
        <v>2048</v>
      </c>
      <c r="D3" s="1">
        <v>2</v>
      </c>
      <c r="E3" s="1" t="s">
        <v>2049</v>
      </c>
      <c r="G3" s="8"/>
    </row>
    <row r="4" spans="2:7">
      <c r="B4" s="1" t="s">
        <v>2045</v>
      </c>
      <c r="C4" s="8" t="s">
        <v>2050</v>
      </c>
      <c r="D4" s="1">
        <v>4</v>
      </c>
      <c r="G4" s="8"/>
    </row>
    <row r="5" spans="2:7">
      <c r="B5" s="1" t="s">
        <v>2045</v>
      </c>
      <c r="C5" s="8" t="s">
        <v>2051</v>
      </c>
      <c r="D5" s="1">
        <v>5</v>
      </c>
      <c r="G5" s="8"/>
    </row>
    <row r="6" spans="2:7">
      <c r="B6" s="1" t="s">
        <v>2045</v>
      </c>
      <c r="C6" s="8" t="s">
        <v>2052</v>
      </c>
      <c r="D6" s="1">
        <v>6</v>
      </c>
      <c r="G6" s="8"/>
    </row>
    <row r="7" spans="2:7">
      <c r="B7" s="1" t="s">
        <v>2045</v>
      </c>
      <c r="C7" s="8" t="s">
        <v>2053</v>
      </c>
      <c r="D7" s="1">
        <v>7</v>
      </c>
      <c r="G7" s="8"/>
    </row>
    <row r="8" spans="2:7">
      <c r="B8" s="1" t="s">
        <v>2045</v>
      </c>
      <c r="C8" s="8" t="s">
        <v>140</v>
      </c>
      <c r="D8" s="1">
        <v>8</v>
      </c>
    </row>
    <row r="9" spans="2:7">
      <c r="B9" s="1" t="s">
        <v>2045</v>
      </c>
      <c r="C9" s="8" t="s">
        <v>2054</v>
      </c>
      <c r="D9" s="1">
        <v>9</v>
      </c>
    </row>
    <row r="10" spans="2:7">
      <c r="B10" s="1" t="s">
        <v>2045</v>
      </c>
      <c r="C10" s="8" t="s">
        <v>2055</v>
      </c>
      <c r="D10" s="1">
        <v>10</v>
      </c>
    </row>
    <row r="11" spans="2:7">
      <c r="B11" s="1" t="s">
        <v>2045</v>
      </c>
      <c r="C11" s="8" t="s">
        <v>2056</v>
      </c>
    </row>
    <row r="12" spans="2:7">
      <c r="B12" s="1" t="s">
        <v>2045</v>
      </c>
      <c r="C12" s="8" t="s">
        <v>2057</v>
      </c>
    </row>
    <row r="13" spans="2:7">
      <c r="B13" s="1" t="s">
        <v>2045</v>
      </c>
      <c r="C13" s="8" t="s">
        <v>2058</v>
      </c>
    </row>
    <row r="14" spans="2:7">
      <c r="B14" s="1" t="s">
        <v>2045</v>
      </c>
      <c r="C14" s="8" t="s">
        <v>2059</v>
      </c>
    </row>
    <row r="15" spans="2:7">
      <c r="B15" s="1" t="s">
        <v>2045</v>
      </c>
      <c r="C15" s="8" t="s">
        <v>2060</v>
      </c>
      <c r="G15" s="8"/>
    </row>
    <row r="16" spans="2:7">
      <c r="C16" s="8" t="s">
        <v>2061</v>
      </c>
    </row>
  </sheetData>
  <sortState xmlns:xlrd2="http://schemas.microsoft.com/office/spreadsheetml/2017/richdata2" ref="B2:C14">
    <sortCondition ref="C2:C14"/>
  </sortState>
  <dataValidations count="1">
    <dataValidation type="list" allowBlank="1" showInputMessage="1" showErrorMessage="1" sqref="G2 G4:G7 C8:C14 C2:C6" xr:uid="{00000000-0002-0000-0700-000000000000}">
      <formula1>UoM</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C1:H15"/>
  <sheetViews>
    <sheetView workbookViewId="0">
      <selection activeCell="V22" sqref="V20:V22"/>
    </sheetView>
  </sheetViews>
  <sheetFormatPr baseColWidth="10" defaultColWidth="9.3984375" defaultRowHeight="13"/>
  <cols>
    <col min="1" max="2" width="9.3984375" style="1"/>
    <col min="3" max="3" width="9.3984375" style="8"/>
    <col min="4" max="16384" width="9.3984375" style="1"/>
  </cols>
  <sheetData>
    <row r="1" spans="6:8">
      <c r="F1" s="1" t="s">
        <v>2062</v>
      </c>
    </row>
    <row r="2" spans="6:8">
      <c r="F2" s="1" t="s">
        <v>2045</v>
      </c>
      <c r="G2" s="8" t="s">
        <v>2046</v>
      </c>
      <c r="H2" s="1">
        <v>1</v>
      </c>
    </row>
    <row r="3" spans="6:8">
      <c r="F3" s="1" t="s">
        <v>2045</v>
      </c>
      <c r="G3" s="8" t="s">
        <v>2060</v>
      </c>
      <c r="H3" s="1">
        <v>2</v>
      </c>
    </row>
    <row r="4" spans="6:8">
      <c r="F4" s="1" t="s">
        <v>2045</v>
      </c>
      <c r="G4" s="8" t="s">
        <v>2051</v>
      </c>
      <c r="H4" s="1">
        <v>4</v>
      </c>
    </row>
    <row r="5" spans="6:8">
      <c r="F5" s="1" t="s">
        <v>2045</v>
      </c>
      <c r="G5" s="8" t="s">
        <v>140</v>
      </c>
      <c r="H5" s="1">
        <v>5</v>
      </c>
    </row>
    <row r="6" spans="6:8">
      <c r="F6" s="1" t="s">
        <v>2045</v>
      </c>
      <c r="G6" s="8" t="s">
        <v>2052</v>
      </c>
      <c r="H6" s="1">
        <v>6</v>
      </c>
    </row>
    <row r="7" spans="6:8">
      <c r="F7" s="1" t="s">
        <v>2045</v>
      </c>
      <c r="G7" s="8" t="s">
        <v>2056</v>
      </c>
      <c r="H7" s="1">
        <v>7</v>
      </c>
    </row>
    <row r="8" spans="6:8">
      <c r="G8" s="8" t="s">
        <v>2061</v>
      </c>
    </row>
    <row r="15" spans="6:8">
      <c r="G15" s="8"/>
    </row>
  </sheetData>
  <dataValidations count="1">
    <dataValidation type="list" allowBlank="1" showInputMessage="1" showErrorMessage="1" sqref="C2:C13 G2 G4:G7" xr:uid="{00000000-0002-0000-0800-000000000000}">
      <formula1>UoM</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9"/>
  <dimension ref="B1:F94"/>
  <sheetViews>
    <sheetView topLeftCell="B1" workbookViewId="0">
      <selection activeCell="C32" sqref="C32"/>
    </sheetView>
  </sheetViews>
  <sheetFormatPr baseColWidth="10" defaultColWidth="9" defaultRowHeight="13"/>
  <cols>
    <col min="1" max="1" width="9.3984375" customWidth="1"/>
    <col min="2" max="2" width="20.19921875" customWidth="1"/>
    <col min="3" max="3" width="55" customWidth="1"/>
    <col min="4" max="4" width="9.3984375" customWidth="1"/>
    <col min="5" max="5" width="104.3984375" style="1" customWidth="1"/>
    <col min="6" max="6" width="9.3984375" style="1"/>
  </cols>
  <sheetData>
    <row r="1" spans="2:6">
      <c r="E1" s="1" t="s">
        <v>2063</v>
      </c>
      <c r="F1" s="1" t="s">
        <v>2064</v>
      </c>
    </row>
    <row r="2" spans="2:6">
      <c r="D2" s="10"/>
      <c r="E2" s="1" t="s">
        <v>2065</v>
      </c>
      <c r="F2" s="1" t="s">
        <v>2066</v>
      </c>
    </row>
    <row r="3" spans="2:6">
      <c r="B3" s="9" t="s">
        <v>2067</v>
      </c>
      <c r="C3" s="9" t="s">
        <v>2068</v>
      </c>
      <c r="D3" s="1" t="s">
        <v>2065</v>
      </c>
      <c r="E3" s="1" t="s">
        <v>2069</v>
      </c>
      <c r="F3" s="1" t="s">
        <v>2070</v>
      </c>
    </row>
    <row r="4" spans="2:6">
      <c r="B4" s="9" t="s">
        <v>2067</v>
      </c>
      <c r="C4" s="9" t="s">
        <v>2071</v>
      </c>
      <c r="D4" s="1" t="s">
        <v>2065</v>
      </c>
      <c r="E4" s="1" t="s">
        <v>2072</v>
      </c>
      <c r="F4" s="1" t="s">
        <v>2073</v>
      </c>
    </row>
    <row r="5" spans="2:6">
      <c r="B5" s="9" t="s">
        <v>2067</v>
      </c>
      <c r="C5" s="9" t="s">
        <v>2074</v>
      </c>
      <c r="D5" s="1" t="s">
        <v>2065</v>
      </c>
      <c r="E5" s="1" t="s">
        <v>2075</v>
      </c>
      <c r="F5" s="1" t="s">
        <v>2076</v>
      </c>
    </row>
    <row r="6" spans="2:6">
      <c r="B6" s="10"/>
      <c r="C6" s="10"/>
      <c r="D6" s="1" t="s">
        <v>2065</v>
      </c>
      <c r="E6" s="1" t="s">
        <v>2077</v>
      </c>
      <c r="F6" s="1" t="s">
        <v>2078</v>
      </c>
    </row>
    <row r="7" spans="2:6">
      <c r="B7" s="9"/>
      <c r="C7" s="10"/>
      <c r="D7" s="1" t="s">
        <v>2065</v>
      </c>
      <c r="E7" s="1" t="s">
        <v>2079</v>
      </c>
      <c r="F7" s="1" t="s">
        <v>2080</v>
      </c>
    </row>
    <row r="8" spans="2:6">
      <c r="B8" s="9" t="s">
        <v>2081</v>
      </c>
      <c r="C8" s="9" t="s">
        <v>2082</v>
      </c>
      <c r="D8" s="1" t="s">
        <v>2065</v>
      </c>
      <c r="E8" s="1" t="s">
        <v>2083</v>
      </c>
      <c r="F8" s="1" t="s">
        <v>2084</v>
      </c>
    </row>
    <row r="9" spans="2:6">
      <c r="B9" s="9" t="s">
        <v>2081</v>
      </c>
      <c r="C9" s="9" t="s">
        <v>2085</v>
      </c>
      <c r="D9" s="1" t="s">
        <v>2065</v>
      </c>
      <c r="E9" s="1" t="s">
        <v>2086</v>
      </c>
      <c r="F9" s="1" t="s">
        <v>2087</v>
      </c>
    </row>
    <row r="10" spans="2:6">
      <c r="B10" s="9" t="s">
        <v>2081</v>
      </c>
      <c r="C10" s="9" t="s">
        <v>2088</v>
      </c>
      <c r="D10" s="1" t="s">
        <v>2065</v>
      </c>
      <c r="E10" s="1" t="s">
        <v>2089</v>
      </c>
      <c r="F10" s="1" t="s">
        <v>2090</v>
      </c>
    </row>
    <row r="11" spans="2:6">
      <c r="B11" s="10"/>
      <c r="C11" s="10"/>
      <c r="D11" s="1" t="s">
        <v>2065</v>
      </c>
      <c r="E11" s="1" t="s">
        <v>2091</v>
      </c>
      <c r="F11" s="1" t="s">
        <v>2092</v>
      </c>
    </row>
    <row r="12" spans="2:6">
      <c r="B12" s="10"/>
      <c r="C12" s="10"/>
      <c r="D12" s="1" t="s">
        <v>2065</v>
      </c>
      <c r="E12" s="1" t="s">
        <v>2093</v>
      </c>
      <c r="F12" s="1" t="s">
        <v>2094</v>
      </c>
    </row>
    <row r="13" spans="2:6">
      <c r="D13" s="1" t="s">
        <v>2065</v>
      </c>
      <c r="E13" s="1" t="s">
        <v>2095</v>
      </c>
      <c r="F13" s="1" t="s">
        <v>2096</v>
      </c>
    </row>
    <row r="14" spans="2:6">
      <c r="C14" s="1" t="s">
        <v>520</v>
      </c>
      <c r="D14" s="1" t="s">
        <v>2065</v>
      </c>
      <c r="E14" s="1" t="s">
        <v>2097</v>
      </c>
      <c r="F14" s="1" t="s">
        <v>2098</v>
      </c>
    </row>
    <row r="15" spans="2:6">
      <c r="C15" s="1" t="s">
        <v>521</v>
      </c>
      <c r="D15" s="1" t="s">
        <v>2065</v>
      </c>
      <c r="E15" s="1" t="s">
        <v>2099</v>
      </c>
      <c r="F15" s="1" t="s">
        <v>2100</v>
      </c>
    </row>
    <row r="16" spans="2:6">
      <c r="C16" s="1" t="s">
        <v>522</v>
      </c>
      <c r="D16" s="1" t="s">
        <v>2065</v>
      </c>
      <c r="E16" s="1" t="s">
        <v>2101</v>
      </c>
      <c r="F16" s="1" t="s">
        <v>2102</v>
      </c>
    </row>
    <row r="17" spans="3:6">
      <c r="C17" s="1" t="s">
        <v>523</v>
      </c>
      <c r="D17" s="1" t="s">
        <v>2065</v>
      </c>
      <c r="E17" s="1" t="s">
        <v>2103</v>
      </c>
      <c r="F17" s="1" t="s">
        <v>2104</v>
      </c>
    </row>
    <row r="18" spans="3:6">
      <c r="C18" s="1" t="s">
        <v>524</v>
      </c>
      <c r="D18" s="1" t="s">
        <v>2065</v>
      </c>
      <c r="E18" s="1" t="s">
        <v>2105</v>
      </c>
      <c r="F18" s="1" t="s">
        <v>2106</v>
      </c>
    </row>
    <row r="19" spans="3:6">
      <c r="C19" s="1" t="s">
        <v>525</v>
      </c>
      <c r="D19" s="1" t="s">
        <v>2065</v>
      </c>
      <c r="E19" s="1" t="s">
        <v>2107</v>
      </c>
      <c r="F19" s="1" t="s">
        <v>2108</v>
      </c>
    </row>
    <row r="20" spans="3:6">
      <c r="C20" s="1"/>
      <c r="D20" s="1" t="s">
        <v>2109</v>
      </c>
      <c r="E20" s="1" t="s">
        <v>2109</v>
      </c>
      <c r="F20" s="1" t="s">
        <v>2110</v>
      </c>
    </row>
    <row r="21" spans="3:6">
      <c r="C21" s="1"/>
      <c r="D21" s="1" t="s">
        <v>2109</v>
      </c>
      <c r="E21" s="1" t="s">
        <v>2111</v>
      </c>
      <c r="F21" s="1" t="s">
        <v>2112</v>
      </c>
    </row>
    <row r="22" spans="3:6">
      <c r="D22" s="1" t="s">
        <v>2109</v>
      </c>
      <c r="E22" s="1" t="s">
        <v>2113</v>
      </c>
      <c r="F22" s="1" t="s">
        <v>2114</v>
      </c>
    </row>
    <row r="23" spans="3:6">
      <c r="C23" s="1" t="s">
        <v>2115</v>
      </c>
      <c r="D23" s="1" t="s">
        <v>2109</v>
      </c>
      <c r="E23" s="1" t="s">
        <v>2116</v>
      </c>
      <c r="F23" s="1" t="s">
        <v>2117</v>
      </c>
    </row>
    <row r="24" spans="3:6">
      <c r="C24" s="1" t="s">
        <v>2118</v>
      </c>
      <c r="D24" s="1" t="s">
        <v>2109</v>
      </c>
      <c r="E24" s="1" t="s">
        <v>2119</v>
      </c>
      <c r="F24" s="1" t="s">
        <v>2120</v>
      </c>
    </row>
    <row r="25" spans="3:6">
      <c r="C25" s="1" t="s">
        <v>2121</v>
      </c>
      <c r="D25" s="1" t="s">
        <v>2109</v>
      </c>
      <c r="E25" s="1" t="s">
        <v>2122</v>
      </c>
      <c r="F25" s="1" t="s">
        <v>2123</v>
      </c>
    </row>
    <row r="26" spans="3:6">
      <c r="C26" s="1" t="s">
        <v>2124</v>
      </c>
      <c r="D26" s="1" t="s">
        <v>2109</v>
      </c>
      <c r="E26" s="1" t="s">
        <v>2125</v>
      </c>
      <c r="F26" s="1" t="s">
        <v>2126</v>
      </c>
    </row>
    <row r="27" spans="3:6">
      <c r="C27" s="1" t="s">
        <v>2127</v>
      </c>
      <c r="D27" s="1" t="s">
        <v>2109</v>
      </c>
      <c r="E27" s="1" t="s">
        <v>2128</v>
      </c>
      <c r="F27" s="1" t="s">
        <v>2129</v>
      </c>
    </row>
    <row r="28" spans="3:6">
      <c r="C28" s="1" t="s">
        <v>2130</v>
      </c>
      <c r="D28" s="1" t="s">
        <v>2109</v>
      </c>
      <c r="E28" s="1" t="s">
        <v>2131</v>
      </c>
      <c r="F28" s="1" t="s">
        <v>2132</v>
      </c>
    </row>
    <row r="29" spans="3:6">
      <c r="C29" s="1" t="s">
        <v>2133</v>
      </c>
      <c r="E29" s="1" t="s">
        <v>2134</v>
      </c>
      <c r="F29" s="1" t="s">
        <v>2135</v>
      </c>
    </row>
    <row r="30" spans="3:6">
      <c r="D30" s="1" t="s">
        <v>2134</v>
      </c>
      <c r="E30" s="1" t="s">
        <v>2136</v>
      </c>
      <c r="F30" s="1" t="s">
        <v>2137</v>
      </c>
    </row>
    <row r="31" spans="3:6">
      <c r="C31" s="1" t="s">
        <v>123</v>
      </c>
      <c r="D31" s="1" t="s">
        <v>2134</v>
      </c>
      <c r="E31" s="1" t="s">
        <v>2138</v>
      </c>
      <c r="F31" s="1" t="s">
        <v>2139</v>
      </c>
    </row>
    <row r="32" spans="3:6">
      <c r="C32" s="1" t="s">
        <v>2140</v>
      </c>
      <c r="D32" s="1" t="s">
        <v>2134</v>
      </c>
      <c r="E32" s="1" t="s">
        <v>2141</v>
      </c>
      <c r="F32" s="1" t="s">
        <v>2142</v>
      </c>
    </row>
    <row r="33" spans="4:6">
      <c r="D33" s="1" t="s">
        <v>2134</v>
      </c>
      <c r="E33" s="1" t="s">
        <v>2143</v>
      </c>
      <c r="F33" s="1" t="s">
        <v>2144</v>
      </c>
    </row>
    <row r="34" spans="4:6">
      <c r="D34" s="1" t="s">
        <v>2134</v>
      </c>
      <c r="E34" s="1" t="s">
        <v>2145</v>
      </c>
      <c r="F34" s="1" t="s">
        <v>2146</v>
      </c>
    </row>
    <row r="35" spans="4:6">
      <c r="D35" s="1" t="s">
        <v>2134</v>
      </c>
      <c r="E35" s="1" t="s">
        <v>2147</v>
      </c>
      <c r="F35" s="1" t="s">
        <v>2148</v>
      </c>
    </row>
    <row r="36" spans="4:6">
      <c r="D36" s="1" t="s">
        <v>2134</v>
      </c>
      <c r="E36" s="1" t="s">
        <v>2149</v>
      </c>
      <c r="F36" s="1" t="s">
        <v>2150</v>
      </c>
    </row>
    <row r="37" spans="4:6">
      <c r="D37" s="1" t="s">
        <v>2134</v>
      </c>
      <c r="E37" s="1" t="s">
        <v>2151</v>
      </c>
      <c r="F37" s="1" t="s">
        <v>2152</v>
      </c>
    </row>
    <row r="38" spans="4:6">
      <c r="D38" s="1" t="s">
        <v>2134</v>
      </c>
      <c r="E38" s="1" t="s">
        <v>2153</v>
      </c>
      <c r="F38" s="1" t="s">
        <v>2154</v>
      </c>
    </row>
    <row r="39" spans="4:6">
      <c r="D39" s="1" t="s">
        <v>2134</v>
      </c>
      <c r="E39" s="1" t="s">
        <v>2155</v>
      </c>
      <c r="F39" s="1" t="s">
        <v>2156</v>
      </c>
    </row>
    <row r="40" spans="4:6">
      <c r="D40" s="1" t="s">
        <v>2134</v>
      </c>
      <c r="E40" s="1" t="s">
        <v>2157</v>
      </c>
      <c r="F40" s="1" t="s">
        <v>2158</v>
      </c>
    </row>
    <row r="41" spans="4:6">
      <c r="D41" s="1" t="s">
        <v>2134</v>
      </c>
      <c r="E41" s="1" t="s">
        <v>2159</v>
      </c>
      <c r="F41" s="1" t="s">
        <v>2160</v>
      </c>
    </row>
    <row r="42" spans="4:6">
      <c r="D42" s="1" t="s">
        <v>2134</v>
      </c>
      <c r="E42" s="1" t="s">
        <v>2161</v>
      </c>
      <c r="F42" s="1" t="s">
        <v>2162</v>
      </c>
    </row>
    <row r="43" spans="4:6">
      <c r="D43" s="1" t="s">
        <v>2134</v>
      </c>
      <c r="E43" s="1" t="s">
        <v>2163</v>
      </c>
      <c r="F43" s="1" t="s">
        <v>2164</v>
      </c>
    </row>
    <row r="44" spans="4:6">
      <c r="D44" s="1" t="s">
        <v>2134</v>
      </c>
      <c r="E44" s="1" t="s">
        <v>2165</v>
      </c>
      <c r="F44" s="1" t="s">
        <v>2166</v>
      </c>
    </row>
    <row r="45" spans="4:6">
      <c r="D45" s="1" t="s">
        <v>2134</v>
      </c>
      <c r="E45" s="1" t="s">
        <v>2167</v>
      </c>
      <c r="F45" s="1" t="s">
        <v>2168</v>
      </c>
    </row>
    <row r="46" spans="4:6">
      <c r="D46" s="1" t="s">
        <v>2134</v>
      </c>
      <c r="E46" s="1" t="s">
        <v>2169</v>
      </c>
      <c r="F46" s="1" t="s">
        <v>2170</v>
      </c>
    </row>
    <row r="47" spans="4:6">
      <c r="D47" s="1" t="s">
        <v>2171</v>
      </c>
      <c r="E47" s="1" t="s">
        <v>2171</v>
      </c>
      <c r="F47" s="1" t="s">
        <v>2172</v>
      </c>
    </row>
    <row r="48" spans="4:6">
      <c r="D48" s="1" t="s">
        <v>2171</v>
      </c>
      <c r="E48" s="1" t="s">
        <v>2173</v>
      </c>
      <c r="F48" s="1" t="s">
        <v>2174</v>
      </c>
    </row>
    <row r="49" spans="4:6">
      <c r="D49" s="1" t="s">
        <v>2171</v>
      </c>
      <c r="E49" s="1" t="s">
        <v>2175</v>
      </c>
      <c r="F49" s="1" t="s">
        <v>2176</v>
      </c>
    </row>
    <row r="50" spans="4:6">
      <c r="D50" s="1" t="s">
        <v>2171</v>
      </c>
      <c r="E50" s="1" t="s">
        <v>2177</v>
      </c>
      <c r="F50" s="1" t="s">
        <v>2178</v>
      </c>
    </row>
    <row r="51" spans="4:6">
      <c r="D51" s="1" t="s">
        <v>2171</v>
      </c>
      <c r="E51" s="1" t="s">
        <v>2179</v>
      </c>
      <c r="F51" s="1" t="s">
        <v>2180</v>
      </c>
    </row>
    <row r="52" spans="4:6">
      <c r="E52" s="1" t="s">
        <v>2181</v>
      </c>
      <c r="F52" s="1" t="s">
        <v>2182</v>
      </c>
    </row>
    <row r="53" spans="4:6">
      <c r="D53" s="1" t="s">
        <v>2181</v>
      </c>
      <c r="E53" s="1" t="s">
        <v>2183</v>
      </c>
      <c r="F53" s="1" t="s">
        <v>2184</v>
      </c>
    </row>
    <row r="54" spans="4:6">
      <c r="D54" s="1" t="s">
        <v>2181</v>
      </c>
      <c r="E54" s="1" t="s">
        <v>2185</v>
      </c>
      <c r="F54" s="1" t="s">
        <v>2186</v>
      </c>
    </row>
    <row r="55" spans="4:6">
      <c r="D55" s="1" t="s">
        <v>2181</v>
      </c>
      <c r="E55" s="1" t="s">
        <v>2187</v>
      </c>
      <c r="F55" s="1" t="s">
        <v>2188</v>
      </c>
    </row>
    <row r="56" spans="4:6">
      <c r="D56" s="1" t="s">
        <v>2181</v>
      </c>
      <c r="E56" s="1" t="s">
        <v>2189</v>
      </c>
      <c r="F56" s="1" t="s">
        <v>2190</v>
      </c>
    </row>
    <row r="57" spans="4:6">
      <c r="E57" s="1" t="s">
        <v>2191</v>
      </c>
      <c r="F57" s="1" t="s">
        <v>2192</v>
      </c>
    </row>
    <row r="58" spans="4:6">
      <c r="D58" s="1" t="s">
        <v>2191</v>
      </c>
      <c r="E58" s="1" t="s">
        <v>2193</v>
      </c>
      <c r="F58" s="1" t="s">
        <v>2194</v>
      </c>
    </row>
    <row r="59" spans="4:6">
      <c r="D59" s="1" t="s">
        <v>2191</v>
      </c>
      <c r="E59" s="1" t="s">
        <v>2195</v>
      </c>
      <c r="F59" s="1" t="s">
        <v>2196</v>
      </c>
    </row>
    <row r="60" spans="4:6">
      <c r="D60" s="1" t="s">
        <v>2191</v>
      </c>
      <c r="E60" s="1" t="s">
        <v>2197</v>
      </c>
      <c r="F60" s="1" t="s">
        <v>2198</v>
      </c>
    </row>
    <row r="61" spans="4:6">
      <c r="D61" s="1" t="s">
        <v>2191</v>
      </c>
      <c r="E61" s="1" t="s">
        <v>2199</v>
      </c>
      <c r="F61" s="1" t="s">
        <v>2200</v>
      </c>
    </row>
    <row r="62" spans="4:6">
      <c r="D62" s="1" t="s">
        <v>2191</v>
      </c>
      <c r="E62" s="1" t="s">
        <v>2201</v>
      </c>
      <c r="F62" s="1" t="s">
        <v>2202</v>
      </c>
    </row>
    <row r="63" spans="4:6">
      <c r="D63" s="1" t="s">
        <v>2191</v>
      </c>
      <c r="E63" s="1" t="s">
        <v>2203</v>
      </c>
      <c r="F63" s="1" t="s">
        <v>2204</v>
      </c>
    </row>
    <row r="64" spans="4:6">
      <c r="D64" s="1" t="s">
        <v>2191</v>
      </c>
      <c r="E64" s="1" t="s">
        <v>2205</v>
      </c>
      <c r="F64" s="1" t="s">
        <v>2206</v>
      </c>
    </row>
    <row r="65" spans="4:6">
      <c r="E65" s="1" t="s">
        <v>2207</v>
      </c>
      <c r="F65" s="1" t="s">
        <v>2208</v>
      </c>
    </row>
    <row r="66" spans="4:6">
      <c r="D66" s="1" t="s">
        <v>2207</v>
      </c>
      <c r="E66" s="1" t="s">
        <v>2209</v>
      </c>
      <c r="F66" s="1" t="s">
        <v>2210</v>
      </c>
    </row>
    <row r="67" spans="4:6">
      <c r="D67" s="1" t="s">
        <v>2207</v>
      </c>
      <c r="E67" s="1" t="s">
        <v>2211</v>
      </c>
      <c r="F67" s="1" t="s">
        <v>2212</v>
      </c>
    </row>
    <row r="68" spans="4:6">
      <c r="D68" s="1" t="s">
        <v>2207</v>
      </c>
      <c r="E68" s="1" t="s">
        <v>2213</v>
      </c>
      <c r="F68" s="1" t="s">
        <v>2214</v>
      </c>
    </row>
    <row r="69" spans="4:6">
      <c r="D69" s="1" t="s">
        <v>2207</v>
      </c>
      <c r="E69" s="1" t="s">
        <v>2215</v>
      </c>
      <c r="F69" s="1" t="s">
        <v>2216</v>
      </c>
    </row>
    <row r="70" spans="4:6">
      <c r="D70" s="1" t="s">
        <v>2207</v>
      </c>
      <c r="E70" s="1" t="s">
        <v>2217</v>
      </c>
      <c r="F70" s="1" t="s">
        <v>2218</v>
      </c>
    </row>
    <row r="71" spans="4:6">
      <c r="D71" s="1" t="s">
        <v>2207</v>
      </c>
      <c r="E71" s="1" t="s">
        <v>2219</v>
      </c>
      <c r="F71" s="1" t="s">
        <v>2220</v>
      </c>
    </row>
    <row r="72" spans="4:6">
      <c r="E72" s="1" t="s">
        <v>2221</v>
      </c>
      <c r="F72" s="1" t="s">
        <v>2222</v>
      </c>
    </row>
    <row r="73" spans="4:6">
      <c r="D73" s="1" t="s">
        <v>2221</v>
      </c>
      <c r="E73" s="1" t="s">
        <v>2223</v>
      </c>
      <c r="F73" s="1" t="s">
        <v>2224</v>
      </c>
    </row>
    <row r="74" spans="4:6">
      <c r="D74" s="1" t="s">
        <v>2221</v>
      </c>
      <c r="E74" s="1" t="s">
        <v>2225</v>
      </c>
      <c r="F74" s="1" t="s">
        <v>2226</v>
      </c>
    </row>
    <row r="75" spans="4:6">
      <c r="D75" s="1" t="s">
        <v>2221</v>
      </c>
      <c r="E75" s="1" t="s">
        <v>2227</v>
      </c>
      <c r="F75" s="1" t="s">
        <v>2228</v>
      </c>
    </row>
    <row r="76" spans="4:6">
      <c r="D76" s="1" t="s">
        <v>2221</v>
      </c>
      <c r="E76" s="1" t="s">
        <v>2229</v>
      </c>
      <c r="F76" s="1" t="s">
        <v>2230</v>
      </c>
    </row>
    <row r="77" spans="4:6">
      <c r="D77" s="1" t="s">
        <v>2221</v>
      </c>
      <c r="E77" s="1" t="s">
        <v>2231</v>
      </c>
      <c r="F77" s="1" t="s">
        <v>2232</v>
      </c>
    </row>
    <row r="78" spans="4:6">
      <c r="E78" s="1" t="s">
        <v>2233</v>
      </c>
      <c r="F78" s="1" t="s">
        <v>2234</v>
      </c>
    </row>
    <row r="79" spans="4:6">
      <c r="D79" s="1" t="s">
        <v>2233</v>
      </c>
      <c r="E79" s="1" t="s">
        <v>2235</v>
      </c>
      <c r="F79" s="1" t="s">
        <v>2236</v>
      </c>
    </row>
    <row r="80" spans="4:6">
      <c r="D80" s="1" t="s">
        <v>2233</v>
      </c>
      <c r="E80" s="1" t="s">
        <v>2237</v>
      </c>
      <c r="F80" s="1" t="s">
        <v>2238</v>
      </c>
    </row>
    <row r="81" spans="4:6">
      <c r="E81" s="1" t="s">
        <v>2239</v>
      </c>
      <c r="F81" s="1" t="s">
        <v>2240</v>
      </c>
    </row>
    <row r="82" spans="4:6">
      <c r="D82" s="1" t="s">
        <v>2239</v>
      </c>
      <c r="E82" s="1" t="s">
        <v>2241</v>
      </c>
      <c r="F82" s="1" t="s">
        <v>2242</v>
      </c>
    </row>
    <row r="83" spans="4:6">
      <c r="E83" s="1" t="s">
        <v>1527</v>
      </c>
    </row>
    <row r="84" spans="4:6">
      <c r="D84" s="1" t="s">
        <v>1527</v>
      </c>
      <c r="E84" s="1" t="s">
        <v>2243</v>
      </c>
      <c r="F84" s="1" t="s">
        <v>2244</v>
      </c>
    </row>
    <row r="85" spans="4:6">
      <c r="D85" s="1" t="s">
        <v>1527</v>
      </c>
      <c r="E85" s="1" t="s">
        <v>2245</v>
      </c>
      <c r="F85" s="1" t="s">
        <v>2246</v>
      </c>
    </row>
    <row r="86" spans="4:6">
      <c r="D86" s="1" t="s">
        <v>1527</v>
      </c>
      <c r="E86" s="1" t="s">
        <v>2247</v>
      </c>
      <c r="F86" s="1" t="s">
        <v>2248</v>
      </c>
    </row>
    <row r="87" spans="4:6">
      <c r="D87" s="1" t="s">
        <v>1527</v>
      </c>
      <c r="E87" s="1" t="s">
        <v>2249</v>
      </c>
      <c r="F87" s="1" t="s">
        <v>2250</v>
      </c>
    </row>
    <row r="88" spans="4:6">
      <c r="D88" s="1" t="s">
        <v>1527</v>
      </c>
      <c r="E88" s="1" t="s">
        <v>2251</v>
      </c>
      <c r="F88" s="1" t="s">
        <v>2252</v>
      </c>
    </row>
    <row r="89" spans="4:6">
      <c r="D89" s="1" t="s">
        <v>1527</v>
      </c>
      <c r="E89" s="1" t="s">
        <v>2253</v>
      </c>
      <c r="F89" s="1" t="s">
        <v>2254</v>
      </c>
    </row>
    <row r="90" spans="4:6">
      <c r="D90" s="1" t="s">
        <v>1527</v>
      </c>
      <c r="E90" s="1" t="s">
        <v>2255</v>
      </c>
      <c r="F90" s="1" t="s">
        <v>2256</v>
      </c>
    </row>
    <row r="91" spans="4:6">
      <c r="F91" s="1" t="s">
        <v>2257</v>
      </c>
    </row>
    <row r="92" spans="4:6">
      <c r="F92" s="1" t="s">
        <v>2258</v>
      </c>
    </row>
    <row r="93" spans="4:6">
      <c r="F93" s="1" t="s">
        <v>2259</v>
      </c>
    </row>
    <row r="94" spans="4:6">
      <c r="F94" s="1" t="s">
        <v>2260</v>
      </c>
    </row>
  </sheetData>
  <dataValidations count="3">
    <dataValidation type="list" allowBlank="1" showInputMessage="1" showErrorMessage="1" sqref="S28" xr:uid="{00000000-0002-0000-0900-000000000000}">
      <formula1>$C$3:$C$5</formula1>
    </dataValidation>
    <dataValidation type="list" allowBlank="1" showInputMessage="1" showErrorMessage="1" sqref="C8:C10" xr:uid="{00000000-0002-0000-0900-000001000000}">
      <formula1>$C$8:$C$10</formula1>
    </dataValidation>
    <dataValidation type="list" allowBlank="1" showInputMessage="1" showErrorMessage="1" sqref="C3:C5" xr:uid="{00000000-0002-0000-0900-000002000000}">
      <formula1>ScopeAccuracy</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C3FC360486C3449A5BF21A412D0E8B" ma:contentTypeVersion="3" ma:contentTypeDescription="Create a new document." ma:contentTypeScope="" ma:versionID="ae1734035da06489cee3bc010ff747fc">
  <xsd:schema xmlns:xsd="http://www.w3.org/2001/XMLSchema" xmlns:xs="http://www.w3.org/2001/XMLSchema" xmlns:p="http://schemas.microsoft.com/office/2006/metadata/properties" xmlns:ns2="149230f7-eaf4-416e-8d5c-5c6c61cbabe4" targetNamespace="http://schemas.microsoft.com/office/2006/metadata/properties" ma:root="true" ma:fieldsID="6046d4d5e893a6dcf2a15683580b6564" ns2:_="">
    <xsd:import namespace="149230f7-eaf4-416e-8d5c-5c6c61cbabe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9230f7-eaf4-416e-8d5c-5c6c61cbab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EBC029F6-206F-4100-9E59-D2AAE673A6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9230f7-eaf4-416e-8d5c-5c6c61cbab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DFD8B9-18C3-4DD0-8E8B-0EEAC4CC8E29}">
  <ds:schemaRefs>
    <ds:schemaRef ds:uri="http://schemas.microsoft.com/sharepoint/v3/contenttype/forms"/>
  </ds:schemaRefs>
</ds:datastoreItem>
</file>

<file path=customXml/itemProps3.xml><?xml version="1.0" encoding="utf-8"?>
<ds:datastoreItem xmlns:ds="http://schemas.openxmlformats.org/officeDocument/2006/customXml" ds:itemID="{4317675A-DDD2-4B4B-9961-59F62743DA58}">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58</vt:i4>
      </vt:variant>
    </vt:vector>
  </HeadingPairs>
  <TitlesOfParts>
    <vt:vector size="69" baseType="lpstr">
      <vt:lpstr>Summary</vt:lpstr>
      <vt:lpstr>Hard Cost Estimate Form</vt:lpstr>
      <vt:lpstr>Soft Cost Estimating Form</vt:lpstr>
      <vt:lpstr>Optional - Sch &amp; Resource Form</vt:lpstr>
      <vt:lpstr>Dashboard</vt:lpstr>
      <vt:lpstr>DivisionCostCodeLookup</vt:lpstr>
      <vt:lpstr>Soft Cost Codes</vt:lpstr>
      <vt:lpstr>Cost Codes</vt:lpstr>
      <vt:lpstr>UoM</vt:lpstr>
      <vt:lpstr>SoftCostUom</vt:lpstr>
      <vt:lpstr>Scope and Risk</vt:lpstr>
      <vt:lpstr>Description</vt:lpstr>
      <vt:lpstr>Div01_General_Requirements</vt:lpstr>
      <vt:lpstr>Div02_Existing_Conditions</vt:lpstr>
      <vt:lpstr>Div03_Concrete</vt:lpstr>
      <vt:lpstr>Div04_Masonry</vt:lpstr>
      <vt:lpstr>Div05_Metals</vt:lpstr>
      <vt:lpstr>Div06_Wood_Plastics_And_Composites</vt:lpstr>
      <vt:lpstr>Div07_Thermaland_Moisture_Protection</vt:lpstr>
      <vt:lpstr>Div08_Openings</vt:lpstr>
      <vt:lpstr>Div09_Finishes</vt:lpstr>
      <vt:lpstr>Div10_Specialties</vt:lpstr>
      <vt:lpstr>Div11_Equipment</vt:lpstr>
      <vt:lpstr>Div12_Furnishings</vt:lpstr>
      <vt:lpstr>Div13_Special_Construction</vt:lpstr>
      <vt:lpstr>Div14_Conveying_Equipment</vt:lpstr>
      <vt:lpstr>Div21_Fire_Suppression</vt:lpstr>
      <vt:lpstr>Div22_Plumbing</vt:lpstr>
      <vt:lpstr>Div23_Heating_Ventilating_And_Air_Conditioning</vt:lpstr>
      <vt:lpstr>Div26_Electrical</vt:lpstr>
      <vt:lpstr>Div27_Communications</vt:lpstr>
      <vt:lpstr>Div28_Electronic_Safety_And_Security</vt:lpstr>
      <vt:lpstr>Div31_Earthwork</vt:lpstr>
      <vt:lpstr>Div32_Exterior_Improvements</vt:lpstr>
      <vt:lpstr>Div33_Utilities</vt:lpstr>
      <vt:lpstr>Div34_Transportation</vt:lpstr>
      <vt:lpstr>Div35_Waterway_And_Marine</vt:lpstr>
      <vt:lpstr>Div41_Material_Proc_And_Handling_Eq.</vt:lpstr>
      <vt:lpstr>Div51_Earthwork_FAA</vt:lpstr>
      <vt:lpstr>Div52_Flexible_Base_Courses_FAA</vt:lpstr>
      <vt:lpstr>Div53_Rigid_Base_Courses_FAA</vt:lpstr>
      <vt:lpstr>Div54_Flexible_Surface_Courses_FAA</vt:lpstr>
      <vt:lpstr>Div55_Rigid_Pavement_FAA</vt:lpstr>
      <vt:lpstr>Div56_Miscellaneous_FAA</vt:lpstr>
      <vt:lpstr>Div57_Fencing_FAA</vt:lpstr>
      <vt:lpstr>Div58_Drainage_FAA</vt:lpstr>
      <vt:lpstr>Div59_Turfing_FAA</vt:lpstr>
      <vt:lpstr>Div60_Lighting_Installation_FAA</vt:lpstr>
      <vt:lpstr>DivisionDescription</vt:lpstr>
      <vt:lpstr>DivisionSummaryList</vt:lpstr>
      <vt:lpstr>EstimateTotal</vt:lpstr>
      <vt:lpstr>HardCostSubTotal</vt:lpstr>
      <vt:lpstr>HCostForm</vt:lpstr>
      <vt:lpstr>Dashboard!Print_Area</vt:lpstr>
      <vt:lpstr>'Hard Cost Estimate Form'!Print_Area</vt:lpstr>
      <vt:lpstr>'Optional - Sch &amp; Resource Form'!Print_Area</vt:lpstr>
      <vt:lpstr>'Soft Cost Estimating Form'!Print_Area</vt:lpstr>
      <vt:lpstr>Summary!Print_Area</vt:lpstr>
      <vt:lpstr>projectStage</vt:lpstr>
      <vt:lpstr>RevNotes</vt:lpstr>
      <vt:lpstr>Scope</vt:lpstr>
      <vt:lpstr>ScopeAccuracy</vt:lpstr>
      <vt:lpstr>'Optional - Sch &amp; Resource Form'!SCostForm</vt:lpstr>
      <vt:lpstr>SCostForm</vt:lpstr>
      <vt:lpstr>SoftCostSubtotal</vt:lpstr>
      <vt:lpstr>SoftCostUom!SoftCostUoM</vt:lpstr>
      <vt:lpstr>SoftCostUoM</vt:lpstr>
      <vt:lpstr>SoftCostUom!UoM</vt:lpstr>
      <vt:lpstr>UoM</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OnePort Estimating Template</dc:title>
  <dc:subject/>
  <dc:creator>Choate, Ryan</dc:creator>
  <cp:keywords/>
  <dc:description/>
  <cp:lastModifiedBy>Hogan Marhoefer</cp:lastModifiedBy>
  <cp:revision/>
  <dcterms:created xsi:type="dcterms:W3CDTF">1999-07-15T20:53:54Z</dcterms:created>
  <dcterms:modified xsi:type="dcterms:W3CDTF">2026-02-27T00:51:04Z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0x010100C4C3FC360486C3449A5BF21A412D0E8B</vt:lpwstr>
  </property>
  <property fmtid="{D5CDD505-2E9C-101B-9397-08002B2CF9AE}" pid="3" name="TopicP">
    <vt:lpwstr/>
  </property>
  <property fmtid="{D5CDD505-2E9C-101B-9397-08002B2CF9AE}" pid="4" name="MediaServiceImageTags">
    <vt:lpwstr/>
  </property>
</Properties>
</file>