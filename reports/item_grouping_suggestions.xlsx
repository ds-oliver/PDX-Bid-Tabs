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gan/BTA 525 Capstone/PDX_BID_TABS_COMPLETE/reports/"/>
    </mc:Choice>
  </mc:AlternateContent>
  <xr:revisionPtr revIDLastSave="0" documentId="8_{7F297B66-3220-BB45-99FC-58336CE57867}" xr6:coauthVersionLast="47" xr6:coauthVersionMax="47" xr10:uidLastSave="{00000000-0000-0000-0000-000000000000}"/>
  <bookViews>
    <workbookView xWindow="24740" yWindow="2380" windowWidth="37800" windowHeight="16680" xr2:uid="{2F1985DE-CE34-2646-A3FE-3BD416BB3BA3}"/>
  </bookViews>
  <sheets>
    <sheet name="Sheet1" sheetId="2" r:id="rId1"/>
    <sheet name="item_grouping_proposal" sheetId="1" r:id="rId2"/>
  </sheets>
  <calcPr calcId="0"/>
  <pivotCaches>
    <pivotCache cacheId="6" r:id="rId3"/>
  </pivotCaches>
</workbook>
</file>

<file path=xl/calcChain.xml><?xml version="1.0" encoding="utf-8"?>
<calcChain xmlns="http://schemas.openxmlformats.org/spreadsheetml/2006/main">
  <c r="F933" i="1" l="1"/>
</calcChain>
</file>

<file path=xl/sharedStrings.xml><?xml version="1.0" encoding="utf-8"?>
<sst xmlns="http://schemas.openxmlformats.org/spreadsheetml/2006/main" count="11732" uniqueCount="2224">
  <si>
    <t>item_id</t>
  </si>
  <si>
    <t>project_id</t>
  </si>
  <si>
    <t>line_no</t>
  </si>
  <si>
    <t>specification</t>
  </si>
  <si>
    <t>alternate_specification</t>
  </si>
  <si>
    <t>pay_item_description</t>
  </si>
  <si>
    <t>supplemental_description</t>
  </si>
  <si>
    <t>item_description_raw</t>
  </si>
  <si>
    <t>item</t>
  </si>
  <si>
    <t>quantity</t>
  </si>
  <si>
    <t>unit_norm</t>
  </si>
  <si>
    <t>item_group</t>
  </si>
  <si>
    <t>item_subgroup</t>
  </si>
  <si>
    <t>grouping_rule_id</t>
  </si>
  <si>
    <t>UNCLASSIFIED</t>
  </si>
  <si>
    <t>Mobilization, Surveying, Cleanup, and Demobilization</t>
  </si>
  <si>
    <t>UNCLASSIFIED - Mobilization, Surveying, Cleanup, and Demobilization</t>
  </si>
  <si>
    <t>LS</t>
  </si>
  <si>
    <t>GENERAL_TEMPORARY</t>
  </si>
  <si>
    <t>TEMP_TRAFFIC_MOBILIZATION</t>
  </si>
  <si>
    <t>kw_temp_traffic</t>
  </si>
  <si>
    <t>Work Zone Traffic Control</t>
  </si>
  <si>
    <t>UNCLASSIFIED - Work Zone Traffic Control</t>
  </si>
  <si>
    <t>Temporary Erosion, Sediment, and Pollution Control</t>
  </si>
  <si>
    <t>UNCLASSIFIED - Temporary Erosion, Sediment, and Pollution Control</t>
  </si>
  <si>
    <t>LANDSCAPE_ENVIRONMENTAL</t>
  </si>
  <si>
    <t>LANDSCAPING_REVEGETATION</t>
  </si>
  <si>
    <t>kw_landscape_env</t>
  </si>
  <si>
    <t>Site Demolition</t>
  </si>
  <si>
    <t>UNCLASSIFIED - Site Demolition</t>
  </si>
  <si>
    <t>DEMOLITION_REMEDIATION</t>
  </si>
  <si>
    <t>kw_demo_remediation</t>
  </si>
  <si>
    <t>Clearing and Grubbing</t>
  </si>
  <si>
    <t>UNCLASSIFIED - Clearing and Grubbing</t>
  </si>
  <si>
    <t>Trench Excavation and General Native Backfill</t>
  </si>
  <si>
    <t>UNCLASSIFIED - Trench Excavation and General Native Backfill</t>
  </si>
  <si>
    <t>LF</t>
  </si>
  <si>
    <t>ROADWORK_PAVING</t>
  </si>
  <si>
    <t>PAVING_EARTHWORK</t>
  </si>
  <si>
    <t>kw_paving_earthwork</t>
  </si>
  <si>
    <t>Trench Excavation and Select Native Backfill</t>
  </si>
  <si>
    <t>UNCLASSIFIED - Trench Excavation and Select Native Backfill</t>
  </si>
  <si>
    <t>Trench Excavation and Select Backfill</t>
  </si>
  <si>
    <t>UNCLASSIFIED - Trench Excavation and Select Backfill</t>
  </si>
  <si>
    <t>Offsite Haul and Disposal</t>
  </si>
  <si>
    <t>UNCLASSIFIED - Offsite Haul and Disposal</t>
  </si>
  <si>
    <t>CY</t>
  </si>
  <si>
    <t>OTHER_REVIEW</t>
  </si>
  <si>
    <t>UNCLASSIFIED_REVIEW</t>
  </si>
  <si>
    <t>fallback_unmapped</t>
  </si>
  <si>
    <t>Contaminated Soil Sediment Excavation and Disposal</t>
  </si>
  <si>
    <t>UNCLASSIFIED - Contaminated Soil Sediment Excavation and Disposal</t>
  </si>
  <si>
    <t>TON</t>
  </si>
  <si>
    <t>Shoring</t>
  </si>
  <si>
    <t>UNCLASSIFIED - Shoring</t>
  </si>
  <si>
    <t>Pipe Zone and Bedding Material</t>
  </si>
  <si>
    <t>UNCLASSIFIED - Pipe Zone and Bedding Material</t>
  </si>
  <si>
    <t>PIPING_DRAINAGE</t>
  </si>
  <si>
    <t>PIPING_UTILITY</t>
  </si>
  <si>
    <t>kw_piping_drainage</t>
  </si>
  <si>
    <t>Trench Stabilization</t>
  </si>
  <si>
    <t>UNCLASSIFIED - Trench Stabilization</t>
  </si>
  <si>
    <t>Dewatering</t>
  </si>
  <si>
    <t>UNCLASSIFIED - Dewatering</t>
  </si>
  <si>
    <t>Sewer Pipe</t>
  </si>
  <si>
    <t>72-Inch</t>
  </si>
  <si>
    <t>72-Inch Sewer Pipe</t>
  </si>
  <si>
    <t>UNCLASSIFIED - Sewer Pipe</t>
  </si>
  <si>
    <t>Manhole</t>
  </si>
  <si>
    <t>108-Inch</t>
  </si>
  <si>
    <t>108-Inch Manhole</t>
  </si>
  <si>
    <t>UNCLASSIFIED - Manhole</t>
  </si>
  <si>
    <t>EACH</t>
  </si>
  <si>
    <t>120-Inch</t>
  </si>
  <si>
    <t>120-Inch Manhole</t>
  </si>
  <si>
    <t>Subdrains</t>
  </si>
  <si>
    <t>UNCLASSIFIED - Subdrains</t>
  </si>
  <si>
    <t>Inlet (Type PB)</t>
  </si>
  <si>
    <t>UNCLASSIFIED - Inlet (Type PB)</t>
  </si>
  <si>
    <t>McBride Slough Intake Structure</t>
  </si>
  <si>
    <t>UNCLASSIFIED - McBride Slough Intake Structure</t>
  </si>
  <si>
    <t>Columbia Slough Outfall Structure</t>
  </si>
  <si>
    <t>UNCLASSIFIED - Columbia Slough Outfall Structure</t>
  </si>
  <si>
    <t>Modified Concrete Curb and Gutter</t>
  </si>
  <si>
    <t>UNCLASSIFIED - Modified Concrete Curb and Gutter</t>
  </si>
  <si>
    <t>Sidewalk</t>
  </si>
  <si>
    <t>UNCLASSIFIED - Sidewalk</t>
  </si>
  <si>
    <t>SF</t>
  </si>
  <si>
    <t>Aggregate Base Course</t>
  </si>
  <si>
    <t>UNCLASSIFIED - Aggregate Base Course</t>
  </si>
  <si>
    <t>Portland Cement Concrete Pavement</t>
  </si>
  <si>
    <t>9-Inch</t>
  </si>
  <si>
    <t>Portland Cement Concrete Pavement (9-Inch)</t>
  </si>
  <si>
    <t>UNCLASSIFIED - Portland Cement Concrete Pavement</t>
  </si>
  <si>
    <t>SY</t>
  </si>
  <si>
    <t>Pavement Marking</t>
  </si>
  <si>
    <t>UNCLASSIFIED - Pavement Marking</t>
  </si>
  <si>
    <t>Guard Rail Removal and Replacement</t>
  </si>
  <si>
    <t>UNCLASSIFIED - Guard Rail Removal and Replacement</t>
  </si>
  <si>
    <t>Area Seeding</t>
  </si>
  <si>
    <t>UNCLASSIFIED - Area Seeding</t>
  </si>
  <si>
    <t>Stormwater Flow Through Pollution Reduction Facility</t>
  </si>
  <si>
    <t>UNCLASSIFIED - Stormwater Flow Through Pollution Reduction Facility</t>
  </si>
  <si>
    <t>Landscape Restoration</t>
  </si>
  <si>
    <t>UNCLASSIFIED - Landscape Restoration</t>
  </si>
  <si>
    <t>Mobilization, Cleanup, and Demobilization</t>
  </si>
  <si>
    <t>Mobilization, Cleanup, and Demobilization (Section 012200)</t>
  </si>
  <si>
    <t>012200 - Mobilization, Cleanup, and Demobilization</t>
  </si>
  <si>
    <t>spec_temp_traffic</t>
  </si>
  <si>
    <t>Sweeper</t>
  </si>
  <si>
    <t>Sweeper (Section 012200)</t>
  </si>
  <si>
    <t>012200 - Sweeper</t>
  </si>
  <si>
    <t>Security Control Monitoring</t>
  </si>
  <si>
    <t>Security Control Monitoring (Section 012200)</t>
  </si>
  <si>
    <t>012200 - Security Control Monitoring</t>
  </si>
  <si>
    <t>Work Zone and Traffic Control</t>
  </si>
  <si>
    <t>Work Zone and Traffic Control (Section 012200)</t>
  </si>
  <si>
    <t>012200 - Work Zone and Traffic Control</t>
  </si>
  <si>
    <t>Escort</t>
  </si>
  <si>
    <t>Escort (Section 012200)</t>
  </si>
  <si>
    <t>012200 - Escort</t>
  </si>
  <si>
    <t>Delineators</t>
  </si>
  <si>
    <t>Delineators (Section 012200)</t>
  </si>
  <si>
    <t>012200 - Delineators</t>
  </si>
  <si>
    <t>Construction Access</t>
  </si>
  <si>
    <t>Construction Access (Section 015713)</t>
  </si>
  <si>
    <t>015713 - Construction Access</t>
  </si>
  <si>
    <t>Inlet Protection</t>
  </si>
  <si>
    <t>Inlet Protection (Section 015713)</t>
  </si>
  <si>
    <t>015713 - Inlet Protection</t>
  </si>
  <si>
    <t>Jet Blast Control Material</t>
  </si>
  <si>
    <t>Jet Blast Control Material (Section 015713)</t>
  </si>
  <si>
    <t>015713 - Jet Blast Control Material</t>
  </si>
  <si>
    <t>ACRE</t>
  </si>
  <si>
    <t>Construction Survey (Item GP-50)</t>
  </si>
  <si>
    <t>UNCLASSIFIED - Construction Survey (Item GP-50)</t>
  </si>
  <si>
    <t>P-101</t>
  </si>
  <si>
    <t>Joint and Crack Repair</t>
  </si>
  <si>
    <t>Joint and Crack Repair (Item P-101)</t>
  </si>
  <si>
    <t>P-101 - Joint and Crack Repair</t>
  </si>
  <si>
    <t>spec_paving_earthwork</t>
  </si>
  <si>
    <t>Asphalt Pavement Removal</t>
  </si>
  <si>
    <t>3-Inch Depth</t>
  </si>
  <si>
    <t>Asphalt Pavement Removal - 3-Inch Depth (Item P-101)</t>
  </si>
  <si>
    <t>P-101 - Asphalt Pavement Removal</t>
  </si>
  <si>
    <t>Cold Milling</t>
  </si>
  <si>
    <t>2-Inch Maximum Depth</t>
  </si>
  <si>
    <t>Cold Milling - 2-Inch Maximum Depth (Item P-101)</t>
  </si>
  <si>
    <t>P-101 - Cold Milling</t>
  </si>
  <si>
    <t>8-Inch Depth</t>
  </si>
  <si>
    <t>Asphalt Pavement Removal - 8-Inch Depth (Item P-101)</t>
  </si>
  <si>
    <t>4.5-Inch Maximum Depth</t>
  </si>
  <si>
    <t>Cold Milling - 4.5-Inch Maximum Depth (Item P-101)</t>
  </si>
  <si>
    <t>P-156</t>
  </si>
  <si>
    <t>Silt Fence</t>
  </si>
  <si>
    <t>Silt Fence (Item P-156)</t>
  </si>
  <si>
    <t>P-156 - Silt Fence</t>
  </si>
  <si>
    <t>P-401</t>
  </si>
  <si>
    <t>Hot Mix Asphalt (HMA) Bituminous Surface Course</t>
  </si>
  <si>
    <t>Hot Mix Asphalt (HMA) Bituminous Surface Course (Item P-401)</t>
  </si>
  <si>
    <t>P-401 - Hot Mix Asphalt (HMA) Bituminous Surface Course</t>
  </si>
  <si>
    <t>Borrow Excavation (P-152)</t>
  </si>
  <si>
    <t>UNCLASSIFIED - Borrow Excavation (P-152)</t>
  </si>
  <si>
    <t>P-152</t>
  </si>
  <si>
    <t>Unsuitable Excavation</t>
  </si>
  <si>
    <t>Unsuitable Excavation (Item P-152)</t>
  </si>
  <si>
    <t>P-152 - Unsuitable Excavation</t>
  </si>
  <si>
    <t>P-403</t>
  </si>
  <si>
    <t>Hot Mix Asphalt (HMA) Base Course</t>
  </si>
  <si>
    <t>Hot Mix Asphalt (HMA) Base Course (Item P-403)</t>
  </si>
  <si>
    <t>P-403 - Hot Mix Asphalt (HMA) Base Course</t>
  </si>
  <si>
    <t>Geotextile</t>
  </si>
  <si>
    <t>Geotextile (Item P-152)</t>
  </si>
  <si>
    <t>P-152 - Geotextile</t>
  </si>
  <si>
    <t>P-603</t>
  </si>
  <si>
    <t>Bituminous Tack Coat</t>
  </si>
  <si>
    <t>Bituminous Tack Coat (Item P-603)</t>
  </si>
  <si>
    <t>P-603 - Bituminous Tack Coat</t>
  </si>
  <si>
    <t>GAL</t>
  </si>
  <si>
    <t>P-153</t>
  </si>
  <si>
    <t>Controlled Low - Strength Material (CLSM)</t>
  </si>
  <si>
    <t>Controlled Low-Strength Material (CLSM) (Item P-153)</t>
  </si>
  <si>
    <t>P-153 - Controlled Low - Strength Material (CLSM)</t>
  </si>
  <si>
    <t>P-605</t>
  </si>
  <si>
    <t>Joint Sealing Filler</t>
  </si>
  <si>
    <t>Joint Sealing Filler (Item P-605)</t>
  </si>
  <si>
    <t>P-605 - Joint Sealing Filler</t>
  </si>
  <si>
    <t>P-154</t>
  </si>
  <si>
    <t>Subbase Course</t>
  </si>
  <si>
    <t>Subbase Course (Item P-154)</t>
  </si>
  <si>
    <t>P-154 - Subbase Course</t>
  </si>
  <si>
    <t>P-606</t>
  </si>
  <si>
    <t>Adhesive Compound</t>
  </si>
  <si>
    <t>Adhesive Compound (Item P-606)</t>
  </si>
  <si>
    <t>P-606 - Adhesive Compound</t>
  </si>
  <si>
    <t>P-608</t>
  </si>
  <si>
    <t>Asphalt Surface Treatment</t>
  </si>
  <si>
    <t>Asphalt Surface Treatment (Item P-608)</t>
  </si>
  <si>
    <t>P-608 - Asphalt Surface Treatment</t>
  </si>
  <si>
    <t>P-209</t>
  </si>
  <si>
    <t>Crushed Aggregate Base Course</t>
  </si>
  <si>
    <t>Crushed Aggregate Base Course (Item P-209)</t>
  </si>
  <si>
    <t>P-209 - Crushed Aggregate Base Course</t>
  </si>
  <si>
    <t>Runway Friction Testing</t>
  </si>
  <si>
    <t>Runway Friction Testing (Item P-608)</t>
  </si>
  <si>
    <t>P-608 - Runway Friction Testing</t>
  </si>
  <si>
    <t>Hot Mix Asphalt (HMA) Pavement Base Course</t>
  </si>
  <si>
    <t>Hot Mix Asphalt (HMA) Pavement Base Course (Item P-403)</t>
  </si>
  <si>
    <t>P-403 - Hot Mix Asphalt (HMA) Pavement Base Course</t>
  </si>
  <si>
    <t>P-610</t>
  </si>
  <si>
    <t>Structural Portland Cement Concrete (PCC)</t>
  </si>
  <si>
    <t>Structural Portland Cement Concrete (PCC) (Item P-610)</t>
  </si>
  <si>
    <t>P-610 - Structural Portland Cement Concrete (PCC)</t>
  </si>
  <si>
    <t>Steel Reinforcement</t>
  </si>
  <si>
    <t>Steel Reinforcement (Item P-610)</t>
  </si>
  <si>
    <t>P-610 - Steel Reinforcement</t>
  </si>
  <si>
    <t>LB</t>
  </si>
  <si>
    <t>P-620</t>
  </si>
  <si>
    <t>Runway Marking</t>
  </si>
  <si>
    <t>Runway Marking (Item P-620)</t>
  </si>
  <si>
    <t>P-620 - Runway Marking</t>
  </si>
  <si>
    <t>Reflective Media</t>
  </si>
  <si>
    <t>Reflective Media (Item P-620)</t>
  </si>
  <si>
    <t>P-620 - Reflective Media</t>
  </si>
  <si>
    <t>Phasing Pavement Marking</t>
  </si>
  <si>
    <t>Phasing Pavement Marking (Item P-620)</t>
  </si>
  <si>
    <t>P-620 - Phasing Pavement Marking</t>
  </si>
  <si>
    <t>D-701</t>
  </si>
  <si>
    <t>STS Pipe</t>
  </si>
  <si>
    <t>8-Inch</t>
  </si>
  <si>
    <t>8-Inch STS Pipe (Item D-701)</t>
  </si>
  <si>
    <t>D-701 - STS Pipe</t>
  </si>
  <si>
    <t>DRAINAGE_STRUCTURES</t>
  </si>
  <si>
    <t>spec_drainage_structures</t>
  </si>
  <si>
    <t>P-621</t>
  </si>
  <si>
    <t>Grooving</t>
  </si>
  <si>
    <t>Grooving (Item P-621)</t>
  </si>
  <si>
    <t>P-621 - Grooving</t>
  </si>
  <si>
    <t>12-Inch</t>
  </si>
  <si>
    <t>12-Inch STS Pipe (Item D-701)</t>
  </si>
  <si>
    <t>L-108</t>
  </si>
  <si>
    <t>No. 8 AWG 5kV Cable</t>
  </si>
  <si>
    <t>No. 8 AWG 5kV Cable (Item L-108)</t>
  </si>
  <si>
    <t>L-108 - No. 8 AWG 5kV Cable</t>
  </si>
  <si>
    <t>ELECTRICAL</t>
  </si>
  <si>
    <t>AIRFIELD_LIGHTING</t>
  </si>
  <si>
    <t>spec_airfield_lighting</t>
  </si>
  <si>
    <t>48-Inch</t>
  </si>
  <si>
    <t>48-Inch STS Pipe (Item D-701)</t>
  </si>
  <si>
    <t>No. 6 AWG Solid Wire for Counterpoise</t>
  </si>
  <si>
    <t>No. 6 AWG Solid Wire for Counterpoise (Item L-108)</t>
  </si>
  <si>
    <t>L-108 - No. 6 AWG Solid Wire for Counterpoise</t>
  </si>
  <si>
    <t>RCP Pipe</t>
  </si>
  <si>
    <t>12-Inch RCP Pipe (Item D-701)</t>
  </si>
  <si>
    <t>D-701 - RCP Pipe</t>
  </si>
  <si>
    <t>Heat Shrink for 5kV L-823 Primary Connector</t>
  </si>
  <si>
    <t>Heat Shrink for 5kV L-823 Primary Connector (Item L-108)</t>
  </si>
  <si>
    <t>L-108 - Heat Shrink for 5kV L-823 Primary Connector</t>
  </si>
  <si>
    <t>24-Inch</t>
  </si>
  <si>
    <t>24-Inch RCP Pipe (Item D-701)</t>
  </si>
  <si>
    <t>Ground Rod for Counterpoise</t>
  </si>
  <si>
    <t>Ground Rod for Counterpoise (Item L-108)</t>
  </si>
  <si>
    <t>L-108 - Ground Rod for Counterpoise</t>
  </si>
  <si>
    <t>D-751</t>
  </si>
  <si>
    <t>Manhole, Type B</t>
  </si>
  <si>
    <t>48-Inch Manhole, Type B (Item D-751)</t>
  </si>
  <si>
    <t>D-751 - Manhole, Type B</t>
  </si>
  <si>
    <t>L-110</t>
  </si>
  <si>
    <t>IMC in Existing AC</t>
  </si>
  <si>
    <t>1-Inch</t>
  </si>
  <si>
    <t>1-Inch IMC in Existing AC (Item L-110)</t>
  </si>
  <si>
    <t>L-110 - IMC in Existing AC</t>
  </si>
  <si>
    <t>Manhole, Ditch Inlet</t>
  </si>
  <si>
    <t>48-Inch Manhole, Ditch Inlet (Item D-751)</t>
  </si>
  <si>
    <t>D-751 - Manhole, Ditch Inlet</t>
  </si>
  <si>
    <t>PVC Direct Buried</t>
  </si>
  <si>
    <t>2-Inch</t>
  </si>
  <si>
    <t>2-Inch PVC Direct Buried (Item L-110)</t>
  </si>
  <si>
    <t>L-110 - PVC Direct Buried</t>
  </si>
  <si>
    <t>Manhole, Type A</t>
  </si>
  <si>
    <t>72-Inch Manhole, Type A (Item D-751)</t>
  </si>
  <si>
    <t>D-751 - Manhole, Type A</t>
  </si>
  <si>
    <t>PVC in Existing AC</t>
  </si>
  <si>
    <t>2-Inch PVC in Existing AC (Item L-110)</t>
  </si>
  <si>
    <t>L-110 - PVC in Existing AC</t>
  </si>
  <si>
    <t>Contaminated Material Excavation and Disposal</t>
  </si>
  <si>
    <t>Contaminated Material Excavation and Disposal (Section 026100)</t>
  </si>
  <si>
    <t>026100 - Contaminated Material Excavation and Disposal</t>
  </si>
  <si>
    <t>spec_demo_remediation</t>
  </si>
  <si>
    <t>84-Inch</t>
  </si>
  <si>
    <t>84-Inch Manhole, Type A (Item D-751)</t>
  </si>
  <si>
    <t>General Electrical Removal</t>
  </si>
  <si>
    <t>General Electrical Removal (Section 260500)</t>
  </si>
  <si>
    <t>260500 - General Electrical Removal</t>
  </si>
  <si>
    <t>POWER_DISTRIBUTION</t>
  </si>
  <si>
    <t>spec_power_distribution</t>
  </si>
  <si>
    <t>Catch Basin</t>
  </si>
  <si>
    <t>Catch Basin (Item D-751)</t>
  </si>
  <si>
    <t>D-751 - Catch Basin</t>
  </si>
  <si>
    <t>Temporary Circuit Connection</t>
  </si>
  <si>
    <t>Temporary Circuit Connection (Section 260500)</t>
  </si>
  <si>
    <t>260500 - Temporary Circuit Connection</t>
  </si>
  <si>
    <t>T-901</t>
  </si>
  <si>
    <t>Seeding</t>
  </si>
  <si>
    <t>Seeding (Item T-901)</t>
  </si>
  <si>
    <t>T-901 - Seeding</t>
  </si>
  <si>
    <t>spec_landscape</t>
  </si>
  <si>
    <t>Diameter Brass Marker</t>
  </si>
  <si>
    <t>3-Inch</t>
  </si>
  <si>
    <t>3-Inch Diameter Brass Marker (Section 260553)</t>
  </si>
  <si>
    <t>260553 - Diameter Brass Marker</t>
  </si>
  <si>
    <t>Removal of Existing Storm Pipe, Manholes, and Inlets</t>
  </si>
  <si>
    <t>Removal of Existing Storm Pipe, Manholes, and Inlets (Section 312300)</t>
  </si>
  <si>
    <t>312300 - Removal of Existing Storm Pipe, Manholes, and Inlets</t>
  </si>
  <si>
    <t>Connection to Existing Storm Drainage System</t>
  </si>
  <si>
    <t>Connection to Existing Storm Drainage System (Section 312300)</t>
  </si>
  <si>
    <t>312300 - Connection to Existing Storm Drainage System</t>
  </si>
  <si>
    <t>Install PF LED Taxiway Centerline Light with PF Base Can, CF Transformer in New AC</t>
  </si>
  <si>
    <t>Install PF LED Taxiway Centerline Light with PF Base Can, CF Transformer in New AC (Section 344300)</t>
  </si>
  <si>
    <t>344300 - Install PF LED Taxiway Centerline Light with PF Base Can, CF Transformer in New AC</t>
  </si>
  <si>
    <t>Existing Manhole Adjustment to Grade</t>
  </si>
  <si>
    <t>Existing Manhole Adjustment to Grade (Section 312300)</t>
  </si>
  <si>
    <t>312300 - Existing Manhole Adjustment to Grade</t>
  </si>
  <si>
    <t>Install PF LED Taxiway Centerline Light on Existing Base Can with CF Isolation Transformer</t>
  </si>
  <si>
    <t>Install PF LED Taxiway Centerline Light on Existing Base Can with CF Isolation Transformer (Section 344300)</t>
  </si>
  <si>
    <t>344300 - Install PF LED Taxiway Centerline Light on Existing Base Can with CF Isolation Transformer</t>
  </si>
  <si>
    <t>Existing Catch Basin Adjustment to Grade</t>
  </si>
  <si>
    <t>Existing Catch Basin Adjustment to Grade (Section 312300)</t>
  </si>
  <si>
    <t>312300 - Existing Catch Basin Adjustment to Grade</t>
  </si>
  <si>
    <t>Install PF L-868, 12-Inch Diameter Base Can, PF Cover Plate in New AC</t>
  </si>
  <si>
    <t>Install PF L-868, 12-Inch Diameter Base Can, PF Cover Plate in New AC (Section 344300)</t>
  </si>
  <si>
    <t>344300 - Install PF L-868, 12-Inch Diameter Base Can, PF Cover Plate in New AC</t>
  </si>
  <si>
    <t>Adjustment of Existing Structures (H-20 Rated Vaults)</t>
  </si>
  <si>
    <t>Adjustment of Existing Structures (H-20 Rated Vaults) (Section 312300)</t>
  </si>
  <si>
    <t>312300 - Adjustment of Existing Structures (H-20 Rated Vaults)</t>
  </si>
  <si>
    <t>Install PF L-867, 12-Inch Diameter Base Can, PF Cover Plate in Existing AC</t>
  </si>
  <si>
    <t>Install PF L-867, 12-Inch Diameter Base Can, PF Cover Plate in Existing AC (Section 344300)</t>
  </si>
  <si>
    <t>344300 - Install PF L-867, 12-Inch Diameter Base Can, PF Cover Plate in Existing AC</t>
  </si>
  <si>
    <t>Adjustment of Existing Structures (229 Kip Rated Vaults)</t>
  </si>
  <si>
    <t>Adjustment of Existing Structures (229 Kip Rated Vaults) (Section 312300)</t>
  </si>
  <si>
    <t>312300 - Adjustment of Existing Structures (229 Kip Rated Vaults)</t>
  </si>
  <si>
    <t>Install PF Cover Plate on Existing Light Base</t>
  </si>
  <si>
    <t>Install PF Cover Plate on Existing Light Base (Section 344300)</t>
  </si>
  <si>
    <t>344300 - Install PF Cover Plate on Existing Light Base</t>
  </si>
  <si>
    <t>DIP (Force Main)</t>
  </si>
  <si>
    <t>12-Inch DIP (Force Main) (Section 334100)</t>
  </si>
  <si>
    <t>334100 - DIP (Force Main)</t>
  </si>
  <si>
    <t>spec_piping_utility</t>
  </si>
  <si>
    <t>Adjust Existing Elevated Runway Threshold/Edge Light</t>
  </si>
  <si>
    <t>Adjust Existing Elevated Runway Threshold/Edge Light (Section 344301)</t>
  </si>
  <si>
    <t>344301 - Adjust Existing Elevated Runway Threshold/Edge Light</t>
  </si>
  <si>
    <t>30-Inch</t>
  </si>
  <si>
    <t>30-Inch DIP (Force Main) (Section 334100)</t>
  </si>
  <si>
    <t>Adjust Existing In-Pavement Runway Edge Light</t>
  </si>
  <si>
    <t>Adjust Existing In-Pavement Runway Edge Light (Section 344301)</t>
  </si>
  <si>
    <t>344301 - Adjust Existing In-Pavement Runway Edge Light</t>
  </si>
  <si>
    <t>Riprap</t>
  </si>
  <si>
    <t>Riprap (Section 334100)</t>
  </si>
  <si>
    <t>334100 - Riprap</t>
  </si>
  <si>
    <t>Sign E6-6</t>
  </si>
  <si>
    <t>Sign E6-6 (Section 344302)</t>
  </si>
  <si>
    <t>344302 - Sign E6-6</t>
  </si>
  <si>
    <t>AIRFIELD_SIGNAGE</t>
  </si>
  <si>
    <t>spec_airfield_signage</t>
  </si>
  <si>
    <t>Pump Station</t>
  </si>
  <si>
    <t>Pump Station (Section 334213)</t>
  </si>
  <si>
    <t>334213 - Pump Station</t>
  </si>
  <si>
    <t>Sign E6-9</t>
  </si>
  <si>
    <t>Sign E6-9 (Section 344302)</t>
  </si>
  <si>
    <t>344302 - Sign E6-9</t>
  </si>
  <si>
    <t>Pump Station Electrical Equipment Installation</t>
  </si>
  <si>
    <t>Pump Station Electrical Equipment Installation (Section 334213)</t>
  </si>
  <si>
    <t>334213 - Pump Station Electrical Equipment Installation</t>
  </si>
  <si>
    <t>Sign G-3</t>
  </si>
  <si>
    <t>Sign G-3 (Section 344302)</t>
  </si>
  <si>
    <t>344302 - Sign G-3</t>
  </si>
  <si>
    <t>UNCLASSIFIED - #REF!</t>
  </si>
  <si>
    <t>Wildlife Access Road, Asphalt Grindings</t>
  </si>
  <si>
    <t>Wildlife Access Road, Asphalt Grindings (Section 012200)</t>
  </si>
  <si>
    <t>012200 - Wildlife Access Road, Asphalt Grindings</t>
  </si>
  <si>
    <t>Traffic Control</t>
  </si>
  <si>
    <t>Traffic Control (Section 012200)</t>
  </si>
  <si>
    <t>012200 - Traffic Control</t>
  </si>
  <si>
    <t>Ditch Protection/Check Dams</t>
  </si>
  <si>
    <t>Ditch Protection/Check Dams (Section 015713)</t>
  </si>
  <si>
    <t>015713 - Ditch Protection/Check Dams</t>
  </si>
  <si>
    <t>Wattles</t>
  </si>
  <si>
    <t>Wattles (Section 015713)</t>
  </si>
  <si>
    <t>015713 - Wattles</t>
  </si>
  <si>
    <t>PCC Pavement Removal</t>
  </si>
  <si>
    <t>3" Depth</t>
  </si>
  <si>
    <t>PCC Pavement Removal - 3" Depth (Item P-101)</t>
  </si>
  <si>
    <t>P-101 - PCC Pavement Removal</t>
  </si>
  <si>
    <t>6" Depth</t>
  </si>
  <si>
    <t>PCC Pavement Removal - 6" Depth (Item P-101)</t>
  </si>
  <si>
    <t>Asphalt Pavement Removal - 3" Depth (Item P-101)</t>
  </si>
  <si>
    <t>5" Depth</t>
  </si>
  <si>
    <t>Asphalt Pavement Removal - 5" Depth (Item P-101)</t>
  </si>
  <si>
    <t>7.5" Depth</t>
  </si>
  <si>
    <t>Asphalt Pavement Removal - 7.5" Depth (Item P-101)</t>
  </si>
  <si>
    <t>12" Depth</t>
  </si>
  <si>
    <t>Asphalt Pavement Removal - 12" Depth (Item P-101)</t>
  </si>
  <si>
    <t>14" Depth</t>
  </si>
  <si>
    <t>Asphalt Pavement Removal - 14" Depth (Item P-101)</t>
  </si>
  <si>
    <t>16" Depth</t>
  </si>
  <si>
    <t>Asphalt Pavement Removal - 16" Depth (Item P-101)</t>
  </si>
  <si>
    <t>20" Depth</t>
  </si>
  <si>
    <t>Asphalt Pavement Removal - 20" Depth (Item P-101)</t>
  </si>
  <si>
    <t>22" Depth</t>
  </si>
  <si>
    <t>Asphalt Pavement Removal - 22" Depth (Item P-101)</t>
  </si>
  <si>
    <t>12" Depth Asphalt Grindings</t>
  </si>
  <si>
    <t>Asphalt Pavement Removal - 12" Depth Asphalt Grindings (Item P-101)</t>
  </si>
  <si>
    <t>4 Inch Maximum Depth</t>
  </si>
  <si>
    <t>Cold Milling - 4 Inch Maximum Depth (Item P-101)</t>
  </si>
  <si>
    <t>Unclassified Excavation (P-152)</t>
  </si>
  <si>
    <t>UNCLASSIFIED - Unclassified Excavation (P-152)</t>
  </si>
  <si>
    <t>Hot Mix Asphalt (HMA) Pavement</t>
  </si>
  <si>
    <t>Hot Mix Asphalt (HMA) Pavement (Item P-401)</t>
  </si>
  <si>
    <t>P-401 - Hot Mix Asphalt (HMA) Pavement</t>
  </si>
  <si>
    <t>P-501</t>
  </si>
  <si>
    <t>Portland Cement Concrete (PCC) Pavement</t>
  </si>
  <si>
    <t>Portland Cement Concrete (PCC) Pavement (Item P-501)</t>
  </si>
  <si>
    <t>P-501 - Portland Cement Concrete (PCC) Pavement</t>
  </si>
  <si>
    <t>P-602</t>
  </si>
  <si>
    <t>Bituminous Prime Coat</t>
  </si>
  <si>
    <t>Bituminous Prime Coat (Item P-602)</t>
  </si>
  <si>
    <t>P-602 - Bituminous Prime Coat</t>
  </si>
  <si>
    <t>P-604</t>
  </si>
  <si>
    <t>Compression Joint Sealant</t>
  </si>
  <si>
    <t>Compression Joint Sealant (Item P-604)</t>
  </si>
  <si>
    <t>P-604 - Compression Joint Sealant</t>
  </si>
  <si>
    <t>Joint Sealant</t>
  </si>
  <si>
    <t>Joint Sealant (Item P-605)</t>
  </si>
  <si>
    <t>P-605 - Joint Sealant</t>
  </si>
  <si>
    <t>Pavement Marking (Item P-620)</t>
  </si>
  <si>
    <t>P-620 - Pavement Marking</t>
  </si>
  <si>
    <t>Saw - Cut Grooving</t>
  </si>
  <si>
    <t>Saw-Cut Grooving (Item P-621)</t>
  </si>
  <si>
    <t>P-621 - Saw - Cut Grooving</t>
  </si>
  <si>
    <t>4-Inch</t>
  </si>
  <si>
    <t>4-Inch STS Pipe (Item D-701)</t>
  </si>
  <si>
    <t>6-Inch</t>
  </si>
  <si>
    <t>6-Inch STS Pipe (Item D-701)</t>
  </si>
  <si>
    <t>18-Inch</t>
  </si>
  <si>
    <t>18-Inch STS Pipe (Item D-701)</t>
  </si>
  <si>
    <t>24-Inch STS Pipe (Item D-701)</t>
  </si>
  <si>
    <t>D-705</t>
  </si>
  <si>
    <t>Perforated Pipe Underdrains</t>
  </si>
  <si>
    <t>6-Inch Perforated Pipe Underdrains (Item D-705)</t>
  </si>
  <si>
    <t>D-705 - Perforated Pipe Underdrains</t>
  </si>
  <si>
    <t>48-Inch Manhole, Type A (Item D-751)</t>
  </si>
  <si>
    <t>60-Inch</t>
  </si>
  <si>
    <t>60-Inch Manhole, Type B (Item D-751)</t>
  </si>
  <si>
    <t>72-Inch Manhole, Type B (Item D-751)</t>
  </si>
  <si>
    <t>84-Inch Manhole, Type B (Item D-751)</t>
  </si>
  <si>
    <t>T-905</t>
  </si>
  <si>
    <t>Topsoiling</t>
  </si>
  <si>
    <t>Topsoiling (Item T-905)</t>
  </si>
  <si>
    <t>T-905 - Topsoiling</t>
  </si>
  <si>
    <t>Existing Electrical Vault Adjustment to Grade</t>
  </si>
  <si>
    <t>Existing Electrical Vault Adjustment to Grade (Section 312300)</t>
  </si>
  <si>
    <t>312300 - Existing Electrical Vault Adjustment to Grade</t>
  </si>
  <si>
    <t>Ductile Iron (Force Main) Pipe</t>
  </si>
  <si>
    <t>12-Inch Ductile Iron (Force Main) Pipe (Section 334100)</t>
  </si>
  <si>
    <t>334100 - Ductile Iron (Force Main) Pipe</t>
  </si>
  <si>
    <t>20-Inch</t>
  </si>
  <si>
    <t>20-Inch Ductile Iron (Force Main) Pipe (Section 334100)</t>
  </si>
  <si>
    <t>Stormwater Pump Station, Electrical Equipment Installation</t>
  </si>
  <si>
    <t>Stormwater Pump Station, Electrical Equipment Installation (Section 334213)</t>
  </si>
  <si>
    <t>334213 - Stormwater Pump Station, Electrical Equipment Installation</t>
  </si>
  <si>
    <t>Stormwater Valve Vault</t>
  </si>
  <si>
    <t>Stormwater Valve Vault (Section 334213)</t>
  </si>
  <si>
    <t>334213 - Stormwater Valve Vault</t>
  </si>
  <si>
    <t>Adjust Existing Elevated Runway Threshold Light</t>
  </si>
  <si>
    <t>Adjust Existing Elevated Runway Threshold Light (Section 344301)</t>
  </si>
  <si>
    <t>344301 - Adjust Existing Elevated Runway Threshold Light</t>
  </si>
  <si>
    <t>Adjust Existing In-Pavement Stop Bar Light</t>
  </si>
  <si>
    <t>Adjust Existing In-Pavement Stop Bar Light (Section 344301)</t>
  </si>
  <si>
    <t>344301 - Adjust Existing In-Pavement Stop Bar Light</t>
  </si>
  <si>
    <t>UNCLASSIFIED - Mobilization, Cleanup, and Demobilization</t>
  </si>
  <si>
    <t>UNCLASSIFIED - Sweeper</t>
  </si>
  <si>
    <t>UNCLASSIFIED - Security Control Monitoring</t>
  </si>
  <si>
    <t>UNCLASSIFIED - Escort</t>
  </si>
  <si>
    <t>Construction Survey</t>
  </si>
  <si>
    <t>UNCLASSIFIED - Construction Survey</t>
  </si>
  <si>
    <t>Sediment Fence</t>
  </si>
  <si>
    <t>UNCLASSIFIED - Sediment Fence</t>
  </si>
  <si>
    <t>UNCLASSIFIED - Inlet Protection</t>
  </si>
  <si>
    <t>Stabilized Construction Entrance</t>
  </si>
  <si>
    <t>UNCLASSIFIED - Stabilized Construction Entrance</t>
  </si>
  <si>
    <t>Pavement Removal</t>
  </si>
  <si>
    <t>UNCLASSIFIED - Pavement Removal</t>
  </si>
  <si>
    <t>Common Excavation</t>
  </si>
  <si>
    <t>UNCLASSIFIED - Common Excavation</t>
  </si>
  <si>
    <t>Unsuitable Excavation and Disposal</t>
  </si>
  <si>
    <t>UNCLASSIFIED - Unsuitable Excavation and Disposal</t>
  </si>
  <si>
    <t>Contaminated Soil Excavation and Disposal</t>
  </si>
  <si>
    <t>UNCLASSIFIED - Contaminated Soil Excavation and Disposal</t>
  </si>
  <si>
    <t>UNCLASSIFIED - Geotextile</t>
  </si>
  <si>
    <t>Removal of Existing Storm Pipe, Manholes, Pumps, Valves, Hangers, Vaults, and Brackets</t>
  </si>
  <si>
    <t>UNCLASSIFIED - Removal of Existing Storm Pipe, Manholes, Pumps, Valves, Hangers, Vaults, and Brackets</t>
  </si>
  <si>
    <t>Removal of Existing Lid from Stormwater Treatment Vault</t>
  </si>
  <si>
    <t>UNCLASSIFIED - Removal of Existing Lid from Stormwater Treatment Vault</t>
  </si>
  <si>
    <t>Modifications to Existing Wet Well</t>
  </si>
  <si>
    <t>UNCLASSIFIED - Modifications to Existing Wet Well</t>
  </si>
  <si>
    <t>UNCLASSIFIED - Adjustment of Existing Structures (H-20 Rated Vaults)</t>
  </si>
  <si>
    <t>Storm Sewer (Force Main) Pipe</t>
  </si>
  <si>
    <t>24-Inch Storm Sewer (Force Main) Pipe</t>
  </si>
  <si>
    <t>UNCLASSIFIED - Storm Sewer (Force Main) Pipe</t>
  </si>
  <si>
    <t>Storm Sewer Pipe</t>
  </si>
  <si>
    <t>12-Inch Storm Sewer Pipe</t>
  </si>
  <si>
    <t>UNCLASSIFIED - Storm Sewer Pipe</t>
  </si>
  <si>
    <t>15-Inch</t>
  </si>
  <si>
    <t>15-Inch Storm Sewer Pipe</t>
  </si>
  <si>
    <t>21-Inch</t>
  </si>
  <si>
    <t>21-Inch Storm Sewer Pipe</t>
  </si>
  <si>
    <t>Storm Sewer Pipe (RCP)</t>
  </si>
  <si>
    <t>21-Inch Storm Sewer Pipe (RCP)</t>
  </si>
  <si>
    <t>UNCLASSIFIED - Storm Sewer Pipe (RCP)</t>
  </si>
  <si>
    <t>24-Inch Storm Sewer Pipe</t>
  </si>
  <si>
    <t>48-Inch Manhole</t>
  </si>
  <si>
    <t>60-Inch Manhole</t>
  </si>
  <si>
    <t>72-Inch Manhole</t>
  </si>
  <si>
    <t>Corrugated Metal Riser</t>
  </si>
  <si>
    <t>72-Inch Corrugated Metal Riser</t>
  </si>
  <si>
    <t>UNCLASSIFIED - Corrugated Metal Riser</t>
  </si>
  <si>
    <t>Stormwater Pump Station</t>
  </si>
  <si>
    <t>UNCLASSIFIED - Stormwater Pump Station</t>
  </si>
  <si>
    <t>Stormwater Treatment Vaults</t>
  </si>
  <si>
    <t>UNCLASSIFIED - Stormwater Treatment Vaults</t>
  </si>
  <si>
    <t>Stormwater Treatment Vault Cover</t>
  </si>
  <si>
    <t>UNCLASSIFIED - Stormwater Treatment Vault Cover</t>
  </si>
  <si>
    <t>Hand Rail</t>
  </si>
  <si>
    <t>UNCLASSIFIED - Hand Rail</t>
  </si>
  <si>
    <t>Concrete Wall Removal</t>
  </si>
  <si>
    <t>UNCLASSIFIED - Concrete Wall Removal</t>
  </si>
  <si>
    <t>Concrete Curb Removal</t>
  </si>
  <si>
    <t>UNCLASSIFIED - Concrete Curb Removal</t>
  </si>
  <si>
    <t>Bollard</t>
  </si>
  <si>
    <t>UNCLASSIFIED - Bollard</t>
  </si>
  <si>
    <t>Electrical Modifications</t>
  </si>
  <si>
    <t>UNCLASSIFIED - Electrical Modifications</t>
  </si>
  <si>
    <t>Cold Plane Pavement Removal</t>
  </si>
  <si>
    <t>0-3 Inch Maximum</t>
  </si>
  <si>
    <t>Cold Plane Pavement Removal (0-3 Inch Maximum)</t>
  </si>
  <si>
    <t>UNCLASSIFIED - Cold Plane Pavement Removal</t>
  </si>
  <si>
    <t>3-5 Inch Maximum</t>
  </si>
  <si>
    <t>Cold Plane Pavement Removal (3-5 Inch Maximum)</t>
  </si>
  <si>
    <t>Utility Adjustments to Grade</t>
  </si>
  <si>
    <t>UNCLASSIFIED - Utility Adjustments to Grade</t>
  </si>
  <si>
    <t>Pavement Marking, Thermoplastic</t>
  </si>
  <si>
    <t>UNCLASSIFIED - Pavement Marking, Thermoplastic</t>
  </si>
  <si>
    <t>Pavement Marking, Painted</t>
  </si>
  <si>
    <t>UNCLASSIFIED - Pavement Marking, Painted</t>
  </si>
  <si>
    <t>Pavement Marking, Temporary</t>
  </si>
  <si>
    <t>UNCLASSIFIED - Pavement Marking, Temporary</t>
  </si>
  <si>
    <t>Vehicle Detection Loops</t>
  </si>
  <si>
    <t>UNCLASSIFIED - Vehicle Detection Loops</t>
  </si>
  <si>
    <t>Level 3</t>
  </si>
  <si>
    <t>1/2-Inch Dense HMAC</t>
  </si>
  <si>
    <t>Level 3, 1/2-Inch Dense HMAC</t>
  </si>
  <si>
    <t>UNCLASSIFIED - Level 3</t>
  </si>
  <si>
    <t>3-Inch Maximum Depth</t>
  </si>
  <si>
    <t>Cold Milling - 3-Inch Maximum Depth (Item P-101)</t>
  </si>
  <si>
    <t>Bituminous Surface Course</t>
  </si>
  <si>
    <t>Bituminous Surface Course (Item P-401)</t>
  </si>
  <si>
    <t>P-401 - Bituminous Surface Course</t>
  </si>
  <si>
    <t>Runway and Taxiway Marking</t>
  </si>
  <si>
    <t>Runway and Taxiway Marking (Item P-620)</t>
  </si>
  <si>
    <t>P-620 - Runway and Taxiway Marking</t>
  </si>
  <si>
    <t>Preformed Markings</t>
  </si>
  <si>
    <t>Preformed Markings (Item P-620)</t>
  </si>
  <si>
    <t>P-620 - Preformed Markings</t>
  </si>
  <si>
    <t>Modifications to Existing Pump Station A and Deicing Valve Vault</t>
  </si>
  <si>
    <t>Modifications to Existing Pump Station A and Deicing Valve Vault (Section 312300)</t>
  </si>
  <si>
    <t>312300 - Modifications to Existing Pump Station A and Deicing Valve Vault</t>
  </si>
  <si>
    <t>Trench Protection</t>
  </si>
  <si>
    <t>Trench Protection (Section 015713)</t>
  </si>
  <si>
    <t>015713 - Trench Protection</t>
  </si>
  <si>
    <t>PCC Pavement Removal - 3-Inch Depth (Item P-101)</t>
  </si>
  <si>
    <t>4-Inch Depth</t>
  </si>
  <si>
    <t>PCC Pavement Removal - 4-Inch Depth (Item P-101)</t>
  </si>
  <si>
    <t>16-Inch Depth</t>
  </si>
  <si>
    <t>PCC Pavement Removal - 16-Inch Depth (Item P-101)</t>
  </si>
  <si>
    <t>6-Inch Depth</t>
  </si>
  <si>
    <t>Asphalt Pavement Removal - 6-Inch Depth (Item P-101)</t>
  </si>
  <si>
    <t>9-Inch Depth</t>
  </si>
  <si>
    <t>Asphalt Pavement Removal - 9-Inch Depth (Item P-101)</t>
  </si>
  <si>
    <t>12-Inch Depth</t>
  </si>
  <si>
    <t>Asphalt Pavement Removal - 12-Inch Depth (Item P-101)</t>
  </si>
  <si>
    <t>15-Inch Depth</t>
  </si>
  <si>
    <t>Asphalt Pavement Removal - 15-Inch Depth (Item P-101)</t>
  </si>
  <si>
    <t>Unclassified Excavation</t>
  </si>
  <si>
    <t>Unclassified Excavation (Item P-152)</t>
  </si>
  <si>
    <t>P-152 - Unclassified Excavation</t>
  </si>
  <si>
    <t>Controlled Low - Strength Material</t>
  </si>
  <si>
    <t>Controlled Low-Strength Material (Item P-153)</t>
  </si>
  <si>
    <t>P-153 - Controlled Low - Strength Material</t>
  </si>
  <si>
    <t>Installation and Removal of Silt Fence</t>
  </si>
  <si>
    <t>Installation and Removal of Silt Fence (Item P-156)</t>
  </si>
  <si>
    <t>P-156 - Installation and Removal of Silt Fence</t>
  </si>
  <si>
    <t>HMA Base Course</t>
  </si>
  <si>
    <t>HMA Base Course (Item P-403)</t>
  </si>
  <si>
    <t>P-403 - HMA Base Course</t>
  </si>
  <si>
    <t>Portland Cement Concrete Pavement (Item P-501)</t>
  </si>
  <si>
    <t>P-501 - Portland Cement Concrete Pavement</t>
  </si>
  <si>
    <t>Compression Joint Seals for Concrete Pavement</t>
  </si>
  <si>
    <t>Compression Joint Seals for Concrete Pavement (Item P-604)</t>
  </si>
  <si>
    <t>P-604 - Compression Joint Seals for Concrete Pavement</t>
  </si>
  <si>
    <t>Structural Portland Cement Concrete</t>
  </si>
  <si>
    <t>Structural Portland Cement Concrete (Item P-610)</t>
  </si>
  <si>
    <t>P-610 - Structural Portland Cement Concrete</t>
  </si>
  <si>
    <t>30-Inch STS Pipe (Item D-701)</t>
  </si>
  <si>
    <t>Perforated Pipe</t>
  </si>
  <si>
    <t>6-Inch Perforated Pipe (Item D-705)</t>
  </si>
  <si>
    <t>D-705 - Perforated Pipe</t>
  </si>
  <si>
    <t>Diameter Manhole, Type A</t>
  </si>
  <si>
    <t>48-Inch Diameter Manhole, Type A (Item D-751)</t>
  </si>
  <si>
    <t>D-751 - Diameter Manhole, Type A</t>
  </si>
  <si>
    <t>72-Inch Diameter Manhole, Type A (Item D-751)</t>
  </si>
  <si>
    <t>84-Inch Diameter Manhole, Type A (Item D-751)</t>
  </si>
  <si>
    <t>96-Inch</t>
  </si>
  <si>
    <t>96-Inch Diameter Manhole, Type A (Item D-751)</t>
  </si>
  <si>
    <t>Catch Basins</t>
  </si>
  <si>
    <t>Catch Basins (Item D-751)</t>
  </si>
  <si>
    <t>D-751 - Catch Basins</t>
  </si>
  <si>
    <t>Existing Electrical Vault (H-20 Rated) Extension to Finish Grade</t>
  </si>
  <si>
    <t>Existing Electrical Vault (H-20 Rated) Extension to Finish Grade (Section 312300)</t>
  </si>
  <si>
    <t>312300 - Existing Electrical Vault (H-20 Rated) Extension to Finish Grade</t>
  </si>
  <si>
    <t>Sanitary Sewer Wet Well Removal</t>
  </si>
  <si>
    <t>Sanitary Sewer Wet Well Removal (Section 312300)</t>
  </si>
  <si>
    <t>312300 - Sanitary Sewer Wet Well Removal</t>
  </si>
  <si>
    <t>No. 8 AWG, 5 kV, L-824, Type C Cable Installed in Trench, Duct Bank or Conduit</t>
  </si>
  <si>
    <t>No. 8 AWG, 5 kV, L-824, Type C Cable Installed in Trench, Duct Bank or Conduit (Item L-108)</t>
  </si>
  <si>
    <t>L-108 - No. 8 AWG, 5 kV, L-824, Type C Cable Installed in Trench, Duct Bank or Conduit</t>
  </si>
  <si>
    <t>No. 6 AWG, Solid, Bare Counterpoise Wire</t>
  </si>
  <si>
    <t>No. 6 AWG, Solid, Bare Counterpoise Wire (Item L-108)</t>
  </si>
  <si>
    <t>L-108 - No. 6 AWG, Solid, Bare Counterpoise Wire</t>
  </si>
  <si>
    <t>Counterpoise Ground Rod</t>
  </si>
  <si>
    <t>10-Foot Long</t>
  </si>
  <si>
    <t>Counterpoise Ground Rod, 10-Foot Long (Item L-108)</t>
  </si>
  <si>
    <t>L-108 - Counterpoise Ground Rod</t>
  </si>
  <si>
    <t>PVC</t>
  </si>
  <si>
    <t>2-Inch PVC (Item L-110)</t>
  </si>
  <si>
    <t>L-110 - PVC</t>
  </si>
  <si>
    <t>GRSC</t>
  </si>
  <si>
    <t>2-Inch GRSC (Item L-110)</t>
  </si>
  <si>
    <t>L-110 - GRSC</t>
  </si>
  <si>
    <t>1 1/2-Inch GRSC</t>
  </si>
  <si>
    <t>1 1/2-Inch GRSC (Item L-110)</t>
  </si>
  <si>
    <t>L-110 - 1 1/2-Inch GRSC</t>
  </si>
  <si>
    <t>Reinstall Elevated Taxiway Edge Light w/ PF Base Can, PF Extension, PF Flange Ring, and CF Transformer in New AC</t>
  </si>
  <si>
    <t>Reinstall Elevated Taxiway Edge Light w/ PF Base Can, PF Extension, PF Flange Ring, and CF Transformer in New AC (Section 344300)</t>
  </si>
  <si>
    <t>344300 - Reinstall Elevated Taxiway Edge Light w/ PF Base Can, PF Extension, PF Flange Ring, and CF Transformer in New AC</t>
  </si>
  <si>
    <t>Reinstall Elevated Taxiway Edge Light w/ PF Base Can, PF Extension, PF Flange Ring, and CF Transformer in Existing AC</t>
  </si>
  <si>
    <t>Reinstall Elevated Taxiway Edge Light w/ PF Base Can, PF Extension, PF Flange Ring, and CF Transformer in Existing AC (Section 344300)</t>
  </si>
  <si>
    <t>344300 - Reinstall Elevated Taxiway Edge Light w/ PF Base Can, PF Extension, PF Flange Ring, and CF Transformer in Existing AC</t>
  </si>
  <si>
    <t>Reinstall LED Taxiway Centerline Light w/ PF Base Can, PF Extension, PF Flange Ring, and CF Transformer in New AC</t>
  </si>
  <si>
    <t>Reinstall LED Taxiway Centerline Light w/ PF Base Can, PF Extension, PF Flange Ring, and CF Transformer in New AC (Section 344300)</t>
  </si>
  <si>
    <t>344300 - Reinstall LED Taxiway Centerline Light w/ PF Base Can, PF Extension, PF Flange Ring, and CF Transformer in New AC</t>
  </si>
  <si>
    <t>Install PF In-Pavement Taxiway Edge Light on PF Base Can, PF Extension, PF Flange Ring, and CF Transformer in New AC</t>
  </si>
  <si>
    <t>Install PF In-Pavement Taxiway Edge Light on PF Base Can, PF Extension, PF Flange Ring, and CF Transformer in New AC (Section 344300)</t>
  </si>
  <si>
    <t>344300 - Install PF In-Pavement Taxiway Edge Light on PF Base Can, PF Extension, PF Flange Ring, and CF Transformer in New AC</t>
  </si>
  <si>
    <t>Reinstall Taxiway Edge Light on Existing Base Can with Existing Isolation Transformer</t>
  </si>
  <si>
    <t>Reinstall Taxiway Edge Light on Existing Base Can with Existing Isolation Transformer (Section 344300)</t>
  </si>
  <si>
    <t>344300 - Reinstall Taxiway Edge Light on Existing Base Can with Existing Isolation Transformer</t>
  </si>
  <si>
    <t>Reinstall Taxiway Centerline Light on Existing Base Can w/ Existing Transformer in Existing AC</t>
  </si>
  <si>
    <t>Reinstall Taxiway Centerline Light on Existing Base Can w/ Existing Transformer in Existing AC (Section 344300)</t>
  </si>
  <si>
    <t>344300 - Reinstall Taxiway Centerline Light on Existing Base Can w/ Existing Transformer in Existing AC</t>
  </si>
  <si>
    <t>Reinstall Taxiway Centerline Light on Existing Base Can w/ PF Extension, PF Flange Ring, and Existing Transformer in New AC</t>
  </si>
  <si>
    <t>Reinstall Taxiway Centerline Light on Existing Base Can w/ PF Extension, PF Flange Ring, and Existing Transformer in New AC (Section 344300)</t>
  </si>
  <si>
    <t>344300 - Reinstall Taxiway Centerline Light on Existing Base Can w/ PF Extension, PF Flange Ring, and Existing Transformer in New AC</t>
  </si>
  <si>
    <t>Sign V-2</t>
  </si>
  <si>
    <t>Sign V-2 (Section 344302)</t>
  </si>
  <si>
    <t>344302 - Sign V-2</t>
  </si>
  <si>
    <t>Sign V-4</t>
  </si>
  <si>
    <t>Sign V-4 (Section 344302)</t>
  </si>
  <si>
    <t>344302 - Sign V-4</t>
  </si>
  <si>
    <t>Sign V-6</t>
  </si>
  <si>
    <t>Sign V-6 (Section 344302)</t>
  </si>
  <si>
    <t>344302 - Sign V-6</t>
  </si>
  <si>
    <t>Sign A4-6</t>
  </si>
  <si>
    <t>Sign A4-6 (Section 344302)</t>
  </si>
  <si>
    <t>344302 - Sign A4-6</t>
  </si>
  <si>
    <t>Sign A4-7</t>
  </si>
  <si>
    <t>Sign A4-7 (Section 344302)</t>
  </si>
  <si>
    <t>344302 - Sign A4-7</t>
  </si>
  <si>
    <t>Sign A4-9</t>
  </si>
  <si>
    <t>Sign A4-9 (Section 344302)</t>
  </si>
  <si>
    <t>344302 - Sign A4-9</t>
  </si>
  <si>
    <t>Sign A5-3</t>
  </si>
  <si>
    <t>Sign A5-3 (Section 344302)</t>
  </si>
  <si>
    <t>344302 - Sign A5-3</t>
  </si>
  <si>
    <t>Sign A5-4</t>
  </si>
  <si>
    <t>Sign A5-4 (Section 344302)</t>
  </si>
  <si>
    <t>344302 - Sign A5-4</t>
  </si>
  <si>
    <t>Sign V-5</t>
  </si>
  <si>
    <t>Sign V-5 (Section 344302)</t>
  </si>
  <si>
    <t>344302 - Sign V-5</t>
  </si>
  <si>
    <t>Sign A4-13</t>
  </si>
  <si>
    <t>Sign A4-13 (Section 344302)</t>
  </si>
  <si>
    <t>344302 - Sign A4-13</t>
  </si>
  <si>
    <t>Mobilization, Surveying, Cleanup, and Demobilization (Section 012200)</t>
  </si>
  <si>
    <t>012200 - Mobilization, Surveying, Cleanup, and Demobilization</t>
  </si>
  <si>
    <t>Ground Rod for Counterpoise (Section 260526)</t>
  </si>
  <si>
    <t>260526 - Ground Rod for Counterpoise</t>
  </si>
  <si>
    <t>Install PF Elevated Runway End Light with CF Transformer on Existing Light Base</t>
  </si>
  <si>
    <t>Install PF Elevated Runway End Light with CF Transformer on Existing Light Base (Section 344300)</t>
  </si>
  <si>
    <t>344300 - Install PF Elevated Runway End Light with CF Transformer on Existing Light Base</t>
  </si>
  <si>
    <t>Install PF Elevated Runway Edge Light with CF Transformer on Existing Light Base</t>
  </si>
  <si>
    <t>Install PF Elevated Runway Edge Light with CF Transformer on Existing Light Base (Section 344300)</t>
  </si>
  <si>
    <t>344300 - Install PF Elevated Runway Edge Light with CF Transformer on Existing Light Base</t>
  </si>
  <si>
    <t>Install PF In-Pavement Runway Edge Light with CF Transformer on Existing Light Base</t>
  </si>
  <si>
    <t>Install PF In-Pavement Runway Edge Light with CF Transformer on Existing Light Base (Section 344300)</t>
  </si>
  <si>
    <t>344300 - Install PF In-Pavement Runway Edge Light with CF Transformer on Existing Light Base</t>
  </si>
  <si>
    <t>Install PF Runway Centerline Light with CF Transformer on Existing Light Base</t>
  </si>
  <si>
    <t>Install PF Runway Centerline Light with CF Transformer on Existing Light Base (Section 344300)</t>
  </si>
  <si>
    <t>344300 - Install PF Runway Centerline Light with CF Transformer on Existing Light Base</t>
  </si>
  <si>
    <t>Install PF In-Pavement Runway Threshold Light with CF Transformer on Existing Light Base</t>
  </si>
  <si>
    <t>Install PF In-Pavement Runway Threshold Light with CF Transformer on Existing Light Base (Section 344300)</t>
  </si>
  <si>
    <t>344300 - Install PF In-Pavement Runway Threshold Light with CF Transformer on Existing Light Base</t>
  </si>
  <si>
    <t>Install PF Taxiway Centerline Light with PF Remote and CF Transformer on Existing Light Base</t>
  </si>
  <si>
    <t>Install PF Taxiway Centerline Light with PF Remote and CF Transformer on Existing Light Base (Section 344300)</t>
  </si>
  <si>
    <t>344300 - Install PF Taxiway Centerline Light with PF Remote and CF Transformer on Existing Light Base</t>
  </si>
  <si>
    <t>Install PF Red Elevated Stop Bar Light with PF Remote and CF Transformer on Existing Light Base</t>
  </si>
  <si>
    <t>Install PF Red Elevated Stop Bar Light with PF Remote and CF Transformer on Existing Light Base (Section 344300)</t>
  </si>
  <si>
    <t>344300 - Install PF Red Elevated Stop Bar Light with PF Remote and CF Transformer on Existing Light Base</t>
  </si>
  <si>
    <t>Install PF Dual Stop Bar Light with PF Remote and CF Transformer on Existing Light Base</t>
  </si>
  <si>
    <t>Install PF Dual Stop Bar Light with PF Remote and CF Transformer on Existing Light Base (Section 344300)</t>
  </si>
  <si>
    <t>344300 - Install PF Dual Stop Bar Light with PF Remote and CF Transformer on Existing Light Base</t>
  </si>
  <si>
    <t>Install PF In-Pavement Runway Guard Light with CF Transformer on Existing Light Base</t>
  </si>
  <si>
    <t>Install PF In-Pavement Runway Guard Light with CF Transformer on Existing Light Base (Section 344300)</t>
  </si>
  <si>
    <t>344300 - Install PF In-Pavement Runway Guard Light with CF Transformer on Existing Light Base</t>
  </si>
  <si>
    <t>Install PF Red Elevated Stop Bar Light with CF Transformer on Existing Light Base</t>
  </si>
  <si>
    <t>Install PF Red Elevated Stop Bar Light with CF Transformer on Existing Light Base (Section 344300)</t>
  </si>
  <si>
    <t>344300 - Install PF Red Elevated Stop Bar Light with CF Transformer on Existing Light Base</t>
  </si>
  <si>
    <t>Install PF Elevated Runway Guard Light with CF Transformer on Existing Light Base</t>
  </si>
  <si>
    <t>Install PF Elevated Runway Guard Light with CF Transformer on Existing Light Base (Section 344300)</t>
  </si>
  <si>
    <t>344300 - Install PF Elevated Runway Guard Light with CF Transformer on Existing Light Base</t>
  </si>
  <si>
    <t>Install PF Dual Stop Bar Light with Two CF Transformers on Existing Light Base</t>
  </si>
  <si>
    <t>Install PF Dual Stop Bar Light with Two CF Transformers on Existing Light Base (Section 344300)</t>
  </si>
  <si>
    <t>344300 - Install PF Dual Stop Bar Light with Two CF Transformers on Existing Light Base</t>
  </si>
  <si>
    <t>Install PF Taxiway Centerline Light with CF Transformer on Existing Light Base</t>
  </si>
  <si>
    <t>Install PF Taxiway Centerline Light with CF Transformer on Existing Light Base (Section 344300)</t>
  </si>
  <si>
    <t>344300 - Install PF Taxiway Centerline Light with CF Transformer on Existing Light Base</t>
  </si>
  <si>
    <t>Install PF Elevated Taxiway Edge Light with CF Transformer on Existing Light Base</t>
  </si>
  <si>
    <t>Install PF Elevated Taxiway Edge Light with CF Transformer on Existing Light Base (Section 344300)</t>
  </si>
  <si>
    <t>344300 - Install PF Elevated Taxiway Edge Light with CF Transformer on Existing Light Base</t>
  </si>
  <si>
    <t>Install PF Taxiway Centerline Light on Existing Light Base</t>
  </si>
  <si>
    <t>Install PF Taxiway Centerline Light on Existing Light Base (Section 344300)</t>
  </si>
  <si>
    <t>344300 - Install PF Taxiway Centerline Light on Existing Light Base</t>
  </si>
  <si>
    <t>Install PF Dual Stop Bar Light on Existing Light Base</t>
  </si>
  <si>
    <t>Install PF Dual Stop Bar Light on Existing Light Base (Section 344300)</t>
  </si>
  <si>
    <t>344300 - Install PF Dual Stop Bar Light on Existing Light Base</t>
  </si>
  <si>
    <t>Install PF In-Pavement Runway Guard Light on Existing Light Base</t>
  </si>
  <si>
    <t>Install PF In-Pavement Runway Guard Light on Existing Light Base (Section 344300)</t>
  </si>
  <si>
    <t>344300 - Install PF In-Pavement Runway Guard Light on Existing Light Base</t>
  </si>
  <si>
    <t>Install PF In-Pavement Red Stop Bar Light with PF Remote and CF Transformer on Existing Light Base</t>
  </si>
  <si>
    <t>Install PF In-Pavement Red Stop Bar Light with PF Remote and CF Transformer on Existing Light Base (Section 344300)</t>
  </si>
  <si>
    <t>344300 - Install PF In-Pavement Red Stop Bar Light with PF Remote and CF Transformer on Existing Light Base</t>
  </si>
  <si>
    <t>Install CF 150-Watt</t>
  </si>
  <si>
    <t>6.6/6.6 Amp Isolation Transformer in Existing Base Can</t>
  </si>
  <si>
    <t>Install CF 150-Watt, 6.6/6.6 Amp Isolation Transformer in Existing Base Can (Section 344300)</t>
  </si>
  <si>
    <t>344300 - Install CF 150-Watt</t>
  </si>
  <si>
    <t>Install PF Microwave Sensor with CF Transformer in Existing Base Can</t>
  </si>
  <si>
    <t>Install PF Microwave Sensor with CF Transformer in Existing Base Can (Section 344300)</t>
  </si>
  <si>
    <t>344300 - Install PF Microwave Sensor with CF Transformer in Existing Base Can</t>
  </si>
  <si>
    <t>Install PF Cover Plate on Existing Base Can</t>
  </si>
  <si>
    <t>Install PF Cover Plate on Existing Base Can (Section 344300)</t>
  </si>
  <si>
    <t>344300 - Install PF Cover Plate on Existing Base Can</t>
  </si>
  <si>
    <t>#6 AWG, 5kV Cable</t>
  </si>
  <si>
    <t>#6 AWG, 5kV Cable (Item L-108)</t>
  </si>
  <si>
    <t>L-108 - #6 AWG, 5kV Cable</t>
  </si>
  <si>
    <t>PVC Direct Buried in Grass</t>
  </si>
  <si>
    <t>2-inch</t>
  </si>
  <si>
    <t>2-inch PVC Direct Buried in Grass (Item L-110)</t>
  </si>
  <si>
    <t>L-110 - PVC Direct Buried in Grass</t>
  </si>
  <si>
    <t>PVC in Existing ACP Shoulder</t>
  </si>
  <si>
    <t>2-inch PVC in Existing ACP Shoulder (Item L-110)</t>
  </si>
  <si>
    <t>L-110 - PVC in Existing ACP Shoulder</t>
  </si>
  <si>
    <t>Temporary Traffic Control</t>
  </si>
  <si>
    <t>UNCLASSIFIED - Temporary Traffic Control</t>
  </si>
  <si>
    <t>Contaminated Soil Excavation and Placement</t>
  </si>
  <si>
    <t>UNCLASSIFIED - Contaminated Soil Excavation and Placement</t>
  </si>
  <si>
    <t>Fill Material, Topsoil</t>
  </si>
  <si>
    <t>UNCLASSIFIED - Fill Material, Topsoil</t>
  </si>
  <si>
    <t>Compacted Bedding Material</t>
  </si>
  <si>
    <t>UNCLASSIFIED - Compacted Bedding Material</t>
  </si>
  <si>
    <t>Water Pipe</t>
  </si>
  <si>
    <t>2-Inch Water Pipe</t>
  </si>
  <si>
    <t>UNCLASSIFIED - Water Pipe</t>
  </si>
  <si>
    <t>4-Inch Water Pipe</t>
  </si>
  <si>
    <t>6-Inch Water Pipe</t>
  </si>
  <si>
    <t>Gate Valve</t>
  </si>
  <si>
    <t>2-Inch Gate Valve</t>
  </si>
  <si>
    <t>UNCLASSIFIED - Gate Valve</t>
  </si>
  <si>
    <t>4-Inch Gate Valve</t>
  </si>
  <si>
    <t>6-Inch Gate Valve</t>
  </si>
  <si>
    <t>Remove and Reinstall Catch Basin</t>
  </si>
  <si>
    <t>UNCLASSIFIED - Remove and Reinstall Catch Basin</t>
  </si>
  <si>
    <t>Pavement Markings</t>
  </si>
  <si>
    <t>UNCLASSIFIED - Pavement Markings</t>
  </si>
  <si>
    <t>Remove and Reinstall Chain Link Fence</t>
  </si>
  <si>
    <t>UNCLASSIFIED - Remove and Reinstall Chain Link Fence</t>
  </si>
  <si>
    <t>Asphalt Concrerte Surface Course</t>
  </si>
  <si>
    <t>UNCLASSIFIED - Asphalt Concrerte Surface Course</t>
  </si>
  <si>
    <t>C-105</t>
  </si>
  <si>
    <t>Mobilization</t>
  </si>
  <si>
    <t>Mobilization (Item C-105)</t>
  </si>
  <si>
    <t>C-105 - Mobilization</t>
  </si>
  <si>
    <t>PCC Pavement Removal - 15-Inch Depth (Item P-101)</t>
  </si>
  <si>
    <t>C-102</t>
  </si>
  <si>
    <t>Installation and Removal of Silt Fence (Item C-102)</t>
  </si>
  <si>
    <t>C-102 - Installation and Removal of Silt Fence</t>
  </si>
  <si>
    <t>18-Inch Depth</t>
  </si>
  <si>
    <t>PCC Pavement Removal - 18-Inch Depth (Item P-101)</t>
  </si>
  <si>
    <t>11-Inch Depth</t>
  </si>
  <si>
    <t>Asphalt Pavement Removal - 11-Inch Depth (Item P-101)</t>
  </si>
  <si>
    <t>20-Inch Depth</t>
  </si>
  <si>
    <t>Asphalt Pavement Removal - 20-Inch Depth (Item P-101)</t>
  </si>
  <si>
    <t>Asphalt Pavement Removal - 4-Inch Depth (Item P-101)</t>
  </si>
  <si>
    <t>Cold Milling - 3-Inch Depth (Item P-101)</t>
  </si>
  <si>
    <t>13.5-Inch Depth</t>
  </si>
  <si>
    <t>Asphalt Pavement Removal - 13.5-Inch Depth (Item P-101)</t>
  </si>
  <si>
    <t>Removal of Pipe and Other Buried Structures</t>
  </si>
  <si>
    <t>Removal of Pipe and Other Buried Structures (Item P-101)</t>
  </si>
  <si>
    <t>P-101 - Removal of Pipe and Other Buried Structures</t>
  </si>
  <si>
    <t>PCC Pavement Removal - 6-Inch Depth (Item P-101)</t>
  </si>
  <si>
    <t>Cold Milling - 4-Inch Depth (Item P-101)</t>
  </si>
  <si>
    <t>Cold Milling - 12-Inch Depth (Item P-101)</t>
  </si>
  <si>
    <t>Separation Geotextile</t>
  </si>
  <si>
    <t>Separation Geotextile (Item P-154)</t>
  </si>
  <si>
    <t>P-154 - Separation Geotextile</t>
  </si>
  <si>
    <t>Asphalt Surface Course</t>
  </si>
  <si>
    <t>Asphalt Surface Course (Item P-401)</t>
  </si>
  <si>
    <t>P-401 - Asphalt Surface Course</t>
  </si>
  <si>
    <t>Asphalt Mixture Surface and Base</t>
  </si>
  <si>
    <t>Asphalt Mixture Surface and Base (Item P-403)</t>
  </si>
  <si>
    <t>P-403 - Asphalt Mixture Surface and Base</t>
  </si>
  <si>
    <t>Thick Concrete Pavement</t>
  </si>
  <si>
    <t>11-Inch</t>
  </si>
  <si>
    <t>11-Inch Thick Concrete Pavement (Item P-501)</t>
  </si>
  <si>
    <t>P-501 - Thick Concrete Pavement</t>
  </si>
  <si>
    <t>15-Inch Thick Concrete Pavement (Item P-501)</t>
  </si>
  <si>
    <t>18-Inch Thick Concrete Pavement (Item P-501)</t>
  </si>
  <si>
    <t>Emulsified Asphalt Tack Coat</t>
  </si>
  <si>
    <t>Emulsified Asphalt Tack Coat (Item P-603)</t>
  </si>
  <si>
    <t>P-603 - Emulsified Asphalt Tack Coat</t>
  </si>
  <si>
    <t>Compression Joint Seals for Concrete Pavements</t>
  </si>
  <si>
    <t>Compression Joint Seals for Concrete Pavements (Item P-604)</t>
  </si>
  <si>
    <t>P-604 - Compression Joint Seals for Concrete Pavements</t>
  </si>
  <si>
    <t>Emulsified Asphalt Prime Coat</t>
  </si>
  <si>
    <t>Emulsified Asphalt Prime Coat (Item P-602)</t>
  </si>
  <si>
    <t>P-602 - Emulsified Asphalt Prime Coat</t>
  </si>
  <si>
    <t>Surface Preparation - New Pavement Surfaces</t>
  </si>
  <si>
    <t>Surface Preparation - New Pavement Surfaces (Item P-620)</t>
  </si>
  <si>
    <t>P-620 - Surface Preparation - New Pavement Surfaces</t>
  </si>
  <si>
    <t>Surface Preparation - Remove Existing Markings</t>
  </si>
  <si>
    <t>Surface Preparation - Remove Existing Markings (Item P-620)</t>
  </si>
  <si>
    <t>P-620 - Surface Preparation - Remove Existing Markings</t>
  </si>
  <si>
    <t>Marking</t>
  </si>
  <si>
    <t>Marking (Item P-620)</t>
  </si>
  <si>
    <t>P-620 - Marking</t>
  </si>
  <si>
    <t>Concrete</t>
  </si>
  <si>
    <t>Concrete (Item P-610)</t>
  </si>
  <si>
    <t>P-610 - Concrete</t>
  </si>
  <si>
    <t>Temporary Runway and Taxiway Marking</t>
  </si>
  <si>
    <t>Temporary Runway and Taxiway Marking (Item P-620)</t>
  </si>
  <si>
    <t>P-620 - Temporary Runway and Taxiway Marking</t>
  </si>
  <si>
    <t>STS</t>
  </si>
  <si>
    <t>12-Inch STS (Item D-701)</t>
  </si>
  <si>
    <t>D-701 - STS</t>
  </si>
  <si>
    <t>15-Inch STS (Item D-701)</t>
  </si>
  <si>
    <t>36-Inch</t>
  </si>
  <si>
    <t>36-Inch STS (Item D-701)</t>
  </si>
  <si>
    <t>8-Inch STS (Item D-701)</t>
  </si>
  <si>
    <t>60-Inch Manhole (Item D-751)</t>
  </si>
  <si>
    <t>D-751 - Manhole</t>
  </si>
  <si>
    <t>72-Inch Manhole (Item D-751)</t>
  </si>
  <si>
    <t>18-Inch STS (Item D-701)</t>
  </si>
  <si>
    <t>24-Inch STS (Item D-701)</t>
  </si>
  <si>
    <t>Remove Existing Manhole Flat Top and Upgrade to Aircraft Rated Structure</t>
  </si>
  <si>
    <t>Remove Existing Manhole Flat Top and Upgrade to Aircraft Rated Structure (Section 312300)</t>
  </si>
  <si>
    <t>312300 - Remove Existing Manhole Flat Top and Upgrade to Aircraft Rated Structure</t>
  </si>
  <si>
    <t>30-Inch STS (Item D-701)</t>
  </si>
  <si>
    <t>48-Inch Manhole (Item D-751)</t>
  </si>
  <si>
    <t>Asphalt Pavement Removal - 16-Inch Depth (Item P-101)</t>
  </si>
  <si>
    <t>Topsoil (Obtained on Site or Removed from Stockpile)</t>
  </si>
  <si>
    <t>Topsoil (Obtained on Site or Removed from Stockpile) (Item T-905)</t>
  </si>
  <si>
    <t>T-905 - Topsoil (Obtained on Site or Removed from Stockpile)</t>
  </si>
  <si>
    <t>Existing Manhole/Inlet Adjustment to Grade</t>
  </si>
  <si>
    <t>Existing Manhole/Inlet Adjustment to Grade (Section 312300)</t>
  </si>
  <si>
    <t>312300 - Existing Manhole/Inlet Adjustment to Grade</t>
  </si>
  <si>
    <t>Replace Existing Manhole Lid with Open Grated Lid</t>
  </si>
  <si>
    <t>Replace Existing Manhole Lid with Open Grated Lid (Section 312300)</t>
  </si>
  <si>
    <t>312300 - Replace Existing Manhole Lid with Open Grated Lid</t>
  </si>
  <si>
    <t>No. 4 GND Conductor</t>
  </si>
  <si>
    <t>No. 4 GND Conductor (Item L-108)</t>
  </si>
  <si>
    <t>L-108 - No. 4 GND Conductor</t>
  </si>
  <si>
    <t>No. 2/0 AWG</t>
  </si>
  <si>
    <t>600-Volt Conductor</t>
  </si>
  <si>
    <t>No. 2/0 AWG, 600-Volt Conductor (Item L-108)</t>
  </si>
  <si>
    <t>L-108 - No. 2/0 AWG</t>
  </si>
  <si>
    <t>PVC in New Shoulder and Direct Buried</t>
  </si>
  <si>
    <t>2-Inch PVC in New Shoulder and Direct Buried (Item L-110)</t>
  </si>
  <si>
    <t>L-110 - PVC in New Shoulder and Direct Buried</t>
  </si>
  <si>
    <t>PVC in CLSM</t>
  </si>
  <si>
    <t>2-Inch PVC in CLSM (Item L-110)</t>
  </si>
  <si>
    <t>L-110 - PVC in CLSM</t>
  </si>
  <si>
    <t>1-Inch GRSC (Item L-110)</t>
  </si>
  <si>
    <t>Reinstall Elevated LED Taxiway Edge Light on PF Base Can, PF Extension, PF Flange Ring, and CF Transformer</t>
  </si>
  <si>
    <t>Reinstall Elevated LED Taxiway Edge Light on PF Base Can, PF Extension, PF Flange Ring, and CF Transformer (Section 344300)</t>
  </si>
  <si>
    <t>344300 - Reinstall Elevated LED Taxiway Edge Light on PF Base Can, PF Extension, PF Flange Ring, and CF Transformer</t>
  </si>
  <si>
    <t>Reinstall LED Taxiway Centerline Light on PF Base Can, PF Extension, PF Flange Ring, and CF Transformer</t>
  </si>
  <si>
    <t>Reinstall LED Taxiway Centerline Light on PF Base Can, PF Extension, PF Flange Ring, and CF Transformer (Section 344300)</t>
  </si>
  <si>
    <t>344300 - Reinstall LED Taxiway Centerline Light on PF Base Can, PF Extension, PF Flange Ring, and CF Transformer</t>
  </si>
  <si>
    <t>Install PF In-Pavement Taxiway Edge Light on PF Base Can, PF Extension, PF Flange Ring, and CF Transformer</t>
  </si>
  <si>
    <t>Install PF In-Pavement Taxiway Edge Light on PF Base Can, PF Extension, PF Flange Ring, and CF Transformer (Section 344300)</t>
  </si>
  <si>
    <t>344300 - Install PF In-Pavement Taxiway Edge Light on PF Base Can, PF Extension, PF Flange Ring, and CF Transformer</t>
  </si>
  <si>
    <t>Adjust Existing Taxiway Centerline Light</t>
  </si>
  <si>
    <t>Adjust Existing Taxiway Centerline Light (Section 344301)</t>
  </si>
  <si>
    <t>344301 - Adjust Existing Taxiway Centerline Light</t>
  </si>
  <si>
    <t>Sign B6-11</t>
  </si>
  <si>
    <t>Sign B6-11 (Section 344302)</t>
  </si>
  <si>
    <t>344302 - Sign B6-11</t>
  </si>
  <si>
    <t>Construction Survey (Section 012200)</t>
  </si>
  <si>
    <t>012200 - Construction Survey</t>
  </si>
  <si>
    <t>Abandon Existing Monitoring Well</t>
  </si>
  <si>
    <t>Abandon Existing Monitoring Well (Section 012200)</t>
  </si>
  <si>
    <t>012200 - Abandon Existing Monitoring Well</t>
  </si>
  <si>
    <t>Trench Drain Protection</t>
  </si>
  <si>
    <t>Trench Drain Protection (Section 015713)</t>
  </si>
  <si>
    <t>015713 - Trench Drain Protection</t>
  </si>
  <si>
    <t>Sediment Fence (Section 015713)</t>
  </si>
  <si>
    <t>015713 - Sediment Fence</t>
  </si>
  <si>
    <t>Building Demolition</t>
  </si>
  <si>
    <t>Building Demolition (Section 024113)</t>
  </si>
  <si>
    <t>024113 - Building Demolition</t>
  </si>
  <si>
    <t>Building Slab and Foundation Removal</t>
  </si>
  <si>
    <t>Building Slab and Foundation Removal (Section 024113)</t>
  </si>
  <si>
    <t>024113 - Building Slab and Foundation Removal</t>
  </si>
  <si>
    <t>Existing Landscape Removal</t>
  </si>
  <si>
    <t>Existing Landscape Removal (Section 024113)</t>
  </si>
  <si>
    <t>024113 - Existing Landscape Removal</t>
  </si>
  <si>
    <t>Removal of Miscellaneous Site Structures</t>
  </si>
  <si>
    <t>Removal of Miscellaneous Site Structures (Section 024113)</t>
  </si>
  <si>
    <t>024113 - Removal of Miscellaneous Site Structures</t>
  </si>
  <si>
    <t>Removal of Existing or Temporary Fence</t>
  </si>
  <si>
    <t>Removal of Existing or Temporary Fence (Section 024113)</t>
  </si>
  <si>
    <t>024113 - Removal of Existing or Temporary Fence</t>
  </si>
  <si>
    <t>5-Inch Depth</t>
  </si>
  <si>
    <t>Asphalt Pavement Removal - 5-Inch Depth (Item P-101)</t>
  </si>
  <si>
    <t>Removal of Pipe and other Buried Structures</t>
  </si>
  <si>
    <t>Removal of Pipe and other Buried Structures (Item P-101)</t>
  </si>
  <si>
    <t>P-101 - Removal of Pipe and other Buried Structures</t>
  </si>
  <si>
    <t>Separation Geotextile (Item P-152)</t>
  </si>
  <si>
    <t>P-152 - Separation Geotextile</t>
  </si>
  <si>
    <t>Controlled Low Strength Material</t>
  </si>
  <si>
    <t>Controlled Low Strength Material (Item P-153)</t>
  </si>
  <si>
    <t>P-153 - Controlled Low Strength Material</t>
  </si>
  <si>
    <t>Asphalt Mixture Base Course</t>
  </si>
  <si>
    <t>Asphalt Mixture Base Course (Item P-403)</t>
  </si>
  <si>
    <t>P-403 - Asphalt Mixture Base Course</t>
  </si>
  <si>
    <t>19-Inch</t>
  </si>
  <si>
    <t>19-Inch Thick Concrete Pavement (Item P-501)</t>
  </si>
  <si>
    <t>Surface Preparation - New or Existing Pavement Surfaces</t>
  </si>
  <si>
    <t>Surface Preparation - New or Existing Pavement Surfaces (Item P-620)</t>
  </si>
  <si>
    <t>P-620 - Surface Preparation - New or Existing Pavement Surfaces</t>
  </si>
  <si>
    <t>Temporary Marking</t>
  </si>
  <si>
    <t>Temporary Marking (Item P-620)</t>
  </si>
  <si>
    <t>P-620 - Temporary Marking</t>
  </si>
  <si>
    <t>Slide Gate</t>
  </si>
  <si>
    <t>12-Inch Slide Gate (Item D-701)</t>
  </si>
  <si>
    <t>D-701 - Slide Gate</t>
  </si>
  <si>
    <t>15-Inch Slide Gate (Item D-701)</t>
  </si>
  <si>
    <t>30-Inch Slide Gate (Item D-701)</t>
  </si>
  <si>
    <t>Diameter Manhole</t>
  </si>
  <si>
    <t>48-Inch Diameter Manhole (Item D-751)</t>
  </si>
  <si>
    <t>D-751 - Diameter Manhole</t>
  </si>
  <si>
    <t>84-Inch Diameter Manhole (Item D-751)</t>
  </si>
  <si>
    <t>Trench Drain</t>
  </si>
  <si>
    <t>Trench Drain (Item D-751)</t>
  </si>
  <si>
    <t>D-751 - Trench Drain</t>
  </si>
  <si>
    <t>Provide Temporary Power During Construction Inside the 480V Power Center</t>
  </si>
  <si>
    <t>Provide Temporary Power During Construction Inside the 480V Power Center (Section 260500)</t>
  </si>
  <si>
    <t>260500 - Provide Temporary Power During Construction Inside the 480V Power Center</t>
  </si>
  <si>
    <t>Re-feed Loads Inside 480V Power Center</t>
  </si>
  <si>
    <t>Re-feed Loads Inside 480V Power Center (Section 260500)</t>
  </si>
  <si>
    <t>260500 - Re-feed Loads Inside 480V Power Center</t>
  </si>
  <si>
    <t>Install Handholes for Power and Communications</t>
  </si>
  <si>
    <t>Install Handholes for Power and Communications (Section 260500)</t>
  </si>
  <si>
    <t>260500 - Install Handholes for Power and Communications</t>
  </si>
  <si>
    <t>Install Underground Power Conductors for Apron Lights and Communications</t>
  </si>
  <si>
    <t>Install Underground Power Conductors for Apron Lights and Communications (Section 260500)</t>
  </si>
  <si>
    <t>260500 - Install Underground Power Conductors for Apron Lights and Communications</t>
  </si>
  <si>
    <t>Install Gate Valve and Lighting Controls</t>
  </si>
  <si>
    <t>Install Gate Valve and Lighting Controls (Section 260500)</t>
  </si>
  <si>
    <t>260500 - Install Gate Valve and Lighting Controls</t>
  </si>
  <si>
    <t>Demolition of Existing Electrical Equipment on Work Site</t>
  </si>
  <si>
    <t>Demolition of Existing Electrical Equipment on Work Site (Section 260500)</t>
  </si>
  <si>
    <t>260500 - Demolition of Existing Electrical Equipment on Work Site</t>
  </si>
  <si>
    <t>Grounding and Bonding for Electrical Systems</t>
  </si>
  <si>
    <t>Grounding and Bonding for Electrical Systems (Section 260526)</t>
  </si>
  <si>
    <t>260526 - Grounding and Bonding for Electrical Systems</t>
  </si>
  <si>
    <t>Underground Ducts and Raceways for Electrical Systems</t>
  </si>
  <si>
    <t>Underground Ducts and Raceways for Electrical Systems (Section 260543)</t>
  </si>
  <si>
    <t>260543 - Underground Ducts and Raceways for Electrical Systems</t>
  </si>
  <si>
    <t>Remove and Replace Existing 9KVA Transformer</t>
  </si>
  <si>
    <t>Remove and Replace Existing 9KVA Transformer (Section 262200)</t>
  </si>
  <si>
    <t>262200 - Remove and Replace Existing 9KVA Transformer</t>
  </si>
  <si>
    <t>Remove and Replace Existing 480V Distribution Panel</t>
  </si>
  <si>
    <t>Remove and Replace Existing 480V Distribution Panel (Section 262400)</t>
  </si>
  <si>
    <t>262400 - Remove and Replace Existing 480V Distribution Panel</t>
  </si>
  <si>
    <t>Install Apron Lighting</t>
  </si>
  <si>
    <t>Install Apron Lighting (Section 265623)</t>
  </si>
  <si>
    <t>265623 - Install Apron Lighting</t>
  </si>
  <si>
    <t>Telecommunications Identification</t>
  </si>
  <si>
    <t>Telecommunications Identification (Section 270553)</t>
  </si>
  <si>
    <t>270553 - Telecommunications Identification</t>
  </si>
  <si>
    <t>TELECOM_IT</t>
  </si>
  <si>
    <t>spec_telecom_it</t>
  </si>
  <si>
    <t>Structured Cabling</t>
  </si>
  <si>
    <t>Structured Cabling (Section 271000)</t>
  </si>
  <si>
    <t>271000 - Structured Cabling</t>
  </si>
  <si>
    <t>Video Surveillance</t>
  </si>
  <si>
    <t>Video Surveillance (Section 282300)</t>
  </si>
  <si>
    <t>282300 - Video Surveillance</t>
  </si>
  <si>
    <t>Rotate Existing Manhole Lid</t>
  </si>
  <si>
    <t>Rotate Existing Manhole Lid (Section 312300)</t>
  </si>
  <si>
    <t>312300 - Rotate Existing Manhole Lid</t>
  </si>
  <si>
    <t>Cast-in-Place Concrete Curb</t>
  </si>
  <si>
    <t>Cast-in-Place Concrete Curb (Section 321613)</t>
  </si>
  <si>
    <t>321613 - Cast-in-Place Concrete Curb</t>
  </si>
  <si>
    <t>Concrete Utility Hub Pavement</t>
  </si>
  <si>
    <t>Concrete Utility Hub Pavement - 4-Inch (Section 321613)</t>
  </si>
  <si>
    <t>321613 - Concrete Utility Hub Pavement</t>
  </si>
  <si>
    <t>Chain Link Fance with Barbed Wire</t>
  </si>
  <si>
    <t>7-Foot</t>
  </si>
  <si>
    <t>7-Foot Chain Link Fance with Barbed Wire (Section 323113)</t>
  </si>
  <si>
    <t>323113 - Chain Link Fance with Barbed Wire</t>
  </si>
  <si>
    <t>SITEWORK_MISC</t>
  </si>
  <si>
    <t>FENCING_GUARDRAIL_BOLLARDS</t>
  </si>
  <si>
    <t>spec_site_safety</t>
  </si>
  <si>
    <t>Chain Link Fence with Slats and Barbed Wire</t>
  </si>
  <si>
    <t>10-Foot</t>
  </si>
  <si>
    <t>10-Foot Chain Link Fence with Slats and Barbed Wire (Section 323113)</t>
  </si>
  <si>
    <t>323113 - Chain Link Fence with Slats and Barbed Wire</t>
  </si>
  <si>
    <t>Irrigation Replacement</t>
  </si>
  <si>
    <t>Irrigation Replacement (Section 328400)</t>
  </si>
  <si>
    <t>328400 - Irrigation Replacement</t>
  </si>
  <si>
    <t>Ground Cover Planting</t>
  </si>
  <si>
    <t>Ground Cover Planting (Section 329300)</t>
  </si>
  <si>
    <t>329300 - Ground Cover Planting</t>
  </si>
  <si>
    <t>Fire Water Line</t>
  </si>
  <si>
    <t>8-Inch Fire Water Line (Section 331116)</t>
  </si>
  <si>
    <t>331116 - Fire Water Line</t>
  </si>
  <si>
    <t>8-Inch Gate Valve (Section 331116)</t>
  </si>
  <si>
    <t>331116 - Gate Valve</t>
  </si>
  <si>
    <t>Underground Fire Hydrant</t>
  </si>
  <si>
    <t>Underground Fire Hydrant (Section 331116)</t>
  </si>
  <si>
    <t>331116 - Underground Fire Hydrant</t>
  </si>
  <si>
    <t>Pipe Bollards</t>
  </si>
  <si>
    <t>Pipe Bollards (Section 347113)</t>
  </si>
  <si>
    <t>347113 - Pipe Bollards</t>
  </si>
  <si>
    <t>Sweeper (Section012200)</t>
  </si>
  <si>
    <t>Work Zoneand Traffic Control</t>
  </si>
  <si>
    <t>WorkZoneandTrafficControl (Section012200)</t>
  </si>
  <si>
    <t>012200 - Work Zoneand Traffic Control</t>
  </si>
  <si>
    <t>Escort (Section012200)</t>
  </si>
  <si>
    <t>HighBlueReflectiveMarkers</t>
  </si>
  <si>
    <t>3'</t>
  </si>
  <si>
    <t>3'HighBlueReflectiveMarkers (Section012200)</t>
  </si>
  <si>
    <t>012200 - HighBlueReflectiveMarkers</t>
  </si>
  <si>
    <t>Temporary Stream Bypass</t>
  </si>
  <si>
    <t>TemporaryStreamBypass(Section012200)</t>
  </si>
  <si>
    <t>012200 - Temporary Stream Bypass</t>
  </si>
  <si>
    <t>SettlementPlates</t>
  </si>
  <si>
    <t>SettlementPlates (Section012200)</t>
  </si>
  <si>
    <t>012200 - SettlementPlates</t>
  </si>
  <si>
    <t>Plastic Mesh Fence</t>
  </si>
  <si>
    <t>PlasticMeshFence (Section015713)</t>
  </si>
  <si>
    <t>015713 - Plastic Mesh Fence</t>
  </si>
  <si>
    <t>InletProtection</t>
  </si>
  <si>
    <t>InletProtection (Section015713)</t>
  </si>
  <si>
    <t>015713 - InletProtection</t>
  </si>
  <si>
    <t>Wattles (Section015713)</t>
  </si>
  <si>
    <t>JetBlastControlMaterial (Section015713)</t>
  </si>
  <si>
    <t>DitchProtection/CheckDams (Section015713)</t>
  </si>
  <si>
    <t>ConstructionEntrance</t>
  </si>
  <si>
    <t>ConstructionEntrance (Section015713)</t>
  </si>
  <si>
    <t>015713 - ConstructionEntrance</t>
  </si>
  <si>
    <t>JuteMatting</t>
  </si>
  <si>
    <t>JuteMatting (Section015713)</t>
  </si>
  <si>
    <t>015713 - JuteMatting</t>
  </si>
  <si>
    <t>Installationand Removalof Silt Fence</t>
  </si>
  <si>
    <t>InstallationandRemovalofSiltFence (ItemC-102)</t>
  </si>
  <si>
    <t>C-102 - Installationand Removalof Silt Fence</t>
  </si>
  <si>
    <t>Mobilization (ItemC-105)</t>
  </si>
  <si>
    <t>Asphalt Pavement Removal - 2.5-InchDepth</t>
  </si>
  <si>
    <t>AsphaltPavementRemoval-2.5-InchDepth (ItemP-101)</t>
  </si>
  <si>
    <t>P-101 - Asphalt Pavement Removal - 2.5-InchDepth</t>
  </si>
  <si>
    <t>4-InchDepth</t>
  </si>
  <si>
    <t>AsphaltPavementRemoval-4-InchDepth (ItemP-101)</t>
  </si>
  <si>
    <t>6-8-InchDepth</t>
  </si>
  <si>
    <t>AsphaltPavementRemoval-6-8-InchDepth (ItemP-101)</t>
  </si>
  <si>
    <t>ColdMilling - 0.5InchDepth</t>
  </si>
  <si>
    <t>ColdMilling-0.5InchDepth (ItemP-101)</t>
  </si>
  <si>
    <t>P-101 - ColdMilling - 0.5InchDepth</t>
  </si>
  <si>
    <t>ColdMilling - VariableDepth(Transitional)</t>
  </si>
  <si>
    <t>ColdMilling-VariableDepth(Transitional)(ItemP-101)</t>
  </si>
  <si>
    <t>P-101 - ColdMilling - VariableDepth(Transitional)</t>
  </si>
  <si>
    <t>Removalof Pipeand Other Buried Structures</t>
  </si>
  <si>
    <t>RemovalofPipeandOtherBuriedStructures (ItemP-101)</t>
  </si>
  <si>
    <t>P-101 - Removalof Pipeand Other Buried Structures</t>
  </si>
  <si>
    <t>EmbankmentinPlace</t>
  </si>
  <si>
    <t>EmbankmentinPlace (ItemP-152)</t>
  </si>
  <si>
    <t>P-152 - EmbankmentinPlace</t>
  </si>
  <si>
    <t>MechanicalStabilization</t>
  </si>
  <si>
    <t>MechanicalStabilization (ItemP-152)</t>
  </si>
  <si>
    <t>P-152 - MechanicalStabilization</t>
  </si>
  <si>
    <t>Existing Subgrade Stabilzation</t>
  </si>
  <si>
    <t>ExistingSubgradeStabilzation (ItemP-152)</t>
  </si>
  <si>
    <t>P-152 - Existing Subgrade Stabilzation</t>
  </si>
  <si>
    <t>UnsuitableExcavation</t>
  </si>
  <si>
    <t>UnsuitableExcavation (ItemP-152)</t>
  </si>
  <si>
    <t>P-152 - UnsuitableExcavation</t>
  </si>
  <si>
    <t>ControlledLow - StrengthMaterial(CLSM)</t>
  </si>
  <si>
    <t>ControlledLow-StrengthMaterial(CLSM) (ItemP-153)</t>
  </si>
  <si>
    <t>P-153 - ControlledLow - StrengthMaterial(CLSM)</t>
  </si>
  <si>
    <t>SubbaseCourse</t>
  </si>
  <si>
    <t>SubbaseCourse (ItemP-154)</t>
  </si>
  <si>
    <t>P-154 - SubbaseCourse</t>
  </si>
  <si>
    <t>CrushedAggregateBaseCourse (ItemP-209)</t>
  </si>
  <si>
    <t>SeparationGeotextile</t>
  </si>
  <si>
    <t>SeparationGeotextile (ItemP-209)</t>
  </si>
  <si>
    <t>P-209 - SeparationGeotextile</t>
  </si>
  <si>
    <t>AsphaltSurfaceCourse (ItemP-401)</t>
  </si>
  <si>
    <t>Asphalt Mixture Baseand Surface Course</t>
  </si>
  <si>
    <t>AsphaltMixtureBaseandSurfaceCourse(ItemP-403)</t>
  </si>
  <si>
    <t>P-403 - Asphalt Mixture Baseand Surface Course</t>
  </si>
  <si>
    <t>EmulsifiedAsphaltTackCoat (ItemP-603)</t>
  </si>
  <si>
    <t>JointSealingFiller(ItemP-605)</t>
  </si>
  <si>
    <t>AdhesiveCompound</t>
  </si>
  <si>
    <t>AdhesiveCompound (ItemP-606)</t>
  </si>
  <si>
    <t>P-606 - AdhesiveCompound</t>
  </si>
  <si>
    <t>Concrete(ItemP-610)</t>
  </si>
  <si>
    <t>SurfacePreparation</t>
  </si>
  <si>
    <t>NewPavementSurface</t>
  </si>
  <si>
    <t>SurfacePreparation-NewPavementSurface (ItemP-620)</t>
  </si>
  <si>
    <t>P-620 - SurfacePreparation</t>
  </si>
  <si>
    <t>RemoveExistingMarkings</t>
  </si>
  <si>
    <t>SurfacePreparation-RemoveExistingMarkings (ItemP-620)</t>
  </si>
  <si>
    <t>Marking (ItemP-620)</t>
  </si>
  <si>
    <t>ReflectiveMedia</t>
  </si>
  <si>
    <t>ReflectiveMedia (ItemP-620)</t>
  </si>
  <si>
    <t>P-620 - ReflectiveMedia</t>
  </si>
  <si>
    <t>Temporary Runwayand Taxiway Marking</t>
  </si>
  <si>
    <t>TemporaryRunwayandTaxiwayMarking (ItemP-620)</t>
  </si>
  <si>
    <t>P-620 - Temporary Runwayand Taxiway Marking</t>
  </si>
  <si>
    <t>6-inchSTS</t>
  </si>
  <si>
    <t>6-inchSTS (ItemD-701)</t>
  </si>
  <si>
    <t>D-701 - 6-inchSTS</t>
  </si>
  <si>
    <t>12-inchSTS</t>
  </si>
  <si>
    <t>12-inchSTS (ItemD-701)</t>
  </si>
  <si>
    <t>D-701 - 12-inchSTS</t>
  </si>
  <si>
    <t>24-inchSTS</t>
  </si>
  <si>
    <t>24-inchSTS (ItemD-701)</t>
  </si>
  <si>
    <t>D-701 - 24-inchSTS</t>
  </si>
  <si>
    <t>14-inch Class50Ductile Iron Pipe Culvert</t>
  </si>
  <si>
    <t>14-inchClass50DuctileIronPipeCulvert(ItemD-701)</t>
  </si>
  <si>
    <t>D-701 - 14-inch Class50Ductile Iron Pipe Culvert</t>
  </si>
  <si>
    <t>18-inch Class50Ductile Iron Pipe Culvert</t>
  </si>
  <si>
    <t>18-inchClass50DuctileIronPipeCulvert (ItemD-701)</t>
  </si>
  <si>
    <t>D-701 - 18-inch Class50Ductile Iron Pipe Culvert</t>
  </si>
  <si>
    <t>Culvert</t>
  </si>
  <si>
    <t>8'HX14'W</t>
  </si>
  <si>
    <t>8'HX14'WCulvert (ItemD-701)</t>
  </si>
  <si>
    <t>D-701 - Culvert</t>
  </si>
  <si>
    <t>InchPipeUnderdrains</t>
  </si>
  <si>
    <t>6-</t>
  </si>
  <si>
    <t>6-InchPipeUnderdrains (ItemD-705)</t>
  </si>
  <si>
    <t>D-705 - InchPipeUnderdrains</t>
  </si>
  <si>
    <t>Manholes</t>
  </si>
  <si>
    <t>Manholes (ItemD-751)</t>
  </si>
  <si>
    <t>D-751 - Manholes</t>
  </si>
  <si>
    <t>CatchBasins</t>
  </si>
  <si>
    <t>CatchBasins (ItemD-751)</t>
  </si>
  <si>
    <t>D-751 - CatchBasins</t>
  </si>
  <si>
    <t>D-752</t>
  </si>
  <si>
    <t>Unclassified Excavationfor Structures</t>
  </si>
  <si>
    <t>UnclassifiedExcavationforStructures (ItemD-752)</t>
  </si>
  <si>
    <t>D-752 - Unclassified Excavationfor Structures</t>
  </si>
  <si>
    <t>StructuralConcrete</t>
  </si>
  <si>
    <t>StructuralConcrete (ItemD-752)</t>
  </si>
  <si>
    <t>D-752 - StructuralConcrete</t>
  </si>
  <si>
    <t>ReinforcingSteel</t>
  </si>
  <si>
    <t>ReinforcingSteel (ItemD-752)</t>
  </si>
  <si>
    <t>D-752 - ReinforcingSteel</t>
  </si>
  <si>
    <t>Seeding(ItemT-901)</t>
  </si>
  <si>
    <t>Topsoil</t>
  </si>
  <si>
    <t>ObtainedOnStieorRemovedfromStockpile</t>
  </si>
  <si>
    <t>Topsoil(ObtainedOnStieorRemovedfromStockpile) (ItemT-905)</t>
  </si>
  <si>
    <t>T-905 - Topsoil</t>
  </si>
  <si>
    <t>FurnishedfromOfftheSite</t>
  </si>
  <si>
    <t>Topsoil(FurnishedfromOfftheSite) (ItemT-905)</t>
  </si>
  <si>
    <t>Contaminated Material Excavationand Disposal</t>
  </si>
  <si>
    <t>ContaminatedMaterialExcavationandDisposal(Section026100)</t>
  </si>
  <si>
    <t>026100 - Contaminated Material Excavationand Disposal</t>
  </si>
  <si>
    <t>MinorAdjustment</t>
  </si>
  <si>
    <t>ExistingManholeAdjustmenttoGrade-MinorAdjustment (Section312300)</t>
  </si>
  <si>
    <t>MajorAdjustment</t>
  </si>
  <si>
    <t>ExistingManholeAdjustmenttoGrade-MajorAdjustment (Section312300)</t>
  </si>
  <si>
    <t>Cleanout</t>
  </si>
  <si>
    <t>ExistingManholeAdjustmenttoGrade-Cleanout (Section312300)</t>
  </si>
  <si>
    <t>ExistingElectricalVaultAdjustmenttoGrade(Section312300)</t>
  </si>
  <si>
    <t>CleanoutStructures</t>
  </si>
  <si>
    <t>CleanoutStructures (Section330516)</t>
  </si>
  <si>
    <t>330516 - CleanoutStructures</t>
  </si>
  <si>
    <t>Boulders</t>
  </si>
  <si>
    <t>Boulders (Section354000)</t>
  </si>
  <si>
    <t>354000 - Boulders</t>
  </si>
  <si>
    <t>StreambedCobble</t>
  </si>
  <si>
    <t>StreambedCobble (Section354000)</t>
  </si>
  <si>
    <t>354000 - StreambedCobble</t>
  </si>
  <si>
    <t>StreambedSediment</t>
  </si>
  <si>
    <t>StreambedSediment (Section354000)</t>
  </si>
  <si>
    <t>354000 - StreambedSediment</t>
  </si>
  <si>
    <t>RiprapOutfall</t>
  </si>
  <si>
    <t>RiprapOutfall (Section354000)</t>
  </si>
  <si>
    <t>354000 - RiprapOutfall</t>
  </si>
  <si>
    <t>Grade Control Structures</t>
  </si>
  <si>
    <t>GradeControlStructures (Section354000)</t>
  </si>
  <si>
    <t>354000 - Grade Control Structures</t>
  </si>
  <si>
    <t>No.8AWG,5k V,L-824,Type CCable Installedin Trench,Duct Bank</t>
  </si>
  <si>
    <t>orConduit</t>
  </si>
  <si>
    <t>No.8AWG,5kV,L-824,TypeCCableInstalledinTrench,DuctBank,orConduit(ItemL-108)</t>
  </si>
  <si>
    <t>L-108 - No.8AWG,5k V,L-824,Type CCable Installedin Trench,Duct Bank</t>
  </si>
  <si>
    <t>No.6AWG,Solid,Bare Counterpoise Wire,Installed Abovethe Duct Bankor Conduit</t>
  </si>
  <si>
    <t>IncludingConnections/Terminations</t>
  </si>
  <si>
    <t>No.6AWG,Solid,BareCounterpoiseWire,InstalledAbovetheDuctBankorConduit,IncludingConnections/Terminations(ItemL-108)</t>
  </si>
  <si>
    <t>L-108 - No.6AWG,Solid,Bare Counterpoise Wire,Installed Abovethe Duct Bankor Conduit</t>
  </si>
  <si>
    <t>Ground Rodfor Counterpoise</t>
  </si>
  <si>
    <t>GroundRodforCounterpoise (ItemL-108)</t>
  </si>
  <si>
    <t>L-108 - Ground Rodfor Counterpoise</t>
  </si>
  <si>
    <t>InchPVCinGrassorinNewACshoulder</t>
  </si>
  <si>
    <t>2-</t>
  </si>
  <si>
    <t>2-InchPVCinGrassorinNewACshoulder(ItemL-110)</t>
  </si>
  <si>
    <t>L-110 - InchPVCinGrassorinNewACshoulder</t>
  </si>
  <si>
    <t>InchPVCinNewACStructuralPavement</t>
  </si>
  <si>
    <t>2-InchPVCinNewACStructuralPavement(ItemL-110)</t>
  </si>
  <si>
    <t>L-110 - InchPVCinNewACStructuralPavement</t>
  </si>
  <si>
    <t>GeneralElectricalRemoval (Section260500)</t>
  </si>
  <si>
    <t>TemporaryCircuitConnection (Section260500)</t>
  </si>
  <si>
    <t>Temporary Threshold Set Upand Circuit Connection</t>
  </si>
  <si>
    <t>TemporaryThresholdSetUpandCircuitConnection (Section260500)</t>
  </si>
  <si>
    <t>260500 - Temporary Threshold Set Upand Circuit Connection</t>
  </si>
  <si>
    <t>FAAMALSRand Threshold Bar Lights</t>
  </si>
  <si>
    <t>FAAMALSRandThresholdBarLights(Section260500)</t>
  </si>
  <si>
    <t>260500 - FAAMALSRand Threshold Bar Lights</t>
  </si>
  <si>
    <t>Install PFConstant Current Regulator</t>
  </si>
  <si>
    <t>InstallPFConstantCurrentRegulator (Section260500)</t>
  </si>
  <si>
    <t>260500 - Install PFConstant Current Regulator</t>
  </si>
  <si>
    <t>Install PFLEDRunway Edge Lightwith PFBase Can</t>
  </si>
  <si>
    <t>CFTransformerinNewACPShoulder</t>
  </si>
  <si>
    <t>InstallPFLEDRunwayEdgeLightwithPFBaseCan,CFTransformerinNewACPShoulder (Section344300)</t>
  </si>
  <si>
    <t>344300 - Install PFLEDRunway Edge Lightwith PFBase Can</t>
  </si>
  <si>
    <t>Install PFLEDElevated Runway End/Threshold Lightwith PFBase Can</t>
  </si>
  <si>
    <t>InstallPFLEDElevatedRunwayEnd/ThresholdLightwithPFBaseCan,CFTransformerinNewACPShoulder (Section344300)</t>
  </si>
  <si>
    <t>344300 - Install PFLEDElevated Runway End/Threshold Lightwith PFBase Can</t>
  </si>
  <si>
    <t>Install PFLEDElevated Runway Guard Lightwith PFBase Can</t>
  </si>
  <si>
    <t>InstallPFLEDElevatedRunwayGuardLightwithPFBaseCan,CFTransformerinNewACPShoulder(Section344300)</t>
  </si>
  <si>
    <t>344300 - Install PFLEDElevated Runway Guard Lightwith PFBase Can</t>
  </si>
  <si>
    <t>Install PFTaxiway Edge Lightwith PFBase Can</t>
  </si>
  <si>
    <t>InstallPFTaxiwayEdgeLightwithPFBaseCan,CFTransformerinNewACPShoulder(Section344300)</t>
  </si>
  <si>
    <t>344300 - Install PFTaxiway Edge Lightwith PFBase Can</t>
  </si>
  <si>
    <t>InstallPF</t>
  </si>
  <si>
    <t>12"Diameter,24"DeepBaseCanwithPFCoverinNewACPShoulder</t>
  </si>
  <si>
    <t>InstallPF12"Diameter,24"DeepBaseCanwithPFCoverinNewACPShoulder (Section344300)</t>
  </si>
  <si>
    <t>344300 - InstallPF</t>
  </si>
  <si>
    <t>Install PFElevated Taxiway Edge Lighton Existing Base Canwith CFTransformer</t>
  </si>
  <si>
    <t>InstallPFElevatedTaxiwayEdgeLightonExistingBaseCanwithCFTransformer (Section344300)</t>
  </si>
  <si>
    <t>344300 - Install PFElevated Taxiway Edge Lighton Existing Base Canwith CFTransformer</t>
  </si>
  <si>
    <t>Adjust Existing Runway/Taxiway Elevated Edge Lightwith CFTransformer</t>
  </si>
  <si>
    <t>AdjustExistingRunway/TaxiwayElevatedEdgeLightwithCFTransformer (Section344301)</t>
  </si>
  <si>
    <t>344301 - Adjust Existing Runway/Taxiway Elevated Edge Lightwith CFTransformer</t>
  </si>
  <si>
    <t>Sign</t>
  </si>
  <si>
    <t>13R-1</t>
  </si>
  <si>
    <t>Sign13R-1 (Section344302)</t>
  </si>
  <si>
    <t>344302 - Sign</t>
  </si>
  <si>
    <t>SignA</t>
  </si>
  <si>
    <t>SignA-1 (Section344302)</t>
  </si>
  <si>
    <t>344302 - SignA</t>
  </si>
  <si>
    <t>Temporary Erosion and Sediment Control</t>
  </si>
  <si>
    <t>UNCLASSIFIED - Temporary Erosion and Sediment Control</t>
  </si>
  <si>
    <t>Kennedy Feeder Point-of-Service Access Pad</t>
  </si>
  <si>
    <t>UNCLASSIFIED - Kennedy Feeder Point-of-Service Access Pad</t>
  </si>
  <si>
    <t>Kennedy Feeder Pad - Mount Switch</t>
  </si>
  <si>
    <t>Kennedy Feeder Pad-Mount Switch</t>
  </si>
  <si>
    <t>UNCLASSIFIED - Kennedy Feeder Pad - Mount Switch</t>
  </si>
  <si>
    <t>Aircraft - Rated Electrical Vaults</t>
  </si>
  <si>
    <t>Aircraft-Rated Electrical Vaults</t>
  </si>
  <si>
    <t>UNCLASSIFIED - Aircraft - Rated Electrical Vaults</t>
  </si>
  <si>
    <t>H-20 Traffic - Rated Electrical Vaults</t>
  </si>
  <si>
    <t>H-20 Traffic-Rated Electrical Vaults</t>
  </si>
  <si>
    <t>UNCLASSIFIED - H-20 Traffic - Rated Electrical Vaults</t>
  </si>
  <si>
    <t>Two 6-Inch Conduits by Directional Drilling Method</t>
  </si>
  <si>
    <t>UNCLASSIFIED - Two 6-Inch Conduits by Directional Drilling Method</t>
  </si>
  <si>
    <t>Electrical Feeder Conductor Assembly</t>
  </si>
  <si>
    <t>UNCLASSIFIED - Electrical Feeder Conductor Assembly</t>
  </si>
  <si>
    <t>Electrical Feeder Installation in Vaults</t>
  </si>
  <si>
    <t>UNCLASSIFIED - Electrical Feeder Installation in Vaults</t>
  </si>
  <si>
    <t>Electrical Feeder Conductor Termination and Testing</t>
  </si>
  <si>
    <t>UNCLASSIFIED - Electrical Feeder Conductor Termination and Testing</t>
  </si>
  <si>
    <t>Project Traffic Control</t>
  </si>
  <si>
    <t>UNCLASSIFIED - Project Traffic Control</t>
  </si>
  <si>
    <t>Ditch Protection</t>
  </si>
  <si>
    <t>UNCLASSIFIED - Ditch Protection</t>
  </si>
  <si>
    <t>Asphalt Sawcut</t>
  </si>
  <si>
    <t>UNCLASSIFIED - Asphalt Sawcut</t>
  </si>
  <si>
    <t>Curb Removal</t>
  </si>
  <si>
    <t>UNCLASSIFIED - Curb Removal</t>
  </si>
  <si>
    <t>Asphalt Grinding Removal and Disposal</t>
  </si>
  <si>
    <t>UNCLASSIFIED - Asphalt Grinding Removal and Disposal</t>
  </si>
  <si>
    <t>Embankment</t>
  </si>
  <si>
    <t>UNCLASSIFIED - Embankment</t>
  </si>
  <si>
    <t>Encasement Over Existing Waterlin</t>
  </si>
  <si>
    <t>UNCLASSIFIED - Encasement Over Existing Waterlin</t>
  </si>
  <si>
    <t>Remove and Reinstall 12-Inch Ductile Iron Pipe</t>
  </si>
  <si>
    <t>UNCLASSIFIED - Remove and Reinstall 12-Inch Ductile Iron Pipe</t>
  </si>
  <si>
    <t>Electrical Bedding Material</t>
  </si>
  <si>
    <t>UNCLASSIFIED - Electrical Bedding Material</t>
  </si>
  <si>
    <t>Ductile Iron Sewer Pipe</t>
  </si>
  <si>
    <t>12-Inch Ductile Iron Sewer Pipe</t>
  </si>
  <si>
    <t>UNCLASSIFIED - Ductile Iron Sewer Pipe</t>
  </si>
  <si>
    <t>Connection to Existing Utility</t>
  </si>
  <si>
    <t>UNCLASSIFIED - Connection to Existing Utility</t>
  </si>
  <si>
    <t>UNCLASSIFIED - Catch Basin</t>
  </si>
  <si>
    <t>Standard 8-Inch Concrete Curb</t>
  </si>
  <si>
    <t>UNCLASSIFIED - Standard 8-Inch Concrete Curb</t>
  </si>
  <si>
    <t>Monolithic Curb and Sidewalk</t>
  </si>
  <si>
    <t>UNCLASSIFIED - Monolithic Curb and Sidewalk</t>
  </si>
  <si>
    <t>Blackout and Temporary Pavement Marking</t>
  </si>
  <si>
    <t>UNCLASSIFIED - Blackout and Temporary Pavement Marking</t>
  </si>
  <si>
    <t>Signage</t>
  </si>
  <si>
    <t>UNCLASSIFIED - Signage</t>
  </si>
  <si>
    <t>kw_airfield_signage</t>
  </si>
  <si>
    <t>Fence Fabric Removal</t>
  </si>
  <si>
    <t>UNCLASSIFIED - Fence Fabric Removal</t>
  </si>
  <si>
    <t>Chain - Link Slatted Fence Fabric</t>
  </si>
  <si>
    <t>6-Foot</t>
  </si>
  <si>
    <t>6-Foot Chain-Link Slatted Fence Fabric</t>
  </si>
  <si>
    <t>UNCLASSIFIED - Chain - Link Slatted Fence Fabric</t>
  </si>
  <si>
    <t>Electrical</t>
  </si>
  <si>
    <t>UNCLASSIFIED - Electrical</t>
  </si>
  <si>
    <t>3/4-Inch Dense HMAC</t>
  </si>
  <si>
    <t>Level 3, 3/4-Inch Dense HMAC</t>
  </si>
  <si>
    <t>Bollards</t>
  </si>
  <si>
    <t>UNCLASSIFIED - Bollards</t>
  </si>
  <si>
    <t>Cold Millling</t>
  </si>
  <si>
    <t>Cold Millling - 3-Inch Depth (Item P-101)</t>
  </si>
  <si>
    <t>P-101 - Cold Millling</t>
  </si>
  <si>
    <t>Cold Milling - 6-Inch Depth (Item P-101)</t>
  </si>
  <si>
    <t>Surface Preparation - Remarking</t>
  </si>
  <si>
    <t>Surface Preparation - Remarking (Item P-620)</t>
  </si>
  <si>
    <t>P-620 - Surface Preparation - Remarking</t>
  </si>
  <si>
    <t>Surface Preparation - Remove Existing Marking</t>
  </si>
  <si>
    <t>Surface Preparation - Remove Existing Marking (Item P-620)</t>
  </si>
  <si>
    <t>P-620 - Surface Preparation - Remove Existing Marking</t>
  </si>
  <si>
    <t>Temporary Runway and Taxiway Makrings</t>
  </si>
  <si>
    <t>Temporary Runway and Taxiway Makrings (Item P-620)</t>
  </si>
  <si>
    <t>P-620 - Temporary Runway and Taxiway Makrings</t>
  </si>
  <si>
    <t>No. 8 AWG, 5kV, L-824, Type C Cable</t>
  </si>
  <si>
    <t>No. 8 AWG, 5kV, L-824, Type C Cable (Item L-108)</t>
  </si>
  <si>
    <t>L-108 - No. 8 AWG, 5kV, L-824, Type C Cable</t>
  </si>
  <si>
    <t>Counterpoise Ground Rod (Item L-108)</t>
  </si>
  <si>
    <t>PVC encased in P-610 in Existing AC</t>
  </si>
  <si>
    <t>2-Inch PVC encased in P-610 in Existing AC (Item L-110)</t>
  </si>
  <si>
    <t>L-110 - PVC encased in P-610 in Existing AC</t>
  </si>
  <si>
    <t>Reinstall Taxiway Centerline Light on CF Base Can, CF Extenstion, CF Flange Ring, and CF Transformer</t>
  </si>
  <si>
    <t>Reinstall Taxiway Centerline Light on CF Base Can, CF Extenstion, CF Flange Ring, and CF Transformer (Section 344300)</t>
  </si>
  <si>
    <t>344300 - Reinstall Taxiway Centerline Light on CF Base Can, CF Extenstion, CF Flange Ring, and CF Transformer</t>
  </si>
  <si>
    <t>Reinstall Taxiway Centerline Light on Existing Base Can with CF Transformer</t>
  </si>
  <si>
    <t>Reinstall Taxiway Centerline Light on Existing Base Can with CF Transformer (Section 344300)</t>
  </si>
  <si>
    <t>344300 - Reinstall Taxiway Centerline Light on Existing Base Can with CF Transformer</t>
  </si>
  <si>
    <t>Reinstall Taxiway Edge Light on Existing Base Can with Existing Transformer</t>
  </si>
  <si>
    <t>Reinstall Taxiway Edge Light on Existing Base Can with Existing Transformer (Section 344300)</t>
  </si>
  <si>
    <t>344300 - Reinstall Taxiway Edge Light on Existing Base Can with Existing Transformer</t>
  </si>
  <si>
    <t>UNCLASSIFIED - Traffic Control</t>
  </si>
  <si>
    <t>Tree and Plant Protection</t>
  </si>
  <si>
    <t>UNCLASSIFIED - Tree and Plant Protection</t>
  </si>
  <si>
    <t>Surfacings Removal</t>
  </si>
  <si>
    <t>UNCLASSIFIED - Surfacings Removal</t>
  </si>
  <si>
    <t>PVC Conduit (Power)</t>
  </si>
  <si>
    <t>6 Inch</t>
  </si>
  <si>
    <t>PVC Conduit (Power) - 6 Inch</t>
  </si>
  <si>
    <t>UNCLASSIFIED - PVC Conduit (Power)</t>
  </si>
  <si>
    <t>kw_airfield_lighting</t>
  </si>
  <si>
    <t>4 Inch</t>
  </si>
  <si>
    <t>PVC Conduit (Power) - 4 Inch</t>
  </si>
  <si>
    <t>3 Inch</t>
  </si>
  <si>
    <t>PVC Conduit (Power) - 3 Inch</t>
  </si>
  <si>
    <t>2 Inch</t>
  </si>
  <si>
    <t>PVC Conduit (Power) - 2 Inch</t>
  </si>
  <si>
    <t>XHHW Conductor - #3 AWG (Power)</t>
  </si>
  <si>
    <t>UNCLASSIFIED - XHHW Conductor - #3 AWG (Power)</t>
  </si>
  <si>
    <t>XHHW Conductor - #6 AWG (Power)</t>
  </si>
  <si>
    <t>UNCLASSIFIED - XHHW Conductor - #6 AWG (Power)</t>
  </si>
  <si>
    <t>XHHW Conductor - #8 AWG (Power)</t>
  </si>
  <si>
    <t>UNCLASSIFIED - XHHW Conductor - #8 AWG (Power)</t>
  </si>
  <si>
    <t>XHHW Conductor - #10 AWG (Power)</t>
  </si>
  <si>
    <t>UNCLASSIFIED - XHHW Conductor - #10 AWG (Power)</t>
  </si>
  <si>
    <t>XHHW Conductor - #12 AWG (Power)</t>
  </si>
  <si>
    <t>UNCLASSIFIED - XHHW Conductor - #12 AWG (Power)</t>
  </si>
  <si>
    <t>Electric Utility Meter Base - 200A Direct</t>
  </si>
  <si>
    <t>UNCLASSIFIED - Electric Utility Meter Base - 200A Direct</t>
  </si>
  <si>
    <t>Metered Switchgear Installation</t>
  </si>
  <si>
    <t>UNCLASSIFIED - Metered Switchgear Installation</t>
  </si>
  <si>
    <t>Vault (Power) - 712-SWITCH - PCORP</t>
  </si>
  <si>
    <t>Vault (Power) - 712-SWITCH-PCORP</t>
  </si>
  <si>
    <t>UNCLASSIFIED - Vault (Power) - 712-SWITCH - PCORP</t>
  </si>
  <si>
    <t>Vault (Power) - 575-TRANS - PCORP</t>
  </si>
  <si>
    <t>Vault (Power) - 575-TRANS-PCORP</t>
  </si>
  <si>
    <t>UNCLASSIFIED - Vault (Power) - 575-TRANS - PCORP</t>
  </si>
  <si>
    <t>Vault (Power)</t>
  </si>
  <si>
    <t>575-PCORP</t>
  </si>
  <si>
    <t>Vault (Power) - 575-PCORP</t>
  </si>
  <si>
    <t>UNCLASSIFIED - Vault (Power)</t>
  </si>
  <si>
    <t>Vault (Power) - 776-TRANS - PCORP</t>
  </si>
  <si>
    <t>Vault (Power) - 776-TRANS-PCORP</t>
  </si>
  <si>
    <t>UNCLASSIFIED - Vault (Power) - 776-TRANS - PCORP</t>
  </si>
  <si>
    <t>Vault (Power) - 776-TRANS - PCORP (Traffic Rated)</t>
  </si>
  <si>
    <t>Vault (Power) - 776-TRANS-PCORP (Traffic Rated)</t>
  </si>
  <si>
    <t>UNCLASSIFIED - Vault (Power) - 776-TRANS - PCORP (Traffic Rated)</t>
  </si>
  <si>
    <t>PVC Conduit (Comm)</t>
  </si>
  <si>
    <t>PVC Conduit (Comm) - 4 Inch</t>
  </si>
  <si>
    <t>UNCLASSIFIED - PVC Conduit (Comm)</t>
  </si>
  <si>
    <t>HDPE Interduct (Comm) - 1 1/4"</t>
  </si>
  <si>
    <t>UNCLASSIFIED - HDPE Interduct (Comm) - 1 1/4"</t>
  </si>
  <si>
    <t>Vault (Comm)</t>
  </si>
  <si>
    <t>444-LA</t>
  </si>
  <si>
    <t>Vault (Comm) - 444-LA</t>
  </si>
  <si>
    <t>UNCLASSIFIED - Vault (Comm)</t>
  </si>
  <si>
    <t>Vault (Comm) - 444-LA (Traffic Rated)</t>
  </si>
  <si>
    <t>UNCLASSIFIED - Vault (Comm) - 444-LA (Traffic Rated)</t>
  </si>
  <si>
    <t>Demarcation Panel with Receptacles, Heater, and T-Stat</t>
  </si>
  <si>
    <t>UNCLASSIFIED - Demarcation Panel with Receptacles, Heater, and T-Stat</t>
  </si>
  <si>
    <t>H-Frame Support</t>
  </si>
  <si>
    <t>UNCLASSIFIED - H-Frame Support</t>
  </si>
  <si>
    <t>Mini - Power Zone</t>
  </si>
  <si>
    <t>10 KVA</t>
  </si>
  <si>
    <t>Mini-Power Zone (10 KVA)</t>
  </si>
  <si>
    <t>UNCLASSIFIED - Mini - Power Zone</t>
  </si>
  <si>
    <t>Panelboard - 480Y/277V, 100A, 3-Phase, NEMA 3R</t>
  </si>
  <si>
    <t>UNCLASSIFIED - Panelboard - 480Y/277V, 100A, 3-Phase, NEMA 3R</t>
  </si>
  <si>
    <t>Panelboard - 240/120V, 100A, 1-Phase, NEMA 3R</t>
  </si>
  <si>
    <t>UNCLASSIFIED - Panelboard - 240/120V, 100A, 1-Phase, NEMA 3R</t>
  </si>
  <si>
    <t>Electrical Demo (Existing ORANG)</t>
  </si>
  <si>
    <t>UNCLASSIFIED - Electrical Demo (Existing ORANG)</t>
  </si>
  <si>
    <t>Trench Excavation</t>
  </si>
  <si>
    <t>UNCLASSIFIED - Trench Excavation</t>
  </si>
  <si>
    <t>Trenchless Installation</t>
  </si>
  <si>
    <t>UNCLASSIFIED - Trenchless Installation</t>
  </si>
  <si>
    <t>Bedding and Pipe Zone Material</t>
  </si>
  <si>
    <t>UNCLASSIFIED - Bedding and Pipe Zone Material</t>
  </si>
  <si>
    <t>Crack Seal</t>
  </si>
  <si>
    <t>UNCLASSIFIED - Crack Seal</t>
  </si>
  <si>
    <t>Reinforced Concrete Pad</t>
  </si>
  <si>
    <t>UNCLASSIFIED - Reinforced Concrete Pad</t>
  </si>
  <si>
    <t>Cast - In-Place Concrete Curb</t>
  </si>
  <si>
    <t>Cast-In-Place Concrete Curb</t>
  </si>
  <si>
    <t>UNCLASSIFIED - Cast - In-Place Concrete Curb</t>
  </si>
  <si>
    <t>Concrete Sidewalk</t>
  </si>
  <si>
    <t>UNCLASSIFIED - Concrete Sidewalk</t>
  </si>
  <si>
    <t>One - Year Landscape Maintenance</t>
  </si>
  <si>
    <t>One-Year Landscape Maintenance</t>
  </si>
  <si>
    <t>UNCLASSIFIED - One - Year Landscape Maintenance</t>
  </si>
  <si>
    <t>Mulch</t>
  </si>
  <si>
    <t>UNCLASSIFIED - Mulch</t>
  </si>
  <si>
    <t>UNCLASSIFIED - Irrigation Replacement</t>
  </si>
  <si>
    <t>DR9 Pex Water Pipe</t>
  </si>
  <si>
    <t>3-Inch DR9 Pex Water Pipe</t>
  </si>
  <si>
    <t>UNCLASSIFIED - DR9 Pex Water Pipe</t>
  </si>
  <si>
    <t>DIP Water Pipe</t>
  </si>
  <si>
    <t>4-Inch DIP Water Pipe</t>
  </si>
  <si>
    <t>UNCLASSIFIED - DIP Water Pipe</t>
  </si>
  <si>
    <t>12-Inch DIP Water Pipe</t>
  </si>
  <si>
    <t>16-Inch</t>
  </si>
  <si>
    <t>16-Inch DIP Water Pipe</t>
  </si>
  <si>
    <t>Reduced Pressure Backflow Assembly and Enclosure</t>
  </si>
  <si>
    <t>4-Inch Reduced Pressure Backflow Assembly and Enclosure</t>
  </si>
  <si>
    <t>UNCLASSIFIED - Reduced Pressure Backflow Assembly and Enclosure</t>
  </si>
  <si>
    <t>Reduced Pressure Detector Assembly and Enclosure</t>
  </si>
  <si>
    <t>16-Inch Reduced Pressure Detector Assembly and Enclosure</t>
  </si>
  <si>
    <t>UNCLASSIFIED - Reduced Pressure Detector Assembly and Enclosure</t>
  </si>
  <si>
    <t>3-Inch Gate Valve</t>
  </si>
  <si>
    <t>8-Inch Gate Valve</t>
  </si>
  <si>
    <t>Butterfly Valve</t>
  </si>
  <si>
    <t>16-Inch Butterfly Valve</t>
  </si>
  <si>
    <t>UNCLASSIFIED - Butterfly Valve</t>
  </si>
  <si>
    <t>Water Meter</t>
  </si>
  <si>
    <t>2-Inch Water Meter</t>
  </si>
  <si>
    <t>UNCLASSIFIED - Water Meter</t>
  </si>
  <si>
    <t>Air Release Valve Assembly</t>
  </si>
  <si>
    <t>2-Inch Air Release Valve Assembly</t>
  </si>
  <si>
    <t>UNCLASSIFIED - Air Release Valve Assembly</t>
  </si>
  <si>
    <t>Central Water Meter Vault and Manifold</t>
  </si>
  <si>
    <t>UNCLASSIFIED - Central Water Meter Vault and Manifold</t>
  </si>
  <si>
    <t>Landside Utility Disconnections</t>
  </si>
  <si>
    <t>UNCLASSIFIED - Landside Utility Disconnections</t>
  </si>
  <si>
    <t>Airfield Fire Water Disconnection</t>
  </si>
  <si>
    <t>UNCLASSIFIED - Airfield Fire Water Disconnection</t>
  </si>
  <si>
    <t>Fire Hydrant Assembly</t>
  </si>
  <si>
    <t>UNCLASSIFIED - Fire Hydrant Assembly</t>
  </si>
  <si>
    <t>Manhole and Catch Basin Adjustment</t>
  </si>
  <si>
    <t>UNCLASSIFIED - Manhole and Catch Basin Adjustment</t>
  </si>
  <si>
    <t>1-001</t>
  </si>
  <si>
    <t>1-002</t>
  </si>
  <si>
    <t>1-003</t>
  </si>
  <si>
    <t>1-004</t>
  </si>
  <si>
    <t>1-005</t>
  </si>
  <si>
    <t>Building Removal and Backfill</t>
  </si>
  <si>
    <t>UNCLASSIFIED - Building Removal and Backfill</t>
  </si>
  <si>
    <t>1-006</t>
  </si>
  <si>
    <t>Concrete Winch House Removal and Backfill</t>
  </si>
  <si>
    <t>UNCLASSIFIED - Concrete Winch House Removal and Backfill</t>
  </si>
  <si>
    <t>1-007</t>
  </si>
  <si>
    <t>Water Well Decommission</t>
  </si>
  <si>
    <t>UNCLASSIFIED - Water Well Decommission</t>
  </si>
  <si>
    <t>1-008</t>
  </si>
  <si>
    <t>Concrete Removal and Backfill</t>
  </si>
  <si>
    <t>UNCLASSIFIED - Concrete Removal and Backfill</t>
  </si>
  <si>
    <t>1-009</t>
  </si>
  <si>
    <t>S.Y.</t>
  </si>
  <si>
    <t>1-010</t>
  </si>
  <si>
    <t>Aggregate Removal and Disposal</t>
  </si>
  <si>
    <t>UNCLASSIFIED - Aggregate Removal and Disposal</t>
  </si>
  <si>
    <t>C.Y.</t>
  </si>
  <si>
    <t>1-011</t>
  </si>
  <si>
    <t>Septic Tank and Drain Field Removal</t>
  </si>
  <si>
    <t>UNCLASSIFIED - Septic Tank and Drain Field Removal</t>
  </si>
  <si>
    <t>1-012</t>
  </si>
  <si>
    <t>Utility Removal, Relocation, and Backfill</t>
  </si>
  <si>
    <t>UNCLASSIFIED - Utility Removal, Relocation, and Backfill</t>
  </si>
  <si>
    <t>1-013</t>
  </si>
  <si>
    <t>1-014</t>
  </si>
  <si>
    <t>Miscellaneous Removals and Backfill</t>
  </si>
  <si>
    <t>UNCLASSIFIED - Miscellaneous Removals and Backfill</t>
  </si>
  <si>
    <t>1-015</t>
  </si>
  <si>
    <t>1-016</t>
  </si>
  <si>
    <t>Fill Material, Top Soil</t>
  </si>
  <si>
    <t>UNCLASSIFIED - Fill Material, Top Soil</t>
  </si>
  <si>
    <t>1-017</t>
  </si>
  <si>
    <t>Loose Riprap, Class 50</t>
  </si>
  <si>
    <t>UNCLASSIFIED - Loose Riprap, Class 50</t>
  </si>
  <si>
    <t>1-018</t>
  </si>
  <si>
    <t>Lead Paint Chip Removal</t>
  </si>
  <si>
    <t>UNCLASSIFIED - Lead Paint Chip Removal</t>
  </si>
  <si>
    <t>2-001</t>
  </si>
  <si>
    <t>L.S.</t>
  </si>
  <si>
    <t>Pavement Markings (Item P-620)</t>
  </si>
  <si>
    <t>P-620 - Pavement Markings</t>
  </si>
  <si>
    <t>Temporary Pavement Markings</t>
  </si>
  <si>
    <t>Temporary Pavement Markings (Item P-620)</t>
  </si>
  <si>
    <t>P-620 - Temporary Pavement Markings</t>
  </si>
  <si>
    <t>P-626</t>
  </si>
  <si>
    <t>Slurry Seal</t>
  </si>
  <si>
    <t>Slurry Seal (Item P-626)</t>
  </si>
  <si>
    <t>P-626 - Slurry Seal</t>
  </si>
  <si>
    <t>2-3 Inch Depth</t>
  </si>
  <si>
    <t>Asphalt Pavement Removal - 2-3 Inch Depth (Section 320117)</t>
  </si>
  <si>
    <t>320117 - Asphalt Pavement Removal</t>
  </si>
  <si>
    <t>Asphalt Concrete Surface Course</t>
  </si>
  <si>
    <t>Asphalt Concrete Surface Course (Section 320117)</t>
  </si>
  <si>
    <t>320117 - Asphalt Concrete Surface Course</t>
  </si>
  <si>
    <t>Crack Repair</t>
  </si>
  <si>
    <t>Crack Repair (Section 320118)</t>
  </si>
  <si>
    <t>320118 - Crack Repair</t>
  </si>
  <si>
    <t>Install PF LED Elevated Runway End/Threshold Light on Existing Base Can with PF Transformer</t>
  </si>
  <si>
    <t>Install PF LED Elevated Runway End/Threshold Light on Existing Base Can with PF Transformer (Section 344300)</t>
  </si>
  <si>
    <t>344300 - Install PF LED Elevated Runway End/Threshold Light on Existing Base Can with PF Transformer</t>
  </si>
  <si>
    <t>Install PF LED Elevated Runway Edge Light on Existing Base Can with PF Transformer</t>
  </si>
  <si>
    <t>Install PF LED Elevated Runway Edge Light on Existing Base Can with PF Transformer (Section 344300)</t>
  </si>
  <si>
    <t>344300 - Install PF LED Elevated Runway Edge Light on Existing Base Can with PF Transformer</t>
  </si>
  <si>
    <t>Install PF LED In-Pavement Runway Edge Light on Existing Base Can with PF Transformer</t>
  </si>
  <si>
    <t>Install PF LED In-Pavement Runway Edge Light on Existing Base Can with PF Transformer (Section 344300)</t>
  </si>
  <si>
    <t>344300 - Install PF LED In-Pavement Runway Edge Light on Existing Base Can with PF Transformer</t>
  </si>
  <si>
    <t>Install PF Cover Plate on Existing Base Can with PF Bolts</t>
  </si>
  <si>
    <t>Install PF Cover Plate on Existing Base Can with PF Bolts (Section 344300)</t>
  </si>
  <si>
    <t>344300 - Install PF Cover Plate on Existing Base Can with PF Bolts</t>
  </si>
  <si>
    <t>Install PF Taxiway Edge Reflector</t>
  </si>
  <si>
    <t>Install PF Taxiway Edge Reflector (Section 344300)</t>
  </si>
  <si>
    <t>344300 - Install PF Taxiway Edge Reflector</t>
  </si>
  <si>
    <t>Sign A1-1</t>
  </si>
  <si>
    <t>Sign A1-1 (Section 344302)</t>
  </si>
  <si>
    <t>344302 - Sign A1-1</t>
  </si>
  <si>
    <t>Sign A7-2</t>
  </si>
  <si>
    <t>Sign A7-2 (Section 344302)</t>
  </si>
  <si>
    <t>344302 - Sign A7-2</t>
  </si>
  <si>
    <t>Sign A8-1</t>
  </si>
  <si>
    <t>Sign A8-1 (Section 344302)</t>
  </si>
  <si>
    <t>344302 - Sign A8-1</t>
  </si>
  <si>
    <t>Sign A8-2</t>
  </si>
  <si>
    <t>Sign A8-2 (Section 344302)</t>
  </si>
  <si>
    <t>344302 - Sign A8-2</t>
  </si>
  <si>
    <t>Sign B1-1</t>
  </si>
  <si>
    <t>Sign B1-1 (Section 344302)</t>
  </si>
  <si>
    <t>344302 - Sign B1-1</t>
  </si>
  <si>
    <t>Sign B7-1</t>
  </si>
  <si>
    <t>Sign B7-1 (Section 344302)</t>
  </si>
  <si>
    <t>344302 - Sign B7-1</t>
  </si>
  <si>
    <t>Sign B8-1</t>
  </si>
  <si>
    <t>Sign B8-1 (Section 344302)</t>
  </si>
  <si>
    <t>344302 - Sign B8-1</t>
  </si>
  <si>
    <t>Sign UL-1 Section 344302)</t>
  </si>
  <si>
    <t>UNCLASSIFIED - Sign UL-1 Section 344302)</t>
  </si>
  <si>
    <t>Sign UL-2</t>
  </si>
  <si>
    <t>Sign UL-2 (Section 344302)</t>
  </si>
  <si>
    <t>344302 - Sign UL-2</t>
  </si>
  <si>
    <t>Barge and Access Equipment</t>
  </si>
  <si>
    <t>UNCLASSIFIED - Barge and Access Equipment</t>
  </si>
  <si>
    <t>Containment</t>
  </si>
  <si>
    <t>UNCLASSIFIED - Containment</t>
  </si>
  <si>
    <t>Hollow Core Deck Panel Replacement</t>
  </si>
  <si>
    <t>UNCLASSIFIED - Hollow Core Deck Panel Replacement</t>
  </si>
  <si>
    <t>Deck Crack Repair</t>
  </si>
  <si>
    <t>UNCLASSIFIED - Deck Crack Repair</t>
  </si>
  <si>
    <t>Soffit and Vertical Crack Repair</t>
  </si>
  <si>
    <t>UNCLASSIFIED - Soffit and Vertical Crack Repair</t>
  </si>
  <si>
    <t>Deck Delamination and Spall Repair</t>
  </si>
  <si>
    <t>UNCLASSIFIED - Deck Delamination and Spall Repair</t>
  </si>
  <si>
    <t>Deck Delamination and Spall Repair with Anodes</t>
  </si>
  <si>
    <t>UNCLASSIFIED - Deck Delamination and Spall Repair with Anodes</t>
  </si>
  <si>
    <t>Soffit and Vertical Face Delamination and Spall Repair</t>
  </si>
  <si>
    <t>UNCLASSIFIED - Soffit and Vertical Face Delamination and Spall Repair</t>
  </si>
  <si>
    <t>Soffit and Vertical Face Delamination and Spall Repair with Anodes</t>
  </si>
  <si>
    <t>UNCLASSIFIED - Soffit and Vertical Face Delamination and Spall Repair with Anodes</t>
  </si>
  <si>
    <t>Pile Spall Repair</t>
  </si>
  <si>
    <t>UNCLASSIFIED - Pile Spall Repair</t>
  </si>
  <si>
    <t>Pile Crack Repair</t>
  </si>
  <si>
    <t>UNCLASSIFIED - Pile Crack Repair</t>
  </si>
  <si>
    <t>Joint Repair</t>
  </si>
  <si>
    <t>UNCLASSIFIED - Joint Repair</t>
  </si>
  <si>
    <t>Joint Repair at Panel Step</t>
  </si>
  <si>
    <t>UNCLASSIFIED - Joint Repair at Panel Step</t>
  </si>
  <si>
    <t>Deck Surface Repair</t>
  </si>
  <si>
    <t>UNCLASSIFIED - Deck Surface Repair</t>
  </si>
  <si>
    <t>Deck Surface Repair with Cathodic Protection</t>
  </si>
  <si>
    <t>UNCLASSIFIED - Deck Surface Repair with Cathodic Protection</t>
  </si>
  <si>
    <t>Deck Topping Replacement</t>
  </si>
  <si>
    <t>UNCLASSIFIED - Deck Topping Replacement</t>
  </si>
  <si>
    <t>Deck Topping Repair</t>
  </si>
  <si>
    <t>UNCLASSIFIED - Deck Topping Repair</t>
  </si>
  <si>
    <t>Fender Panel Rehabilitation</t>
  </si>
  <si>
    <t>UNCLASSIFIED - Fender Panel Rehabilitation</t>
  </si>
  <si>
    <t>Trestle Cross - Brace Rehabilitation</t>
  </si>
  <si>
    <t>Trestle Cross-Brace Rehabilitation</t>
  </si>
  <si>
    <t>UNCLASSIFIED - Trestle Cross - Brace Rehabilitation</t>
  </si>
  <si>
    <t>Remove and Replace Embedded Anodes</t>
  </si>
  <si>
    <t>UNCLASSIFIED - Remove and Replace Embedded Anodes</t>
  </si>
  <si>
    <t>Metalizing Repairs</t>
  </si>
  <si>
    <t>UNCLASSIFIED - Metalizing Repairs</t>
  </si>
  <si>
    <t>Metalizing System at Edge Beams</t>
  </si>
  <si>
    <t>UNCLASSIFIED - Metalizing System at Edge Beams</t>
  </si>
  <si>
    <t>Remove and Replace Compression Seal</t>
  </si>
  <si>
    <t>UNCLASSIFIED - Remove and Replace Compression Seal</t>
  </si>
  <si>
    <t>Concrete Pad Demolition and Repair</t>
  </si>
  <si>
    <t>UNCLASSIFIED - Concrete Pad Demolition and Repair</t>
  </si>
  <si>
    <t>Install Handholes for Power</t>
  </si>
  <si>
    <t>Install Handholes for Power (Section 260500)</t>
  </si>
  <si>
    <t>260500 - Install Handholes for Power</t>
  </si>
  <si>
    <t>3-5 Inch Depth</t>
  </si>
  <si>
    <t>Asphalt Pavement Removal - 3-5 Inch Depth (Item P-101)</t>
  </si>
  <si>
    <t>8 Inch Depth</t>
  </si>
  <si>
    <t>Asphalt Pavement Removal - 8 Inch Depth (Item P-101)</t>
  </si>
  <si>
    <t>19-Inch-Thick Concrete Pavement (Item P-501)</t>
  </si>
  <si>
    <t>P-501 - - Thick Concrete Pavement</t>
  </si>
  <si>
    <t>2- to 4-Inch Depth</t>
  </si>
  <si>
    <t>Cold Milling - 2- to 4-Inch Depth (Item P-101)</t>
  </si>
  <si>
    <t>Existing Subgrade Stabilzation (Item P-152)</t>
  </si>
  <si>
    <t>Surface Preparation - Existing Pavement Surface</t>
  </si>
  <si>
    <t>Surface Preparation - Existing Pavement Surface (Item P-620)</t>
  </si>
  <si>
    <t>P-620 - Surface Preparation - Existing Pavement Surface</t>
  </si>
  <si>
    <t>Separation Geotextile (Item P-209)</t>
  </si>
  <si>
    <t>P-209 - Separation Geotextile</t>
  </si>
  <si>
    <t>Asphalt Mixture Base and Surface Course</t>
  </si>
  <si>
    <t>Asphalt Mixture Base and Surface Course (Item P-403)</t>
  </si>
  <si>
    <t>P-403 - Asphalt Mixture Base and Surface Course</t>
  </si>
  <si>
    <t>Reinstall In-Pavement Taxiway Centerline Light on Existing Base Can with Existing Transformer</t>
  </si>
  <si>
    <t>Reinstall In-Pavement Taxiway Centerline Light on Existing Base Can with Existing Transformer (Section 344300)</t>
  </si>
  <si>
    <t>344300 - Reinstall In-Pavement Taxiway Centerline Light on Existing Base Can with Existing Transformer</t>
  </si>
  <si>
    <t>Reinstall In-Pavement Stop Bar Light on Existing Base Can with Existing Transformer</t>
  </si>
  <si>
    <t>Reinstall In-Pavement Stop Bar Light on Existing Base Can with Existing Transformer (Section 344300)</t>
  </si>
  <si>
    <t>344300 - Reinstall In-Pavement Stop Bar Light on Existing Base Can with Existing Transformer</t>
  </si>
  <si>
    <t>Adjust Existing Taxiway Centerline Light to New Finish Elevation</t>
  </si>
  <si>
    <t>Adjust Existing Taxiway Centerline Light to New Finish Elevation (Section 344301)</t>
  </si>
  <si>
    <t>344301 - Adjust Existing Taxiway Centerline Light to New Finish Elevation</t>
  </si>
  <si>
    <t>Surface Preparation - Marking Removal</t>
  </si>
  <si>
    <t>Surface Preparation - Marking Removal (Item P-620)</t>
  </si>
  <si>
    <t>P-620 - Surface Preparation - Marking Removal</t>
  </si>
  <si>
    <t>Manholes (Item D-751)</t>
  </si>
  <si>
    <t>Minor Adjustment</t>
  </si>
  <si>
    <t>Existing Manhole Adjustment to Grade - Minor Adjustment (Section 312300)</t>
  </si>
  <si>
    <t>Existing Manhole Adjustment</t>
  </si>
  <si>
    <t>Existing Manhole Adjustment - Cleanout (Section 312300)</t>
  </si>
  <si>
    <t>312300 - Existing Manhole Adjustment</t>
  </si>
  <si>
    <t>No. 8 AWG, 5kV, L-824, Type C Cable Installed in Trench, Duct Bank or Conduit</t>
  </si>
  <si>
    <t>No. 8 AWG, 5kV, L-824, Type C Cable Installed in Trench, Duct Bank or Conduit (Item L-108)</t>
  </si>
  <si>
    <t>L-108 - No. 8 AWG, 5kV, L-824, Type C Cable Installed in Trench, Duct Bank or Conduit</t>
  </si>
  <si>
    <t>No. 6 AWG, Solid, Bare Copper Counterpoise Wire, Installed above the Duct Bank or Conduit, Including Connections/Terminations</t>
  </si>
  <si>
    <t>No. 6 AWG, Solid, Bare Copper Counterpoise Wire, Installed above the Duct Bank or Conduit, Including Connections/Terminations (Item L-108)</t>
  </si>
  <si>
    <t>L-108 - No. 6 AWG, Solid, Bare Copper Counterpoise Wire, Installed above the Duct Bank or Conduit, Including Connections/Terminations</t>
  </si>
  <si>
    <t>No. 10 AWG, 600V, Cable Installed in Conduit</t>
  </si>
  <si>
    <t>No. 10 AWG, 600V, Cable Installed in Conduit (Item L-108)</t>
  </si>
  <si>
    <t>L-108 - No. 10 AWG, 600V, Cable Installed in Conduit</t>
  </si>
  <si>
    <t>PVC Encased in CLSM in New AC</t>
  </si>
  <si>
    <t>2-Inch PVC Encased in CLSM in New AC (Item L-110)</t>
  </si>
  <si>
    <t>L-110 - PVC Encased in CLSM in New AC</t>
  </si>
  <si>
    <t>PVC Encased in P-610 in Existing AC</t>
  </si>
  <si>
    <t>2-Inch PVC Encased in P-610 in Existing AC (Item L-110)</t>
  </si>
  <si>
    <t>L-110 - PVC Encased in P-610 in Existing AC</t>
  </si>
  <si>
    <t>GRSC Encased in P-610 in Existing AC</t>
  </si>
  <si>
    <t>1.5-Inch</t>
  </si>
  <si>
    <t>1.5-Inch GRSC Encased in P-610 in Existing AC (Item L-110)</t>
  </si>
  <si>
    <t>L-110 - GRSC Encased in P-610 in Existing AC</t>
  </si>
  <si>
    <t>1-Inch GRSC Encased in P-610 in Existing AC (Item L-110)</t>
  </si>
  <si>
    <t>Reinstall Elevated Taxiway Edge Light on Existing Base Can with PF Transformer</t>
  </si>
  <si>
    <t>Reinstall Elevated Taxiway Edge Light on Existing Base Can with PF Transformer (Section 344300)</t>
  </si>
  <si>
    <t>344300 - Reinstall Elevated Taxiway Edge Light on Existing Base Can with PF Transformer</t>
  </si>
  <si>
    <t>Reinstall Elevated Runway End Light on Existing Base Can with PF Transformer</t>
  </si>
  <si>
    <t>Reinstall Elevated Runway End Light on Existing Base Can with PF Transformer (Section 344300)</t>
  </si>
  <si>
    <t>344300 - Reinstall Elevated Runway End Light on Existing Base Can with PF Transformer</t>
  </si>
  <si>
    <t>Reinstall In-Pavement Taxiway Edge Light on Existing Base Can with PF Transformer</t>
  </si>
  <si>
    <t>Reinstall In-Pavement Taxiway Edge Light on Existing Base Can with PF Transformer (Section 344300)</t>
  </si>
  <si>
    <t>344300 - Reinstall In-Pavement Taxiway Edge Light on Existing Base Can with PF Transformer</t>
  </si>
  <si>
    <t>Reinstall Taxiway Centerline Light on Existing Base Can with PF Transformer</t>
  </si>
  <si>
    <t>Reinstall Taxiway Centerline Light on Existing Base Can with PF Transformer (Section 344300)</t>
  </si>
  <si>
    <t>344300 - Reinstall Taxiway Centerline Light on Existing Base Can with PF Transformer</t>
  </si>
  <si>
    <t>Reinstall Taxiway Centerline Light on PF Base Can, PF Extension, PF Flange Ring, and PF Transformer</t>
  </si>
  <si>
    <t>Reinstall Taxiway Centerline Light on PF Base Can, PF Extension, PF Flange Ring, and PF Transformer (Section 344300)</t>
  </si>
  <si>
    <t>344300 - Reinstall Taxiway Centerline Light on PF Base Can, PF Extension, PF Flange Ring, and PF Transformer</t>
  </si>
  <si>
    <t>Adjust Existing Runway Edge Light to New Finish Elevation</t>
  </si>
  <si>
    <t>Adjust Existing Runway Edge Light to New Finish Elevation (Section 344301)</t>
  </si>
  <si>
    <t>344301 - Adjust Existing Runway Edge Light to New Finish Elevation</t>
  </si>
  <si>
    <t>Adjust Existing Taxiway Edge Light to New Finish Elevation</t>
  </si>
  <si>
    <t>Adjust Existing Taxiway Edge Light to New Finish Elevation (Section 344301)</t>
  </si>
  <si>
    <t>344301 - Adjust Existing Taxiway Edge Light to New Finish Elevation</t>
  </si>
  <si>
    <t>Adjust Existing Base Can to New Finish Elevation</t>
  </si>
  <si>
    <t>Adjust Existing Base Can to New Finish Elevation (Section 344301)</t>
  </si>
  <si>
    <t>344301 - Adjust Existing Base Can to New Finish Elevation</t>
  </si>
  <si>
    <t>Sign CE-10</t>
  </si>
  <si>
    <t>Sign CE-10 (Section 344302)</t>
  </si>
  <si>
    <t>344302 - Sign CE-10</t>
  </si>
  <si>
    <t>Sweeper Section</t>
  </si>
  <si>
    <t>Sweeper Section (012200)</t>
  </si>
  <si>
    <t>UNCLASSIFIED - Sweeper Section</t>
  </si>
  <si>
    <t>Surface Prep - Existing Pavement</t>
  </si>
  <si>
    <t>Surface Prep - Existing Pavement (Item P-620)</t>
  </si>
  <si>
    <t>P-620 - Surface Prep - Existing Pavement</t>
  </si>
  <si>
    <t>Surface Prep - Marking Removal</t>
  </si>
  <si>
    <t>Surface Prep - Marking Removal (Item P-620)</t>
  </si>
  <si>
    <t>P-620 - Surface Prep - Marking Removal</t>
  </si>
  <si>
    <t>Asphalt Pavement Removal (Item P-101)</t>
  </si>
  <si>
    <t>Markings</t>
  </si>
  <si>
    <t>Markings (Item P-620)</t>
  </si>
  <si>
    <t>P-620 - Markings</t>
  </si>
  <si>
    <t>Remove Bollard - Embedded</t>
  </si>
  <si>
    <t>Remove Bollard - Embedded (Section 024113)</t>
  </si>
  <si>
    <t>024113 - Remove Bollard - Embedded</t>
  </si>
  <si>
    <t>Relocate Storage Shelter</t>
  </si>
  <si>
    <t>Relocate Storage Shelter (Section 024113)</t>
  </si>
  <si>
    <t>024113 - Relocate Storage Shelter</t>
  </si>
  <si>
    <t>Remove Bollard - Bolt Down</t>
  </si>
  <si>
    <t>Remove Bollard - Bolt Down (Section 024113)</t>
  </si>
  <si>
    <t>024113 - Remove Bollard - Bolt Down</t>
  </si>
  <si>
    <t>Cable Retrievers</t>
  </si>
  <si>
    <t>Cable Retrievers (Section 111100)</t>
  </si>
  <si>
    <t>111100 - Cable Retrievers</t>
  </si>
  <si>
    <t>Precast Concrete Wheel Stop</t>
  </si>
  <si>
    <t>Precast Concrete Wheel Stop (Section 347115)</t>
  </si>
  <si>
    <t>347115 - Precast Concrete Wheel Stop</t>
  </si>
  <si>
    <t>Bollard - Bolt Down</t>
  </si>
  <si>
    <t>Bollard - Bolt Down (Section 347115)</t>
  </si>
  <si>
    <t>347115 - Bollard - Bolt Down</t>
  </si>
  <si>
    <t>Remove Electrical Chargers</t>
  </si>
  <si>
    <t>Remove Electrical Chargers (Section 024113)</t>
  </si>
  <si>
    <t>024113 - Remove Electrical Chargers</t>
  </si>
  <si>
    <t>Guard Rail</t>
  </si>
  <si>
    <t>Guard Rail (Section 347115)</t>
  </si>
  <si>
    <t>347115 - Guard Rail</t>
  </si>
  <si>
    <t>Electrical Feeds to Enclosed Circuit Breakers (2.5" Conduit)</t>
  </si>
  <si>
    <t>Electrical Feeds to Enclosed Circuit Breakers (2.5" Conduit) (Section 260500)</t>
  </si>
  <si>
    <t>260500 - Electrical Feeds to Enclosed Circuit Breakers (2.5" Conduit)</t>
  </si>
  <si>
    <t>Electrical Feeds to Enclosed Circuit Breakers (3/4" Conduit)</t>
  </si>
  <si>
    <t>Electrical Feeds to Enclosed Circuit Breakers (3/4" Conduit) (Section 260500)</t>
  </si>
  <si>
    <t>260500 - Electrical Feeds to Enclosed Circuit Breakers (3/4" Conduit)</t>
  </si>
  <si>
    <t>Electrical Equipment Rack - Load Share Connected</t>
  </si>
  <si>
    <t>Electrical Equipment Rack - Load Share Connected (Section 260500)</t>
  </si>
  <si>
    <t>260500 - Electrical Equipment Rack - Load Share Connected</t>
  </si>
  <si>
    <t>Electrical Equipment Rack - Panel Connected</t>
  </si>
  <si>
    <t>Electrical Equipment Rack - Panel Connected (Section 260500)</t>
  </si>
  <si>
    <t>260500 - Electrical Equipment Rack - Panel Connected</t>
  </si>
  <si>
    <t>Electrical Feeds to Panels (Existing 3.5" Conduit)</t>
  </si>
  <si>
    <t>Electrical Feeds to Panels (Existing 3.5" Conduit) (Section 260500)</t>
  </si>
  <si>
    <t>260500 - Electrical Feeds to Panels (Existing 3.5" Conduit)</t>
  </si>
  <si>
    <t>Electrical Charging Units (Primary Units)</t>
  </si>
  <si>
    <t>Electrical Charging Units (Primary Units) (Section 263343)</t>
  </si>
  <si>
    <t>263343 - Electrical Charging Units (Primary Units)</t>
  </si>
  <si>
    <t>EV_CHARGING</t>
  </si>
  <si>
    <t>spec_ev_charging</t>
  </si>
  <si>
    <t>Training</t>
  </si>
  <si>
    <t>Training (Section 260500)</t>
  </si>
  <si>
    <t>260500 - Training</t>
  </si>
  <si>
    <t>Electrical Charging Units (Secondary Units)</t>
  </si>
  <si>
    <t>Electrical Charging Units (Secondary Units) (Section 263343)</t>
  </si>
  <si>
    <t>263343 - Electrical Charging Units (Secondary Units)</t>
  </si>
  <si>
    <t>New Electrical Panels</t>
  </si>
  <si>
    <t>800A</t>
  </si>
  <si>
    <t>New Electrical Panels, 800A (Section 260500)</t>
  </si>
  <si>
    <t>260500 - New Electrical Panels</t>
  </si>
  <si>
    <t>Network Termination Enclosure</t>
  </si>
  <si>
    <t>Network Termination Enclosure (Section 271000)</t>
  </si>
  <si>
    <t>271000 - Network Termination Enclosure</t>
  </si>
  <si>
    <t>Data Equipment Rack &amp; Data Connections 1" Conduit</t>
  </si>
  <si>
    <t>Data Equipment Rack &amp; Data Connections 1" Conduit (Section 271000)</t>
  </si>
  <si>
    <t>271000 - Data Equipment Rack &amp; Data Connections 1" Conduit</t>
  </si>
  <si>
    <t>Data Drop to Each Enclosure and Chargers</t>
  </si>
  <si>
    <t>Data Drop to Each Enclosure and Chargers (Section 271000)</t>
  </si>
  <si>
    <t>271000 - Data Drop to Each Enclosure and Chargers</t>
  </si>
  <si>
    <t>3-5 Inch</t>
  </si>
  <si>
    <t>3-5 Inch Cold Milling (Item P-101)</t>
  </si>
  <si>
    <t>Work Zone Traffic Control (Section 012200)</t>
  </si>
  <si>
    <t>012200 - Work Zone Traffic Control</t>
  </si>
  <si>
    <t>Inlet Protection (Item C-102)</t>
  </si>
  <si>
    <t>C-102 - Inlet Protection</t>
  </si>
  <si>
    <t>Permanent Pavement Marking</t>
  </si>
  <si>
    <t>Permanent Pavement Marking (Item P-620)</t>
  </si>
  <si>
    <t>P-620 - Permanent Pavement Marking</t>
  </si>
  <si>
    <t>Full Depth Asphalt Concrete, 4-17.5 Inches</t>
  </si>
  <si>
    <t>Pavement Removal (Full Depth Asphalt Concrete, 4-17.5 Inches) (Item P-101)</t>
  </si>
  <si>
    <t>P-101 - Pavement Removal</t>
  </si>
  <si>
    <t>Temporary Pavement Marking</t>
  </si>
  <si>
    <t>Temporary Pavement Marking (Item P-620)</t>
  </si>
  <si>
    <t>P-620 - Temporary Pavement Marking</t>
  </si>
  <si>
    <t>No. 8 AWG, 5kV, L-824, Type C Cable, Installed in Trench, Duct Bank or Conduit</t>
  </si>
  <si>
    <t>No. 8 AWG, 5kV, L-824, Type C Cable, Installed in Trench, Duct Bank or Conduit (Item L-108)</t>
  </si>
  <si>
    <t>L-108 - No. 8 AWG, 5kV, L-824, Type C Cable, Installed in Trench, Duct Bank or Conduit</t>
  </si>
  <si>
    <t>Install Elevated Taxiway Edge Light on Existing Base Can with PF Transformer</t>
  </si>
  <si>
    <t>Install Elevated Taxiway Edge Light on Existing Base Can with PF Transformer (Section 344300)</t>
  </si>
  <si>
    <t>344300 - Install Elevated Taxiway Edge Light on Existing Base Can with PF Transformer</t>
  </si>
  <si>
    <t>Surface Preparation</t>
  </si>
  <si>
    <t>Surface Preparation (Item P-620)</t>
  </si>
  <si>
    <t>P-620 - Surface Preparation</t>
  </si>
  <si>
    <t>STS Drain Pipe</t>
  </si>
  <si>
    <t>18-inch</t>
  </si>
  <si>
    <t>STS Drain Pipe (18-inch) (Item D-701)</t>
  </si>
  <si>
    <t>D-701 - STS Drain Pipe</t>
  </si>
  <si>
    <t>24-inch</t>
  </si>
  <si>
    <t>STS Drain Pipe (24-inch) (Item D-701)</t>
  </si>
  <si>
    <t>Perforated Underdrain Pipe</t>
  </si>
  <si>
    <t>6-inch</t>
  </si>
  <si>
    <t>Perforated Underdrain Pipe (6-inch) (Item D-705)</t>
  </si>
  <si>
    <t>D-705 - Perforated Underdrain Pipe</t>
  </si>
  <si>
    <t>Non - Perforated Underdrain Pipe</t>
  </si>
  <si>
    <t>Non-Perforated Underdrain Pipe (6-inch) (Item D-705)</t>
  </si>
  <si>
    <t>D-705 - Non - Perforated Underdrain Pipe</t>
  </si>
  <si>
    <t>60-Inch Manholes (Item D-751)</t>
  </si>
  <si>
    <t>Underdrain Cleanout</t>
  </si>
  <si>
    <t>Underdrain Cleanout (Item D-751)</t>
  </si>
  <si>
    <t>D-751 - Underdrain Cleanout</t>
  </si>
  <si>
    <t>Connect to Existing Catch Basin/Manhole</t>
  </si>
  <si>
    <t>Connect to Existing Catch Basin/Manhole (Item D-751)</t>
  </si>
  <si>
    <t>D-751 - Connect to Existing Catch Basin/Manhole</t>
  </si>
  <si>
    <t>Manhole Catch Basin</t>
  </si>
  <si>
    <t>60-Inch Manhole Catch Basin (Item D-751)</t>
  </si>
  <si>
    <t>D-751 - Manhole Catch Basin</t>
  </si>
  <si>
    <t>3"</t>
  </si>
  <si>
    <t>Topsoil (Obtained on Site or Removed from Stockpile) (3") (Item T-905)</t>
  </si>
  <si>
    <t>No. 12 AWG, 600V, Cable, Installed in Conduit</t>
  </si>
  <si>
    <t>No. 12 AWG, 600V, Cable, Installed in Conduit (Item L-108)</t>
  </si>
  <si>
    <t>L-108 - No. 12 AWG, 600V, Cable, Installed in Conduit</t>
  </si>
  <si>
    <t>No. 6 AWG, Solid, Bare Counterpoise Wire, Installed in Trench, Above the Duct Bank or Conduit, Including Connections/Terminations</t>
  </si>
  <si>
    <t>No. 6 AWG, Solid, Bare Counterpoise Wire, Installed in Trench, Above the Duct Bank or Conduit, Including Connections/Terminations (Item L-108)</t>
  </si>
  <si>
    <t>L-108 - No. 6 AWG, Solid, Bare Counterpoise Wire, Installed in Trench, Above the Duct Bank or Conduit, Including Connections/Terminations</t>
  </si>
  <si>
    <t>10-Ft Long</t>
  </si>
  <si>
    <t>Counterpoise Ground Rod, 10-Ft Long (Item L-108)</t>
  </si>
  <si>
    <t>PVC Encased in Concrete in new Structural AC</t>
  </si>
  <si>
    <t>2-Inch PVC Encased in Concrete in new Structural AC (Item L-110)</t>
  </si>
  <si>
    <t>L-110 - PVC Encased in Concrete in new Structural AC</t>
  </si>
  <si>
    <t>PVC in Existing Structural AC</t>
  </si>
  <si>
    <t>2-Inch PVC in Existing Structural AC (Item L-110)</t>
  </si>
  <si>
    <t>L-110 - PVC in Existing Structural AC</t>
  </si>
  <si>
    <t>2-Inch PVC Direct Buried in Grass (Item L-110)</t>
  </si>
  <si>
    <t>PVC under New AC Shoulder</t>
  </si>
  <si>
    <t>2-Inch PVC under New AC Shoulder (Item L-110)</t>
  </si>
  <si>
    <t>L-110 - PVC under New AC Shoulder</t>
  </si>
  <si>
    <t>IMC under New AC Shoulder</t>
  </si>
  <si>
    <t>1.5-Inch IMC under New AC Shoulder (Item L-110)</t>
  </si>
  <si>
    <t>L-110 - IMC under New AC Shoulder</t>
  </si>
  <si>
    <t>General Electrical Removal (Section 265000)</t>
  </si>
  <si>
    <t>265000 - General Electrical Removal</t>
  </si>
  <si>
    <t>Temporary Circuit Connection (Section 265000)</t>
  </si>
  <si>
    <t>265000 - Temporary Circuit Connection</t>
  </si>
  <si>
    <t>Install Elevated Runway Guard Light on Existing Base Can with PF Transformer</t>
  </si>
  <si>
    <t>Install Elevated Runway Guard Light on Existing Base Can with PF Transformer (Section 344300)</t>
  </si>
  <si>
    <t>344300 - Install Elevated Runway Guard Light on Existing Base Can with PF Transformer</t>
  </si>
  <si>
    <t>Install Elevated Red Stop Bar Light on Existing Base Can with PF Transformer</t>
  </si>
  <si>
    <t>Install Elevated Red Stop Bar Light on Existing Base Can with PF Transformer (Section 344300)</t>
  </si>
  <si>
    <t>344300 - Install Elevated Red Stop Bar Light on Existing Base Can with PF Transformer</t>
  </si>
  <si>
    <t>Install Taxiway Centerline Light on PF Base Can, PF Extension, PF Flange Ring, and CF Transformer</t>
  </si>
  <si>
    <t>Install Taxiway Centerline Light on PF Base Can, PF Extension, PF Flange Ring, and CF Transformer (Section 344300)</t>
  </si>
  <si>
    <t>344300 - Install Taxiway Centerline Light on PF Base Can, PF Extension, PF Flange Ring, and CF Transformer</t>
  </si>
  <si>
    <t>Install Taxiway Edge Light on PF Base Can, PF Extension, PF Flange Ring, and CF Transformer</t>
  </si>
  <si>
    <t>Install Taxiway Edge Light on PF Base Can, PF Extension, PF Flange Ring, and CF Transformer (Section 344300)</t>
  </si>
  <si>
    <t>344300 - Install Taxiway Edge Light on PF Base Can, PF Extension, PF Flange Ring, and CF Transformer</t>
  </si>
  <si>
    <t>Install Elevated Runway Guard Light on PF Base Can, PF Extension, PF Flange Ring, and CF Transformer</t>
  </si>
  <si>
    <t>Install Elevated Runway Guard Light on PF Base Can, PF Extension, PF Flange Ring, and CF Transformer (Section 344300)</t>
  </si>
  <si>
    <t>344300 - Install Elevated Runway Guard Light on PF Base Can, PF Extension, PF Flange Ring, and CF Transformer</t>
  </si>
  <si>
    <t>Install Elevated Red Stop Bar Light on PF Base Can, PF Extension, PF Flange Ring, and CF Transformer</t>
  </si>
  <si>
    <t>Install Elevated Red Stop Bar Light on PF Base Can, PF Extension, PF Flange Ring, and CF Transformer (Section 344300)</t>
  </si>
  <si>
    <t>344300 - Install Elevated Red Stop Bar Light on PF Base Can, PF Extension, PF Flange Ring, and CF Transformer</t>
  </si>
  <si>
    <t>Install In-Pavement Runway Guard/Stop Bar Light on PF Base Can, PF Extension, PF Flange Ring and CF Transformer</t>
  </si>
  <si>
    <t>Install In-Pavement Runway Guard/Stop Bar Light on PF Base Can, PF Extension, PF Flange Ring and CF Transformer (Section 344300)</t>
  </si>
  <si>
    <t>344300 - Install In-Pavement Runway Guard/Stop Bar Light on PF Base Can, PF Extension, PF Flange Ring and CF Transformer</t>
  </si>
  <si>
    <t>Install PF Base Can, PF Extension, PF Flange Ring and PF Cover Plate</t>
  </si>
  <si>
    <t>Install PF Base Can, PF Extension, PF Flange Ring and PF Cover Plate (Section 344300)</t>
  </si>
  <si>
    <t>344300 - Install PF Base Can, PF Extension, PF Flange Ring and PF Cover Plate</t>
  </si>
  <si>
    <t>Adjust Existing In-Pavement Runway Guard/Stop Bar Light to New Finish Elevation</t>
  </si>
  <si>
    <t>Adjust Existing In-Pavement Runway Guard/Stop Bar Light to New Finish Elevation (Section 344301)</t>
  </si>
  <si>
    <t>344301 - Adjust Existing In-Pavement Runway Guard/Stop Bar Light to New Finish Elevation</t>
  </si>
  <si>
    <t>Sign A5-1</t>
  </si>
  <si>
    <t>Sign A5-1 (Section 344302)</t>
  </si>
  <si>
    <t>344302 - Sign A5-1</t>
  </si>
  <si>
    <t>Sign A5-6</t>
  </si>
  <si>
    <t>Sign A5-6 (Section 344302)</t>
  </si>
  <si>
    <t>344302 - Sign A5-6</t>
  </si>
  <si>
    <t>Sign A5-7</t>
  </si>
  <si>
    <t>Sign A5-7 (Section 344302)</t>
  </si>
  <si>
    <t>344302 - Sign A5-7</t>
  </si>
  <si>
    <t>Sign A5-8</t>
  </si>
  <si>
    <t>Sign A5-8 (Section 344302)</t>
  </si>
  <si>
    <t>344302 - Sign A5-8</t>
  </si>
  <si>
    <t>Sign A5-9</t>
  </si>
  <si>
    <t>Sign A5-9 (Section 344302)</t>
  </si>
  <si>
    <t>344302 - Sign A5-9</t>
  </si>
  <si>
    <t>Sign A6-2</t>
  </si>
  <si>
    <t>Sign A6-2 (Section 344302)</t>
  </si>
  <si>
    <t>344302 - Sign A6-2</t>
  </si>
  <si>
    <t>Sign A6-3</t>
  </si>
  <si>
    <t>Sign A6-3 (Section 344302)</t>
  </si>
  <si>
    <t>344302 - Sign A6-3</t>
  </si>
  <si>
    <t>Sign A6-9</t>
  </si>
  <si>
    <t>Sign A6-9 (Section 344302)</t>
  </si>
  <si>
    <t>344302 - Sign A6-9</t>
  </si>
  <si>
    <t>Sign A6-10</t>
  </si>
  <si>
    <t>Sign A6-10 (Section 344302)</t>
  </si>
  <si>
    <t>344302 - Sign A6-10</t>
  </si>
  <si>
    <t>Sign A6-11</t>
  </si>
  <si>
    <t>Sign A6-11 (Section 344302)</t>
  </si>
  <si>
    <t>344302 - Sign A6-11</t>
  </si>
  <si>
    <t>Sign A6-12</t>
  </si>
  <si>
    <t>Sign A6-12 (Section 344302)</t>
  </si>
  <si>
    <t>344302 - Sign A6-12</t>
  </si>
  <si>
    <t>Cold Milling 3-Inch Depth</t>
  </si>
  <si>
    <t>Cold Milling 3-Inch Depth (Item P-101)</t>
  </si>
  <si>
    <t>P-101 - Cold Milling 3-Inch Depth</t>
  </si>
  <si>
    <t>Contaminated Material Excavation and Disposal - Wasco Landfill</t>
  </si>
  <si>
    <t>Contaminated Material Excavation and Disposal - Wasco Landfill (Section 026100)</t>
  </si>
  <si>
    <t>026100 - Contaminated Material Excavation and Disposal - Wasco Landfill</t>
  </si>
  <si>
    <t>Full - Depth Asphalt Pavement Removal</t>
  </si>
  <si>
    <t>10 to 19 Inches)</t>
  </si>
  <si>
    <t>Full-Depth Asphalt Pavement Removal - 10 to 19 Inches) (Item P-101)</t>
  </si>
  <si>
    <t>P-101 - Full - Depth Asphalt Pavement Removal</t>
  </si>
  <si>
    <t>Cold Milling Variable to 10-Inch Depth</t>
  </si>
  <si>
    <t>Cold Milling Variable to 10-Inch Depth (Item P-101)</t>
  </si>
  <si>
    <t>P-101 - Cold Milling Variable to 10-Inch Depth</t>
  </si>
  <si>
    <t>Cold Milling Surface Preparation</t>
  </si>
  <si>
    <t>Cold Milling Surface Preparation (Item P-101)</t>
  </si>
  <si>
    <t>P-101 - Cold Milling Surface Preparation</t>
  </si>
  <si>
    <t>12-Inch Storm Sewer Pipe (Item D-701)</t>
  </si>
  <si>
    <t>D-701 - Storm Sewer Pipe</t>
  </si>
  <si>
    <t>15-Inch Storm Sewer Pipe (Item D-701)</t>
  </si>
  <si>
    <t>18-Inch Storm Sewer Pipe (Item D-701)</t>
  </si>
  <si>
    <t>Perforated Storm Sewer Pipe</t>
  </si>
  <si>
    <t>6-Inch Perforated Storm Sewer Pipe (Item D-705)</t>
  </si>
  <si>
    <t>D-705 - Perforated Storm Sewer Pipe</t>
  </si>
  <si>
    <t>Non - Perforated Pipe</t>
  </si>
  <si>
    <t>6-Inch Non-Perforated Pipe (Item D-705)</t>
  </si>
  <si>
    <t>D-705 - Non - Perforated Pipe</t>
  </si>
  <si>
    <t>48-Inch Manholes (Item D-751)</t>
  </si>
  <si>
    <t>Topsoil (Furnished from Off the Site)</t>
  </si>
  <si>
    <t>Topsoil (Furnished from Off the Site) (Item T-905)</t>
  </si>
  <si>
    <t>T-905 - Topsoil (Furnished from Off the Site)</t>
  </si>
  <si>
    <t>PVC Encased in Concrete in New Structural AC</t>
  </si>
  <si>
    <t>2-Inch PVC Encased in Concrete in New Structural AC (Item L-110)</t>
  </si>
  <si>
    <t>L-110 - PVC Encased in Concrete in New Structural AC</t>
  </si>
  <si>
    <t>PVC Direct Buried in Grass or under New AC Shoulder</t>
  </si>
  <si>
    <t>2-Inch PVC Direct Buried in Grass or under New AC Shoulder (Item L-110)</t>
  </si>
  <si>
    <t>L-110 - PVC Direct Buried in Grass or under New AC Shoulder</t>
  </si>
  <si>
    <t>Install Elevated Runway Guard Light on Existing Base Can with CF Transformer</t>
  </si>
  <si>
    <t>Install Elevated Runway Guard Light on Existing Base Can with CF Transformer (Section 344300)</t>
  </si>
  <si>
    <t>344300 - Install Elevated Runway Guard Light on Existing Base Can with CF Transformer</t>
  </si>
  <si>
    <t>Install Elevated Red Stop Bar Light on Existing Base Can with CF Transformer</t>
  </si>
  <si>
    <t>Install Elevated Red Stop Bar Light on Existing Base Can with CF Transformer (Section 344300)</t>
  </si>
  <si>
    <t>344300 - Install Elevated Red Stop Bar Light on Existing Base Can with CF Transformer</t>
  </si>
  <si>
    <t>Install In-Pavement Runway Guard Light on Existing Base Can with CF Transformer</t>
  </si>
  <si>
    <t>Install In-Pavement Runway Guard Light on Existing Base Can with CF Transformer (Section 344300)</t>
  </si>
  <si>
    <t>344300 - Install In-Pavement Runway Guard Light on Existing Base Can with CF Transformer</t>
  </si>
  <si>
    <t>Install In-Pavement Runway Guard/Stop Bar Light on Existing Base Can with CF Transformer</t>
  </si>
  <si>
    <t>Install In-Pavement Runway Guard/Stop Bar Light on Existing Base Can with CF Transformer (Section 344300)</t>
  </si>
  <si>
    <t>344300 - Install In-Pavement Runway Guard/Stop Bar Light on Existing Base Can with CF Transformer</t>
  </si>
  <si>
    <t>Install Taxiway Centerline Light on PF Base Can, PF Extension, PF Flange Ring and CF Transformer</t>
  </si>
  <si>
    <t>Install Taxiway Centerline Light on PF Base Can, PF Extension, PF Flange Ring and CF Transformer (Section 344300)</t>
  </si>
  <si>
    <t>344300 - Install Taxiway Centerline Light on PF Base Can, PF Extension, PF Flange Ring and CF Transformer</t>
  </si>
  <si>
    <t>Install Taxiway Edge Light on PF Base Can, PF Extension, PF Flange Ring and CF Transformer</t>
  </si>
  <si>
    <t>Install Taxiway Edge Light on PF Base Can, PF Extension, PF Flange Ring and CF Transformer (Section 344300)</t>
  </si>
  <si>
    <t>344300 - Install Taxiway Edge Light on PF Base Can, PF Extension, PF Flange Ring and CF Transformer</t>
  </si>
  <si>
    <t>Install PF Elevated Taxiway Edge Light on PF Base Can, PF Extension, PF Flange Ring and CF Transformer in Existing AC</t>
  </si>
  <si>
    <t>Install PF Elevated Taxiway Edge Light on PF Base Can, PF Extension, PF Flange Ring and CF Transformer in Existing AC (Section 344300)</t>
  </si>
  <si>
    <t>344300 - Install PF Elevated Taxiway Edge Light on PF Base Can, PF Extension, PF Flange Ring and CF Transformer in Existing AC</t>
  </si>
  <si>
    <t>Sign A6-7</t>
  </si>
  <si>
    <t>Sign A6-7 (Section 344302)</t>
  </si>
  <si>
    <t>344302 - Sign A6-7</t>
  </si>
  <si>
    <t>Sign EA-15</t>
  </si>
  <si>
    <t>Sign EA-15 (Section 344302)</t>
  </si>
  <si>
    <t>344302 - Sign EA-15</t>
  </si>
  <si>
    <t>Sign T-5</t>
  </si>
  <si>
    <t>Sign T-5 (Section 344302)</t>
  </si>
  <si>
    <t>344302 - Sign T-5</t>
  </si>
  <si>
    <t>UNCLASSIFIED - 0</t>
  </si>
  <si>
    <t>Runway and High Speed Exit Taxiway Friction Testing</t>
  </si>
  <si>
    <t>Runway and High Speed Exit Taxiway Friction Testing (Item P-608)</t>
  </si>
  <si>
    <t>P-608 - Runway and High Speed Exit Taxiway Friction Testing</t>
  </si>
  <si>
    <t>Erosion and Sediment Control</t>
  </si>
  <si>
    <t>Erosion and Sediment Control (Section 012200)</t>
  </si>
  <si>
    <t>012200 - Erosion and Sediment Control</t>
  </si>
  <si>
    <t>Dewatering (Section 012200)</t>
  </si>
  <si>
    <t>012200 - Dewatering</t>
  </si>
  <si>
    <t>Contaminated Soil Handling and Management</t>
  </si>
  <si>
    <t>Contaminated Soil Handling and Management (Section 012200)</t>
  </si>
  <si>
    <t>012200 - Contaminated Soil Handling and Management</t>
  </si>
  <si>
    <t>Temporary Sewage Bypassing</t>
  </si>
  <si>
    <t>Temporary Sewage Bypassing (Section 012200)</t>
  </si>
  <si>
    <t>012200 - Temporary Sewage Bypassing</t>
  </si>
  <si>
    <t>Removal, Haul, and Disposal of Demolition Debris</t>
  </si>
  <si>
    <t>Removal, Haul, and Disposal of Demolition Debris (Section 012200)</t>
  </si>
  <si>
    <t>012200 - Removal, Haul, and Disposal of Demolition Debris</t>
  </si>
  <si>
    <t>B6 Wet Well (SSLS 950) Mechanical Rehabilitation</t>
  </si>
  <si>
    <t>B6 Wet Well (SSLS 950) Mechanical Rehabilitation (Section 012200)</t>
  </si>
  <si>
    <t>012200 - B6 Wet Well (SSLS 950) Mechanical Rehabilitation</t>
  </si>
  <si>
    <t>D9 Wet Well (SSLS 953) Mechanical Rehabilitation</t>
  </si>
  <si>
    <t>D9 Wet Well (SSLS 953) Mechanical Rehabilitation (Section 012200)</t>
  </si>
  <si>
    <t>012200 - D9 Wet Well (SSLS 953) Mechanical Rehabilitation</t>
  </si>
  <si>
    <t>B6 Valve Vault (SSVLT 1202) Mechanical Rehabilitation</t>
  </si>
  <si>
    <t>B6 Valve Vault (SSVLT 1202) Mechanical Rehabilitation (Section 012200)</t>
  </si>
  <si>
    <t>012200 - B6 Valve Vault (SSVLT 1202) Mechanical Rehabilitation</t>
  </si>
  <si>
    <t>D9 Valve Vault (STSVLT 863) Mechanical Rehabilitation</t>
  </si>
  <si>
    <t>D9 Valve Vault (STSVLT 863) Mechanical Rehabilitation (Section 012200)</t>
  </si>
  <si>
    <t>012200 - D9 Valve Vault (STSVLT 863) Mechanical Rehabilitation</t>
  </si>
  <si>
    <t>B6 Replacement of Existing Lids and Hatches</t>
  </si>
  <si>
    <t>B6 Replacement of Existing Lids and Hatches (Section 012200)</t>
  </si>
  <si>
    <t>012200 - B6 Replacement of Existing Lids and Hatches</t>
  </si>
  <si>
    <t>D9 Replacement of Existing Lids and Hatches</t>
  </si>
  <si>
    <t>D9 Replacement of Existing Lids and Hatches (Section 012200)</t>
  </si>
  <si>
    <t>012200 - D9 Replacement of Existing Lids and Hatches</t>
  </si>
  <si>
    <t>B6 Wet Well (SSLS 950) Concrete Repair</t>
  </si>
  <si>
    <t>B6 Wet Well (SSLS 950) Concrete Repair (Section 012200)</t>
  </si>
  <si>
    <t>012200 - B6 Wet Well (SSLS 950) Concrete Repair</t>
  </si>
  <si>
    <t>D9 Wet Well (SSLS 953) Concrete Repair</t>
  </si>
  <si>
    <t>D9 Wet Well (SSLS 953) Concrete Repair (Section 012200)</t>
  </si>
  <si>
    <t>012200 - D9 Wet Well (SSLS 953) Concrete Repair</t>
  </si>
  <si>
    <t>B6 Valve Vault (SSVLT 1202) Concrete Repair</t>
  </si>
  <si>
    <t>B6 Valve Vault (SSVLT 1202) Concrete Repair (Section 012200)</t>
  </si>
  <si>
    <t>012200 - B6 Valve Vault (SSVLT 1202) Concrete Repair</t>
  </si>
  <si>
    <t>D9 Valve Vault (STSVLT 863) Concrete Repair</t>
  </si>
  <si>
    <t>D9 Valve Vault (STSVLT 863) Concrete Repair (Section 012200)</t>
  </si>
  <si>
    <t>012200 - D9 Valve Vault (STSVLT 863) Concrete Repair</t>
  </si>
  <si>
    <t>B6 Electrical</t>
  </si>
  <si>
    <t>B6 Electrical (Section 012200)</t>
  </si>
  <si>
    <t>012200 - B6 Electrical</t>
  </si>
  <si>
    <t>D9 Electrical</t>
  </si>
  <si>
    <t>D9 Electrical (Section 012200)</t>
  </si>
  <si>
    <t>012200 - D9 Electrical</t>
  </si>
  <si>
    <t>B6 Temporary Airfield Lighting Circuit Connection</t>
  </si>
  <si>
    <t>B6 Temporary Airfield Lighting Circuit Connection (Section 012200)</t>
  </si>
  <si>
    <t>012200 - B6 Temporary Airfield Lighting Circuit Connection</t>
  </si>
  <si>
    <t>16 Inch Depth</t>
  </si>
  <si>
    <t>PCC Pavement Removal - 16 Inch Depth (Item P-101)</t>
  </si>
  <si>
    <t>6 Inch Depth</t>
  </si>
  <si>
    <t>Asphalt Pavement Removal - 6 Inch Depth (Item P-101)</t>
  </si>
  <si>
    <t>Subgrade Stabilzation</t>
  </si>
  <si>
    <t>Subgrade Stabilzation (Item P-152)</t>
  </si>
  <si>
    <t>P-152 - Subgrade Stabilzation</t>
  </si>
  <si>
    <t>P-306</t>
  </si>
  <si>
    <t>Lean Concrete Base Course</t>
  </si>
  <si>
    <t>Lean Concrete Base Course (Item P-306)</t>
  </si>
  <si>
    <t>P-306 - Lean Concrete Base Course</t>
  </si>
  <si>
    <t>Asphalt Mixture Surface Course</t>
  </si>
  <si>
    <t>Asphalt Mixture Surface Course (Item P-403)</t>
  </si>
  <si>
    <t>P-403 - Asphalt Mixture Surface Course</t>
  </si>
  <si>
    <t>Concrete Pavement</t>
  </si>
  <si>
    <t>Concrete Pavement (Item P-501)</t>
  </si>
  <si>
    <t>P-501 - Concrete Pavement</t>
  </si>
  <si>
    <t>General Demolition</t>
  </si>
  <si>
    <t>UNCLASSIFIED - General Demolition</t>
  </si>
  <si>
    <t>Pavement Removal and Disposal</t>
  </si>
  <si>
    <t>Pavement Removal and Disposal, 9-Inch Depth</t>
  </si>
  <si>
    <t>UNCLASSIFIED - Pavement Removal and Disposal</t>
  </si>
  <si>
    <t>Cold Plane Pavement Removal and Disposal</t>
  </si>
  <si>
    <t>Cold Plane Pavement Removal and Disposal, 3-Inch Depth</t>
  </si>
  <si>
    <t>UNCLASSIFIED - Cold Plane Pavement Removal and Disposal</t>
  </si>
  <si>
    <t>Signal Modification</t>
  </si>
  <si>
    <t>UNCLASSIFIED - Signal Modification</t>
  </si>
  <si>
    <t>Lighting</t>
  </si>
  <si>
    <t>UNCLASSIFIED - Lighting</t>
  </si>
  <si>
    <t>Site Preparation</t>
  </si>
  <si>
    <t>UNCLASSIFIED - Site Preparation</t>
  </si>
  <si>
    <t>Subgrade Preparation</t>
  </si>
  <si>
    <t>UNCLASSIFIED - Subgrade Preparation</t>
  </si>
  <si>
    <t>1/2-Inch - Dense HMAC</t>
  </si>
  <si>
    <t>Level 3, 1/2-Inch-Dense HMAC</t>
  </si>
  <si>
    <t>Geotextile Fabric</t>
  </si>
  <si>
    <t>UNCLASSIFIED - Geotextile Fabric</t>
  </si>
  <si>
    <t>Tack Coat</t>
  </si>
  <si>
    <t>UNCLASSIFIED - Tack Coat</t>
  </si>
  <si>
    <t>Valley Gutter</t>
  </si>
  <si>
    <t>UNCLASSIFIED - Valley Gutter</t>
  </si>
  <si>
    <t>Concrete Curb</t>
  </si>
  <si>
    <t>UNCLASSIFIED - Concrete Curb</t>
  </si>
  <si>
    <t>Concrete Walks</t>
  </si>
  <si>
    <t>UNCLASSIFIED - Concrete Walks</t>
  </si>
  <si>
    <t>Clearing and Seeding</t>
  </si>
  <si>
    <t>UNCLASSIFIED - Clearing and Seeding</t>
  </si>
  <si>
    <t>Storm Culvert</t>
  </si>
  <si>
    <t>UNCLASSIFIED - Storm Culvert</t>
  </si>
  <si>
    <t>Clearing and Grubbing (Sections 012200 and 312000)</t>
  </si>
  <si>
    <t>012200 - Clearing and Grubbing</t>
  </si>
  <si>
    <t>Temporary Erosion and Sediment Control Measures</t>
  </si>
  <si>
    <t>Temporary Erosion and Sediment Control Measures (Sections 012200 and 015713)</t>
  </si>
  <si>
    <t>012200 - Temporary Erosion and Sediment Control Measures</t>
  </si>
  <si>
    <t>General Demolition (Sections 012200 and 024113)</t>
  </si>
  <si>
    <t>012200 - General Demolition</t>
  </si>
  <si>
    <t>6-inch Depth</t>
  </si>
  <si>
    <t>Pavement Removal and Disposal, 6-inch Depth (Sections 012200 and 024113)</t>
  </si>
  <si>
    <t>012200 - Pavement Removal and Disposal</t>
  </si>
  <si>
    <t>Contaminated Soil Removal and Haul</t>
  </si>
  <si>
    <t>Contaminated Soil Removal and Haul (Sections 012200 and 026100)</t>
  </si>
  <si>
    <t>012200 - Contaminated Soil Removal and Haul</t>
  </si>
  <si>
    <t>Unsuitable Excavation and Disposal (Sections 012200 and 312300)</t>
  </si>
  <si>
    <t>012200 - Unsuitable Excavation and Disposal</t>
  </si>
  <si>
    <t>Trench Stabilization (Sections 012200 and 312300)</t>
  </si>
  <si>
    <t>012200 - Trench Stabilization</t>
  </si>
  <si>
    <t>Embankment, Ditch</t>
  </si>
  <si>
    <t>Embankment, Ditch (Sections 012200 and 312000)</t>
  </si>
  <si>
    <t>012200 - Embankment, Ditch</t>
  </si>
  <si>
    <t>Repair Existing ARFF Cap</t>
  </si>
  <si>
    <t>Repair Existing ARFF Cap (Sections 012200 and 312300)</t>
  </si>
  <si>
    <t>012200 - Repair Existing ARFF Cap</t>
  </si>
  <si>
    <t>Site Preparation (Sections 012200 and 320117)</t>
  </si>
  <si>
    <t>012200 - Site Preparation</t>
  </si>
  <si>
    <t>Aggregate Base Course (Sections 012200 and 321123)</t>
  </si>
  <si>
    <t>012200 - Aggregate Base Course</t>
  </si>
  <si>
    <t>Asphalt Concrete Pavement</t>
  </si>
  <si>
    <t>Asphalt Concrete Pavement (Sections 012200 and 321200)</t>
  </si>
  <si>
    <t>012200 - Asphalt Concrete Pavement</t>
  </si>
  <si>
    <t>10-Inch Thick</t>
  </si>
  <si>
    <t>Portland Cement Concrete Pavement (10-Inch Thick) (Sections 012200 and 321300)</t>
  </si>
  <si>
    <t>012200 - Portland Cement Concrete Pavement</t>
  </si>
  <si>
    <t>Seeding (Sections 012200 and 329219)</t>
  </si>
  <si>
    <t>012200 - Seeding</t>
  </si>
  <si>
    <t>312000 | 329113</t>
  </si>
  <si>
    <t>Fill Material, Topsoil (Sections 012200, 312000, and 329113)</t>
  </si>
  <si>
    <t>012200 - Fill Material, Topsoil</t>
  </si>
  <si>
    <t>8-Inch STS (Sections 012200 and 334100)</t>
  </si>
  <si>
    <t>012200 - STS</t>
  </si>
  <si>
    <t>12-Inch STS (Sections 012200 and 334100)</t>
  </si>
  <si>
    <t>18-Inch STS (Sections 012200 and 334100)</t>
  </si>
  <si>
    <t>36-Inch STS (Sections 012200 and 334100)</t>
  </si>
  <si>
    <t>48-Inch STS (Sections 012200 and 334100)</t>
  </si>
  <si>
    <t>Connection to Existing Drainage Structure</t>
  </si>
  <si>
    <t>Connection to Existing Drainage Structure (Sections 012200 and 334100)</t>
  </si>
  <si>
    <t>012200 - Connection to Existing Drainage Structure</t>
  </si>
  <si>
    <t>Abandon and Plug Storm Pipe</t>
  </si>
  <si>
    <t>Abandon and Plug Storm Pipe (Sections 012200 and 334100)</t>
  </si>
  <si>
    <t>012200 - Abandon and Plug Storm Pipe</t>
  </si>
  <si>
    <t>Abandon Existing Structure</t>
  </si>
  <si>
    <t>Abandon Existing Structure (Sections 012200 and 334100)</t>
  </si>
  <si>
    <t>012200 - Abandon Existing Structure</t>
  </si>
  <si>
    <t>Catch Basins/Inlets</t>
  </si>
  <si>
    <t>Catch Basins/Inlets (Sections 012200 and 334100)</t>
  </si>
  <si>
    <t>012200 - Catch Basins/Inlets</t>
  </si>
  <si>
    <t>48-Inch Manhole (Sections 012200 and 334100)</t>
  </si>
  <si>
    <t>012200 - Manhole</t>
  </si>
  <si>
    <t>72-Inch Manhole (Sections 012200 and 334100)</t>
  </si>
  <si>
    <t>120-Inch Manhole (Sections 012200 and 334100)</t>
  </si>
  <si>
    <t>Extra Manhole Depth</t>
  </si>
  <si>
    <t>Extra Manhole Depth (48-Inch) (Sections 012200 and 334100)</t>
  </si>
  <si>
    <t>012200 - Extra Manhole Depth</t>
  </si>
  <si>
    <t>Extra Manhole Depth (72-Inch) (Sections 012200 and 334100)</t>
  </si>
  <si>
    <t>Extra Manhole Depth (120-Inch) (Sections 012200 and 334100)</t>
  </si>
  <si>
    <t>PCC Spall Panel Repair</t>
  </si>
  <si>
    <t>0-1 SF</t>
  </si>
  <si>
    <t>PCC Spall Panel Repair, 0-1 SF (Section 012200)</t>
  </si>
  <si>
    <t>012200 - PCC Spall Panel Repair</t>
  </si>
  <si>
    <t>1-5 SF</t>
  </si>
  <si>
    <t>PCC Spall Panel Repair, 1-5 SF (Section 012200)</t>
  </si>
  <si>
    <t>5-15 SF</t>
  </si>
  <si>
    <t>PCC Spall Panel Repair, 5-15 SF (Section 012200)</t>
  </si>
  <si>
    <t>PCC Crack Repair</t>
  </si>
  <si>
    <t>Original</t>
  </si>
  <si>
    <t>PCC Crack Repair, Original (Section 012200)</t>
  </si>
  <si>
    <t>012200 - PCC Crack Repair</t>
  </si>
  <si>
    <t>Renewal</t>
  </si>
  <si>
    <t>PCC Crack Repair, Renewal (Section 012200)</t>
  </si>
  <si>
    <t>Concrete to Concrete Joint Seal</t>
  </si>
  <si>
    <t>Silicone</t>
  </si>
  <si>
    <t>Concrete to Concrete Joint Seal (Silicone) (Item P-605)</t>
  </si>
  <si>
    <t>P-605 - Concrete to Concrete Joint Seal</t>
  </si>
  <si>
    <t>Concrete to Asphalt Joint Seal</t>
  </si>
  <si>
    <t>Concrete to Asphalt Joint Seal (Item P-605)</t>
  </si>
  <si>
    <t>P-605 - Concrete to Asphalt Joint Seal</t>
  </si>
  <si>
    <t>Row Labels</t>
  </si>
  <si>
    <t>Grand Total</t>
  </si>
  <si>
    <t>#REF!</t>
  </si>
  <si>
    <t>Count of item_description_raw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</si>
</sst>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onsolas"/>
      <family val="2"/>
    </font>
    <font>
      <sz val="12"/>
      <color theme="1"/>
      <name val="Consola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onsolas"/>
      <family val="2"/>
    </font>
    <font>
      <b/>
      <sz val="13"/>
      <color theme="3"/>
      <name val="Consolas"/>
      <family val="2"/>
    </font>
    <font>
      <b/>
      <sz val="11"/>
      <color theme="3"/>
      <name val="Consolas"/>
      <family val="2"/>
    </font>
    <font>
      <sz val="12"/>
      <color rgb="FF006100"/>
      <name val="Consolas"/>
      <family val="2"/>
    </font>
    <font>
      <sz val="12"/>
      <color rgb="FF9C0006"/>
      <name val="Consolas"/>
      <family val="2"/>
    </font>
    <font>
      <sz val="12"/>
      <color rgb="FF9C5700"/>
      <name val="Consolas"/>
      <family val="2"/>
    </font>
    <font>
      <sz val="12"/>
      <color rgb="FF3F3F76"/>
      <name val="Consolas"/>
      <family val="2"/>
    </font>
    <font>
      <b/>
      <sz val="12"/>
      <color rgb="FF3F3F3F"/>
      <name val="Consolas"/>
      <family val="2"/>
    </font>
    <font>
      <b/>
      <sz val="12"/>
      <color rgb="FFFA7D00"/>
      <name val="Consolas"/>
      <family val="2"/>
    </font>
    <font>
      <sz val="12"/>
      <color rgb="FFFA7D00"/>
      <name val="Consolas"/>
      <family val="2"/>
    </font>
    <font>
      <b/>
      <sz val="12"/>
      <color theme="0"/>
      <name val="Consolas"/>
      <family val="2"/>
    </font>
    <font>
      <sz val="12"/>
      <color rgb="FFFF0000"/>
      <name val="Consolas"/>
      <family val="2"/>
    </font>
    <font>
      <i/>
      <sz val="12"/>
      <color rgb="FF7F7F7F"/>
      <name val="Consolas"/>
      <family val="2"/>
    </font>
    <font>
      <b/>
      <sz val="12"/>
      <color theme="1"/>
      <name val="Consolas"/>
      <family val="2"/>
    </font>
    <font>
      <sz val="12"/>
      <color theme="0"/>
      <name val="Consola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gan" refreshedDate="46069.754810532409" createdVersion="8" refreshedVersion="8" minRefreshableVersion="3" recordCount="1386" xr:uid="{3E59DAEE-2B4C-F542-A5EF-54BA6AF252D5}">
  <cacheSource type="worksheet">
    <worksheetSource name="Table1"/>
  </cacheSource>
  <cacheFields count="14">
    <cacheField name="item_id" numFmtId="0">
      <sharedItems containsSemiMixedTypes="0" containsString="0" containsNumber="1" containsInteger="1" minValue="1" maxValue="1386"/>
    </cacheField>
    <cacheField name="project_id" numFmtId="0">
      <sharedItems containsSemiMixedTypes="0" containsString="0" containsNumber="1" containsInteger="1" minValue="1" maxValue="29"/>
    </cacheField>
    <cacheField name="line_no" numFmtId="0">
      <sharedItems containsMixedTypes="1" containsNumber="1" containsInteger="1" minValue="0" maxValue="89"/>
    </cacheField>
    <cacheField name="specification" numFmtId="0">
      <sharedItems containsMixedTypes="1" containsNumber="1" containsInteger="1" minValue="12200" maxValue="354000"/>
    </cacheField>
    <cacheField name="alternate_specification" numFmtId="0">
      <sharedItems containsBlank="1" containsMixedTypes="1" containsNumber="1" containsInteger="1" minValue="15713" maxValue="334100"/>
    </cacheField>
    <cacheField name="pay_item_description" numFmtId="0">
      <sharedItems containsMixedTypes="1" containsNumber="1" containsInteger="1" minValue="0" maxValue="0"/>
    </cacheField>
    <cacheField name="supplemental_description" numFmtId="0">
      <sharedItems containsBlank="1" containsMixedTypes="1" containsNumber="1" containsInteger="1" minValue="1" maxValue="12200"/>
    </cacheField>
    <cacheField name="item_description_raw" numFmtId="0">
      <sharedItems containsMixedTypes="1" containsNumber="1" containsInteger="1" minValue="0" maxValue="0" count="825">
        <s v="Mobilization, Surveying, Cleanup, and Demobilization"/>
        <s v="Work Zone Traffic Control"/>
        <s v="Temporary Erosion, Sediment, and Pollution Control"/>
        <s v="Site Demolition"/>
        <s v="Clearing and Grubbing"/>
        <s v="Trench Excavation and General Native Backfill"/>
        <s v="Trench Excavation and Select Native Backfill"/>
        <s v="Trench Excavation and Select Backfill"/>
        <s v="Offsite Haul and Disposal"/>
        <s v="Contaminated Soil Sediment Excavation and Disposal"/>
        <s v="Shoring"/>
        <s v="Pipe Zone and Bedding Material"/>
        <s v="Trench Stabilization"/>
        <s v="Dewatering"/>
        <s v="72-Inch Sewer Pipe"/>
        <s v="108-Inch Manhole"/>
        <s v="120-Inch Manhole"/>
        <s v="Subdrains"/>
        <s v="Inlet (Type PB)"/>
        <s v="McBride Slough Intake Structure"/>
        <s v="Columbia Slough Outfall Structure"/>
        <s v="Modified Concrete Curb and Gutter"/>
        <s v="Sidewalk"/>
        <s v="Aggregate Base Course"/>
        <s v="Portland Cement Concrete Pavement (9-Inch)"/>
        <s v="Pavement Marking"/>
        <s v="Guard Rail Removal and Replacement"/>
        <s v="Area Seeding"/>
        <s v="Stormwater Flow Through Pollution Reduction Facility"/>
        <s v="Landscape Restoration"/>
        <s v="Mobilization, Cleanup, and Demobilization (Section 012200)"/>
        <s v="Sweeper (Section 012200)"/>
        <s v="Security Control Monitoring (Section 012200)"/>
        <s v="Work Zone and Traffic Control (Section 012200)"/>
        <s v="Escort (Section 012200)"/>
        <s v="Delineators (Section 012200)"/>
        <s v="Construction Access (Section 015713)"/>
        <s v="Inlet Protection (Section 015713)"/>
        <s v="Jet Blast Control Material (Section 015713)"/>
        <s v="Construction Survey (Item GP-50)"/>
        <s v="Joint and Crack Repair (Item P-101)"/>
        <s v="Asphalt Pavement Removal - 3-Inch Depth (Item P-101)"/>
        <s v="Cold Milling - 2-Inch Maximum Depth (Item P-101)"/>
        <s v="Asphalt Pavement Removal - 8-Inch Depth (Item P-101)"/>
        <s v="Cold Milling - 4.5-Inch Maximum Depth (Item P-101)"/>
        <s v="Silt Fence (Item P-156)"/>
        <s v="Hot Mix Asphalt (HMA) Bituminous Surface Course (Item P-401)"/>
        <s v="Borrow Excavation (P-152)"/>
        <s v="Unsuitable Excavation (Item P-152)"/>
        <s v="Hot Mix Asphalt (HMA) Base Course (Item P-403)"/>
        <s v="Geotextile (Item P-152)"/>
        <s v="Bituminous Tack Coat (Item P-603)"/>
        <s v="Controlled Low-Strength Material (CLSM) (Item P-153)"/>
        <s v="Joint Sealing Filler (Item P-605)"/>
        <s v="Subbase Course (Item P-154)"/>
        <s v="Adhesive Compound (Item P-606)"/>
        <s v="Asphalt Surface Treatment (Item P-608)"/>
        <s v="Crushed Aggregate Base Course (Item P-209)"/>
        <s v="Runway Friction Testing (Item P-608)"/>
        <s v="Hot Mix Asphalt (HMA) Pavement Base Course (Item P-403)"/>
        <s v="Structural Portland Cement Concrete (PCC) (Item P-610)"/>
        <s v="Steel Reinforcement (Item P-610)"/>
        <s v="Runway Marking (Item P-620)"/>
        <s v="Reflective Media (Item P-620)"/>
        <s v="Phasing Pavement Marking (Item P-620)"/>
        <s v="8-Inch STS Pipe (Item D-701)"/>
        <s v="Grooving (Item P-621)"/>
        <s v="12-Inch STS Pipe (Item D-701)"/>
        <s v="No. 8 AWG 5kV Cable (Item L-108)"/>
        <s v="48-Inch STS Pipe (Item D-701)"/>
        <s v="No. 6 AWG Solid Wire for Counterpoise (Item L-108)"/>
        <s v="12-Inch RCP Pipe (Item D-701)"/>
        <s v="Heat Shrink for 5kV L-823 Primary Connector (Item L-108)"/>
        <s v="24-Inch RCP Pipe (Item D-701)"/>
        <s v="Ground Rod for Counterpoise (Item L-108)"/>
        <s v="48-Inch Manhole, Type B (Item D-751)"/>
        <s v="1-Inch IMC in Existing AC (Item L-110)"/>
        <s v="48-Inch Manhole, Ditch Inlet (Item D-751)"/>
        <s v="2-Inch PVC Direct Buried (Item L-110)"/>
        <s v="72-Inch Manhole, Type A (Item D-751)"/>
        <s v="2-Inch PVC in Existing AC (Item L-110)"/>
        <s v="Contaminated Material Excavation and Disposal (Section 026100)"/>
        <s v="84-Inch Manhole, Type A (Item D-751)"/>
        <s v="General Electrical Removal (Section 260500)"/>
        <s v="Catch Basin (Item D-751)"/>
        <s v="Temporary Circuit Connection (Section 260500)"/>
        <s v="Seeding (Item T-901)"/>
        <s v="3-Inch Diameter Brass Marker (Section 260553)"/>
        <s v="Removal of Existing Storm Pipe, Manholes, and Inlets (Section 312300)"/>
        <s v="Connection to Existing Storm Drainage System (Section 312300)"/>
        <s v="Install PF LED Taxiway Centerline Light with PF Base Can, CF Transformer in New AC (Section 344300)"/>
        <s v="Existing Manhole Adjustment to Grade (Section 312300)"/>
        <s v="Install PF LED Taxiway Centerline Light on Existing Base Can with CF Isolation Transformer (Section 344300)"/>
        <s v="Existing Catch Basin Adjustment to Grade (Section 312300)"/>
        <s v="Install PF L-868, 12-Inch Diameter Base Can, PF Cover Plate in New AC (Section 344300)"/>
        <s v="Adjustment of Existing Structures (H-20 Rated Vaults) (Section 312300)"/>
        <s v="Install PF L-867, 12-Inch Diameter Base Can, PF Cover Plate in Existing AC (Section 344300)"/>
        <s v="Adjustment of Existing Structures (229 Kip Rated Vaults) (Section 312300)"/>
        <s v="Install PF Cover Plate on Existing Light Base (Section 344300)"/>
        <s v="12-Inch DIP (Force Main) (Section 334100)"/>
        <s v="Adjust Existing Elevated Runway Threshold/Edge Light (Section 344301)"/>
        <s v="30-Inch DIP (Force Main) (Section 334100)"/>
        <s v="Adjust Existing In-Pavement Runway Edge Light (Section 344301)"/>
        <s v="Riprap (Section 334100)"/>
        <s v="Sign E6-6 (Section 344302)"/>
        <s v="Pump Station (Section 334213)"/>
        <s v="Sign E6-9 (Section 344302)"/>
        <s v="Pump Station Electrical Equipment Installation (Section 334213)"/>
        <s v="Sign G-3 (Section 344302)"/>
        <e v="#REF!"/>
        <s v="Wildlife Access Road, Asphalt Grindings (Section 012200)"/>
        <s v="Traffic Control (Section 012200)"/>
        <s v="Ditch Protection/Check Dams (Section 015713)"/>
        <s v="Wattles (Section 015713)"/>
        <s v="PCC Pavement Removal - 3&quot; Depth (Item P-101)"/>
        <s v="PCC Pavement Removal - 6&quot; Depth (Item P-101)"/>
        <s v="Asphalt Pavement Removal - 3&quot; Depth (Item P-101)"/>
        <s v="Asphalt Pavement Removal - 5&quot; Depth (Item P-101)"/>
        <s v="Asphalt Pavement Removal - 7.5&quot; Depth (Item P-101)"/>
        <s v="Asphalt Pavement Removal - 12&quot; Depth (Item P-101)"/>
        <s v="Asphalt Pavement Removal - 14&quot; Depth (Item P-101)"/>
        <s v="Asphalt Pavement Removal - 16&quot; Depth (Item P-101)"/>
        <s v="Asphalt Pavement Removal - 20&quot; Depth (Item P-101)"/>
        <s v="Asphalt Pavement Removal - 22&quot; Depth (Item P-101)"/>
        <s v="Asphalt Pavement Removal - 12&quot; Depth Asphalt Grindings (Item P-101)"/>
        <s v="Cold Milling - 4 Inch Maximum Depth (Item P-101)"/>
        <s v="Unclassified Excavation (P-152)"/>
        <s v="Hot Mix Asphalt (HMA) Pavement (Item P-401)"/>
        <s v="Portland Cement Concrete (PCC) Pavement (Item P-501)"/>
        <s v="Bituminous Prime Coat (Item P-602)"/>
        <s v="Compression Joint Sealant (Item P-604)"/>
        <s v="Joint Sealant (Item P-605)"/>
        <s v="Pavement Marking (Item P-620)"/>
        <s v="Saw-Cut Grooving (Item P-621)"/>
        <s v="4-Inch STS Pipe (Item D-701)"/>
        <s v="6-Inch STS Pipe (Item D-701)"/>
        <s v="18-Inch STS Pipe (Item D-701)"/>
        <s v="24-Inch STS Pipe (Item D-701)"/>
        <s v="6-Inch Perforated Pipe Underdrains (Item D-705)"/>
        <s v="48-Inch Manhole, Type A (Item D-751)"/>
        <s v="60-Inch Manhole, Type B (Item D-751)"/>
        <s v="72-Inch Manhole, Type B (Item D-751)"/>
        <s v="84-Inch Manhole, Type B (Item D-751)"/>
        <s v="Topsoiling (Item T-905)"/>
        <s v="Existing Electrical Vault Adjustment to Grade (Section 312300)"/>
        <s v="12-Inch Ductile Iron (Force Main) Pipe (Section 334100)"/>
        <s v="20-Inch Ductile Iron (Force Main) Pipe (Section 334100)"/>
        <s v="Stormwater Pump Station, Electrical Equipment Installation (Section 334213)"/>
        <s v="Stormwater Valve Vault (Section 334213)"/>
        <s v="Adjust Existing Elevated Runway Threshold Light (Section 344301)"/>
        <s v="Adjust Existing In-Pavement Stop Bar Light (Section 344301)"/>
        <s v="Mobilization, Cleanup, and Demobilization"/>
        <s v="Sweeper"/>
        <s v="Security Control Monitoring"/>
        <s v="Escort"/>
        <s v="Construction Survey"/>
        <s v="Sediment Fence"/>
        <s v="Inlet Protection"/>
        <s v="Stabilized Construction Entrance"/>
        <s v="Pavement Removal"/>
        <s v="Common Excavation"/>
        <s v="Unsuitable Excavation and Disposal"/>
        <s v="Contaminated Soil Excavation and Disposal"/>
        <s v="Geotextile"/>
        <s v="Removal of Existing Storm Pipe, Manholes, Pumps, Valves, Hangers, Vaults, and Brackets"/>
        <s v="Removal of Existing Lid from Stormwater Treatment Vault"/>
        <s v="Modifications to Existing Wet Well"/>
        <s v="Adjustment of Existing Structures (H-20 Rated Vaults)"/>
        <s v="24-Inch Storm Sewer (Force Main) Pipe"/>
        <s v="12-Inch Storm Sewer Pipe"/>
        <s v="15-Inch Storm Sewer Pipe"/>
        <s v="21-Inch Storm Sewer Pipe"/>
        <s v="21-Inch Storm Sewer Pipe (RCP)"/>
        <s v="24-Inch Storm Sewer Pipe"/>
        <s v="48-Inch Manhole"/>
        <s v="60-Inch Manhole"/>
        <s v="72-Inch Manhole"/>
        <s v="72-Inch Corrugated Metal Riser"/>
        <s v="Stormwater Pump Station"/>
        <s v="Stormwater Treatment Vaults"/>
        <s v="Stormwater Treatment Vault Cover"/>
        <s v="Hand Rail"/>
        <s v="Concrete Wall Removal"/>
        <s v="Concrete Curb Removal"/>
        <s v="Bollard"/>
        <s v="Electrical Modifications"/>
        <s v="Cold Plane Pavement Removal (0-3 Inch Maximum)"/>
        <s v="Cold Plane Pavement Removal (3-5 Inch Maximum)"/>
        <s v="Utility Adjustments to Grade"/>
        <s v="Pavement Marking, Thermoplastic"/>
        <s v="Pavement Marking, Painted"/>
        <s v="Pavement Marking, Temporary"/>
        <s v="Vehicle Detection Loops"/>
        <s v="Level 3, 1/2-Inch Dense HMAC"/>
        <s v="Cold Milling - 3-Inch Maximum Depth (Item P-101)"/>
        <s v="Bituminous Surface Course (Item P-401)"/>
        <s v="Runway and Taxiway Marking (Item P-620)"/>
        <s v="Preformed Markings (Item P-620)"/>
        <s v="Modifications to Existing Pump Station A and Deicing Valve Vault (Section 312300)"/>
        <s v="Trench Protection (Section 015713)"/>
        <s v="PCC Pavement Removal - 3-Inch Depth (Item P-101)"/>
        <s v="PCC Pavement Removal - 4-Inch Depth (Item P-101)"/>
        <s v="PCC Pavement Removal - 16-Inch Depth (Item P-101)"/>
        <s v="Asphalt Pavement Removal - 6-Inch Depth (Item P-101)"/>
        <s v="Asphalt Pavement Removal - 9-Inch Depth (Item P-101)"/>
        <s v="Asphalt Pavement Removal - 12-Inch Depth (Item P-101)"/>
        <s v="Asphalt Pavement Removal - 15-Inch Depth (Item P-101)"/>
        <s v="Unclassified Excavation (Item P-152)"/>
        <s v="Controlled Low-Strength Material (Item P-153)"/>
        <s v="Installation and Removal of Silt Fence (Item P-156)"/>
        <s v="HMA Base Course (Item P-403)"/>
        <s v="Portland Cement Concrete Pavement (Item P-501)"/>
        <s v="Compression Joint Seals for Concrete Pavement (Item P-604)"/>
        <s v="Structural Portland Cement Concrete (Item P-610)"/>
        <s v="30-Inch STS Pipe (Item D-701)"/>
        <s v="6-Inch Perforated Pipe (Item D-705)"/>
        <s v="48-Inch Diameter Manhole, Type A (Item D-751)"/>
        <s v="72-Inch Diameter Manhole, Type A (Item D-751)"/>
        <s v="84-Inch Diameter Manhole, Type A (Item D-751)"/>
        <s v="96-Inch Diameter Manhole, Type A (Item D-751)"/>
        <s v="Catch Basins (Item D-751)"/>
        <s v="Existing Electrical Vault (H-20 Rated) Extension to Finish Grade (Section 312300)"/>
        <s v="Sanitary Sewer Wet Well Removal (Section 312300)"/>
        <s v="No. 8 AWG, 5 kV, L-824, Type C Cable Installed in Trench, Duct Bank or Conduit (Item L-108)"/>
        <s v="No. 6 AWG, Solid, Bare Counterpoise Wire (Item L-108)"/>
        <s v="Counterpoise Ground Rod, 10-Foot Long (Item L-108)"/>
        <s v="2-Inch PVC (Item L-110)"/>
        <s v="2-Inch GRSC (Item L-110)"/>
        <s v="1 1/2-Inch GRSC (Item L-110)"/>
        <s v="Reinstall Elevated Taxiway Edge Light w/ PF Base Can, PF Extension, PF Flange Ring, and CF Transformer in New AC (Section 344300)"/>
        <s v="Reinstall Elevated Taxiway Edge Light w/ PF Base Can, PF Extension, PF Flange Ring, and CF Transformer in Existing AC (Section 344300)"/>
        <s v="Reinstall LED Taxiway Centerline Light w/ PF Base Can, PF Extension, PF Flange Ring, and CF Transformer in New AC (Section 344300)"/>
        <s v="Install PF In-Pavement Taxiway Edge Light on PF Base Can, PF Extension, PF Flange Ring, and CF Transformer in New AC (Section 344300)"/>
        <s v="Reinstall Taxiway Edge Light on Existing Base Can with Existing Isolation Transformer (Section 344300)"/>
        <s v="Reinstall Taxiway Centerline Light on Existing Base Can w/ Existing Transformer in Existing AC (Section 344300)"/>
        <s v="Reinstall Taxiway Centerline Light on Existing Base Can w/ PF Extension, PF Flange Ring, and Existing Transformer in New AC (Section 344300)"/>
        <s v="Sign V-2 (Section 344302)"/>
        <s v="Sign V-4 (Section 344302)"/>
        <s v="Sign V-6 (Section 344302)"/>
        <s v="Sign A4-6 (Section 344302)"/>
        <s v="Sign A4-7 (Section 344302)"/>
        <s v="Sign A4-9 (Section 344302)"/>
        <s v="Sign A5-3 (Section 344302)"/>
        <s v="Sign A5-4 (Section 344302)"/>
        <s v="Sign V-5 (Section 344302)"/>
        <s v="Sign A4-13 (Section 344302)"/>
        <s v="Mobilization, Surveying, Cleanup, and Demobilization (Section 012200)"/>
        <s v="Ground Rod for Counterpoise (Section 260526)"/>
        <s v="Install PF Elevated Runway End Light with CF Transformer on Existing Light Base (Section 344300)"/>
        <s v="Install PF Elevated Runway Edge Light with CF Transformer on Existing Light Base (Section 344300)"/>
        <s v="Install PF In-Pavement Runway Edge Light with CF Transformer on Existing Light Base (Section 344300)"/>
        <s v="Install PF Runway Centerline Light with CF Transformer on Existing Light Base (Section 344300)"/>
        <s v="Install PF In-Pavement Runway Threshold Light with CF Transformer on Existing Light Base (Section 344300)"/>
        <s v="Install PF Taxiway Centerline Light with PF Remote and CF Transformer on Existing Light Base (Section 344300)"/>
        <s v="Install PF Red Elevated Stop Bar Light with PF Remote and CF Transformer on Existing Light Base (Section 344300)"/>
        <s v="Install PF Dual Stop Bar Light with PF Remote and CF Transformer on Existing Light Base (Section 344300)"/>
        <s v="Install PF In-Pavement Runway Guard Light with CF Transformer on Existing Light Base (Section 344300)"/>
        <s v="Install PF Red Elevated Stop Bar Light with CF Transformer on Existing Light Base (Section 344300)"/>
        <s v="Install PF Elevated Runway Guard Light with CF Transformer on Existing Light Base (Section 344300)"/>
        <s v="Install PF Dual Stop Bar Light with Two CF Transformers on Existing Light Base (Section 344300)"/>
        <s v="Install PF Taxiway Centerline Light with CF Transformer on Existing Light Base (Section 344300)"/>
        <s v="Install PF Elevated Taxiway Edge Light with CF Transformer on Existing Light Base (Section 344300)"/>
        <s v="Install PF Taxiway Centerline Light on Existing Light Base (Section 344300)"/>
        <s v="Install PF Dual Stop Bar Light on Existing Light Base (Section 344300)"/>
        <s v="Install PF In-Pavement Runway Guard Light on Existing Light Base (Section 344300)"/>
        <s v="Install PF In-Pavement Red Stop Bar Light with PF Remote and CF Transformer on Existing Light Base (Section 344300)"/>
        <s v="Install CF 150-Watt, 6.6/6.6 Amp Isolation Transformer in Existing Base Can (Section 344300)"/>
        <s v="Install PF Microwave Sensor with CF Transformer in Existing Base Can (Section 344300)"/>
        <s v="Install PF Cover Plate on Existing Base Can (Section 344300)"/>
        <s v="#6 AWG, 5kV Cable (Item L-108)"/>
        <s v="2-inch PVC Direct Buried in Grass (Item L-110)"/>
        <s v="2-inch PVC in Existing ACP Shoulder (Item L-110)"/>
        <s v="Temporary Traffic Control"/>
        <s v="Contaminated Soil Excavation and Placement"/>
        <s v="Fill Material, Topsoil"/>
        <s v="Compacted Bedding Material"/>
        <s v="2-Inch Water Pipe"/>
        <s v="4-Inch Water Pipe"/>
        <s v="6-Inch Water Pipe"/>
        <s v="2-Inch Gate Valve"/>
        <s v="4-Inch Gate Valve"/>
        <s v="6-Inch Gate Valve"/>
        <s v="Remove and Reinstall Catch Basin"/>
        <s v="Pavement Markings"/>
        <s v="Remove and Reinstall Chain Link Fence"/>
        <s v="Asphalt Concrerte Surface Course"/>
        <s v="Mobilization (Item C-105)"/>
        <s v="PCC Pavement Removal - 15-Inch Depth (Item P-101)"/>
        <s v="Installation and Removal of Silt Fence (Item C-102)"/>
        <s v="PCC Pavement Removal - 18-Inch Depth (Item P-101)"/>
        <s v="Asphalt Pavement Removal - 11-Inch Depth (Item P-101)"/>
        <s v="Asphalt Pavement Removal - 20-Inch Depth (Item P-101)"/>
        <s v="Asphalt Pavement Removal - 4-Inch Depth (Item P-101)"/>
        <s v="Cold Milling - 3-Inch Depth (Item P-101)"/>
        <s v="Asphalt Pavement Removal - 13.5-Inch Depth (Item P-101)"/>
        <s v="Removal of Pipe and Other Buried Structures (Item P-101)"/>
        <s v="PCC Pavement Removal - 6-Inch Depth (Item P-101)"/>
        <s v="Cold Milling - 4-Inch Depth (Item P-101)"/>
        <s v="Cold Milling - 12-Inch Depth (Item P-101)"/>
        <s v="Separation Geotextile (Item P-154)"/>
        <s v="Asphalt Surface Course (Item P-401)"/>
        <s v="Asphalt Mixture Surface and Base (Item P-403)"/>
        <s v="11-Inch Thick Concrete Pavement (Item P-501)"/>
        <s v="15-Inch Thick Concrete Pavement (Item P-501)"/>
        <s v="18-Inch Thick Concrete Pavement (Item P-501)"/>
        <s v="Emulsified Asphalt Tack Coat (Item P-603)"/>
        <s v="Compression Joint Seals for Concrete Pavements (Item P-604)"/>
        <s v="Emulsified Asphalt Prime Coat (Item P-602)"/>
        <s v="Surface Preparation - New Pavement Surfaces (Item P-620)"/>
        <s v="Surface Preparation - Remove Existing Markings (Item P-620)"/>
        <s v="Marking (Item P-620)"/>
        <s v="Concrete (Item P-610)"/>
        <s v="Temporary Runway and Taxiway Marking (Item P-620)"/>
        <s v="12-Inch STS (Item D-701)"/>
        <s v="15-Inch STS (Item D-701)"/>
        <s v="36-Inch STS (Item D-701)"/>
        <s v="8-Inch STS (Item D-701)"/>
        <s v="60-Inch Manhole (Item D-751)"/>
        <s v="72-Inch Manhole (Item D-751)"/>
        <s v="18-Inch STS (Item D-701)"/>
        <s v="24-Inch STS (Item D-701)"/>
        <s v="Remove Existing Manhole Flat Top and Upgrade to Aircraft Rated Structure (Section 312300)"/>
        <s v="30-Inch STS (Item D-701)"/>
        <s v="48-Inch Manhole (Item D-751)"/>
        <s v="Asphalt Pavement Removal - 16-Inch Depth (Item P-101)"/>
        <s v="Topsoil (Obtained on Site or Removed from Stockpile) (Item T-905)"/>
        <s v="Existing Manhole/Inlet Adjustment to Grade (Section 312300)"/>
        <s v="Replace Existing Manhole Lid with Open Grated Lid (Section 312300)"/>
        <s v="No. 4 GND Conductor (Item L-108)"/>
        <s v="No. 2/0 AWG, 600-Volt Conductor (Item L-108)"/>
        <s v="2-Inch PVC in New Shoulder and Direct Buried (Item L-110)"/>
        <s v="2-Inch PVC in CLSM (Item L-110)"/>
        <s v="1-Inch GRSC (Item L-110)"/>
        <s v="Reinstall Elevated LED Taxiway Edge Light on PF Base Can, PF Extension, PF Flange Ring, and CF Transformer (Section 344300)"/>
        <s v="Reinstall LED Taxiway Centerline Light on PF Base Can, PF Extension, PF Flange Ring, and CF Transformer (Section 344300)"/>
        <s v="Install PF In-Pavement Taxiway Edge Light on PF Base Can, PF Extension, PF Flange Ring, and CF Transformer (Section 344300)"/>
        <s v="Adjust Existing Taxiway Centerline Light (Section 344301)"/>
        <s v="Sign B6-11 (Section 344302)"/>
        <s v="Construction Survey (Section 012200)"/>
        <s v="Abandon Existing Monitoring Well (Section 012200)"/>
        <s v="Trench Drain Protection (Section 015713)"/>
        <s v="Sediment Fence (Section 015713)"/>
        <s v="Building Demolition (Section 024113)"/>
        <s v="Building Slab and Foundation Removal (Section 024113)"/>
        <s v="Existing Landscape Removal (Section 024113)"/>
        <s v="Removal of Miscellaneous Site Structures (Section 024113)"/>
        <s v="Removal of Existing or Temporary Fence (Section 024113)"/>
        <s v="Asphalt Pavement Removal - 5-Inch Depth (Item P-101)"/>
        <s v="Separation Geotextile (Item P-152)"/>
        <s v="Controlled Low Strength Material (Item P-153)"/>
        <s v="Asphalt Mixture Base Course (Item P-403)"/>
        <s v="19-Inch Thick Concrete Pavement (Item P-501)"/>
        <s v="Surface Preparation - New or Existing Pavement Surfaces (Item P-620)"/>
        <s v="Temporary Marking (Item P-620)"/>
        <s v="12-Inch Slide Gate (Item D-701)"/>
        <s v="15-Inch Slide Gate (Item D-701)"/>
        <s v="30-Inch Slide Gate (Item D-701)"/>
        <s v="48-Inch Diameter Manhole (Item D-751)"/>
        <s v="84-Inch Diameter Manhole (Item D-751)"/>
        <s v="Trench Drain (Item D-751)"/>
        <s v="Provide Temporary Power During Construction Inside the 480V Power Center (Section 260500)"/>
        <s v="Re-feed Loads Inside 480V Power Center (Section 260500)"/>
        <s v="Install Handholes for Power and Communications (Section 260500)"/>
        <s v="Install Underground Power Conductors for Apron Lights and Communications (Section 260500)"/>
        <s v="Install Gate Valve and Lighting Controls (Section 260500)"/>
        <s v="Demolition of Existing Electrical Equipment on Work Site (Section 260500)"/>
        <s v="Grounding and Bonding for Electrical Systems (Section 260526)"/>
        <s v="Underground Ducts and Raceways for Electrical Systems (Section 260543)"/>
        <s v="Remove and Replace Existing 9KVA Transformer (Section 262200)"/>
        <s v="Remove and Replace Existing 480V Distribution Panel (Section 262400)"/>
        <s v="Install Apron Lighting (Section 265623)"/>
        <s v="Telecommunications Identification (Section 270553)"/>
        <s v="Structured Cabling (Section 271000)"/>
        <s v="Video Surveillance (Section 282300)"/>
        <s v="Rotate Existing Manhole Lid (Section 312300)"/>
        <s v="Cast-in-Place Concrete Curb (Section 321613)"/>
        <s v="Concrete Utility Hub Pavement - 4-Inch (Section 321613)"/>
        <s v="7-Foot Chain Link Fance with Barbed Wire (Section 323113)"/>
        <s v="10-Foot Chain Link Fence with Slats and Barbed Wire (Section 323113)"/>
        <s v="Irrigation Replacement (Section 328400)"/>
        <s v="Ground Cover Planting (Section 329300)"/>
        <s v="8-Inch Fire Water Line (Section 331116)"/>
        <s v="8-Inch Gate Valve (Section 331116)"/>
        <s v="Underground Fire Hydrant (Section 331116)"/>
        <s v="Pipe Bollards (Section 347113)"/>
        <s v="Sweeper (Section012200)"/>
        <s v="WorkZoneandTrafficControl (Section012200)"/>
        <s v="Escort (Section012200)"/>
        <s v="3'HighBlueReflectiveMarkers (Section012200)"/>
        <s v="TemporaryStreamBypass(Section012200)"/>
        <s v="SettlementPlates (Section012200)"/>
        <s v="PlasticMeshFence (Section015713)"/>
        <s v="InletProtection (Section015713)"/>
        <s v="Wattles (Section015713)"/>
        <s v="JetBlastControlMaterial (Section015713)"/>
        <s v="DitchProtection/CheckDams (Section015713)"/>
        <s v="ConstructionEntrance (Section015713)"/>
        <s v="JuteMatting (Section015713)"/>
        <s v="InstallationandRemovalofSiltFence (ItemC-102)"/>
        <s v="Mobilization (ItemC-105)"/>
        <s v="AsphaltPavementRemoval-2.5-InchDepth (ItemP-101)"/>
        <s v="AsphaltPavementRemoval-4-InchDepth (ItemP-101)"/>
        <s v="AsphaltPavementRemoval-6-8-InchDepth (ItemP-101)"/>
        <s v="ColdMilling-0.5InchDepth (ItemP-101)"/>
        <s v="ColdMilling-VariableDepth(Transitional)(ItemP-101)"/>
        <s v="RemovalofPipeandOtherBuriedStructures (ItemP-101)"/>
        <s v="EmbankmentinPlace (ItemP-152)"/>
        <s v="MechanicalStabilization (ItemP-152)"/>
        <s v="ExistingSubgradeStabilzation (ItemP-152)"/>
        <s v="UnsuitableExcavation (ItemP-152)"/>
        <s v="ControlledLow-StrengthMaterial(CLSM) (ItemP-153)"/>
        <s v="SubbaseCourse (ItemP-154)"/>
        <s v="CrushedAggregateBaseCourse (ItemP-209)"/>
        <s v="SeparationGeotextile (ItemP-209)"/>
        <s v="AsphaltSurfaceCourse (ItemP-401)"/>
        <s v="AsphaltMixtureBaseandSurfaceCourse(ItemP-403)"/>
        <s v="EmulsifiedAsphaltTackCoat (ItemP-603)"/>
        <s v="JointSealingFiller(ItemP-605)"/>
        <s v="AdhesiveCompound (ItemP-606)"/>
        <s v="Concrete(ItemP-610)"/>
        <s v="SurfacePreparation-NewPavementSurface (ItemP-620)"/>
        <s v="SurfacePreparation-RemoveExistingMarkings (ItemP-620)"/>
        <s v="Marking (ItemP-620)"/>
        <s v="ReflectiveMedia (ItemP-620)"/>
        <s v="TemporaryRunwayandTaxiwayMarking (ItemP-620)"/>
        <s v="6-inchSTS (ItemD-701)"/>
        <s v="12-inchSTS (ItemD-701)"/>
        <s v="24-inchSTS (ItemD-701)"/>
        <s v="14-inchClass50DuctileIronPipeCulvert(ItemD-701)"/>
        <s v="18-inchClass50DuctileIronPipeCulvert (ItemD-701)"/>
        <s v="8'HX14'WCulvert (ItemD-701)"/>
        <s v="6-InchPipeUnderdrains (ItemD-705)"/>
        <s v="Manholes (ItemD-751)"/>
        <s v="CatchBasins (ItemD-751)"/>
        <s v="UnclassifiedExcavationforStructures (ItemD-752)"/>
        <s v="StructuralConcrete (ItemD-752)"/>
        <s v="ReinforcingSteel (ItemD-752)"/>
        <s v="Seeding(ItemT-901)"/>
        <s v="Topsoil(ObtainedOnStieorRemovedfromStockpile) (ItemT-905)"/>
        <s v="Topsoil(FurnishedfromOfftheSite) (ItemT-905)"/>
        <s v="ContaminatedMaterialExcavationandDisposal(Section026100)"/>
        <s v="ExistingManholeAdjustmenttoGrade-MinorAdjustment (Section312300)"/>
        <s v="ExistingManholeAdjustmenttoGrade-MajorAdjustment (Section312300)"/>
        <s v="ExistingManholeAdjustmenttoGrade-Cleanout (Section312300)"/>
        <s v="ExistingElectricalVaultAdjustmenttoGrade(Section312300)"/>
        <s v="CleanoutStructures (Section330516)"/>
        <s v="Boulders (Section354000)"/>
        <s v="StreambedCobble (Section354000)"/>
        <s v="StreambedSediment (Section354000)"/>
        <s v="RiprapOutfall (Section354000)"/>
        <s v="GradeControlStructures (Section354000)"/>
        <s v="No.8AWG,5kV,L-824,TypeCCableInstalledinTrench,DuctBank,orConduit(ItemL-108)"/>
        <s v="No.6AWG,Solid,BareCounterpoiseWire,InstalledAbovetheDuctBankorConduit,IncludingConnections/Terminations(ItemL-108)"/>
        <s v="GroundRodforCounterpoise (ItemL-108)"/>
        <s v="2-InchPVCinGrassorinNewACshoulder(ItemL-110)"/>
        <s v="2-InchPVCinNewACStructuralPavement(ItemL-110)"/>
        <s v="GeneralElectricalRemoval (Section260500)"/>
        <s v="TemporaryCircuitConnection (Section260500)"/>
        <s v="TemporaryThresholdSetUpandCircuitConnection (Section260500)"/>
        <s v="FAAMALSRandThresholdBarLights(Section260500)"/>
        <s v="InstallPFConstantCurrentRegulator (Section260500)"/>
        <s v="InstallPFLEDRunwayEdgeLightwithPFBaseCan,CFTransformerinNewACPShoulder (Section344300)"/>
        <s v="InstallPFLEDElevatedRunwayEnd/ThresholdLightwithPFBaseCan,CFTransformerinNewACPShoulder (Section344300)"/>
        <s v="InstallPFLEDElevatedRunwayGuardLightwithPFBaseCan,CFTransformerinNewACPShoulder(Section344300)"/>
        <s v="InstallPFTaxiwayEdgeLightwithPFBaseCan,CFTransformerinNewACPShoulder(Section344300)"/>
        <s v="InstallPF12&quot;Diameter,24&quot;DeepBaseCanwithPFCoverinNewACPShoulder (Section344300)"/>
        <s v="InstallPFElevatedTaxiwayEdgeLightonExistingBaseCanwithCFTransformer (Section344300)"/>
        <s v="AdjustExistingRunway/TaxiwayElevatedEdgeLightwithCFTransformer (Section344301)"/>
        <s v="Sign13R-1 (Section344302)"/>
        <s v="SignA-1 (Section344302)"/>
        <s v="Temporary Erosion and Sediment Control"/>
        <s v="Kennedy Feeder Point-of-Service Access Pad"/>
        <s v="Kennedy Feeder Pad-Mount Switch"/>
        <s v="Aircraft-Rated Electrical Vaults"/>
        <s v="H-20 Traffic-Rated Electrical Vaults"/>
        <s v="Two 6-Inch Conduits by Directional Drilling Method"/>
        <s v="Electrical Feeder Conductor Assembly"/>
        <s v="Electrical Feeder Installation in Vaults"/>
        <s v="Electrical Feeder Conductor Termination and Testing"/>
        <s v="Project Traffic Control"/>
        <s v="Ditch Protection"/>
        <s v="Asphalt Sawcut"/>
        <s v="Curb Removal"/>
        <s v="Asphalt Grinding Removal and Disposal"/>
        <s v="Embankment"/>
        <s v="Encasement Over Existing Waterlin"/>
        <s v="Remove and Reinstall 12-Inch Ductile Iron Pipe"/>
        <s v="Electrical Bedding Material"/>
        <s v="12-Inch Ductile Iron Sewer Pipe"/>
        <s v="Connection to Existing Utility"/>
        <s v="Catch Basin"/>
        <s v="Standard 8-Inch Concrete Curb"/>
        <s v="Monolithic Curb and Sidewalk"/>
        <s v="Blackout and Temporary Pavement Marking"/>
        <s v="Signage"/>
        <s v="Fence Fabric Removal"/>
        <s v="6-Foot Chain-Link Slatted Fence Fabric"/>
        <s v="Electrical"/>
        <s v="Level 3, 3/4-Inch Dense HMAC"/>
        <s v="Bollards"/>
        <s v="Cold Millling - 3-Inch Depth (Item P-101)"/>
        <s v="Cold Milling - 6-Inch Depth (Item P-101)"/>
        <s v="Surface Preparation - Remarking (Item P-620)"/>
        <s v="Surface Preparation - Remove Existing Marking (Item P-620)"/>
        <s v="Temporary Runway and Taxiway Makrings (Item P-620)"/>
        <s v="No. 8 AWG, 5kV, L-824, Type C Cable (Item L-108)"/>
        <s v="Counterpoise Ground Rod (Item L-108)"/>
        <s v="2-Inch PVC encased in P-610 in Existing AC (Item L-110)"/>
        <s v="Reinstall Taxiway Centerline Light on CF Base Can, CF Extenstion, CF Flange Ring, and CF Transformer (Section 344300)"/>
        <s v="Reinstall Taxiway Centerline Light on Existing Base Can with CF Transformer (Section 344300)"/>
        <s v="Reinstall Taxiway Edge Light on Existing Base Can with Existing Transformer (Section 344300)"/>
        <s v="Traffic Control"/>
        <s v="Tree and Plant Protection"/>
        <s v="Surfacings Removal"/>
        <s v="PVC Conduit (Power) - 6 Inch"/>
        <s v="PVC Conduit (Power) - 4 Inch"/>
        <s v="PVC Conduit (Power) - 3 Inch"/>
        <s v="PVC Conduit (Power) - 2 Inch"/>
        <s v="XHHW Conductor - #3 AWG (Power)"/>
        <s v="XHHW Conductor - #6 AWG (Power)"/>
        <s v="XHHW Conductor - #8 AWG (Power)"/>
        <s v="XHHW Conductor - #10 AWG (Power)"/>
        <s v="XHHW Conductor - #12 AWG (Power)"/>
        <s v="Electric Utility Meter Base - 200A Direct"/>
        <s v="Metered Switchgear Installation"/>
        <s v="Vault (Power) - 712-SWITCH-PCORP"/>
        <s v="Vault (Power) - 575-TRANS-PCORP"/>
        <s v="Vault (Power) - 575-PCORP"/>
        <s v="Vault (Power) - 776-TRANS-PCORP"/>
        <s v="Vault (Power) - 776-TRANS-PCORP (Traffic Rated)"/>
        <s v="PVC Conduit (Comm) - 4 Inch"/>
        <s v="HDPE Interduct (Comm) - 1 1/4&quot;"/>
        <s v="Vault (Comm) - 444-LA"/>
        <s v="Vault (Comm) - 444-LA (Traffic Rated)"/>
        <s v="Demarcation Panel with Receptacles, Heater, and T-Stat"/>
        <s v="H-Frame Support"/>
        <s v="Mini-Power Zone (10 KVA)"/>
        <s v="Panelboard - 480Y/277V, 100A, 3-Phase, NEMA 3R"/>
        <s v="Panelboard - 240/120V, 100A, 1-Phase, NEMA 3R"/>
        <s v="Electrical Demo (Existing ORANG)"/>
        <s v="Trench Excavation"/>
        <s v="Trenchless Installation"/>
        <s v="Bedding and Pipe Zone Material"/>
        <s v="Crack Seal"/>
        <s v="Reinforced Concrete Pad"/>
        <s v="Cast-In-Place Concrete Curb"/>
        <s v="Concrete Sidewalk"/>
        <s v="One-Year Landscape Maintenance"/>
        <s v="Mulch"/>
        <s v="Irrigation Replacement"/>
        <s v="3-Inch DR9 Pex Water Pipe"/>
        <s v="4-Inch DIP Water Pipe"/>
        <s v="12-Inch DIP Water Pipe"/>
        <s v="16-Inch DIP Water Pipe"/>
        <s v="4-Inch Reduced Pressure Backflow Assembly and Enclosure"/>
        <s v="16-Inch Reduced Pressure Detector Assembly and Enclosure"/>
        <s v="3-Inch Gate Valve"/>
        <s v="8-Inch Gate Valve"/>
        <s v="16-Inch Butterfly Valve"/>
        <s v="2-Inch Water Meter"/>
        <s v="2-Inch Air Release Valve Assembly"/>
        <s v="Central Water Meter Vault and Manifold"/>
        <s v="Landside Utility Disconnections"/>
        <s v="Airfield Fire Water Disconnection"/>
        <s v="Fire Hydrant Assembly"/>
        <s v="Manhole and Catch Basin Adjustment"/>
        <s v="Building Removal and Backfill"/>
        <s v="Concrete Winch House Removal and Backfill"/>
        <s v="Water Well Decommission"/>
        <s v="Concrete Removal and Backfill"/>
        <s v="Aggregate Removal and Disposal"/>
        <s v="Septic Tank and Drain Field Removal"/>
        <s v="Utility Removal, Relocation, and Backfill"/>
        <s v="Miscellaneous Removals and Backfill"/>
        <s v="Fill Material, Top Soil"/>
        <s v="Loose Riprap, Class 50"/>
        <s v="Lead Paint Chip Removal"/>
        <s v="Pavement Markings (Item P-620)"/>
        <s v="Temporary Pavement Markings (Item P-620)"/>
        <s v="Slurry Seal (Item P-626)"/>
        <s v="Asphalt Pavement Removal - 2-3 Inch Depth (Section 320117)"/>
        <s v="Asphalt Concrete Surface Course (Section 320117)"/>
        <s v="Crack Repair (Section 320118)"/>
        <s v="Install PF LED Elevated Runway End/Threshold Light on Existing Base Can with PF Transformer (Section 344300)"/>
        <s v="Install PF LED Elevated Runway Edge Light on Existing Base Can with PF Transformer (Section 344300)"/>
        <s v="Install PF LED In-Pavement Runway Edge Light on Existing Base Can with PF Transformer (Section 344300)"/>
        <s v="Install PF Cover Plate on Existing Base Can with PF Bolts (Section 344300)"/>
        <s v="Install PF Taxiway Edge Reflector (Section 344300)"/>
        <s v="Sign A1-1 (Section 344302)"/>
        <s v="Sign A7-2 (Section 344302)"/>
        <s v="Sign A8-1 (Section 344302)"/>
        <s v="Sign A8-2 (Section 344302)"/>
        <s v="Sign B1-1 (Section 344302)"/>
        <s v="Sign B7-1 (Section 344302)"/>
        <s v="Sign B8-1 (Section 344302)"/>
        <s v="Sign UL-1 Section 344302)"/>
        <s v="Sign UL-2 (Section 344302)"/>
        <s v="Barge and Access Equipment"/>
        <s v="Containment"/>
        <s v="Hollow Core Deck Panel Replacement"/>
        <s v="Deck Crack Repair"/>
        <s v="Soffit and Vertical Crack Repair"/>
        <s v="Deck Delamination and Spall Repair"/>
        <s v="Deck Delamination and Spall Repair with Anodes"/>
        <s v="Soffit and Vertical Face Delamination and Spall Repair"/>
        <s v="Soffit and Vertical Face Delamination and Spall Repair with Anodes"/>
        <s v="Pile Spall Repair"/>
        <s v="Pile Crack Repair"/>
        <s v="Joint Repair"/>
        <s v="Joint Repair at Panel Step"/>
        <s v="Deck Surface Repair"/>
        <s v="Deck Surface Repair with Cathodic Protection"/>
        <s v="Deck Topping Replacement"/>
        <s v="Deck Topping Repair"/>
        <s v="Fender Panel Rehabilitation"/>
        <s v="Trestle Cross-Brace Rehabilitation"/>
        <s v="Remove and Replace Embedded Anodes"/>
        <s v="Metalizing Repairs"/>
        <s v="Metalizing System at Edge Beams"/>
        <s v="Remove and Replace Compression Seal"/>
        <s v="Concrete Pad Demolition and Repair"/>
        <s v="Install Handholes for Power (Section 260500)"/>
        <s v="Asphalt Pavement Removal - 3-5 Inch Depth (Item P-101)"/>
        <s v="Asphalt Pavement Removal - 8 Inch Depth (Item P-101)"/>
        <s v="19-Inch-Thick Concrete Pavement (Item P-501)"/>
        <s v="Cold Milling - 2- to 4-Inch Depth (Item P-101)"/>
        <s v="Existing Subgrade Stabilzation (Item P-152)"/>
        <s v="Surface Preparation - Existing Pavement Surface (Item P-620)"/>
        <s v="Separation Geotextile (Item P-209)"/>
        <s v="Asphalt Mixture Base and Surface Course (Item P-403)"/>
        <s v="Reinstall In-Pavement Taxiway Centerline Light on Existing Base Can with Existing Transformer (Section 344300)"/>
        <s v="Reinstall In-Pavement Stop Bar Light on Existing Base Can with Existing Transformer (Section 344300)"/>
        <s v="Adjust Existing Taxiway Centerline Light to New Finish Elevation (Section 344301)"/>
        <s v="Surface Preparation - Marking Removal (Item P-620)"/>
        <s v="Manholes (Item D-751)"/>
        <s v="Existing Manhole Adjustment to Grade - Minor Adjustment (Section 312300)"/>
        <s v="Existing Manhole Adjustment - Cleanout (Section 312300)"/>
        <s v="No. 8 AWG, 5kV, L-824, Type C Cable Installed in Trench, Duct Bank or Conduit (Item L-108)"/>
        <s v="No. 6 AWG, Solid, Bare Copper Counterpoise Wire, Installed above the Duct Bank or Conduit, Including Connections/Terminations (Item L-108)"/>
        <s v="No. 10 AWG, 600V, Cable Installed in Conduit (Item L-108)"/>
        <s v="2-Inch PVC Encased in CLSM in New AC (Item L-110)"/>
        <s v="1.5-Inch GRSC Encased in P-610 in Existing AC (Item L-110)"/>
        <s v="1-Inch GRSC Encased in P-610 in Existing AC (Item L-110)"/>
        <s v="Reinstall Elevated Taxiway Edge Light on Existing Base Can with PF Transformer (Section 344300)"/>
        <s v="Reinstall Elevated Runway End Light on Existing Base Can with PF Transformer (Section 344300)"/>
        <s v="Reinstall In-Pavement Taxiway Edge Light on Existing Base Can with PF Transformer (Section 344300)"/>
        <s v="Reinstall Taxiway Centerline Light on Existing Base Can with PF Transformer (Section 344300)"/>
        <s v="Reinstall Taxiway Centerline Light on PF Base Can, PF Extension, PF Flange Ring, and PF Transformer (Section 344300)"/>
        <s v="Adjust Existing Runway Edge Light to New Finish Elevation (Section 344301)"/>
        <s v="Adjust Existing Taxiway Edge Light to New Finish Elevation (Section 344301)"/>
        <s v="Adjust Existing Base Can to New Finish Elevation (Section 344301)"/>
        <s v="Sign CE-10 (Section 344302)"/>
        <s v="Sweeper Section (012200)"/>
        <s v="Surface Prep - Existing Pavement (Item P-620)"/>
        <s v="Surface Prep - Marking Removal (Item P-620)"/>
        <s v="Asphalt Pavement Removal (Item P-101)"/>
        <s v="Markings (Item P-620)"/>
        <s v="Remove Bollard - Embedded (Section 024113)"/>
        <s v="Relocate Storage Shelter (Section 024113)"/>
        <s v="Remove Bollard - Bolt Down (Section 024113)"/>
        <s v="Cable Retrievers (Section 111100)"/>
        <s v="Precast Concrete Wheel Stop (Section 347115)"/>
        <s v="Bollard - Bolt Down (Section 347115)"/>
        <s v="Remove Electrical Chargers (Section 024113)"/>
        <s v="Guard Rail (Section 347115)"/>
        <s v="Electrical Feeds to Enclosed Circuit Breakers (2.5&quot; Conduit) (Section 260500)"/>
        <s v="Electrical Feeds to Enclosed Circuit Breakers (3/4&quot; Conduit) (Section 260500)"/>
        <s v="Electrical Equipment Rack - Load Share Connected (Section 260500)"/>
        <s v="Electrical Equipment Rack - Panel Connected (Section 260500)"/>
        <s v="Electrical Feeds to Panels (Existing 3.5&quot; Conduit) (Section 260500)"/>
        <s v="Electrical Charging Units (Primary Units) (Section 263343)"/>
        <s v="Training (Section 260500)"/>
        <s v="Electrical Charging Units (Secondary Units) (Section 263343)"/>
        <s v="New Electrical Panels, 800A (Section 260500)"/>
        <s v="Network Termination Enclosure (Section 271000)"/>
        <s v="Data Equipment Rack &amp; Data Connections 1&quot; Conduit (Section 271000)"/>
        <s v="Data Drop to Each Enclosure and Chargers (Section 271000)"/>
        <s v="3-5 Inch Cold Milling (Item P-101)"/>
        <s v="Work Zone Traffic Control (Section 012200)"/>
        <s v="Inlet Protection (Item C-102)"/>
        <s v="Permanent Pavement Marking (Item P-620)"/>
        <s v="Pavement Removal (Full Depth Asphalt Concrete, 4-17.5 Inches) (Item P-101)"/>
        <s v="Temporary Pavement Marking (Item P-620)"/>
        <s v="No. 8 AWG, 5kV, L-824, Type C Cable, Installed in Trench, Duct Bank or Conduit (Item L-108)"/>
        <s v="Install Elevated Taxiway Edge Light on Existing Base Can with PF Transformer (Section 344300)"/>
        <s v="Surface Preparation (Item P-620)"/>
        <s v="STS Drain Pipe (18-inch) (Item D-701)"/>
        <s v="STS Drain Pipe (24-inch) (Item D-701)"/>
        <s v="Perforated Underdrain Pipe (6-inch) (Item D-705)"/>
        <s v="Non-Perforated Underdrain Pipe (6-inch) (Item D-705)"/>
        <s v="60-Inch Manholes (Item D-751)"/>
        <s v="Underdrain Cleanout (Item D-751)"/>
        <s v="Connect to Existing Catch Basin/Manhole (Item D-751)"/>
        <s v="60-Inch Manhole Catch Basin (Item D-751)"/>
        <s v="Topsoil (Obtained on Site or Removed from Stockpile) (3&quot;) (Item T-905)"/>
        <s v="No. 12 AWG, 600V, Cable, Installed in Conduit (Item L-108)"/>
        <s v="No. 6 AWG, Solid, Bare Counterpoise Wire, Installed in Trench, Above the Duct Bank or Conduit, Including Connections/Terminations (Item L-108)"/>
        <s v="Counterpoise Ground Rod, 10-Ft Long (Item L-108)"/>
        <s v="2-Inch PVC Encased in Concrete in new Structural AC (Item L-110)"/>
        <s v="2-Inch PVC in Existing Structural AC (Item L-110)"/>
        <s v="2-Inch PVC under New AC Shoulder (Item L-110)"/>
        <s v="1.5-Inch IMC under New AC Shoulder (Item L-110)"/>
        <s v="General Electrical Removal (Section 265000)"/>
        <s v="Temporary Circuit Connection (Section 265000)"/>
        <s v="Install Elevated Runway Guard Light on Existing Base Can with PF Transformer (Section 344300)"/>
        <s v="Install Elevated Red Stop Bar Light on Existing Base Can with PF Transformer (Section 344300)"/>
        <s v="Install Taxiway Centerline Light on PF Base Can, PF Extension, PF Flange Ring, and CF Transformer (Section 344300)"/>
        <s v="Install Taxiway Edge Light on PF Base Can, PF Extension, PF Flange Ring, and CF Transformer (Section 344300)"/>
        <s v="Install Elevated Runway Guard Light on PF Base Can, PF Extension, PF Flange Ring, and CF Transformer (Section 344300)"/>
        <s v="Install Elevated Red Stop Bar Light on PF Base Can, PF Extension, PF Flange Ring, and CF Transformer (Section 344300)"/>
        <s v="Install In-Pavement Runway Guard/Stop Bar Light on PF Base Can, PF Extension, PF Flange Ring and CF Transformer (Section 344300)"/>
        <s v="Install PF Base Can, PF Extension, PF Flange Ring and PF Cover Plate (Section 344300)"/>
        <s v="Adjust Existing In-Pavement Runway Guard/Stop Bar Light to New Finish Elevation (Section 344301)"/>
        <s v="Sign A5-1 (Section 344302)"/>
        <s v="Sign A5-6 (Section 344302)"/>
        <s v="Sign A5-7 (Section 344302)"/>
        <s v="Sign A5-8 (Section 344302)"/>
        <s v="Sign A5-9 (Section 344302)"/>
        <s v="Sign A6-2 (Section 344302)"/>
        <s v="Sign A6-3 (Section 344302)"/>
        <s v="Sign A6-9 (Section 344302)"/>
        <s v="Sign A6-10 (Section 344302)"/>
        <s v="Sign A6-11 (Section 344302)"/>
        <s v="Sign A6-12 (Section 344302)"/>
        <s v="Cold Milling 3-Inch Depth (Item P-101)"/>
        <s v="Contaminated Material Excavation and Disposal - Wasco Landfill (Section 026100)"/>
        <s v="Full-Depth Asphalt Pavement Removal - 10 to 19 Inches) (Item P-101)"/>
        <s v="Cold Milling Variable to 10-Inch Depth (Item P-101)"/>
        <s v="Cold Milling Surface Preparation (Item P-101)"/>
        <s v="12-Inch Storm Sewer Pipe (Item D-701)"/>
        <s v="15-Inch Storm Sewer Pipe (Item D-701)"/>
        <s v="18-Inch Storm Sewer Pipe (Item D-701)"/>
        <s v="6-Inch Perforated Storm Sewer Pipe (Item D-705)"/>
        <s v="6-Inch Non-Perforated Pipe (Item D-705)"/>
        <s v="48-Inch Manholes (Item D-751)"/>
        <s v="Topsoil (Furnished from Off the Site) (Item T-905)"/>
        <s v="2-Inch PVC Direct Buried in Grass or under New AC Shoulder (Item L-110)"/>
        <s v="Install Elevated Runway Guard Light on Existing Base Can with CF Transformer (Section 344300)"/>
        <s v="Install Elevated Red Stop Bar Light on Existing Base Can with CF Transformer (Section 344300)"/>
        <s v="Install In-Pavement Runway Guard Light on Existing Base Can with CF Transformer (Section 344300)"/>
        <s v="Install In-Pavement Runway Guard/Stop Bar Light on Existing Base Can with CF Transformer (Section 344300)"/>
        <s v="Install Taxiway Centerline Light on PF Base Can, PF Extension, PF Flange Ring and CF Transformer (Section 344300)"/>
        <s v="Install Taxiway Edge Light on PF Base Can, PF Extension, PF Flange Ring and CF Transformer (Section 344300)"/>
        <s v="Install PF Elevated Taxiway Edge Light on PF Base Can, PF Extension, PF Flange Ring and CF Transformer in Existing AC (Section 344300)"/>
        <s v="Sign A6-7 (Section 344302)"/>
        <s v="Sign EA-15 (Section 344302)"/>
        <s v="Sign T-5 (Section 344302)"/>
        <n v="0"/>
        <s v="Runway and High Speed Exit Taxiway Friction Testing (Item P-608)"/>
        <s v="Erosion and Sediment Control (Section 012200)"/>
        <s v="Dewatering (Section 012200)"/>
        <s v="Contaminated Soil Handling and Management (Section 012200)"/>
        <s v="Temporary Sewage Bypassing (Section 012200)"/>
        <s v="Removal, Haul, and Disposal of Demolition Debris (Section 012200)"/>
        <s v="B6 Wet Well (SSLS 950) Mechanical Rehabilitation (Section 012200)"/>
        <s v="D9 Wet Well (SSLS 953) Mechanical Rehabilitation (Section 012200)"/>
        <s v="B6 Valve Vault (SSVLT 1202) Mechanical Rehabilitation (Section 012200)"/>
        <s v="D9 Valve Vault (STSVLT 863) Mechanical Rehabilitation (Section 012200)"/>
        <s v="B6 Replacement of Existing Lids and Hatches (Section 012200)"/>
        <s v="D9 Replacement of Existing Lids and Hatches (Section 012200)"/>
        <s v="B6 Wet Well (SSLS 950) Concrete Repair (Section 012200)"/>
        <s v="D9 Wet Well (SSLS 953) Concrete Repair (Section 012200)"/>
        <s v="B6 Valve Vault (SSVLT 1202) Concrete Repair (Section 012200)"/>
        <s v="D9 Valve Vault (STSVLT 863) Concrete Repair (Section 012200)"/>
        <s v="B6 Electrical (Section 012200)"/>
        <s v="D9 Electrical (Section 012200)"/>
        <s v="B6 Temporary Airfield Lighting Circuit Connection (Section 012200)"/>
        <s v="PCC Pavement Removal - 16 Inch Depth (Item P-101)"/>
        <s v="Asphalt Pavement Removal - 6 Inch Depth (Item P-101)"/>
        <s v="Subgrade Stabilzation (Item P-152)"/>
        <s v="Lean Concrete Base Course (Item P-306)"/>
        <s v="Asphalt Mixture Surface Course (Item P-403)"/>
        <s v="Concrete Pavement (Item P-501)"/>
        <s v="General Demolition"/>
        <s v="Pavement Removal and Disposal, 9-Inch Depth"/>
        <s v="Cold Plane Pavement Removal and Disposal, 3-Inch Depth"/>
        <s v="Signal Modification"/>
        <s v="Lighting"/>
        <s v="Site Preparation"/>
        <s v="Subgrade Preparation"/>
        <s v="Level 3, 1/2-Inch-Dense HMAC"/>
        <s v="Geotextile Fabric"/>
        <s v="Tack Coat"/>
        <s v="Valley Gutter"/>
        <s v="Concrete Curb"/>
        <s v="Concrete Walks"/>
        <s v="Clearing and Seeding"/>
        <s v="Storm Culvert"/>
        <s v="Clearing and Grubbing (Sections 012200 and 312000)"/>
        <s v="Temporary Erosion and Sediment Control Measures (Sections 012200 and 015713)"/>
        <s v="General Demolition (Sections 012200 and 024113)"/>
        <s v="Pavement Removal and Disposal, 6-inch Depth (Sections 012200 and 024113)"/>
        <s v="Contaminated Soil Removal and Haul (Sections 012200 and 026100)"/>
        <s v="Unsuitable Excavation and Disposal (Sections 012200 and 312300)"/>
        <s v="Trench Stabilization (Sections 012200 and 312300)"/>
        <s v="Embankment, Ditch (Sections 012200 and 312000)"/>
        <s v="Repair Existing ARFF Cap (Sections 012200 and 312300)"/>
        <s v="Site Preparation (Sections 012200 and 320117)"/>
        <s v="Aggregate Base Course (Sections 012200 and 321123)"/>
        <s v="Asphalt Concrete Pavement (Sections 012200 and 321200)"/>
        <s v="Portland Cement Concrete Pavement (10-Inch Thick) (Sections 012200 and 321300)"/>
        <s v="Seeding (Sections 012200 and 329219)"/>
        <s v="Fill Material, Topsoil (Sections 012200, 312000, and 329113)"/>
        <s v="8-Inch STS (Sections 012200 and 334100)"/>
        <s v="12-Inch STS (Sections 012200 and 334100)"/>
        <s v="18-Inch STS (Sections 012200 and 334100)"/>
        <s v="36-Inch STS (Sections 012200 and 334100)"/>
        <s v="48-Inch STS (Sections 012200 and 334100)"/>
        <s v="Connection to Existing Drainage Structure (Sections 012200 and 334100)"/>
        <s v="Abandon and Plug Storm Pipe (Sections 012200 and 334100)"/>
        <s v="Abandon Existing Structure (Sections 012200 and 334100)"/>
        <s v="Catch Basins/Inlets (Sections 012200 and 334100)"/>
        <s v="48-Inch Manhole (Sections 012200 and 334100)"/>
        <s v="72-Inch Manhole (Sections 012200 and 334100)"/>
        <s v="120-Inch Manhole (Sections 012200 and 334100)"/>
        <s v="Extra Manhole Depth (48-Inch) (Sections 012200 and 334100)"/>
        <s v="Extra Manhole Depth (72-Inch) (Sections 012200 and 334100)"/>
        <s v="Extra Manhole Depth (120-Inch) (Sections 012200 and 334100)"/>
        <s v="PCC Spall Panel Repair, 0-1 SF (Section 012200)"/>
        <s v="PCC Spall Panel Repair, 1-5 SF (Section 012200)"/>
        <s v="PCC Spall Panel Repair, 5-15 SF (Section 012200)"/>
        <s v="PCC Crack Repair, Original (Section 012200)"/>
        <s v="PCC Crack Repair, Renewal (Section 012200)"/>
        <s v="Concrete to Concrete Joint Seal (Silicone) (Item P-605)"/>
        <s v="Concrete to Asphalt Joint Seal (Item P-605)"/>
      </sharedItems>
    </cacheField>
    <cacheField name="item" numFmtId="0">
      <sharedItems count="684">
        <s v="UNCLASSIFIED - Mobilization, Surveying, Cleanup, and Demobilization"/>
        <s v="UNCLASSIFIED - Work Zone Traffic Control"/>
        <s v="UNCLASSIFIED - Temporary Erosion, Sediment, and Pollution Control"/>
        <s v="UNCLASSIFIED - Site Demolition"/>
        <s v="UNCLASSIFIED - Clearing and Grubbing"/>
        <s v="UNCLASSIFIED - Trench Excavation and General Native Backfill"/>
        <s v="UNCLASSIFIED - Trench Excavation and Select Native Backfill"/>
        <s v="UNCLASSIFIED - Trench Excavation and Select Backfill"/>
        <s v="UNCLASSIFIED - Offsite Haul and Disposal"/>
        <s v="UNCLASSIFIED - Contaminated Soil Sediment Excavation and Disposal"/>
        <s v="UNCLASSIFIED - Shoring"/>
        <s v="UNCLASSIFIED - Pipe Zone and Bedding Material"/>
        <s v="UNCLASSIFIED - Trench Stabilization"/>
        <s v="UNCLASSIFIED - Dewatering"/>
        <s v="UNCLASSIFIED - Sewer Pipe"/>
        <s v="UNCLASSIFIED - Manhole"/>
        <s v="UNCLASSIFIED - Subdrains"/>
        <s v="UNCLASSIFIED - Inlet (Type PB)"/>
        <s v="UNCLASSIFIED - McBride Slough Intake Structure"/>
        <s v="UNCLASSIFIED - Columbia Slough Outfall Structure"/>
        <s v="UNCLASSIFIED - Modified Concrete Curb and Gutter"/>
        <s v="UNCLASSIFIED - Sidewalk"/>
        <s v="UNCLASSIFIED - Aggregate Base Course"/>
        <s v="UNCLASSIFIED - Portland Cement Concrete Pavement"/>
        <s v="UNCLASSIFIED - Pavement Marking"/>
        <s v="UNCLASSIFIED - Guard Rail Removal and Replacement"/>
        <s v="UNCLASSIFIED - Area Seeding"/>
        <s v="UNCLASSIFIED - Stormwater Flow Through Pollution Reduction Facility"/>
        <s v="UNCLASSIFIED - Landscape Restoration"/>
        <s v="012200 - Mobilization, Cleanup, and Demobilization"/>
        <s v="012200 - Sweeper"/>
        <s v="012200 - Security Control Monitoring"/>
        <s v="012200 - Work Zone and Traffic Control"/>
        <s v="012200 - Escort"/>
        <s v="012200 - Delineators"/>
        <s v="015713 - Construction Access"/>
        <s v="015713 - Inlet Protection"/>
        <s v="015713 - Jet Blast Control Material"/>
        <s v="UNCLASSIFIED - Construction Survey (Item GP-50)"/>
        <s v="P-101 - Joint and Crack Repair"/>
        <s v="P-101 - Asphalt Pavement Removal"/>
        <s v="P-101 - Cold Milling"/>
        <s v="P-156 - Silt Fence"/>
        <s v="P-401 - Hot Mix Asphalt (HMA) Bituminous Surface Course"/>
        <s v="UNCLASSIFIED - Borrow Excavation (P-152)"/>
        <s v="P-152 - Unsuitable Excavation"/>
        <s v="P-403 - Hot Mix Asphalt (HMA) Base Course"/>
        <s v="P-152 - Geotextile"/>
        <s v="P-603 - Bituminous Tack Coat"/>
        <s v="P-153 - Controlled Low - Strength Material (CLSM)"/>
        <s v="P-605 - Joint Sealing Filler"/>
        <s v="P-154 - Subbase Course"/>
        <s v="P-606 - Adhesive Compound"/>
        <s v="P-608 - Asphalt Surface Treatment"/>
        <s v="P-209 - Crushed Aggregate Base Course"/>
        <s v="P-608 - Runway Friction Testing"/>
        <s v="P-403 - Hot Mix Asphalt (HMA) Pavement Base Course"/>
        <s v="P-610 - Structural Portland Cement Concrete (PCC)"/>
        <s v="P-610 - Steel Reinforcement"/>
        <s v="P-620 - Runway Marking"/>
        <s v="P-620 - Reflective Media"/>
        <s v="P-620 - Phasing Pavement Marking"/>
        <s v="D-701 - STS Pipe"/>
        <s v="P-621 - Grooving"/>
        <s v="L-108 - No. 8 AWG 5kV Cable"/>
        <s v="L-108 - No. 6 AWG Solid Wire for Counterpoise"/>
        <s v="D-701 - RCP Pipe"/>
        <s v="L-108 - Heat Shrink for 5kV L-823 Primary Connector"/>
        <s v="L-108 - Ground Rod for Counterpoise"/>
        <s v="D-751 - Manhole, Type B"/>
        <s v="L-110 - IMC in Existing AC"/>
        <s v="D-751 - Manhole, Ditch Inlet"/>
        <s v="L-110 - PVC Direct Buried"/>
        <s v="D-751 - Manhole, Type A"/>
        <s v="L-110 - PVC in Existing AC"/>
        <s v="026100 - Contaminated Material Excavation and Disposal"/>
        <s v="260500 - General Electrical Removal"/>
        <s v="D-751 - Catch Basin"/>
        <s v="260500 - Temporary Circuit Connection"/>
        <s v="T-901 - Seeding"/>
        <s v="260553 - Diameter Brass Marker"/>
        <s v="312300 - Removal of Existing Storm Pipe, Manholes, and Inlets"/>
        <s v="312300 - Connection to Existing Storm Drainage System"/>
        <s v="344300 - Install PF LED Taxiway Centerline Light with PF Base Can, CF Transformer in New AC"/>
        <s v="312300 - Existing Manhole Adjustment to Grade"/>
        <s v="344300 - Install PF LED Taxiway Centerline Light on Existing Base Can with CF Isolation Transformer"/>
        <s v="312300 - Existing Catch Basin Adjustment to Grade"/>
        <s v="344300 - Install PF L-868, 12-Inch Diameter Base Can, PF Cover Plate in New AC"/>
        <s v="312300 - Adjustment of Existing Structures (H-20 Rated Vaults)"/>
        <s v="344300 - Install PF L-867, 12-Inch Diameter Base Can, PF Cover Plate in Existing AC"/>
        <s v="312300 - Adjustment of Existing Structures (229 Kip Rated Vaults)"/>
        <s v="344300 - Install PF Cover Plate on Existing Light Base"/>
        <s v="334100 - DIP (Force Main)"/>
        <s v="344301 - Adjust Existing Elevated Runway Threshold/Edge Light"/>
        <s v="344301 - Adjust Existing In-Pavement Runway Edge Light"/>
        <s v="334100 - Riprap"/>
        <s v="344302 - Sign E6-6"/>
        <s v="334213 - Pump Station"/>
        <s v="344302 - Sign E6-9"/>
        <s v="334213 - Pump Station Electrical Equipment Installation"/>
        <s v="344302 - Sign G-3"/>
        <s v="UNCLASSIFIED - #REF!"/>
        <s v="012200 - Wildlife Access Road, Asphalt Grindings"/>
        <s v="012200 - Traffic Control"/>
        <s v="015713 - Ditch Protection/Check Dams"/>
        <s v="015713 - Wattles"/>
        <s v="P-101 - PCC Pavement Removal"/>
        <s v="UNCLASSIFIED - Unclassified Excavation (P-152)"/>
        <s v="P-401 - Hot Mix Asphalt (HMA) Pavement"/>
        <s v="P-501 - Portland Cement Concrete (PCC) Pavement"/>
        <s v="P-602 - Bituminous Prime Coat"/>
        <s v="P-604 - Compression Joint Sealant"/>
        <s v="P-605 - Joint Sealant"/>
        <s v="P-620 - Pavement Marking"/>
        <s v="P-621 - Saw - Cut Grooving"/>
        <s v="D-705 - Perforated Pipe Underdrains"/>
        <s v="T-905 - Topsoiling"/>
        <s v="312300 - Existing Electrical Vault Adjustment to Grade"/>
        <s v="334100 - Ductile Iron (Force Main) Pipe"/>
        <s v="334213 - Stormwater Pump Station, Electrical Equipment Installation"/>
        <s v="334213 - Stormwater Valve Vault"/>
        <s v="344301 - Adjust Existing Elevated Runway Threshold Light"/>
        <s v="344301 - Adjust Existing In-Pavement Stop Bar Light"/>
        <s v="UNCLASSIFIED - Mobilization, Cleanup, and Demobilization"/>
        <s v="UNCLASSIFIED - Sweeper"/>
        <s v="UNCLASSIFIED - Security Control Monitoring"/>
        <s v="UNCLASSIFIED - Escort"/>
        <s v="UNCLASSIFIED - Construction Survey"/>
        <s v="UNCLASSIFIED - Sediment Fence"/>
        <s v="UNCLASSIFIED - Inlet Protection"/>
        <s v="UNCLASSIFIED - Stabilized Construction Entrance"/>
        <s v="UNCLASSIFIED - Pavement Removal"/>
        <s v="UNCLASSIFIED - Common Excavation"/>
        <s v="UNCLASSIFIED - Unsuitable Excavation and Disposal"/>
        <s v="UNCLASSIFIED - Contaminated Soil Excavation and Disposal"/>
        <s v="UNCLASSIFIED - Geotextile"/>
        <s v="UNCLASSIFIED - Removal of Existing Storm Pipe, Manholes, Pumps, Valves, Hangers, Vaults, and Brackets"/>
        <s v="UNCLASSIFIED - Removal of Existing Lid from Stormwater Treatment Vault"/>
        <s v="UNCLASSIFIED - Modifications to Existing Wet Well"/>
        <s v="UNCLASSIFIED - Adjustment of Existing Structures (H-20 Rated Vaults)"/>
        <s v="UNCLASSIFIED - Storm Sewer (Force Main) Pipe"/>
        <s v="UNCLASSIFIED - Storm Sewer Pipe"/>
        <s v="UNCLASSIFIED - Storm Sewer Pipe (RCP)"/>
        <s v="UNCLASSIFIED - Corrugated Metal Riser"/>
        <s v="UNCLASSIFIED - Stormwater Pump Station"/>
        <s v="UNCLASSIFIED - Stormwater Treatment Vaults"/>
        <s v="UNCLASSIFIED - Stormwater Treatment Vault Cover"/>
        <s v="UNCLASSIFIED - Hand Rail"/>
        <s v="UNCLASSIFIED - Concrete Wall Removal"/>
        <s v="UNCLASSIFIED - Concrete Curb Removal"/>
        <s v="UNCLASSIFIED - Bollard"/>
        <s v="UNCLASSIFIED - Electrical Modifications"/>
        <s v="UNCLASSIFIED - Cold Plane Pavement Removal"/>
        <s v="UNCLASSIFIED - Utility Adjustments to Grade"/>
        <s v="UNCLASSIFIED - Pavement Marking, Thermoplastic"/>
        <s v="UNCLASSIFIED - Pavement Marking, Painted"/>
        <s v="UNCLASSIFIED - Pavement Marking, Temporary"/>
        <s v="UNCLASSIFIED - Vehicle Detection Loops"/>
        <s v="UNCLASSIFIED - Level 3"/>
        <s v="P-401 - Bituminous Surface Course"/>
        <s v="P-620 - Runway and Taxiway Marking"/>
        <s v="P-620 - Preformed Markings"/>
        <s v="312300 - Modifications to Existing Pump Station A and Deicing Valve Vault"/>
        <s v="015713 - Trench Protection"/>
        <s v="P-152 - Unclassified Excavation"/>
        <s v="P-153 - Controlled Low - Strength Material"/>
        <s v="P-156 - Installation and Removal of Silt Fence"/>
        <s v="P-403 - HMA Base Course"/>
        <s v="P-501 - Portland Cement Concrete Pavement"/>
        <s v="P-604 - Compression Joint Seals for Concrete Pavement"/>
        <s v="P-610 - Structural Portland Cement Concrete"/>
        <s v="D-705 - Perforated Pipe"/>
        <s v="D-751 - Diameter Manhole, Type A"/>
        <s v="D-751 - Catch Basins"/>
        <s v="312300 - Existing Electrical Vault (H-20 Rated) Extension to Finish Grade"/>
        <s v="312300 - Sanitary Sewer Wet Well Removal"/>
        <s v="L-108 - No. 8 AWG, 5 kV, L-824, Type C Cable Installed in Trench, Duct Bank or Conduit"/>
        <s v="L-108 - No. 6 AWG, Solid, Bare Counterpoise Wire"/>
        <s v="L-108 - Counterpoise Ground Rod"/>
        <s v="L-110 - PVC"/>
        <s v="L-110 - GRSC"/>
        <s v="L-110 - 1 1/2-Inch GRSC"/>
        <s v="344300 - Reinstall Elevated Taxiway Edge Light w/ PF Base Can, PF Extension, PF Flange Ring, and CF Transformer in New AC"/>
        <s v="344300 - Reinstall Elevated Taxiway Edge Light w/ PF Base Can, PF Extension, PF Flange Ring, and CF Transformer in Existing AC"/>
        <s v="344300 - Reinstall LED Taxiway Centerline Light w/ PF Base Can, PF Extension, PF Flange Ring, and CF Transformer in New AC"/>
        <s v="344300 - Install PF In-Pavement Taxiway Edge Light on PF Base Can, PF Extension, PF Flange Ring, and CF Transformer in New AC"/>
        <s v="344300 - Reinstall Taxiway Edge Light on Existing Base Can with Existing Isolation Transformer"/>
        <s v="344300 - Reinstall Taxiway Centerline Light on Existing Base Can w/ Existing Transformer in Existing AC"/>
        <s v="344300 - Reinstall Taxiway Centerline Light on Existing Base Can w/ PF Extension, PF Flange Ring, and Existing Transformer in New AC"/>
        <s v="344302 - Sign V-2"/>
        <s v="344302 - Sign V-4"/>
        <s v="344302 - Sign V-6"/>
        <s v="344302 - Sign A4-6"/>
        <s v="344302 - Sign A4-7"/>
        <s v="344302 - Sign A4-9"/>
        <s v="344302 - Sign A5-3"/>
        <s v="344302 - Sign A5-4"/>
        <s v="344302 - Sign V-5"/>
        <s v="344302 - Sign A4-13"/>
        <s v="012200 - Mobilization, Surveying, Cleanup, and Demobilization"/>
        <s v="260526 - Ground Rod for Counterpoise"/>
        <s v="344300 - Install PF Elevated Runway End Light with CF Transformer on Existing Light Base"/>
        <s v="344300 - Install PF Elevated Runway Edge Light with CF Transformer on Existing Light Base"/>
        <s v="344300 - Install PF In-Pavement Runway Edge Light with CF Transformer on Existing Light Base"/>
        <s v="344300 - Install PF Runway Centerline Light with CF Transformer on Existing Light Base"/>
        <s v="344300 - Install PF In-Pavement Runway Threshold Light with CF Transformer on Existing Light Base"/>
        <s v="344300 - Install PF Taxiway Centerline Light with PF Remote and CF Transformer on Existing Light Base"/>
        <s v="344300 - Install PF Red Elevated Stop Bar Light with PF Remote and CF Transformer on Existing Light Base"/>
        <s v="344300 - Install PF Dual Stop Bar Light with PF Remote and CF Transformer on Existing Light Base"/>
        <s v="344300 - Install PF In-Pavement Runway Guard Light with CF Transformer on Existing Light Base"/>
        <s v="344300 - Install PF Red Elevated Stop Bar Light with CF Transformer on Existing Light Base"/>
        <s v="344300 - Install PF Elevated Runway Guard Light with CF Transformer on Existing Light Base"/>
        <s v="344300 - Install PF Dual Stop Bar Light with Two CF Transformers on Existing Light Base"/>
        <s v="344300 - Install PF Taxiway Centerline Light with CF Transformer on Existing Light Base"/>
        <s v="344300 - Install PF Elevated Taxiway Edge Light with CF Transformer on Existing Light Base"/>
        <s v="344300 - Install PF Taxiway Centerline Light on Existing Light Base"/>
        <s v="344300 - Install PF Dual Stop Bar Light on Existing Light Base"/>
        <s v="344300 - Install PF In-Pavement Runway Guard Light on Existing Light Base"/>
        <s v="344300 - Install PF In-Pavement Red Stop Bar Light with PF Remote and CF Transformer on Existing Light Base"/>
        <s v="344300 - Install CF 150-Watt"/>
        <s v="344300 - Install PF Microwave Sensor with CF Transformer in Existing Base Can"/>
        <s v="344300 - Install PF Cover Plate on Existing Base Can"/>
        <s v="L-108 - #6 AWG, 5kV Cable"/>
        <s v="L-110 - PVC Direct Buried in Grass"/>
        <s v="L-110 - PVC in Existing ACP Shoulder"/>
        <s v="UNCLASSIFIED - Temporary Traffic Control"/>
        <s v="UNCLASSIFIED - Contaminated Soil Excavation and Placement"/>
        <s v="UNCLASSIFIED - Fill Material, Topsoil"/>
        <s v="UNCLASSIFIED - Compacted Bedding Material"/>
        <s v="UNCLASSIFIED - Water Pipe"/>
        <s v="UNCLASSIFIED - Gate Valve"/>
        <s v="UNCLASSIFIED - Remove and Reinstall Catch Basin"/>
        <s v="UNCLASSIFIED - Pavement Markings"/>
        <s v="UNCLASSIFIED - Remove and Reinstall Chain Link Fence"/>
        <s v="UNCLASSIFIED - Asphalt Concrerte Surface Course"/>
        <s v="C-105 - Mobilization"/>
        <s v="C-102 - Installation and Removal of Silt Fence"/>
        <s v="P-101 - Removal of Pipe and Other Buried Structures"/>
        <s v="P-154 - Separation Geotextile"/>
        <s v="P-401 - Asphalt Surface Course"/>
        <s v="P-403 - Asphalt Mixture Surface and Base"/>
        <s v="P-501 - Thick Concrete Pavement"/>
        <s v="P-603 - Emulsified Asphalt Tack Coat"/>
        <s v="P-604 - Compression Joint Seals for Concrete Pavements"/>
        <s v="P-602 - Emulsified Asphalt Prime Coat"/>
        <s v="P-620 - Surface Preparation - New Pavement Surfaces"/>
        <s v="P-620 - Surface Preparation - Remove Existing Markings"/>
        <s v="P-620 - Marking"/>
        <s v="P-610 - Concrete"/>
        <s v="P-620 - Temporary Runway and Taxiway Marking"/>
        <s v="D-701 - STS"/>
        <s v="D-751 - Manhole"/>
        <s v="312300 - Remove Existing Manhole Flat Top and Upgrade to Aircraft Rated Structure"/>
        <s v="T-905 - Topsoil (Obtained on Site or Removed from Stockpile)"/>
        <s v="312300 - Existing Manhole/Inlet Adjustment to Grade"/>
        <s v="312300 - Replace Existing Manhole Lid with Open Grated Lid"/>
        <s v="L-108 - No. 4 GND Conductor"/>
        <s v="L-108 - No. 2/0 AWG"/>
        <s v="L-110 - PVC in New Shoulder and Direct Buried"/>
        <s v="L-110 - PVC in CLSM"/>
        <s v="344300 - Reinstall Elevated LED Taxiway Edge Light on PF Base Can, PF Extension, PF Flange Ring, and CF Transformer"/>
        <s v="344300 - Reinstall LED Taxiway Centerline Light on PF Base Can, PF Extension, PF Flange Ring, and CF Transformer"/>
        <s v="344300 - Install PF In-Pavement Taxiway Edge Light on PF Base Can, PF Extension, PF Flange Ring, and CF Transformer"/>
        <s v="344301 - Adjust Existing Taxiway Centerline Light"/>
        <s v="344302 - Sign B6-11"/>
        <s v="012200 - Construction Survey"/>
        <s v="012200 - Abandon Existing Monitoring Well"/>
        <s v="015713 - Trench Drain Protection"/>
        <s v="015713 - Sediment Fence"/>
        <s v="024113 - Building Demolition"/>
        <s v="024113 - Building Slab and Foundation Removal"/>
        <s v="024113 - Existing Landscape Removal"/>
        <s v="024113 - Removal of Miscellaneous Site Structures"/>
        <s v="024113 - Removal of Existing or Temporary Fence"/>
        <s v="P-152 - Separation Geotextile"/>
        <s v="P-153 - Controlled Low Strength Material"/>
        <s v="P-403 - Asphalt Mixture Base Course"/>
        <s v="P-620 - Surface Preparation - New or Existing Pavement Surfaces"/>
        <s v="P-620 - Temporary Marking"/>
        <s v="D-701 - Slide Gate"/>
        <s v="D-751 - Diameter Manhole"/>
        <s v="D-751 - Trench Drain"/>
        <s v="260500 - Provide Temporary Power During Construction Inside the 480V Power Center"/>
        <s v="260500 - Re-feed Loads Inside 480V Power Center"/>
        <s v="260500 - Install Handholes for Power and Communications"/>
        <s v="260500 - Install Underground Power Conductors for Apron Lights and Communications"/>
        <s v="260500 - Install Gate Valve and Lighting Controls"/>
        <s v="260500 - Demolition of Existing Electrical Equipment on Work Site"/>
        <s v="260526 - Grounding and Bonding for Electrical Systems"/>
        <s v="260543 - Underground Ducts and Raceways for Electrical Systems"/>
        <s v="262200 - Remove and Replace Existing 9KVA Transformer"/>
        <s v="262400 - Remove and Replace Existing 480V Distribution Panel"/>
        <s v="265623 - Install Apron Lighting"/>
        <s v="270553 - Telecommunications Identification"/>
        <s v="271000 - Structured Cabling"/>
        <s v="282300 - Video Surveillance"/>
        <s v="312300 - Rotate Existing Manhole Lid"/>
        <s v="321613 - Cast-in-Place Concrete Curb"/>
        <s v="321613 - Concrete Utility Hub Pavement"/>
        <s v="323113 - Chain Link Fance with Barbed Wire"/>
        <s v="323113 - Chain Link Fence with Slats and Barbed Wire"/>
        <s v="328400 - Irrigation Replacement"/>
        <s v="329300 - Ground Cover Planting"/>
        <s v="331116 - Fire Water Line"/>
        <s v="331116 - Gate Valve"/>
        <s v="331116 - Underground Fire Hydrant"/>
        <s v="347113 - Pipe Bollards"/>
        <s v="012200 - Work Zoneand Traffic Control"/>
        <s v="012200 - HighBlueReflectiveMarkers"/>
        <s v="012200 - Temporary Stream Bypass"/>
        <s v="012200 - SettlementPlates"/>
        <s v="015713 - Plastic Mesh Fence"/>
        <s v="015713 - InletProtection"/>
        <s v="015713 - ConstructionEntrance"/>
        <s v="015713 - JuteMatting"/>
        <s v="C-102 - Installationand Removalof Silt Fence"/>
        <s v="P-101 - Asphalt Pavement Removal - 2.5-InchDepth"/>
        <s v="P-101 - ColdMilling - 0.5InchDepth"/>
        <s v="P-101 - ColdMilling - VariableDepth(Transitional)"/>
        <s v="P-101 - Removalof Pipeand Other Buried Structures"/>
        <s v="P-152 - EmbankmentinPlace"/>
        <s v="P-152 - MechanicalStabilization"/>
        <s v="P-152 - Existing Subgrade Stabilzation"/>
        <s v="P-152 - UnsuitableExcavation"/>
        <s v="P-153 - ControlledLow - StrengthMaterial(CLSM)"/>
        <s v="P-154 - SubbaseCourse"/>
        <s v="P-209 - SeparationGeotextile"/>
        <s v="P-403 - Asphalt Mixture Baseand Surface Course"/>
        <s v="P-606 - AdhesiveCompound"/>
        <s v="P-620 - SurfacePreparation"/>
        <s v="P-620 - ReflectiveMedia"/>
        <s v="P-620 - Temporary Runwayand Taxiway Marking"/>
        <s v="D-701 - 6-inchSTS"/>
        <s v="D-701 - 12-inchSTS"/>
        <s v="D-701 - 24-inchSTS"/>
        <s v="D-701 - 14-inch Class50Ductile Iron Pipe Culvert"/>
        <s v="D-701 - 18-inch Class50Ductile Iron Pipe Culvert"/>
        <s v="D-701 - Culvert"/>
        <s v="D-705 - InchPipeUnderdrains"/>
        <s v="D-751 - Manholes"/>
        <s v="D-751 - CatchBasins"/>
        <s v="D-752 - Unclassified Excavationfor Structures"/>
        <s v="D-752 - StructuralConcrete"/>
        <s v="D-752 - ReinforcingSteel"/>
        <s v="T-905 - Topsoil"/>
        <s v="026100 - Contaminated Material Excavationand Disposal"/>
        <s v="330516 - CleanoutStructures"/>
        <s v="354000 - Boulders"/>
        <s v="354000 - StreambedCobble"/>
        <s v="354000 - StreambedSediment"/>
        <s v="354000 - RiprapOutfall"/>
        <s v="354000 - Grade Control Structures"/>
        <s v="L-108 - No.8AWG,5k V,L-824,Type CCable Installedin Trench,Duct Bank"/>
        <s v="L-108 - No.6AWG,Solid,Bare Counterpoise Wire,Installed Abovethe Duct Bankor Conduit"/>
        <s v="L-108 - Ground Rodfor Counterpoise"/>
        <s v="L-110 - InchPVCinGrassorinNewACshoulder"/>
        <s v="L-110 - InchPVCinNewACStructuralPavement"/>
        <s v="260500 - Temporary Threshold Set Upand Circuit Connection"/>
        <s v="260500 - FAAMALSRand Threshold Bar Lights"/>
        <s v="260500 - Install PFConstant Current Regulator"/>
        <s v="344300 - Install PFLEDRunway Edge Lightwith PFBase Can"/>
        <s v="344300 - Install PFLEDElevated Runway End/Threshold Lightwith PFBase Can"/>
        <s v="344300 - Install PFLEDElevated Runway Guard Lightwith PFBase Can"/>
        <s v="344300 - Install PFTaxiway Edge Lightwith PFBase Can"/>
        <s v="344300 - InstallPF"/>
        <s v="344300 - Install PFElevated Taxiway Edge Lighton Existing Base Canwith CFTransformer"/>
        <s v="344301 - Adjust Existing Runway/Taxiway Elevated Edge Lightwith CFTransformer"/>
        <s v="344302 - Sign"/>
        <s v="344302 - SignA"/>
        <s v="UNCLASSIFIED - Temporary Erosion and Sediment Control"/>
        <s v="UNCLASSIFIED - Kennedy Feeder Point-of-Service Access Pad"/>
        <s v="UNCLASSIFIED - Kennedy Feeder Pad - Mount Switch"/>
        <s v="UNCLASSIFIED - Aircraft - Rated Electrical Vaults"/>
        <s v="UNCLASSIFIED - H-20 Traffic - Rated Electrical Vaults"/>
        <s v="UNCLASSIFIED - Two 6-Inch Conduits by Directional Drilling Method"/>
        <s v="UNCLASSIFIED - Electrical Feeder Conductor Assembly"/>
        <s v="UNCLASSIFIED - Electrical Feeder Installation in Vaults"/>
        <s v="UNCLASSIFIED - Electrical Feeder Conductor Termination and Testing"/>
        <s v="UNCLASSIFIED - Project Traffic Control"/>
        <s v="UNCLASSIFIED - Ditch Protection"/>
        <s v="UNCLASSIFIED - Asphalt Sawcut"/>
        <s v="UNCLASSIFIED - Curb Removal"/>
        <s v="UNCLASSIFIED - Asphalt Grinding Removal and Disposal"/>
        <s v="UNCLASSIFIED - Embankment"/>
        <s v="UNCLASSIFIED - Encasement Over Existing Waterlin"/>
        <s v="UNCLASSIFIED - Remove and Reinstall 12-Inch Ductile Iron Pipe"/>
        <s v="UNCLASSIFIED - Electrical Bedding Material"/>
        <s v="UNCLASSIFIED - Ductile Iron Sewer Pipe"/>
        <s v="UNCLASSIFIED - Connection to Existing Utility"/>
        <s v="UNCLASSIFIED - Catch Basin"/>
        <s v="UNCLASSIFIED - Standard 8-Inch Concrete Curb"/>
        <s v="UNCLASSIFIED - Monolithic Curb and Sidewalk"/>
        <s v="UNCLASSIFIED - Blackout and Temporary Pavement Marking"/>
        <s v="UNCLASSIFIED - Signage"/>
        <s v="UNCLASSIFIED - Fence Fabric Removal"/>
        <s v="UNCLASSIFIED - Chain - Link Slatted Fence Fabric"/>
        <s v="UNCLASSIFIED - Electrical"/>
        <s v="UNCLASSIFIED - Bollards"/>
        <s v="P-101 - Cold Millling"/>
        <s v="P-620 - Surface Preparation - Remarking"/>
        <s v="P-620 - Surface Preparation - Remove Existing Marking"/>
        <s v="P-620 - Temporary Runway and Taxiway Makrings"/>
        <s v="L-108 - No. 8 AWG, 5kV, L-824, Type C Cable"/>
        <s v="L-110 - PVC encased in P-610 in Existing AC"/>
        <s v="344300 - Reinstall Taxiway Centerline Light on CF Base Can, CF Extenstion, CF Flange Ring, and CF Transformer"/>
        <s v="344300 - Reinstall Taxiway Centerline Light on Existing Base Can with CF Transformer"/>
        <s v="344300 - Reinstall Taxiway Edge Light on Existing Base Can with Existing Transformer"/>
        <s v="UNCLASSIFIED - Traffic Control"/>
        <s v="UNCLASSIFIED - Tree and Plant Protection"/>
        <s v="UNCLASSIFIED - Surfacings Removal"/>
        <s v="UNCLASSIFIED - PVC Conduit (Power)"/>
        <s v="UNCLASSIFIED - XHHW Conductor - #3 AWG (Power)"/>
        <s v="UNCLASSIFIED - XHHW Conductor - #6 AWG (Power)"/>
        <s v="UNCLASSIFIED - XHHW Conductor - #8 AWG (Power)"/>
        <s v="UNCLASSIFIED - XHHW Conductor - #10 AWG (Power)"/>
        <s v="UNCLASSIFIED - XHHW Conductor - #12 AWG (Power)"/>
        <s v="UNCLASSIFIED - Electric Utility Meter Base - 200A Direct"/>
        <s v="UNCLASSIFIED - Metered Switchgear Installation"/>
        <s v="UNCLASSIFIED - Vault (Power) - 712-SWITCH - PCORP"/>
        <s v="UNCLASSIFIED - Vault (Power) - 575-TRANS - PCORP"/>
        <s v="UNCLASSIFIED - Vault (Power)"/>
        <s v="UNCLASSIFIED - Vault (Power) - 776-TRANS - PCORP"/>
        <s v="UNCLASSIFIED - Vault (Power) - 776-TRANS - PCORP (Traffic Rated)"/>
        <s v="UNCLASSIFIED - PVC Conduit (Comm)"/>
        <s v="UNCLASSIFIED - HDPE Interduct (Comm) - 1 1/4&quot;"/>
        <s v="UNCLASSIFIED - Vault (Comm)"/>
        <s v="UNCLASSIFIED - Vault (Comm) - 444-LA (Traffic Rated)"/>
        <s v="UNCLASSIFIED - Demarcation Panel with Receptacles, Heater, and T-Stat"/>
        <s v="UNCLASSIFIED - H-Frame Support"/>
        <s v="UNCLASSIFIED - Mini - Power Zone"/>
        <s v="UNCLASSIFIED - Panelboard - 480Y/277V, 100A, 3-Phase, NEMA 3R"/>
        <s v="UNCLASSIFIED - Panelboard - 240/120V, 100A, 1-Phase, NEMA 3R"/>
        <s v="UNCLASSIFIED - Electrical Demo (Existing ORANG)"/>
        <s v="UNCLASSIFIED - Trench Excavation"/>
        <s v="UNCLASSIFIED - Trenchless Installation"/>
        <s v="UNCLASSIFIED - Bedding and Pipe Zone Material"/>
        <s v="UNCLASSIFIED - Crack Seal"/>
        <s v="UNCLASSIFIED - Reinforced Concrete Pad"/>
        <s v="UNCLASSIFIED - Cast - In-Place Concrete Curb"/>
        <s v="UNCLASSIFIED - Concrete Sidewalk"/>
        <s v="UNCLASSIFIED - One - Year Landscape Maintenance"/>
        <s v="UNCLASSIFIED - Mulch"/>
        <s v="UNCLASSIFIED - Irrigation Replacement"/>
        <s v="UNCLASSIFIED - DR9 Pex Water Pipe"/>
        <s v="UNCLASSIFIED - DIP Water Pipe"/>
        <s v="UNCLASSIFIED - Reduced Pressure Backflow Assembly and Enclosure"/>
        <s v="UNCLASSIFIED - Reduced Pressure Detector Assembly and Enclosure"/>
        <s v="UNCLASSIFIED - Butterfly Valve"/>
        <s v="UNCLASSIFIED - Water Meter"/>
        <s v="UNCLASSIFIED - Air Release Valve Assembly"/>
        <s v="UNCLASSIFIED - Central Water Meter Vault and Manifold"/>
        <s v="UNCLASSIFIED - Landside Utility Disconnections"/>
        <s v="UNCLASSIFIED - Airfield Fire Water Disconnection"/>
        <s v="UNCLASSIFIED - Fire Hydrant Assembly"/>
        <s v="UNCLASSIFIED - Manhole and Catch Basin Adjustment"/>
        <s v="UNCLASSIFIED - Building Removal and Backfill"/>
        <s v="UNCLASSIFIED - Concrete Winch House Removal and Backfill"/>
        <s v="UNCLASSIFIED - Water Well Decommission"/>
        <s v="UNCLASSIFIED - Concrete Removal and Backfill"/>
        <s v="UNCLASSIFIED - Aggregate Removal and Disposal"/>
        <s v="UNCLASSIFIED - Septic Tank and Drain Field Removal"/>
        <s v="UNCLASSIFIED - Utility Removal, Relocation, and Backfill"/>
        <s v="UNCLASSIFIED - Miscellaneous Removals and Backfill"/>
        <s v="UNCLASSIFIED - Fill Material, Top Soil"/>
        <s v="UNCLASSIFIED - Loose Riprap, Class 50"/>
        <s v="UNCLASSIFIED - Lead Paint Chip Removal"/>
        <s v="P-620 - Pavement Markings"/>
        <s v="P-620 - Temporary Pavement Markings"/>
        <s v="P-626 - Slurry Seal"/>
        <s v="320117 - Asphalt Pavement Removal"/>
        <s v="320117 - Asphalt Concrete Surface Course"/>
        <s v="320118 - Crack Repair"/>
        <s v="344300 - Install PF LED Elevated Runway End/Threshold Light on Existing Base Can with PF Transformer"/>
        <s v="344300 - Install PF LED Elevated Runway Edge Light on Existing Base Can with PF Transformer"/>
        <s v="344300 - Install PF LED In-Pavement Runway Edge Light on Existing Base Can with PF Transformer"/>
        <s v="344300 - Install PF Cover Plate on Existing Base Can with PF Bolts"/>
        <s v="344300 - Install PF Taxiway Edge Reflector"/>
        <s v="344302 - Sign A1-1"/>
        <s v="344302 - Sign A7-2"/>
        <s v="344302 - Sign A8-1"/>
        <s v="344302 - Sign A8-2"/>
        <s v="344302 - Sign B1-1"/>
        <s v="344302 - Sign B7-1"/>
        <s v="344302 - Sign B8-1"/>
        <s v="UNCLASSIFIED - Sign UL-1 Section 344302)"/>
        <s v="344302 - Sign UL-2"/>
        <s v="UNCLASSIFIED - Barge and Access Equipment"/>
        <s v="UNCLASSIFIED - Containment"/>
        <s v="UNCLASSIFIED - Hollow Core Deck Panel Replacement"/>
        <s v="UNCLASSIFIED - Deck Crack Repair"/>
        <s v="UNCLASSIFIED - Soffit and Vertical Crack Repair"/>
        <s v="UNCLASSIFIED - Deck Delamination and Spall Repair"/>
        <s v="UNCLASSIFIED - Deck Delamination and Spall Repair with Anodes"/>
        <s v="UNCLASSIFIED - Soffit and Vertical Face Delamination and Spall Repair"/>
        <s v="UNCLASSIFIED - Soffit and Vertical Face Delamination and Spall Repair with Anodes"/>
        <s v="UNCLASSIFIED - Pile Spall Repair"/>
        <s v="UNCLASSIFIED - Pile Crack Repair"/>
        <s v="UNCLASSIFIED - Joint Repair"/>
        <s v="UNCLASSIFIED - Joint Repair at Panel Step"/>
        <s v="UNCLASSIFIED - Deck Surface Repair"/>
        <s v="UNCLASSIFIED - Deck Surface Repair with Cathodic Protection"/>
        <s v="UNCLASSIFIED - Deck Topping Replacement"/>
        <s v="UNCLASSIFIED - Deck Topping Repair"/>
        <s v="UNCLASSIFIED - Fender Panel Rehabilitation"/>
        <s v="UNCLASSIFIED - Trestle Cross - Brace Rehabilitation"/>
        <s v="UNCLASSIFIED - Remove and Replace Embedded Anodes"/>
        <s v="UNCLASSIFIED - Metalizing Repairs"/>
        <s v="UNCLASSIFIED - Metalizing System at Edge Beams"/>
        <s v="UNCLASSIFIED - Remove and Replace Compression Seal"/>
        <s v="UNCLASSIFIED - Concrete Pad Demolition and Repair"/>
        <s v="260500 - Install Handholes for Power"/>
        <s v="P-501 - - Thick Concrete Pavement"/>
        <s v="P-620 - Surface Preparation - Existing Pavement Surface"/>
        <s v="P-209 - Separation Geotextile"/>
        <s v="P-403 - Asphalt Mixture Base and Surface Course"/>
        <s v="344300 - Reinstall In-Pavement Taxiway Centerline Light on Existing Base Can with Existing Transformer"/>
        <s v="344300 - Reinstall In-Pavement Stop Bar Light on Existing Base Can with Existing Transformer"/>
        <s v="344301 - Adjust Existing Taxiway Centerline Light to New Finish Elevation"/>
        <s v="P-620 - Surface Preparation - Marking Removal"/>
        <s v="312300 - Existing Manhole Adjustment"/>
        <s v="L-108 - No. 8 AWG, 5kV, L-824, Type C Cable Installed in Trench, Duct Bank or Conduit"/>
        <s v="L-108 - No. 6 AWG, Solid, Bare Copper Counterpoise Wire, Installed above the Duct Bank or Conduit, Including Connections/Terminations"/>
        <s v="L-108 - No. 10 AWG, 600V, Cable Installed in Conduit"/>
        <s v="L-110 - PVC Encased in CLSM in New AC"/>
        <s v="L-110 - GRSC Encased in P-610 in Existing AC"/>
        <s v="344300 - Reinstall Elevated Taxiway Edge Light on Existing Base Can with PF Transformer"/>
        <s v="344300 - Reinstall Elevated Runway End Light on Existing Base Can with PF Transformer"/>
        <s v="344300 - Reinstall In-Pavement Taxiway Edge Light on Existing Base Can with PF Transformer"/>
        <s v="344300 - Reinstall Taxiway Centerline Light on Existing Base Can with PF Transformer"/>
        <s v="344300 - Reinstall Taxiway Centerline Light on PF Base Can, PF Extension, PF Flange Ring, and PF Transformer"/>
        <s v="344301 - Adjust Existing Runway Edge Light to New Finish Elevation"/>
        <s v="344301 - Adjust Existing Taxiway Edge Light to New Finish Elevation"/>
        <s v="344301 - Adjust Existing Base Can to New Finish Elevation"/>
        <s v="344302 - Sign CE-10"/>
        <s v="UNCLASSIFIED - Sweeper Section"/>
        <s v="P-620 - Surface Prep - Existing Pavement"/>
        <s v="P-620 - Surface Prep - Marking Removal"/>
        <s v="P-620 - Markings"/>
        <s v="024113 - Remove Bollard - Embedded"/>
        <s v="024113 - Relocate Storage Shelter"/>
        <s v="024113 - Remove Bollard - Bolt Down"/>
        <s v="111100 - Cable Retrievers"/>
        <s v="347115 - Precast Concrete Wheel Stop"/>
        <s v="347115 - Bollard - Bolt Down"/>
        <s v="024113 - Remove Electrical Chargers"/>
        <s v="347115 - Guard Rail"/>
        <s v="260500 - Electrical Feeds to Enclosed Circuit Breakers (2.5&quot; Conduit)"/>
        <s v="260500 - Electrical Feeds to Enclosed Circuit Breakers (3/4&quot; Conduit)"/>
        <s v="260500 - Electrical Equipment Rack - Load Share Connected"/>
        <s v="260500 - Electrical Equipment Rack - Panel Connected"/>
        <s v="260500 - Electrical Feeds to Panels (Existing 3.5&quot; Conduit)"/>
        <s v="263343 - Electrical Charging Units (Primary Units)"/>
        <s v="260500 - Training"/>
        <s v="263343 - Electrical Charging Units (Secondary Units)"/>
        <s v="260500 - New Electrical Panels"/>
        <s v="271000 - Network Termination Enclosure"/>
        <s v="271000 - Data Equipment Rack &amp; Data Connections 1&quot; Conduit"/>
        <s v="271000 - Data Drop to Each Enclosure and Chargers"/>
        <s v="012200 - Work Zone Traffic Control"/>
        <s v="C-102 - Inlet Protection"/>
        <s v="P-620 - Permanent Pavement Marking"/>
        <s v="P-101 - Pavement Removal"/>
        <s v="P-620 - Temporary Pavement Marking"/>
        <s v="L-108 - No. 8 AWG, 5kV, L-824, Type C Cable, Installed in Trench, Duct Bank or Conduit"/>
        <s v="344300 - Install Elevated Taxiway Edge Light on Existing Base Can with PF Transformer"/>
        <s v="P-620 - Surface Preparation"/>
        <s v="D-701 - STS Drain Pipe"/>
        <s v="D-705 - Perforated Underdrain Pipe"/>
        <s v="D-705 - Non - Perforated Underdrain Pipe"/>
        <s v="D-751 - Underdrain Cleanout"/>
        <s v="D-751 - Connect to Existing Catch Basin/Manhole"/>
        <s v="D-751 - Manhole Catch Basin"/>
        <s v="L-108 - No. 12 AWG, 600V, Cable, Installed in Conduit"/>
        <s v="L-108 - No. 6 AWG, Solid, Bare Counterpoise Wire, Installed in Trench, Above the Duct Bank or Conduit, Including Connections/Terminations"/>
        <s v="L-110 - PVC Encased in Concrete in new Structural AC"/>
        <s v="L-110 - PVC in Existing Structural AC"/>
        <s v="L-110 - PVC under New AC Shoulder"/>
        <s v="L-110 - IMC under New AC Shoulder"/>
        <s v="265000 - General Electrical Removal"/>
        <s v="265000 - Temporary Circuit Connection"/>
        <s v="344300 - Install Elevated Runway Guard Light on Existing Base Can with PF Transformer"/>
        <s v="344300 - Install Elevated Red Stop Bar Light on Existing Base Can with PF Transformer"/>
        <s v="344300 - Install Taxiway Centerline Light on PF Base Can, PF Extension, PF Flange Ring, and CF Transformer"/>
        <s v="344300 - Install Taxiway Edge Light on PF Base Can, PF Extension, PF Flange Ring, and CF Transformer"/>
        <s v="344300 - Install Elevated Runway Guard Light on PF Base Can, PF Extension, PF Flange Ring, and CF Transformer"/>
        <s v="344300 - Install Elevated Red Stop Bar Light on PF Base Can, PF Extension, PF Flange Ring, and CF Transformer"/>
        <s v="344300 - Install In-Pavement Runway Guard/Stop Bar Light on PF Base Can, PF Extension, PF Flange Ring and CF Transformer"/>
        <s v="344300 - Install PF Base Can, PF Extension, PF Flange Ring and PF Cover Plate"/>
        <s v="344301 - Adjust Existing In-Pavement Runway Guard/Stop Bar Light to New Finish Elevation"/>
        <s v="344302 - Sign A5-1"/>
        <s v="344302 - Sign A5-6"/>
        <s v="344302 - Sign A5-7"/>
        <s v="344302 - Sign A5-8"/>
        <s v="344302 - Sign A5-9"/>
        <s v="344302 - Sign A6-2"/>
        <s v="344302 - Sign A6-3"/>
        <s v="344302 - Sign A6-9"/>
        <s v="344302 - Sign A6-10"/>
        <s v="344302 - Sign A6-11"/>
        <s v="344302 - Sign A6-12"/>
        <s v="P-101 - Cold Milling 3-Inch Depth"/>
        <s v="026100 - Contaminated Material Excavation and Disposal - Wasco Landfill"/>
        <s v="P-101 - Full - Depth Asphalt Pavement Removal"/>
        <s v="P-101 - Cold Milling Variable to 10-Inch Depth"/>
        <s v="P-101 - Cold Milling Surface Preparation"/>
        <s v="D-701 - Storm Sewer Pipe"/>
        <s v="D-705 - Perforated Storm Sewer Pipe"/>
        <s v="D-705 - Non - Perforated Pipe"/>
        <s v="T-905 - Topsoil (Furnished from Off the Site)"/>
        <s v="L-110 - PVC Direct Buried in Grass or under New AC Shoulder"/>
        <s v="344300 - Install Elevated Runway Guard Light on Existing Base Can with CF Transformer"/>
        <s v="344300 - Install Elevated Red Stop Bar Light on Existing Base Can with CF Transformer"/>
        <s v="344300 - Install In-Pavement Runway Guard Light on Existing Base Can with CF Transformer"/>
        <s v="344300 - Install In-Pavement Runway Guard/Stop Bar Light on Existing Base Can with CF Transformer"/>
        <s v="344300 - Install Taxiway Centerline Light on PF Base Can, PF Extension, PF Flange Ring and CF Transformer"/>
        <s v="344300 - Install Taxiway Edge Light on PF Base Can, PF Extension, PF Flange Ring and CF Transformer"/>
        <s v="344300 - Install PF Elevated Taxiway Edge Light on PF Base Can, PF Extension, PF Flange Ring and CF Transformer in Existing AC"/>
        <s v="344302 - Sign A6-7"/>
        <s v="344302 - Sign EA-15"/>
        <s v="344302 - Sign T-5"/>
        <s v="UNCLASSIFIED - 0"/>
        <s v="P-608 - Runway and High Speed Exit Taxiway Friction Testing"/>
        <s v="012200 - Erosion and Sediment Control"/>
        <s v="012200 - Dewatering"/>
        <s v="012200 - Contaminated Soil Handling and Management"/>
        <s v="012200 - Temporary Sewage Bypassing"/>
        <s v="012200 - Removal, Haul, and Disposal of Demolition Debris"/>
        <s v="012200 - B6 Wet Well (SSLS 950) Mechanical Rehabilitation"/>
        <s v="012200 - D9 Wet Well (SSLS 953) Mechanical Rehabilitation"/>
        <s v="012200 - B6 Valve Vault (SSVLT 1202) Mechanical Rehabilitation"/>
        <s v="012200 - D9 Valve Vault (STSVLT 863) Mechanical Rehabilitation"/>
        <s v="012200 - B6 Replacement of Existing Lids and Hatches"/>
        <s v="012200 - D9 Replacement of Existing Lids and Hatches"/>
        <s v="012200 - B6 Wet Well (SSLS 950) Concrete Repair"/>
        <s v="012200 - D9 Wet Well (SSLS 953) Concrete Repair"/>
        <s v="012200 - B6 Valve Vault (SSVLT 1202) Concrete Repair"/>
        <s v="012200 - D9 Valve Vault (STSVLT 863) Concrete Repair"/>
        <s v="012200 - B6 Electrical"/>
        <s v="012200 - D9 Electrical"/>
        <s v="012200 - B6 Temporary Airfield Lighting Circuit Connection"/>
        <s v="P-152 - Subgrade Stabilzation"/>
        <s v="P-306 - Lean Concrete Base Course"/>
        <s v="P-403 - Asphalt Mixture Surface Course"/>
        <s v="P-501 - Concrete Pavement"/>
        <s v="UNCLASSIFIED - General Demolition"/>
        <s v="UNCLASSIFIED - Pavement Removal and Disposal"/>
        <s v="UNCLASSIFIED - Cold Plane Pavement Removal and Disposal"/>
        <s v="UNCLASSIFIED - Signal Modification"/>
        <s v="UNCLASSIFIED - Lighting"/>
        <s v="UNCLASSIFIED - Site Preparation"/>
        <s v="UNCLASSIFIED - Subgrade Preparation"/>
        <s v="UNCLASSIFIED - Geotextile Fabric"/>
        <s v="UNCLASSIFIED - Tack Coat"/>
        <s v="UNCLASSIFIED - Valley Gutter"/>
        <s v="UNCLASSIFIED - Concrete Curb"/>
        <s v="UNCLASSIFIED - Concrete Walks"/>
        <s v="UNCLASSIFIED - Clearing and Seeding"/>
        <s v="UNCLASSIFIED - Storm Culvert"/>
        <s v="012200 - Clearing and Grubbing"/>
        <s v="012200 - Temporary Erosion and Sediment Control Measures"/>
        <s v="012200 - General Demolition"/>
        <s v="012200 - Pavement Removal and Disposal"/>
        <s v="012200 - Contaminated Soil Removal and Haul"/>
        <s v="012200 - Unsuitable Excavation and Disposal"/>
        <s v="012200 - Trench Stabilization"/>
        <s v="012200 - Embankment, Ditch"/>
        <s v="012200 - Repair Existing ARFF Cap"/>
        <s v="012200 - Site Preparation"/>
        <s v="012200 - Aggregate Base Course"/>
        <s v="012200 - Asphalt Concrete Pavement"/>
        <s v="012200 - Portland Cement Concrete Pavement"/>
        <s v="012200 - Seeding"/>
        <s v="012200 - Fill Material, Topsoil"/>
        <s v="012200 - STS"/>
        <s v="012200 - Connection to Existing Drainage Structure"/>
        <s v="012200 - Abandon and Plug Storm Pipe"/>
        <s v="012200 - Abandon Existing Structure"/>
        <s v="012200 - Catch Basins/Inlets"/>
        <s v="012200 - Manhole"/>
        <s v="012200 - Extra Manhole Depth"/>
        <s v="012200 - PCC Spall Panel Repair"/>
        <s v="012200 - PCC Crack Repair"/>
        <s v="P-605 - Concrete to Concrete Joint Seal"/>
        <s v="P-605 - Concrete to Asphalt Joint Seal"/>
      </sharedItems>
    </cacheField>
    <cacheField name="quantity" numFmtId="0">
      <sharedItems containsString="0" containsBlank="1" containsNumber="1" minValue="0" maxValue="163800"/>
    </cacheField>
    <cacheField name="unit_norm" numFmtId="0">
      <sharedItems containsMixedTypes="1" containsNumber="1" containsInteger="1" minValue="0" maxValue="0"/>
    </cacheField>
    <cacheField name="item_group" numFmtId="0">
      <sharedItems count="8">
        <s v="GENERAL_TEMPORARY"/>
        <s v="LANDSCAPE_ENVIRONMENTAL"/>
        <s v="DEMOLITION_REMEDIATION"/>
        <s v="ROADWORK_PAVING"/>
        <s v="OTHER_REVIEW"/>
        <s v="PIPING_DRAINAGE"/>
        <s v="ELECTRICAL"/>
        <s v="SITEWORK_MISC"/>
      </sharedItems>
    </cacheField>
    <cacheField name="item_subgroup" numFmtId="0">
      <sharedItems count="13">
        <s v="TEMP_TRAFFIC_MOBILIZATION"/>
        <s v="LANDSCAPING_REVEGETATION"/>
        <s v="DEMOLITION_REMEDIATION"/>
        <s v="PAVING_EARTHWORK"/>
        <s v="UNCLASSIFIED_REVIEW"/>
        <s v="PIPING_UTILITY"/>
        <s v="DRAINAGE_STRUCTURES"/>
        <s v="AIRFIELD_LIGHTING"/>
        <s v="POWER_DISTRIBUTION"/>
        <s v="AIRFIELD_SIGNAGE"/>
        <s v="TELECOM_IT"/>
        <s v="FENCING_GUARDRAIL_BOLLARDS"/>
        <s v="EV_CHARGING"/>
      </sharedItems>
    </cacheField>
    <cacheField name="grouping_rule_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6">
  <r>
    <n v="1"/>
    <n v="1"/>
    <n v="1"/>
    <s v="UNCLASSIFIED"/>
    <m/>
    <s v="Mobilization, Surveying, Cleanup, and Demobilization"/>
    <m/>
    <x v="0"/>
    <x v="0"/>
    <n v="1"/>
    <s v="LS"/>
    <x v="0"/>
    <x v="0"/>
    <s v="kw_temp_traffic"/>
  </r>
  <r>
    <n v="2"/>
    <n v="1"/>
    <n v="2"/>
    <s v="UNCLASSIFIED"/>
    <m/>
    <s v="Work Zone Traffic Control"/>
    <m/>
    <x v="1"/>
    <x v="1"/>
    <n v="1"/>
    <s v="LS"/>
    <x v="0"/>
    <x v="0"/>
    <s v="kw_temp_traffic"/>
  </r>
  <r>
    <n v="3"/>
    <n v="1"/>
    <n v="3"/>
    <s v="UNCLASSIFIED"/>
    <m/>
    <s v="Temporary Erosion, Sediment, and Pollution Control"/>
    <m/>
    <x v="2"/>
    <x v="2"/>
    <n v="1"/>
    <s v="LS"/>
    <x v="1"/>
    <x v="1"/>
    <s v="kw_landscape_env"/>
  </r>
  <r>
    <n v="4"/>
    <n v="1"/>
    <n v="4"/>
    <s v="UNCLASSIFIED"/>
    <m/>
    <s v="Site Demolition"/>
    <m/>
    <x v="3"/>
    <x v="3"/>
    <n v="1"/>
    <s v="LS"/>
    <x v="2"/>
    <x v="2"/>
    <s v="kw_demo_remediation"/>
  </r>
  <r>
    <n v="5"/>
    <n v="1"/>
    <n v="5"/>
    <s v="UNCLASSIFIED"/>
    <m/>
    <s v="Clearing and Grubbing"/>
    <m/>
    <x v="4"/>
    <x v="4"/>
    <n v="1"/>
    <s v="LS"/>
    <x v="1"/>
    <x v="1"/>
    <s v="kw_landscape_env"/>
  </r>
  <r>
    <n v="6"/>
    <n v="1"/>
    <n v="6"/>
    <s v="UNCLASSIFIED"/>
    <m/>
    <s v="Trench Excavation and General Native Backfill"/>
    <m/>
    <x v="5"/>
    <x v="5"/>
    <n v="577"/>
    <s v="LF"/>
    <x v="3"/>
    <x v="3"/>
    <s v="kw_paving_earthwork"/>
  </r>
  <r>
    <n v="7"/>
    <n v="1"/>
    <n v="7"/>
    <s v="UNCLASSIFIED"/>
    <m/>
    <s v="Trench Excavation and Select Native Backfill"/>
    <m/>
    <x v="6"/>
    <x v="6"/>
    <n v="622"/>
    <s v="LF"/>
    <x v="3"/>
    <x v="3"/>
    <s v="kw_paving_earthwork"/>
  </r>
  <r>
    <n v="8"/>
    <n v="1"/>
    <n v="8"/>
    <s v="UNCLASSIFIED"/>
    <m/>
    <s v="Trench Excavation and Select Backfill"/>
    <m/>
    <x v="7"/>
    <x v="7"/>
    <n v="48"/>
    <s v="LF"/>
    <x v="3"/>
    <x v="3"/>
    <s v="kw_paving_earthwork"/>
  </r>
  <r>
    <n v="9"/>
    <n v="1"/>
    <n v="9"/>
    <s v="UNCLASSIFIED"/>
    <m/>
    <s v="Offsite Haul and Disposal"/>
    <m/>
    <x v="8"/>
    <x v="8"/>
    <n v="6060"/>
    <s v="CY"/>
    <x v="4"/>
    <x v="4"/>
    <s v="fallback_unmapped"/>
  </r>
  <r>
    <n v="10"/>
    <n v="1"/>
    <n v="10"/>
    <s v="UNCLASSIFIED"/>
    <m/>
    <s v="Contaminated Soil Sediment Excavation and Disposal"/>
    <m/>
    <x v="9"/>
    <x v="9"/>
    <n v="255"/>
    <s v="TON"/>
    <x v="3"/>
    <x v="3"/>
    <s v="kw_paving_earthwork"/>
  </r>
  <r>
    <n v="11"/>
    <n v="1"/>
    <n v="11"/>
    <s v="UNCLASSIFIED"/>
    <m/>
    <s v="Shoring"/>
    <m/>
    <x v="10"/>
    <x v="10"/>
    <n v="1"/>
    <s v="LS"/>
    <x v="4"/>
    <x v="4"/>
    <s v="fallback_unmapped"/>
  </r>
  <r>
    <n v="12"/>
    <n v="1"/>
    <n v="12"/>
    <s v="UNCLASSIFIED"/>
    <m/>
    <s v="Pipe Zone and Bedding Material"/>
    <m/>
    <x v="11"/>
    <x v="11"/>
    <n v="2940"/>
    <s v="CY"/>
    <x v="5"/>
    <x v="5"/>
    <s v="kw_piping_drainage"/>
  </r>
  <r>
    <n v="13"/>
    <n v="1"/>
    <n v="13"/>
    <s v="UNCLASSIFIED"/>
    <m/>
    <s v="Trench Stabilization"/>
    <m/>
    <x v="12"/>
    <x v="12"/>
    <n v="555"/>
    <s v="CY"/>
    <x v="3"/>
    <x v="3"/>
    <s v="kw_paving_earthwork"/>
  </r>
  <r>
    <n v="14"/>
    <n v="1"/>
    <n v="14"/>
    <s v="UNCLASSIFIED"/>
    <m/>
    <s v="Dewatering"/>
    <m/>
    <x v="13"/>
    <x v="13"/>
    <n v="1"/>
    <s v="LS"/>
    <x v="1"/>
    <x v="1"/>
    <s v="kw_landscape_env"/>
  </r>
  <r>
    <n v="15"/>
    <n v="1"/>
    <n v="15"/>
    <s v="UNCLASSIFIED"/>
    <m/>
    <s v="Sewer Pipe"/>
    <s v="72-Inch"/>
    <x v="14"/>
    <x v="14"/>
    <n v="1260"/>
    <s v="LF"/>
    <x v="5"/>
    <x v="5"/>
    <s v="kw_piping_drainage"/>
  </r>
  <r>
    <n v="16"/>
    <n v="1"/>
    <n v="16"/>
    <s v="UNCLASSIFIED"/>
    <m/>
    <s v="Manhole"/>
    <s v="108-Inch"/>
    <x v="15"/>
    <x v="15"/>
    <n v="1"/>
    <s v="EACH"/>
    <x v="5"/>
    <x v="5"/>
    <s v="kw_piping_drainage"/>
  </r>
  <r>
    <n v="17"/>
    <n v="1"/>
    <n v="17"/>
    <s v="UNCLASSIFIED"/>
    <m/>
    <s v="Manhole"/>
    <s v="120-Inch"/>
    <x v="16"/>
    <x v="15"/>
    <n v="1"/>
    <s v="EACH"/>
    <x v="5"/>
    <x v="5"/>
    <s v="kw_piping_drainage"/>
  </r>
  <r>
    <n v="18"/>
    <n v="1"/>
    <n v="18"/>
    <s v="UNCLASSIFIED"/>
    <m/>
    <s v="Subdrains"/>
    <m/>
    <x v="17"/>
    <x v="16"/>
    <n v="36"/>
    <s v="LF"/>
    <x v="4"/>
    <x v="4"/>
    <s v="fallback_unmapped"/>
  </r>
  <r>
    <n v="19"/>
    <n v="1"/>
    <n v="19"/>
    <s v="UNCLASSIFIED"/>
    <m/>
    <s v="Inlet (Type PB)"/>
    <m/>
    <x v="18"/>
    <x v="17"/>
    <n v="3"/>
    <s v="EACH"/>
    <x v="4"/>
    <x v="4"/>
    <s v="fallback_unmapped"/>
  </r>
  <r>
    <n v="20"/>
    <n v="1"/>
    <n v="20"/>
    <s v="UNCLASSIFIED"/>
    <m/>
    <s v="McBride Slough Intake Structure"/>
    <m/>
    <x v="19"/>
    <x v="18"/>
    <n v="1"/>
    <s v="LS"/>
    <x v="5"/>
    <x v="5"/>
    <s v="kw_piping_drainage"/>
  </r>
  <r>
    <n v="21"/>
    <n v="1"/>
    <n v="21"/>
    <s v="UNCLASSIFIED"/>
    <m/>
    <s v="Columbia Slough Outfall Structure"/>
    <m/>
    <x v="20"/>
    <x v="19"/>
    <n v="1"/>
    <s v="LS"/>
    <x v="5"/>
    <x v="5"/>
    <s v="kw_piping_drainage"/>
  </r>
  <r>
    <n v="22"/>
    <n v="1"/>
    <n v="22"/>
    <s v="UNCLASSIFIED"/>
    <m/>
    <s v="Modified Concrete Curb and Gutter"/>
    <m/>
    <x v="21"/>
    <x v="20"/>
    <n v="36"/>
    <s v="LF"/>
    <x v="3"/>
    <x v="3"/>
    <s v="kw_paving_earthwork"/>
  </r>
  <r>
    <n v="23"/>
    <n v="1"/>
    <n v="23"/>
    <s v="UNCLASSIFIED"/>
    <m/>
    <s v="Sidewalk"/>
    <m/>
    <x v="22"/>
    <x v="21"/>
    <n v="500"/>
    <s v="SF"/>
    <x v="3"/>
    <x v="3"/>
    <s v="kw_paving_earthwork"/>
  </r>
  <r>
    <n v="24"/>
    <n v="1"/>
    <n v="24"/>
    <s v="UNCLASSIFIED"/>
    <m/>
    <s v="Aggregate Base Course"/>
    <m/>
    <x v="23"/>
    <x v="22"/>
    <n v="175"/>
    <s v="TON"/>
    <x v="3"/>
    <x v="3"/>
    <s v="kw_paving_earthwork"/>
  </r>
  <r>
    <n v="25"/>
    <n v="1"/>
    <n v="25"/>
    <s v="UNCLASSIFIED"/>
    <m/>
    <s v="Portland Cement Concrete Pavement"/>
    <s v="9-Inch"/>
    <x v="24"/>
    <x v="23"/>
    <n v="175"/>
    <s v="SY"/>
    <x v="3"/>
    <x v="3"/>
    <s v="kw_paving_earthwork"/>
  </r>
  <r>
    <n v="26"/>
    <n v="1"/>
    <n v="26"/>
    <s v="UNCLASSIFIED"/>
    <m/>
    <s v="Pavement Marking"/>
    <m/>
    <x v="25"/>
    <x v="24"/>
    <n v="1"/>
    <s v="LS"/>
    <x v="3"/>
    <x v="3"/>
    <s v="kw_paving_earthwork"/>
  </r>
  <r>
    <n v="27"/>
    <n v="1"/>
    <n v="27"/>
    <s v="UNCLASSIFIED"/>
    <m/>
    <s v="Guard Rail Removal and Replacement"/>
    <m/>
    <x v="26"/>
    <x v="25"/>
    <n v="72"/>
    <s v="LF"/>
    <x v="2"/>
    <x v="2"/>
    <s v="kw_demo_remediation"/>
  </r>
  <r>
    <n v="28"/>
    <n v="1"/>
    <n v="28"/>
    <s v="UNCLASSIFIED"/>
    <m/>
    <s v="Area Seeding"/>
    <m/>
    <x v="27"/>
    <x v="26"/>
    <n v="1"/>
    <s v="LS"/>
    <x v="1"/>
    <x v="1"/>
    <s v="kw_landscape_env"/>
  </r>
  <r>
    <n v="29"/>
    <n v="1"/>
    <n v="29"/>
    <s v="UNCLASSIFIED"/>
    <m/>
    <s v="Stormwater Flow Through Pollution Reduction Facility"/>
    <m/>
    <x v="28"/>
    <x v="27"/>
    <n v="1"/>
    <s v="LS"/>
    <x v="5"/>
    <x v="5"/>
    <s v="kw_piping_drainage"/>
  </r>
  <r>
    <n v="30"/>
    <n v="1"/>
    <n v="30"/>
    <s v="UNCLASSIFIED"/>
    <m/>
    <s v="Landscape Restoration"/>
    <m/>
    <x v="29"/>
    <x v="28"/>
    <n v="1"/>
    <s v="LS"/>
    <x v="1"/>
    <x v="1"/>
    <s v="kw_landscape_env"/>
  </r>
  <r>
    <n v="31"/>
    <n v="2"/>
    <n v="1"/>
    <n v="12200"/>
    <m/>
    <s v="Mobilization, Cleanup, and Demobilization"/>
    <m/>
    <x v="30"/>
    <x v="29"/>
    <n v="1"/>
    <s v="LS"/>
    <x v="0"/>
    <x v="0"/>
    <s v="spec_temp_traffic"/>
  </r>
  <r>
    <n v="32"/>
    <n v="2"/>
    <n v="2"/>
    <n v="12200"/>
    <m/>
    <s v="Sweeper"/>
    <m/>
    <x v="31"/>
    <x v="30"/>
    <n v="1"/>
    <s v="LS"/>
    <x v="0"/>
    <x v="0"/>
    <s v="spec_temp_traffic"/>
  </r>
  <r>
    <n v="33"/>
    <n v="2"/>
    <n v="3"/>
    <n v="12200"/>
    <m/>
    <s v="Security Control Monitoring"/>
    <m/>
    <x v="32"/>
    <x v="31"/>
    <n v="1"/>
    <s v="LS"/>
    <x v="0"/>
    <x v="0"/>
    <s v="spec_temp_traffic"/>
  </r>
  <r>
    <n v="34"/>
    <n v="2"/>
    <n v="4"/>
    <n v="12200"/>
    <m/>
    <s v="Work Zone and Traffic Control"/>
    <m/>
    <x v="33"/>
    <x v="32"/>
    <n v="1"/>
    <s v="LS"/>
    <x v="0"/>
    <x v="0"/>
    <s v="spec_temp_traffic"/>
  </r>
  <r>
    <n v="35"/>
    <n v="2"/>
    <n v="5"/>
    <n v="12200"/>
    <m/>
    <s v="Escort"/>
    <m/>
    <x v="34"/>
    <x v="33"/>
    <n v="1"/>
    <s v="LS"/>
    <x v="0"/>
    <x v="0"/>
    <s v="spec_temp_traffic"/>
  </r>
  <r>
    <n v="36"/>
    <n v="2"/>
    <n v="6"/>
    <n v="12200"/>
    <m/>
    <s v="Delineators"/>
    <m/>
    <x v="35"/>
    <x v="34"/>
    <n v="5"/>
    <s v="EACH"/>
    <x v="0"/>
    <x v="0"/>
    <s v="spec_temp_traffic"/>
  </r>
  <r>
    <n v="37"/>
    <n v="2"/>
    <n v="6"/>
    <n v="15713"/>
    <m/>
    <s v="Construction Access"/>
    <m/>
    <x v="36"/>
    <x v="35"/>
    <n v="2"/>
    <s v="EACH"/>
    <x v="0"/>
    <x v="0"/>
    <s v="spec_temp_traffic"/>
  </r>
  <r>
    <n v="38"/>
    <n v="2"/>
    <n v="7"/>
    <n v="15713"/>
    <m/>
    <s v="Inlet Protection"/>
    <m/>
    <x v="37"/>
    <x v="36"/>
    <n v="86"/>
    <s v="EACH"/>
    <x v="0"/>
    <x v="0"/>
    <s v="spec_temp_traffic"/>
  </r>
  <r>
    <n v="39"/>
    <n v="2"/>
    <n v="7"/>
    <n v="15713"/>
    <m/>
    <s v="Inlet Protection"/>
    <m/>
    <x v="37"/>
    <x v="36"/>
    <n v="15"/>
    <s v="EACH"/>
    <x v="0"/>
    <x v="0"/>
    <s v="spec_temp_traffic"/>
  </r>
  <r>
    <n v="40"/>
    <n v="2"/>
    <n v="8"/>
    <n v="15713"/>
    <m/>
    <s v="Jet Blast Control Material"/>
    <m/>
    <x v="38"/>
    <x v="37"/>
    <n v="0.2"/>
    <s v="ACRE"/>
    <x v="0"/>
    <x v="0"/>
    <s v="spec_temp_traffic"/>
  </r>
  <r>
    <n v="41"/>
    <n v="2"/>
    <n v="8"/>
    <s v="UNCLASSIFIED"/>
    <m/>
    <s v="Construction Survey (Item GP-50)"/>
    <m/>
    <x v="39"/>
    <x v="38"/>
    <n v="1"/>
    <s v="LS"/>
    <x v="0"/>
    <x v="0"/>
    <s v="kw_temp_traffic"/>
  </r>
  <r>
    <n v="42"/>
    <n v="2"/>
    <n v="9"/>
    <s v="P-101"/>
    <m/>
    <s v="Joint and Crack Repair"/>
    <m/>
    <x v="40"/>
    <x v="39"/>
    <n v="1000"/>
    <s v="LF"/>
    <x v="3"/>
    <x v="3"/>
    <s v="spec_paving_earthwork"/>
  </r>
  <r>
    <n v="43"/>
    <n v="2"/>
    <n v="9"/>
    <s v="UNCLASSIFIED"/>
    <m/>
    <s v="Construction Survey (Item GP-50)"/>
    <m/>
    <x v="39"/>
    <x v="38"/>
    <n v="1"/>
    <s v="LS"/>
    <x v="0"/>
    <x v="0"/>
    <s v="kw_temp_traffic"/>
  </r>
  <r>
    <n v="44"/>
    <n v="2"/>
    <n v="10"/>
    <s v="P-101"/>
    <m/>
    <s v="Asphalt Pavement Removal"/>
    <s v="3-Inch Depth"/>
    <x v="41"/>
    <x v="40"/>
    <n v="100"/>
    <s v="SY"/>
    <x v="3"/>
    <x v="3"/>
    <s v="spec_paving_earthwork"/>
  </r>
  <r>
    <n v="45"/>
    <n v="2"/>
    <n v="10"/>
    <s v="P-101"/>
    <m/>
    <s v="Cold Milling"/>
    <s v="2-Inch Maximum Depth"/>
    <x v="42"/>
    <x v="41"/>
    <n v="58100"/>
    <s v="SY"/>
    <x v="3"/>
    <x v="3"/>
    <s v="spec_paving_earthwork"/>
  </r>
  <r>
    <n v="46"/>
    <n v="2"/>
    <n v="11"/>
    <s v="P-101"/>
    <m/>
    <s v="Asphalt Pavement Removal"/>
    <s v="8-Inch Depth"/>
    <x v="43"/>
    <x v="40"/>
    <n v="1700"/>
    <s v="SY"/>
    <x v="3"/>
    <x v="3"/>
    <s v="spec_paving_earthwork"/>
  </r>
  <r>
    <n v="47"/>
    <n v="2"/>
    <n v="11"/>
    <s v="P-101"/>
    <m/>
    <s v="Cold Milling"/>
    <s v="4.5-Inch Maximum Depth"/>
    <x v="44"/>
    <x v="41"/>
    <n v="30400"/>
    <s v="SY"/>
    <x v="3"/>
    <x v="3"/>
    <s v="spec_paving_earthwork"/>
  </r>
  <r>
    <n v="48"/>
    <n v="2"/>
    <n v="12"/>
    <s v="P-101"/>
    <m/>
    <s v="Cold Milling"/>
    <s v="2-Inch Maximum Depth"/>
    <x v="42"/>
    <x v="41"/>
    <n v="550"/>
    <s v="SY"/>
    <x v="3"/>
    <x v="3"/>
    <s v="spec_paving_earthwork"/>
  </r>
  <r>
    <n v="49"/>
    <n v="2"/>
    <n v="12"/>
    <s v="P-156"/>
    <m/>
    <s v="Silt Fence"/>
    <m/>
    <x v="45"/>
    <x v="42"/>
    <n v="4200"/>
    <s v="LF"/>
    <x v="3"/>
    <x v="3"/>
    <s v="spec_paving_earthwork"/>
  </r>
  <r>
    <n v="50"/>
    <n v="2"/>
    <n v="13"/>
    <s v="P-401"/>
    <m/>
    <s v="Hot Mix Asphalt (HMA) Bituminous Surface Course"/>
    <m/>
    <x v="46"/>
    <x v="43"/>
    <n v="15000"/>
    <s v="TON"/>
    <x v="3"/>
    <x v="3"/>
    <s v="spec_paving_earthwork"/>
  </r>
  <r>
    <n v="51"/>
    <n v="2"/>
    <n v="13"/>
    <s v="UNCLASSIFIED"/>
    <m/>
    <s v="Borrow Excavation (P-152)"/>
    <m/>
    <x v="47"/>
    <x v="44"/>
    <n v="14500"/>
    <s v="CY"/>
    <x v="3"/>
    <x v="3"/>
    <s v="kw_paving_earthwork"/>
  </r>
  <r>
    <n v="52"/>
    <n v="2"/>
    <n v="14"/>
    <s v="P-152"/>
    <m/>
    <s v="Unsuitable Excavation"/>
    <m/>
    <x v="48"/>
    <x v="45"/>
    <n v="250"/>
    <s v="CY"/>
    <x v="3"/>
    <x v="3"/>
    <s v="spec_paving_earthwork"/>
  </r>
  <r>
    <n v="53"/>
    <n v="2"/>
    <n v="14"/>
    <s v="P-403"/>
    <m/>
    <s v="Hot Mix Asphalt (HMA) Base Course"/>
    <m/>
    <x v="49"/>
    <x v="46"/>
    <n v="8500"/>
    <s v="TON"/>
    <x v="3"/>
    <x v="3"/>
    <s v="spec_paving_earthwork"/>
  </r>
  <r>
    <n v="54"/>
    <n v="2"/>
    <n v="15"/>
    <s v="P-152"/>
    <m/>
    <s v="Geotextile"/>
    <m/>
    <x v="50"/>
    <x v="47"/>
    <n v="1600"/>
    <s v="SY"/>
    <x v="3"/>
    <x v="3"/>
    <s v="spec_paving_earthwork"/>
  </r>
  <r>
    <n v="55"/>
    <n v="2"/>
    <n v="15"/>
    <s v="P-603"/>
    <m/>
    <s v="Bituminous Tack Coat"/>
    <m/>
    <x v="51"/>
    <x v="48"/>
    <n v="9500"/>
    <s v="GAL"/>
    <x v="3"/>
    <x v="3"/>
    <s v="spec_paving_earthwork"/>
  </r>
  <r>
    <n v="56"/>
    <n v="2"/>
    <n v="16"/>
    <s v="P-153"/>
    <m/>
    <s v="Controlled Low - Strength Material (CLSM)"/>
    <m/>
    <x v="52"/>
    <x v="49"/>
    <n v="750"/>
    <s v="CY"/>
    <x v="3"/>
    <x v="3"/>
    <s v="spec_paving_earthwork"/>
  </r>
  <r>
    <n v="57"/>
    <n v="2"/>
    <n v="16"/>
    <s v="P-605"/>
    <m/>
    <s v="Joint Sealing Filler"/>
    <m/>
    <x v="53"/>
    <x v="50"/>
    <n v="25"/>
    <s v="GAL"/>
    <x v="3"/>
    <x v="3"/>
    <s v="spec_paving_earthwork"/>
  </r>
  <r>
    <n v="58"/>
    <n v="2"/>
    <n v="17"/>
    <s v="P-154"/>
    <m/>
    <s v="Subbase Course"/>
    <m/>
    <x v="54"/>
    <x v="51"/>
    <n v="150"/>
    <s v="CY"/>
    <x v="3"/>
    <x v="3"/>
    <s v="spec_paving_earthwork"/>
  </r>
  <r>
    <n v="59"/>
    <n v="2"/>
    <n v="17"/>
    <s v="P-606"/>
    <m/>
    <s v="Adhesive Compound"/>
    <m/>
    <x v="55"/>
    <x v="52"/>
    <n v="60"/>
    <s v="GAL"/>
    <x v="3"/>
    <x v="3"/>
    <s v="spec_paving_earthwork"/>
  </r>
  <r>
    <n v="60"/>
    <n v="2"/>
    <n v="18"/>
    <s v="P-156"/>
    <m/>
    <s v="Silt Fence"/>
    <m/>
    <x v="45"/>
    <x v="42"/>
    <n v="2300"/>
    <s v="LF"/>
    <x v="3"/>
    <x v="3"/>
    <s v="spec_paving_earthwork"/>
  </r>
  <r>
    <n v="61"/>
    <n v="2"/>
    <n v="18"/>
    <s v="P-608"/>
    <m/>
    <s v="Asphalt Surface Treatment"/>
    <m/>
    <x v="56"/>
    <x v="53"/>
    <n v="19600"/>
    <s v="SY"/>
    <x v="3"/>
    <x v="3"/>
    <s v="spec_paving_earthwork"/>
  </r>
  <r>
    <n v="62"/>
    <n v="2"/>
    <n v="19"/>
    <s v="P-209"/>
    <m/>
    <s v="Crushed Aggregate Base Course"/>
    <m/>
    <x v="57"/>
    <x v="54"/>
    <n v="650"/>
    <s v="CY"/>
    <x v="3"/>
    <x v="3"/>
    <s v="spec_paving_earthwork"/>
  </r>
  <r>
    <n v="63"/>
    <n v="2"/>
    <n v="19"/>
    <s v="P-608"/>
    <m/>
    <s v="Runway Friction Testing"/>
    <m/>
    <x v="58"/>
    <x v="55"/>
    <n v="1"/>
    <s v="LS"/>
    <x v="3"/>
    <x v="3"/>
    <s v="spec_paving_earthwork"/>
  </r>
  <r>
    <n v="64"/>
    <n v="2"/>
    <n v="20"/>
    <s v="P-403"/>
    <m/>
    <s v="Hot Mix Asphalt (HMA) Pavement Base Course"/>
    <m/>
    <x v="59"/>
    <x v="56"/>
    <n v="750"/>
    <s v="TON"/>
    <x v="3"/>
    <x v="3"/>
    <s v="spec_paving_earthwork"/>
  </r>
  <r>
    <n v="65"/>
    <n v="2"/>
    <n v="20"/>
    <s v="P-610"/>
    <m/>
    <s v="Structural Portland Cement Concrete (PCC)"/>
    <m/>
    <x v="60"/>
    <x v="57"/>
    <n v="30"/>
    <s v="CY"/>
    <x v="3"/>
    <x v="3"/>
    <s v="spec_paving_earthwork"/>
  </r>
  <r>
    <n v="66"/>
    <n v="2"/>
    <n v="21"/>
    <s v="P-603"/>
    <m/>
    <s v="Bituminous Tack Coat"/>
    <m/>
    <x v="51"/>
    <x v="48"/>
    <n v="140"/>
    <s v="GAL"/>
    <x v="3"/>
    <x v="3"/>
    <s v="spec_paving_earthwork"/>
  </r>
  <r>
    <n v="67"/>
    <n v="2"/>
    <n v="21"/>
    <s v="P-610"/>
    <m/>
    <s v="Steel Reinforcement"/>
    <m/>
    <x v="61"/>
    <x v="58"/>
    <n v="400"/>
    <s v="LB"/>
    <x v="3"/>
    <x v="3"/>
    <s v="spec_paving_earthwork"/>
  </r>
  <r>
    <n v="68"/>
    <n v="2"/>
    <n v="22"/>
    <s v="P-610"/>
    <m/>
    <s v="Steel Reinforcement"/>
    <m/>
    <x v="61"/>
    <x v="58"/>
    <n v="1830"/>
    <s v="LB"/>
    <x v="3"/>
    <x v="3"/>
    <s v="spec_paving_earthwork"/>
  </r>
  <r>
    <n v="69"/>
    <n v="2"/>
    <n v="22"/>
    <s v="P-620"/>
    <m/>
    <s v="Runway Marking"/>
    <m/>
    <x v="62"/>
    <x v="59"/>
    <n v="92000"/>
    <s v="SF"/>
    <x v="3"/>
    <x v="3"/>
    <s v="spec_paving_earthwork"/>
  </r>
  <r>
    <n v="70"/>
    <n v="2"/>
    <n v="23"/>
    <s v="P-620"/>
    <m/>
    <s v="Reflective Media"/>
    <m/>
    <x v="63"/>
    <x v="60"/>
    <n v="5600"/>
    <s v="LB"/>
    <x v="3"/>
    <x v="3"/>
    <s v="spec_paving_earthwork"/>
  </r>
  <r>
    <n v="71"/>
    <n v="2"/>
    <n v="23"/>
    <s v="P-620"/>
    <m/>
    <s v="Runway Marking"/>
    <m/>
    <x v="62"/>
    <x v="59"/>
    <n v="750"/>
    <s v="SF"/>
    <x v="3"/>
    <x v="3"/>
    <s v="spec_paving_earthwork"/>
  </r>
  <r>
    <n v="72"/>
    <n v="2"/>
    <n v="24"/>
    <s v="P-620"/>
    <m/>
    <s v="Phasing Pavement Marking"/>
    <m/>
    <x v="64"/>
    <x v="61"/>
    <n v="7250"/>
    <s v="SF"/>
    <x v="3"/>
    <x v="3"/>
    <s v="spec_paving_earthwork"/>
  </r>
  <r>
    <n v="73"/>
    <n v="2"/>
    <n v="24"/>
    <s v="P-620"/>
    <m/>
    <s v="Reflective Media"/>
    <m/>
    <x v="63"/>
    <x v="60"/>
    <n v="50"/>
    <s v="LB"/>
    <x v="3"/>
    <x v="3"/>
    <s v="spec_paving_earthwork"/>
  </r>
  <r>
    <n v="74"/>
    <n v="2"/>
    <n v="25"/>
    <s v="D-701"/>
    <m/>
    <s v="STS Pipe"/>
    <s v="8-Inch"/>
    <x v="65"/>
    <x v="62"/>
    <n v="439"/>
    <s v="LF"/>
    <x v="5"/>
    <x v="6"/>
    <s v="spec_drainage_structures"/>
  </r>
  <r>
    <n v="75"/>
    <n v="2"/>
    <n v="25"/>
    <s v="P-621"/>
    <m/>
    <s v="Grooving"/>
    <m/>
    <x v="66"/>
    <x v="63"/>
    <n v="78600"/>
    <s v="SY"/>
    <x v="3"/>
    <x v="3"/>
    <s v="spec_paving_earthwork"/>
  </r>
  <r>
    <n v="76"/>
    <n v="2"/>
    <n v="26"/>
    <s v="D-701"/>
    <m/>
    <s v="STS Pipe"/>
    <s v="12-Inch"/>
    <x v="67"/>
    <x v="62"/>
    <n v="749"/>
    <s v="LF"/>
    <x v="5"/>
    <x v="6"/>
    <s v="spec_drainage_structures"/>
  </r>
  <r>
    <n v="77"/>
    <n v="2"/>
    <n v="26"/>
    <s v="L-108"/>
    <m/>
    <s v="No. 8 AWG 5kV Cable"/>
    <m/>
    <x v="68"/>
    <x v="64"/>
    <n v="5000"/>
    <s v="LF"/>
    <x v="6"/>
    <x v="7"/>
    <s v="spec_airfield_lighting"/>
  </r>
  <r>
    <n v="78"/>
    <n v="2"/>
    <n v="27"/>
    <s v="D-701"/>
    <m/>
    <s v="STS Pipe"/>
    <s v="48-Inch"/>
    <x v="69"/>
    <x v="62"/>
    <n v="2336"/>
    <s v="LF"/>
    <x v="5"/>
    <x v="6"/>
    <s v="spec_drainage_structures"/>
  </r>
  <r>
    <n v="79"/>
    <n v="2"/>
    <n v="27"/>
    <s v="L-108"/>
    <m/>
    <s v="No. 6 AWG Solid Wire for Counterpoise"/>
    <m/>
    <x v="70"/>
    <x v="65"/>
    <n v="1060"/>
    <s v="LF"/>
    <x v="6"/>
    <x v="7"/>
    <s v="spec_airfield_lighting"/>
  </r>
  <r>
    <n v="80"/>
    <n v="2"/>
    <n v="28"/>
    <s v="D-701"/>
    <m/>
    <s v="RCP Pipe"/>
    <s v="12-Inch"/>
    <x v="71"/>
    <x v="66"/>
    <n v="52"/>
    <s v="LF"/>
    <x v="5"/>
    <x v="6"/>
    <s v="spec_drainage_structures"/>
  </r>
  <r>
    <n v="81"/>
    <n v="2"/>
    <n v="28"/>
    <s v="L-108"/>
    <m/>
    <s v="Heat Shrink for 5kV L-823 Primary Connector"/>
    <m/>
    <x v="72"/>
    <x v="67"/>
    <n v="485"/>
    <s v="EACH"/>
    <x v="6"/>
    <x v="7"/>
    <s v="spec_airfield_lighting"/>
  </r>
  <r>
    <n v="82"/>
    <n v="2"/>
    <n v="29"/>
    <s v="D-701"/>
    <m/>
    <s v="RCP Pipe"/>
    <s v="24-Inch"/>
    <x v="73"/>
    <x v="66"/>
    <n v="58"/>
    <s v="LF"/>
    <x v="5"/>
    <x v="6"/>
    <s v="spec_drainage_structures"/>
  </r>
  <r>
    <n v="83"/>
    <n v="2"/>
    <n v="29"/>
    <s v="L-108"/>
    <m/>
    <s v="Ground Rod for Counterpoise"/>
    <m/>
    <x v="74"/>
    <x v="68"/>
    <n v="6"/>
    <s v="EACH"/>
    <x v="6"/>
    <x v="7"/>
    <s v="spec_airfield_lighting"/>
  </r>
  <r>
    <n v="84"/>
    <n v="2"/>
    <n v="30"/>
    <s v="D-751"/>
    <m/>
    <s v="Manhole, Type B"/>
    <s v="48-Inch"/>
    <x v="75"/>
    <x v="69"/>
    <n v="1"/>
    <s v="EACH"/>
    <x v="5"/>
    <x v="6"/>
    <s v="spec_drainage_structures"/>
  </r>
  <r>
    <n v="85"/>
    <n v="2"/>
    <n v="30"/>
    <s v="L-110"/>
    <m/>
    <s v="IMC in Existing AC"/>
    <s v="1-Inch"/>
    <x v="76"/>
    <x v="70"/>
    <n v="25"/>
    <s v="LF"/>
    <x v="6"/>
    <x v="7"/>
    <s v="spec_airfield_lighting"/>
  </r>
  <r>
    <n v="86"/>
    <n v="2"/>
    <n v="31"/>
    <s v="D-751"/>
    <m/>
    <s v="Manhole, Ditch Inlet"/>
    <s v="48-Inch"/>
    <x v="77"/>
    <x v="71"/>
    <n v="1"/>
    <s v="EACH"/>
    <x v="5"/>
    <x v="6"/>
    <s v="spec_drainage_structures"/>
  </r>
  <r>
    <n v="87"/>
    <n v="2"/>
    <n v="31"/>
    <s v="L-110"/>
    <m/>
    <s v="PVC Direct Buried"/>
    <s v="2-Inch"/>
    <x v="78"/>
    <x v="72"/>
    <n v="65"/>
    <s v="LF"/>
    <x v="6"/>
    <x v="7"/>
    <s v="spec_airfield_lighting"/>
  </r>
  <r>
    <n v="88"/>
    <n v="2"/>
    <n v="32"/>
    <s v="D-751"/>
    <m/>
    <s v="Manhole, Type A"/>
    <s v="72-Inch"/>
    <x v="79"/>
    <x v="73"/>
    <n v="6"/>
    <s v="EACH"/>
    <x v="5"/>
    <x v="6"/>
    <s v="spec_drainage_structures"/>
  </r>
  <r>
    <n v="89"/>
    <n v="2"/>
    <n v="32"/>
    <s v="L-110"/>
    <m/>
    <s v="PVC in Existing AC"/>
    <s v="2-Inch"/>
    <x v="80"/>
    <x v="74"/>
    <n v="1190"/>
    <s v="LF"/>
    <x v="6"/>
    <x v="7"/>
    <s v="spec_airfield_lighting"/>
  </r>
  <r>
    <n v="90"/>
    <n v="2"/>
    <n v="33"/>
    <n v="26100"/>
    <m/>
    <s v="Contaminated Material Excavation and Disposal"/>
    <m/>
    <x v="81"/>
    <x v="75"/>
    <n v="250"/>
    <s v="TON"/>
    <x v="2"/>
    <x v="2"/>
    <s v="spec_demo_remediation"/>
  </r>
  <r>
    <n v="91"/>
    <n v="2"/>
    <n v="33"/>
    <s v="D-751"/>
    <m/>
    <s v="Manhole, Type A"/>
    <s v="84-Inch"/>
    <x v="82"/>
    <x v="73"/>
    <n v="1"/>
    <s v="EACH"/>
    <x v="5"/>
    <x v="6"/>
    <s v="spec_drainage_structures"/>
  </r>
  <r>
    <n v="92"/>
    <n v="2"/>
    <n v="34"/>
    <n v="260500"/>
    <m/>
    <s v="General Electrical Removal"/>
    <m/>
    <x v="83"/>
    <x v="76"/>
    <n v="1"/>
    <s v="LS"/>
    <x v="6"/>
    <x v="8"/>
    <s v="spec_power_distribution"/>
  </r>
  <r>
    <n v="93"/>
    <n v="2"/>
    <n v="34"/>
    <s v="D-751"/>
    <m/>
    <s v="Catch Basin"/>
    <m/>
    <x v="84"/>
    <x v="77"/>
    <n v="4"/>
    <s v="EACH"/>
    <x v="5"/>
    <x v="6"/>
    <s v="spec_drainage_structures"/>
  </r>
  <r>
    <n v="94"/>
    <n v="2"/>
    <n v="35"/>
    <n v="260500"/>
    <m/>
    <s v="Temporary Circuit Connection"/>
    <m/>
    <x v="85"/>
    <x v="78"/>
    <n v="1"/>
    <s v="LS"/>
    <x v="6"/>
    <x v="8"/>
    <s v="spec_power_distribution"/>
  </r>
  <r>
    <n v="95"/>
    <n v="2"/>
    <n v="35"/>
    <s v="T-901"/>
    <m/>
    <s v="Seeding"/>
    <m/>
    <x v="86"/>
    <x v="79"/>
    <n v="17.3"/>
    <s v="ACRE"/>
    <x v="1"/>
    <x v="1"/>
    <s v="spec_landscape"/>
  </r>
  <r>
    <n v="96"/>
    <n v="2"/>
    <n v="36"/>
    <n v="260553"/>
    <m/>
    <s v="Diameter Brass Marker"/>
    <s v="3-Inch"/>
    <x v="87"/>
    <x v="80"/>
    <n v="2"/>
    <s v="EACH"/>
    <x v="6"/>
    <x v="8"/>
    <s v="spec_power_distribution"/>
  </r>
  <r>
    <n v="97"/>
    <n v="2"/>
    <n v="36"/>
    <n v="312300"/>
    <m/>
    <s v="Removal of Existing Storm Pipe, Manholes, and Inlets"/>
    <m/>
    <x v="88"/>
    <x v="81"/>
    <n v="1"/>
    <s v="LS"/>
    <x v="5"/>
    <x v="6"/>
    <s v="spec_drainage_structures"/>
  </r>
  <r>
    <n v="98"/>
    <n v="2"/>
    <n v="37"/>
    <n v="312300"/>
    <m/>
    <s v="Connection to Existing Storm Drainage System"/>
    <m/>
    <x v="89"/>
    <x v="82"/>
    <n v="17"/>
    <s v="EACH"/>
    <x v="5"/>
    <x v="6"/>
    <s v="spec_drainage_structures"/>
  </r>
  <r>
    <n v="99"/>
    <n v="2"/>
    <n v="37"/>
    <n v="344300"/>
    <m/>
    <s v="Install PF LED Taxiway Centerline Light with PF Base Can, CF Transformer in New AC"/>
    <m/>
    <x v="90"/>
    <x v="83"/>
    <n v="21"/>
    <s v="EACH"/>
    <x v="6"/>
    <x v="7"/>
    <s v="spec_airfield_lighting"/>
  </r>
  <r>
    <n v="100"/>
    <n v="2"/>
    <n v="38"/>
    <n v="312300"/>
    <m/>
    <s v="Existing Manhole Adjustment to Grade"/>
    <m/>
    <x v="91"/>
    <x v="84"/>
    <n v="1"/>
    <s v="EACH"/>
    <x v="5"/>
    <x v="6"/>
    <s v="spec_drainage_structures"/>
  </r>
  <r>
    <n v="101"/>
    <n v="2"/>
    <n v="38"/>
    <n v="344300"/>
    <m/>
    <s v="Install PF LED Taxiway Centerline Light on Existing Base Can with CF Isolation Transformer"/>
    <m/>
    <x v="92"/>
    <x v="85"/>
    <n v="9"/>
    <s v="EACH"/>
    <x v="6"/>
    <x v="7"/>
    <s v="spec_airfield_lighting"/>
  </r>
  <r>
    <n v="102"/>
    <n v="2"/>
    <n v="39"/>
    <n v="312300"/>
    <m/>
    <s v="Existing Catch Basin Adjustment to Grade"/>
    <m/>
    <x v="93"/>
    <x v="86"/>
    <n v="1"/>
    <s v="EACH"/>
    <x v="5"/>
    <x v="6"/>
    <s v="spec_drainage_structures"/>
  </r>
  <r>
    <n v="103"/>
    <n v="2"/>
    <n v="39"/>
    <n v="344300"/>
    <m/>
    <s v="Install PF L-868, 12-Inch Diameter Base Can, PF Cover Plate in New AC"/>
    <m/>
    <x v="94"/>
    <x v="87"/>
    <n v="15"/>
    <s v="EACH"/>
    <x v="6"/>
    <x v="7"/>
    <s v="spec_airfield_lighting"/>
  </r>
  <r>
    <n v="104"/>
    <n v="2"/>
    <n v="40"/>
    <n v="312300"/>
    <m/>
    <s v="Adjustment of Existing Structures (H-20 Rated Vaults)"/>
    <m/>
    <x v="95"/>
    <x v="88"/>
    <n v="9"/>
    <s v="EACH"/>
    <x v="5"/>
    <x v="6"/>
    <s v="spec_drainage_structures"/>
  </r>
  <r>
    <n v="105"/>
    <n v="2"/>
    <n v="40"/>
    <n v="344300"/>
    <m/>
    <s v="Install PF L-867, 12-Inch Diameter Base Can, PF Cover Plate in Existing AC"/>
    <m/>
    <x v="96"/>
    <x v="89"/>
    <n v="2"/>
    <s v="EACH"/>
    <x v="6"/>
    <x v="7"/>
    <s v="spec_airfield_lighting"/>
  </r>
  <r>
    <n v="106"/>
    <n v="2"/>
    <n v="41"/>
    <n v="312300"/>
    <m/>
    <s v="Adjustment of Existing Structures (229 Kip Rated Vaults)"/>
    <m/>
    <x v="97"/>
    <x v="90"/>
    <n v="1"/>
    <s v="EACH"/>
    <x v="5"/>
    <x v="6"/>
    <s v="spec_drainage_structures"/>
  </r>
  <r>
    <n v="107"/>
    <n v="2"/>
    <n v="41"/>
    <n v="344300"/>
    <m/>
    <s v="Install PF Cover Plate on Existing Light Base"/>
    <m/>
    <x v="98"/>
    <x v="91"/>
    <n v="21"/>
    <s v="EACH"/>
    <x v="6"/>
    <x v="7"/>
    <s v="spec_airfield_lighting"/>
  </r>
  <r>
    <n v="108"/>
    <n v="2"/>
    <n v="42"/>
    <n v="334100"/>
    <m/>
    <s v="DIP (Force Main)"/>
    <s v="12-Inch"/>
    <x v="99"/>
    <x v="92"/>
    <n v="91"/>
    <s v="LF"/>
    <x v="5"/>
    <x v="5"/>
    <s v="spec_piping_utility"/>
  </r>
  <r>
    <n v="109"/>
    <n v="2"/>
    <n v="42"/>
    <n v="344301"/>
    <m/>
    <s v="Adjust Existing Elevated Runway Threshold/Edge Light"/>
    <m/>
    <x v="100"/>
    <x v="93"/>
    <n v="21"/>
    <s v="EACH"/>
    <x v="6"/>
    <x v="7"/>
    <s v="spec_airfield_lighting"/>
  </r>
  <r>
    <n v="110"/>
    <n v="2"/>
    <n v="43"/>
    <n v="334100"/>
    <m/>
    <s v="DIP (Force Main)"/>
    <s v="30-Inch"/>
    <x v="101"/>
    <x v="92"/>
    <n v="77"/>
    <s v="LF"/>
    <x v="5"/>
    <x v="5"/>
    <s v="spec_piping_utility"/>
  </r>
  <r>
    <n v="111"/>
    <n v="2"/>
    <n v="43"/>
    <n v="344301"/>
    <m/>
    <s v="Adjust Existing In-Pavement Runway Edge Light"/>
    <m/>
    <x v="102"/>
    <x v="94"/>
    <n v="8"/>
    <s v="EACH"/>
    <x v="6"/>
    <x v="7"/>
    <s v="spec_airfield_lighting"/>
  </r>
  <r>
    <n v="112"/>
    <n v="2"/>
    <n v="44"/>
    <n v="334100"/>
    <m/>
    <s v="Riprap"/>
    <m/>
    <x v="103"/>
    <x v="95"/>
    <n v="50"/>
    <s v="CY"/>
    <x v="5"/>
    <x v="5"/>
    <s v="spec_piping_utility"/>
  </r>
  <r>
    <n v="113"/>
    <n v="2"/>
    <n v="44"/>
    <n v="344302"/>
    <m/>
    <s v="Sign E6-6"/>
    <m/>
    <x v="104"/>
    <x v="96"/>
    <n v="1"/>
    <s v="LS"/>
    <x v="6"/>
    <x v="9"/>
    <s v="spec_airfield_signage"/>
  </r>
  <r>
    <n v="114"/>
    <n v="2"/>
    <n v="45"/>
    <n v="334213"/>
    <m/>
    <s v="Pump Station"/>
    <m/>
    <x v="105"/>
    <x v="97"/>
    <n v="1"/>
    <s v="LS"/>
    <x v="5"/>
    <x v="5"/>
    <s v="spec_piping_utility"/>
  </r>
  <r>
    <n v="115"/>
    <n v="2"/>
    <n v="45"/>
    <n v="344302"/>
    <m/>
    <s v="Sign E6-9"/>
    <m/>
    <x v="106"/>
    <x v="98"/>
    <n v="1"/>
    <s v="LS"/>
    <x v="6"/>
    <x v="9"/>
    <s v="spec_airfield_signage"/>
  </r>
  <r>
    <n v="116"/>
    <n v="2"/>
    <n v="46"/>
    <n v="334213"/>
    <m/>
    <s v="Pump Station Electrical Equipment Installation"/>
    <m/>
    <x v="107"/>
    <x v="99"/>
    <n v="1"/>
    <s v="LS"/>
    <x v="5"/>
    <x v="5"/>
    <s v="spec_piping_utility"/>
  </r>
  <r>
    <n v="117"/>
    <n v="2"/>
    <n v="46"/>
    <n v="344302"/>
    <m/>
    <s v="Sign G-3"/>
    <m/>
    <x v="108"/>
    <x v="100"/>
    <n v="1"/>
    <s v="LS"/>
    <x v="6"/>
    <x v="9"/>
    <s v="spec_airfield_signage"/>
  </r>
  <r>
    <n v="118"/>
    <n v="2"/>
    <n v="47"/>
    <s v="P-610"/>
    <m/>
    <s v="Structural Portland Cement Concrete (PCC)"/>
    <m/>
    <x v="60"/>
    <x v="57"/>
    <n v="85"/>
    <s v="CY"/>
    <x v="3"/>
    <x v="3"/>
    <s v="spec_paving_earthwork"/>
  </r>
  <r>
    <n v="119"/>
    <n v="2"/>
    <n v="48"/>
    <s v="L-108"/>
    <m/>
    <s v="No. 6 AWG Solid Wire for Counterpoise"/>
    <m/>
    <x v="70"/>
    <x v="65"/>
    <n v="310"/>
    <s v="LF"/>
    <x v="6"/>
    <x v="7"/>
    <s v="spec_airfield_lighting"/>
  </r>
  <r>
    <n v="120"/>
    <n v="2"/>
    <n v="49"/>
    <s v="L-108"/>
    <m/>
    <s v="Ground Rod for Counterpoise"/>
    <m/>
    <x v="74"/>
    <x v="68"/>
    <n v="8"/>
    <s v="EACH"/>
    <x v="6"/>
    <x v="7"/>
    <s v="spec_airfield_lighting"/>
  </r>
  <r>
    <n v="121"/>
    <n v="3"/>
    <e v="#REF!"/>
    <s v="UNCLASSIFIED"/>
    <m/>
    <e v="#REF!"/>
    <m/>
    <x v="109"/>
    <x v="101"/>
    <m/>
    <e v="#REF!"/>
    <x v="4"/>
    <x v="4"/>
    <s v="fallback_unmapped"/>
  </r>
  <r>
    <n v="122"/>
    <n v="3"/>
    <n v="1"/>
    <n v="12200"/>
    <m/>
    <s v="Mobilization, Cleanup, and Demobilization"/>
    <m/>
    <x v="30"/>
    <x v="29"/>
    <n v="1"/>
    <s v="LS"/>
    <x v="0"/>
    <x v="0"/>
    <s v="spec_temp_traffic"/>
  </r>
  <r>
    <n v="123"/>
    <n v="3"/>
    <n v="1"/>
    <n v="12200"/>
    <m/>
    <s v="Wildlife Access Road, Asphalt Grindings"/>
    <m/>
    <x v="110"/>
    <x v="102"/>
    <n v="200"/>
    <s v="CY"/>
    <x v="0"/>
    <x v="0"/>
    <s v="spec_temp_traffic"/>
  </r>
  <r>
    <n v="124"/>
    <n v="3"/>
    <n v="2"/>
    <n v="12200"/>
    <m/>
    <s v="Sweeper"/>
    <m/>
    <x v="31"/>
    <x v="30"/>
    <n v="1"/>
    <s v="LS"/>
    <x v="0"/>
    <x v="0"/>
    <s v="spec_temp_traffic"/>
  </r>
  <r>
    <n v="125"/>
    <n v="3"/>
    <n v="2"/>
    <s v="L-108"/>
    <m/>
    <s v="Heat Shrink for 5kV L-823 Primary Connector"/>
    <m/>
    <x v="72"/>
    <x v="67"/>
    <n v="435"/>
    <s v="EACH"/>
    <x v="6"/>
    <x v="7"/>
    <s v="spec_airfield_lighting"/>
  </r>
  <r>
    <n v="126"/>
    <n v="3"/>
    <n v="3"/>
    <n v="12200"/>
    <m/>
    <s v="Security Control Monitoring"/>
    <m/>
    <x v="32"/>
    <x v="31"/>
    <n v="1"/>
    <s v="LS"/>
    <x v="0"/>
    <x v="0"/>
    <s v="spec_temp_traffic"/>
  </r>
  <r>
    <n v="127"/>
    <n v="3"/>
    <n v="3"/>
    <s v="L-110"/>
    <m/>
    <s v="IMC in Existing AC"/>
    <s v="1-Inch"/>
    <x v="76"/>
    <x v="70"/>
    <n v="25"/>
    <s v="LF"/>
    <x v="6"/>
    <x v="7"/>
    <s v="spec_airfield_lighting"/>
  </r>
  <r>
    <n v="128"/>
    <n v="3"/>
    <n v="4"/>
    <n v="12200"/>
    <m/>
    <s v="Traffic Control"/>
    <m/>
    <x v="111"/>
    <x v="103"/>
    <n v="1"/>
    <s v="LS"/>
    <x v="0"/>
    <x v="0"/>
    <s v="spec_temp_traffic"/>
  </r>
  <r>
    <n v="129"/>
    <n v="3"/>
    <n v="4"/>
    <n v="260553"/>
    <m/>
    <s v="Diameter Brass Marker"/>
    <s v="3-Inch"/>
    <x v="87"/>
    <x v="80"/>
    <n v="3"/>
    <s v="EACH"/>
    <x v="6"/>
    <x v="8"/>
    <s v="spec_power_distribution"/>
  </r>
  <r>
    <n v="130"/>
    <n v="3"/>
    <n v="5"/>
    <n v="12200"/>
    <m/>
    <s v="Escort"/>
    <m/>
    <x v="34"/>
    <x v="33"/>
    <n v="1"/>
    <s v="LS"/>
    <x v="0"/>
    <x v="0"/>
    <s v="spec_temp_traffic"/>
  </r>
  <r>
    <n v="131"/>
    <n v="3"/>
    <n v="6"/>
    <n v="15713"/>
    <m/>
    <s v="Construction Access"/>
    <m/>
    <x v="36"/>
    <x v="35"/>
    <n v="2"/>
    <s v="EACH"/>
    <x v="0"/>
    <x v="0"/>
    <s v="spec_temp_traffic"/>
  </r>
  <r>
    <n v="132"/>
    <n v="3"/>
    <n v="7"/>
    <n v="15713"/>
    <m/>
    <s v="Jet Blast Control Material"/>
    <m/>
    <x v="38"/>
    <x v="37"/>
    <n v="2.5"/>
    <s v="ACRE"/>
    <x v="0"/>
    <x v="0"/>
    <s v="spec_temp_traffic"/>
  </r>
  <r>
    <n v="133"/>
    <n v="3"/>
    <n v="8"/>
    <n v="15713"/>
    <m/>
    <s v="Inlet Protection"/>
    <m/>
    <x v="37"/>
    <x v="36"/>
    <n v="85"/>
    <s v="EACH"/>
    <x v="0"/>
    <x v="0"/>
    <s v="spec_temp_traffic"/>
  </r>
  <r>
    <n v="134"/>
    <n v="3"/>
    <n v="9"/>
    <n v="15713"/>
    <m/>
    <s v="Ditch Protection/Check Dams"/>
    <m/>
    <x v="112"/>
    <x v="104"/>
    <n v="12"/>
    <s v="EACH"/>
    <x v="0"/>
    <x v="0"/>
    <s v="spec_temp_traffic"/>
  </r>
  <r>
    <n v="135"/>
    <n v="3"/>
    <n v="10"/>
    <n v="15713"/>
    <m/>
    <s v="Wattles"/>
    <m/>
    <x v="113"/>
    <x v="105"/>
    <n v="1000"/>
    <s v="LF"/>
    <x v="0"/>
    <x v="0"/>
    <s v="spec_temp_traffic"/>
  </r>
  <r>
    <n v="136"/>
    <n v="3"/>
    <n v="11"/>
    <s v="UNCLASSIFIED"/>
    <m/>
    <s v="Construction Survey (Item GP-50)"/>
    <m/>
    <x v="39"/>
    <x v="38"/>
    <n v="1"/>
    <s v="LS"/>
    <x v="0"/>
    <x v="0"/>
    <s v="kw_temp_traffic"/>
  </r>
  <r>
    <n v="137"/>
    <n v="3"/>
    <n v="12"/>
    <s v="P-101"/>
    <m/>
    <s v="PCC Pavement Removal"/>
    <s v="3&quot; Depth"/>
    <x v="114"/>
    <x v="106"/>
    <n v="375"/>
    <s v="SY"/>
    <x v="3"/>
    <x v="3"/>
    <s v="spec_paving_earthwork"/>
  </r>
  <r>
    <n v="138"/>
    <n v="3"/>
    <n v="13"/>
    <s v="P-101"/>
    <m/>
    <s v="PCC Pavement Removal"/>
    <s v="6&quot; Depth"/>
    <x v="115"/>
    <x v="106"/>
    <n v="950"/>
    <s v="SY"/>
    <x v="3"/>
    <x v="3"/>
    <s v="spec_paving_earthwork"/>
  </r>
  <r>
    <n v="139"/>
    <n v="3"/>
    <n v="14"/>
    <s v="P-101"/>
    <m/>
    <s v="Asphalt Pavement Removal"/>
    <s v="3&quot; Depth"/>
    <x v="116"/>
    <x v="40"/>
    <n v="19700"/>
    <s v="SY"/>
    <x v="3"/>
    <x v="3"/>
    <s v="spec_paving_earthwork"/>
  </r>
  <r>
    <n v="140"/>
    <n v="3"/>
    <n v="15"/>
    <s v="P-101"/>
    <m/>
    <s v="Asphalt Pavement Removal"/>
    <s v="5&quot; Depth"/>
    <x v="117"/>
    <x v="40"/>
    <n v="2100"/>
    <s v="SY"/>
    <x v="3"/>
    <x v="3"/>
    <s v="spec_paving_earthwork"/>
  </r>
  <r>
    <n v="141"/>
    <n v="3"/>
    <n v="16"/>
    <s v="P-101"/>
    <m/>
    <s v="Asphalt Pavement Removal"/>
    <s v="7.5&quot; Depth"/>
    <x v="118"/>
    <x v="40"/>
    <n v="2600"/>
    <s v="SY"/>
    <x v="3"/>
    <x v="3"/>
    <s v="spec_paving_earthwork"/>
  </r>
  <r>
    <n v="142"/>
    <n v="3"/>
    <n v="17"/>
    <s v="P-101"/>
    <m/>
    <s v="Asphalt Pavement Removal"/>
    <s v="12&quot; Depth"/>
    <x v="119"/>
    <x v="40"/>
    <n v="8700"/>
    <s v="SY"/>
    <x v="3"/>
    <x v="3"/>
    <s v="spec_paving_earthwork"/>
  </r>
  <r>
    <n v="143"/>
    <n v="3"/>
    <n v="18"/>
    <s v="P-101"/>
    <m/>
    <s v="Asphalt Pavement Removal"/>
    <s v="14&quot; Depth"/>
    <x v="120"/>
    <x v="40"/>
    <n v="950"/>
    <s v="SY"/>
    <x v="3"/>
    <x v="3"/>
    <s v="spec_paving_earthwork"/>
  </r>
  <r>
    <n v="144"/>
    <n v="3"/>
    <n v="19"/>
    <s v="P-101"/>
    <m/>
    <s v="Asphalt Pavement Removal"/>
    <s v="16&quot; Depth"/>
    <x v="121"/>
    <x v="40"/>
    <n v="15200"/>
    <s v="SY"/>
    <x v="3"/>
    <x v="3"/>
    <s v="spec_paving_earthwork"/>
  </r>
  <r>
    <n v="145"/>
    <n v="3"/>
    <n v="20"/>
    <s v="P-101"/>
    <m/>
    <s v="Asphalt Pavement Removal"/>
    <s v="20&quot; Depth"/>
    <x v="122"/>
    <x v="40"/>
    <n v="23600"/>
    <s v="SY"/>
    <x v="3"/>
    <x v="3"/>
    <s v="spec_paving_earthwork"/>
  </r>
  <r>
    <n v="146"/>
    <n v="3"/>
    <n v="21"/>
    <s v="P-101"/>
    <m/>
    <s v="Asphalt Pavement Removal"/>
    <s v="22&quot; Depth"/>
    <x v="123"/>
    <x v="40"/>
    <n v="6100"/>
    <s v="SY"/>
    <x v="3"/>
    <x v="3"/>
    <s v="spec_paving_earthwork"/>
  </r>
  <r>
    <n v="147"/>
    <n v="3"/>
    <n v="22"/>
    <s v="P-101"/>
    <m/>
    <s v="Asphalt Pavement Removal"/>
    <s v="12&quot; Depth Asphalt Grindings"/>
    <x v="124"/>
    <x v="40"/>
    <n v="375"/>
    <s v="SY"/>
    <x v="3"/>
    <x v="3"/>
    <s v="spec_paving_earthwork"/>
  </r>
  <r>
    <n v="148"/>
    <n v="3"/>
    <n v="23"/>
    <s v="P-101"/>
    <m/>
    <s v="Joint and Crack Repair"/>
    <m/>
    <x v="40"/>
    <x v="39"/>
    <n v="1500"/>
    <s v="LF"/>
    <x v="3"/>
    <x v="3"/>
    <s v="spec_paving_earthwork"/>
  </r>
  <r>
    <n v="149"/>
    <n v="3"/>
    <n v="24"/>
    <s v="P-101"/>
    <m/>
    <s v="Cold Milling"/>
    <s v="4 Inch Maximum Depth"/>
    <x v="125"/>
    <x v="41"/>
    <n v="5500"/>
    <s v="SY"/>
    <x v="3"/>
    <x v="3"/>
    <s v="spec_paving_earthwork"/>
  </r>
  <r>
    <n v="150"/>
    <n v="3"/>
    <n v="25"/>
    <s v="UNCLASSIFIED"/>
    <m/>
    <s v="Unclassified Excavation (P-152)"/>
    <m/>
    <x v="126"/>
    <x v="107"/>
    <n v="37500"/>
    <s v="CY"/>
    <x v="3"/>
    <x v="3"/>
    <s v="kw_paving_earthwork"/>
  </r>
  <r>
    <n v="151"/>
    <n v="3"/>
    <n v="26"/>
    <s v="P-152"/>
    <m/>
    <s v="Unsuitable Excavation"/>
    <m/>
    <x v="48"/>
    <x v="45"/>
    <n v="1000"/>
    <s v="CY"/>
    <x v="3"/>
    <x v="3"/>
    <s v="spec_paving_earthwork"/>
  </r>
  <r>
    <n v="152"/>
    <n v="3"/>
    <n v="27"/>
    <s v="P-152"/>
    <m/>
    <s v="Geotextile"/>
    <m/>
    <x v="50"/>
    <x v="47"/>
    <n v="87400"/>
    <s v="SY"/>
    <x v="3"/>
    <x v="3"/>
    <s v="spec_paving_earthwork"/>
  </r>
  <r>
    <n v="153"/>
    <n v="3"/>
    <n v="28"/>
    <s v="P-153"/>
    <m/>
    <s v="Controlled Low - Strength Material (CLSM)"/>
    <m/>
    <x v="52"/>
    <x v="49"/>
    <n v="1500"/>
    <s v="CY"/>
    <x v="3"/>
    <x v="3"/>
    <s v="spec_paving_earthwork"/>
  </r>
  <r>
    <n v="154"/>
    <n v="3"/>
    <n v="29"/>
    <s v="P-154"/>
    <m/>
    <s v="Subbase Course"/>
    <m/>
    <x v="54"/>
    <x v="51"/>
    <n v="6900"/>
    <s v="CY"/>
    <x v="3"/>
    <x v="3"/>
    <s v="spec_paving_earthwork"/>
  </r>
  <r>
    <n v="155"/>
    <n v="3"/>
    <n v="30"/>
    <s v="P-156"/>
    <m/>
    <s v="Silt Fence"/>
    <m/>
    <x v="45"/>
    <x v="42"/>
    <n v="5100"/>
    <s v="LF"/>
    <x v="3"/>
    <x v="3"/>
    <s v="spec_paving_earthwork"/>
  </r>
  <r>
    <n v="156"/>
    <n v="3"/>
    <n v="31"/>
    <s v="P-209"/>
    <m/>
    <s v="Crushed Aggregate Base Course"/>
    <m/>
    <x v="57"/>
    <x v="54"/>
    <n v="17800"/>
    <s v="CY"/>
    <x v="3"/>
    <x v="3"/>
    <s v="spec_paving_earthwork"/>
  </r>
  <r>
    <n v="157"/>
    <n v="3"/>
    <n v="32"/>
    <s v="P-401"/>
    <m/>
    <s v="Hot Mix Asphalt (HMA) Pavement"/>
    <m/>
    <x v="127"/>
    <x v="108"/>
    <n v="11300"/>
    <s v="TON"/>
    <x v="3"/>
    <x v="3"/>
    <s v="spec_paving_earthwork"/>
  </r>
  <r>
    <n v="158"/>
    <n v="3"/>
    <n v="33"/>
    <s v="P-403"/>
    <m/>
    <s v="Hot Mix Asphalt (HMA) Pavement Base Course"/>
    <m/>
    <x v="59"/>
    <x v="56"/>
    <n v="22800"/>
    <s v="TON"/>
    <x v="3"/>
    <x v="3"/>
    <s v="spec_paving_earthwork"/>
  </r>
  <r>
    <n v="159"/>
    <n v="3"/>
    <n v="34"/>
    <s v="P-501"/>
    <m/>
    <s v="Portland Cement Concrete (PCC) Pavement"/>
    <m/>
    <x v="128"/>
    <x v="109"/>
    <n v="48500"/>
    <s v="SY"/>
    <x v="3"/>
    <x v="3"/>
    <s v="spec_paving_earthwork"/>
  </r>
  <r>
    <n v="160"/>
    <n v="3"/>
    <n v="35"/>
    <s v="P-602"/>
    <m/>
    <s v="Bituminous Prime Coat"/>
    <m/>
    <x v="129"/>
    <x v="110"/>
    <n v="2800"/>
    <s v="GAL"/>
    <x v="3"/>
    <x v="3"/>
    <s v="spec_paving_earthwork"/>
  </r>
  <r>
    <n v="161"/>
    <n v="3"/>
    <n v="36"/>
    <s v="P-603"/>
    <m/>
    <s v="Bituminous Tack Coat"/>
    <m/>
    <x v="51"/>
    <x v="48"/>
    <n v="600"/>
    <s v="GAL"/>
    <x v="3"/>
    <x v="3"/>
    <s v="spec_paving_earthwork"/>
  </r>
  <r>
    <n v="162"/>
    <n v="3"/>
    <n v="37"/>
    <s v="P-604"/>
    <m/>
    <s v="Compression Joint Sealant"/>
    <m/>
    <x v="130"/>
    <x v="111"/>
    <n v="39900"/>
    <s v="LF"/>
    <x v="3"/>
    <x v="3"/>
    <s v="spec_paving_earthwork"/>
  </r>
  <r>
    <n v="163"/>
    <n v="3"/>
    <n v="38"/>
    <s v="P-605"/>
    <m/>
    <s v="Joint Sealant"/>
    <m/>
    <x v="131"/>
    <x v="112"/>
    <n v="300"/>
    <s v="GAL"/>
    <x v="3"/>
    <x v="3"/>
    <s v="spec_paving_earthwork"/>
  </r>
  <r>
    <n v="164"/>
    <n v="3"/>
    <n v="39"/>
    <s v="P-606"/>
    <m/>
    <s v="Adhesive Compound"/>
    <m/>
    <x v="55"/>
    <x v="52"/>
    <n v="300"/>
    <s v="GAL"/>
    <x v="3"/>
    <x v="3"/>
    <s v="spec_paving_earthwork"/>
  </r>
  <r>
    <n v="165"/>
    <n v="3"/>
    <n v="40"/>
    <s v="P-610"/>
    <m/>
    <s v="Structural Portland Cement Concrete (PCC)"/>
    <m/>
    <x v="60"/>
    <x v="57"/>
    <n v="250"/>
    <s v="CY"/>
    <x v="3"/>
    <x v="3"/>
    <s v="spec_paving_earthwork"/>
  </r>
  <r>
    <n v="166"/>
    <n v="3"/>
    <n v="41"/>
    <s v="P-610"/>
    <m/>
    <s v="Steel Reinforcement"/>
    <m/>
    <x v="61"/>
    <x v="58"/>
    <n v="5600"/>
    <s v="LB"/>
    <x v="3"/>
    <x v="3"/>
    <s v="spec_paving_earthwork"/>
  </r>
  <r>
    <n v="167"/>
    <n v="3"/>
    <n v="42"/>
    <s v="P-620"/>
    <m/>
    <s v="Pavement Marking"/>
    <m/>
    <x v="132"/>
    <x v="113"/>
    <n v="36000"/>
    <s v="SF"/>
    <x v="3"/>
    <x v="3"/>
    <s v="spec_paving_earthwork"/>
  </r>
  <r>
    <n v="168"/>
    <n v="3"/>
    <n v="43"/>
    <s v="P-620"/>
    <m/>
    <s v="Reflective Media"/>
    <m/>
    <x v="63"/>
    <x v="60"/>
    <n v="2300"/>
    <s v="LB"/>
    <x v="3"/>
    <x v="3"/>
    <s v="spec_paving_earthwork"/>
  </r>
  <r>
    <n v="169"/>
    <n v="3"/>
    <n v="44"/>
    <s v="P-620"/>
    <m/>
    <s v="Phasing Pavement Marking"/>
    <m/>
    <x v="64"/>
    <x v="61"/>
    <n v="22500"/>
    <s v="SF"/>
    <x v="3"/>
    <x v="3"/>
    <s v="spec_paving_earthwork"/>
  </r>
  <r>
    <n v="170"/>
    <n v="3"/>
    <n v="45"/>
    <s v="P-621"/>
    <m/>
    <s v="Saw - Cut Grooving"/>
    <m/>
    <x v="133"/>
    <x v="114"/>
    <n v="450"/>
    <s v="SY"/>
    <x v="3"/>
    <x v="3"/>
    <s v="spec_paving_earthwork"/>
  </r>
  <r>
    <n v="171"/>
    <n v="3"/>
    <n v="46"/>
    <s v="D-701"/>
    <m/>
    <s v="STS Pipe"/>
    <s v="4-Inch"/>
    <x v="134"/>
    <x v="62"/>
    <n v="210"/>
    <s v="LF"/>
    <x v="5"/>
    <x v="6"/>
    <s v="spec_drainage_structures"/>
  </r>
  <r>
    <n v="172"/>
    <n v="3"/>
    <n v="47"/>
    <s v="D-701"/>
    <m/>
    <s v="STS Pipe"/>
    <s v="6-Inch"/>
    <x v="135"/>
    <x v="62"/>
    <n v="1061"/>
    <s v="LF"/>
    <x v="5"/>
    <x v="6"/>
    <s v="spec_drainage_structures"/>
  </r>
  <r>
    <n v="173"/>
    <n v="3"/>
    <n v="48"/>
    <s v="D-701"/>
    <m/>
    <s v="STS Pipe"/>
    <s v="12-Inch"/>
    <x v="67"/>
    <x v="62"/>
    <n v="1682"/>
    <s v="LF"/>
    <x v="5"/>
    <x v="6"/>
    <s v="spec_drainage_structures"/>
  </r>
  <r>
    <n v="174"/>
    <n v="3"/>
    <n v="49"/>
    <s v="D-701"/>
    <m/>
    <s v="RCP Pipe"/>
    <s v="12-Inch"/>
    <x v="71"/>
    <x v="66"/>
    <n v="707"/>
    <s v="LF"/>
    <x v="5"/>
    <x v="6"/>
    <s v="spec_drainage_structures"/>
  </r>
  <r>
    <n v="175"/>
    <n v="3"/>
    <n v="50"/>
    <s v="D-701"/>
    <m/>
    <s v="STS Pipe"/>
    <s v="18-Inch"/>
    <x v="136"/>
    <x v="62"/>
    <n v="743"/>
    <s v="LF"/>
    <x v="5"/>
    <x v="6"/>
    <s v="spec_drainage_structures"/>
  </r>
  <r>
    <n v="176"/>
    <n v="3"/>
    <n v="51"/>
    <s v="D-701"/>
    <m/>
    <s v="STS Pipe"/>
    <s v="24-Inch"/>
    <x v="137"/>
    <x v="62"/>
    <n v="192"/>
    <s v="LF"/>
    <x v="5"/>
    <x v="6"/>
    <s v="spec_drainage_structures"/>
  </r>
  <r>
    <n v="177"/>
    <n v="3"/>
    <n v="52"/>
    <s v="D-701"/>
    <m/>
    <s v="RCP Pipe"/>
    <s v="24-Inch"/>
    <x v="73"/>
    <x v="66"/>
    <n v="251"/>
    <s v="LF"/>
    <x v="5"/>
    <x v="6"/>
    <s v="spec_drainage_structures"/>
  </r>
  <r>
    <n v="178"/>
    <n v="3"/>
    <n v="53"/>
    <s v="D-701"/>
    <m/>
    <s v="STS Pipe"/>
    <s v="48-Inch"/>
    <x v="69"/>
    <x v="62"/>
    <n v="1020"/>
    <s v="LF"/>
    <x v="5"/>
    <x v="6"/>
    <s v="spec_drainage_structures"/>
  </r>
  <r>
    <n v="179"/>
    <n v="3"/>
    <n v="54"/>
    <s v="D-705"/>
    <m/>
    <s v="Perforated Pipe Underdrains"/>
    <s v="6-Inch"/>
    <x v="138"/>
    <x v="115"/>
    <n v="5379"/>
    <s v="LF"/>
    <x v="5"/>
    <x v="6"/>
    <s v="spec_drainage_structures"/>
  </r>
  <r>
    <n v="180"/>
    <n v="3"/>
    <n v="55"/>
    <s v="D-751"/>
    <m/>
    <s v="Manhole, Type A"/>
    <s v="48-Inch"/>
    <x v="139"/>
    <x v="73"/>
    <n v="1"/>
    <s v="EACH"/>
    <x v="5"/>
    <x v="6"/>
    <s v="spec_drainage_structures"/>
  </r>
  <r>
    <n v="181"/>
    <n v="3"/>
    <n v="56"/>
    <s v="D-751"/>
    <m/>
    <s v="Manhole, Type B"/>
    <s v="48-Inch"/>
    <x v="75"/>
    <x v="69"/>
    <n v="6"/>
    <s v="EACH"/>
    <x v="5"/>
    <x v="6"/>
    <s v="spec_drainage_structures"/>
  </r>
  <r>
    <n v="182"/>
    <n v="3"/>
    <n v="57"/>
    <s v="D-751"/>
    <m/>
    <s v="Manhole, Type B"/>
    <s v="60-Inch"/>
    <x v="140"/>
    <x v="69"/>
    <n v="1"/>
    <s v="EACH"/>
    <x v="5"/>
    <x v="6"/>
    <s v="spec_drainage_structures"/>
  </r>
  <r>
    <n v="183"/>
    <n v="3"/>
    <n v="58"/>
    <s v="D-751"/>
    <m/>
    <s v="Manhole, Type A"/>
    <s v="72-Inch"/>
    <x v="79"/>
    <x v="73"/>
    <n v="1"/>
    <s v="EACH"/>
    <x v="5"/>
    <x v="6"/>
    <s v="spec_drainage_structures"/>
  </r>
  <r>
    <n v="184"/>
    <n v="3"/>
    <n v="59"/>
    <s v="D-751"/>
    <m/>
    <s v="Manhole, Type B"/>
    <s v="72-Inch"/>
    <x v="141"/>
    <x v="69"/>
    <n v="3"/>
    <s v="EACH"/>
    <x v="5"/>
    <x v="6"/>
    <s v="spec_drainage_structures"/>
  </r>
  <r>
    <n v="185"/>
    <n v="3"/>
    <n v="60"/>
    <s v="D-751"/>
    <m/>
    <s v="Manhole, Type A"/>
    <s v="84-Inch"/>
    <x v="82"/>
    <x v="73"/>
    <n v="2"/>
    <s v="EACH"/>
    <x v="5"/>
    <x v="6"/>
    <s v="spec_drainage_structures"/>
  </r>
  <r>
    <n v="186"/>
    <n v="3"/>
    <n v="61"/>
    <s v="D-751"/>
    <m/>
    <s v="Manhole, Type B"/>
    <s v="84-Inch"/>
    <x v="142"/>
    <x v="69"/>
    <n v="1"/>
    <s v="EACH"/>
    <x v="5"/>
    <x v="6"/>
    <s v="spec_drainage_structures"/>
  </r>
  <r>
    <n v="187"/>
    <n v="3"/>
    <n v="62"/>
    <s v="D-751"/>
    <m/>
    <s v="Catch Basin"/>
    <m/>
    <x v="84"/>
    <x v="77"/>
    <n v="31"/>
    <s v="EACH"/>
    <x v="5"/>
    <x v="6"/>
    <s v="spec_drainage_structures"/>
  </r>
  <r>
    <n v="188"/>
    <n v="3"/>
    <n v="63"/>
    <s v="T-901"/>
    <m/>
    <s v="Seeding"/>
    <m/>
    <x v="86"/>
    <x v="79"/>
    <n v="8.1999999999999993"/>
    <s v="ACRE"/>
    <x v="1"/>
    <x v="1"/>
    <s v="spec_landscape"/>
  </r>
  <r>
    <n v="189"/>
    <n v="3"/>
    <n v="64"/>
    <s v="T-905"/>
    <m/>
    <s v="Topsoiling"/>
    <m/>
    <x v="143"/>
    <x v="116"/>
    <n v="6900"/>
    <s v="CY"/>
    <x v="1"/>
    <x v="1"/>
    <s v="spec_landscape"/>
  </r>
  <r>
    <n v="190"/>
    <n v="3"/>
    <n v="65"/>
    <s v="L-108"/>
    <m/>
    <s v="No. 8 AWG 5kV Cable"/>
    <m/>
    <x v="68"/>
    <x v="64"/>
    <n v="5000"/>
    <s v="LF"/>
    <x v="6"/>
    <x v="7"/>
    <s v="spec_airfield_lighting"/>
  </r>
  <r>
    <n v="191"/>
    <n v="3"/>
    <n v="66"/>
    <s v="L-108"/>
    <m/>
    <s v="No. 6 AWG Solid Wire for Counterpoise"/>
    <m/>
    <x v="70"/>
    <x v="65"/>
    <n v="1060"/>
    <s v="LF"/>
    <x v="6"/>
    <x v="7"/>
    <s v="spec_airfield_lighting"/>
  </r>
  <r>
    <n v="192"/>
    <n v="3"/>
    <n v="67"/>
    <s v="L-108"/>
    <m/>
    <s v="Ground Rod for Counterpoise"/>
    <m/>
    <x v="74"/>
    <x v="68"/>
    <n v="6"/>
    <s v="EACH"/>
    <x v="6"/>
    <x v="7"/>
    <s v="spec_airfield_lighting"/>
  </r>
  <r>
    <n v="193"/>
    <n v="3"/>
    <n v="68"/>
    <s v="L-110"/>
    <m/>
    <s v="PVC Direct Buried"/>
    <s v="2-Inch"/>
    <x v="78"/>
    <x v="72"/>
    <n v="65"/>
    <s v="LF"/>
    <x v="6"/>
    <x v="7"/>
    <s v="spec_airfield_lighting"/>
  </r>
  <r>
    <n v="194"/>
    <n v="3"/>
    <n v="69"/>
    <s v="L-110"/>
    <m/>
    <s v="PVC in Existing AC"/>
    <s v="2-Inch"/>
    <x v="80"/>
    <x v="74"/>
    <n v="1175"/>
    <s v="LF"/>
    <x v="6"/>
    <x v="7"/>
    <s v="spec_airfield_lighting"/>
  </r>
  <r>
    <n v="195"/>
    <n v="3"/>
    <n v="70"/>
    <n v="260500"/>
    <m/>
    <s v="General Electrical Removal"/>
    <m/>
    <x v="83"/>
    <x v="76"/>
    <n v="1"/>
    <s v="LS"/>
    <x v="6"/>
    <x v="8"/>
    <s v="spec_power_distribution"/>
  </r>
  <r>
    <n v="196"/>
    <n v="3"/>
    <n v="71"/>
    <n v="260500"/>
    <m/>
    <s v="Temporary Circuit Connection"/>
    <m/>
    <x v="85"/>
    <x v="78"/>
    <n v="1"/>
    <s v="LS"/>
    <x v="6"/>
    <x v="8"/>
    <s v="spec_power_distribution"/>
  </r>
  <r>
    <n v="197"/>
    <n v="3"/>
    <n v="72"/>
    <n v="312300"/>
    <m/>
    <s v="Removal of Existing Storm Pipe, Manholes, and Inlets"/>
    <m/>
    <x v="88"/>
    <x v="81"/>
    <n v="1"/>
    <s v="LS"/>
    <x v="5"/>
    <x v="6"/>
    <s v="spec_drainage_structures"/>
  </r>
  <r>
    <n v="198"/>
    <n v="3"/>
    <n v="73"/>
    <n v="312300"/>
    <m/>
    <s v="Connection to Existing Storm Drainage System"/>
    <m/>
    <x v="89"/>
    <x v="82"/>
    <n v="0"/>
    <s v="EACH"/>
    <x v="5"/>
    <x v="6"/>
    <s v="spec_drainage_structures"/>
  </r>
  <r>
    <n v="199"/>
    <n v="3"/>
    <n v="74"/>
    <n v="312300"/>
    <m/>
    <s v="Existing Manhole Adjustment to Grade"/>
    <m/>
    <x v="91"/>
    <x v="84"/>
    <n v="0"/>
    <s v="EACH"/>
    <x v="5"/>
    <x v="6"/>
    <s v="spec_drainage_structures"/>
  </r>
  <r>
    <n v="200"/>
    <n v="3"/>
    <n v="75"/>
    <n v="312300"/>
    <m/>
    <s v="Existing Catch Basin Adjustment to Grade"/>
    <m/>
    <x v="93"/>
    <x v="86"/>
    <n v="0"/>
    <s v="EACH"/>
    <x v="5"/>
    <x v="6"/>
    <s v="spec_drainage_structures"/>
  </r>
  <r>
    <n v="201"/>
    <n v="3"/>
    <n v="76"/>
    <n v="312300"/>
    <m/>
    <s v="Existing Electrical Vault Adjustment to Grade"/>
    <m/>
    <x v="144"/>
    <x v="117"/>
    <n v="2"/>
    <s v="EACH"/>
    <x v="5"/>
    <x v="6"/>
    <s v="spec_drainage_structures"/>
  </r>
  <r>
    <n v="202"/>
    <n v="3"/>
    <n v="77"/>
    <n v="334100"/>
    <m/>
    <s v="Ductile Iron (Force Main) Pipe"/>
    <s v="12-Inch"/>
    <x v="145"/>
    <x v="118"/>
    <n v="0"/>
    <s v="LF"/>
    <x v="5"/>
    <x v="5"/>
    <s v="spec_piping_utility"/>
  </r>
  <r>
    <n v="203"/>
    <n v="3"/>
    <n v="78"/>
    <n v="334100"/>
    <m/>
    <s v="Ductile Iron (Force Main) Pipe"/>
    <s v="20-Inch"/>
    <x v="146"/>
    <x v="118"/>
    <n v="0"/>
    <s v="LF"/>
    <x v="5"/>
    <x v="5"/>
    <s v="spec_piping_utility"/>
  </r>
  <r>
    <n v="204"/>
    <n v="3"/>
    <n v="79"/>
    <n v="334100"/>
    <m/>
    <s v="Riprap"/>
    <m/>
    <x v="103"/>
    <x v="95"/>
    <n v="0"/>
    <s v="CY"/>
    <x v="5"/>
    <x v="5"/>
    <s v="spec_piping_utility"/>
  </r>
  <r>
    <n v="205"/>
    <n v="3"/>
    <n v="80"/>
    <n v="334213"/>
    <m/>
    <s v="Stormwater Pump Station, Electrical Equipment Installation"/>
    <m/>
    <x v="147"/>
    <x v="119"/>
    <n v="1"/>
    <s v="LS"/>
    <x v="5"/>
    <x v="5"/>
    <s v="spec_piping_utility"/>
  </r>
  <r>
    <n v="206"/>
    <n v="3"/>
    <n v="81"/>
    <n v="334213"/>
    <m/>
    <s v="Stormwater Valve Vault"/>
    <m/>
    <x v="148"/>
    <x v="120"/>
    <n v="1"/>
    <s v="LS"/>
    <x v="5"/>
    <x v="5"/>
    <s v="spec_piping_utility"/>
  </r>
  <r>
    <n v="207"/>
    <n v="3"/>
    <n v="82"/>
    <n v="344300"/>
    <m/>
    <s v="Install PF LED Taxiway Centerline Light with PF Base Can, CF Transformer in New AC"/>
    <m/>
    <x v="90"/>
    <x v="83"/>
    <n v="22"/>
    <s v="EACH"/>
    <x v="6"/>
    <x v="7"/>
    <s v="spec_airfield_lighting"/>
  </r>
  <r>
    <n v="208"/>
    <n v="3"/>
    <n v="83"/>
    <n v="344300"/>
    <m/>
    <s v="Install PF LED Taxiway Centerline Light on Existing Base Can with CF Isolation Transformer"/>
    <m/>
    <x v="92"/>
    <x v="85"/>
    <n v="9"/>
    <s v="EACH"/>
    <x v="6"/>
    <x v="7"/>
    <s v="spec_airfield_lighting"/>
  </r>
  <r>
    <n v="209"/>
    <n v="3"/>
    <n v="84"/>
    <n v="344301"/>
    <m/>
    <s v="Adjust Existing Elevated Runway Threshold Light"/>
    <m/>
    <x v="149"/>
    <x v="121"/>
    <n v="8"/>
    <s v="EACH"/>
    <x v="6"/>
    <x v="7"/>
    <s v="spec_airfield_lighting"/>
  </r>
  <r>
    <n v="210"/>
    <n v="3"/>
    <n v="85"/>
    <n v="344301"/>
    <m/>
    <s v="Adjust Existing In-Pavement Runway Edge Light"/>
    <m/>
    <x v="102"/>
    <x v="94"/>
    <n v="8"/>
    <s v="EACH"/>
    <x v="6"/>
    <x v="7"/>
    <s v="spec_airfield_lighting"/>
  </r>
  <r>
    <n v="211"/>
    <n v="3"/>
    <n v="86"/>
    <n v="344301"/>
    <m/>
    <s v="Adjust Existing In-Pavement Stop Bar Light"/>
    <m/>
    <x v="150"/>
    <x v="122"/>
    <n v="15"/>
    <s v="EACH"/>
    <x v="6"/>
    <x v="7"/>
    <s v="spec_airfield_lighting"/>
  </r>
  <r>
    <n v="212"/>
    <n v="3"/>
    <n v="87"/>
    <n v="344302"/>
    <m/>
    <s v="Sign E6-6"/>
    <m/>
    <x v="104"/>
    <x v="96"/>
    <n v="1"/>
    <s v="LS"/>
    <x v="6"/>
    <x v="9"/>
    <s v="spec_airfield_signage"/>
  </r>
  <r>
    <n v="213"/>
    <n v="3"/>
    <n v="88"/>
    <n v="344302"/>
    <m/>
    <s v="Sign E6-9"/>
    <m/>
    <x v="106"/>
    <x v="98"/>
    <n v="1"/>
    <s v="LS"/>
    <x v="6"/>
    <x v="9"/>
    <s v="spec_airfield_signage"/>
  </r>
  <r>
    <n v="214"/>
    <n v="3"/>
    <n v="89"/>
    <n v="344302"/>
    <m/>
    <s v="Sign G-3"/>
    <m/>
    <x v="108"/>
    <x v="100"/>
    <n v="1"/>
    <s v="LS"/>
    <x v="6"/>
    <x v="9"/>
    <s v="spec_airfield_signage"/>
  </r>
  <r>
    <n v="215"/>
    <n v="4"/>
    <n v="1"/>
    <s v="UNCLASSIFIED"/>
    <m/>
    <s v="Mobilization, Cleanup, and Demobilization"/>
    <m/>
    <x v="151"/>
    <x v="123"/>
    <n v="1"/>
    <s v="LS"/>
    <x v="0"/>
    <x v="0"/>
    <s v="kw_temp_traffic"/>
  </r>
  <r>
    <n v="216"/>
    <n v="4"/>
    <n v="2"/>
    <s v="UNCLASSIFIED"/>
    <m/>
    <s v="Sweeper"/>
    <m/>
    <x v="152"/>
    <x v="124"/>
    <n v="1"/>
    <s v="LS"/>
    <x v="0"/>
    <x v="0"/>
    <s v="kw_temp_traffic"/>
  </r>
  <r>
    <n v="217"/>
    <n v="4"/>
    <n v="3"/>
    <s v="UNCLASSIFIED"/>
    <m/>
    <s v="Security Control Monitoring"/>
    <m/>
    <x v="153"/>
    <x v="125"/>
    <n v="1"/>
    <s v="LS"/>
    <x v="0"/>
    <x v="0"/>
    <s v="kw_temp_traffic"/>
  </r>
  <r>
    <n v="218"/>
    <n v="4"/>
    <n v="4"/>
    <s v="UNCLASSIFIED"/>
    <m/>
    <s v="Escort"/>
    <m/>
    <x v="154"/>
    <x v="126"/>
    <n v="1"/>
    <s v="LS"/>
    <x v="0"/>
    <x v="0"/>
    <s v="kw_temp_traffic"/>
  </r>
  <r>
    <n v="219"/>
    <n v="4"/>
    <n v="5"/>
    <s v="UNCLASSIFIED"/>
    <m/>
    <s v="Construction Survey"/>
    <m/>
    <x v="155"/>
    <x v="127"/>
    <n v="1"/>
    <s v="LS"/>
    <x v="0"/>
    <x v="0"/>
    <s v="kw_temp_traffic"/>
  </r>
  <r>
    <n v="220"/>
    <n v="4"/>
    <n v="6"/>
    <s v="UNCLASSIFIED"/>
    <m/>
    <s v="Sediment Fence"/>
    <m/>
    <x v="156"/>
    <x v="128"/>
    <n v="750"/>
    <s v="LF"/>
    <x v="1"/>
    <x v="1"/>
    <s v="kw_landscape_env"/>
  </r>
  <r>
    <n v="221"/>
    <n v="4"/>
    <n v="7"/>
    <s v="UNCLASSIFIED"/>
    <m/>
    <s v="Inlet Protection"/>
    <m/>
    <x v="157"/>
    <x v="129"/>
    <n v="2"/>
    <s v="EACH"/>
    <x v="1"/>
    <x v="1"/>
    <s v="kw_landscape_env"/>
  </r>
  <r>
    <n v="222"/>
    <n v="4"/>
    <n v="8"/>
    <s v="UNCLASSIFIED"/>
    <m/>
    <s v="Stabilized Construction Entrance"/>
    <m/>
    <x v="158"/>
    <x v="130"/>
    <n v="1"/>
    <s v="EACH"/>
    <x v="4"/>
    <x v="4"/>
    <s v="fallback_unmapped"/>
  </r>
  <r>
    <n v="223"/>
    <n v="4"/>
    <n v="9"/>
    <s v="UNCLASSIFIED"/>
    <m/>
    <s v="Pavement Removal"/>
    <m/>
    <x v="159"/>
    <x v="131"/>
    <n v="20"/>
    <s v="CY"/>
    <x v="3"/>
    <x v="3"/>
    <s v="kw_paving_earthwork"/>
  </r>
  <r>
    <n v="224"/>
    <n v="4"/>
    <n v="10"/>
    <s v="UNCLASSIFIED"/>
    <m/>
    <s v="Common Excavation"/>
    <m/>
    <x v="160"/>
    <x v="132"/>
    <n v="1500"/>
    <s v="CY"/>
    <x v="3"/>
    <x v="3"/>
    <s v="kw_paving_earthwork"/>
  </r>
  <r>
    <n v="225"/>
    <n v="4"/>
    <n v="11"/>
    <s v="UNCLASSIFIED"/>
    <m/>
    <s v="Unsuitable Excavation and Disposal"/>
    <m/>
    <x v="161"/>
    <x v="133"/>
    <n v="40"/>
    <s v="CY"/>
    <x v="3"/>
    <x v="3"/>
    <s v="kw_paving_earthwork"/>
  </r>
  <r>
    <n v="226"/>
    <n v="4"/>
    <n v="12"/>
    <s v="UNCLASSIFIED"/>
    <m/>
    <s v="Contaminated Soil Excavation and Disposal"/>
    <m/>
    <x v="162"/>
    <x v="134"/>
    <n v="50"/>
    <s v="CY"/>
    <x v="3"/>
    <x v="3"/>
    <s v="kw_paving_earthwork"/>
  </r>
  <r>
    <n v="227"/>
    <n v="4"/>
    <n v="13"/>
    <s v="UNCLASSIFIED"/>
    <m/>
    <s v="Trench Stabilization"/>
    <m/>
    <x v="12"/>
    <x v="12"/>
    <n v="10"/>
    <s v="CY"/>
    <x v="3"/>
    <x v="3"/>
    <s v="kw_paving_earthwork"/>
  </r>
  <r>
    <n v="228"/>
    <n v="4"/>
    <n v="14"/>
    <s v="UNCLASSIFIED"/>
    <m/>
    <s v="Geotextile"/>
    <m/>
    <x v="163"/>
    <x v="135"/>
    <n v="650"/>
    <s v="SY"/>
    <x v="3"/>
    <x v="3"/>
    <s v="kw_paving_earthwork"/>
  </r>
  <r>
    <n v="229"/>
    <n v="4"/>
    <n v="15"/>
    <s v="UNCLASSIFIED"/>
    <m/>
    <s v="Aggregate Base Course"/>
    <m/>
    <x v="23"/>
    <x v="22"/>
    <n v="400"/>
    <s v="CY"/>
    <x v="3"/>
    <x v="3"/>
    <s v="kw_paving_earthwork"/>
  </r>
  <r>
    <n v="230"/>
    <n v="4"/>
    <n v="16"/>
    <s v="UNCLASSIFIED"/>
    <m/>
    <s v="Removal of Existing Storm Pipe, Manholes, Pumps, Valves, Hangers, Vaults, and Brackets"/>
    <m/>
    <x v="164"/>
    <x v="136"/>
    <n v="1"/>
    <s v="LS"/>
    <x v="5"/>
    <x v="5"/>
    <s v="kw_piping_drainage"/>
  </r>
  <r>
    <n v="231"/>
    <n v="4"/>
    <n v="17"/>
    <s v="UNCLASSIFIED"/>
    <m/>
    <s v="Removal of Existing Lid from Stormwater Treatment Vault"/>
    <m/>
    <x v="165"/>
    <x v="137"/>
    <n v="1"/>
    <s v="LS"/>
    <x v="5"/>
    <x v="5"/>
    <s v="kw_piping_drainage"/>
  </r>
  <r>
    <n v="232"/>
    <n v="4"/>
    <n v="18"/>
    <s v="UNCLASSIFIED"/>
    <m/>
    <s v="Modifications to Existing Wet Well"/>
    <m/>
    <x v="166"/>
    <x v="138"/>
    <n v="1"/>
    <s v="LS"/>
    <x v="5"/>
    <x v="5"/>
    <s v="kw_piping_drainage"/>
  </r>
  <r>
    <n v="233"/>
    <n v="4"/>
    <n v="19"/>
    <s v="UNCLASSIFIED"/>
    <m/>
    <s v="Adjustment of Existing Structures (H-20 Rated Vaults)"/>
    <m/>
    <x v="167"/>
    <x v="139"/>
    <n v="4"/>
    <s v="EACH"/>
    <x v="4"/>
    <x v="4"/>
    <s v="fallback_unmapped"/>
  </r>
  <r>
    <n v="234"/>
    <n v="4"/>
    <n v="20"/>
    <s v="UNCLASSIFIED"/>
    <m/>
    <s v="Storm Sewer (Force Main) Pipe"/>
    <s v="24-Inch"/>
    <x v="168"/>
    <x v="140"/>
    <n v="23"/>
    <s v="LF"/>
    <x v="5"/>
    <x v="5"/>
    <s v="kw_piping_drainage"/>
  </r>
  <r>
    <n v="235"/>
    <n v="4"/>
    <n v="21"/>
    <s v="UNCLASSIFIED"/>
    <m/>
    <s v="Storm Sewer Pipe"/>
    <s v="12-Inch"/>
    <x v="169"/>
    <x v="141"/>
    <n v="51"/>
    <s v="LF"/>
    <x v="5"/>
    <x v="5"/>
    <s v="kw_piping_drainage"/>
  </r>
  <r>
    <n v="236"/>
    <n v="4"/>
    <n v="22"/>
    <s v="UNCLASSIFIED"/>
    <m/>
    <s v="Storm Sewer Pipe"/>
    <s v="15-Inch"/>
    <x v="170"/>
    <x v="141"/>
    <n v="22"/>
    <s v="LF"/>
    <x v="5"/>
    <x v="5"/>
    <s v="kw_piping_drainage"/>
  </r>
  <r>
    <n v="237"/>
    <n v="4"/>
    <n v="23"/>
    <s v="UNCLASSIFIED"/>
    <m/>
    <s v="Storm Sewer Pipe"/>
    <s v="21-Inch"/>
    <x v="171"/>
    <x v="141"/>
    <n v="23"/>
    <s v="LF"/>
    <x v="5"/>
    <x v="5"/>
    <s v="kw_piping_drainage"/>
  </r>
  <r>
    <n v="238"/>
    <n v="4"/>
    <n v="24"/>
    <s v="UNCLASSIFIED"/>
    <m/>
    <s v="Storm Sewer Pipe (RCP)"/>
    <s v="21-Inch"/>
    <x v="172"/>
    <x v="142"/>
    <n v="70"/>
    <s v="LF"/>
    <x v="5"/>
    <x v="5"/>
    <s v="kw_piping_drainage"/>
  </r>
  <r>
    <n v="239"/>
    <n v="4"/>
    <n v="25"/>
    <s v="UNCLASSIFIED"/>
    <m/>
    <s v="Storm Sewer Pipe"/>
    <s v="24-Inch"/>
    <x v="173"/>
    <x v="141"/>
    <n v="85"/>
    <s v="LF"/>
    <x v="5"/>
    <x v="5"/>
    <s v="kw_piping_drainage"/>
  </r>
  <r>
    <n v="240"/>
    <n v="4"/>
    <n v="26"/>
    <s v="UNCLASSIFIED"/>
    <m/>
    <s v="Manhole"/>
    <s v="48-Inch"/>
    <x v="174"/>
    <x v="15"/>
    <n v="1"/>
    <s v="EACH"/>
    <x v="5"/>
    <x v="5"/>
    <s v="kw_piping_drainage"/>
  </r>
  <r>
    <n v="241"/>
    <n v="4"/>
    <n v="27"/>
    <s v="UNCLASSIFIED"/>
    <m/>
    <s v="Manhole"/>
    <s v="60-Inch"/>
    <x v="175"/>
    <x v="15"/>
    <n v="1"/>
    <s v="EACH"/>
    <x v="5"/>
    <x v="5"/>
    <s v="kw_piping_drainage"/>
  </r>
  <r>
    <n v="242"/>
    <n v="4"/>
    <n v="28"/>
    <s v="UNCLASSIFIED"/>
    <m/>
    <s v="Manhole"/>
    <s v="72-Inch"/>
    <x v="176"/>
    <x v="15"/>
    <n v="2"/>
    <s v="EACH"/>
    <x v="5"/>
    <x v="5"/>
    <s v="kw_piping_drainage"/>
  </r>
  <r>
    <n v="243"/>
    <n v="4"/>
    <n v="29"/>
    <s v="UNCLASSIFIED"/>
    <m/>
    <s v="Corrugated Metal Riser"/>
    <s v="72-Inch"/>
    <x v="177"/>
    <x v="143"/>
    <n v="1"/>
    <s v="EACH"/>
    <x v="4"/>
    <x v="4"/>
    <s v="fallback_unmapped"/>
  </r>
  <r>
    <n v="244"/>
    <n v="4"/>
    <n v="30"/>
    <s v="UNCLASSIFIED"/>
    <m/>
    <s v="Stormwater Pump Station"/>
    <m/>
    <x v="178"/>
    <x v="144"/>
    <n v="1"/>
    <s v="LS"/>
    <x v="5"/>
    <x v="5"/>
    <s v="kw_piping_drainage"/>
  </r>
  <r>
    <n v="245"/>
    <n v="4"/>
    <n v="31"/>
    <s v="UNCLASSIFIED"/>
    <m/>
    <s v="Stormwater Treatment Vaults"/>
    <m/>
    <x v="179"/>
    <x v="145"/>
    <n v="3"/>
    <s v="EACH"/>
    <x v="5"/>
    <x v="5"/>
    <s v="kw_piping_drainage"/>
  </r>
  <r>
    <n v="246"/>
    <n v="4"/>
    <n v="32"/>
    <s v="UNCLASSIFIED"/>
    <m/>
    <s v="Stormwater Treatment Vault Cover"/>
    <m/>
    <x v="180"/>
    <x v="146"/>
    <n v="1500"/>
    <s v="SF"/>
    <x v="5"/>
    <x v="5"/>
    <s v="kw_piping_drainage"/>
  </r>
  <r>
    <n v="247"/>
    <n v="4"/>
    <n v="33"/>
    <s v="UNCLASSIFIED"/>
    <m/>
    <s v="Hand Rail"/>
    <m/>
    <x v="181"/>
    <x v="147"/>
    <n v="350"/>
    <s v="LF"/>
    <x v="4"/>
    <x v="4"/>
    <s v="fallback_unmapped"/>
  </r>
  <r>
    <n v="248"/>
    <n v="4"/>
    <n v="34"/>
    <s v="UNCLASSIFIED"/>
    <m/>
    <s v="Concrete Wall Removal"/>
    <m/>
    <x v="182"/>
    <x v="148"/>
    <n v="8"/>
    <s v="LF"/>
    <x v="2"/>
    <x v="2"/>
    <s v="kw_demo_remediation"/>
  </r>
  <r>
    <n v="249"/>
    <n v="4"/>
    <n v="35"/>
    <s v="UNCLASSIFIED"/>
    <m/>
    <s v="Concrete Curb Removal"/>
    <m/>
    <x v="183"/>
    <x v="149"/>
    <n v="8"/>
    <s v="LF"/>
    <x v="3"/>
    <x v="3"/>
    <s v="kw_paving_earthwork"/>
  </r>
  <r>
    <n v="250"/>
    <n v="4"/>
    <n v="36"/>
    <s v="UNCLASSIFIED"/>
    <m/>
    <s v="Bollard"/>
    <m/>
    <x v="184"/>
    <x v="150"/>
    <n v="4"/>
    <s v="EACH"/>
    <x v="4"/>
    <x v="4"/>
    <s v="fallback_unmapped"/>
  </r>
  <r>
    <n v="251"/>
    <n v="4"/>
    <n v="37"/>
    <s v="UNCLASSIFIED"/>
    <m/>
    <s v="Area Seeding"/>
    <m/>
    <x v="27"/>
    <x v="26"/>
    <n v="7.0000000000000007E-2"/>
    <s v="ACRE"/>
    <x v="1"/>
    <x v="1"/>
    <s v="kw_landscape_env"/>
  </r>
  <r>
    <n v="252"/>
    <n v="4"/>
    <n v="38"/>
    <s v="UNCLASSIFIED"/>
    <m/>
    <s v="Electrical Modifications"/>
    <m/>
    <x v="185"/>
    <x v="151"/>
    <n v="1"/>
    <s v="LS"/>
    <x v="4"/>
    <x v="4"/>
    <s v="fallback_unmapped"/>
  </r>
  <r>
    <n v="253"/>
    <n v="5"/>
    <n v="1"/>
    <s v="UNCLASSIFIED"/>
    <m/>
    <s v="Mobilization, Cleanup, and Demobilization"/>
    <m/>
    <x v="151"/>
    <x v="123"/>
    <n v="1"/>
    <s v="LS"/>
    <x v="0"/>
    <x v="0"/>
    <s v="kw_temp_traffic"/>
  </r>
  <r>
    <n v="254"/>
    <n v="5"/>
    <n v="2"/>
    <s v="UNCLASSIFIED"/>
    <m/>
    <s v="Sweeper"/>
    <m/>
    <x v="152"/>
    <x v="124"/>
    <n v="1"/>
    <s v="LS"/>
    <x v="0"/>
    <x v="0"/>
    <s v="kw_temp_traffic"/>
  </r>
  <r>
    <n v="255"/>
    <n v="5"/>
    <n v="3"/>
    <s v="UNCLASSIFIED"/>
    <m/>
    <s v="Work Zone Traffic Control"/>
    <m/>
    <x v="1"/>
    <x v="1"/>
    <n v="1"/>
    <s v="LS"/>
    <x v="0"/>
    <x v="0"/>
    <s v="kw_temp_traffic"/>
  </r>
  <r>
    <n v="256"/>
    <n v="5"/>
    <n v="4"/>
    <s v="UNCLASSIFIED"/>
    <m/>
    <s v="Construction Survey"/>
    <m/>
    <x v="155"/>
    <x v="127"/>
    <n v="1"/>
    <s v="LS"/>
    <x v="0"/>
    <x v="0"/>
    <s v="kw_temp_traffic"/>
  </r>
  <r>
    <n v="257"/>
    <n v="5"/>
    <n v="5"/>
    <s v="UNCLASSIFIED"/>
    <m/>
    <s v="Inlet Protection"/>
    <m/>
    <x v="157"/>
    <x v="129"/>
    <n v="96"/>
    <s v="EACH"/>
    <x v="1"/>
    <x v="1"/>
    <s v="kw_landscape_env"/>
  </r>
  <r>
    <n v="258"/>
    <n v="5"/>
    <n v="6"/>
    <s v="UNCLASSIFIED"/>
    <m/>
    <s v="Cold Plane Pavement Removal"/>
    <s v="0-3 Inch Maximum"/>
    <x v="186"/>
    <x v="152"/>
    <n v="59000"/>
    <s v="SY"/>
    <x v="3"/>
    <x v="3"/>
    <s v="kw_paving_earthwork"/>
  </r>
  <r>
    <n v="259"/>
    <n v="5"/>
    <n v="7"/>
    <s v="UNCLASSIFIED"/>
    <m/>
    <s v="Cold Plane Pavement Removal"/>
    <s v="3-5 Inch Maximum"/>
    <x v="187"/>
    <x v="152"/>
    <n v="5500"/>
    <s v="SY"/>
    <x v="3"/>
    <x v="3"/>
    <s v="kw_paving_earthwork"/>
  </r>
  <r>
    <n v="260"/>
    <n v="5"/>
    <n v="8"/>
    <s v="UNCLASSIFIED"/>
    <m/>
    <s v="Pavement Removal"/>
    <m/>
    <x v="159"/>
    <x v="131"/>
    <n v="800"/>
    <s v="CY"/>
    <x v="3"/>
    <x v="3"/>
    <s v="kw_paving_earthwork"/>
  </r>
  <r>
    <n v="261"/>
    <n v="5"/>
    <n v="9"/>
    <s v="UNCLASSIFIED"/>
    <m/>
    <s v="Common Excavation"/>
    <m/>
    <x v="160"/>
    <x v="132"/>
    <n v="500"/>
    <s v="CY"/>
    <x v="3"/>
    <x v="3"/>
    <s v="kw_paving_earthwork"/>
  </r>
  <r>
    <n v="262"/>
    <n v="5"/>
    <n v="10"/>
    <s v="UNCLASSIFIED"/>
    <m/>
    <s v="Unsuitable Excavation and Disposal"/>
    <m/>
    <x v="161"/>
    <x v="133"/>
    <n v="200"/>
    <s v="CY"/>
    <x v="3"/>
    <x v="3"/>
    <s v="kw_paving_earthwork"/>
  </r>
  <r>
    <n v="263"/>
    <n v="5"/>
    <n v="11"/>
    <s v="UNCLASSIFIED"/>
    <m/>
    <s v="Contaminated Soil Excavation and Disposal"/>
    <m/>
    <x v="162"/>
    <x v="134"/>
    <n v="50"/>
    <s v="CY"/>
    <x v="3"/>
    <x v="3"/>
    <s v="kw_paving_earthwork"/>
  </r>
  <r>
    <n v="264"/>
    <n v="5"/>
    <n v="12"/>
    <s v="UNCLASSIFIED"/>
    <m/>
    <s v="Geotextile"/>
    <m/>
    <x v="163"/>
    <x v="135"/>
    <n v="650"/>
    <s v="SY"/>
    <x v="3"/>
    <x v="3"/>
    <s v="kw_paving_earthwork"/>
  </r>
  <r>
    <n v="265"/>
    <n v="5"/>
    <n v="13"/>
    <s v="UNCLASSIFIED"/>
    <m/>
    <s v="Aggregate Base Course"/>
    <m/>
    <x v="23"/>
    <x v="22"/>
    <n v="170"/>
    <s v="CY"/>
    <x v="3"/>
    <x v="3"/>
    <s v="kw_paving_earthwork"/>
  </r>
  <r>
    <n v="266"/>
    <n v="5"/>
    <n v="14"/>
    <s v="UNCLASSIFIED"/>
    <m/>
    <s v="Utility Adjustments to Grade"/>
    <m/>
    <x v="188"/>
    <x v="153"/>
    <n v="12"/>
    <s v="EACH"/>
    <x v="4"/>
    <x v="4"/>
    <s v="fallback_unmapped"/>
  </r>
  <r>
    <n v="267"/>
    <n v="5"/>
    <n v="15"/>
    <s v="UNCLASSIFIED"/>
    <m/>
    <s v="Pavement Marking, Thermoplastic"/>
    <m/>
    <x v="189"/>
    <x v="154"/>
    <n v="3200"/>
    <s v="SF"/>
    <x v="3"/>
    <x v="3"/>
    <s v="kw_paving_earthwork"/>
  </r>
  <r>
    <n v="268"/>
    <n v="5"/>
    <n v="16"/>
    <s v="UNCLASSIFIED"/>
    <m/>
    <s v="Pavement Marking, Painted"/>
    <m/>
    <x v="190"/>
    <x v="155"/>
    <n v="11000"/>
    <s v="SF"/>
    <x v="3"/>
    <x v="3"/>
    <s v="kw_paving_earthwork"/>
  </r>
  <r>
    <n v="269"/>
    <n v="5"/>
    <n v="17"/>
    <s v="UNCLASSIFIED"/>
    <m/>
    <s v="Pavement Marking, Temporary"/>
    <m/>
    <x v="191"/>
    <x v="156"/>
    <n v="6000"/>
    <s v="SF"/>
    <x v="3"/>
    <x v="3"/>
    <s v="kw_paving_earthwork"/>
  </r>
  <r>
    <n v="270"/>
    <n v="5"/>
    <n v="18"/>
    <s v="UNCLASSIFIED"/>
    <m/>
    <s v="Vehicle Detection Loops"/>
    <m/>
    <x v="192"/>
    <x v="157"/>
    <n v="1"/>
    <s v="LS"/>
    <x v="4"/>
    <x v="4"/>
    <s v="fallback_unmapped"/>
  </r>
  <r>
    <n v="271"/>
    <n v="5"/>
    <n v="19"/>
    <s v="UNCLASSIFIED"/>
    <m/>
    <s v="Level 3"/>
    <s v="1/2-Inch Dense HMAC"/>
    <x v="193"/>
    <x v="158"/>
    <n v="16200"/>
    <s v="TON"/>
    <x v="3"/>
    <x v="3"/>
    <s v="kw_paving_earthwork"/>
  </r>
  <r>
    <n v="272"/>
    <n v="6"/>
    <n v="1"/>
    <n v="12200"/>
    <m/>
    <s v="Mobilization, Cleanup, and Demobilization"/>
    <m/>
    <x v="30"/>
    <x v="29"/>
    <n v="1"/>
    <s v="LS"/>
    <x v="0"/>
    <x v="0"/>
    <s v="spec_temp_traffic"/>
  </r>
  <r>
    <n v="273"/>
    <n v="6"/>
    <n v="2"/>
    <n v="12200"/>
    <m/>
    <s v="Sweeper"/>
    <m/>
    <x v="31"/>
    <x v="30"/>
    <n v="1"/>
    <s v="LS"/>
    <x v="0"/>
    <x v="0"/>
    <s v="spec_temp_traffic"/>
  </r>
  <r>
    <n v="274"/>
    <n v="6"/>
    <n v="3"/>
    <n v="12200"/>
    <m/>
    <s v="Security Control Monitoring"/>
    <m/>
    <x v="32"/>
    <x v="31"/>
    <n v="1"/>
    <s v="LS"/>
    <x v="0"/>
    <x v="0"/>
    <s v="spec_temp_traffic"/>
  </r>
  <r>
    <n v="275"/>
    <n v="6"/>
    <n v="4"/>
    <n v="12200"/>
    <m/>
    <s v="Work Zone and Traffic Control"/>
    <m/>
    <x v="33"/>
    <x v="32"/>
    <n v="1"/>
    <s v="LS"/>
    <x v="0"/>
    <x v="0"/>
    <s v="spec_temp_traffic"/>
  </r>
  <r>
    <n v="276"/>
    <n v="6"/>
    <n v="5"/>
    <n v="12200"/>
    <m/>
    <s v="Escort"/>
    <m/>
    <x v="34"/>
    <x v="33"/>
    <n v="1"/>
    <s v="LS"/>
    <x v="0"/>
    <x v="0"/>
    <s v="spec_temp_traffic"/>
  </r>
  <r>
    <n v="277"/>
    <n v="6"/>
    <n v="6"/>
    <n v="15713"/>
    <m/>
    <s v="Inlet Protection"/>
    <m/>
    <x v="37"/>
    <x v="36"/>
    <n v="18"/>
    <s v="EACH"/>
    <x v="0"/>
    <x v="0"/>
    <s v="spec_temp_traffic"/>
  </r>
  <r>
    <n v="278"/>
    <n v="6"/>
    <n v="7"/>
    <s v="UNCLASSIFIED"/>
    <m/>
    <s v="Construction Survey (Item GP-50)"/>
    <m/>
    <x v="39"/>
    <x v="38"/>
    <n v="1"/>
    <s v="LS"/>
    <x v="0"/>
    <x v="0"/>
    <s v="kw_temp_traffic"/>
  </r>
  <r>
    <n v="279"/>
    <n v="6"/>
    <n v="8"/>
    <s v="P-101"/>
    <m/>
    <s v="Cold Milling"/>
    <s v="3-Inch Maximum Depth"/>
    <x v="194"/>
    <x v="41"/>
    <n v="21200"/>
    <s v="SY"/>
    <x v="3"/>
    <x v="3"/>
    <s v="spec_paving_earthwork"/>
  </r>
  <r>
    <n v="280"/>
    <n v="6"/>
    <n v="9"/>
    <s v="P-401"/>
    <m/>
    <s v="Bituminous Surface Course"/>
    <m/>
    <x v="195"/>
    <x v="159"/>
    <n v="3800"/>
    <s v="TON"/>
    <x v="3"/>
    <x v="3"/>
    <s v="spec_paving_earthwork"/>
  </r>
  <r>
    <n v="281"/>
    <n v="6"/>
    <n v="10"/>
    <s v="P-603"/>
    <m/>
    <s v="Bituminous Tack Coat"/>
    <m/>
    <x v="51"/>
    <x v="48"/>
    <n v="2200"/>
    <s v="GAL"/>
    <x v="3"/>
    <x v="3"/>
    <s v="spec_paving_earthwork"/>
  </r>
  <r>
    <n v="282"/>
    <n v="6"/>
    <n v="11"/>
    <s v="P-620"/>
    <m/>
    <s v="Runway and Taxiway Marking"/>
    <m/>
    <x v="196"/>
    <x v="160"/>
    <n v="8000"/>
    <s v="SF"/>
    <x v="3"/>
    <x v="3"/>
    <s v="spec_paving_earthwork"/>
  </r>
  <r>
    <n v="283"/>
    <n v="6"/>
    <n v="12"/>
    <s v="P-620"/>
    <m/>
    <s v="Reflective Media"/>
    <m/>
    <x v="63"/>
    <x v="60"/>
    <n v="500"/>
    <s v="LB"/>
    <x v="3"/>
    <x v="3"/>
    <s v="spec_paving_earthwork"/>
  </r>
  <r>
    <n v="284"/>
    <n v="6"/>
    <n v="13"/>
    <s v="P-620"/>
    <m/>
    <s v="Preformed Markings"/>
    <m/>
    <x v="197"/>
    <x v="161"/>
    <n v="4200"/>
    <s v="SF"/>
    <x v="3"/>
    <x v="3"/>
    <s v="spec_paving_earthwork"/>
  </r>
  <r>
    <n v="285"/>
    <n v="6"/>
    <n v="14"/>
    <s v="P-620"/>
    <m/>
    <s v="Phasing Pavement Marking"/>
    <m/>
    <x v="64"/>
    <x v="61"/>
    <n v="24750"/>
    <s v="SF"/>
    <x v="3"/>
    <x v="3"/>
    <s v="spec_paving_earthwork"/>
  </r>
  <r>
    <n v="286"/>
    <n v="6"/>
    <n v="15"/>
    <n v="26100"/>
    <m/>
    <s v="Contaminated Material Excavation and Disposal"/>
    <m/>
    <x v="81"/>
    <x v="75"/>
    <n v="1500"/>
    <s v="TON"/>
    <x v="2"/>
    <x v="2"/>
    <s v="spec_demo_remediation"/>
  </r>
  <r>
    <n v="287"/>
    <n v="6"/>
    <n v="16"/>
    <n v="312300"/>
    <m/>
    <s v="Modifications to Existing Pump Station A and Deicing Valve Vault"/>
    <m/>
    <x v="198"/>
    <x v="162"/>
    <n v="1"/>
    <s v="LS"/>
    <x v="5"/>
    <x v="6"/>
    <s v="spec_drainage_structures"/>
  </r>
  <r>
    <n v="288"/>
    <n v="6"/>
    <n v="17"/>
    <n v="260553"/>
    <m/>
    <s v="Diameter Brass Marker"/>
    <s v="3-Inch"/>
    <x v="87"/>
    <x v="80"/>
    <n v="18"/>
    <s v="EACH"/>
    <x v="6"/>
    <x v="8"/>
    <s v="spec_power_distribution"/>
  </r>
  <r>
    <n v="289"/>
    <n v="7"/>
    <n v="1"/>
    <n v="12200"/>
    <m/>
    <s v="Mobilization, Cleanup, and Demobilization"/>
    <m/>
    <x v="30"/>
    <x v="29"/>
    <n v="1"/>
    <s v="LS"/>
    <x v="0"/>
    <x v="0"/>
    <s v="spec_temp_traffic"/>
  </r>
  <r>
    <n v="290"/>
    <n v="7"/>
    <n v="2"/>
    <n v="12200"/>
    <m/>
    <s v="Sweeper"/>
    <m/>
    <x v="31"/>
    <x v="30"/>
    <n v="1"/>
    <s v="LS"/>
    <x v="0"/>
    <x v="0"/>
    <s v="spec_temp_traffic"/>
  </r>
  <r>
    <n v="291"/>
    <n v="7"/>
    <n v="3"/>
    <n v="12200"/>
    <m/>
    <s v="Security Control Monitoring"/>
    <m/>
    <x v="32"/>
    <x v="31"/>
    <n v="1"/>
    <s v="LS"/>
    <x v="0"/>
    <x v="0"/>
    <s v="spec_temp_traffic"/>
  </r>
  <r>
    <n v="292"/>
    <n v="7"/>
    <n v="4"/>
    <n v="12200"/>
    <m/>
    <s v="Work Zone and Traffic Control"/>
    <m/>
    <x v="33"/>
    <x v="32"/>
    <n v="1"/>
    <s v="LS"/>
    <x v="0"/>
    <x v="0"/>
    <s v="spec_temp_traffic"/>
  </r>
  <r>
    <n v="293"/>
    <n v="7"/>
    <n v="5"/>
    <n v="12200"/>
    <m/>
    <s v="Escort"/>
    <m/>
    <x v="34"/>
    <x v="33"/>
    <n v="1"/>
    <s v="LS"/>
    <x v="0"/>
    <x v="0"/>
    <s v="spec_temp_traffic"/>
  </r>
  <r>
    <n v="294"/>
    <n v="7"/>
    <n v="6"/>
    <n v="15713"/>
    <m/>
    <s v="Jet Blast Control Material"/>
    <m/>
    <x v="38"/>
    <x v="37"/>
    <n v="1.4"/>
    <s v="ACRE"/>
    <x v="0"/>
    <x v="0"/>
    <s v="spec_temp_traffic"/>
  </r>
  <r>
    <n v="295"/>
    <n v="7"/>
    <n v="7"/>
    <n v="15713"/>
    <m/>
    <s v="Inlet Protection"/>
    <m/>
    <x v="37"/>
    <x v="36"/>
    <n v="35"/>
    <s v="EACH"/>
    <x v="0"/>
    <x v="0"/>
    <s v="spec_temp_traffic"/>
  </r>
  <r>
    <n v="296"/>
    <n v="7"/>
    <n v="8"/>
    <n v="15713"/>
    <m/>
    <s v="Trench Protection"/>
    <m/>
    <x v="199"/>
    <x v="163"/>
    <n v="1740"/>
    <s v="LF"/>
    <x v="0"/>
    <x v="0"/>
    <s v="spec_temp_traffic"/>
  </r>
  <r>
    <n v="297"/>
    <n v="7"/>
    <n v="9"/>
    <s v="UNCLASSIFIED"/>
    <m/>
    <s v="Construction Survey (Item GP-50)"/>
    <m/>
    <x v="39"/>
    <x v="38"/>
    <n v="1"/>
    <s v="LS"/>
    <x v="0"/>
    <x v="0"/>
    <s v="kw_temp_traffic"/>
  </r>
  <r>
    <n v="298"/>
    <n v="7"/>
    <n v="10"/>
    <s v="P-101"/>
    <m/>
    <s v="PCC Pavement Removal"/>
    <s v="3-Inch Depth"/>
    <x v="200"/>
    <x v="106"/>
    <n v="320"/>
    <s v="SY"/>
    <x v="3"/>
    <x v="3"/>
    <s v="spec_paving_earthwork"/>
  </r>
  <r>
    <n v="299"/>
    <n v="7"/>
    <n v="11"/>
    <s v="P-101"/>
    <m/>
    <s v="PCC Pavement Removal"/>
    <s v="4-Inch Depth"/>
    <x v="201"/>
    <x v="106"/>
    <n v="60"/>
    <s v="SY"/>
    <x v="3"/>
    <x v="3"/>
    <s v="spec_paving_earthwork"/>
  </r>
  <r>
    <n v="300"/>
    <n v="7"/>
    <n v="12"/>
    <s v="P-101"/>
    <m/>
    <s v="PCC Pavement Removal"/>
    <s v="16-Inch Depth"/>
    <x v="202"/>
    <x v="106"/>
    <n v="9400"/>
    <s v="SY"/>
    <x v="3"/>
    <x v="3"/>
    <s v="spec_paving_earthwork"/>
  </r>
  <r>
    <n v="301"/>
    <n v="7"/>
    <n v="13"/>
    <s v="P-101"/>
    <m/>
    <s v="Asphalt Pavement Removal"/>
    <s v="3-Inch Depth"/>
    <x v="41"/>
    <x v="40"/>
    <n v="3700"/>
    <s v="SY"/>
    <x v="3"/>
    <x v="3"/>
    <s v="spec_paving_earthwork"/>
  </r>
  <r>
    <n v="302"/>
    <n v="7"/>
    <n v="14"/>
    <s v="P-101"/>
    <m/>
    <s v="Asphalt Pavement Removal"/>
    <s v="6-Inch Depth"/>
    <x v="203"/>
    <x v="40"/>
    <n v="16900"/>
    <s v="SY"/>
    <x v="3"/>
    <x v="3"/>
    <s v="spec_paving_earthwork"/>
  </r>
  <r>
    <n v="303"/>
    <n v="7"/>
    <n v="15"/>
    <s v="P-101"/>
    <m/>
    <s v="Asphalt Pavement Removal"/>
    <s v="9-Inch Depth"/>
    <x v="204"/>
    <x v="40"/>
    <n v="3000"/>
    <s v="SY"/>
    <x v="3"/>
    <x v="3"/>
    <s v="spec_paving_earthwork"/>
  </r>
  <r>
    <n v="304"/>
    <n v="7"/>
    <n v="16"/>
    <s v="P-101"/>
    <m/>
    <s v="Asphalt Pavement Removal"/>
    <s v="12-Inch Depth"/>
    <x v="205"/>
    <x v="40"/>
    <n v="26500"/>
    <s v="SY"/>
    <x v="3"/>
    <x v="3"/>
    <s v="spec_paving_earthwork"/>
  </r>
  <r>
    <n v="305"/>
    <n v="7"/>
    <n v="17"/>
    <s v="P-101"/>
    <m/>
    <s v="Asphalt Pavement Removal"/>
    <s v="15-Inch Depth"/>
    <x v="206"/>
    <x v="40"/>
    <n v="7000"/>
    <s v="SY"/>
    <x v="3"/>
    <x v="3"/>
    <s v="spec_paving_earthwork"/>
  </r>
  <r>
    <n v="306"/>
    <n v="7"/>
    <n v="18"/>
    <s v="P-101"/>
    <m/>
    <s v="Joint and Crack Repair"/>
    <m/>
    <x v="40"/>
    <x v="39"/>
    <n v="1500"/>
    <s v="LF"/>
    <x v="3"/>
    <x v="3"/>
    <s v="spec_paving_earthwork"/>
  </r>
  <r>
    <n v="307"/>
    <n v="7"/>
    <n v="19"/>
    <s v="P-101"/>
    <m/>
    <s v="Cold Milling"/>
    <s v="3-Inch Maximum Depth"/>
    <x v="194"/>
    <x v="41"/>
    <n v="400"/>
    <s v="SY"/>
    <x v="3"/>
    <x v="3"/>
    <s v="spec_paving_earthwork"/>
  </r>
  <r>
    <n v="308"/>
    <n v="7"/>
    <n v="20"/>
    <s v="P-152"/>
    <m/>
    <s v="Unclassified Excavation"/>
    <m/>
    <x v="207"/>
    <x v="164"/>
    <n v="65000"/>
    <s v="CY"/>
    <x v="3"/>
    <x v="3"/>
    <s v="spec_paving_earthwork"/>
  </r>
  <r>
    <n v="309"/>
    <n v="7"/>
    <n v="21"/>
    <s v="P-152"/>
    <m/>
    <s v="Unsuitable Excavation"/>
    <m/>
    <x v="48"/>
    <x v="45"/>
    <n v="3250"/>
    <s v="CY"/>
    <x v="3"/>
    <x v="3"/>
    <s v="spec_paving_earthwork"/>
  </r>
  <r>
    <n v="310"/>
    <n v="7"/>
    <n v="22"/>
    <s v="P-152"/>
    <m/>
    <s v="Geotextile"/>
    <m/>
    <x v="50"/>
    <x v="47"/>
    <n v="57000"/>
    <s v="SY"/>
    <x v="3"/>
    <x v="3"/>
    <s v="spec_paving_earthwork"/>
  </r>
  <r>
    <n v="311"/>
    <n v="7"/>
    <n v="23"/>
    <s v="P-153"/>
    <m/>
    <s v="Controlled Low - Strength Material"/>
    <m/>
    <x v="208"/>
    <x v="165"/>
    <n v="2000"/>
    <s v="CY"/>
    <x v="3"/>
    <x v="3"/>
    <s v="spec_paving_earthwork"/>
  </r>
  <r>
    <n v="312"/>
    <n v="7"/>
    <n v="24"/>
    <s v="P-154"/>
    <m/>
    <s v="Subbase Course"/>
    <m/>
    <x v="54"/>
    <x v="51"/>
    <n v="52200"/>
    <s v="CY"/>
    <x v="3"/>
    <x v="3"/>
    <s v="spec_paving_earthwork"/>
  </r>
  <r>
    <n v="313"/>
    <n v="7"/>
    <n v="25"/>
    <s v="P-156"/>
    <m/>
    <s v="Installation and Removal of Silt Fence"/>
    <m/>
    <x v="209"/>
    <x v="166"/>
    <n v="2600"/>
    <s v="LF"/>
    <x v="3"/>
    <x v="3"/>
    <s v="spec_paving_earthwork"/>
  </r>
  <r>
    <n v="314"/>
    <n v="7"/>
    <n v="26"/>
    <s v="P-209"/>
    <m/>
    <s v="Crushed Aggregate Base Course"/>
    <m/>
    <x v="57"/>
    <x v="54"/>
    <n v="10000"/>
    <s v="CY"/>
    <x v="3"/>
    <x v="3"/>
    <s v="spec_paving_earthwork"/>
  </r>
  <r>
    <n v="315"/>
    <n v="7"/>
    <n v="27"/>
    <s v="P-401"/>
    <m/>
    <s v="Bituminous Surface Course"/>
    <m/>
    <x v="195"/>
    <x v="159"/>
    <n v="8700"/>
    <s v="TON"/>
    <x v="3"/>
    <x v="3"/>
    <s v="spec_paving_earthwork"/>
  </r>
  <r>
    <n v="316"/>
    <n v="7"/>
    <n v="28"/>
    <s v="P-403"/>
    <m/>
    <s v="HMA Base Course"/>
    <m/>
    <x v="210"/>
    <x v="167"/>
    <n v="35600"/>
    <s v="TON"/>
    <x v="3"/>
    <x v="3"/>
    <s v="spec_paving_earthwork"/>
  </r>
  <r>
    <n v="317"/>
    <n v="7"/>
    <n v="29"/>
    <s v="P-501"/>
    <m/>
    <s v="Portland Cement Concrete Pavement"/>
    <m/>
    <x v="211"/>
    <x v="168"/>
    <n v="13400"/>
    <s v="SY"/>
    <x v="3"/>
    <x v="3"/>
    <s v="spec_paving_earthwork"/>
  </r>
  <r>
    <n v="318"/>
    <n v="7"/>
    <n v="30"/>
    <s v="P-602"/>
    <m/>
    <s v="Bituminous Prime Coat"/>
    <m/>
    <x v="129"/>
    <x v="110"/>
    <n v="700"/>
    <s v="GAL"/>
    <x v="3"/>
    <x v="3"/>
    <s v="spec_paving_earthwork"/>
  </r>
  <r>
    <n v="319"/>
    <n v="7"/>
    <n v="31"/>
    <s v="P-603"/>
    <m/>
    <s v="Bituminous Tack Coat"/>
    <m/>
    <x v="51"/>
    <x v="48"/>
    <n v="23900"/>
    <s v="GAL"/>
    <x v="3"/>
    <x v="3"/>
    <s v="spec_paving_earthwork"/>
  </r>
  <r>
    <n v="320"/>
    <n v="7"/>
    <n v="32"/>
    <s v="P-604"/>
    <m/>
    <s v="Compression Joint Seals for Concrete Pavement"/>
    <m/>
    <x v="212"/>
    <x v="169"/>
    <n v="10850"/>
    <s v="LF"/>
    <x v="3"/>
    <x v="3"/>
    <s v="spec_paving_earthwork"/>
  </r>
  <r>
    <n v="321"/>
    <n v="7"/>
    <n v="33"/>
    <s v="P-605"/>
    <m/>
    <s v="Joint Sealing Filler"/>
    <m/>
    <x v="53"/>
    <x v="50"/>
    <n v="61"/>
    <s v="GAL"/>
    <x v="3"/>
    <x v="3"/>
    <s v="spec_paving_earthwork"/>
  </r>
  <r>
    <n v="322"/>
    <n v="7"/>
    <n v="34"/>
    <s v="P-606"/>
    <m/>
    <s v="Adhesive Compound"/>
    <m/>
    <x v="55"/>
    <x v="52"/>
    <n v="50"/>
    <s v="GAL"/>
    <x v="3"/>
    <x v="3"/>
    <s v="spec_paving_earthwork"/>
  </r>
  <r>
    <n v="323"/>
    <n v="7"/>
    <n v="35"/>
    <s v="P-610"/>
    <m/>
    <s v="Structural Portland Cement Concrete"/>
    <m/>
    <x v="213"/>
    <x v="170"/>
    <n v="30"/>
    <s v="CY"/>
    <x v="3"/>
    <x v="3"/>
    <s v="spec_paving_earthwork"/>
  </r>
  <r>
    <n v="324"/>
    <n v="7"/>
    <n v="36"/>
    <s v="P-610"/>
    <m/>
    <s v="Steel Reinforcement"/>
    <m/>
    <x v="61"/>
    <x v="58"/>
    <n v="175"/>
    <s v="LB"/>
    <x v="3"/>
    <x v="3"/>
    <s v="spec_paving_earthwork"/>
  </r>
  <r>
    <n v="325"/>
    <n v="7"/>
    <n v="37"/>
    <s v="P-620"/>
    <m/>
    <s v="Runway and Taxiway Marking"/>
    <m/>
    <x v="196"/>
    <x v="160"/>
    <n v="20000"/>
    <s v="SF"/>
    <x v="3"/>
    <x v="3"/>
    <s v="spec_paving_earthwork"/>
  </r>
  <r>
    <n v="326"/>
    <n v="7"/>
    <n v="38"/>
    <s v="P-620"/>
    <m/>
    <s v="Reflective Media"/>
    <m/>
    <x v="63"/>
    <x v="60"/>
    <n v="1225"/>
    <s v="LB"/>
    <x v="3"/>
    <x v="3"/>
    <s v="spec_paving_earthwork"/>
  </r>
  <r>
    <n v="327"/>
    <n v="7"/>
    <n v="39"/>
    <s v="P-620"/>
    <m/>
    <s v="Preformed Markings"/>
    <m/>
    <x v="197"/>
    <x v="161"/>
    <n v="9400"/>
    <s v="SF"/>
    <x v="3"/>
    <x v="3"/>
    <s v="spec_paving_earthwork"/>
  </r>
  <r>
    <n v="328"/>
    <n v="7"/>
    <n v="40"/>
    <s v="P-620"/>
    <m/>
    <s v="Phasing Pavement Marking"/>
    <m/>
    <x v="64"/>
    <x v="61"/>
    <n v="21750"/>
    <s v="SF"/>
    <x v="3"/>
    <x v="3"/>
    <s v="spec_paving_earthwork"/>
  </r>
  <r>
    <n v="329"/>
    <n v="7"/>
    <n v="41"/>
    <s v="D-701"/>
    <m/>
    <s v="STS Pipe"/>
    <s v="4-Inch"/>
    <x v="134"/>
    <x v="62"/>
    <n v="49"/>
    <s v="LF"/>
    <x v="5"/>
    <x v="6"/>
    <s v="spec_drainage_structures"/>
  </r>
  <r>
    <n v="330"/>
    <n v="7"/>
    <n v="42"/>
    <s v="D-701"/>
    <m/>
    <s v="STS Pipe"/>
    <s v="6-Inch"/>
    <x v="135"/>
    <x v="62"/>
    <n v="394"/>
    <s v="LF"/>
    <x v="5"/>
    <x v="6"/>
    <s v="spec_drainage_structures"/>
  </r>
  <r>
    <n v="331"/>
    <n v="7"/>
    <n v="43"/>
    <s v="D-701"/>
    <m/>
    <s v="STS Pipe"/>
    <s v="12-Inch"/>
    <x v="67"/>
    <x v="62"/>
    <n v="657"/>
    <s v="LF"/>
    <x v="5"/>
    <x v="6"/>
    <s v="spec_drainage_structures"/>
  </r>
  <r>
    <n v="332"/>
    <n v="7"/>
    <n v="44"/>
    <s v="D-701"/>
    <m/>
    <s v="STS Pipe"/>
    <s v="24-Inch"/>
    <x v="137"/>
    <x v="62"/>
    <n v="472"/>
    <s v="LF"/>
    <x v="5"/>
    <x v="6"/>
    <s v="spec_drainage_structures"/>
  </r>
  <r>
    <n v="333"/>
    <n v="7"/>
    <n v="45"/>
    <s v="D-701"/>
    <m/>
    <s v="STS Pipe"/>
    <s v="30-Inch"/>
    <x v="214"/>
    <x v="62"/>
    <n v="238"/>
    <s v="LF"/>
    <x v="5"/>
    <x v="6"/>
    <s v="spec_drainage_structures"/>
  </r>
  <r>
    <n v="334"/>
    <n v="7"/>
    <n v="46"/>
    <s v="D-701"/>
    <m/>
    <s v="STS Pipe"/>
    <s v="48-Inch"/>
    <x v="69"/>
    <x v="62"/>
    <n v="3653"/>
    <s v="LF"/>
    <x v="5"/>
    <x v="6"/>
    <s v="spec_drainage_structures"/>
  </r>
  <r>
    <n v="335"/>
    <n v="7"/>
    <n v="47"/>
    <s v="D-705"/>
    <m/>
    <s v="Perforated Pipe"/>
    <s v="6-Inch"/>
    <x v="215"/>
    <x v="171"/>
    <n v="5322"/>
    <s v="LF"/>
    <x v="5"/>
    <x v="6"/>
    <s v="spec_drainage_structures"/>
  </r>
  <r>
    <n v="336"/>
    <n v="7"/>
    <n v="48"/>
    <s v="D-751"/>
    <m/>
    <s v="Diameter Manhole, Type A"/>
    <s v="48-Inch"/>
    <x v="216"/>
    <x v="172"/>
    <n v="1"/>
    <s v="EACH"/>
    <x v="5"/>
    <x v="6"/>
    <s v="spec_drainage_structures"/>
  </r>
  <r>
    <n v="337"/>
    <n v="7"/>
    <n v="49"/>
    <s v="D-751"/>
    <m/>
    <s v="Diameter Manhole, Type A"/>
    <s v="72-Inch"/>
    <x v="217"/>
    <x v="172"/>
    <n v="7"/>
    <s v="EACH"/>
    <x v="5"/>
    <x v="6"/>
    <s v="spec_drainage_structures"/>
  </r>
  <r>
    <n v="338"/>
    <n v="7"/>
    <n v="50"/>
    <s v="D-751"/>
    <m/>
    <s v="Diameter Manhole, Type A"/>
    <s v="84-Inch"/>
    <x v="218"/>
    <x v="172"/>
    <n v="2"/>
    <s v="EACH"/>
    <x v="5"/>
    <x v="6"/>
    <s v="spec_drainage_structures"/>
  </r>
  <r>
    <n v="339"/>
    <n v="7"/>
    <n v="51"/>
    <s v="D-751"/>
    <m/>
    <s v="Diameter Manhole, Type A"/>
    <s v="96-Inch"/>
    <x v="219"/>
    <x v="172"/>
    <n v="1"/>
    <s v="EACH"/>
    <x v="5"/>
    <x v="6"/>
    <s v="spec_drainage_structures"/>
  </r>
  <r>
    <n v="340"/>
    <n v="7"/>
    <n v="52"/>
    <s v="D-751"/>
    <m/>
    <s v="Catch Basins"/>
    <m/>
    <x v="220"/>
    <x v="173"/>
    <n v="18"/>
    <s v="EACH"/>
    <x v="5"/>
    <x v="6"/>
    <s v="spec_drainage_structures"/>
  </r>
  <r>
    <n v="341"/>
    <n v="7"/>
    <n v="53"/>
    <s v="T-901"/>
    <m/>
    <s v="Seeding"/>
    <m/>
    <x v="86"/>
    <x v="79"/>
    <n v="2.8"/>
    <s v="ACRE"/>
    <x v="1"/>
    <x v="1"/>
    <s v="spec_landscape"/>
  </r>
  <r>
    <n v="342"/>
    <n v="7"/>
    <n v="54"/>
    <s v="T-905"/>
    <m/>
    <s v="Topsoiling"/>
    <m/>
    <x v="143"/>
    <x v="116"/>
    <n v="2300"/>
    <s v="CY"/>
    <x v="1"/>
    <x v="1"/>
    <s v="spec_landscape"/>
  </r>
  <r>
    <n v="343"/>
    <n v="7"/>
    <n v="55"/>
    <n v="312300"/>
    <m/>
    <s v="Removal of Existing Storm Pipe, Manholes, and Inlets"/>
    <m/>
    <x v="88"/>
    <x v="81"/>
    <n v="1"/>
    <s v="LS"/>
    <x v="5"/>
    <x v="6"/>
    <s v="spec_drainage_structures"/>
  </r>
  <r>
    <n v="344"/>
    <n v="7"/>
    <n v="56"/>
    <n v="312300"/>
    <m/>
    <s v="Connection to Existing Storm Drainage System"/>
    <m/>
    <x v="89"/>
    <x v="82"/>
    <n v="18"/>
    <s v="EACH"/>
    <x v="5"/>
    <x v="6"/>
    <s v="spec_drainage_structures"/>
  </r>
  <r>
    <n v="345"/>
    <n v="7"/>
    <n v="57"/>
    <n v="312300"/>
    <m/>
    <s v="Existing Manhole Adjustment to Grade"/>
    <m/>
    <x v="91"/>
    <x v="84"/>
    <n v="3"/>
    <s v="EACH"/>
    <x v="5"/>
    <x v="6"/>
    <s v="spec_drainage_structures"/>
  </r>
  <r>
    <n v="346"/>
    <n v="7"/>
    <n v="58"/>
    <n v="312300"/>
    <m/>
    <s v="Existing Electrical Vault (H-20 Rated) Extension to Finish Grade"/>
    <m/>
    <x v="221"/>
    <x v="174"/>
    <n v="2"/>
    <s v="EACH"/>
    <x v="5"/>
    <x v="6"/>
    <s v="spec_drainage_structures"/>
  </r>
  <r>
    <n v="347"/>
    <n v="7"/>
    <n v="59"/>
    <n v="312300"/>
    <m/>
    <s v="Sanitary Sewer Wet Well Removal"/>
    <m/>
    <x v="222"/>
    <x v="175"/>
    <n v="1"/>
    <s v="EACH"/>
    <x v="5"/>
    <x v="6"/>
    <s v="spec_drainage_structures"/>
  </r>
  <r>
    <n v="348"/>
    <n v="7"/>
    <n v="60"/>
    <s v="L-108"/>
    <m/>
    <s v="No. 8 AWG, 5 kV, L-824, Type C Cable Installed in Trench, Duct Bank or Conduit"/>
    <m/>
    <x v="223"/>
    <x v="176"/>
    <n v="14265"/>
    <s v="LF"/>
    <x v="6"/>
    <x v="7"/>
    <s v="spec_airfield_lighting"/>
  </r>
  <r>
    <n v="349"/>
    <n v="7"/>
    <n v="61"/>
    <s v="L-108"/>
    <m/>
    <s v="No. 6 AWG, Solid, Bare Counterpoise Wire"/>
    <m/>
    <x v="224"/>
    <x v="177"/>
    <n v="4000"/>
    <s v="LF"/>
    <x v="6"/>
    <x v="7"/>
    <s v="spec_airfield_lighting"/>
  </r>
  <r>
    <n v="350"/>
    <n v="7"/>
    <n v="62"/>
    <s v="L-108"/>
    <m/>
    <s v="Counterpoise Ground Rod"/>
    <s v="10-Foot Long"/>
    <x v="225"/>
    <x v="178"/>
    <n v="13"/>
    <s v="EACH"/>
    <x v="6"/>
    <x v="7"/>
    <s v="spec_airfield_lighting"/>
  </r>
  <r>
    <n v="351"/>
    <n v="7"/>
    <n v="63"/>
    <s v="L-110"/>
    <m/>
    <s v="PVC"/>
    <s v="2-Inch"/>
    <x v="226"/>
    <x v="179"/>
    <n v="3680"/>
    <s v="LF"/>
    <x v="6"/>
    <x v="7"/>
    <s v="spec_airfield_lighting"/>
  </r>
  <r>
    <n v="352"/>
    <n v="7"/>
    <n v="64"/>
    <s v="L-110"/>
    <m/>
    <s v="GRSC"/>
    <s v="2-Inch"/>
    <x v="227"/>
    <x v="180"/>
    <n v="45"/>
    <s v="LF"/>
    <x v="6"/>
    <x v="7"/>
    <s v="spec_airfield_lighting"/>
  </r>
  <r>
    <n v="353"/>
    <n v="7"/>
    <n v="65"/>
    <s v="L-110"/>
    <m/>
    <s v="1 1/2-Inch GRSC"/>
    <m/>
    <x v="228"/>
    <x v="181"/>
    <n v="80"/>
    <s v="LF"/>
    <x v="6"/>
    <x v="7"/>
    <s v="spec_airfield_lighting"/>
  </r>
  <r>
    <n v="354"/>
    <n v="7"/>
    <n v="66"/>
    <n v="260500"/>
    <m/>
    <s v="General Electrical Removal"/>
    <m/>
    <x v="83"/>
    <x v="76"/>
    <n v="1"/>
    <s v="LS"/>
    <x v="6"/>
    <x v="8"/>
    <s v="spec_power_distribution"/>
  </r>
  <r>
    <n v="355"/>
    <n v="7"/>
    <n v="67"/>
    <n v="260500"/>
    <m/>
    <s v="Temporary Circuit Connection"/>
    <m/>
    <x v="85"/>
    <x v="78"/>
    <n v="1"/>
    <s v="LS"/>
    <x v="6"/>
    <x v="8"/>
    <s v="spec_power_distribution"/>
  </r>
  <r>
    <n v="356"/>
    <n v="7"/>
    <n v="68"/>
    <n v="344300"/>
    <m/>
    <s v="Reinstall Elevated Taxiway Edge Light w/ PF Base Can, PF Extension, PF Flange Ring, and CF Transformer in New AC"/>
    <m/>
    <x v="229"/>
    <x v="182"/>
    <n v="43"/>
    <s v="EACH"/>
    <x v="6"/>
    <x v="7"/>
    <s v="spec_airfield_lighting"/>
  </r>
  <r>
    <n v="357"/>
    <n v="7"/>
    <n v="69"/>
    <n v="344300"/>
    <m/>
    <s v="Reinstall Elevated Taxiway Edge Light w/ PF Base Can, PF Extension, PF Flange Ring, and CF Transformer in Existing AC"/>
    <m/>
    <x v="230"/>
    <x v="183"/>
    <n v="6"/>
    <s v="EACH"/>
    <x v="6"/>
    <x v="7"/>
    <s v="spec_airfield_lighting"/>
  </r>
  <r>
    <n v="358"/>
    <n v="7"/>
    <n v="70"/>
    <n v="344300"/>
    <m/>
    <s v="Reinstall LED Taxiway Centerline Light w/ PF Base Can, PF Extension, PF Flange Ring, and CF Transformer in New AC"/>
    <m/>
    <x v="231"/>
    <x v="184"/>
    <n v="13"/>
    <s v="EACH"/>
    <x v="6"/>
    <x v="7"/>
    <s v="spec_airfield_lighting"/>
  </r>
  <r>
    <n v="359"/>
    <n v="7"/>
    <n v="71"/>
    <n v="344300"/>
    <m/>
    <s v="Install PF In-Pavement Taxiway Edge Light on PF Base Can, PF Extension, PF Flange Ring, and CF Transformer in New AC"/>
    <m/>
    <x v="232"/>
    <x v="185"/>
    <n v="3"/>
    <s v="EACH"/>
    <x v="6"/>
    <x v="7"/>
    <s v="spec_airfield_lighting"/>
  </r>
  <r>
    <n v="360"/>
    <n v="7"/>
    <n v="72"/>
    <n v="344300"/>
    <m/>
    <s v="Reinstall Taxiway Edge Light on Existing Base Can with Existing Isolation Transformer"/>
    <m/>
    <x v="233"/>
    <x v="186"/>
    <n v="28"/>
    <s v="EACH"/>
    <x v="6"/>
    <x v="7"/>
    <s v="spec_airfield_lighting"/>
  </r>
  <r>
    <n v="361"/>
    <n v="7"/>
    <n v="73"/>
    <n v="344300"/>
    <m/>
    <s v="Reinstall Taxiway Centerline Light on Existing Base Can w/ Existing Transformer in Existing AC"/>
    <m/>
    <x v="234"/>
    <x v="187"/>
    <n v="1"/>
    <s v="EACH"/>
    <x v="6"/>
    <x v="7"/>
    <s v="spec_airfield_lighting"/>
  </r>
  <r>
    <n v="362"/>
    <n v="7"/>
    <n v="74"/>
    <n v="344300"/>
    <m/>
    <s v="Reinstall Taxiway Centerline Light on Existing Base Can w/ PF Extension, PF Flange Ring, and Existing Transformer in New AC"/>
    <m/>
    <x v="235"/>
    <x v="188"/>
    <n v="45"/>
    <s v="EACH"/>
    <x v="6"/>
    <x v="7"/>
    <s v="spec_airfield_lighting"/>
  </r>
  <r>
    <n v="363"/>
    <n v="7"/>
    <n v="75"/>
    <n v="344302"/>
    <m/>
    <s v="Sign V-2"/>
    <m/>
    <x v="236"/>
    <x v="189"/>
    <n v="1"/>
    <s v="LS"/>
    <x v="6"/>
    <x v="9"/>
    <s v="spec_airfield_signage"/>
  </r>
  <r>
    <n v="364"/>
    <n v="7"/>
    <n v="76"/>
    <n v="344302"/>
    <m/>
    <s v="Sign V-4"/>
    <m/>
    <x v="237"/>
    <x v="190"/>
    <n v="1"/>
    <s v="LS"/>
    <x v="6"/>
    <x v="9"/>
    <s v="spec_airfield_signage"/>
  </r>
  <r>
    <n v="365"/>
    <n v="7"/>
    <n v="77"/>
    <n v="344302"/>
    <m/>
    <s v="Sign V-6"/>
    <m/>
    <x v="238"/>
    <x v="191"/>
    <n v="1"/>
    <s v="LS"/>
    <x v="6"/>
    <x v="9"/>
    <s v="spec_airfield_signage"/>
  </r>
  <r>
    <n v="366"/>
    <n v="7"/>
    <n v="78"/>
    <n v="344302"/>
    <m/>
    <s v="Sign A4-6"/>
    <m/>
    <x v="239"/>
    <x v="192"/>
    <n v="1"/>
    <s v="LS"/>
    <x v="6"/>
    <x v="9"/>
    <s v="spec_airfield_signage"/>
  </r>
  <r>
    <n v="367"/>
    <n v="7"/>
    <n v="79"/>
    <n v="344302"/>
    <m/>
    <s v="Sign A4-7"/>
    <m/>
    <x v="240"/>
    <x v="193"/>
    <n v="1"/>
    <s v="LS"/>
    <x v="6"/>
    <x v="9"/>
    <s v="spec_airfield_signage"/>
  </r>
  <r>
    <n v="368"/>
    <n v="7"/>
    <n v="80"/>
    <n v="344302"/>
    <m/>
    <s v="Sign A4-9"/>
    <m/>
    <x v="241"/>
    <x v="194"/>
    <n v="1"/>
    <s v="LS"/>
    <x v="6"/>
    <x v="9"/>
    <s v="spec_airfield_signage"/>
  </r>
  <r>
    <n v="369"/>
    <n v="7"/>
    <n v="81"/>
    <n v="344302"/>
    <m/>
    <s v="Sign A5-3"/>
    <m/>
    <x v="242"/>
    <x v="195"/>
    <n v="1"/>
    <s v="LS"/>
    <x v="6"/>
    <x v="9"/>
    <s v="spec_airfield_signage"/>
  </r>
  <r>
    <n v="370"/>
    <n v="7"/>
    <n v="82"/>
    <n v="344302"/>
    <m/>
    <s v="Sign A5-4"/>
    <m/>
    <x v="243"/>
    <x v="196"/>
    <n v="1"/>
    <s v="LS"/>
    <x v="6"/>
    <x v="9"/>
    <s v="spec_airfield_signage"/>
  </r>
  <r>
    <n v="371"/>
    <n v="7"/>
    <n v="83"/>
    <n v="344302"/>
    <m/>
    <s v="Sign V-5"/>
    <m/>
    <x v="244"/>
    <x v="197"/>
    <n v="1"/>
    <s v="LS"/>
    <x v="6"/>
    <x v="9"/>
    <s v="spec_airfield_signage"/>
  </r>
  <r>
    <n v="372"/>
    <n v="7"/>
    <n v="84"/>
    <n v="344302"/>
    <m/>
    <s v="Sign A4-13"/>
    <m/>
    <x v="245"/>
    <x v="198"/>
    <n v="1"/>
    <s v="LS"/>
    <x v="6"/>
    <x v="9"/>
    <s v="spec_airfield_signage"/>
  </r>
  <r>
    <n v="373"/>
    <n v="8"/>
    <n v="1"/>
    <n v="12200"/>
    <m/>
    <s v="Mobilization, Surveying, Cleanup, and Demobilization"/>
    <m/>
    <x v="246"/>
    <x v="199"/>
    <n v="1"/>
    <s v="LS"/>
    <x v="0"/>
    <x v="0"/>
    <s v="spec_temp_traffic"/>
  </r>
  <r>
    <n v="374"/>
    <n v="8"/>
    <n v="2"/>
    <n v="12200"/>
    <m/>
    <s v="Sweeper"/>
    <m/>
    <x v="31"/>
    <x v="30"/>
    <n v="1"/>
    <s v="LS"/>
    <x v="0"/>
    <x v="0"/>
    <s v="spec_temp_traffic"/>
  </r>
  <r>
    <n v="375"/>
    <n v="8"/>
    <n v="3"/>
    <n v="12200"/>
    <m/>
    <s v="Security Control Monitoring"/>
    <m/>
    <x v="32"/>
    <x v="31"/>
    <n v="1"/>
    <s v="LS"/>
    <x v="0"/>
    <x v="0"/>
    <s v="spec_temp_traffic"/>
  </r>
  <r>
    <n v="376"/>
    <n v="8"/>
    <n v="4"/>
    <n v="12200"/>
    <m/>
    <s v="Work Zone and Traffic Control"/>
    <m/>
    <x v="33"/>
    <x v="32"/>
    <n v="1"/>
    <s v="LS"/>
    <x v="0"/>
    <x v="0"/>
    <s v="spec_temp_traffic"/>
  </r>
  <r>
    <n v="377"/>
    <n v="8"/>
    <n v="5"/>
    <n v="12200"/>
    <m/>
    <s v="Escort"/>
    <m/>
    <x v="34"/>
    <x v="33"/>
    <n v="1"/>
    <s v="LS"/>
    <x v="0"/>
    <x v="0"/>
    <s v="spec_temp_traffic"/>
  </r>
  <r>
    <n v="378"/>
    <n v="8"/>
    <n v="6"/>
    <n v="260500"/>
    <m/>
    <s v="General Electrical Removal"/>
    <m/>
    <x v="83"/>
    <x v="76"/>
    <n v="1"/>
    <s v="LS"/>
    <x v="6"/>
    <x v="8"/>
    <s v="spec_power_distribution"/>
  </r>
  <r>
    <n v="379"/>
    <n v="8"/>
    <n v="7"/>
    <n v="260500"/>
    <m/>
    <s v="Temporary Circuit Connection"/>
    <m/>
    <x v="85"/>
    <x v="78"/>
    <n v="1"/>
    <s v="LS"/>
    <x v="6"/>
    <x v="8"/>
    <s v="spec_power_distribution"/>
  </r>
  <r>
    <n v="380"/>
    <n v="8"/>
    <n v="8"/>
    <n v="260526"/>
    <m/>
    <s v="Ground Rod for Counterpoise"/>
    <m/>
    <x v="247"/>
    <x v="200"/>
    <n v="2"/>
    <s v="EACH"/>
    <x v="6"/>
    <x v="8"/>
    <s v="spec_power_distribution"/>
  </r>
  <r>
    <n v="381"/>
    <n v="8"/>
    <n v="9"/>
    <n v="260553"/>
    <m/>
    <s v="Diameter Brass Marker"/>
    <s v="3-Inch"/>
    <x v="87"/>
    <x v="80"/>
    <n v="1"/>
    <s v="EACH"/>
    <x v="6"/>
    <x v="8"/>
    <s v="spec_power_distribution"/>
  </r>
  <r>
    <n v="382"/>
    <n v="8"/>
    <n v="10"/>
    <n v="344300"/>
    <m/>
    <s v="Install PF Elevated Runway End Light with CF Transformer on Existing Light Base"/>
    <m/>
    <x v="248"/>
    <x v="201"/>
    <n v="16"/>
    <s v="EACH"/>
    <x v="6"/>
    <x v="7"/>
    <s v="spec_airfield_lighting"/>
  </r>
  <r>
    <n v="383"/>
    <n v="8"/>
    <n v="11"/>
    <n v="344300"/>
    <m/>
    <s v="Install PF Elevated Runway Edge Light with CF Transformer on Existing Light Base"/>
    <m/>
    <x v="249"/>
    <x v="202"/>
    <n v="79"/>
    <s v="EACH"/>
    <x v="6"/>
    <x v="7"/>
    <s v="spec_airfield_lighting"/>
  </r>
  <r>
    <n v="384"/>
    <n v="8"/>
    <n v="12"/>
    <n v="344300"/>
    <m/>
    <s v="Install PF In-Pavement Runway Edge Light with CF Transformer on Existing Light Base"/>
    <m/>
    <x v="250"/>
    <x v="203"/>
    <n v="17"/>
    <s v="EACH"/>
    <x v="6"/>
    <x v="7"/>
    <s v="spec_airfield_lighting"/>
  </r>
  <r>
    <n v="385"/>
    <n v="8"/>
    <n v="13"/>
    <n v="344300"/>
    <m/>
    <s v="Install PF Runway Centerline Light with CF Transformer on Existing Light Base"/>
    <m/>
    <x v="251"/>
    <x v="204"/>
    <n v="195"/>
    <s v="EACH"/>
    <x v="6"/>
    <x v="7"/>
    <s v="spec_airfield_lighting"/>
  </r>
  <r>
    <n v="386"/>
    <n v="8"/>
    <n v="14"/>
    <n v="344300"/>
    <m/>
    <s v="Install PF In-Pavement Runway Threshold Light with CF Transformer on Existing Light Base"/>
    <m/>
    <x v="252"/>
    <x v="205"/>
    <n v="16"/>
    <s v="EACH"/>
    <x v="6"/>
    <x v="7"/>
    <s v="spec_airfield_lighting"/>
  </r>
  <r>
    <n v="387"/>
    <n v="8"/>
    <n v="15"/>
    <n v="344300"/>
    <m/>
    <s v="Install PF Taxiway Centerline Light with PF Remote and CF Transformer on Existing Light Base"/>
    <m/>
    <x v="253"/>
    <x v="206"/>
    <n v="143"/>
    <s v="EACH"/>
    <x v="6"/>
    <x v="7"/>
    <s v="spec_airfield_lighting"/>
  </r>
  <r>
    <n v="388"/>
    <n v="8"/>
    <n v="16"/>
    <n v="344300"/>
    <m/>
    <s v="Install PF Red Elevated Stop Bar Light with PF Remote and CF Transformer on Existing Light Base"/>
    <m/>
    <x v="254"/>
    <x v="207"/>
    <n v="14"/>
    <s v="EACH"/>
    <x v="6"/>
    <x v="7"/>
    <s v="spec_airfield_lighting"/>
  </r>
  <r>
    <n v="389"/>
    <n v="8"/>
    <n v="17"/>
    <n v="344300"/>
    <m/>
    <s v="Install PF Dual Stop Bar Light with PF Remote and CF Transformer on Existing Light Base"/>
    <m/>
    <x v="255"/>
    <x v="208"/>
    <n v="93"/>
    <s v="EACH"/>
    <x v="6"/>
    <x v="7"/>
    <s v="spec_airfield_lighting"/>
  </r>
  <r>
    <n v="390"/>
    <n v="8"/>
    <n v="18"/>
    <n v="344300"/>
    <m/>
    <s v="Install PF In-Pavement Runway Guard Light with CF Transformer on Existing Light Base"/>
    <m/>
    <x v="256"/>
    <x v="209"/>
    <n v="39"/>
    <s v="EACH"/>
    <x v="6"/>
    <x v="7"/>
    <s v="spec_airfield_lighting"/>
  </r>
  <r>
    <n v="391"/>
    <n v="8"/>
    <n v="19"/>
    <n v="344300"/>
    <m/>
    <s v="Install PF Red Elevated Stop Bar Light with CF Transformer on Existing Light Base"/>
    <m/>
    <x v="257"/>
    <x v="210"/>
    <n v="40"/>
    <s v="EACH"/>
    <x v="6"/>
    <x v="7"/>
    <s v="spec_airfield_lighting"/>
  </r>
  <r>
    <n v="392"/>
    <n v="8"/>
    <n v="20"/>
    <n v="344300"/>
    <m/>
    <s v="Install PF Elevated Runway Guard Light with CF Transformer on Existing Light Base"/>
    <m/>
    <x v="258"/>
    <x v="211"/>
    <n v="34"/>
    <s v="EACH"/>
    <x v="6"/>
    <x v="7"/>
    <s v="spec_airfield_lighting"/>
  </r>
  <r>
    <n v="393"/>
    <n v="8"/>
    <n v="21"/>
    <n v="344300"/>
    <m/>
    <s v="Install PF Dual Stop Bar Light with Two CF Transformers on Existing Light Base"/>
    <m/>
    <x v="259"/>
    <x v="212"/>
    <n v="108"/>
    <s v="EACH"/>
    <x v="6"/>
    <x v="7"/>
    <s v="spec_airfield_lighting"/>
  </r>
  <r>
    <n v="394"/>
    <n v="8"/>
    <n v="22"/>
    <n v="344300"/>
    <m/>
    <s v="Install PF Taxiway Centerline Light with CF Transformer on Existing Light Base"/>
    <m/>
    <x v="260"/>
    <x v="213"/>
    <n v="258"/>
    <s v="EACH"/>
    <x v="6"/>
    <x v="7"/>
    <s v="spec_airfield_lighting"/>
  </r>
  <r>
    <n v="395"/>
    <n v="8"/>
    <n v="23"/>
    <n v="344300"/>
    <m/>
    <s v="Install PF Elevated Taxiway Edge Light with CF Transformer on Existing Light Base"/>
    <m/>
    <x v="261"/>
    <x v="214"/>
    <n v="599"/>
    <s v="EACH"/>
    <x v="6"/>
    <x v="7"/>
    <s v="spec_airfield_lighting"/>
  </r>
  <r>
    <n v="396"/>
    <n v="8"/>
    <n v="24"/>
    <n v="344300"/>
    <m/>
    <s v="Install PF Taxiway Centerline Light on Existing Light Base"/>
    <m/>
    <x v="262"/>
    <x v="215"/>
    <n v="80"/>
    <s v="EACH"/>
    <x v="6"/>
    <x v="7"/>
    <s v="spec_airfield_lighting"/>
  </r>
  <r>
    <n v="397"/>
    <n v="8"/>
    <n v="25"/>
    <n v="344300"/>
    <m/>
    <s v="Install PF Dual Stop Bar Light on Existing Light Base"/>
    <m/>
    <x v="263"/>
    <x v="216"/>
    <n v="91"/>
    <s v="EACH"/>
    <x v="6"/>
    <x v="7"/>
    <s v="spec_airfield_lighting"/>
  </r>
  <r>
    <n v="398"/>
    <n v="8"/>
    <n v="26"/>
    <n v="344300"/>
    <m/>
    <s v="Install PF In-Pavement Runway Guard Light on Existing Light Base"/>
    <m/>
    <x v="264"/>
    <x v="217"/>
    <n v="14"/>
    <s v="EACH"/>
    <x v="6"/>
    <x v="7"/>
    <s v="spec_airfield_lighting"/>
  </r>
  <r>
    <n v="399"/>
    <n v="8"/>
    <n v="27"/>
    <n v="344300"/>
    <m/>
    <s v="Install PF In-Pavement Red Stop Bar Light with PF Remote and CF Transformer on Existing Light Base"/>
    <m/>
    <x v="265"/>
    <x v="218"/>
    <n v="10"/>
    <s v="EACH"/>
    <x v="6"/>
    <x v="7"/>
    <s v="spec_airfield_lighting"/>
  </r>
  <r>
    <n v="400"/>
    <n v="8"/>
    <n v="28"/>
    <n v="344300"/>
    <m/>
    <s v="Install CF 150-Watt"/>
    <s v="6.6/6.6 Amp Isolation Transformer in Existing Base Can"/>
    <x v="266"/>
    <x v="219"/>
    <n v="91"/>
    <s v="EACH"/>
    <x v="6"/>
    <x v="7"/>
    <s v="spec_airfield_lighting"/>
  </r>
  <r>
    <n v="401"/>
    <n v="8"/>
    <n v="29"/>
    <n v="344300"/>
    <m/>
    <s v="Install PF Microwave Sensor with CF Transformer in Existing Base Can"/>
    <m/>
    <x v="267"/>
    <x v="220"/>
    <n v="14"/>
    <s v="EACH"/>
    <x v="6"/>
    <x v="7"/>
    <s v="spec_airfield_lighting"/>
  </r>
  <r>
    <n v="402"/>
    <n v="8"/>
    <n v="30"/>
    <n v="344300"/>
    <m/>
    <s v="Install PF Cover Plate on Existing Base Can"/>
    <m/>
    <x v="268"/>
    <x v="221"/>
    <n v="1"/>
    <s v="EACH"/>
    <x v="6"/>
    <x v="7"/>
    <s v="spec_airfield_lighting"/>
  </r>
  <r>
    <n v="403"/>
    <n v="8"/>
    <n v="31"/>
    <s v="L-108"/>
    <m/>
    <s v="#6 AWG, 5kV Cable"/>
    <m/>
    <x v="269"/>
    <x v="222"/>
    <n v="55000"/>
    <s v="LF"/>
    <x v="6"/>
    <x v="7"/>
    <s v="spec_airfield_lighting"/>
  </r>
  <r>
    <n v="404"/>
    <n v="8"/>
    <n v="32"/>
    <s v="L-110"/>
    <m/>
    <s v="PVC Direct Buried in Grass"/>
    <s v="2-inch"/>
    <x v="270"/>
    <x v="223"/>
    <n v="150"/>
    <s v="LF"/>
    <x v="6"/>
    <x v="7"/>
    <s v="spec_airfield_lighting"/>
  </r>
  <r>
    <n v="405"/>
    <n v="8"/>
    <n v="33"/>
    <s v="L-110"/>
    <m/>
    <s v="PVC in Existing ACP Shoulder"/>
    <s v="2-inch"/>
    <x v="271"/>
    <x v="224"/>
    <n v="10"/>
    <s v="LF"/>
    <x v="6"/>
    <x v="7"/>
    <s v="spec_airfield_lighting"/>
  </r>
  <r>
    <n v="406"/>
    <n v="9"/>
    <n v="1"/>
    <s v="UNCLASSIFIED"/>
    <m/>
    <s v="Mobilization, Surveying, Cleanup, and Demobilization"/>
    <m/>
    <x v="0"/>
    <x v="0"/>
    <n v="1"/>
    <s v="LS"/>
    <x v="0"/>
    <x v="0"/>
    <s v="kw_temp_traffic"/>
  </r>
  <r>
    <n v="407"/>
    <n v="9"/>
    <n v="2"/>
    <s v="UNCLASSIFIED"/>
    <m/>
    <s v="Temporary Erosion, Sediment, and Pollution Control"/>
    <m/>
    <x v="2"/>
    <x v="2"/>
    <n v="1"/>
    <s v="LS"/>
    <x v="1"/>
    <x v="1"/>
    <s v="kw_landscape_env"/>
  </r>
  <r>
    <n v="408"/>
    <n v="9"/>
    <n v="3"/>
    <s v="UNCLASSIFIED"/>
    <m/>
    <s v="Temporary Traffic Control"/>
    <m/>
    <x v="272"/>
    <x v="225"/>
    <n v="1"/>
    <s v="LS"/>
    <x v="0"/>
    <x v="0"/>
    <s v="kw_temp_traffic"/>
  </r>
  <r>
    <n v="409"/>
    <n v="9"/>
    <n v="4"/>
    <s v="UNCLASSIFIED"/>
    <m/>
    <s v="Site Demolition"/>
    <m/>
    <x v="3"/>
    <x v="3"/>
    <n v="1"/>
    <s v="LS"/>
    <x v="2"/>
    <x v="2"/>
    <s v="kw_demo_remediation"/>
  </r>
  <r>
    <n v="410"/>
    <n v="9"/>
    <n v="5"/>
    <s v="UNCLASSIFIED"/>
    <m/>
    <s v="Contaminated Soil Excavation and Placement"/>
    <m/>
    <x v="273"/>
    <x v="226"/>
    <n v="26"/>
    <s v="CY"/>
    <x v="3"/>
    <x v="3"/>
    <s v="kw_paving_earthwork"/>
  </r>
  <r>
    <n v="411"/>
    <n v="9"/>
    <n v="6"/>
    <s v="UNCLASSIFIED"/>
    <m/>
    <s v="Fill Material, Topsoil"/>
    <m/>
    <x v="274"/>
    <x v="227"/>
    <n v="105"/>
    <s v="CY"/>
    <x v="1"/>
    <x v="1"/>
    <s v="kw_landscape_env"/>
  </r>
  <r>
    <n v="412"/>
    <n v="9"/>
    <n v="7"/>
    <s v="UNCLASSIFIED"/>
    <m/>
    <s v="Compacted Bedding Material"/>
    <m/>
    <x v="275"/>
    <x v="228"/>
    <n v="181"/>
    <s v="CY"/>
    <x v="4"/>
    <x v="4"/>
    <s v="fallback_unmapped"/>
  </r>
  <r>
    <n v="413"/>
    <n v="9"/>
    <n v="8"/>
    <s v="UNCLASSIFIED"/>
    <m/>
    <s v="Water Pipe"/>
    <s v="2-Inch"/>
    <x v="276"/>
    <x v="229"/>
    <n v="111"/>
    <s v="LF"/>
    <x v="5"/>
    <x v="5"/>
    <s v="kw_piping_drainage"/>
  </r>
  <r>
    <n v="414"/>
    <n v="9"/>
    <n v="9"/>
    <s v="UNCLASSIFIED"/>
    <m/>
    <s v="Water Pipe"/>
    <s v="4-Inch"/>
    <x v="277"/>
    <x v="229"/>
    <n v="1277"/>
    <s v="LF"/>
    <x v="5"/>
    <x v="5"/>
    <s v="kw_piping_drainage"/>
  </r>
  <r>
    <n v="415"/>
    <n v="9"/>
    <n v="10"/>
    <s v="UNCLASSIFIED"/>
    <m/>
    <s v="Water Pipe"/>
    <s v="6-Inch"/>
    <x v="278"/>
    <x v="229"/>
    <n v="6077"/>
    <s v="LF"/>
    <x v="5"/>
    <x v="5"/>
    <s v="kw_piping_drainage"/>
  </r>
  <r>
    <n v="416"/>
    <n v="9"/>
    <n v="11"/>
    <s v="UNCLASSIFIED"/>
    <m/>
    <s v="Gate Valve"/>
    <s v="2-Inch"/>
    <x v="279"/>
    <x v="230"/>
    <n v="1"/>
    <s v="EACH"/>
    <x v="5"/>
    <x v="5"/>
    <s v="kw_piping_drainage"/>
  </r>
  <r>
    <n v="417"/>
    <n v="9"/>
    <n v="12"/>
    <s v="UNCLASSIFIED"/>
    <m/>
    <s v="Gate Valve"/>
    <s v="4-Inch"/>
    <x v="280"/>
    <x v="230"/>
    <n v="2"/>
    <s v="EACH"/>
    <x v="5"/>
    <x v="5"/>
    <s v="kw_piping_drainage"/>
  </r>
  <r>
    <n v="418"/>
    <n v="9"/>
    <n v="13"/>
    <s v="UNCLASSIFIED"/>
    <m/>
    <s v="Gate Valve"/>
    <s v="6-Inch"/>
    <x v="281"/>
    <x v="230"/>
    <n v="5"/>
    <s v="EACH"/>
    <x v="5"/>
    <x v="5"/>
    <s v="kw_piping_drainage"/>
  </r>
  <r>
    <n v="419"/>
    <n v="9"/>
    <n v="14"/>
    <s v="UNCLASSIFIED"/>
    <m/>
    <s v="Remove and Reinstall Catch Basin"/>
    <m/>
    <x v="282"/>
    <x v="231"/>
    <n v="1"/>
    <s v="EACH"/>
    <x v="5"/>
    <x v="5"/>
    <s v="kw_piping_drainage"/>
  </r>
  <r>
    <n v="420"/>
    <n v="9"/>
    <n v="15"/>
    <s v="UNCLASSIFIED"/>
    <m/>
    <s v="Aggregate Base Course"/>
    <m/>
    <x v="23"/>
    <x v="22"/>
    <n v="608"/>
    <s v="TON"/>
    <x v="3"/>
    <x v="3"/>
    <s v="kw_paving_earthwork"/>
  </r>
  <r>
    <n v="421"/>
    <n v="9"/>
    <n v="16"/>
    <s v="UNCLASSIFIED"/>
    <m/>
    <s v="Pavement Markings"/>
    <m/>
    <x v="283"/>
    <x v="232"/>
    <n v="1"/>
    <s v="LS"/>
    <x v="3"/>
    <x v="3"/>
    <s v="kw_paving_earthwork"/>
  </r>
  <r>
    <n v="422"/>
    <n v="9"/>
    <n v="17"/>
    <s v="UNCLASSIFIED"/>
    <m/>
    <s v="Remove and Reinstall Chain Link Fence"/>
    <m/>
    <x v="284"/>
    <x v="233"/>
    <n v="81"/>
    <s v="LF"/>
    <x v="2"/>
    <x v="2"/>
    <s v="kw_demo_remediation"/>
  </r>
  <r>
    <n v="423"/>
    <n v="9"/>
    <n v="18"/>
    <s v="UNCLASSIFIED"/>
    <m/>
    <s v="Area Seeding"/>
    <m/>
    <x v="27"/>
    <x v="26"/>
    <n v="6"/>
    <s v="ACRE"/>
    <x v="1"/>
    <x v="1"/>
    <s v="kw_landscape_env"/>
  </r>
  <r>
    <n v="424"/>
    <n v="9"/>
    <n v="19"/>
    <s v="UNCLASSIFIED"/>
    <m/>
    <s v="Asphalt Concrerte Surface Course"/>
    <m/>
    <x v="285"/>
    <x v="234"/>
    <n v="45"/>
    <s v="TON"/>
    <x v="3"/>
    <x v="3"/>
    <s v="kw_paving_earthwork"/>
  </r>
  <r>
    <n v="425"/>
    <n v="10"/>
    <n v="1"/>
    <n v="12200"/>
    <m/>
    <s v="Sweeper"/>
    <m/>
    <x v="31"/>
    <x v="30"/>
    <n v="1"/>
    <s v="LS"/>
    <x v="0"/>
    <x v="0"/>
    <s v="spec_temp_traffic"/>
  </r>
  <r>
    <n v="426"/>
    <n v="10"/>
    <n v="2"/>
    <n v="12200"/>
    <m/>
    <s v="Security Control Monitoring"/>
    <m/>
    <x v="32"/>
    <x v="31"/>
    <n v="1"/>
    <s v="LS"/>
    <x v="0"/>
    <x v="0"/>
    <s v="spec_temp_traffic"/>
  </r>
  <r>
    <n v="427"/>
    <n v="10"/>
    <n v="3"/>
    <n v="12200"/>
    <m/>
    <s v="Traffic Control"/>
    <m/>
    <x v="111"/>
    <x v="103"/>
    <n v="1"/>
    <s v="LS"/>
    <x v="0"/>
    <x v="0"/>
    <s v="spec_temp_traffic"/>
  </r>
  <r>
    <n v="428"/>
    <n v="10"/>
    <n v="4"/>
    <n v="12200"/>
    <m/>
    <s v="Escort"/>
    <m/>
    <x v="34"/>
    <x v="33"/>
    <n v="1"/>
    <s v="LS"/>
    <x v="0"/>
    <x v="0"/>
    <s v="spec_temp_traffic"/>
  </r>
  <r>
    <n v="429"/>
    <n v="10"/>
    <n v="5"/>
    <n v="15713"/>
    <m/>
    <s v="Inlet Protection"/>
    <m/>
    <x v="37"/>
    <x v="36"/>
    <n v="6"/>
    <s v="EACH"/>
    <x v="0"/>
    <x v="0"/>
    <s v="spec_temp_traffic"/>
  </r>
  <r>
    <n v="430"/>
    <n v="10"/>
    <n v="5"/>
    <n v="15713"/>
    <m/>
    <s v="Jet Blast Control Material"/>
    <m/>
    <x v="38"/>
    <x v="37"/>
    <n v="3"/>
    <s v="ACRE"/>
    <x v="0"/>
    <x v="0"/>
    <s v="spec_temp_traffic"/>
  </r>
  <r>
    <n v="431"/>
    <n v="10"/>
    <n v="6"/>
    <n v="15713"/>
    <m/>
    <s v="Inlet Protection"/>
    <m/>
    <x v="37"/>
    <x v="36"/>
    <n v="60"/>
    <s v="EACH"/>
    <x v="0"/>
    <x v="0"/>
    <s v="spec_temp_traffic"/>
  </r>
  <r>
    <n v="432"/>
    <n v="10"/>
    <n v="6"/>
    <s v="C-105"/>
    <m/>
    <s v="Mobilization"/>
    <m/>
    <x v="286"/>
    <x v="235"/>
    <n v="1"/>
    <s v="LS"/>
    <x v="0"/>
    <x v="0"/>
    <s v="spec_temp_traffic"/>
  </r>
  <r>
    <n v="433"/>
    <n v="10"/>
    <n v="7"/>
    <n v="15713"/>
    <m/>
    <s v="Ditch Protection/Check Dams"/>
    <m/>
    <x v="112"/>
    <x v="104"/>
    <n v="4"/>
    <s v="EACH"/>
    <x v="0"/>
    <x v="0"/>
    <s v="spec_temp_traffic"/>
  </r>
  <r>
    <n v="434"/>
    <n v="10"/>
    <n v="7"/>
    <s v="P-101"/>
    <m/>
    <s v="PCC Pavement Removal"/>
    <s v="15-Inch Depth"/>
    <x v="287"/>
    <x v="106"/>
    <n v="450"/>
    <s v="SY"/>
    <x v="3"/>
    <x v="3"/>
    <s v="spec_paving_earthwork"/>
  </r>
  <r>
    <n v="435"/>
    <n v="10"/>
    <n v="8"/>
    <s v="C-102"/>
    <m/>
    <s v="Installation and Removal of Silt Fence"/>
    <m/>
    <x v="288"/>
    <x v="236"/>
    <n v="4650"/>
    <s v="LF"/>
    <x v="0"/>
    <x v="0"/>
    <s v="spec_temp_traffic"/>
  </r>
  <r>
    <n v="436"/>
    <n v="10"/>
    <n v="8"/>
    <s v="P-101"/>
    <m/>
    <s v="PCC Pavement Removal"/>
    <s v="18-Inch Depth"/>
    <x v="289"/>
    <x v="106"/>
    <n v="150"/>
    <s v="SY"/>
    <x v="3"/>
    <x v="3"/>
    <s v="spec_paving_earthwork"/>
  </r>
  <r>
    <n v="437"/>
    <n v="10"/>
    <n v="9"/>
    <s v="C-105"/>
    <m/>
    <s v="Mobilization"/>
    <m/>
    <x v="286"/>
    <x v="235"/>
    <n v="1"/>
    <s v="LS"/>
    <x v="0"/>
    <x v="0"/>
    <s v="spec_temp_traffic"/>
  </r>
  <r>
    <n v="438"/>
    <n v="10"/>
    <n v="9"/>
    <s v="P-101"/>
    <m/>
    <s v="Asphalt Pavement Removal"/>
    <s v="11-Inch Depth"/>
    <x v="290"/>
    <x v="40"/>
    <n v="5900"/>
    <s v="SY"/>
    <x v="3"/>
    <x v="3"/>
    <s v="spec_paving_earthwork"/>
  </r>
  <r>
    <n v="439"/>
    <n v="10"/>
    <n v="10"/>
    <s v="P-101"/>
    <m/>
    <s v="Asphalt Pavement Removal"/>
    <s v="20-Inch Depth"/>
    <x v="291"/>
    <x v="40"/>
    <n v="3600"/>
    <s v="SY"/>
    <x v="3"/>
    <x v="3"/>
    <s v="spec_paving_earthwork"/>
  </r>
  <r>
    <n v="440"/>
    <n v="10"/>
    <n v="10"/>
    <s v="P-101"/>
    <m/>
    <s v="Asphalt Pavement Removal"/>
    <s v="4-Inch Depth"/>
    <x v="292"/>
    <x v="40"/>
    <n v="2700"/>
    <s v="SY"/>
    <x v="3"/>
    <x v="3"/>
    <s v="spec_paving_earthwork"/>
  </r>
  <r>
    <n v="441"/>
    <n v="10"/>
    <n v="11"/>
    <s v="P-101"/>
    <m/>
    <s v="Asphalt Pavement Removal"/>
    <s v="6-Inch Depth"/>
    <x v="203"/>
    <x v="40"/>
    <n v="625"/>
    <s v="SY"/>
    <x v="3"/>
    <x v="3"/>
    <s v="spec_paving_earthwork"/>
  </r>
  <r>
    <n v="442"/>
    <n v="10"/>
    <n v="11"/>
    <s v="P-101"/>
    <m/>
    <s v="Cold Milling"/>
    <s v="3-Inch Depth"/>
    <x v="293"/>
    <x v="41"/>
    <n v="150"/>
    <s v="SY"/>
    <x v="3"/>
    <x v="3"/>
    <s v="spec_paving_earthwork"/>
  </r>
  <r>
    <n v="443"/>
    <n v="10"/>
    <n v="12"/>
    <s v="P-101"/>
    <m/>
    <s v="Asphalt Pavement Removal"/>
    <s v="13.5-Inch Depth"/>
    <x v="294"/>
    <x v="40"/>
    <n v="1000"/>
    <s v="SY"/>
    <x v="3"/>
    <x v="3"/>
    <s v="spec_paving_earthwork"/>
  </r>
  <r>
    <n v="444"/>
    <n v="10"/>
    <n v="12"/>
    <s v="P-101"/>
    <m/>
    <s v="Removal of Pipe and Other Buried Structures"/>
    <m/>
    <x v="295"/>
    <x v="237"/>
    <n v="1"/>
    <s v="LS"/>
    <x v="3"/>
    <x v="3"/>
    <s v="spec_paving_earthwork"/>
  </r>
  <r>
    <n v="445"/>
    <n v="10"/>
    <n v="13"/>
    <s v="P-101"/>
    <m/>
    <s v="PCC Pavement Removal"/>
    <s v="6-Inch Depth"/>
    <x v="296"/>
    <x v="106"/>
    <n v="25"/>
    <s v="SY"/>
    <x v="3"/>
    <x v="3"/>
    <s v="spec_paving_earthwork"/>
  </r>
  <r>
    <n v="446"/>
    <n v="10"/>
    <n v="13"/>
    <s v="P-152"/>
    <m/>
    <s v="Unclassified Excavation"/>
    <m/>
    <x v="207"/>
    <x v="164"/>
    <n v="13025"/>
    <s v="CY"/>
    <x v="3"/>
    <x v="3"/>
    <s v="spec_paving_earthwork"/>
  </r>
  <r>
    <n v="447"/>
    <n v="10"/>
    <n v="14"/>
    <s v="P-101"/>
    <m/>
    <s v="Cold Milling"/>
    <s v="3-Inch Depth"/>
    <x v="293"/>
    <x v="41"/>
    <n v="3400"/>
    <s v="SY"/>
    <x v="3"/>
    <x v="3"/>
    <s v="spec_paving_earthwork"/>
  </r>
  <r>
    <n v="448"/>
    <n v="10"/>
    <n v="14"/>
    <s v="P-152"/>
    <m/>
    <s v="Unsuitable Excavation"/>
    <m/>
    <x v="48"/>
    <x v="45"/>
    <n v="850"/>
    <s v="CY"/>
    <x v="3"/>
    <x v="3"/>
    <s v="spec_paving_earthwork"/>
  </r>
  <r>
    <n v="449"/>
    <n v="10"/>
    <n v="15"/>
    <s v="P-101"/>
    <m/>
    <s v="Cold Milling"/>
    <s v="4-Inch Depth"/>
    <x v="297"/>
    <x v="41"/>
    <n v="22300"/>
    <s v="SY"/>
    <x v="3"/>
    <x v="3"/>
    <s v="spec_paving_earthwork"/>
  </r>
  <r>
    <n v="450"/>
    <n v="10"/>
    <n v="15"/>
    <s v="P-153"/>
    <m/>
    <s v="Controlled Low - Strength Material"/>
    <m/>
    <x v="208"/>
    <x v="165"/>
    <n v="1100"/>
    <s v="CY"/>
    <x v="3"/>
    <x v="3"/>
    <s v="spec_paving_earthwork"/>
  </r>
  <r>
    <n v="451"/>
    <n v="10"/>
    <n v="16"/>
    <s v="P-101"/>
    <m/>
    <s v="Cold Milling"/>
    <s v="12-Inch Depth"/>
    <x v="298"/>
    <x v="41"/>
    <n v="2400"/>
    <s v="SY"/>
    <x v="3"/>
    <x v="3"/>
    <s v="spec_paving_earthwork"/>
  </r>
  <r>
    <n v="452"/>
    <n v="10"/>
    <n v="16"/>
    <s v="P-154"/>
    <m/>
    <s v="Subbase Course"/>
    <m/>
    <x v="54"/>
    <x v="51"/>
    <n v="9100"/>
    <s v="CY"/>
    <x v="3"/>
    <x v="3"/>
    <s v="spec_paving_earthwork"/>
  </r>
  <r>
    <n v="453"/>
    <n v="10"/>
    <n v="17"/>
    <s v="P-101"/>
    <m/>
    <s v="Removal of Pipe and Other Buried Structures"/>
    <m/>
    <x v="295"/>
    <x v="237"/>
    <n v="1"/>
    <s v="LS"/>
    <x v="3"/>
    <x v="3"/>
    <s v="spec_paving_earthwork"/>
  </r>
  <r>
    <n v="454"/>
    <n v="10"/>
    <n v="17"/>
    <s v="P-154"/>
    <m/>
    <s v="Separation Geotextile"/>
    <m/>
    <x v="299"/>
    <x v="238"/>
    <n v="12900"/>
    <s v="SY"/>
    <x v="3"/>
    <x v="3"/>
    <s v="spec_paving_earthwork"/>
  </r>
  <r>
    <n v="455"/>
    <n v="10"/>
    <n v="18"/>
    <s v="P-152"/>
    <m/>
    <s v="Unclassified Excavation"/>
    <m/>
    <x v="207"/>
    <x v="164"/>
    <n v="10650"/>
    <s v="CY"/>
    <x v="3"/>
    <x v="3"/>
    <s v="spec_paving_earthwork"/>
  </r>
  <r>
    <n v="456"/>
    <n v="10"/>
    <n v="18"/>
    <s v="P-209"/>
    <m/>
    <s v="Crushed Aggregate Base Course"/>
    <m/>
    <x v="57"/>
    <x v="54"/>
    <n v="2500"/>
    <s v="CY"/>
    <x v="3"/>
    <x v="3"/>
    <s v="spec_paving_earthwork"/>
  </r>
  <r>
    <n v="457"/>
    <n v="10"/>
    <n v="19"/>
    <s v="P-152"/>
    <m/>
    <s v="Unsuitable Excavation"/>
    <m/>
    <x v="48"/>
    <x v="45"/>
    <n v="1000"/>
    <s v="CY"/>
    <x v="3"/>
    <x v="3"/>
    <s v="spec_paving_earthwork"/>
  </r>
  <r>
    <n v="458"/>
    <n v="10"/>
    <n v="19"/>
    <s v="P-401"/>
    <m/>
    <s v="Asphalt Surface Course"/>
    <m/>
    <x v="300"/>
    <x v="239"/>
    <n v="1800"/>
    <s v="TON"/>
    <x v="3"/>
    <x v="3"/>
    <s v="spec_paving_earthwork"/>
  </r>
  <r>
    <n v="459"/>
    <n v="10"/>
    <n v="20"/>
    <s v="P-153"/>
    <m/>
    <s v="Controlled Low - Strength Material"/>
    <m/>
    <x v="208"/>
    <x v="165"/>
    <n v="1750"/>
    <s v="CY"/>
    <x v="3"/>
    <x v="3"/>
    <s v="spec_paving_earthwork"/>
  </r>
  <r>
    <n v="460"/>
    <n v="10"/>
    <n v="20"/>
    <s v="P-403"/>
    <m/>
    <s v="Asphalt Mixture Surface and Base"/>
    <m/>
    <x v="301"/>
    <x v="240"/>
    <n v="4600"/>
    <s v="TON"/>
    <x v="3"/>
    <x v="3"/>
    <s v="spec_paving_earthwork"/>
  </r>
  <r>
    <n v="461"/>
    <n v="10"/>
    <n v="21"/>
    <s v="P-154"/>
    <m/>
    <s v="Subbase Course"/>
    <m/>
    <x v="54"/>
    <x v="51"/>
    <n v="5700"/>
    <s v="CY"/>
    <x v="3"/>
    <x v="3"/>
    <s v="spec_paving_earthwork"/>
  </r>
  <r>
    <n v="462"/>
    <n v="10"/>
    <n v="21"/>
    <s v="P-501"/>
    <m/>
    <s v="Thick Concrete Pavement"/>
    <s v="11-Inch"/>
    <x v="302"/>
    <x v="241"/>
    <n v="1511"/>
    <s v="SY"/>
    <x v="3"/>
    <x v="3"/>
    <s v="spec_paving_earthwork"/>
  </r>
  <r>
    <n v="463"/>
    <n v="10"/>
    <n v="22"/>
    <s v="P-154"/>
    <m/>
    <s v="Separation Geotextile"/>
    <m/>
    <x v="299"/>
    <x v="238"/>
    <n v="14400"/>
    <s v="SY"/>
    <x v="3"/>
    <x v="3"/>
    <s v="spec_paving_earthwork"/>
  </r>
  <r>
    <n v="464"/>
    <n v="10"/>
    <n v="22"/>
    <s v="P-501"/>
    <m/>
    <s v="Thick Concrete Pavement"/>
    <s v="15-Inch"/>
    <x v="303"/>
    <x v="241"/>
    <n v="6259"/>
    <s v="SY"/>
    <x v="3"/>
    <x v="3"/>
    <s v="spec_paving_earthwork"/>
  </r>
  <r>
    <n v="465"/>
    <n v="10"/>
    <n v="23"/>
    <s v="P-209"/>
    <m/>
    <s v="Crushed Aggregate Base Course"/>
    <m/>
    <x v="57"/>
    <x v="54"/>
    <n v="2600"/>
    <s v="CY"/>
    <x v="3"/>
    <x v="3"/>
    <s v="spec_paving_earthwork"/>
  </r>
  <r>
    <n v="466"/>
    <n v="10"/>
    <n v="23"/>
    <s v="P-501"/>
    <m/>
    <s v="Thick Concrete Pavement"/>
    <s v="18-Inch"/>
    <x v="304"/>
    <x v="241"/>
    <n v="139"/>
    <s v="SY"/>
    <x v="3"/>
    <x v="3"/>
    <s v="spec_paving_earthwork"/>
  </r>
  <r>
    <n v="467"/>
    <n v="10"/>
    <n v="24"/>
    <s v="P-401"/>
    <m/>
    <s v="Asphalt Surface Course"/>
    <m/>
    <x v="300"/>
    <x v="239"/>
    <n v="7500"/>
    <s v="TON"/>
    <x v="3"/>
    <x v="3"/>
    <s v="spec_paving_earthwork"/>
  </r>
  <r>
    <n v="468"/>
    <n v="10"/>
    <n v="24"/>
    <s v="P-603"/>
    <m/>
    <s v="Emulsified Asphalt Tack Coat"/>
    <m/>
    <x v="305"/>
    <x v="242"/>
    <n v="1800"/>
    <s v="GAL"/>
    <x v="3"/>
    <x v="3"/>
    <s v="spec_paving_earthwork"/>
  </r>
  <r>
    <n v="469"/>
    <n v="10"/>
    <n v="25"/>
    <s v="P-403"/>
    <m/>
    <s v="Asphalt Mixture Surface and Base"/>
    <m/>
    <x v="301"/>
    <x v="240"/>
    <n v="6100"/>
    <s v="TON"/>
    <x v="3"/>
    <x v="3"/>
    <s v="spec_paving_earthwork"/>
  </r>
  <r>
    <n v="470"/>
    <n v="10"/>
    <n v="25"/>
    <s v="P-604"/>
    <m/>
    <s v="Compression Joint Seals for Concrete Pavements"/>
    <m/>
    <x v="306"/>
    <x v="243"/>
    <n v="6000"/>
    <s v="LF"/>
    <x v="3"/>
    <x v="3"/>
    <s v="spec_paving_earthwork"/>
  </r>
  <r>
    <n v="471"/>
    <n v="10"/>
    <n v="26"/>
    <s v="P-602"/>
    <m/>
    <s v="Emulsified Asphalt Prime Coat"/>
    <m/>
    <x v="307"/>
    <x v="244"/>
    <n v="3600"/>
    <s v="GAL"/>
    <x v="3"/>
    <x v="3"/>
    <s v="spec_paving_earthwork"/>
  </r>
  <r>
    <n v="472"/>
    <n v="10"/>
    <n v="26"/>
    <s v="P-605"/>
    <m/>
    <s v="Joint Sealing Filler"/>
    <m/>
    <x v="53"/>
    <x v="50"/>
    <n v="100"/>
    <s v="GAL"/>
    <x v="3"/>
    <x v="3"/>
    <s v="spec_paving_earthwork"/>
  </r>
  <r>
    <n v="473"/>
    <n v="10"/>
    <n v="27"/>
    <s v="P-603"/>
    <m/>
    <s v="Emulsified Asphalt Tack Coat"/>
    <m/>
    <x v="305"/>
    <x v="242"/>
    <n v="6750"/>
    <s v="GAL"/>
    <x v="3"/>
    <x v="3"/>
    <s v="spec_paving_earthwork"/>
  </r>
  <r>
    <n v="474"/>
    <n v="10"/>
    <n v="27"/>
    <s v="P-608"/>
    <m/>
    <s v="Asphalt Surface Treatment"/>
    <m/>
    <x v="56"/>
    <x v="53"/>
    <n v="1900"/>
    <s v="SY"/>
    <x v="3"/>
    <x v="3"/>
    <s v="spec_paving_earthwork"/>
  </r>
  <r>
    <n v="475"/>
    <n v="10"/>
    <n v="28"/>
    <s v="P-605"/>
    <m/>
    <s v="Joint Sealing Filler"/>
    <m/>
    <x v="53"/>
    <x v="50"/>
    <n v="82"/>
    <s v="GAL"/>
    <x v="3"/>
    <x v="3"/>
    <s v="spec_paving_earthwork"/>
  </r>
  <r>
    <n v="476"/>
    <n v="10"/>
    <n v="28"/>
    <s v="P-620"/>
    <m/>
    <s v="Surface Preparation - New Pavement Surfaces"/>
    <m/>
    <x v="308"/>
    <x v="245"/>
    <n v="5725"/>
    <s v="SF"/>
    <x v="3"/>
    <x v="3"/>
    <s v="spec_paving_earthwork"/>
  </r>
  <r>
    <n v="477"/>
    <n v="10"/>
    <n v="29"/>
    <s v="P-606"/>
    <m/>
    <s v="Adhesive Compound"/>
    <m/>
    <x v="55"/>
    <x v="52"/>
    <n v="45"/>
    <s v="GAL"/>
    <x v="3"/>
    <x v="3"/>
    <s v="spec_paving_earthwork"/>
  </r>
  <r>
    <n v="478"/>
    <n v="10"/>
    <n v="29"/>
    <s v="P-620"/>
    <m/>
    <s v="Surface Preparation - Remove Existing Markings"/>
    <m/>
    <x v="309"/>
    <x v="246"/>
    <n v="3200"/>
    <s v="SF"/>
    <x v="3"/>
    <x v="3"/>
    <s v="spec_paving_earthwork"/>
  </r>
  <r>
    <n v="479"/>
    <n v="10"/>
    <n v="30"/>
    <s v="P-608"/>
    <m/>
    <s v="Asphalt Surface Treatment"/>
    <m/>
    <x v="56"/>
    <x v="53"/>
    <n v="2800"/>
    <s v="SY"/>
    <x v="3"/>
    <x v="3"/>
    <s v="spec_paving_earthwork"/>
  </r>
  <r>
    <n v="480"/>
    <n v="10"/>
    <n v="30"/>
    <s v="P-620"/>
    <m/>
    <s v="Marking"/>
    <m/>
    <x v="310"/>
    <x v="247"/>
    <n v="5725"/>
    <s v="SF"/>
    <x v="3"/>
    <x v="3"/>
    <s v="spec_paving_earthwork"/>
  </r>
  <r>
    <n v="481"/>
    <n v="10"/>
    <n v="31"/>
    <s v="P-610"/>
    <m/>
    <s v="Concrete"/>
    <m/>
    <x v="311"/>
    <x v="248"/>
    <n v="8"/>
    <s v="CY"/>
    <x v="3"/>
    <x v="3"/>
    <s v="spec_paving_earthwork"/>
  </r>
  <r>
    <n v="482"/>
    <n v="10"/>
    <n v="31"/>
    <s v="P-620"/>
    <m/>
    <s v="Reflective Media"/>
    <m/>
    <x v="63"/>
    <x v="60"/>
    <n v="250"/>
    <s v="LB"/>
    <x v="3"/>
    <x v="3"/>
    <s v="spec_paving_earthwork"/>
  </r>
  <r>
    <n v="483"/>
    <n v="10"/>
    <n v="32"/>
    <s v="P-620"/>
    <m/>
    <s v="Surface Preparation - New Pavement Surfaces"/>
    <m/>
    <x v="308"/>
    <x v="245"/>
    <n v="5300"/>
    <s v="SF"/>
    <x v="3"/>
    <x v="3"/>
    <s v="spec_paving_earthwork"/>
  </r>
  <r>
    <n v="484"/>
    <n v="10"/>
    <n v="32"/>
    <s v="P-620"/>
    <m/>
    <s v="Temporary Runway and Taxiway Marking"/>
    <m/>
    <x v="312"/>
    <x v="249"/>
    <n v="15725"/>
    <s v="SF"/>
    <x v="3"/>
    <x v="3"/>
    <s v="spec_paving_earthwork"/>
  </r>
  <r>
    <n v="485"/>
    <n v="10"/>
    <n v="33"/>
    <s v="D-701"/>
    <m/>
    <s v="STS"/>
    <s v="12-Inch"/>
    <x v="313"/>
    <x v="250"/>
    <n v="160"/>
    <s v="LF"/>
    <x v="5"/>
    <x v="6"/>
    <s v="spec_drainage_structures"/>
  </r>
  <r>
    <n v="486"/>
    <n v="10"/>
    <n v="33"/>
    <s v="P-620"/>
    <m/>
    <s v="Marking"/>
    <m/>
    <x v="310"/>
    <x v="247"/>
    <n v="5300"/>
    <s v="SF"/>
    <x v="3"/>
    <x v="3"/>
    <s v="spec_paving_earthwork"/>
  </r>
  <r>
    <n v="487"/>
    <n v="10"/>
    <n v="34"/>
    <s v="D-701"/>
    <m/>
    <s v="STS"/>
    <s v="15-Inch"/>
    <x v="314"/>
    <x v="250"/>
    <n v="102"/>
    <s v="LF"/>
    <x v="5"/>
    <x v="6"/>
    <s v="spec_drainage_structures"/>
  </r>
  <r>
    <n v="488"/>
    <n v="10"/>
    <n v="34"/>
    <s v="P-620"/>
    <m/>
    <s v="Reflective Media"/>
    <m/>
    <x v="63"/>
    <x v="60"/>
    <n v="263"/>
    <s v="LB"/>
    <x v="3"/>
    <x v="3"/>
    <s v="spec_paving_earthwork"/>
  </r>
  <r>
    <n v="489"/>
    <n v="10"/>
    <n v="35"/>
    <s v="D-701"/>
    <m/>
    <s v="STS"/>
    <s v="36-Inch"/>
    <x v="315"/>
    <x v="250"/>
    <n v="925"/>
    <s v="LF"/>
    <x v="5"/>
    <x v="6"/>
    <s v="spec_drainage_structures"/>
  </r>
  <r>
    <n v="490"/>
    <n v="10"/>
    <n v="35"/>
    <s v="P-620"/>
    <m/>
    <s v="Temporary Runway and Taxiway Marking"/>
    <m/>
    <x v="312"/>
    <x v="249"/>
    <n v="25300"/>
    <s v="SF"/>
    <x v="3"/>
    <x v="3"/>
    <s v="spec_paving_earthwork"/>
  </r>
  <r>
    <n v="491"/>
    <n v="10"/>
    <n v="36"/>
    <s v="D-701"/>
    <m/>
    <s v="STS"/>
    <s v="8-Inch"/>
    <x v="316"/>
    <x v="250"/>
    <n v="46"/>
    <s v="LF"/>
    <x v="5"/>
    <x v="6"/>
    <s v="spec_drainage_structures"/>
  </r>
  <r>
    <n v="492"/>
    <n v="10"/>
    <n v="36"/>
    <s v="D-751"/>
    <m/>
    <s v="Manhole"/>
    <s v="60-Inch"/>
    <x v="317"/>
    <x v="251"/>
    <n v="4"/>
    <s v="EACH"/>
    <x v="5"/>
    <x v="6"/>
    <s v="spec_drainage_structures"/>
  </r>
  <r>
    <n v="493"/>
    <n v="10"/>
    <n v="37"/>
    <s v="D-701"/>
    <m/>
    <s v="STS"/>
    <s v="12-Inch"/>
    <x v="313"/>
    <x v="250"/>
    <n v="1328"/>
    <s v="LF"/>
    <x v="5"/>
    <x v="6"/>
    <s v="spec_drainage_structures"/>
  </r>
  <r>
    <n v="494"/>
    <n v="10"/>
    <n v="37"/>
    <s v="D-751"/>
    <m/>
    <s v="Manhole"/>
    <s v="72-Inch"/>
    <x v="318"/>
    <x v="251"/>
    <n v="1"/>
    <s v="EACH"/>
    <x v="5"/>
    <x v="6"/>
    <s v="spec_drainage_structures"/>
  </r>
  <r>
    <n v="495"/>
    <n v="10"/>
    <n v="38"/>
    <s v="D-701"/>
    <m/>
    <s v="STS"/>
    <s v="15-Inch"/>
    <x v="314"/>
    <x v="250"/>
    <n v="251"/>
    <s v="LF"/>
    <x v="5"/>
    <x v="6"/>
    <s v="spec_drainage_structures"/>
  </r>
  <r>
    <n v="496"/>
    <n v="10"/>
    <n v="38"/>
    <s v="D-751"/>
    <m/>
    <s v="Catch Basins"/>
    <m/>
    <x v="220"/>
    <x v="173"/>
    <n v="2"/>
    <s v="EACH"/>
    <x v="5"/>
    <x v="6"/>
    <s v="spec_drainage_structures"/>
  </r>
  <r>
    <n v="497"/>
    <n v="10"/>
    <n v="39"/>
    <n v="312300"/>
    <m/>
    <s v="Connection to Existing Storm Drainage System"/>
    <m/>
    <x v="89"/>
    <x v="82"/>
    <n v="4"/>
    <s v="EACH"/>
    <x v="5"/>
    <x v="6"/>
    <s v="spec_drainage_structures"/>
  </r>
  <r>
    <n v="498"/>
    <n v="10"/>
    <n v="39"/>
    <s v="D-701"/>
    <m/>
    <s v="STS"/>
    <s v="18-Inch"/>
    <x v="319"/>
    <x v="250"/>
    <n v="36"/>
    <s v="LF"/>
    <x v="5"/>
    <x v="6"/>
    <s v="spec_drainage_structures"/>
  </r>
  <r>
    <n v="499"/>
    <n v="10"/>
    <n v="40"/>
    <n v="312300"/>
    <m/>
    <s v="Existing Electrical Vault Adjustment to Grade"/>
    <m/>
    <x v="144"/>
    <x v="117"/>
    <n v="2"/>
    <s v="EACH"/>
    <x v="5"/>
    <x v="6"/>
    <s v="spec_drainage_structures"/>
  </r>
  <r>
    <n v="500"/>
    <n v="10"/>
    <n v="40"/>
    <s v="D-701"/>
    <m/>
    <s v="STS"/>
    <s v="24-Inch"/>
    <x v="320"/>
    <x v="250"/>
    <n v="2286"/>
    <s v="LF"/>
    <x v="5"/>
    <x v="6"/>
    <s v="spec_drainage_structures"/>
  </r>
  <r>
    <n v="501"/>
    <n v="10"/>
    <n v="41"/>
    <n v="312300"/>
    <m/>
    <s v="Remove Existing Manhole Flat Top and Upgrade to Aircraft Rated Structure"/>
    <m/>
    <x v="321"/>
    <x v="252"/>
    <n v="1"/>
    <s v="EACH"/>
    <x v="5"/>
    <x v="6"/>
    <s v="spec_drainage_structures"/>
  </r>
  <r>
    <n v="502"/>
    <n v="10"/>
    <n v="41"/>
    <s v="D-701"/>
    <m/>
    <s v="STS"/>
    <s v="30-Inch"/>
    <x v="322"/>
    <x v="250"/>
    <n v="299"/>
    <s v="LF"/>
    <x v="5"/>
    <x v="6"/>
    <s v="spec_drainage_structures"/>
  </r>
  <r>
    <n v="503"/>
    <n v="10"/>
    <n v="42"/>
    <n v="260500"/>
    <m/>
    <s v="General Electrical Removal"/>
    <m/>
    <x v="83"/>
    <x v="76"/>
    <n v="1"/>
    <s v="LS"/>
    <x v="6"/>
    <x v="8"/>
    <s v="spec_power_distribution"/>
  </r>
  <r>
    <n v="504"/>
    <n v="10"/>
    <n v="42"/>
    <s v="D-751"/>
    <m/>
    <s v="Manhole"/>
    <s v="48-Inch"/>
    <x v="323"/>
    <x v="251"/>
    <n v="7"/>
    <s v="EACH"/>
    <x v="5"/>
    <x v="6"/>
    <s v="spec_drainage_structures"/>
  </r>
  <r>
    <n v="505"/>
    <n v="10"/>
    <n v="43"/>
    <s v="D-751"/>
    <m/>
    <s v="Manhole"/>
    <s v="60-Inch"/>
    <x v="317"/>
    <x v="251"/>
    <n v="2"/>
    <s v="EACH"/>
    <x v="5"/>
    <x v="6"/>
    <s v="spec_drainage_structures"/>
  </r>
  <r>
    <n v="506"/>
    <n v="10"/>
    <n v="43"/>
    <s v="P-101"/>
    <m/>
    <s v="Asphalt Pavement Removal"/>
    <s v="16-Inch Depth"/>
    <x v="324"/>
    <x v="40"/>
    <n v="1350"/>
    <s v="SY"/>
    <x v="3"/>
    <x v="3"/>
    <s v="spec_paving_earthwork"/>
  </r>
  <r>
    <n v="507"/>
    <n v="10"/>
    <n v="44"/>
    <s v="D-751"/>
    <m/>
    <s v="Catch Basins"/>
    <m/>
    <x v="220"/>
    <x v="173"/>
    <n v="12"/>
    <s v="EACH"/>
    <x v="5"/>
    <x v="6"/>
    <s v="spec_drainage_structures"/>
  </r>
  <r>
    <n v="508"/>
    <n v="10"/>
    <n v="45"/>
    <s v="T-901"/>
    <m/>
    <s v="Seeding"/>
    <m/>
    <x v="86"/>
    <x v="79"/>
    <n v="6"/>
    <s v="ACRE"/>
    <x v="1"/>
    <x v="1"/>
    <s v="spec_landscape"/>
  </r>
  <r>
    <n v="509"/>
    <n v="10"/>
    <n v="46"/>
    <s v="T-905"/>
    <m/>
    <s v="Topsoil (Obtained on Site or Removed from Stockpile)"/>
    <m/>
    <x v="325"/>
    <x v="253"/>
    <n v="1700"/>
    <s v="CY"/>
    <x v="1"/>
    <x v="1"/>
    <s v="spec_landscape"/>
  </r>
  <r>
    <n v="510"/>
    <n v="10"/>
    <n v="47"/>
    <n v="312300"/>
    <m/>
    <s v="Connection to Existing Storm Drainage System"/>
    <m/>
    <x v="89"/>
    <x v="82"/>
    <n v="6"/>
    <s v="EACH"/>
    <x v="5"/>
    <x v="6"/>
    <s v="spec_drainage_structures"/>
  </r>
  <r>
    <n v="511"/>
    <n v="10"/>
    <n v="48"/>
    <n v="312300"/>
    <m/>
    <s v="Existing Manhole/Inlet Adjustment to Grade"/>
    <m/>
    <x v="326"/>
    <x v="254"/>
    <n v="9"/>
    <s v="EACH"/>
    <x v="5"/>
    <x v="6"/>
    <s v="spec_drainage_structures"/>
  </r>
  <r>
    <n v="512"/>
    <n v="10"/>
    <n v="49"/>
    <n v="312300"/>
    <m/>
    <s v="Existing Electrical Vault Adjustment to Grade"/>
    <m/>
    <x v="144"/>
    <x v="117"/>
    <n v="2"/>
    <s v="EACH"/>
    <x v="5"/>
    <x v="6"/>
    <s v="spec_drainage_structures"/>
  </r>
  <r>
    <n v="513"/>
    <n v="10"/>
    <n v="50"/>
    <n v="312300"/>
    <m/>
    <s v="Replace Existing Manhole Lid with Open Grated Lid"/>
    <m/>
    <x v="327"/>
    <x v="255"/>
    <n v="2"/>
    <s v="EACH"/>
    <x v="5"/>
    <x v="6"/>
    <s v="spec_drainage_structures"/>
  </r>
  <r>
    <n v="514"/>
    <n v="10"/>
    <n v="51"/>
    <s v="L-108"/>
    <m/>
    <s v="No. 4 GND Conductor"/>
    <m/>
    <x v="328"/>
    <x v="256"/>
    <n v="450"/>
    <s v="LF"/>
    <x v="6"/>
    <x v="7"/>
    <s v="spec_airfield_lighting"/>
  </r>
  <r>
    <n v="515"/>
    <n v="10"/>
    <n v="52"/>
    <s v="L-108"/>
    <m/>
    <s v="No. 2/0 AWG"/>
    <s v="600-Volt Conductor"/>
    <x v="329"/>
    <x v="257"/>
    <n v="1350"/>
    <s v="LF"/>
    <x v="6"/>
    <x v="7"/>
    <s v="spec_airfield_lighting"/>
  </r>
  <r>
    <n v="516"/>
    <n v="10"/>
    <n v="53"/>
    <s v="L-108"/>
    <m/>
    <s v="No. 8 AWG, 5 kV, L-824, Type C Cable Installed in Trench, Duct Bank or Conduit"/>
    <m/>
    <x v="223"/>
    <x v="176"/>
    <n v="8000"/>
    <s v="LF"/>
    <x v="6"/>
    <x v="7"/>
    <s v="spec_airfield_lighting"/>
  </r>
  <r>
    <n v="517"/>
    <n v="10"/>
    <n v="54"/>
    <s v="L-108"/>
    <m/>
    <s v="No. 6 AWG, Solid, Bare Counterpoise Wire"/>
    <m/>
    <x v="224"/>
    <x v="177"/>
    <n v="2000"/>
    <s v="LF"/>
    <x v="6"/>
    <x v="7"/>
    <s v="spec_airfield_lighting"/>
  </r>
  <r>
    <n v="518"/>
    <n v="10"/>
    <n v="55"/>
    <s v="L-108"/>
    <m/>
    <s v="Counterpoise Ground Rod"/>
    <s v="10-Foot Long"/>
    <x v="225"/>
    <x v="178"/>
    <n v="8"/>
    <s v="EACH"/>
    <x v="6"/>
    <x v="7"/>
    <s v="spec_airfield_lighting"/>
  </r>
  <r>
    <n v="519"/>
    <n v="10"/>
    <n v="56"/>
    <s v="L-110"/>
    <m/>
    <s v="PVC in New Shoulder and Direct Buried"/>
    <s v="2-Inch"/>
    <x v="330"/>
    <x v="258"/>
    <n v="1700"/>
    <s v="LF"/>
    <x v="6"/>
    <x v="7"/>
    <s v="spec_airfield_lighting"/>
  </r>
  <r>
    <n v="520"/>
    <n v="10"/>
    <n v="57"/>
    <s v="L-110"/>
    <m/>
    <s v="PVC in CLSM"/>
    <s v="2-Inch"/>
    <x v="331"/>
    <x v="259"/>
    <n v="230"/>
    <s v="LF"/>
    <x v="6"/>
    <x v="7"/>
    <s v="spec_airfield_lighting"/>
  </r>
  <r>
    <n v="521"/>
    <n v="10"/>
    <n v="58"/>
    <s v="L-110"/>
    <m/>
    <s v="GRSC"/>
    <s v="1-Inch"/>
    <x v="332"/>
    <x v="180"/>
    <n v="75"/>
    <s v="LF"/>
    <x v="6"/>
    <x v="7"/>
    <s v="spec_airfield_lighting"/>
  </r>
  <r>
    <n v="522"/>
    <n v="10"/>
    <n v="59"/>
    <n v="260500"/>
    <m/>
    <s v="General Electrical Removal"/>
    <m/>
    <x v="83"/>
    <x v="76"/>
    <n v="1"/>
    <s v="LS"/>
    <x v="6"/>
    <x v="8"/>
    <s v="spec_power_distribution"/>
  </r>
  <r>
    <n v="523"/>
    <n v="10"/>
    <n v="60"/>
    <n v="260500"/>
    <m/>
    <s v="Temporary Circuit Connection"/>
    <m/>
    <x v="85"/>
    <x v="78"/>
    <n v="1"/>
    <s v="LS"/>
    <x v="6"/>
    <x v="8"/>
    <s v="spec_power_distribution"/>
  </r>
  <r>
    <n v="524"/>
    <n v="10"/>
    <n v="61"/>
    <n v="344300"/>
    <m/>
    <s v="Reinstall Elevated LED Taxiway Edge Light on PF Base Can, PF Extension, PF Flange Ring, and CF Transformer"/>
    <m/>
    <x v="333"/>
    <x v="260"/>
    <n v="22"/>
    <s v="EACH"/>
    <x v="6"/>
    <x v="7"/>
    <s v="spec_airfield_lighting"/>
  </r>
  <r>
    <n v="525"/>
    <n v="10"/>
    <n v="62"/>
    <n v="344300"/>
    <m/>
    <s v="Reinstall LED Taxiway Centerline Light on PF Base Can, PF Extension, PF Flange Ring, and CF Transformer"/>
    <m/>
    <x v="334"/>
    <x v="261"/>
    <n v="6"/>
    <s v="EACH"/>
    <x v="6"/>
    <x v="7"/>
    <s v="spec_airfield_lighting"/>
  </r>
  <r>
    <n v="526"/>
    <n v="10"/>
    <n v="63"/>
    <n v="344300"/>
    <m/>
    <s v="Install PF In-Pavement Taxiway Edge Light on PF Base Can, PF Extension, PF Flange Ring, and CF Transformer"/>
    <m/>
    <x v="335"/>
    <x v="262"/>
    <n v="3"/>
    <s v="EACH"/>
    <x v="6"/>
    <x v="7"/>
    <s v="spec_airfield_lighting"/>
  </r>
  <r>
    <n v="527"/>
    <n v="10"/>
    <n v="64"/>
    <n v="344300"/>
    <m/>
    <s v="Install PF Cover Plate on Existing Light Base"/>
    <m/>
    <x v="98"/>
    <x v="91"/>
    <n v="2"/>
    <s v="EACH"/>
    <x v="6"/>
    <x v="7"/>
    <s v="spec_airfield_lighting"/>
  </r>
  <r>
    <n v="528"/>
    <n v="10"/>
    <n v="65"/>
    <n v="344301"/>
    <m/>
    <s v="Adjust Existing Taxiway Centerline Light"/>
    <m/>
    <x v="336"/>
    <x v="263"/>
    <n v="24"/>
    <s v="EACH"/>
    <x v="6"/>
    <x v="7"/>
    <s v="spec_airfield_lighting"/>
  </r>
  <r>
    <n v="529"/>
    <n v="10"/>
    <n v="66"/>
    <n v="344302"/>
    <m/>
    <s v="Sign B6-11"/>
    <m/>
    <x v="337"/>
    <x v="264"/>
    <n v="1"/>
    <s v="LS"/>
    <x v="6"/>
    <x v="9"/>
    <s v="spec_airfield_signage"/>
  </r>
  <r>
    <n v="530"/>
    <n v="11"/>
    <n v="1"/>
    <n v="12200"/>
    <m/>
    <s v="Mobilization, Cleanup, and Demobilization"/>
    <m/>
    <x v="30"/>
    <x v="29"/>
    <n v="1"/>
    <s v="LS"/>
    <x v="0"/>
    <x v="0"/>
    <s v="spec_temp_traffic"/>
  </r>
  <r>
    <n v="531"/>
    <n v="11"/>
    <n v="2"/>
    <n v="12200"/>
    <m/>
    <s v="Sweeper"/>
    <m/>
    <x v="31"/>
    <x v="30"/>
    <n v="1"/>
    <s v="LS"/>
    <x v="0"/>
    <x v="0"/>
    <s v="spec_temp_traffic"/>
  </r>
  <r>
    <n v="532"/>
    <n v="11"/>
    <n v="3"/>
    <n v="12200"/>
    <m/>
    <s v="Security Control Monitoring"/>
    <m/>
    <x v="32"/>
    <x v="31"/>
    <n v="1"/>
    <s v="LS"/>
    <x v="0"/>
    <x v="0"/>
    <s v="spec_temp_traffic"/>
  </r>
  <r>
    <n v="533"/>
    <n v="11"/>
    <n v="4"/>
    <n v="12200"/>
    <m/>
    <s v="Work Zone and Traffic Control"/>
    <m/>
    <x v="33"/>
    <x v="32"/>
    <n v="1"/>
    <s v="LS"/>
    <x v="0"/>
    <x v="0"/>
    <s v="spec_temp_traffic"/>
  </r>
  <r>
    <n v="534"/>
    <n v="11"/>
    <n v="5"/>
    <n v="12200"/>
    <m/>
    <s v="Escort"/>
    <m/>
    <x v="34"/>
    <x v="33"/>
    <n v="1"/>
    <s v="LS"/>
    <x v="0"/>
    <x v="0"/>
    <s v="spec_temp_traffic"/>
  </r>
  <r>
    <n v="535"/>
    <n v="11"/>
    <n v="6"/>
    <n v="12200"/>
    <m/>
    <s v="Construction Survey"/>
    <m/>
    <x v="338"/>
    <x v="265"/>
    <n v="1"/>
    <s v="LS"/>
    <x v="0"/>
    <x v="0"/>
    <s v="spec_temp_traffic"/>
  </r>
  <r>
    <n v="536"/>
    <n v="11"/>
    <n v="7"/>
    <n v="12200"/>
    <m/>
    <s v="Abandon Existing Monitoring Well"/>
    <m/>
    <x v="339"/>
    <x v="266"/>
    <n v="1"/>
    <s v="EACH"/>
    <x v="0"/>
    <x v="0"/>
    <s v="spec_temp_traffic"/>
  </r>
  <r>
    <n v="537"/>
    <n v="11"/>
    <n v="8"/>
    <n v="15713"/>
    <m/>
    <s v="Inlet Protection"/>
    <m/>
    <x v="37"/>
    <x v="36"/>
    <n v="36"/>
    <s v="EACH"/>
    <x v="0"/>
    <x v="0"/>
    <s v="spec_temp_traffic"/>
  </r>
  <r>
    <n v="538"/>
    <n v="11"/>
    <n v="9"/>
    <n v="15713"/>
    <m/>
    <s v="Trench Drain Protection"/>
    <m/>
    <x v="340"/>
    <x v="267"/>
    <n v="975"/>
    <s v="LF"/>
    <x v="0"/>
    <x v="0"/>
    <s v="spec_temp_traffic"/>
  </r>
  <r>
    <n v="539"/>
    <n v="11"/>
    <n v="10"/>
    <n v="15713"/>
    <m/>
    <s v="Sediment Fence"/>
    <m/>
    <x v="341"/>
    <x v="268"/>
    <n v="4655"/>
    <s v="LF"/>
    <x v="0"/>
    <x v="0"/>
    <s v="spec_temp_traffic"/>
  </r>
  <r>
    <n v="540"/>
    <n v="11"/>
    <n v="11"/>
    <n v="24113"/>
    <m/>
    <s v="Building Demolition"/>
    <m/>
    <x v="342"/>
    <x v="269"/>
    <n v="1"/>
    <s v="LS"/>
    <x v="2"/>
    <x v="2"/>
    <s v="spec_demo_remediation"/>
  </r>
  <r>
    <n v="541"/>
    <n v="11"/>
    <n v="12"/>
    <n v="24113"/>
    <m/>
    <s v="Building Slab and Foundation Removal"/>
    <m/>
    <x v="343"/>
    <x v="270"/>
    <n v="1"/>
    <s v="LS"/>
    <x v="2"/>
    <x v="2"/>
    <s v="spec_demo_remediation"/>
  </r>
  <r>
    <n v="542"/>
    <n v="11"/>
    <n v="13"/>
    <n v="24113"/>
    <m/>
    <s v="Existing Landscape Removal"/>
    <m/>
    <x v="344"/>
    <x v="271"/>
    <n v="1"/>
    <s v="LS"/>
    <x v="2"/>
    <x v="2"/>
    <s v="spec_demo_remediation"/>
  </r>
  <r>
    <n v="543"/>
    <n v="11"/>
    <n v="14"/>
    <n v="24113"/>
    <m/>
    <s v="Removal of Miscellaneous Site Structures"/>
    <m/>
    <x v="345"/>
    <x v="272"/>
    <n v="1"/>
    <s v="LS"/>
    <x v="2"/>
    <x v="2"/>
    <s v="spec_demo_remediation"/>
  </r>
  <r>
    <n v="544"/>
    <n v="11"/>
    <n v="15"/>
    <n v="24113"/>
    <m/>
    <s v="Removal of Existing or Temporary Fence"/>
    <m/>
    <x v="346"/>
    <x v="273"/>
    <n v="4290"/>
    <s v="LF"/>
    <x v="2"/>
    <x v="2"/>
    <s v="spec_demo_remediation"/>
  </r>
  <r>
    <n v="545"/>
    <n v="11"/>
    <n v="16"/>
    <n v="26100"/>
    <m/>
    <s v="Contaminated Material Excavation and Disposal"/>
    <m/>
    <x v="81"/>
    <x v="75"/>
    <n v="250"/>
    <s v="TON"/>
    <x v="2"/>
    <x v="2"/>
    <s v="spec_demo_remediation"/>
  </r>
  <r>
    <n v="546"/>
    <n v="11"/>
    <n v="17"/>
    <s v="P-101"/>
    <m/>
    <s v="PCC Pavement Removal"/>
    <s v="15-Inch Depth"/>
    <x v="287"/>
    <x v="106"/>
    <n v="440"/>
    <s v="SY"/>
    <x v="3"/>
    <x v="3"/>
    <s v="spec_paving_earthwork"/>
  </r>
  <r>
    <n v="547"/>
    <n v="11"/>
    <n v="18"/>
    <s v="P-101"/>
    <m/>
    <s v="Asphalt Pavement Removal"/>
    <s v="3-Inch Depth"/>
    <x v="41"/>
    <x v="40"/>
    <n v="8177"/>
    <s v="SY"/>
    <x v="3"/>
    <x v="3"/>
    <s v="spec_paving_earthwork"/>
  </r>
  <r>
    <n v="548"/>
    <n v="11"/>
    <n v="19"/>
    <s v="P-101"/>
    <m/>
    <s v="Asphalt Pavement Removal"/>
    <s v="4-Inch Depth"/>
    <x v="292"/>
    <x v="40"/>
    <n v="11899"/>
    <s v="SY"/>
    <x v="3"/>
    <x v="3"/>
    <s v="spec_paving_earthwork"/>
  </r>
  <r>
    <n v="549"/>
    <n v="11"/>
    <n v="20"/>
    <s v="P-101"/>
    <m/>
    <s v="Asphalt Pavement Removal"/>
    <s v="5-Inch Depth"/>
    <x v="347"/>
    <x v="40"/>
    <n v="3087"/>
    <s v="SY"/>
    <x v="3"/>
    <x v="3"/>
    <s v="spec_paving_earthwork"/>
  </r>
  <r>
    <n v="550"/>
    <n v="11"/>
    <n v="21"/>
    <s v="P-101"/>
    <m/>
    <s v="Asphalt Pavement Removal"/>
    <s v="8-Inch Depth"/>
    <x v="43"/>
    <x v="40"/>
    <n v="203"/>
    <s v="SY"/>
    <x v="3"/>
    <x v="3"/>
    <s v="spec_paving_earthwork"/>
  </r>
  <r>
    <n v="551"/>
    <n v="11"/>
    <n v="22"/>
    <s v="P-101"/>
    <m/>
    <s v="Removal of Pipe and other Buried Structures"/>
    <m/>
    <x v="295"/>
    <x v="237"/>
    <n v="1"/>
    <s v="LS"/>
    <x v="3"/>
    <x v="3"/>
    <s v="spec_paving_earthwork"/>
  </r>
  <r>
    <n v="552"/>
    <n v="11"/>
    <n v="23"/>
    <s v="P-152"/>
    <m/>
    <s v="Unclassified Excavation"/>
    <m/>
    <x v="207"/>
    <x v="164"/>
    <n v="36522"/>
    <s v="CY"/>
    <x v="3"/>
    <x v="3"/>
    <s v="spec_paving_earthwork"/>
  </r>
  <r>
    <n v="553"/>
    <n v="11"/>
    <n v="24"/>
    <s v="P-152"/>
    <m/>
    <s v="Unsuitable Excavation"/>
    <m/>
    <x v="48"/>
    <x v="45"/>
    <n v="1157"/>
    <s v="CY"/>
    <x v="3"/>
    <x v="3"/>
    <s v="spec_paving_earthwork"/>
  </r>
  <r>
    <n v="554"/>
    <n v="11"/>
    <n v="25"/>
    <s v="P-152"/>
    <m/>
    <s v="Separation Geotextile"/>
    <m/>
    <x v="348"/>
    <x v="274"/>
    <n v="34818"/>
    <s v="SY"/>
    <x v="3"/>
    <x v="3"/>
    <s v="spec_paving_earthwork"/>
  </r>
  <r>
    <n v="555"/>
    <n v="11"/>
    <n v="26"/>
    <s v="P-153"/>
    <m/>
    <s v="Controlled Low Strength Material"/>
    <m/>
    <x v="349"/>
    <x v="275"/>
    <n v="200"/>
    <s v="CY"/>
    <x v="3"/>
    <x v="3"/>
    <s v="spec_paving_earthwork"/>
  </r>
  <r>
    <n v="556"/>
    <n v="11"/>
    <n v="27"/>
    <s v="P-209"/>
    <m/>
    <s v="Crushed Aggregate Base Course"/>
    <m/>
    <x v="57"/>
    <x v="54"/>
    <n v="6395"/>
    <s v="CY"/>
    <x v="3"/>
    <x v="3"/>
    <s v="spec_paving_earthwork"/>
  </r>
  <r>
    <n v="557"/>
    <n v="11"/>
    <n v="28"/>
    <s v="P-401"/>
    <m/>
    <s v="Asphalt Surface Course"/>
    <m/>
    <x v="300"/>
    <x v="239"/>
    <n v="877"/>
    <s v="TON"/>
    <x v="3"/>
    <x v="3"/>
    <s v="spec_paving_earthwork"/>
  </r>
  <r>
    <n v="558"/>
    <n v="11"/>
    <n v="29"/>
    <s v="P-403"/>
    <m/>
    <s v="Asphalt Mixture Base Course"/>
    <m/>
    <x v="350"/>
    <x v="276"/>
    <n v="9975"/>
    <s v="TON"/>
    <x v="3"/>
    <x v="3"/>
    <s v="spec_paving_earthwork"/>
  </r>
  <r>
    <n v="559"/>
    <n v="11"/>
    <n v="30"/>
    <s v="P-501"/>
    <m/>
    <s v="Thick Concrete Pavement"/>
    <s v="15-Inch"/>
    <x v="303"/>
    <x v="241"/>
    <n v="440"/>
    <s v="SY"/>
    <x v="3"/>
    <x v="3"/>
    <s v="spec_paving_earthwork"/>
  </r>
  <r>
    <n v="560"/>
    <n v="11"/>
    <n v="31"/>
    <s v="P-501"/>
    <m/>
    <s v="Thick Concrete Pavement"/>
    <s v="19-Inch"/>
    <x v="351"/>
    <x v="241"/>
    <n v="30790"/>
    <s v="SY"/>
    <x v="3"/>
    <x v="3"/>
    <s v="spec_paving_earthwork"/>
  </r>
  <r>
    <n v="561"/>
    <n v="11"/>
    <n v="32"/>
    <s v="P-603"/>
    <m/>
    <s v="Emulsified Asphalt Tack Coat"/>
    <m/>
    <x v="305"/>
    <x v="242"/>
    <n v="2794"/>
    <s v="GAL"/>
    <x v="3"/>
    <x v="3"/>
    <s v="spec_paving_earthwork"/>
  </r>
  <r>
    <n v="562"/>
    <n v="11"/>
    <n v="33"/>
    <s v="P-604"/>
    <m/>
    <s v="Compression Joint Seals for Concrete Pavements"/>
    <m/>
    <x v="306"/>
    <x v="243"/>
    <n v="28932"/>
    <s v="LF"/>
    <x v="3"/>
    <x v="3"/>
    <s v="spec_paving_earthwork"/>
  </r>
  <r>
    <n v="563"/>
    <n v="11"/>
    <n v="34"/>
    <s v="P-605"/>
    <m/>
    <s v="Joint Sealing Filler"/>
    <m/>
    <x v="53"/>
    <x v="50"/>
    <n v="12"/>
    <s v="GAL"/>
    <x v="3"/>
    <x v="3"/>
    <s v="spec_paving_earthwork"/>
  </r>
  <r>
    <n v="564"/>
    <n v="11"/>
    <n v="35"/>
    <s v="P-608"/>
    <m/>
    <s v="Asphalt Surface Treatment"/>
    <m/>
    <x v="56"/>
    <x v="53"/>
    <n v="106"/>
    <s v="SY"/>
    <x v="3"/>
    <x v="3"/>
    <s v="spec_paving_earthwork"/>
  </r>
  <r>
    <n v="565"/>
    <n v="11"/>
    <n v="36"/>
    <s v="P-620"/>
    <m/>
    <s v="Surface Preparation - New or Existing Pavement Surfaces"/>
    <m/>
    <x v="352"/>
    <x v="277"/>
    <n v="14035"/>
    <s v="SF"/>
    <x v="3"/>
    <x v="3"/>
    <s v="spec_paving_earthwork"/>
  </r>
  <r>
    <n v="566"/>
    <n v="11"/>
    <n v="37"/>
    <s v="P-620"/>
    <m/>
    <s v="Surface Preparation - Remove Existing Markings"/>
    <m/>
    <x v="309"/>
    <x v="246"/>
    <n v="5702"/>
    <s v="SF"/>
    <x v="3"/>
    <x v="3"/>
    <s v="spec_paving_earthwork"/>
  </r>
  <r>
    <n v="567"/>
    <n v="11"/>
    <n v="38"/>
    <s v="P-620"/>
    <m/>
    <s v="Marking"/>
    <m/>
    <x v="310"/>
    <x v="247"/>
    <n v="14035"/>
    <s v="SF"/>
    <x v="3"/>
    <x v="3"/>
    <s v="spec_paving_earthwork"/>
  </r>
  <r>
    <n v="568"/>
    <n v="11"/>
    <n v="39"/>
    <s v="P-620"/>
    <m/>
    <s v="Reflective Media"/>
    <m/>
    <x v="63"/>
    <x v="60"/>
    <n v="347"/>
    <s v="LB"/>
    <x v="3"/>
    <x v="3"/>
    <s v="spec_paving_earthwork"/>
  </r>
  <r>
    <n v="569"/>
    <n v="11"/>
    <n v="40"/>
    <s v="P-620"/>
    <m/>
    <s v="Temporary Marking"/>
    <m/>
    <x v="353"/>
    <x v="278"/>
    <n v="14830"/>
    <s v="SF"/>
    <x v="3"/>
    <x v="3"/>
    <s v="spec_paving_earthwork"/>
  </r>
  <r>
    <n v="570"/>
    <n v="11"/>
    <n v="41"/>
    <s v="D-701"/>
    <m/>
    <s v="STS"/>
    <s v="8-Inch"/>
    <x v="316"/>
    <x v="250"/>
    <n v="132"/>
    <s v="LF"/>
    <x v="5"/>
    <x v="6"/>
    <s v="spec_drainage_structures"/>
  </r>
  <r>
    <n v="571"/>
    <n v="11"/>
    <n v="42"/>
    <s v="D-701"/>
    <m/>
    <s v="STS"/>
    <s v="12-Inch"/>
    <x v="313"/>
    <x v="250"/>
    <n v="224"/>
    <s v="LF"/>
    <x v="5"/>
    <x v="6"/>
    <s v="spec_drainage_structures"/>
  </r>
  <r>
    <n v="572"/>
    <n v="11"/>
    <n v="43"/>
    <s v="D-701"/>
    <m/>
    <s v="STS"/>
    <s v="15-Inch"/>
    <x v="314"/>
    <x v="250"/>
    <n v="300"/>
    <s v="LF"/>
    <x v="5"/>
    <x v="6"/>
    <s v="spec_drainage_structures"/>
  </r>
  <r>
    <n v="573"/>
    <n v="11"/>
    <n v="44"/>
    <s v="D-701"/>
    <m/>
    <s v="STS"/>
    <s v="18-Inch"/>
    <x v="319"/>
    <x v="250"/>
    <n v="340"/>
    <s v="LF"/>
    <x v="5"/>
    <x v="6"/>
    <s v="spec_drainage_structures"/>
  </r>
  <r>
    <n v="574"/>
    <n v="11"/>
    <n v="45"/>
    <s v="D-701"/>
    <m/>
    <s v="STS"/>
    <s v="24-Inch"/>
    <x v="320"/>
    <x v="250"/>
    <n v="225"/>
    <s v="LF"/>
    <x v="5"/>
    <x v="6"/>
    <s v="spec_drainage_structures"/>
  </r>
  <r>
    <n v="575"/>
    <n v="11"/>
    <n v="46"/>
    <s v="D-701"/>
    <m/>
    <s v="Slide Gate"/>
    <s v="12-Inch"/>
    <x v="354"/>
    <x v="279"/>
    <n v="1"/>
    <s v="EACH"/>
    <x v="5"/>
    <x v="6"/>
    <s v="spec_drainage_structures"/>
  </r>
  <r>
    <n v="576"/>
    <n v="11"/>
    <n v="47"/>
    <s v="D-701"/>
    <m/>
    <s v="Slide Gate"/>
    <s v="15-Inch"/>
    <x v="355"/>
    <x v="279"/>
    <n v="1"/>
    <s v="EACH"/>
    <x v="5"/>
    <x v="6"/>
    <s v="spec_drainage_structures"/>
  </r>
  <r>
    <n v="577"/>
    <n v="11"/>
    <n v="48"/>
    <s v="D-701"/>
    <m/>
    <s v="Slide Gate"/>
    <s v="30-Inch"/>
    <x v="356"/>
    <x v="279"/>
    <n v="1"/>
    <s v="EACH"/>
    <x v="5"/>
    <x v="6"/>
    <s v="spec_drainage_structures"/>
  </r>
  <r>
    <n v="578"/>
    <n v="11"/>
    <n v="49"/>
    <s v="D-751"/>
    <m/>
    <s v="Diameter Manhole"/>
    <s v="48-Inch"/>
    <x v="357"/>
    <x v="280"/>
    <n v="3"/>
    <s v="EACH"/>
    <x v="5"/>
    <x v="6"/>
    <s v="spec_drainage_structures"/>
  </r>
  <r>
    <n v="579"/>
    <n v="11"/>
    <n v="50"/>
    <s v="D-751"/>
    <m/>
    <s v="Diameter Manhole"/>
    <s v="84-Inch"/>
    <x v="358"/>
    <x v="280"/>
    <n v="2"/>
    <s v="EACH"/>
    <x v="5"/>
    <x v="6"/>
    <s v="spec_drainage_structures"/>
  </r>
  <r>
    <n v="580"/>
    <n v="11"/>
    <n v="51"/>
    <s v="D-751"/>
    <m/>
    <s v="Catch Basins"/>
    <m/>
    <x v="220"/>
    <x v="173"/>
    <n v="7"/>
    <s v="EACH"/>
    <x v="5"/>
    <x v="6"/>
    <s v="spec_drainage_structures"/>
  </r>
  <r>
    <n v="581"/>
    <n v="11"/>
    <n v="52"/>
    <s v="D-751"/>
    <m/>
    <s v="Trench Drain"/>
    <m/>
    <x v="359"/>
    <x v="281"/>
    <n v="885"/>
    <s v="LF"/>
    <x v="5"/>
    <x v="6"/>
    <s v="spec_drainage_structures"/>
  </r>
  <r>
    <n v="582"/>
    <n v="11"/>
    <n v="53"/>
    <n v="260500"/>
    <m/>
    <s v="Provide Temporary Power During Construction Inside the 480V Power Center"/>
    <m/>
    <x v="360"/>
    <x v="282"/>
    <n v="1"/>
    <s v="LS"/>
    <x v="6"/>
    <x v="8"/>
    <s v="spec_power_distribution"/>
  </r>
  <r>
    <n v="583"/>
    <n v="11"/>
    <n v="54"/>
    <n v="260500"/>
    <m/>
    <s v="Re-feed Loads Inside 480V Power Center"/>
    <m/>
    <x v="361"/>
    <x v="283"/>
    <n v="1"/>
    <s v="LS"/>
    <x v="6"/>
    <x v="8"/>
    <s v="spec_power_distribution"/>
  </r>
  <r>
    <n v="584"/>
    <n v="11"/>
    <n v="55"/>
    <n v="260500"/>
    <m/>
    <s v="Install Handholes for Power and Communications"/>
    <m/>
    <x v="362"/>
    <x v="284"/>
    <n v="1"/>
    <s v="LS"/>
    <x v="6"/>
    <x v="8"/>
    <s v="spec_power_distribution"/>
  </r>
  <r>
    <n v="585"/>
    <n v="11"/>
    <n v="56"/>
    <n v="260500"/>
    <m/>
    <s v="Install Underground Power Conductors for Apron Lights and Communications"/>
    <m/>
    <x v="363"/>
    <x v="285"/>
    <n v="1"/>
    <s v="LS"/>
    <x v="6"/>
    <x v="8"/>
    <s v="spec_power_distribution"/>
  </r>
  <r>
    <n v="586"/>
    <n v="11"/>
    <n v="57"/>
    <n v="260500"/>
    <m/>
    <s v="Install Gate Valve and Lighting Controls"/>
    <m/>
    <x v="364"/>
    <x v="286"/>
    <n v="1"/>
    <s v="LS"/>
    <x v="6"/>
    <x v="8"/>
    <s v="spec_power_distribution"/>
  </r>
  <r>
    <n v="587"/>
    <n v="11"/>
    <n v="58"/>
    <n v="260500"/>
    <m/>
    <s v="Demolition of Existing Electrical Equipment on Work Site"/>
    <m/>
    <x v="365"/>
    <x v="287"/>
    <n v="1"/>
    <s v="LS"/>
    <x v="6"/>
    <x v="8"/>
    <s v="spec_power_distribution"/>
  </r>
  <r>
    <n v="588"/>
    <n v="11"/>
    <n v="59"/>
    <n v="260526"/>
    <m/>
    <s v="Grounding and Bonding for Electrical Systems"/>
    <m/>
    <x v="366"/>
    <x v="288"/>
    <n v="1"/>
    <s v="LS"/>
    <x v="6"/>
    <x v="8"/>
    <s v="spec_power_distribution"/>
  </r>
  <r>
    <n v="589"/>
    <n v="11"/>
    <n v="60"/>
    <n v="260543"/>
    <m/>
    <s v="Underground Ducts and Raceways for Electrical Systems"/>
    <m/>
    <x v="367"/>
    <x v="289"/>
    <n v="1"/>
    <s v="LS"/>
    <x v="6"/>
    <x v="8"/>
    <s v="spec_power_distribution"/>
  </r>
  <r>
    <n v="590"/>
    <n v="11"/>
    <n v="61"/>
    <n v="262200"/>
    <m/>
    <s v="Remove and Replace Existing 9KVA Transformer"/>
    <m/>
    <x v="368"/>
    <x v="290"/>
    <n v="1"/>
    <s v="LS"/>
    <x v="6"/>
    <x v="8"/>
    <s v="spec_power_distribution"/>
  </r>
  <r>
    <n v="591"/>
    <n v="11"/>
    <n v="62"/>
    <n v="262400"/>
    <m/>
    <s v="Remove and Replace Existing 480V Distribution Panel"/>
    <m/>
    <x v="369"/>
    <x v="291"/>
    <n v="1"/>
    <s v="LS"/>
    <x v="6"/>
    <x v="8"/>
    <s v="spec_power_distribution"/>
  </r>
  <r>
    <n v="592"/>
    <n v="11"/>
    <n v="63"/>
    <n v="265623"/>
    <m/>
    <s v="Install Apron Lighting"/>
    <m/>
    <x v="370"/>
    <x v="292"/>
    <n v="1"/>
    <s v="LS"/>
    <x v="6"/>
    <x v="8"/>
    <s v="spec_power_distribution"/>
  </r>
  <r>
    <n v="593"/>
    <n v="11"/>
    <n v="64"/>
    <n v="270553"/>
    <m/>
    <s v="Telecommunications Identification"/>
    <m/>
    <x v="371"/>
    <x v="293"/>
    <n v="1"/>
    <s v="LS"/>
    <x v="6"/>
    <x v="10"/>
    <s v="spec_telecom_it"/>
  </r>
  <r>
    <n v="594"/>
    <n v="11"/>
    <n v="65"/>
    <n v="271000"/>
    <m/>
    <s v="Structured Cabling"/>
    <m/>
    <x v="372"/>
    <x v="294"/>
    <n v="1"/>
    <s v="LS"/>
    <x v="6"/>
    <x v="10"/>
    <s v="spec_telecom_it"/>
  </r>
  <r>
    <n v="595"/>
    <n v="11"/>
    <n v="66"/>
    <n v="282300"/>
    <m/>
    <s v="Video Surveillance"/>
    <m/>
    <x v="373"/>
    <x v="295"/>
    <n v="1"/>
    <s v="LS"/>
    <x v="6"/>
    <x v="10"/>
    <s v="spec_telecom_it"/>
  </r>
  <r>
    <n v="596"/>
    <n v="11"/>
    <n v="67"/>
    <n v="312300"/>
    <m/>
    <s v="Connection to Existing Storm Drainage System"/>
    <m/>
    <x v="89"/>
    <x v="82"/>
    <n v="7"/>
    <s v="EACH"/>
    <x v="5"/>
    <x v="6"/>
    <s v="spec_drainage_structures"/>
  </r>
  <r>
    <n v="597"/>
    <n v="11"/>
    <n v="68"/>
    <n v="312300"/>
    <m/>
    <s v="Existing Manhole/Inlet Adjustment to Grade"/>
    <m/>
    <x v="326"/>
    <x v="254"/>
    <n v="1"/>
    <s v="EACH"/>
    <x v="5"/>
    <x v="6"/>
    <s v="spec_drainage_structures"/>
  </r>
  <r>
    <n v="598"/>
    <n v="11"/>
    <n v="69"/>
    <n v="312300"/>
    <m/>
    <s v="Rotate Existing Manhole Lid"/>
    <m/>
    <x v="374"/>
    <x v="296"/>
    <n v="1"/>
    <s v="LS"/>
    <x v="5"/>
    <x v="6"/>
    <s v="spec_drainage_structures"/>
  </r>
  <r>
    <n v="599"/>
    <n v="11"/>
    <n v="70"/>
    <n v="321613"/>
    <m/>
    <s v="Cast-in-Place Concrete Curb"/>
    <m/>
    <x v="375"/>
    <x v="297"/>
    <n v="1011"/>
    <s v="LF"/>
    <x v="3"/>
    <x v="3"/>
    <s v="spec_paving_earthwork"/>
  </r>
  <r>
    <n v="600"/>
    <n v="11"/>
    <n v="71"/>
    <n v="321613"/>
    <m/>
    <s v="Concrete Utility Hub Pavement"/>
    <s v="4-Inch"/>
    <x v="376"/>
    <x v="298"/>
    <n v="131"/>
    <s v="SY"/>
    <x v="3"/>
    <x v="3"/>
    <s v="spec_paving_earthwork"/>
  </r>
  <r>
    <n v="601"/>
    <n v="11"/>
    <n v="72"/>
    <n v="323113"/>
    <m/>
    <s v="Chain Link Fance with Barbed Wire"/>
    <s v="7-Foot"/>
    <x v="377"/>
    <x v="299"/>
    <n v="402"/>
    <s v="LF"/>
    <x v="7"/>
    <x v="11"/>
    <s v="spec_site_safety"/>
  </r>
  <r>
    <n v="602"/>
    <n v="11"/>
    <n v="73"/>
    <n v="323113"/>
    <m/>
    <s v="Chain Link Fence with Slats and Barbed Wire"/>
    <s v="10-Foot"/>
    <x v="378"/>
    <x v="300"/>
    <n v="1230"/>
    <s v="LF"/>
    <x v="7"/>
    <x v="11"/>
    <s v="spec_site_safety"/>
  </r>
  <r>
    <n v="603"/>
    <n v="11"/>
    <n v="74"/>
    <n v="328400"/>
    <m/>
    <s v="Irrigation Replacement"/>
    <m/>
    <x v="379"/>
    <x v="301"/>
    <n v="1"/>
    <s v="LS"/>
    <x v="1"/>
    <x v="1"/>
    <s v="spec_landscape"/>
  </r>
  <r>
    <n v="604"/>
    <n v="11"/>
    <n v="75"/>
    <n v="329300"/>
    <m/>
    <s v="Ground Cover Planting"/>
    <m/>
    <x v="380"/>
    <x v="302"/>
    <n v="1"/>
    <s v="LS"/>
    <x v="1"/>
    <x v="1"/>
    <s v="spec_landscape"/>
  </r>
  <r>
    <n v="605"/>
    <n v="11"/>
    <n v="76"/>
    <n v="331116"/>
    <m/>
    <s v="Fire Water Line"/>
    <s v="8-Inch"/>
    <x v="381"/>
    <x v="303"/>
    <n v="830"/>
    <s v="LF"/>
    <x v="5"/>
    <x v="5"/>
    <s v="spec_piping_utility"/>
  </r>
  <r>
    <n v="606"/>
    <n v="11"/>
    <n v="77"/>
    <n v="331116"/>
    <m/>
    <s v="Gate Valve"/>
    <s v="8-Inch"/>
    <x v="382"/>
    <x v="304"/>
    <n v="5"/>
    <s v="EACH"/>
    <x v="5"/>
    <x v="5"/>
    <s v="spec_piping_utility"/>
  </r>
  <r>
    <n v="607"/>
    <n v="11"/>
    <n v="78"/>
    <n v="331116"/>
    <m/>
    <s v="Underground Fire Hydrant"/>
    <m/>
    <x v="383"/>
    <x v="305"/>
    <n v="2"/>
    <s v="EACH"/>
    <x v="5"/>
    <x v="5"/>
    <s v="spec_piping_utility"/>
  </r>
  <r>
    <n v="608"/>
    <n v="11"/>
    <n v="79"/>
    <n v="347113"/>
    <m/>
    <s v="Pipe Bollards"/>
    <m/>
    <x v="384"/>
    <x v="306"/>
    <n v="19"/>
    <s v="EACH"/>
    <x v="7"/>
    <x v="11"/>
    <s v="spec_site_safety"/>
  </r>
  <r>
    <n v="609"/>
    <n v="11"/>
    <n v="80"/>
    <n v="15713"/>
    <m/>
    <s v="Ditch Protection/Check Dams"/>
    <m/>
    <x v="112"/>
    <x v="104"/>
    <n v="5"/>
    <s v="EACH"/>
    <x v="0"/>
    <x v="0"/>
    <s v="spec_temp_traffic"/>
  </r>
  <r>
    <n v="610"/>
    <n v="12"/>
    <n v="1"/>
    <n v="12200"/>
    <m/>
    <s v="Sweeper"/>
    <m/>
    <x v="385"/>
    <x v="30"/>
    <n v="1"/>
    <s v="LS"/>
    <x v="0"/>
    <x v="0"/>
    <s v="spec_temp_traffic"/>
  </r>
  <r>
    <n v="611"/>
    <n v="12"/>
    <n v="2"/>
    <n v="12200"/>
    <m/>
    <s v="Work Zoneand Traffic Control"/>
    <m/>
    <x v="386"/>
    <x v="307"/>
    <n v="1"/>
    <s v="LS"/>
    <x v="0"/>
    <x v="0"/>
    <s v="spec_temp_traffic"/>
  </r>
  <r>
    <n v="612"/>
    <n v="12"/>
    <n v="3"/>
    <n v="12200"/>
    <m/>
    <s v="Escort"/>
    <m/>
    <x v="387"/>
    <x v="33"/>
    <n v="1"/>
    <s v="LS"/>
    <x v="0"/>
    <x v="0"/>
    <s v="spec_temp_traffic"/>
  </r>
  <r>
    <n v="613"/>
    <n v="12"/>
    <n v="4"/>
    <n v="12200"/>
    <m/>
    <s v="HighBlueReflectiveMarkers"/>
    <s v="3'"/>
    <x v="388"/>
    <x v="308"/>
    <n v="12"/>
    <s v="EACH"/>
    <x v="0"/>
    <x v="0"/>
    <s v="spec_temp_traffic"/>
  </r>
  <r>
    <n v="614"/>
    <n v="12"/>
    <n v="5"/>
    <n v="12200"/>
    <m/>
    <s v="Temporary Stream Bypass"/>
    <m/>
    <x v="389"/>
    <x v="309"/>
    <n v="1"/>
    <s v="LS"/>
    <x v="0"/>
    <x v="0"/>
    <s v="spec_temp_traffic"/>
  </r>
  <r>
    <n v="615"/>
    <n v="12"/>
    <n v="6"/>
    <n v="12200"/>
    <m/>
    <s v="SettlementPlates"/>
    <m/>
    <x v="390"/>
    <x v="310"/>
    <n v="6"/>
    <s v="EACH"/>
    <x v="0"/>
    <x v="0"/>
    <s v="spec_temp_traffic"/>
  </r>
  <r>
    <n v="616"/>
    <n v="12"/>
    <n v="7"/>
    <n v="15713"/>
    <m/>
    <s v="Plastic Mesh Fence"/>
    <m/>
    <x v="391"/>
    <x v="311"/>
    <n v="100"/>
    <s v="LF"/>
    <x v="0"/>
    <x v="0"/>
    <s v="spec_temp_traffic"/>
  </r>
  <r>
    <n v="617"/>
    <n v="12"/>
    <n v="8"/>
    <n v="15713"/>
    <m/>
    <s v="InletProtection"/>
    <m/>
    <x v="392"/>
    <x v="312"/>
    <n v="14"/>
    <s v="EACH"/>
    <x v="0"/>
    <x v="0"/>
    <s v="spec_temp_traffic"/>
  </r>
  <r>
    <n v="618"/>
    <n v="12"/>
    <n v="9"/>
    <n v="15713"/>
    <m/>
    <s v="Wattles"/>
    <m/>
    <x v="393"/>
    <x v="105"/>
    <n v="5000"/>
    <s v="LF"/>
    <x v="0"/>
    <x v="0"/>
    <s v="spec_temp_traffic"/>
  </r>
  <r>
    <n v="619"/>
    <n v="12"/>
    <n v="10"/>
    <n v="15713"/>
    <m/>
    <s v="Jet Blast Control Material"/>
    <m/>
    <x v="394"/>
    <x v="37"/>
    <n v="1"/>
    <s v="ACRE"/>
    <x v="0"/>
    <x v="0"/>
    <s v="spec_temp_traffic"/>
  </r>
  <r>
    <n v="620"/>
    <n v="12"/>
    <n v="11"/>
    <n v="15713"/>
    <m/>
    <s v="Ditch Protection/Check Dams"/>
    <m/>
    <x v="395"/>
    <x v="104"/>
    <n v="13"/>
    <s v="EACH"/>
    <x v="0"/>
    <x v="0"/>
    <s v="spec_temp_traffic"/>
  </r>
  <r>
    <n v="621"/>
    <n v="12"/>
    <n v="12"/>
    <n v="15713"/>
    <m/>
    <s v="ConstructionEntrance"/>
    <m/>
    <x v="396"/>
    <x v="313"/>
    <n v="3"/>
    <s v="EACH"/>
    <x v="0"/>
    <x v="0"/>
    <s v="spec_temp_traffic"/>
  </r>
  <r>
    <n v="622"/>
    <n v="12"/>
    <n v="13"/>
    <n v="15713"/>
    <m/>
    <s v="JuteMatting"/>
    <m/>
    <x v="397"/>
    <x v="314"/>
    <n v="300"/>
    <s v="SY"/>
    <x v="0"/>
    <x v="0"/>
    <s v="spec_temp_traffic"/>
  </r>
  <r>
    <n v="623"/>
    <n v="12"/>
    <n v="14"/>
    <s v="C-102"/>
    <m/>
    <s v="Installationand Removalof Silt Fence"/>
    <m/>
    <x v="398"/>
    <x v="315"/>
    <n v="7800"/>
    <s v="LF"/>
    <x v="0"/>
    <x v="0"/>
    <s v="spec_temp_traffic"/>
  </r>
  <r>
    <n v="624"/>
    <n v="12"/>
    <n v="15"/>
    <s v="C-105"/>
    <m/>
    <s v="Mobilization"/>
    <m/>
    <x v="399"/>
    <x v="235"/>
    <n v="1"/>
    <s v="LS"/>
    <x v="0"/>
    <x v="0"/>
    <s v="spec_temp_traffic"/>
  </r>
  <r>
    <n v="625"/>
    <n v="12"/>
    <n v="16"/>
    <s v="P-101"/>
    <m/>
    <s v="Asphalt Pavement Removal - 2.5-InchDepth"/>
    <m/>
    <x v="400"/>
    <x v="316"/>
    <n v="7900"/>
    <s v="SY"/>
    <x v="3"/>
    <x v="3"/>
    <s v="spec_paving_earthwork"/>
  </r>
  <r>
    <n v="626"/>
    <n v="12"/>
    <n v="17"/>
    <s v="P-101"/>
    <m/>
    <s v="Asphalt Pavement Removal"/>
    <s v="4-InchDepth"/>
    <x v="401"/>
    <x v="40"/>
    <n v="4100"/>
    <s v="SY"/>
    <x v="3"/>
    <x v="3"/>
    <s v="spec_paving_earthwork"/>
  </r>
  <r>
    <n v="627"/>
    <n v="12"/>
    <n v="18"/>
    <s v="P-101"/>
    <m/>
    <s v="Asphalt Pavement Removal"/>
    <s v="6-8-InchDepth"/>
    <x v="402"/>
    <x v="40"/>
    <n v="4200"/>
    <s v="SY"/>
    <x v="3"/>
    <x v="3"/>
    <s v="spec_paving_earthwork"/>
  </r>
  <r>
    <n v="628"/>
    <n v="12"/>
    <n v="19"/>
    <s v="P-101"/>
    <m/>
    <s v="ColdMilling - 0.5InchDepth"/>
    <m/>
    <x v="403"/>
    <x v="317"/>
    <n v="4900"/>
    <s v="SY"/>
    <x v="3"/>
    <x v="3"/>
    <s v="spec_paving_earthwork"/>
  </r>
  <r>
    <n v="629"/>
    <n v="12"/>
    <n v="20"/>
    <s v="P-101"/>
    <m/>
    <s v="ColdMilling - VariableDepth(Transitional)"/>
    <m/>
    <x v="404"/>
    <x v="318"/>
    <n v="4000"/>
    <s v="SY"/>
    <x v="3"/>
    <x v="3"/>
    <s v="spec_paving_earthwork"/>
  </r>
  <r>
    <n v="630"/>
    <n v="12"/>
    <n v="21"/>
    <s v="P-101"/>
    <m/>
    <s v="Removalof Pipeand Other Buried Structures"/>
    <m/>
    <x v="405"/>
    <x v="319"/>
    <n v="1"/>
    <s v="LS"/>
    <x v="3"/>
    <x v="3"/>
    <s v="spec_paving_earthwork"/>
  </r>
  <r>
    <n v="631"/>
    <n v="12"/>
    <n v="22"/>
    <s v="P-152"/>
    <m/>
    <s v="EmbankmentinPlace"/>
    <m/>
    <x v="406"/>
    <x v="320"/>
    <n v="38600"/>
    <s v="CY"/>
    <x v="3"/>
    <x v="3"/>
    <s v="spec_paving_earthwork"/>
  </r>
  <r>
    <n v="632"/>
    <n v="12"/>
    <n v="23"/>
    <s v="P-152"/>
    <m/>
    <s v="MechanicalStabilization"/>
    <m/>
    <x v="407"/>
    <x v="321"/>
    <n v="2500"/>
    <s v="CY"/>
    <x v="3"/>
    <x v="3"/>
    <s v="spec_paving_earthwork"/>
  </r>
  <r>
    <n v="633"/>
    <n v="12"/>
    <n v="24"/>
    <s v="P-152"/>
    <m/>
    <s v="Existing Subgrade Stabilzation"/>
    <m/>
    <x v="408"/>
    <x v="322"/>
    <n v="1000"/>
    <s v="CY"/>
    <x v="3"/>
    <x v="3"/>
    <s v="spec_paving_earthwork"/>
  </r>
  <r>
    <n v="634"/>
    <n v="12"/>
    <n v="25"/>
    <s v="P-152"/>
    <m/>
    <s v="UnsuitableExcavation"/>
    <m/>
    <x v="409"/>
    <x v="323"/>
    <n v="11000"/>
    <s v="CY"/>
    <x v="3"/>
    <x v="3"/>
    <s v="spec_paving_earthwork"/>
  </r>
  <r>
    <n v="635"/>
    <n v="12"/>
    <n v="26"/>
    <s v="P-153"/>
    <m/>
    <s v="ControlledLow - StrengthMaterial(CLSM)"/>
    <m/>
    <x v="410"/>
    <x v="324"/>
    <n v="228"/>
    <s v="CY"/>
    <x v="3"/>
    <x v="3"/>
    <s v="spec_paving_earthwork"/>
  </r>
  <r>
    <n v="636"/>
    <n v="12"/>
    <n v="27"/>
    <s v="P-154"/>
    <m/>
    <s v="SubbaseCourse"/>
    <m/>
    <x v="411"/>
    <x v="325"/>
    <n v="1000"/>
    <s v="CY"/>
    <x v="3"/>
    <x v="3"/>
    <s v="spec_paving_earthwork"/>
  </r>
  <r>
    <n v="637"/>
    <n v="12"/>
    <n v="28"/>
    <s v="P-209"/>
    <m/>
    <s v="Crushed Aggregate Base Course"/>
    <m/>
    <x v="412"/>
    <x v="54"/>
    <n v="9700"/>
    <s v="CY"/>
    <x v="3"/>
    <x v="3"/>
    <s v="spec_paving_earthwork"/>
  </r>
  <r>
    <n v="638"/>
    <n v="12"/>
    <n v="29"/>
    <s v="P-209"/>
    <m/>
    <s v="SeparationGeotextile"/>
    <m/>
    <x v="413"/>
    <x v="326"/>
    <n v="12800"/>
    <s v="SY"/>
    <x v="3"/>
    <x v="3"/>
    <s v="spec_paving_earthwork"/>
  </r>
  <r>
    <n v="639"/>
    <n v="12"/>
    <n v="30"/>
    <s v="P-401"/>
    <m/>
    <s v="Asphalt Surface Course"/>
    <m/>
    <x v="414"/>
    <x v="239"/>
    <n v="2900"/>
    <s v="TON"/>
    <x v="3"/>
    <x v="3"/>
    <s v="spec_paving_earthwork"/>
  </r>
  <r>
    <n v="640"/>
    <n v="12"/>
    <n v="31"/>
    <s v="P-403"/>
    <m/>
    <s v="Asphalt Mixture Baseand Surface Course"/>
    <m/>
    <x v="415"/>
    <x v="327"/>
    <n v="3600"/>
    <s v="TON"/>
    <x v="3"/>
    <x v="3"/>
    <s v="spec_paving_earthwork"/>
  </r>
  <r>
    <n v="641"/>
    <n v="12"/>
    <n v="32"/>
    <s v="P-603"/>
    <m/>
    <s v="Emulsified Asphalt Tack Coat"/>
    <m/>
    <x v="416"/>
    <x v="242"/>
    <n v="2200"/>
    <s v="GAL"/>
    <x v="3"/>
    <x v="3"/>
    <s v="spec_paving_earthwork"/>
  </r>
  <r>
    <n v="642"/>
    <n v="12"/>
    <n v="33"/>
    <s v="P-605"/>
    <m/>
    <s v="Joint Sealing Filler"/>
    <m/>
    <x v="417"/>
    <x v="50"/>
    <n v="20"/>
    <s v="GAL"/>
    <x v="3"/>
    <x v="3"/>
    <s v="spec_paving_earthwork"/>
  </r>
  <r>
    <n v="643"/>
    <n v="12"/>
    <n v="34"/>
    <s v="P-606"/>
    <m/>
    <s v="AdhesiveCompound"/>
    <m/>
    <x v="418"/>
    <x v="328"/>
    <n v="40"/>
    <s v="GAL"/>
    <x v="3"/>
    <x v="3"/>
    <s v="spec_paving_earthwork"/>
  </r>
  <r>
    <n v="644"/>
    <n v="12"/>
    <n v="35"/>
    <s v="P-610"/>
    <m/>
    <s v="Concrete"/>
    <m/>
    <x v="419"/>
    <x v="248"/>
    <n v="40"/>
    <s v="CY"/>
    <x v="3"/>
    <x v="3"/>
    <s v="spec_paving_earthwork"/>
  </r>
  <r>
    <n v="645"/>
    <n v="12"/>
    <n v="36"/>
    <s v="P-620"/>
    <m/>
    <s v="SurfacePreparation"/>
    <s v="NewPavementSurface"/>
    <x v="420"/>
    <x v="329"/>
    <n v="40800"/>
    <s v="SF"/>
    <x v="3"/>
    <x v="3"/>
    <s v="spec_paving_earthwork"/>
  </r>
  <r>
    <n v="646"/>
    <n v="12"/>
    <n v="37"/>
    <s v="P-620"/>
    <m/>
    <s v="SurfacePreparation"/>
    <s v="RemoveExistingMarkings"/>
    <x v="421"/>
    <x v="329"/>
    <n v="38500"/>
    <s v="SF"/>
    <x v="3"/>
    <x v="3"/>
    <s v="spec_paving_earthwork"/>
  </r>
  <r>
    <n v="647"/>
    <n v="12"/>
    <n v="38"/>
    <s v="P-620"/>
    <m/>
    <s v="Marking"/>
    <m/>
    <x v="422"/>
    <x v="247"/>
    <n v="40800"/>
    <s v="SF"/>
    <x v="3"/>
    <x v="3"/>
    <s v="spec_paving_earthwork"/>
  </r>
  <r>
    <n v="648"/>
    <n v="12"/>
    <n v="39"/>
    <s v="P-620"/>
    <m/>
    <s v="ReflectiveMedia"/>
    <m/>
    <x v="423"/>
    <x v="330"/>
    <n v="2500"/>
    <s v="LB"/>
    <x v="3"/>
    <x v="3"/>
    <s v="spec_paving_earthwork"/>
  </r>
  <r>
    <n v="649"/>
    <n v="12"/>
    <n v="40"/>
    <s v="P-620"/>
    <m/>
    <s v="Temporary Runwayand Taxiway Marking"/>
    <m/>
    <x v="424"/>
    <x v="331"/>
    <n v="21800"/>
    <s v="SF"/>
    <x v="3"/>
    <x v="3"/>
    <s v="spec_paving_earthwork"/>
  </r>
  <r>
    <n v="650"/>
    <n v="12"/>
    <n v="41"/>
    <s v="D-701"/>
    <m/>
    <s v="6-inchSTS"/>
    <m/>
    <x v="425"/>
    <x v="332"/>
    <n v="137"/>
    <s v="LF"/>
    <x v="5"/>
    <x v="6"/>
    <s v="spec_drainage_structures"/>
  </r>
  <r>
    <n v="651"/>
    <n v="12"/>
    <n v="42"/>
    <s v="D-701"/>
    <m/>
    <s v="12-inchSTS"/>
    <m/>
    <x v="426"/>
    <x v="333"/>
    <n v="77"/>
    <s v="LF"/>
    <x v="5"/>
    <x v="6"/>
    <s v="spec_drainage_structures"/>
  </r>
  <r>
    <n v="652"/>
    <n v="12"/>
    <n v="43"/>
    <s v="D-701"/>
    <m/>
    <s v="24-inchSTS"/>
    <m/>
    <x v="427"/>
    <x v="334"/>
    <n v="1080"/>
    <s v="LF"/>
    <x v="5"/>
    <x v="6"/>
    <s v="spec_drainage_structures"/>
  </r>
  <r>
    <n v="653"/>
    <n v="12"/>
    <n v="44"/>
    <s v="D-701"/>
    <m/>
    <s v="14-inch Class50Ductile Iron Pipe Culvert"/>
    <m/>
    <x v="428"/>
    <x v="335"/>
    <n v="69"/>
    <s v="LF"/>
    <x v="5"/>
    <x v="6"/>
    <s v="spec_drainage_structures"/>
  </r>
  <r>
    <n v="654"/>
    <n v="12"/>
    <n v="45"/>
    <s v="D-701"/>
    <m/>
    <s v="18-inch Class50Ductile Iron Pipe Culvert"/>
    <m/>
    <x v="429"/>
    <x v="336"/>
    <n v="151"/>
    <s v="LF"/>
    <x v="5"/>
    <x v="6"/>
    <s v="spec_drainage_structures"/>
  </r>
  <r>
    <n v="655"/>
    <n v="12"/>
    <n v="46"/>
    <s v="D-701"/>
    <m/>
    <s v="Culvert"/>
    <s v="8'HX14'W"/>
    <x v="430"/>
    <x v="337"/>
    <n v="1"/>
    <s v="LS"/>
    <x v="5"/>
    <x v="6"/>
    <s v="spec_drainage_structures"/>
  </r>
  <r>
    <n v="656"/>
    <n v="12"/>
    <n v="47"/>
    <s v="D-705"/>
    <m/>
    <s v="InchPipeUnderdrains"/>
    <s v="6-"/>
    <x v="431"/>
    <x v="338"/>
    <n v="1309"/>
    <s v="LF"/>
    <x v="5"/>
    <x v="6"/>
    <s v="spec_drainage_structures"/>
  </r>
  <r>
    <n v="657"/>
    <n v="12"/>
    <n v="48"/>
    <s v="D-751"/>
    <m/>
    <s v="Manholes"/>
    <m/>
    <x v="432"/>
    <x v="339"/>
    <n v="2"/>
    <s v="EACH"/>
    <x v="5"/>
    <x v="6"/>
    <s v="spec_drainage_structures"/>
  </r>
  <r>
    <n v="658"/>
    <n v="12"/>
    <n v="49"/>
    <s v="D-751"/>
    <m/>
    <s v="CatchBasins"/>
    <m/>
    <x v="433"/>
    <x v="340"/>
    <n v="2"/>
    <s v="EACH"/>
    <x v="5"/>
    <x v="6"/>
    <s v="spec_drainage_structures"/>
  </r>
  <r>
    <n v="659"/>
    <n v="12"/>
    <n v="50"/>
    <s v="D-752"/>
    <m/>
    <s v="Unclassified Excavationfor Structures"/>
    <m/>
    <x v="434"/>
    <x v="341"/>
    <n v="1100"/>
    <s v="CY"/>
    <x v="5"/>
    <x v="6"/>
    <s v="spec_drainage_structures"/>
  </r>
  <r>
    <n v="660"/>
    <n v="12"/>
    <n v="51"/>
    <s v="D-752"/>
    <m/>
    <s v="StructuralConcrete"/>
    <m/>
    <x v="435"/>
    <x v="342"/>
    <n v="310"/>
    <s v="CY"/>
    <x v="5"/>
    <x v="6"/>
    <s v="spec_drainage_structures"/>
  </r>
  <r>
    <n v="661"/>
    <n v="12"/>
    <n v="52"/>
    <s v="D-752"/>
    <m/>
    <s v="ReinforcingSteel"/>
    <m/>
    <x v="436"/>
    <x v="343"/>
    <n v="29300"/>
    <s v="LB"/>
    <x v="5"/>
    <x v="6"/>
    <s v="spec_drainage_structures"/>
  </r>
  <r>
    <n v="662"/>
    <n v="12"/>
    <n v="53"/>
    <s v="T-901"/>
    <m/>
    <s v="Seeding"/>
    <m/>
    <x v="437"/>
    <x v="79"/>
    <n v="17"/>
    <s v="ACRE"/>
    <x v="1"/>
    <x v="1"/>
    <s v="spec_landscape"/>
  </r>
  <r>
    <n v="663"/>
    <n v="12"/>
    <n v="54"/>
    <s v="T-905"/>
    <m/>
    <s v="Topsoil"/>
    <s v="ObtainedOnStieorRemovedfromStockpile"/>
    <x v="438"/>
    <x v="344"/>
    <n v="5000"/>
    <s v="CY"/>
    <x v="1"/>
    <x v="1"/>
    <s v="spec_landscape"/>
  </r>
  <r>
    <n v="664"/>
    <n v="12"/>
    <n v="55"/>
    <s v="T-905"/>
    <m/>
    <s v="Topsoil"/>
    <s v="FurnishedfromOfftheSite"/>
    <x v="439"/>
    <x v="344"/>
    <n v="4800"/>
    <s v="CY"/>
    <x v="1"/>
    <x v="1"/>
    <s v="spec_landscape"/>
  </r>
  <r>
    <n v="665"/>
    <n v="12"/>
    <n v="56"/>
    <n v="26100"/>
    <m/>
    <s v="Contaminated Material Excavationand Disposal"/>
    <m/>
    <x v="440"/>
    <x v="345"/>
    <n v="1000"/>
    <s v="TON"/>
    <x v="2"/>
    <x v="2"/>
    <s v="spec_demo_remediation"/>
  </r>
  <r>
    <n v="666"/>
    <n v="12"/>
    <n v="57"/>
    <n v="312300"/>
    <m/>
    <s v="Existing Manhole Adjustment to Grade"/>
    <s v="MinorAdjustment"/>
    <x v="441"/>
    <x v="84"/>
    <n v="2"/>
    <s v="EACH"/>
    <x v="5"/>
    <x v="6"/>
    <s v="spec_drainage_structures"/>
  </r>
  <r>
    <n v="667"/>
    <n v="12"/>
    <n v="58"/>
    <n v="312300"/>
    <m/>
    <s v="Existing Manhole Adjustment to Grade"/>
    <s v="MajorAdjustment"/>
    <x v="442"/>
    <x v="84"/>
    <n v="2"/>
    <s v="EACH"/>
    <x v="5"/>
    <x v="6"/>
    <s v="spec_drainage_structures"/>
  </r>
  <r>
    <n v="668"/>
    <n v="12"/>
    <n v="59"/>
    <n v="312300"/>
    <m/>
    <s v="Existing Manhole Adjustment to Grade"/>
    <s v="Cleanout"/>
    <x v="443"/>
    <x v="84"/>
    <n v="3"/>
    <s v="EACH"/>
    <x v="5"/>
    <x v="6"/>
    <s v="spec_drainage_structures"/>
  </r>
  <r>
    <n v="669"/>
    <n v="12"/>
    <n v="60"/>
    <n v="312300"/>
    <m/>
    <s v="Existing Electrical Vault Adjustment to Grade"/>
    <m/>
    <x v="444"/>
    <x v="117"/>
    <n v="1"/>
    <s v="EACH"/>
    <x v="5"/>
    <x v="6"/>
    <s v="spec_drainage_structures"/>
  </r>
  <r>
    <n v="670"/>
    <n v="12"/>
    <n v="61"/>
    <n v="330516"/>
    <m/>
    <s v="CleanoutStructures"/>
    <m/>
    <x v="445"/>
    <x v="346"/>
    <n v="10"/>
    <s v="EACH"/>
    <x v="5"/>
    <x v="5"/>
    <s v="spec_piping_utility"/>
  </r>
  <r>
    <n v="671"/>
    <n v="12"/>
    <n v="62"/>
    <n v="354000"/>
    <m/>
    <s v="Boulders"/>
    <m/>
    <x v="446"/>
    <x v="347"/>
    <n v="120"/>
    <s v="EACH"/>
    <x v="1"/>
    <x v="1"/>
    <s v="spec_landscape"/>
  </r>
  <r>
    <n v="672"/>
    <n v="12"/>
    <n v="63"/>
    <n v="354000"/>
    <m/>
    <s v="StreambedCobble"/>
    <m/>
    <x v="447"/>
    <x v="348"/>
    <n v="750"/>
    <s v="CY"/>
    <x v="1"/>
    <x v="1"/>
    <s v="spec_landscape"/>
  </r>
  <r>
    <n v="673"/>
    <n v="12"/>
    <n v="64"/>
    <n v="354000"/>
    <m/>
    <s v="StreambedSediment"/>
    <m/>
    <x v="448"/>
    <x v="349"/>
    <n v="150"/>
    <s v="CY"/>
    <x v="1"/>
    <x v="1"/>
    <s v="spec_landscape"/>
  </r>
  <r>
    <n v="674"/>
    <n v="12"/>
    <n v="65"/>
    <n v="354000"/>
    <m/>
    <s v="RiprapOutfall"/>
    <m/>
    <x v="449"/>
    <x v="350"/>
    <n v="4"/>
    <s v="EACH"/>
    <x v="1"/>
    <x v="1"/>
    <s v="spec_landscape"/>
  </r>
  <r>
    <n v="675"/>
    <n v="12"/>
    <n v="66"/>
    <n v="354000"/>
    <m/>
    <s v="Grade Control Structures"/>
    <m/>
    <x v="450"/>
    <x v="351"/>
    <n v="40"/>
    <s v="CY"/>
    <x v="1"/>
    <x v="1"/>
    <s v="spec_landscape"/>
  </r>
  <r>
    <n v="676"/>
    <n v="12"/>
    <n v="67"/>
    <s v="L-108"/>
    <m/>
    <s v="No.8AWG,5k V,L-824,Type CCable Installedin Trench,Duct Bank"/>
    <s v="orConduit"/>
    <x v="451"/>
    <x v="352"/>
    <n v="16000"/>
    <s v="LF"/>
    <x v="6"/>
    <x v="7"/>
    <s v="spec_airfield_lighting"/>
  </r>
  <r>
    <n v="677"/>
    <n v="12"/>
    <n v="68"/>
    <s v="L-108"/>
    <m/>
    <s v="No.6AWG,Solid,Bare Counterpoise Wire,Installed Abovethe Duct Bankor Conduit"/>
    <s v="IncludingConnections/Terminations"/>
    <x v="452"/>
    <x v="353"/>
    <n v="1911"/>
    <s v="LF"/>
    <x v="6"/>
    <x v="7"/>
    <s v="spec_airfield_lighting"/>
  </r>
  <r>
    <n v="678"/>
    <n v="12"/>
    <n v="69"/>
    <s v="L-108"/>
    <m/>
    <s v="Ground Rodfor Counterpoise"/>
    <m/>
    <x v="453"/>
    <x v="354"/>
    <n v="10"/>
    <s v="EACH"/>
    <x v="6"/>
    <x v="7"/>
    <s v="spec_airfield_lighting"/>
  </r>
  <r>
    <n v="679"/>
    <n v="12"/>
    <n v="70"/>
    <s v="L-110"/>
    <m/>
    <s v="InchPVCinGrassorinNewACshoulder"/>
    <s v="2-"/>
    <x v="454"/>
    <x v="355"/>
    <n v="1948"/>
    <s v="LF"/>
    <x v="6"/>
    <x v="7"/>
    <s v="spec_airfield_lighting"/>
  </r>
  <r>
    <n v="680"/>
    <n v="12"/>
    <n v="71"/>
    <s v="L-110"/>
    <m/>
    <s v="InchPVCinNewACStructuralPavement"/>
    <s v="2-"/>
    <x v="455"/>
    <x v="356"/>
    <n v="160"/>
    <s v="LF"/>
    <x v="6"/>
    <x v="7"/>
    <s v="spec_airfield_lighting"/>
  </r>
  <r>
    <n v="681"/>
    <n v="12"/>
    <n v="72"/>
    <n v="260500"/>
    <m/>
    <s v="General Electrical Removal"/>
    <m/>
    <x v="456"/>
    <x v="76"/>
    <n v="1"/>
    <s v="LS"/>
    <x v="6"/>
    <x v="8"/>
    <s v="spec_power_distribution"/>
  </r>
  <r>
    <n v="682"/>
    <n v="12"/>
    <n v="73"/>
    <n v="260500"/>
    <m/>
    <s v="Temporary Circuit Connection"/>
    <m/>
    <x v="457"/>
    <x v="78"/>
    <n v="1"/>
    <s v="LS"/>
    <x v="6"/>
    <x v="8"/>
    <s v="spec_power_distribution"/>
  </r>
  <r>
    <n v="683"/>
    <n v="12"/>
    <n v="74"/>
    <n v="260500"/>
    <m/>
    <s v="Temporary Threshold Set Upand Circuit Connection"/>
    <m/>
    <x v="458"/>
    <x v="357"/>
    <n v="1"/>
    <s v="LS"/>
    <x v="6"/>
    <x v="8"/>
    <s v="spec_power_distribution"/>
  </r>
  <r>
    <n v="684"/>
    <n v="12"/>
    <n v="75"/>
    <n v="260500"/>
    <m/>
    <s v="FAAMALSRand Threshold Bar Lights"/>
    <m/>
    <x v="459"/>
    <x v="358"/>
    <n v="1"/>
    <s v="LS"/>
    <x v="6"/>
    <x v="8"/>
    <s v="spec_power_distribution"/>
  </r>
  <r>
    <n v="685"/>
    <n v="12"/>
    <n v="76"/>
    <n v="260500"/>
    <m/>
    <s v="Install PFConstant Current Regulator"/>
    <m/>
    <x v="460"/>
    <x v="359"/>
    <n v="1"/>
    <s v="LS"/>
    <x v="6"/>
    <x v="8"/>
    <s v="spec_power_distribution"/>
  </r>
  <r>
    <n v="686"/>
    <n v="12"/>
    <n v="77"/>
    <n v="344300"/>
    <m/>
    <s v="Install PFLEDRunway Edge Lightwith PFBase Can"/>
    <s v="CFTransformerinNewACPShoulder"/>
    <x v="461"/>
    <x v="360"/>
    <n v="1"/>
    <s v="EACH"/>
    <x v="6"/>
    <x v="7"/>
    <s v="spec_airfield_lighting"/>
  </r>
  <r>
    <n v="687"/>
    <n v="12"/>
    <n v="78"/>
    <n v="344300"/>
    <m/>
    <s v="Install PFLEDElevated Runway End/Threshold Lightwith PFBase Can"/>
    <s v="CFTransformerinNewACPShoulder"/>
    <x v="462"/>
    <x v="361"/>
    <n v="8"/>
    <s v="EACH"/>
    <x v="6"/>
    <x v="7"/>
    <s v="spec_airfield_lighting"/>
  </r>
  <r>
    <n v="688"/>
    <n v="12"/>
    <n v="79"/>
    <n v="344300"/>
    <m/>
    <s v="Install PFLEDElevated Runway Guard Lightwith PFBase Can"/>
    <s v="CFTransformerinNewACPShoulder"/>
    <x v="463"/>
    <x v="362"/>
    <n v="2"/>
    <s v="EACH"/>
    <x v="6"/>
    <x v="7"/>
    <s v="spec_airfield_lighting"/>
  </r>
  <r>
    <n v="689"/>
    <n v="12"/>
    <n v="80"/>
    <n v="344300"/>
    <m/>
    <s v="Install PFTaxiway Edge Lightwith PFBase Can"/>
    <s v="CFTransformerinNewACPShoulder"/>
    <x v="464"/>
    <x v="363"/>
    <n v="38"/>
    <s v="EACH"/>
    <x v="6"/>
    <x v="7"/>
    <s v="spec_airfield_lighting"/>
  </r>
  <r>
    <n v="690"/>
    <n v="12"/>
    <n v="81"/>
    <n v="344300"/>
    <m/>
    <s v="InstallPF"/>
    <s v="12&quot;Diameter,24&quot;DeepBaseCanwithPFCoverinNewACPShoulder"/>
    <x v="465"/>
    <x v="364"/>
    <n v="1"/>
    <s v="EACH"/>
    <x v="6"/>
    <x v="7"/>
    <s v="spec_airfield_lighting"/>
  </r>
  <r>
    <n v="691"/>
    <n v="12"/>
    <n v="82"/>
    <n v="344300"/>
    <m/>
    <s v="Install PFElevated Taxiway Edge Lighton Existing Base Canwith CFTransformer"/>
    <m/>
    <x v="466"/>
    <x v="365"/>
    <n v="13"/>
    <s v="EACH"/>
    <x v="6"/>
    <x v="7"/>
    <s v="spec_airfield_lighting"/>
  </r>
  <r>
    <n v="692"/>
    <n v="12"/>
    <n v="83"/>
    <n v="344301"/>
    <m/>
    <s v="Adjust Existing Runway/Taxiway Elevated Edge Lightwith CFTransformer"/>
    <m/>
    <x v="467"/>
    <x v="366"/>
    <n v="3"/>
    <s v="EACH"/>
    <x v="6"/>
    <x v="7"/>
    <s v="spec_airfield_lighting"/>
  </r>
  <r>
    <n v="693"/>
    <n v="12"/>
    <n v="84"/>
    <n v="344302"/>
    <m/>
    <s v="Sign"/>
    <s v="13R-1"/>
    <x v="468"/>
    <x v="367"/>
    <n v="1"/>
    <s v="LS"/>
    <x v="6"/>
    <x v="9"/>
    <s v="spec_airfield_signage"/>
  </r>
  <r>
    <n v="694"/>
    <n v="12"/>
    <n v="85"/>
    <n v="344302"/>
    <m/>
    <s v="SignA"/>
    <n v="1"/>
    <x v="469"/>
    <x v="368"/>
    <n v="1"/>
    <s v="LS"/>
    <x v="6"/>
    <x v="9"/>
    <s v="spec_airfield_signage"/>
  </r>
  <r>
    <n v="695"/>
    <n v="13"/>
    <n v="1"/>
    <s v="UNCLASSIFIED"/>
    <m/>
    <s v="Mobilization, Surveying, Cleanup, and Demobilization"/>
    <m/>
    <x v="0"/>
    <x v="0"/>
    <n v="1"/>
    <s v="LS"/>
    <x v="0"/>
    <x v="0"/>
    <s v="kw_temp_traffic"/>
  </r>
  <r>
    <n v="696"/>
    <n v="13"/>
    <n v="2"/>
    <s v="UNCLASSIFIED"/>
    <m/>
    <s v="Sweeper"/>
    <m/>
    <x v="152"/>
    <x v="124"/>
    <n v="1"/>
    <s v="LS"/>
    <x v="0"/>
    <x v="0"/>
    <s v="kw_temp_traffic"/>
  </r>
  <r>
    <n v="697"/>
    <n v="13"/>
    <n v="3"/>
    <s v="UNCLASSIFIED"/>
    <m/>
    <s v="Temporary Erosion and Sediment Control"/>
    <m/>
    <x v="470"/>
    <x v="369"/>
    <n v="1"/>
    <s v="LS"/>
    <x v="1"/>
    <x v="1"/>
    <s v="kw_landscape_env"/>
  </r>
  <r>
    <n v="698"/>
    <n v="13"/>
    <n v="4"/>
    <s v="UNCLASSIFIED"/>
    <m/>
    <s v="Contaminated Soil Excavation and Disposal"/>
    <m/>
    <x v="162"/>
    <x v="134"/>
    <n v="300"/>
    <s v="CY"/>
    <x v="3"/>
    <x v="3"/>
    <s v="kw_paving_earthwork"/>
  </r>
  <r>
    <n v="699"/>
    <n v="13"/>
    <n v="5"/>
    <s v="UNCLASSIFIED"/>
    <m/>
    <s v="Dewatering"/>
    <m/>
    <x v="13"/>
    <x v="13"/>
    <n v="9"/>
    <s v="EACH"/>
    <x v="1"/>
    <x v="1"/>
    <s v="kw_landscape_env"/>
  </r>
  <r>
    <n v="700"/>
    <n v="13"/>
    <n v="6"/>
    <s v="UNCLASSIFIED"/>
    <m/>
    <s v="Kennedy Feeder Point-of-Service Access Pad"/>
    <m/>
    <x v="471"/>
    <x v="370"/>
    <n v="1"/>
    <s v="LS"/>
    <x v="4"/>
    <x v="4"/>
    <s v="fallback_unmapped"/>
  </r>
  <r>
    <n v="701"/>
    <n v="13"/>
    <n v="7"/>
    <s v="UNCLASSIFIED"/>
    <m/>
    <s v="Kennedy Feeder Pad - Mount Switch"/>
    <m/>
    <x v="472"/>
    <x v="371"/>
    <n v="1"/>
    <s v="LS"/>
    <x v="4"/>
    <x v="4"/>
    <s v="fallback_unmapped"/>
  </r>
  <r>
    <n v="702"/>
    <n v="13"/>
    <n v="8"/>
    <s v="UNCLASSIFIED"/>
    <m/>
    <s v="Aircraft - Rated Electrical Vaults"/>
    <m/>
    <x v="473"/>
    <x v="372"/>
    <n v="4"/>
    <s v="EACH"/>
    <x v="4"/>
    <x v="4"/>
    <s v="fallback_unmapped"/>
  </r>
  <r>
    <n v="703"/>
    <n v="13"/>
    <n v="9"/>
    <s v="UNCLASSIFIED"/>
    <m/>
    <s v="H-20 Traffic - Rated Electrical Vaults"/>
    <m/>
    <x v="474"/>
    <x v="373"/>
    <n v="4"/>
    <s v="EACH"/>
    <x v="4"/>
    <x v="4"/>
    <s v="fallback_unmapped"/>
  </r>
  <r>
    <n v="704"/>
    <n v="13"/>
    <n v="10"/>
    <s v="UNCLASSIFIED"/>
    <m/>
    <s v="Two 6-Inch Conduits by Directional Drilling Method"/>
    <m/>
    <x v="475"/>
    <x v="374"/>
    <n v="5360"/>
    <s v="LF"/>
    <x v="4"/>
    <x v="4"/>
    <s v="fallback_unmapped"/>
  </r>
  <r>
    <n v="705"/>
    <n v="13"/>
    <n v="11"/>
    <s v="UNCLASSIFIED"/>
    <m/>
    <s v="Electrical Feeder Conductor Assembly"/>
    <m/>
    <x v="476"/>
    <x v="375"/>
    <n v="12397"/>
    <s v="LF"/>
    <x v="4"/>
    <x v="4"/>
    <s v="fallback_unmapped"/>
  </r>
  <r>
    <n v="706"/>
    <n v="13"/>
    <n v="12"/>
    <s v="UNCLASSIFIED"/>
    <m/>
    <s v="Electrical Feeder Installation in Vaults"/>
    <m/>
    <x v="477"/>
    <x v="376"/>
    <n v="17"/>
    <s v="EACH"/>
    <x v="4"/>
    <x v="4"/>
    <s v="fallback_unmapped"/>
  </r>
  <r>
    <n v="707"/>
    <n v="13"/>
    <n v="13"/>
    <s v="UNCLASSIFIED"/>
    <m/>
    <s v="Electrical Feeder Conductor Termination and Testing"/>
    <m/>
    <x v="478"/>
    <x v="377"/>
    <n v="1"/>
    <s v="LS"/>
    <x v="4"/>
    <x v="4"/>
    <s v="fallback_unmapped"/>
  </r>
  <r>
    <n v="708"/>
    <n v="14"/>
    <n v="1"/>
    <s v="UNCLASSIFIED"/>
    <m/>
    <s v="Mobilization, Surveying, Cleanup, and Demobilization"/>
    <m/>
    <x v="0"/>
    <x v="0"/>
    <n v="1"/>
    <s v="LS"/>
    <x v="0"/>
    <x v="0"/>
    <s v="kw_temp_traffic"/>
  </r>
  <r>
    <n v="709"/>
    <n v="14"/>
    <n v="2"/>
    <s v="UNCLASSIFIED"/>
    <m/>
    <s v="Project Traffic Control"/>
    <m/>
    <x v="479"/>
    <x v="378"/>
    <n v="1"/>
    <s v="LS"/>
    <x v="0"/>
    <x v="0"/>
    <s v="kw_temp_traffic"/>
  </r>
  <r>
    <n v="710"/>
    <n v="14"/>
    <n v="3"/>
    <s v="UNCLASSIFIED"/>
    <m/>
    <s v="Inlet Protection"/>
    <m/>
    <x v="157"/>
    <x v="129"/>
    <n v="6"/>
    <s v="EACH"/>
    <x v="1"/>
    <x v="1"/>
    <s v="kw_landscape_env"/>
  </r>
  <r>
    <n v="711"/>
    <n v="14"/>
    <n v="4"/>
    <s v="UNCLASSIFIED"/>
    <m/>
    <s v="Ditch Protection"/>
    <m/>
    <x v="480"/>
    <x v="379"/>
    <n v="9"/>
    <s v="EACH"/>
    <x v="1"/>
    <x v="1"/>
    <s v="kw_landscape_env"/>
  </r>
  <r>
    <n v="712"/>
    <n v="14"/>
    <n v="5"/>
    <s v="UNCLASSIFIED"/>
    <m/>
    <s v="Clearing and Grubbing"/>
    <m/>
    <x v="4"/>
    <x v="4"/>
    <n v="1"/>
    <s v="LS"/>
    <x v="1"/>
    <x v="1"/>
    <s v="kw_landscape_env"/>
  </r>
  <r>
    <n v="713"/>
    <n v="14"/>
    <n v="6"/>
    <s v="UNCLASSIFIED"/>
    <m/>
    <s v="Pavement Removal"/>
    <m/>
    <x v="159"/>
    <x v="131"/>
    <n v="110"/>
    <s v="CY"/>
    <x v="3"/>
    <x v="3"/>
    <s v="kw_paving_earthwork"/>
  </r>
  <r>
    <n v="714"/>
    <n v="14"/>
    <n v="7"/>
    <s v="UNCLASSIFIED"/>
    <m/>
    <s v="Asphalt Sawcut"/>
    <m/>
    <x v="481"/>
    <x v="380"/>
    <n v="1127"/>
    <s v="LF"/>
    <x v="3"/>
    <x v="3"/>
    <s v="kw_paving_earthwork"/>
  </r>
  <r>
    <n v="715"/>
    <n v="14"/>
    <n v="8"/>
    <s v="UNCLASSIFIED"/>
    <m/>
    <s v="Curb Removal"/>
    <m/>
    <x v="482"/>
    <x v="381"/>
    <n v="85"/>
    <s v="LF"/>
    <x v="3"/>
    <x v="3"/>
    <s v="kw_paving_earthwork"/>
  </r>
  <r>
    <n v="716"/>
    <n v="14"/>
    <n v="9"/>
    <s v="UNCLASSIFIED"/>
    <m/>
    <s v="Asphalt Grinding Removal and Disposal"/>
    <m/>
    <x v="483"/>
    <x v="382"/>
    <n v="138"/>
    <s v="CY"/>
    <x v="3"/>
    <x v="3"/>
    <s v="kw_paving_earthwork"/>
  </r>
  <r>
    <n v="717"/>
    <n v="14"/>
    <n v="10"/>
    <s v="UNCLASSIFIED"/>
    <m/>
    <s v="Common Excavation"/>
    <m/>
    <x v="160"/>
    <x v="132"/>
    <n v="2571"/>
    <s v="CY"/>
    <x v="3"/>
    <x v="3"/>
    <s v="kw_paving_earthwork"/>
  </r>
  <r>
    <n v="718"/>
    <n v="14"/>
    <n v="11"/>
    <s v="UNCLASSIFIED"/>
    <m/>
    <s v="Embankment"/>
    <m/>
    <x v="484"/>
    <x v="383"/>
    <n v="183"/>
    <s v="CY"/>
    <x v="4"/>
    <x v="4"/>
    <s v="fallback_unmapped"/>
  </r>
  <r>
    <n v="719"/>
    <n v="14"/>
    <n v="12"/>
    <s v="UNCLASSIFIED"/>
    <m/>
    <s v="Unsuitable Excavation and Disposal"/>
    <m/>
    <x v="161"/>
    <x v="133"/>
    <n v="100"/>
    <s v="CY"/>
    <x v="3"/>
    <x v="3"/>
    <s v="kw_paving_earthwork"/>
  </r>
  <r>
    <n v="720"/>
    <n v="14"/>
    <n v="13"/>
    <s v="UNCLASSIFIED"/>
    <m/>
    <s v="Encasement Over Existing Waterlin"/>
    <m/>
    <x v="485"/>
    <x v="384"/>
    <n v="359"/>
    <s v="LF"/>
    <x v="4"/>
    <x v="4"/>
    <s v="fallback_unmapped"/>
  </r>
  <r>
    <n v="721"/>
    <n v="14"/>
    <n v="14"/>
    <s v="UNCLASSIFIED"/>
    <m/>
    <s v="Remove and Reinstall 12-Inch Ductile Iron Pipe"/>
    <m/>
    <x v="486"/>
    <x v="385"/>
    <n v="38"/>
    <s v="LF"/>
    <x v="5"/>
    <x v="5"/>
    <s v="kw_piping_drainage"/>
  </r>
  <r>
    <n v="722"/>
    <n v="14"/>
    <n v="15"/>
    <s v="UNCLASSIFIED"/>
    <m/>
    <s v="Electrical Bedding Material"/>
    <m/>
    <x v="487"/>
    <x v="386"/>
    <n v="466"/>
    <s v="LF"/>
    <x v="4"/>
    <x v="4"/>
    <s v="fallback_unmapped"/>
  </r>
  <r>
    <n v="723"/>
    <n v="14"/>
    <n v="16"/>
    <s v="UNCLASSIFIED"/>
    <m/>
    <s v="Trench Stabilization"/>
    <m/>
    <x v="12"/>
    <x v="12"/>
    <n v="100"/>
    <s v="CY"/>
    <x v="3"/>
    <x v="3"/>
    <s v="kw_paving_earthwork"/>
  </r>
  <r>
    <n v="724"/>
    <n v="14"/>
    <n v="17"/>
    <s v="UNCLASSIFIED"/>
    <m/>
    <s v="Ductile Iron Sewer Pipe"/>
    <s v="12-Inch"/>
    <x v="488"/>
    <x v="387"/>
    <n v="20"/>
    <s v="LF"/>
    <x v="5"/>
    <x v="5"/>
    <s v="kw_piping_drainage"/>
  </r>
  <r>
    <n v="725"/>
    <n v="14"/>
    <n v="18"/>
    <s v="UNCLASSIFIED"/>
    <m/>
    <s v="Connection to Existing Utility"/>
    <m/>
    <x v="489"/>
    <x v="388"/>
    <n v="2"/>
    <s v="EACH"/>
    <x v="4"/>
    <x v="4"/>
    <s v="fallback_unmapped"/>
  </r>
  <r>
    <n v="726"/>
    <n v="14"/>
    <n v="19"/>
    <s v="UNCLASSIFIED"/>
    <m/>
    <s v="Catch Basin"/>
    <m/>
    <x v="490"/>
    <x v="389"/>
    <n v="2"/>
    <s v="EACH"/>
    <x v="5"/>
    <x v="5"/>
    <s v="kw_piping_drainage"/>
  </r>
  <r>
    <n v="727"/>
    <n v="14"/>
    <n v="20"/>
    <s v="UNCLASSIFIED"/>
    <m/>
    <s v="Standard 8-Inch Concrete Curb"/>
    <m/>
    <x v="491"/>
    <x v="390"/>
    <n v="798"/>
    <s v="LF"/>
    <x v="3"/>
    <x v="3"/>
    <s v="kw_paving_earthwork"/>
  </r>
  <r>
    <n v="728"/>
    <n v="14"/>
    <n v="21"/>
    <s v="UNCLASSIFIED"/>
    <m/>
    <s v="Monolithic Curb and Sidewalk"/>
    <m/>
    <x v="492"/>
    <x v="391"/>
    <n v="360"/>
    <s v="SF"/>
    <x v="3"/>
    <x v="3"/>
    <s v="kw_paving_earthwork"/>
  </r>
  <r>
    <n v="729"/>
    <n v="14"/>
    <n v="22"/>
    <s v="UNCLASSIFIED"/>
    <m/>
    <s v="Geotextile"/>
    <m/>
    <x v="163"/>
    <x v="135"/>
    <n v="2327"/>
    <s v="SY"/>
    <x v="3"/>
    <x v="3"/>
    <s v="kw_paving_earthwork"/>
  </r>
  <r>
    <n v="730"/>
    <n v="14"/>
    <n v="23"/>
    <s v="UNCLASSIFIED"/>
    <m/>
    <s v="Aggregate Base Course"/>
    <m/>
    <x v="23"/>
    <x v="22"/>
    <n v="391"/>
    <s v="CY"/>
    <x v="3"/>
    <x v="3"/>
    <s v="kw_paving_earthwork"/>
  </r>
  <r>
    <n v="731"/>
    <n v="14"/>
    <n v="24"/>
    <s v="UNCLASSIFIED"/>
    <m/>
    <s v="Pavement Marking"/>
    <m/>
    <x v="25"/>
    <x v="24"/>
    <n v="925"/>
    <s v="SF"/>
    <x v="3"/>
    <x v="3"/>
    <s v="kw_paving_earthwork"/>
  </r>
  <r>
    <n v="732"/>
    <n v="14"/>
    <n v="25"/>
    <s v="UNCLASSIFIED"/>
    <m/>
    <s v="Blackout and Temporary Pavement Marking"/>
    <m/>
    <x v="493"/>
    <x v="392"/>
    <n v="1983"/>
    <s v="SF"/>
    <x v="3"/>
    <x v="3"/>
    <s v="kw_paving_earthwork"/>
  </r>
  <r>
    <n v="733"/>
    <n v="14"/>
    <n v="26"/>
    <s v="UNCLASSIFIED"/>
    <m/>
    <s v="Signage"/>
    <m/>
    <x v="494"/>
    <x v="393"/>
    <n v="1"/>
    <s v="LS"/>
    <x v="6"/>
    <x v="9"/>
    <s v="kw_airfield_signage"/>
  </r>
  <r>
    <n v="734"/>
    <n v="14"/>
    <n v="27"/>
    <s v="UNCLASSIFIED"/>
    <m/>
    <s v="Fence Fabric Removal"/>
    <m/>
    <x v="495"/>
    <x v="394"/>
    <n v="1024"/>
    <s v="LF"/>
    <x v="2"/>
    <x v="2"/>
    <s v="kw_demo_remediation"/>
  </r>
  <r>
    <n v="735"/>
    <n v="14"/>
    <n v="28"/>
    <s v="UNCLASSIFIED"/>
    <m/>
    <s v="Chain - Link Slatted Fence Fabric"/>
    <s v="6-Foot"/>
    <x v="496"/>
    <x v="395"/>
    <n v="1024"/>
    <s v="LF"/>
    <x v="4"/>
    <x v="4"/>
    <s v="fallback_unmapped"/>
  </r>
  <r>
    <n v="736"/>
    <n v="14"/>
    <n v="29"/>
    <s v="UNCLASSIFIED"/>
    <m/>
    <s v="Area Seeding"/>
    <m/>
    <x v="27"/>
    <x v="26"/>
    <n v="1.08"/>
    <s v="ACRE"/>
    <x v="1"/>
    <x v="1"/>
    <s v="kw_landscape_env"/>
  </r>
  <r>
    <n v="737"/>
    <n v="14"/>
    <n v="30"/>
    <s v="UNCLASSIFIED"/>
    <m/>
    <s v="Electrical"/>
    <m/>
    <x v="497"/>
    <x v="396"/>
    <n v="1"/>
    <s v="LS"/>
    <x v="4"/>
    <x v="4"/>
    <s v="fallback_unmapped"/>
  </r>
  <r>
    <n v="738"/>
    <n v="14"/>
    <n v="31"/>
    <s v="UNCLASSIFIED"/>
    <m/>
    <s v="Level 3"/>
    <s v="3/4-Inch Dense HMAC"/>
    <x v="498"/>
    <x v="158"/>
    <n v="540"/>
    <s v="TON"/>
    <x v="3"/>
    <x v="3"/>
    <s v="kw_paving_earthwork"/>
  </r>
  <r>
    <n v="739"/>
    <n v="14"/>
    <n v="32"/>
    <s v="UNCLASSIFIED"/>
    <m/>
    <s v="Bollards"/>
    <m/>
    <x v="499"/>
    <x v="397"/>
    <n v="8"/>
    <s v="EACH"/>
    <x v="4"/>
    <x v="4"/>
    <s v="fallback_unmapped"/>
  </r>
  <r>
    <n v="740"/>
    <n v="15"/>
    <n v="1"/>
    <n v="12200"/>
    <m/>
    <s v="Security Control Monitoring"/>
    <m/>
    <x v="32"/>
    <x v="31"/>
    <n v="1"/>
    <s v="LS"/>
    <x v="0"/>
    <x v="0"/>
    <s v="spec_temp_traffic"/>
  </r>
  <r>
    <n v="741"/>
    <n v="15"/>
    <n v="2"/>
    <n v="12200"/>
    <m/>
    <s v="Traffic Control"/>
    <m/>
    <x v="111"/>
    <x v="103"/>
    <n v="1"/>
    <s v="LS"/>
    <x v="0"/>
    <x v="0"/>
    <s v="spec_temp_traffic"/>
  </r>
  <r>
    <n v="742"/>
    <n v="15"/>
    <n v="3"/>
    <n v="12200"/>
    <m/>
    <s v="Sweeper"/>
    <m/>
    <x v="31"/>
    <x v="30"/>
    <n v="1"/>
    <s v="LS"/>
    <x v="0"/>
    <x v="0"/>
    <s v="spec_temp_traffic"/>
  </r>
  <r>
    <n v="743"/>
    <n v="15"/>
    <n v="4"/>
    <n v="12200"/>
    <m/>
    <s v="Escort"/>
    <m/>
    <x v="34"/>
    <x v="33"/>
    <n v="1"/>
    <s v="LS"/>
    <x v="0"/>
    <x v="0"/>
    <s v="spec_temp_traffic"/>
  </r>
  <r>
    <n v="744"/>
    <n v="15"/>
    <n v="5"/>
    <n v="15713"/>
    <m/>
    <s v="Inlet Protection"/>
    <m/>
    <x v="37"/>
    <x v="36"/>
    <n v="7"/>
    <s v="EACH"/>
    <x v="0"/>
    <x v="0"/>
    <s v="spec_temp_traffic"/>
  </r>
  <r>
    <n v="745"/>
    <n v="15"/>
    <n v="6"/>
    <s v="C-105"/>
    <m/>
    <s v="Mobilization"/>
    <m/>
    <x v="286"/>
    <x v="235"/>
    <n v="1"/>
    <s v="LS"/>
    <x v="0"/>
    <x v="0"/>
    <s v="spec_temp_traffic"/>
  </r>
  <r>
    <n v="746"/>
    <n v="15"/>
    <n v="7"/>
    <s v="P-101"/>
    <m/>
    <s v="Cold Millling"/>
    <s v="3-Inch Depth"/>
    <x v="500"/>
    <x v="398"/>
    <n v="11580"/>
    <s v="SY"/>
    <x v="3"/>
    <x v="3"/>
    <s v="spec_paving_earthwork"/>
  </r>
  <r>
    <n v="747"/>
    <n v="15"/>
    <n v="8"/>
    <s v="P-101"/>
    <m/>
    <s v="Cold Milling"/>
    <s v="6-Inch Depth"/>
    <x v="501"/>
    <x v="41"/>
    <n v="2680"/>
    <s v="SY"/>
    <x v="3"/>
    <x v="3"/>
    <s v="spec_paving_earthwork"/>
  </r>
  <r>
    <n v="748"/>
    <n v="15"/>
    <n v="9"/>
    <s v="P-401"/>
    <m/>
    <s v="Asphalt Surface Course"/>
    <m/>
    <x v="300"/>
    <x v="239"/>
    <n v="3180"/>
    <s v="TON"/>
    <x v="3"/>
    <x v="3"/>
    <s v="spec_paving_earthwork"/>
  </r>
  <r>
    <n v="749"/>
    <n v="15"/>
    <n v="10"/>
    <s v="P-603"/>
    <m/>
    <s v="Emulsified Asphalt Tack Coat"/>
    <m/>
    <x v="305"/>
    <x v="242"/>
    <n v="1900"/>
    <s v="GAL"/>
    <x v="3"/>
    <x v="3"/>
    <s v="spec_paving_earthwork"/>
  </r>
  <r>
    <n v="750"/>
    <n v="15"/>
    <n v="11"/>
    <s v="P-605"/>
    <m/>
    <s v="Joint Sealing Filler"/>
    <m/>
    <x v="53"/>
    <x v="50"/>
    <n v="16"/>
    <s v="GAL"/>
    <x v="3"/>
    <x v="3"/>
    <s v="spec_paving_earthwork"/>
  </r>
  <r>
    <n v="751"/>
    <n v="15"/>
    <n v="12"/>
    <s v="P-606"/>
    <m/>
    <s v="Adhesive Compound"/>
    <m/>
    <x v="55"/>
    <x v="52"/>
    <n v="26"/>
    <s v="GAL"/>
    <x v="3"/>
    <x v="3"/>
    <s v="spec_paving_earthwork"/>
  </r>
  <r>
    <n v="752"/>
    <n v="15"/>
    <n v="13"/>
    <s v="P-610"/>
    <m/>
    <s v="Concrete"/>
    <m/>
    <x v="311"/>
    <x v="248"/>
    <n v="23"/>
    <s v="CY"/>
    <x v="3"/>
    <x v="3"/>
    <s v="spec_paving_earthwork"/>
  </r>
  <r>
    <n v="753"/>
    <n v="15"/>
    <n v="14"/>
    <s v="P-620"/>
    <m/>
    <s v="Surface Preparation - Remarking"/>
    <m/>
    <x v="502"/>
    <x v="399"/>
    <n v="470"/>
    <s v="SF"/>
    <x v="3"/>
    <x v="3"/>
    <s v="spec_paving_earthwork"/>
  </r>
  <r>
    <n v="754"/>
    <n v="15"/>
    <n v="15"/>
    <s v="P-620"/>
    <m/>
    <s v="Surface Preparation - Remove Existing Marking"/>
    <m/>
    <x v="503"/>
    <x v="400"/>
    <n v="200"/>
    <s v="SF"/>
    <x v="3"/>
    <x v="3"/>
    <s v="spec_paving_earthwork"/>
  </r>
  <r>
    <n v="755"/>
    <n v="15"/>
    <n v="16"/>
    <s v="P-620"/>
    <m/>
    <s v="Marking"/>
    <m/>
    <x v="310"/>
    <x v="247"/>
    <n v="8100"/>
    <s v="SF"/>
    <x v="3"/>
    <x v="3"/>
    <s v="spec_paving_earthwork"/>
  </r>
  <r>
    <n v="756"/>
    <n v="15"/>
    <n v="17"/>
    <s v="P-620"/>
    <m/>
    <s v="Reflective Media"/>
    <m/>
    <x v="63"/>
    <x v="60"/>
    <n v="300"/>
    <s v="LB"/>
    <x v="3"/>
    <x v="3"/>
    <s v="spec_paving_earthwork"/>
  </r>
  <r>
    <n v="757"/>
    <n v="15"/>
    <n v="18"/>
    <s v="P-620"/>
    <m/>
    <s v="Temporary Runway and Taxiway Makrings"/>
    <m/>
    <x v="504"/>
    <x v="401"/>
    <n v="4200"/>
    <s v="SF"/>
    <x v="3"/>
    <x v="3"/>
    <s v="spec_paving_earthwork"/>
  </r>
  <r>
    <n v="758"/>
    <n v="15"/>
    <n v="19"/>
    <s v="L-108"/>
    <m/>
    <s v="No. 8 AWG, 5kV, L-824, Type C Cable"/>
    <m/>
    <x v="505"/>
    <x v="402"/>
    <n v="3300"/>
    <s v="LF"/>
    <x v="6"/>
    <x v="7"/>
    <s v="spec_airfield_lighting"/>
  </r>
  <r>
    <n v="759"/>
    <n v="15"/>
    <n v="20"/>
    <s v="L-108"/>
    <m/>
    <s v="No. 6 AWG, Solid, Bare Counterpoise Wire"/>
    <m/>
    <x v="224"/>
    <x v="177"/>
    <n v="1460"/>
    <s v="LF"/>
    <x v="6"/>
    <x v="7"/>
    <s v="spec_airfield_lighting"/>
  </r>
  <r>
    <n v="760"/>
    <n v="15"/>
    <n v="21"/>
    <s v="L-108"/>
    <m/>
    <s v="Counterpoise Ground Rod"/>
    <m/>
    <x v="506"/>
    <x v="178"/>
    <n v="5"/>
    <s v="EACH"/>
    <x v="6"/>
    <x v="7"/>
    <s v="spec_airfield_lighting"/>
  </r>
  <r>
    <n v="761"/>
    <n v="15"/>
    <n v="22"/>
    <s v="L-110"/>
    <m/>
    <s v="PVC encased in P-610 in Existing AC"/>
    <s v="2-Inch"/>
    <x v="507"/>
    <x v="403"/>
    <n v="1350"/>
    <s v="LF"/>
    <x v="6"/>
    <x v="7"/>
    <s v="spec_airfield_lighting"/>
  </r>
  <r>
    <n v="762"/>
    <n v="15"/>
    <n v="23"/>
    <n v="260500"/>
    <m/>
    <s v="General Electrical Removal"/>
    <m/>
    <x v="83"/>
    <x v="76"/>
    <n v="1"/>
    <s v="LS"/>
    <x v="6"/>
    <x v="8"/>
    <s v="spec_power_distribution"/>
  </r>
  <r>
    <n v="763"/>
    <n v="15"/>
    <n v="24"/>
    <n v="260500"/>
    <m/>
    <s v="Temporary Circuit Connection"/>
    <m/>
    <x v="85"/>
    <x v="78"/>
    <n v="1"/>
    <s v="LS"/>
    <x v="6"/>
    <x v="8"/>
    <s v="spec_power_distribution"/>
  </r>
  <r>
    <n v="764"/>
    <n v="15"/>
    <n v="25"/>
    <n v="344300"/>
    <m/>
    <s v="Reinstall Taxiway Centerline Light on CF Base Can, CF Extenstion, CF Flange Ring, and CF Transformer"/>
    <m/>
    <x v="508"/>
    <x v="404"/>
    <n v="49"/>
    <s v="EACH"/>
    <x v="6"/>
    <x v="7"/>
    <s v="spec_airfield_lighting"/>
  </r>
  <r>
    <n v="765"/>
    <n v="15"/>
    <n v="26"/>
    <n v="344300"/>
    <m/>
    <s v="Reinstall Taxiway Centerline Light on Existing Base Can with CF Transformer"/>
    <m/>
    <x v="509"/>
    <x v="405"/>
    <n v="1"/>
    <s v="EACH"/>
    <x v="6"/>
    <x v="7"/>
    <s v="spec_airfield_lighting"/>
  </r>
  <r>
    <n v="766"/>
    <n v="15"/>
    <n v="27"/>
    <n v="344300"/>
    <m/>
    <s v="Reinstall Taxiway Edge Light on Existing Base Can with Existing Transformer"/>
    <m/>
    <x v="510"/>
    <x v="406"/>
    <n v="11"/>
    <s v="EACH"/>
    <x v="6"/>
    <x v="7"/>
    <s v="spec_airfield_lighting"/>
  </r>
  <r>
    <n v="767"/>
    <n v="16"/>
    <n v="1"/>
    <s v="UNCLASSIFIED"/>
    <m/>
    <s v="Mobilization, Surveying, Cleanup, and Demobilization"/>
    <m/>
    <x v="0"/>
    <x v="0"/>
    <n v="1"/>
    <s v="LS"/>
    <x v="0"/>
    <x v="0"/>
    <s v="kw_temp_traffic"/>
  </r>
  <r>
    <n v="768"/>
    <n v="16"/>
    <n v="2"/>
    <s v="UNCLASSIFIED"/>
    <m/>
    <s v="Traffic Control"/>
    <m/>
    <x v="511"/>
    <x v="407"/>
    <n v="1"/>
    <s v="LS"/>
    <x v="0"/>
    <x v="0"/>
    <s v="kw_temp_traffic"/>
  </r>
  <r>
    <n v="769"/>
    <n v="16"/>
    <n v="3"/>
    <s v="UNCLASSIFIED"/>
    <m/>
    <s v="Sweeper"/>
    <m/>
    <x v="152"/>
    <x v="124"/>
    <n v="1"/>
    <s v="LS"/>
    <x v="0"/>
    <x v="0"/>
    <s v="kw_temp_traffic"/>
  </r>
  <r>
    <n v="770"/>
    <n v="16"/>
    <n v="4"/>
    <s v="UNCLASSIFIED"/>
    <m/>
    <s v="Tree and Plant Protection"/>
    <m/>
    <x v="512"/>
    <x v="408"/>
    <n v="1"/>
    <s v="LS"/>
    <x v="1"/>
    <x v="1"/>
    <s v="kw_landscape_env"/>
  </r>
  <r>
    <n v="771"/>
    <n v="16"/>
    <n v="5"/>
    <s v="UNCLASSIFIED"/>
    <m/>
    <s v="Temporary Erosion, Sediment, and Pollution Control"/>
    <m/>
    <x v="2"/>
    <x v="2"/>
    <n v="1"/>
    <s v="LS"/>
    <x v="1"/>
    <x v="1"/>
    <s v="kw_landscape_env"/>
  </r>
  <r>
    <n v="772"/>
    <n v="16"/>
    <n v="6"/>
    <s v="UNCLASSIFIED"/>
    <m/>
    <s v="Surfacings Removal"/>
    <m/>
    <x v="513"/>
    <x v="409"/>
    <n v="1700"/>
    <s v="SY"/>
    <x v="2"/>
    <x v="2"/>
    <s v="kw_demo_remediation"/>
  </r>
  <r>
    <n v="773"/>
    <n v="16"/>
    <n v="7"/>
    <s v="UNCLASSIFIED"/>
    <m/>
    <s v="Signage"/>
    <m/>
    <x v="494"/>
    <x v="393"/>
    <n v="1"/>
    <s v="LS"/>
    <x v="6"/>
    <x v="9"/>
    <s v="kw_airfield_signage"/>
  </r>
  <r>
    <n v="774"/>
    <n v="16"/>
    <n v="8"/>
    <s v="UNCLASSIFIED"/>
    <m/>
    <s v="PVC Conduit (Power)"/>
    <s v="6 Inch"/>
    <x v="514"/>
    <x v="410"/>
    <n v="6500"/>
    <s v="LF"/>
    <x v="6"/>
    <x v="7"/>
    <s v="kw_airfield_lighting"/>
  </r>
  <r>
    <n v="775"/>
    <n v="16"/>
    <n v="9"/>
    <s v="UNCLASSIFIED"/>
    <m/>
    <s v="PVC Conduit (Power)"/>
    <s v="4 Inch"/>
    <x v="515"/>
    <x v="410"/>
    <n v="1050"/>
    <s v="LF"/>
    <x v="6"/>
    <x v="7"/>
    <s v="kw_airfield_lighting"/>
  </r>
  <r>
    <n v="776"/>
    <n v="16"/>
    <n v="10"/>
    <s v="UNCLASSIFIED"/>
    <m/>
    <s v="PVC Conduit (Power)"/>
    <s v="3 Inch"/>
    <x v="516"/>
    <x v="410"/>
    <n v="350"/>
    <s v="LF"/>
    <x v="6"/>
    <x v="7"/>
    <s v="kw_airfield_lighting"/>
  </r>
  <r>
    <n v="777"/>
    <n v="16"/>
    <n v="11"/>
    <s v="UNCLASSIFIED"/>
    <m/>
    <s v="PVC Conduit (Power)"/>
    <s v="2 Inch"/>
    <x v="517"/>
    <x v="410"/>
    <n v="200"/>
    <s v="LF"/>
    <x v="6"/>
    <x v="7"/>
    <s v="kw_airfield_lighting"/>
  </r>
  <r>
    <n v="778"/>
    <n v="16"/>
    <n v="12"/>
    <s v="UNCLASSIFIED"/>
    <m/>
    <s v="XHHW Conductor - #3 AWG (Power)"/>
    <m/>
    <x v="518"/>
    <x v="411"/>
    <n v="450"/>
    <s v="LF"/>
    <x v="4"/>
    <x v="4"/>
    <s v="fallback_unmapped"/>
  </r>
  <r>
    <n v="779"/>
    <n v="16"/>
    <n v="13"/>
    <s v="UNCLASSIFIED"/>
    <m/>
    <s v="XHHW Conductor - #6 AWG (Power)"/>
    <m/>
    <x v="519"/>
    <x v="412"/>
    <n v="200"/>
    <s v="LF"/>
    <x v="4"/>
    <x v="4"/>
    <s v="fallback_unmapped"/>
  </r>
  <r>
    <n v="780"/>
    <n v="16"/>
    <n v="14"/>
    <s v="UNCLASSIFIED"/>
    <m/>
    <s v="XHHW Conductor - #8 AWG (Power)"/>
    <m/>
    <x v="520"/>
    <x v="413"/>
    <n v="200"/>
    <s v="LF"/>
    <x v="4"/>
    <x v="4"/>
    <s v="fallback_unmapped"/>
  </r>
  <r>
    <n v="781"/>
    <n v="16"/>
    <n v="15"/>
    <s v="UNCLASSIFIED"/>
    <m/>
    <s v="XHHW Conductor - #10 AWG (Power)"/>
    <m/>
    <x v="521"/>
    <x v="414"/>
    <n v="200"/>
    <s v="LF"/>
    <x v="4"/>
    <x v="4"/>
    <s v="fallback_unmapped"/>
  </r>
  <r>
    <n v="782"/>
    <n v="16"/>
    <n v="16"/>
    <s v="UNCLASSIFIED"/>
    <m/>
    <s v="XHHW Conductor - #12 AWG (Power)"/>
    <m/>
    <x v="522"/>
    <x v="415"/>
    <n v="1250"/>
    <s v="LF"/>
    <x v="4"/>
    <x v="4"/>
    <s v="fallback_unmapped"/>
  </r>
  <r>
    <n v="783"/>
    <n v="16"/>
    <n v="17"/>
    <s v="UNCLASSIFIED"/>
    <m/>
    <s v="Electric Utility Meter Base - 200A Direct"/>
    <m/>
    <x v="523"/>
    <x v="416"/>
    <n v="3"/>
    <s v="EACH"/>
    <x v="4"/>
    <x v="4"/>
    <s v="fallback_unmapped"/>
  </r>
  <r>
    <n v="784"/>
    <n v="16"/>
    <n v="18"/>
    <s v="UNCLASSIFIED"/>
    <m/>
    <s v="Metered Switchgear Installation"/>
    <m/>
    <x v="524"/>
    <x v="417"/>
    <n v="1"/>
    <s v="EACH"/>
    <x v="4"/>
    <x v="4"/>
    <s v="fallback_unmapped"/>
  </r>
  <r>
    <n v="785"/>
    <n v="16"/>
    <n v="19"/>
    <s v="UNCLASSIFIED"/>
    <m/>
    <s v="Vault (Power) - 712-SWITCH - PCORP"/>
    <m/>
    <x v="525"/>
    <x v="418"/>
    <n v="1"/>
    <s v="EACH"/>
    <x v="4"/>
    <x v="4"/>
    <s v="fallback_unmapped"/>
  </r>
  <r>
    <n v="786"/>
    <n v="16"/>
    <n v="20"/>
    <s v="UNCLASSIFIED"/>
    <m/>
    <s v="Vault (Power) - 575-TRANS - PCORP"/>
    <m/>
    <x v="526"/>
    <x v="419"/>
    <n v="4"/>
    <s v="EACH"/>
    <x v="4"/>
    <x v="4"/>
    <s v="fallback_unmapped"/>
  </r>
  <r>
    <n v="787"/>
    <n v="16"/>
    <n v="21"/>
    <s v="UNCLASSIFIED"/>
    <m/>
    <s v="Vault (Power)"/>
    <s v="575-PCORP"/>
    <x v="527"/>
    <x v="420"/>
    <n v="2"/>
    <s v="EACH"/>
    <x v="4"/>
    <x v="4"/>
    <s v="fallback_unmapped"/>
  </r>
  <r>
    <n v="788"/>
    <n v="16"/>
    <n v="22"/>
    <s v="UNCLASSIFIED"/>
    <m/>
    <s v="Vault (Power) - 776-TRANS - PCORP"/>
    <m/>
    <x v="528"/>
    <x v="421"/>
    <n v="2"/>
    <s v="EACH"/>
    <x v="4"/>
    <x v="4"/>
    <s v="fallback_unmapped"/>
  </r>
  <r>
    <n v="789"/>
    <n v="16"/>
    <n v="23"/>
    <s v="UNCLASSIFIED"/>
    <m/>
    <s v="Vault (Power) - 776-TRANS - PCORP (Traffic Rated)"/>
    <m/>
    <x v="529"/>
    <x v="422"/>
    <n v="1"/>
    <s v="EACH"/>
    <x v="4"/>
    <x v="4"/>
    <s v="fallback_unmapped"/>
  </r>
  <r>
    <n v="790"/>
    <n v="16"/>
    <n v="24"/>
    <s v="UNCLASSIFIED"/>
    <m/>
    <s v="PVC Conduit (Comm)"/>
    <s v="4 Inch"/>
    <x v="530"/>
    <x v="423"/>
    <n v="12250"/>
    <s v="LF"/>
    <x v="6"/>
    <x v="7"/>
    <s v="kw_airfield_lighting"/>
  </r>
  <r>
    <n v="791"/>
    <n v="16"/>
    <n v="25"/>
    <s v="UNCLASSIFIED"/>
    <m/>
    <s v="HDPE Interduct (Comm) - 1 1/4&quot;"/>
    <m/>
    <x v="531"/>
    <x v="424"/>
    <n v="9300"/>
    <s v="LF"/>
    <x v="4"/>
    <x v="4"/>
    <s v="fallback_unmapped"/>
  </r>
  <r>
    <n v="792"/>
    <n v="16"/>
    <n v="26"/>
    <s v="UNCLASSIFIED"/>
    <m/>
    <s v="Vault (Comm)"/>
    <s v="444-LA"/>
    <x v="532"/>
    <x v="425"/>
    <n v="8"/>
    <s v="EACH"/>
    <x v="4"/>
    <x v="4"/>
    <s v="fallback_unmapped"/>
  </r>
  <r>
    <n v="793"/>
    <n v="16"/>
    <n v="27"/>
    <s v="UNCLASSIFIED"/>
    <m/>
    <s v="Vault (Comm) - 444-LA (Traffic Rated)"/>
    <m/>
    <x v="533"/>
    <x v="426"/>
    <n v="1"/>
    <s v="EACH"/>
    <x v="4"/>
    <x v="4"/>
    <s v="fallback_unmapped"/>
  </r>
  <r>
    <n v="794"/>
    <n v="16"/>
    <n v="28"/>
    <s v="UNCLASSIFIED"/>
    <m/>
    <s v="Demarcation Panel with Receptacles, Heater, and T-Stat"/>
    <m/>
    <x v="534"/>
    <x v="427"/>
    <n v="1"/>
    <s v="EACH"/>
    <x v="6"/>
    <x v="7"/>
    <s v="kw_airfield_lighting"/>
  </r>
  <r>
    <n v="795"/>
    <n v="16"/>
    <n v="29"/>
    <s v="UNCLASSIFIED"/>
    <m/>
    <s v="H-Frame Support"/>
    <m/>
    <x v="535"/>
    <x v="428"/>
    <n v="2"/>
    <s v="EACH"/>
    <x v="4"/>
    <x v="4"/>
    <s v="fallback_unmapped"/>
  </r>
  <r>
    <n v="796"/>
    <n v="16"/>
    <n v="30"/>
    <s v="UNCLASSIFIED"/>
    <m/>
    <s v="Mini - Power Zone"/>
    <s v="10 KVA"/>
    <x v="536"/>
    <x v="429"/>
    <n v="1"/>
    <s v="EACH"/>
    <x v="4"/>
    <x v="4"/>
    <s v="fallback_unmapped"/>
  </r>
  <r>
    <n v="797"/>
    <n v="16"/>
    <n v="31"/>
    <s v="UNCLASSIFIED"/>
    <m/>
    <s v="Panelboard - 480Y/277V, 100A, 3-Phase, NEMA 3R"/>
    <m/>
    <x v="537"/>
    <x v="430"/>
    <n v="1"/>
    <s v="EACH"/>
    <x v="4"/>
    <x v="4"/>
    <s v="fallback_unmapped"/>
  </r>
  <r>
    <n v="798"/>
    <n v="16"/>
    <n v="32"/>
    <s v="UNCLASSIFIED"/>
    <m/>
    <s v="Panelboard - 240/120V, 100A, 1-Phase, NEMA 3R"/>
    <m/>
    <x v="538"/>
    <x v="431"/>
    <n v="1"/>
    <s v="EACH"/>
    <x v="4"/>
    <x v="4"/>
    <s v="fallback_unmapped"/>
  </r>
  <r>
    <n v="799"/>
    <n v="16"/>
    <n v="33"/>
    <s v="UNCLASSIFIED"/>
    <m/>
    <s v="Electrical Demo (Existing ORANG)"/>
    <m/>
    <x v="539"/>
    <x v="432"/>
    <n v="1"/>
    <s v="LS"/>
    <x v="4"/>
    <x v="4"/>
    <s v="fallback_unmapped"/>
  </r>
  <r>
    <n v="800"/>
    <n v="16"/>
    <n v="34"/>
    <s v="UNCLASSIFIED"/>
    <m/>
    <s v="Clearing and Grubbing"/>
    <m/>
    <x v="4"/>
    <x v="4"/>
    <n v="1"/>
    <s v="LS"/>
    <x v="1"/>
    <x v="1"/>
    <s v="kw_landscape_env"/>
  </r>
  <r>
    <n v="801"/>
    <n v="16"/>
    <n v="35"/>
    <s v="UNCLASSIFIED"/>
    <m/>
    <s v="Contaminated Soil Excavation and Disposal"/>
    <m/>
    <x v="162"/>
    <x v="134"/>
    <n v="2900"/>
    <s v="CY"/>
    <x v="3"/>
    <x v="3"/>
    <s v="kw_paving_earthwork"/>
  </r>
  <r>
    <n v="802"/>
    <n v="16"/>
    <n v="36"/>
    <s v="UNCLASSIFIED"/>
    <m/>
    <s v="Trench Excavation"/>
    <m/>
    <x v="540"/>
    <x v="433"/>
    <n v="4800"/>
    <s v="CY"/>
    <x v="3"/>
    <x v="3"/>
    <s v="kw_paving_earthwork"/>
  </r>
  <r>
    <n v="803"/>
    <n v="16"/>
    <n v="37"/>
    <s v="UNCLASSIFIED"/>
    <m/>
    <s v="Trenchless Installation"/>
    <m/>
    <x v="541"/>
    <x v="434"/>
    <n v="330"/>
    <s v="LF"/>
    <x v="4"/>
    <x v="4"/>
    <s v="fallback_unmapped"/>
  </r>
  <r>
    <n v="804"/>
    <n v="16"/>
    <n v="38"/>
    <s v="UNCLASSIFIED"/>
    <m/>
    <s v="Bedding and Pipe Zone Material"/>
    <m/>
    <x v="542"/>
    <x v="435"/>
    <n v="2300"/>
    <s v="CY"/>
    <x v="5"/>
    <x v="5"/>
    <s v="kw_piping_drainage"/>
  </r>
  <r>
    <n v="805"/>
    <n v="16"/>
    <n v="39"/>
    <s v="UNCLASSIFIED"/>
    <m/>
    <s v="Trench Stabilization"/>
    <m/>
    <x v="12"/>
    <x v="12"/>
    <n v="250"/>
    <s v="CY"/>
    <x v="3"/>
    <x v="3"/>
    <s v="kw_paving_earthwork"/>
  </r>
  <r>
    <n v="806"/>
    <n v="16"/>
    <n v="40"/>
    <s v="UNCLASSIFIED"/>
    <m/>
    <s v="Level 3"/>
    <s v="1/2-Inch Dense HMAC"/>
    <x v="193"/>
    <x v="158"/>
    <n v="400"/>
    <s v="TON"/>
    <x v="3"/>
    <x v="3"/>
    <s v="kw_paving_earthwork"/>
  </r>
  <r>
    <n v="807"/>
    <n v="16"/>
    <n v="41"/>
    <s v="UNCLASSIFIED"/>
    <m/>
    <s v="Crack Seal"/>
    <m/>
    <x v="543"/>
    <x v="436"/>
    <n v="7950"/>
    <s v="LF"/>
    <x v="4"/>
    <x v="4"/>
    <s v="fallback_unmapped"/>
  </r>
  <r>
    <n v="808"/>
    <n v="16"/>
    <n v="42"/>
    <s v="UNCLASSIFIED"/>
    <m/>
    <s v="Aggregate Base Course"/>
    <m/>
    <x v="23"/>
    <x v="22"/>
    <n v="550"/>
    <s v="CY"/>
    <x v="3"/>
    <x v="3"/>
    <s v="kw_paving_earthwork"/>
  </r>
  <r>
    <n v="809"/>
    <n v="16"/>
    <n v="43"/>
    <s v="UNCLASSIFIED"/>
    <m/>
    <s v="Reinforced Concrete Pad"/>
    <m/>
    <x v="544"/>
    <x v="437"/>
    <n v="840"/>
    <s v="SF"/>
    <x v="4"/>
    <x v="4"/>
    <s v="fallback_unmapped"/>
  </r>
  <r>
    <n v="810"/>
    <n v="16"/>
    <n v="44"/>
    <s v="UNCLASSIFIED"/>
    <m/>
    <s v="Cast - In-Place Concrete Curb"/>
    <m/>
    <x v="545"/>
    <x v="438"/>
    <n v="220"/>
    <s v="LF"/>
    <x v="3"/>
    <x v="3"/>
    <s v="kw_paving_earthwork"/>
  </r>
  <r>
    <n v="811"/>
    <n v="16"/>
    <n v="45"/>
    <s v="UNCLASSIFIED"/>
    <m/>
    <s v="Concrete Sidewalk"/>
    <m/>
    <x v="546"/>
    <x v="439"/>
    <n v="500"/>
    <s v="SF"/>
    <x v="3"/>
    <x v="3"/>
    <s v="kw_paving_earthwork"/>
  </r>
  <r>
    <n v="812"/>
    <n v="16"/>
    <n v="46"/>
    <s v="UNCLASSIFIED"/>
    <m/>
    <s v="Pavement Marking"/>
    <m/>
    <x v="25"/>
    <x v="24"/>
    <n v="2000"/>
    <s v="SF"/>
    <x v="3"/>
    <x v="3"/>
    <s v="kw_paving_earthwork"/>
  </r>
  <r>
    <n v="813"/>
    <n v="16"/>
    <n v="47"/>
    <s v="UNCLASSIFIED"/>
    <m/>
    <s v="One - Year Landscape Maintenance"/>
    <m/>
    <x v="547"/>
    <x v="440"/>
    <n v="1"/>
    <s v="LS"/>
    <x v="1"/>
    <x v="1"/>
    <s v="kw_landscape_env"/>
  </r>
  <r>
    <n v="814"/>
    <n v="16"/>
    <n v="48"/>
    <s v="UNCLASSIFIED"/>
    <m/>
    <s v="Area Seeding"/>
    <m/>
    <x v="27"/>
    <x v="26"/>
    <n v="0.5"/>
    <s v="ACRE"/>
    <x v="1"/>
    <x v="1"/>
    <s v="kw_landscape_env"/>
  </r>
  <r>
    <n v="815"/>
    <n v="16"/>
    <n v="49"/>
    <s v="UNCLASSIFIED"/>
    <m/>
    <s v="Mulch"/>
    <m/>
    <x v="548"/>
    <x v="441"/>
    <n v="220"/>
    <s v="SY"/>
    <x v="4"/>
    <x v="4"/>
    <s v="fallback_unmapped"/>
  </r>
  <r>
    <n v="816"/>
    <n v="16"/>
    <n v="50"/>
    <s v="UNCLASSIFIED"/>
    <m/>
    <s v="Irrigation Replacement"/>
    <m/>
    <x v="549"/>
    <x v="442"/>
    <n v="1"/>
    <s v="LS"/>
    <x v="1"/>
    <x v="1"/>
    <s v="kw_landscape_env"/>
  </r>
  <r>
    <n v="817"/>
    <n v="16"/>
    <n v="51"/>
    <s v="UNCLASSIFIED"/>
    <m/>
    <s v="DR9 Pex Water Pipe"/>
    <s v="3-Inch"/>
    <x v="550"/>
    <x v="443"/>
    <n v="860"/>
    <s v="LF"/>
    <x v="5"/>
    <x v="5"/>
    <s v="kw_piping_drainage"/>
  </r>
  <r>
    <n v="818"/>
    <n v="16"/>
    <n v="52"/>
    <s v="UNCLASSIFIED"/>
    <m/>
    <s v="DIP Water Pipe"/>
    <s v="4-Inch"/>
    <x v="551"/>
    <x v="444"/>
    <n v="1260"/>
    <s v="LF"/>
    <x v="5"/>
    <x v="5"/>
    <s v="kw_piping_drainage"/>
  </r>
  <r>
    <n v="819"/>
    <n v="16"/>
    <n v="53"/>
    <s v="UNCLASSIFIED"/>
    <m/>
    <s v="DIP Water Pipe"/>
    <s v="12-Inch"/>
    <x v="552"/>
    <x v="444"/>
    <n v="110"/>
    <s v="LF"/>
    <x v="5"/>
    <x v="5"/>
    <s v="kw_piping_drainage"/>
  </r>
  <r>
    <n v="820"/>
    <n v="16"/>
    <n v="54"/>
    <s v="UNCLASSIFIED"/>
    <m/>
    <s v="DIP Water Pipe"/>
    <s v="16-Inch"/>
    <x v="553"/>
    <x v="444"/>
    <n v="1800"/>
    <s v="LF"/>
    <x v="5"/>
    <x v="5"/>
    <s v="kw_piping_drainage"/>
  </r>
  <r>
    <n v="821"/>
    <n v="16"/>
    <n v="55"/>
    <s v="UNCLASSIFIED"/>
    <m/>
    <s v="Reduced Pressure Backflow Assembly and Enclosure"/>
    <s v="4-Inch"/>
    <x v="554"/>
    <x v="445"/>
    <n v="1"/>
    <s v="LS"/>
    <x v="4"/>
    <x v="4"/>
    <s v="fallback_unmapped"/>
  </r>
  <r>
    <n v="822"/>
    <n v="16"/>
    <n v="56"/>
    <s v="UNCLASSIFIED"/>
    <m/>
    <s v="Reduced Pressure Detector Assembly and Enclosure"/>
    <s v="16-Inch"/>
    <x v="555"/>
    <x v="446"/>
    <n v="1"/>
    <s v="LS"/>
    <x v="4"/>
    <x v="4"/>
    <s v="fallback_unmapped"/>
  </r>
  <r>
    <n v="823"/>
    <n v="16"/>
    <n v="57"/>
    <s v="UNCLASSIFIED"/>
    <m/>
    <s v="Gate Valve"/>
    <s v="3-Inch"/>
    <x v="556"/>
    <x v="230"/>
    <n v="4"/>
    <s v="EACH"/>
    <x v="5"/>
    <x v="5"/>
    <s v="kw_piping_drainage"/>
  </r>
  <r>
    <n v="824"/>
    <n v="16"/>
    <n v="58"/>
    <s v="UNCLASSIFIED"/>
    <m/>
    <s v="Gate Valve"/>
    <s v="4-Inch"/>
    <x v="280"/>
    <x v="230"/>
    <n v="1"/>
    <s v="EACH"/>
    <x v="5"/>
    <x v="5"/>
    <s v="kw_piping_drainage"/>
  </r>
  <r>
    <n v="825"/>
    <n v="16"/>
    <n v="59"/>
    <s v="UNCLASSIFIED"/>
    <m/>
    <s v="Gate Valve"/>
    <s v="8-Inch"/>
    <x v="557"/>
    <x v="230"/>
    <n v="1"/>
    <s v="EACH"/>
    <x v="5"/>
    <x v="5"/>
    <s v="kw_piping_drainage"/>
  </r>
  <r>
    <n v="826"/>
    <n v="16"/>
    <n v="60"/>
    <s v="UNCLASSIFIED"/>
    <m/>
    <s v="Butterfly Valve"/>
    <s v="16-Inch"/>
    <x v="558"/>
    <x v="447"/>
    <n v="2"/>
    <s v="EACH"/>
    <x v="5"/>
    <x v="5"/>
    <s v="kw_piping_drainage"/>
  </r>
  <r>
    <n v="827"/>
    <n v="16"/>
    <n v="61"/>
    <s v="UNCLASSIFIED"/>
    <m/>
    <s v="Water Meter"/>
    <s v="2-Inch"/>
    <x v="559"/>
    <x v="448"/>
    <n v="2"/>
    <s v="EACH"/>
    <x v="4"/>
    <x v="4"/>
    <s v="fallback_unmapped"/>
  </r>
  <r>
    <n v="828"/>
    <n v="16"/>
    <n v="62"/>
    <s v="UNCLASSIFIED"/>
    <m/>
    <s v="Air Release Valve Assembly"/>
    <s v="2-Inch"/>
    <x v="560"/>
    <x v="449"/>
    <n v="4"/>
    <s v="EACH"/>
    <x v="5"/>
    <x v="5"/>
    <s v="kw_piping_drainage"/>
  </r>
  <r>
    <n v="829"/>
    <n v="16"/>
    <n v="63"/>
    <s v="UNCLASSIFIED"/>
    <m/>
    <s v="Central Water Meter Vault and Manifold"/>
    <m/>
    <x v="561"/>
    <x v="450"/>
    <n v="1"/>
    <s v="LS"/>
    <x v="4"/>
    <x v="4"/>
    <s v="fallback_unmapped"/>
  </r>
  <r>
    <n v="830"/>
    <n v="16"/>
    <n v="64"/>
    <s v="UNCLASSIFIED"/>
    <m/>
    <s v="Landside Utility Disconnections"/>
    <m/>
    <x v="562"/>
    <x v="451"/>
    <n v="7"/>
    <s v="EACH"/>
    <x v="4"/>
    <x v="4"/>
    <s v="fallback_unmapped"/>
  </r>
  <r>
    <n v="831"/>
    <n v="16"/>
    <n v="65"/>
    <s v="UNCLASSIFIED"/>
    <m/>
    <s v="Airfield Fire Water Disconnection"/>
    <m/>
    <x v="563"/>
    <x v="452"/>
    <n v="1"/>
    <s v="LS"/>
    <x v="4"/>
    <x v="4"/>
    <s v="fallback_unmapped"/>
  </r>
  <r>
    <n v="832"/>
    <n v="16"/>
    <n v="66"/>
    <s v="UNCLASSIFIED"/>
    <m/>
    <s v="Fire Hydrant Assembly"/>
    <m/>
    <x v="564"/>
    <x v="453"/>
    <n v="6"/>
    <s v="EACH"/>
    <x v="5"/>
    <x v="5"/>
    <s v="kw_piping_drainage"/>
  </r>
  <r>
    <n v="833"/>
    <n v="16"/>
    <n v="67"/>
    <s v="UNCLASSIFIED"/>
    <m/>
    <s v="Manhole and Catch Basin Adjustment"/>
    <m/>
    <x v="565"/>
    <x v="454"/>
    <n v="5"/>
    <s v="EACH"/>
    <x v="5"/>
    <x v="5"/>
    <s v="kw_piping_drainage"/>
  </r>
  <r>
    <n v="834"/>
    <n v="17"/>
    <s v="1-001"/>
    <s v="UNCLASSIFIED"/>
    <m/>
    <s v="Mobilization, Surveying, Cleanup, and Demobilization"/>
    <m/>
    <x v="0"/>
    <x v="0"/>
    <n v="1"/>
    <s v="LS"/>
    <x v="0"/>
    <x v="0"/>
    <s v="kw_temp_traffic"/>
  </r>
  <r>
    <n v="835"/>
    <n v="17"/>
    <s v="1-002"/>
    <s v="UNCLASSIFIED"/>
    <m/>
    <s v="Sweeper"/>
    <m/>
    <x v="152"/>
    <x v="124"/>
    <n v="1"/>
    <s v="LS"/>
    <x v="0"/>
    <x v="0"/>
    <s v="kw_temp_traffic"/>
  </r>
  <r>
    <n v="836"/>
    <n v="17"/>
    <s v="1-003"/>
    <s v="UNCLASSIFIED"/>
    <m/>
    <s v="Work Zone Traffic Control"/>
    <m/>
    <x v="1"/>
    <x v="1"/>
    <n v="1"/>
    <s v="LS"/>
    <x v="0"/>
    <x v="0"/>
    <s v="kw_temp_traffic"/>
  </r>
  <r>
    <n v="837"/>
    <n v="17"/>
    <s v="1-004"/>
    <s v="UNCLASSIFIED"/>
    <m/>
    <s v="Temporary Erosion, Sediment, and Pollution Control"/>
    <m/>
    <x v="2"/>
    <x v="2"/>
    <n v="1"/>
    <s v="LS"/>
    <x v="1"/>
    <x v="1"/>
    <s v="kw_landscape_env"/>
  </r>
  <r>
    <n v="838"/>
    <n v="17"/>
    <s v="1-005"/>
    <s v="UNCLASSIFIED"/>
    <m/>
    <s v="Building Removal and Backfill"/>
    <m/>
    <x v="566"/>
    <x v="455"/>
    <n v="1"/>
    <s v="LS"/>
    <x v="2"/>
    <x v="2"/>
    <s v="kw_demo_remediation"/>
  </r>
  <r>
    <n v="839"/>
    <n v="17"/>
    <s v="1-006"/>
    <s v="UNCLASSIFIED"/>
    <m/>
    <s v="Concrete Winch House Removal and Backfill"/>
    <m/>
    <x v="567"/>
    <x v="456"/>
    <n v="1"/>
    <s v="LS"/>
    <x v="2"/>
    <x v="2"/>
    <s v="kw_demo_remediation"/>
  </r>
  <r>
    <n v="840"/>
    <n v="17"/>
    <s v="1-007"/>
    <s v="UNCLASSIFIED"/>
    <m/>
    <s v="Water Well Decommission"/>
    <m/>
    <x v="568"/>
    <x v="457"/>
    <n v="1"/>
    <s v="LS"/>
    <x v="4"/>
    <x v="4"/>
    <s v="fallback_unmapped"/>
  </r>
  <r>
    <n v="841"/>
    <n v="17"/>
    <s v="1-008"/>
    <s v="UNCLASSIFIED"/>
    <m/>
    <s v="Concrete Removal and Backfill"/>
    <m/>
    <x v="569"/>
    <x v="458"/>
    <n v="1"/>
    <s v="LS"/>
    <x v="2"/>
    <x v="2"/>
    <s v="kw_demo_remediation"/>
  </r>
  <r>
    <n v="842"/>
    <n v="17"/>
    <s v="1-009"/>
    <s v="UNCLASSIFIED"/>
    <m/>
    <s v="Pavement Removal"/>
    <m/>
    <x v="159"/>
    <x v="131"/>
    <n v="207"/>
    <s v="S.Y."/>
    <x v="3"/>
    <x v="3"/>
    <s v="kw_paving_earthwork"/>
  </r>
  <r>
    <n v="843"/>
    <n v="17"/>
    <s v="1-010"/>
    <s v="UNCLASSIFIED"/>
    <m/>
    <s v="Aggregate Removal and Disposal"/>
    <m/>
    <x v="570"/>
    <x v="459"/>
    <n v="335"/>
    <s v="C.Y."/>
    <x v="2"/>
    <x v="2"/>
    <s v="kw_demo_remediation"/>
  </r>
  <r>
    <n v="844"/>
    <n v="17"/>
    <s v="1-011"/>
    <s v="UNCLASSIFIED"/>
    <m/>
    <s v="Septic Tank and Drain Field Removal"/>
    <m/>
    <x v="571"/>
    <x v="460"/>
    <n v="1"/>
    <s v="LS"/>
    <x v="5"/>
    <x v="5"/>
    <s v="kw_piping_drainage"/>
  </r>
  <r>
    <n v="845"/>
    <n v="17"/>
    <s v="1-012"/>
    <s v="UNCLASSIFIED"/>
    <m/>
    <s v="Utility Removal, Relocation, and Backfill"/>
    <m/>
    <x v="572"/>
    <x v="461"/>
    <n v="1"/>
    <s v="LS"/>
    <x v="2"/>
    <x v="2"/>
    <s v="kw_demo_remediation"/>
  </r>
  <r>
    <n v="846"/>
    <n v="17"/>
    <s v="1-013"/>
    <s v="UNCLASSIFIED"/>
    <m/>
    <s v="Common Excavation"/>
    <m/>
    <x v="160"/>
    <x v="132"/>
    <n v="411"/>
    <s v="C.Y."/>
    <x v="3"/>
    <x v="3"/>
    <s v="kw_paving_earthwork"/>
  </r>
  <r>
    <n v="847"/>
    <n v="17"/>
    <s v="1-014"/>
    <s v="UNCLASSIFIED"/>
    <m/>
    <s v="Miscellaneous Removals and Backfill"/>
    <m/>
    <x v="573"/>
    <x v="462"/>
    <n v="1"/>
    <s v="LS"/>
    <x v="4"/>
    <x v="4"/>
    <s v="fallback_unmapped"/>
  </r>
  <r>
    <n v="848"/>
    <n v="17"/>
    <s v="1-015"/>
    <s v="UNCLASSIFIED"/>
    <m/>
    <s v="Area Seeding"/>
    <m/>
    <x v="27"/>
    <x v="26"/>
    <n v="0.84"/>
    <s v="ACRE"/>
    <x v="1"/>
    <x v="1"/>
    <s v="kw_landscape_env"/>
  </r>
  <r>
    <n v="849"/>
    <n v="17"/>
    <s v="1-016"/>
    <s v="UNCLASSIFIED"/>
    <m/>
    <s v="Fill Material, Top Soil"/>
    <m/>
    <x v="574"/>
    <x v="463"/>
    <n v="675"/>
    <s v="C.Y."/>
    <x v="4"/>
    <x v="4"/>
    <s v="fallback_unmapped"/>
  </r>
  <r>
    <n v="850"/>
    <n v="17"/>
    <s v="1-017"/>
    <s v="UNCLASSIFIED"/>
    <m/>
    <s v="Loose Riprap, Class 50"/>
    <m/>
    <x v="575"/>
    <x v="464"/>
    <n v="2.04"/>
    <s v="C.Y."/>
    <x v="1"/>
    <x v="1"/>
    <s v="kw_landscape_env"/>
  </r>
  <r>
    <n v="851"/>
    <n v="17"/>
    <s v="1-018"/>
    <s v="UNCLASSIFIED"/>
    <m/>
    <s v="Lead Paint Chip Removal"/>
    <m/>
    <x v="576"/>
    <x v="465"/>
    <n v="1"/>
    <s v="LS"/>
    <x v="2"/>
    <x v="2"/>
    <s v="kw_demo_remediation"/>
  </r>
  <r>
    <n v="852"/>
    <n v="17"/>
    <s v="2-001"/>
    <s v="UNCLASSIFIED"/>
    <m/>
    <s v="One - Year Landscape Maintenance"/>
    <m/>
    <x v="547"/>
    <x v="440"/>
    <n v="1"/>
    <s v="L.S."/>
    <x v="1"/>
    <x v="1"/>
    <s v="kw_landscape_env"/>
  </r>
  <r>
    <n v="853"/>
    <n v="18"/>
    <n v="1"/>
    <n v="12200"/>
    <m/>
    <s v="Mobilization, Surveying, Cleanup, and Demobilization"/>
    <m/>
    <x v="246"/>
    <x v="199"/>
    <n v="1"/>
    <s v="LS"/>
    <x v="0"/>
    <x v="0"/>
    <s v="spec_temp_traffic"/>
  </r>
  <r>
    <n v="854"/>
    <n v="18"/>
    <n v="2"/>
    <n v="12200"/>
    <m/>
    <s v="Work Zone and Traffic Control"/>
    <m/>
    <x v="33"/>
    <x v="32"/>
    <n v="1"/>
    <s v="LS"/>
    <x v="0"/>
    <x v="0"/>
    <s v="spec_temp_traffic"/>
  </r>
  <r>
    <n v="855"/>
    <n v="18"/>
    <n v="3"/>
    <n v="12200"/>
    <m/>
    <s v="Sweeper"/>
    <m/>
    <x v="31"/>
    <x v="30"/>
    <n v="1"/>
    <s v="LS"/>
    <x v="0"/>
    <x v="0"/>
    <s v="spec_temp_traffic"/>
  </r>
  <r>
    <n v="856"/>
    <n v="18"/>
    <n v="4"/>
    <n v="15713"/>
    <m/>
    <s v="Inlet Protection"/>
    <m/>
    <x v="37"/>
    <x v="36"/>
    <n v="13"/>
    <s v="EACH"/>
    <x v="0"/>
    <x v="0"/>
    <s v="spec_temp_traffic"/>
  </r>
  <r>
    <n v="857"/>
    <n v="18"/>
    <n v="5"/>
    <s v="P-620"/>
    <m/>
    <s v="Surface Preparation - Remove Existing Markings"/>
    <m/>
    <x v="309"/>
    <x v="246"/>
    <n v="59920"/>
    <s v="SF"/>
    <x v="3"/>
    <x v="3"/>
    <s v="spec_paving_earthwork"/>
  </r>
  <r>
    <n v="858"/>
    <n v="18"/>
    <n v="6"/>
    <s v="P-620"/>
    <m/>
    <s v="Pavement Markings"/>
    <m/>
    <x v="577"/>
    <x v="466"/>
    <n v="56090"/>
    <s v="SF"/>
    <x v="3"/>
    <x v="3"/>
    <s v="spec_paving_earthwork"/>
  </r>
  <r>
    <n v="859"/>
    <n v="18"/>
    <n v="7"/>
    <s v="P-620"/>
    <m/>
    <s v="Reflective Media"/>
    <m/>
    <x v="63"/>
    <x v="60"/>
    <n v="3420"/>
    <s v="LB"/>
    <x v="3"/>
    <x v="3"/>
    <s v="spec_paving_earthwork"/>
  </r>
  <r>
    <n v="860"/>
    <n v="18"/>
    <n v="8"/>
    <s v="P-620"/>
    <m/>
    <s v="Temporary Pavement Markings"/>
    <m/>
    <x v="578"/>
    <x v="467"/>
    <n v="56090"/>
    <s v="SF"/>
    <x v="3"/>
    <x v="3"/>
    <s v="spec_paving_earthwork"/>
  </r>
  <r>
    <n v="861"/>
    <n v="18"/>
    <n v="9"/>
    <s v="P-626"/>
    <m/>
    <s v="Slurry Seal"/>
    <m/>
    <x v="579"/>
    <x v="468"/>
    <n v="83900"/>
    <s v="SY"/>
    <x v="3"/>
    <x v="3"/>
    <s v="spec_paving_earthwork"/>
  </r>
  <r>
    <n v="862"/>
    <n v="18"/>
    <n v="10"/>
    <n v="320117"/>
    <m/>
    <s v="Asphalt Pavement Removal"/>
    <s v="2-3 Inch Depth"/>
    <x v="580"/>
    <x v="469"/>
    <n v="160"/>
    <s v="SY"/>
    <x v="3"/>
    <x v="3"/>
    <s v="spec_paving_earthwork"/>
  </r>
  <r>
    <n v="863"/>
    <n v="18"/>
    <n v="11"/>
    <n v="320117"/>
    <m/>
    <s v="Asphalt Concrete Surface Course"/>
    <m/>
    <x v="581"/>
    <x v="470"/>
    <n v="30"/>
    <s v="TON"/>
    <x v="3"/>
    <x v="3"/>
    <s v="spec_paving_earthwork"/>
  </r>
  <r>
    <n v="864"/>
    <n v="18"/>
    <n v="12"/>
    <n v="320118"/>
    <m/>
    <s v="Crack Repair"/>
    <m/>
    <x v="582"/>
    <x v="471"/>
    <n v="4500"/>
    <s v="LF"/>
    <x v="3"/>
    <x v="3"/>
    <s v="spec_paving_earthwork"/>
  </r>
  <r>
    <n v="865"/>
    <n v="18"/>
    <n v="13"/>
    <n v="260500"/>
    <m/>
    <s v="General Electrical Removal"/>
    <m/>
    <x v="83"/>
    <x v="76"/>
    <n v="1"/>
    <s v="LS"/>
    <x v="6"/>
    <x v="8"/>
    <s v="spec_power_distribution"/>
  </r>
  <r>
    <n v="866"/>
    <n v="18"/>
    <n v="14"/>
    <n v="260500"/>
    <m/>
    <s v="Temporary Circuit Connection"/>
    <m/>
    <x v="85"/>
    <x v="78"/>
    <n v="1"/>
    <s v="LS"/>
    <x v="6"/>
    <x v="8"/>
    <s v="spec_power_distribution"/>
  </r>
  <r>
    <n v="867"/>
    <n v="18"/>
    <n v="15"/>
    <n v="344300"/>
    <m/>
    <s v="Install PF LED Elevated Runway End/Threshold Light on Existing Base Can with PF Transformer"/>
    <m/>
    <x v="583"/>
    <x v="472"/>
    <n v="14"/>
    <s v="EACH"/>
    <x v="6"/>
    <x v="7"/>
    <s v="spec_airfield_lighting"/>
  </r>
  <r>
    <n v="868"/>
    <n v="18"/>
    <n v="16"/>
    <n v="344300"/>
    <m/>
    <s v="Install PF LED Elevated Runway Edge Light on Existing Base Can with PF Transformer"/>
    <m/>
    <x v="584"/>
    <x v="473"/>
    <n v="43"/>
    <s v="EACH"/>
    <x v="6"/>
    <x v="7"/>
    <s v="spec_airfield_lighting"/>
  </r>
  <r>
    <n v="869"/>
    <n v="18"/>
    <n v="17"/>
    <n v="344300"/>
    <m/>
    <s v="Install PF LED In-Pavement Runway Edge Light on Existing Base Can with PF Transformer"/>
    <m/>
    <x v="585"/>
    <x v="474"/>
    <n v="1"/>
    <s v="EACH"/>
    <x v="6"/>
    <x v="7"/>
    <s v="spec_airfield_lighting"/>
  </r>
  <r>
    <n v="870"/>
    <n v="18"/>
    <n v="18"/>
    <n v="344300"/>
    <m/>
    <s v="Install PF Cover Plate on Existing Base Can with PF Bolts"/>
    <m/>
    <x v="586"/>
    <x v="475"/>
    <n v="50"/>
    <s v="EACH"/>
    <x v="6"/>
    <x v="7"/>
    <s v="spec_airfield_lighting"/>
  </r>
  <r>
    <n v="871"/>
    <n v="18"/>
    <n v="19"/>
    <n v="344300"/>
    <m/>
    <s v="Install PF Taxiway Edge Reflector"/>
    <m/>
    <x v="587"/>
    <x v="476"/>
    <n v="7"/>
    <s v="EACH"/>
    <x v="6"/>
    <x v="7"/>
    <s v="spec_airfield_lighting"/>
  </r>
  <r>
    <n v="872"/>
    <n v="18"/>
    <n v="20"/>
    <n v="344302"/>
    <m/>
    <s v="Sign A1-1"/>
    <m/>
    <x v="588"/>
    <x v="477"/>
    <n v="1"/>
    <s v="LS"/>
    <x v="6"/>
    <x v="9"/>
    <s v="spec_airfield_signage"/>
  </r>
  <r>
    <n v="873"/>
    <n v="18"/>
    <n v="21"/>
    <n v="344302"/>
    <m/>
    <s v="Sign A7-2"/>
    <m/>
    <x v="589"/>
    <x v="478"/>
    <n v="1"/>
    <s v="LS"/>
    <x v="6"/>
    <x v="9"/>
    <s v="spec_airfield_signage"/>
  </r>
  <r>
    <n v="874"/>
    <n v="18"/>
    <n v="22"/>
    <n v="344302"/>
    <m/>
    <s v="Sign A8-1"/>
    <m/>
    <x v="590"/>
    <x v="479"/>
    <n v="1"/>
    <s v="LS"/>
    <x v="6"/>
    <x v="9"/>
    <s v="spec_airfield_signage"/>
  </r>
  <r>
    <n v="875"/>
    <n v="18"/>
    <n v="23"/>
    <n v="344302"/>
    <m/>
    <s v="Sign A8-2"/>
    <m/>
    <x v="591"/>
    <x v="480"/>
    <n v="1"/>
    <s v="LS"/>
    <x v="6"/>
    <x v="9"/>
    <s v="spec_airfield_signage"/>
  </r>
  <r>
    <n v="876"/>
    <n v="18"/>
    <n v="24"/>
    <n v="344302"/>
    <m/>
    <s v="Sign B1-1"/>
    <m/>
    <x v="592"/>
    <x v="481"/>
    <n v="1"/>
    <s v="LS"/>
    <x v="6"/>
    <x v="9"/>
    <s v="spec_airfield_signage"/>
  </r>
  <r>
    <n v="877"/>
    <n v="18"/>
    <n v="25"/>
    <n v="344302"/>
    <m/>
    <s v="Sign B7-1"/>
    <m/>
    <x v="593"/>
    <x v="482"/>
    <n v="1"/>
    <s v="LS"/>
    <x v="6"/>
    <x v="9"/>
    <s v="spec_airfield_signage"/>
  </r>
  <r>
    <n v="878"/>
    <n v="18"/>
    <n v="26"/>
    <n v="344302"/>
    <m/>
    <s v="Sign B8-1"/>
    <m/>
    <x v="594"/>
    <x v="483"/>
    <n v="1"/>
    <s v="LS"/>
    <x v="6"/>
    <x v="9"/>
    <s v="spec_airfield_signage"/>
  </r>
  <r>
    <n v="879"/>
    <n v="18"/>
    <n v="27"/>
    <s v="UNCLASSIFIED"/>
    <m/>
    <s v="Sign UL-1 Section 344302)"/>
    <m/>
    <x v="595"/>
    <x v="484"/>
    <n v="1"/>
    <s v="LS"/>
    <x v="6"/>
    <x v="9"/>
    <s v="kw_airfield_signage"/>
  </r>
  <r>
    <n v="880"/>
    <n v="18"/>
    <n v="28"/>
    <n v="344302"/>
    <m/>
    <s v="Sign UL-2"/>
    <m/>
    <x v="596"/>
    <x v="485"/>
    <n v="1"/>
    <s v="LS"/>
    <x v="6"/>
    <x v="9"/>
    <s v="spec_airfield_signage"/>
  </r>
  <r>
    <n v="881"/>
    <n v="19"/>
    <n v="1"/>
    <s v="UNCLASSIFIED"/>
    <m/>
    <s v="Mobilization, Surveying, Cleanup, and Demobilization"/>
    <m/>
    <x v="0"/>
    <x v="0"/>
    <n v="1"/>
    <s v="LS"/>
    <x v="0"/>
    <x v="0"/>
    <s v="kw_temp_traffic"/>
  </r>
  <r>
    <n v="882"/>
    <n v="19"/>
    <n v="2"/>
    <s v="UNCLASSIFIED"/>
    <m/>
    <s v="Barge and Access Equipment"/>
    <m/>
    <x v="597"/>
    <x v="486"/>
    <n v="1"/>
    <s v="LS"/>
    <x v="4"/>
    <x v="4"/>
    <s v="fallback_unmapped"/>
  </r>
  <r>
    <n v="883"/>
    <n v="19"/>
    <n v="3"/>
    <s v="UNCLASSIFIED"/>
    <m/>
    <s v="Containment"/>
    <m/>
    <x v="598"/>
    <x v="487"/>
    <n v="1"/>
    <s v="LS"/>
    <x v="4"/>
    <x v="4"/>
    <s v="fallback_unmapped"/>
  </r>
  <r>
    <n v="884"/>
    <n v="19"/>
    <n v="4"/>
    <s v="UNCLASSIFIED"/>
    <m/>
    <s v="Hollow Core Deck Panel Replacement"/>
    <m/>
    <x v="599"/>
    <x v="488"/>
    <n v="2"/>
    <s v="EACH"/>
    <x v="6"/>
    <x v="7"/>
    <s v="kw_airfield_lighting"/>
  </r>
  <r>
    <n v="885"/>
    <n v="19"/>
    <n v="5"/>
    <s v="UNCLASSIFIED"/>
    <m/>
    <s v="Deck Crack Repair"/>
    <m/>
    <x v="600"/>
    <x v="489"/>
    <n v="1386"/>
    <s v="LF"/>
    <x v="4"/>
    <x v="4"/>
    <s v="fallback_unmapped"/>
  </r>
  <r>
    <n v="886"/>
    <n v="19"/>
    <n v="6"/>
    <s v="UNCLASSIFIED"/>
    <m/>
    <s v="Soffit and Vertical Crack Repair"/>
    <m/>
    <x v="601"/>
    <x v="490"/>
    <n v="639"/>
    <s v="LF"/>
    <x v="4"/>
    <x v="4"/>
    <s v="fallback_unmapped"/>
  </r>
  <r>
    <n v="887"/>
    <n v="19"/>
    <n v="7"/>
    <s v="UNCLASSIFIED"/>
    <m/>
    <s v="Deck Delamination and Spall Repair"/>
    <m/>
    <x v="602"/>
    <x v="491"/>
    <n v="176"/>
    <s v="SF"/>
    <x v="4"/>
    <x v="4"/>
    <s v="fallback_unmapped"/>
  </r>
  <r>
    <n v="888"/>
    <n v="19"/>
    <n v="8"/>
    <s v="UNCLASSIFIED"/>
    <m/>
    <s v="Deck Delamination and Spall Repair with Anodes"/>
    <m/>
    <x v="603"/>
    <x v="492"/>
    <n v="21"/>
    <s v="SF"/>
    <x v="4"/>
    <x v="4"/>
    <s v="fallback_unmapped"/>
  </r>
  <r>
    <n v="889"/>
    <n v="19"/>
    <n v="9"/>
    <s v="UNCLASSIFIED"/>
    <m/>
    <s v="Soffit and Vertical Face Delamination and Spall Repair"/>
    <m/>
    <x v="604"/>
    <x v="493"/>
    <n v="342"/>
    <s v="SF"/>
    <x v="4"/>
    <x v="4"/>
    <s v="fallback_unmapped"/>
  </r>
  <r>
    <n v="890"/>
    <n v="19"/>
    <n v="10"/>
    <s v="UNCLASSIFIED"/>
    <m/>
    <s v="Soffit and Vertical Face Delamination and Spall Repair with Anodes"/>
    <m/>
    <x v="605"/>
    <x v="494"/>
    <n v="80"/>
    <s v="SF"/>
    <x v="4"/>
    <x v="4"/>
    <s v="fallback_unmapped"/>
  </r>
  <r>
    <n v="891"/>
    <n v="19"/>
    <n v="11"/>
    <s v="UNCLASSIFIED"/>
    <m/>
    <s v="Pile Spall Repair"/>
    <m/>
    <x v="606"/>
    <x v="495"/>
    <n v="15"/>
    <s v="SF"/>
    <x v="4"/>
    <x v="4"/>
    <s v="fallback_unmapped"/>
  </r>
  <r>
    <n v="892"/>
    <n v="19"/>
    <n v="12"/>
    <s v="UNCLASSIFIED"/>
    <m/>
    <s v="Pile Crack Repair"/>
    <m/>
    <x v="607"/>
    <x v="496"/>
    <n v="66"/>
    <s v="LF"/>
    <x v="4"/>
    <x v="4"/>
    <s v="fallback_unmapped"/>
  </r>
  <r>
    <n v="893"/>
    <n v="19"/>
    <n v="13"/>
    <s v="UNCLASSIFIED"/>
    <m/>
    <s v="Joint Repair"/>
    <m/>
    <x v="608"/>
    <x v="497"/>
    <n v="2650"/>
    <s v="LF"/>
    <x v="3"/>
    <x v="3"/>
    <s v="kw_paving_earthwork"/>
  </r>
  <r>
    <n v="894"/>
    <n v="19"/>
    <n v="14"/>
    <s v="UNCLASSIFIED"/>
    <m/>
    <s v="Joint Repair at Panel Step"/>
    <m/>
    <x v="609"/>
    <x v="498"/>
    <n v="44"/>
    <s v="LF"/>
    <x v="6"/>
    <x v="7"/>
    <s v="kw_airfield_lighting"/>
  </r>
  <r>
    <n v="895"/>
    <n v="19"/>
    <n v="15"/>
    <s v="UNCLASSIFIED"/>
    <m/>
    <s v="Deck Surface Repair"/>
    <m/>
    <x v="610"/>
    <x v="499"/>
    <n v="8100"/>
    <s v="SF"/>
    <x v="4"/>
    <x v="4"/>
    <s v="fallback_unmapped"/>
  </r>
  <r>
    <n v="896"/>
    <n v="19"/>
    <n v="16"/>
    <s v="UNCLASSIFIED"/>
    <m/>
    <s v="Deck Surface Repair with Cathodic Protection"/>
    <m/>
    <x v="611"/>
    <x v="500"/>
    <n v="4420"/>
    <s v="SF"/>
    <x v="4"/>
    <x v="4"/>
    <s v="fallback_unmapped"/>
  </r>
  <r>
    <n v="897"/>
    <n v="19"/>
    <n v="17"/>
    <s v="UNCLASSIFIED"/>
    <m/>
    <s v="Deck Topping Replacement"/>
    <m/>
    <x v="612"/>
    <x v="501"/>
    <n v="4460"/>
    <s v="SF"/>
    <x v="4"/>
    <x v="4"/>
    <s v="fallback_unmapped"/>
  </r>
  <r>
    <n v="898"/>
    <n v="19"/>
    <n v="18"/>
    <s v="UNCLASSIFIED"/>
    <m/>
    <s v="Deck Topping Repair"/>
    <m/>
    <x v="613"/>
    <x v="502"/>
    <n v="1210"/>
    <s v="SF"/>
    <x v="4"/>
    <x v="4"/>
    <s v="fallback_unmapped"/>
  </r>
  <r>
    <n v="899"/>
    <n v="19"/>
    <n v="19"/>
    <s v="UNCLASSIFIED"/>
    <m/>
    <s v="Fender Panel Rehabilitation"/>
    <m/>
    <x v="614"/>
    <x v="503"/>
    <n v="1"/>
    <s v="LS"/>
    <x v="6"/>
    <x v="7"/>
    <s v="kw_airfield_lighting"/>
  </r>
  <r>
    <n v="900"/>
    <n v="19"/>
    <n v="20"/>
    <s v="UNCLASSIFIED"/>
    <m/>
    <s v="Trestle Cross - Brace Rehabilitation"/>
    <m/>
    <x v="615"/>
    <x v="504"/>
    <n v="1"/>
    <s v="LS"/>
    <x v="4"/>
    <x v="4"/>
    <s v="fallback_unmapped"/>
  </r>
  <r>
    <n v="901"/>
    <n v="19"/>
    <n v="21"/>
    <s v="UNCLASSIFIED"/>
    <m/>
    <s v="Remove and Replace Embedded Anodes"/>
    <m/>
    <x v="616"/>
    <x v="505"/>
    <n v="566"/>
    <s v="EACH"/>
    <x v="2"/>
    <x v="2"/>
    <s v="kw_demo_remediation"/>
  </r>
  <r>
    <n v="902"/>
    <n v="19"/>
    <n v="22"/>
    <s v="UNCLASSIFIED"/>
    <m/>
    <s v="Metalizing Repairs"/>
    <m/>
    <x v="617"/>
    <x v="506"/>
    <n v="3000"/>
    <s v="SF"/>
    <x v="4"/>
    <x v="4"/>
    <s v="fallback_unmapped"/>
  </r>
  <r>
    <n v="903"/>
    <n v="19"/>
    <n v="23"/>
    <s v="UNCLASSIFIED"/>
    <m/>
    <s v="Metalizing System at Edge Beams"/>
    <m/>
    <x v="618"/>
    <x v="507"/>
    <n v="3300"/>
    <s v="SF"/>
    <x v="4"/>
    <x v="4"/>
    <s v="fallback_unmapped"/>
  </r>
  <r>
    <n v="904"/>
    <n v="19"/>
    <n v="24"/>
    <s v="UNCLASSIFIED"/>
    <m/>
    <s v="Remove and Replace Compression Seal"/>
    <m/>
    <x v="619"/>
    <x v="508"/>
    <n v="17"/>
    <s v="LF"/>
    <x v="2"/>
    <x v="2"/>
    <s v="kw_demo_remediation"/>
  </r>
  <r>
    <n v="905"/>
    <n v="19"/>
    <n v="25"/>
    <s v="UNCLASSIFIED"/>
    <m/>
    <s v="Concrete Pad Demolition and Repair"/>
    <m/>
    <x v="620"/>
    <x v="509"/>
    <n v="125"/>
    <s v="SF"/>
    <x v="2"/>
    <x v="2"/>
    <s v="kw_demo_remediation"/>
  </r>
  <r>
    <n v="906"/>
    <n v="20"/>
    <n v="1"/>
    <n v="12200"/>
    <m/>
    <s v="Mobilization, Cleanup, and Demobilization"/>
    <m/>
    <x v="30"/>
    <x v="29"/>
    <n v="1"/>
    <s v="LS"/>
    <x v="0"/>
    <x v="0"/>
    <s v="spec_temp_traffic"/>
  </r>
  <r>
    <n v="907"/>
    <n v="20"/>
    <n v="2"/>
    <n v="12200"/>
    <m/>
    <s v="Sweeper"/>
    <m/>
    <x v="31"/>
    <x v="30"/>
    <n v="1"/>
    <s v="LS"/>
    <x v="0"/>
    <x v="0"/>
    <s v="spec_temp_traffic"/>
  </r>
  <r>
    <n v="908"/>
    <n v="20"/>
    <n v="3"/>
    <n v="12200"/>
    <m/>
    <s v="Security Control Monitoring"/>
    <m/>
    <x v="32"/>
    <x v="31"/>
    <n v="1"/>
    <s v="LS"/>
    <x v="0"/>
    <x v="0"/>
    <s v="spec_temp_traffic"/>
  </r>
  <r>
    <n v="909"/>
    <n v="20"/>
    <n v="4"/>
    <n v="12200"/>
    <m/>
    <s v="Work Zone and Traffic Control"/>
    <m/>
    <x v="33"/>
    <x v="32"/>
    <n v="1"/>
    <s v="LS"/>
    <x v="0"/>
    <x v="0"/>
    <s v="spec_temp_traffic"/>
  </r>
  <r>
    <n v="910"/>
    <n v="20"/>
    <n v="5"/>
    <n v="12200"/>
    <m/>
    <s v="Escort"/>
    <m/>
    <x v="34"/>
    <x v="33"/>
    <n v="1"/>
    <s v="LS"/>
    <x v="0"/>
    <x v="0"/>
    <s v="spec_temp_traffic"/>
  </r>
  <r>
    <n v="911"/>
    <n v="20"/>
    <n v="6"/>
    <n v="12200"/>
    <m/>
    <s v="Construction Survey"/>
    <m/>
    <x v="338"/>
    <x v="265"/>
    <n v="1"/>
    <s v="LS"/>
    <x v="0"/>
    <x v="0"/>
    <s v="spec_temp_traffic"/>
  </r>
  <r>
    <n v="912"/>
    <n v="20"/>
    <n v="7"/>
    <n v="15713"/>
    <m/>
    <s v="Inlet Protection"/>
    <m/>
    <x v="37"/>
    <x v="36"/>
    <n v="4"/>
    <s v="EACH"/>
    <x v="0"/>
    <x v="0"/>
    <s v="spec_temp_traffic"/>
  </r>
  <r>
    <n v="913"/>
    <n v="20"/>
    <n v="8"/>
    <n v="15713"/>
    <m/>
    <s v="Trench Drain Protection"/>
    <m/>
    <x v="340"/>
    <x v="267"/>
    <n v="435"/>
    <s v="LF"/>
    <x v="0"/>
    <x v="0"/>
    <s v="spec_temp_traffic"/>
  </r>
  <r>
    <n v="914"/>
    <n v="20"/>
    <n v="9"/>
    <n v="24113"/>
    <m/>
    <s v="Building Demolition"/>
    <m/>
    <x v="342"/>
    <x v="269"/>
    <n v="1"/>
    <s v="LS"/>
    <x v="2"/>
    <x v="2"/>
    <s v="spec_demo_remediation"/>
  </r>
  <r>
    <n v="915"/>
    <n v="20"/>
    <n v="10"/>
    <n v="24113"/>
    <m/>
    <s v="Building Slab and Foundation Removal"/>
    <m/>
    <x v="343"/>
    <x v="270"/>
    <n v="1"/>
    <s v="LS"/>
    <x v="2"/>
    <x v="2"/>
    <s v="spec_demo_remediation"/>
  </r>
  <r>
    <n v="916"/>
    <n v="20"/>
    <n v="11"/>
    <n v="26100"/>
    <m/>
    <s v="Contaminated Material Excavation and Disposal"/>
    <m/>
    <x v="81"/>
    <x v="75"/>
    <n v="150"/>
    <s v="TON"/>
    <x v="2"/>
    <x v="2"/>
    <s v="spec_demo_remediation"/>
  </r>
  <r>
    <n v="917"/>
    <n v="20"/>
    <n v="12"/>
    <n v="260500"/>
    <m/>
    <s v="Demolition of Existing Electrical Equipment on Work Site"/>
    <m/>
    <x v="365"/>
    <x v="287"/>
    <n v="1"/>
    <s v="LS"/>
    <x v="6"/>
    <x v="8"/>
    <s v="spec_power_distribution"/>
  </r>
  <r>
    <n v="918"/>
    <n v="20"/>
    <n v="13"/>
    <n v="260500"/>
    <m/>
    <s v="Install Handholes for Power"/>
    <m/>
    <x v="621"/>
    <x v="510"/>
    <n v="1"/>
    <s v="EACH"/>
    <x v="6"/>
    <x v="8"/>
    <s v="spec_power_distribution"/>
  </r>
  <r>
    <n v="919"/>
    <n v="20"/>
    <n v="14"/>
    <n v="312300"/>
    <m/>
    <s v="Connection to Existing Storm Drainage System"/>
    <m/>
    <x v="89"/>
    <x v="82"/>
    <n v="2"/>
    <s v="EACH"/>
    <x v="5"/>
    <x v="6"/>
    <s v="spec_drainage_structures"/>
  </r>
  <r>
    <n v="920"/>
    <n v="20"/>
    <n v="15"/>
    <n v="312300"/>
    <m/>
    <s v="Existing Manhole/Inlet Adjustment to Grade"/>
    <m/>
    <x v="326"/>
    <x v="254"/>
    <n v="1"/>
    <s v="EACH"/>
    <x v="5"/>
    <x v="6"/>
    <s v="spec_drainage_structures"/>
  </r>
  <r>
    <n v="921"/>
    <n v="20"/>
    <n v="16"/>
    <s v="P-101"/>
    <m/>
    <s v="PCC Pavement Removal"/>
    <s v="15-Inch Depth"/>
    <x v="287"/>
    <x v="106"/>
    <n v="70"/>
    <s v="SY"/>
    <x v="3"/>
    <x v="3"/>
    <s v="spec_paving_earthwork"/>
  </r>
  <r>
    <n v="922"/>
    <n v="20"/>
    <n v="17"/>
    <s v="P-101"/>
    <m/>
    <s v="Asphalt Pavement Removal"/>
    <s v="3-5 Inch Depth"/>
    <x v="622"/>
    <x v="40"/>
    <n v="2705"/>
    <s v="SY"/>
    <x v="3"/>
    <x v="3"/>
    <s v="spec_paving_earthwork"/>
  </r>
  <r>
    <n v="923"/>
    <n v="20"/>
    <n v="18"/>
    <s v="P-101"/>
    <m/>
    <s v="Asphalt Pavement Removal"/>
    <s v="8 Inch Depth"/>
    <x v="623"/>
    <x v="40"/>
    <n v="205"/>
    <s v="SY"/>
    <x v="3"/>
    <x v="3"/>
    <s v="spec_paving_earthwork"/>
  </r>
  <r>
    <n v="924"/>
    <n v="20"/>
    <n v="19"/>
    <s v="P-101"/>
    <m/>
    <s v="Removal of Pipe and Other Buried Structures"/>
    <m/>
    <x v="295"/>
    <x v="237"/>
    <n v="1"/>
    <s v="LS"/>
    <x v="3"/>
    <x v="3"/>
    <s v="spec_paving_earthwork"/>
  </r>
  <r>
    <n v="925"/>
    <n v="20"/>
    <n v="20"/>
    <s v="P-152"/>
    <m/>
    <s v="Unclassified Excavation"/>
    <m/>
    <x v="207"/>
    <x v="164"/>
    <n v="2700"/>
    <s v="CY"/>
    <x v="3"/>
    <x v="3"/>
    <s v="spec_paving_earthwork"/>
  </r>
  <r>
    <n v="926"/>
    <n v="20"/>
    <n v="21"/>
    <s v="P-152"/>
    <m/>
    <s v="Unsuitable Excavation"/>
    <m/>
    <x v="48"/>
    <x v="45"/>
    <n v="95"/>
    <s v="CY"/>
    <x v="3"/>
    <x v="3"/>
    <s v="spec_paving_earthwork"/>
  </r>
  <r>
    <n v="927"/>
    <n v="20"/>
    <n v="22"/>
    <s v="P-152"/>
    <m/>
    <s v="Separation Geotextile"/>
    <m/>
    <x v="348"/>
    <x v="274"/>
    <n v="2750"/>
    <s v="SY"/>
    <x v="3"/>
    <x v="3"/>
    <s v="spec_paving_earthwork"/>
  </r>
  <r>
    <n v="928"/>
    <n v="20"/>
    <n v="23"/>
    <s v="P-153"/>
    <m/>
    <s v="Controlled Low - Strength Material (CLSM)"/>
    <m/>
    <x v="52"/>
    <x v="49"/>
    <n v="115"/>
    <s v="CY"/>
    <x v="3"/>
    <x v="3"/>
    <s v="spec_paving_earthwork"/>
  </r>
  <r>
    <n v="929"/>
    <n v="20"/>
    <n v="24"/>
    <s v="P-209"/>
    <m/>
    <s v="Crushed Aggregate Base Course"/>
    <m/>
    <x v="57"/>
    <x v="54"/>
    <n v="475"/>
    <s v="CY"/>
    <x v="3"/>
    <x v="3"/>
    <s v="spec_paving_earthwork"/>
  </r>
  <r>
    <n v="930"/>
    <n v="20"/>
    <n v="25"/>
    <s v="P-401"/>
    <m/>
    <s v="Asphalt Surface Course"/>
    <m/>
    <x v="300"/>
    <x v="239"/>
    <n v="85"/>
    <s v="TON"/>
    <x v="3"/>
    <x v="3"/>
    <s v="spec_paving_earthwork"/>
  </r>
  <r>
    <n v="931"/>
    <n v="20"/>
    <n v="26"/>
    <s v="P-403"/>
    <m/>
    <s v="Asphalt Mixture Base Course"/>
    <m/>
    <x v="350"/>
    <x v="276"/>
    <n v="850"/>
    <s v="TON"/>
    <x v="3"/>
    <x v="3"/>
    <s v="spec_paving_earthwork"/>
  </r>
  <r>
    <n v="932"/>
    <n v="20"/>
    <n v="27"/>
    <s v="P-501"/>
    <m/>
    <e v="#NAME?"/>
    <s v="19-Inch"/>
    <x v="624"/>
    <x v="511"/>
    <n v="2550"/>
    <s v="SY"/>
    <x v="3"/>
    <x v="3"/>
    <s v="spec_paving_earthwork"/>
  </r>
  <r>
    <n v="933"/>
    <n v="20"/>
    <n v="28"/>
    <s v="P-603"/>
    <m/>
    <s v="Emulsified Asphalt Tack Coat"/>
    <m/>
    <x v="305"/>
    <x v="242"/>
    <n v="240"/>
    <s v="GAL"/>
    <x v="3"/>
    <x v="3"/>
    <s v="spec_paving_earthwork"/>
  </r>
  <r>
    <n v="934"/>
    <n v="20"/>
    <n v="29"/>
    <s v="P-604"/>
    <m/>
    <s v="Compression Joint Seals for Concrete Pavements"/>
    <m/>
    <x v="306"/>
    <x v="243"/>
    <n v="1970"/>
    <s v="LF"/>
    <x v="3"/>
    <x v="3"/>
    <s v="spec_paving_earthwork"/>
  </r>
  <r>
    <n v="935"/>
    <n v="20"/>
    <n v="30"/>
    <s v="P-605"/>
    <m/>
    <s v="Joint Sealing Filler"/>
    <m/>
    <x v="53"/>
    <x v="50"/>
    <n v="13"/>
    <s v="GAL"/>
    <x v="3"/>
    <x v="3"/>
    <s v="spec_paving_earthwork"/>
  </r>
  <r>
    <n v="936"/>
    <n v="20"/>
    <n v="31"/>
    <s v="P-620"/>
    <m/>
    <s v="Surface Preparation - New or Existing Pavement Surfaces"/>
    <m/>
    <x v="352"/>
    <x v="277"/>
    <n v="525"/>
    <s v="SF"/>
    <x v="3"/>
    <x v="3"/>
    <s v="spec_paving_earthwork"/>
  </r>
  <r>
    <n v="937"/>
    <n v="20"/>
    <n v="32"/>
    <s v="P-620"/>
    <m/>
    <s v="Surface Preparation - Remove Existing Markings"/>
    <m/>
    <x v="309"/>
    <x v="246"/>
    <n v="140"/>
    <s v="SF"/>
    <x v="3"/>
    <x v="3"/>
    <s v="spec_paving_earthwork"/>
  </r>
  <r>
    <n v="938"/>
    <n v="20"/>
    <n v="33"/>
    <s v="P-620"/>
    <m/>
    <s v="Marking"/>
    <m/>
    <x v="310"/>
    <x v="247"/>
    <n v="860"/>
    <s v="SF"/>
    <x v="3"/>
    <x v="3"/>
    <s v="spec_paving_earthwork"/>
  </r>
  <r>
    <n v="939"/>
    <n v="20"/>
    <n v="34"/>
    <s v="P-620"/>
    <m/>
    <s v="Reflective Media"/>
    <m/>
    <x v="63"/>
    <x v="60"/>
    <n v="20"/>
    <s v="LB"/>
    <x v="3"/>
    <x v="3"/>
    <s v="spec_paving_earthwork"/>
  </r>
  <r>
    <n v="940"/>
    <n v="20"/>
    <n v="35"/>
    <s v="D-701"/>
    <m/>
    <s v="STS"/>
    <s v="8-Inch"/>
    <x v="316"/>
    <x v="250"/>
    <n v="20"/>
    <s v="LF"/>
    <x v="5"/>
    <x v="6"/>
    <s v="spec_drainage_structures"/>
  </r>
  <r>
    <n v="941"/>
    <n v="20"/>
    <n v="36"/>
    <s v="D-751"/>
    <m/>
    <s v="Trench Drain"/>
    <m/>
    <x v="359"/>
    <x v="281"/>
    <n v="130"/>
    <s v="LF"/>
    <x v="5"/>
    <x v="6"/>
    <s v="spec_drainage_structures"/>
  </r>
  <r>
    <n v="942"/>
    <n v="21"/>
    <n v="1"/>
    <n v="12200"/>
    <m/>
    <s v="Sweeper"/>
    <m/>
    <x v="31"/>
    <x v="30"/>
    <n v="1"/>
    <s v="LS"/>
    <x v="0"/>
    <x v="0"/>
    <s v="spec_temp_traffic"/>
  </r>
  <r>
    <n v="943"/>
    <n v="21"/>
    <n v="2"/>
    <n v="12200"/>
    <m/>
    <s v="Security Control Monitoring"/>
    <m/>
    <x v="32"/>
    <x v="31"/>
    <n v="1"/>
    <s v="LS"/>
    <x v="0"/>
    <x v="0"/>
    <s v="spec_temp_traffic"/>
  </r>
  <r>
    <n v="944"/>
    <n v="21"/>
    <n v="3"/>
    <n v="12200"/>
    <m/>
    <s v="Work Zone and Traffic Control"/>
    <m/>
    <x v="33"/>
    <x v="32"/>
    <n v="1"/>
    <s v="LS"/>
    <x v="0"/>
    <x v="0"/>
    <s v="spec_temp_traffic"/>
  </r>
  <r>
    <n v="945"/>
    <n v="21"/>
    <n v="4"/>
    <n v="12200"/>
    <m/>
    <s v="Escort"/>
    <m/>
    <x v="34"/>
    <x v="33"/>
    <n v="1"/>
    <s v="LS"/>
    <x v="0"/>
    <x v="0"/>
    <s v="spec_temp_traffic"/>
  </r>
  <r>
    <n v="946"/>
    <n v="21"/>
    <n v="5"/>
    <n v="15713"/>
    <m/>
    <s v="Inlet Protection"/>
    <m/>
    <x v="37"/>
    <x v="36"/>
    <n v="44"/>
    <s v="EACH"/>
    <x v="0"/>
    <x v="0"/>
    <s v="spec_temp_traffic"/>
  </r>
  <r>
    <n v="947"/>
    <n v="21"/>
    <n v="5"/>
    <n v="15713"/>
    <m/>
    <s v="Inlet Protection"/>
    <m/>
    <x v="37"/>
    <x v="36"/>
    <n v="23"/>
    <s v="EACH"/>
    <x v="0"/>
    <x v="0"/>
    <s v="spec_temp_traffic"/>
  </r>
  <r>
    <n v="948"/>
    <n v="21"/>
    <n v="6"/>
    <s v="C-105"/>
    <m/>
    <s v="Mobilization"/>
    <m/>
    <x v="286"/>
    <x v="235"/>
    <n v="1"/>
    <s v="LS"/>
    <x v="0"/>
    <x v="0"/>
    <s v="spec_temp_traffic"/>
  </r>
  <r>
    <n v="949"/>
    <n v="21"/>
    <n v="7"/>
    <s v="P-101"/>
    <m/>
    <s v="Asphalt Pavement Removal"/>
    <s v="16-Inch Depth"/>
    <x v="324"/>
    <x v="40"/>
    <n v="15000"/>
    <s v="SY"/>
    <x v="3"/>
    <x v="3"/>
    <s v="spec_paving_earthwork"/>
  </r>
  <r>
    <n v="950"/>
    <n v="21"/>
    <n v="7"/>
    <s v="P-101"/>
    <m/>
    <s v="Cold Milling"/>
    <s v="2- to 4-Inch Depth"/>
    <x v="625"/>
    <x v="41"/>
    <n v="17700"/>
    <s v="SY"/>
    <x v="3"/>
    <x v="3"/>
    <s v="spec_paving_earthwork"/>
  </r>
  <r>
    <n v="951"/>
    <n v="21"/>
    <n v="8"/>
    <s v="P-101"/>
    <m/>
    <s v="Cold Milling"/>
    <s v="2- to 4-Inch Depth"/>
    <x v="625"/>
    <x v="41"/>
    <n v="74000"/>
    <s v="SY"/>
    <x v="3"/>
    <x v="3"/>
    <s v="spec_paving_earthwork"/>
  </r>
  <r>
    <n v="952"/>
    <n v="21"/>
    <n v="8"/>
    <s v="P-401"/>
    <m/>
    <s v="Asphalt Surface Course"/>
    <m/>
    <x v="300"/>
    <x v="239"/>
    <n v="3000"/>
    <s v="TON"/>
    <x v="3"/>
    <x v="3"/>
    <s v="spec_paving_earthwork"/>
  </r>
  <r>
    <n v="953"/>
    <n v="21"/>
    <n v="9"/>
    <s v="P-101"/>
    <m/>
    <s v="Removal of Pipe and Other Buried Structures"/>
    <m/>
    <x v="295"/>
    <x v="237"/>
    <n v="1"/>
    <s v="LS"/>
    <x v="3"/>
    <x v="3"/>
    <s v="spec_paving_earthwork"/>
  </r>
  <r>
    <n v="954"/>
    <n v="21"/>
    <n v="9"/>
    <s v="P-603"/>
    <m/>
    <s v="Emulsified Asphalt Tack Coat"/>
    <m/>
    <x v="305"/>
    <x v="242"/>
    <n v="200"/>
    <s v="GAL"/>
    <x v="3"/>
    <x v="3"/>
    <s v="spec_paving_earthwork"/>
  </r>
  <r>
    <n v="955"/>
    <n v="21"/>
    <n v="10"/>
    <s v="P-152"/>
    <m/>
    <s v="Unclassified Excavation"/>
    <m/>
    <x v="207"/>
    <x v="164"/>
    <n v="4900"/>
    <s v="CY"/>
    <x v="3"/>
    <x v="3"/>
    <s v="spec_paving_earthwork"/>
  </r>
  <r>
    <n v="956"/>
    <n v="21"/>
    <n v="10"/>
    <s v="P-605"/>
    <m/>
    <s v="Joint Sealing Filler"/>
    <m/>
    <x v="53"/>
    <x v="50"/>
    <n v="24"/>
    <s v="GAL"/>
    <x v="3"/>
    <x v="3"/>
    <s v="spec_paving_earthwork"/>
  </r>
  <r>
    <n v="957"/>
    <n v="21"/>
    <n v="11"/>
    <s v="P-152"/>
    <m/>
    <s v="Existing Subgrade Stabilzation"/>
    <m/>
    <x v="626"/>
    <x v="322"/>
    <n v="500"/>
    <s v="CY"/>
    <x v="3"/>
    <x v="3"/>
    <s v="spec_paving_earthwork"/>
  </r>
  <r>
    <n v="958"/>
    <n v="21"/>
    <n v="11"/>
    <s v="P-606"/>
    <m/>
    <s v="Adhesive Compound"/>
    <m/>
    <x v="55"/>
    <x v="52"/>
    <n v="41"/>
    <s v="GAL"/>
    <x v="3"/>
    <x v="3"/>
    <s v="spec_paving_earthwork"/>
  </r>
  <r>
    <n v="959"/>
    <n v="21"/>
    <n v="12"/>
    <s v="P-153"/>
    <m/>
    <s v="Controlled Low - Strength Material (CLSM)"/>
    <m/>
    <x v="52"/>
    <x v="49"/>
    <n v="226"/>
    <s v="CY"/>
    <x v="3"/>
    <x v="3"/>
    <s v="spec_paving_earthwork"/>
  </r>
  <r>
    <n v="960"/>
    <n v="21"/>
    <n v="12"/>
    <s v="P-620"/>
    <m/>
    <s v="Surface Preparation - Existing Pavement Surface"/>
    <m/>
    <x v="627"/>
    <x v="512"/>
    <n v="14600"/>
    <s v="SF"/>
    <x v="3"/>
    <x v="3"/>
    <s v="spec_paving_earthwork"/>
  </r>
  <r>
    <n v="961"/>
    <n v="21"/>
    <n v="13"/>
    <s v="P-209"/>
    <m/>
    <s v="Crushed Aggregate Base Course"/>
    <m/>
    <x v="57"/>
    <x v="54"/>
    <n v="4500"/>
    <s v="CY"/>
    <x v="3"/>
    <x v="3"/>
    <s v="spec_paving_earthwork"/>
  </r>
  <r>
    <n v="962"/>
    <n v="21"/>
    <n v="13"/>
    <s v="P-620"/>
    <m/>
    <s v="Marking"/>
    <m/>
    <x v="310"/>
    <x v="247"/>
    <n v="23200"/>
    <s v="SF"/>
    <x v="3"/>
    <x v="3"/>
    <s v="spec_paving_earthwork"/>
  </r>
  <r>
    <n v="963"/>
    <n v="21"/>
    <n v="14"/>
    <s v="P-209"/>
    <m/>
    <s v="Separation Geotextile"/>
    <m/>
    <x v="628"/>
    <x v="513"/>
    <n v="15000"/>
    <s v="SY"/>
    <x v="3"/>
    <x v="3"/>
    <s v="spec_paving_earthwork"/>
  </r>
  <r>
    <n v="964"/>
    <n v="21"/>
    <n v="14"/>
    <s v="P-620"/>
    <m/>
    <s v="Reflective Media"/>
    <m/>
    <x v="63"/>
    <x v="60"/>
    <n v="725"/>
    <s v="LB"/>
    <x v="3"/>
    <x v="3"/>
    <s v="spec_paving_earthwork"/>
  </r>
  <r>
    <n v="965"/>
    <n v="21"/>
    <n v="15"/>
    <s v="P-401"/>
    <m/>
    <s v="Asphalt Surface Course"/>
    <m/>
    <x v="300"/>
    <x v="239"/>
    <n v="17100"/>
    <s v="TON"/>
    <x v="3"/>
    <x v="3"/>
    <s v="spec_paving_earthwork"/>
  </r>
  <r>
    <n v="966"/>
    <n v="21"/>
    <n v="15"/>
    <s v="P-620"/>
    <m/>
    <s v="Temporary Runway and Taxiway Marking"/>
    <m/>
    <x v="312"/>
    <x v="249"/>
    <n v="15800"/>
    <s v="SF"/>
    <x v="3"/>
    <x v="3"/>
    <s v="spec_paving_earthwork"/>
  </r>
  <r>
    <n v="967"/>
    <n v="21"/>
    <n v="16"/>
    <n v="26100"/>
    <m/>
    <s v="Contaminated Material Excavation and Disposal"/>
    <m/>
    <x v="81"/>
    <x v="75"/>
    <n v="300"/>
    <s v="TON"/>
    <x v="2"/>
    <x v="2"/>
    <s v="spec_demo_remediation"/>
  </r>
  <r>
    <n v="968"/>
    <n v="21"/>
    <n v="16"/>
    <s v="P-403"/>
    <m/>
    <s v="Asphalt Mixture Base and Surface Course"/>
    <m/>
    <x v="629"/>
    <x v="514"/>
    <n v="11500"/>
    <s v="TON"/>
    <x v="3"/>
    <x v="3"/>
    <s v="spec_paving_earthwork"/>
  </r>
  <r>
    <n v="969"/>
    <n v="21"/>
    <n v="17"/>
    <n v="260500"/>
    <m/>
    <s v="General Electrical Removal"/>
    <m/>
    <x v="83"/>
    <x v="76"/>
    <n v="1"/>
    <s v="LS"/>
    <x v="6"/>
    <x v="8"/>
    <s v="spec_power_distribution"/>
  </r>
  <r>
    <n v="970"/>
    <n v="21"/>
    <n v="17"/>
    <s v="P-603"/>
    <m/>
    <s v="Emulsified Asphalt Tack Coat"/>
    <m/>
    <x v="305"/>
    <x v="242"/>
    <n v="4300"/>
    <s v="GAL"/>
    <x v="3"/>
    <x v="3"/>
    <s v="spec_paving_earthwork"/>
  </r>
  <r>
    <n v="971"/>
    <n v="21"/>
    <n v="18"/>
    <n v="260500"/>
    <m/>
    <s v="Temporary Circuit Connection"/>
    <m/>
    <x v="85"/>
    <x v="78"/>
    <n v="1"/>
    <s v="LS"/>
    <x v="6"/>
    <x v="8"/>
    <s v="spec_power_distribution"/>
  </r>
  <r>
    <n v="972"/>
    <n v="21"/>
    <n v="18"/>
    <s v="P-605"/>
    <m/>
    <s v="Joint Sealing Filler"/>
    <m/>
    <x v="53"/>
    <x v="50"/>
    <n v="79"/>
    <s v="GAL"/>
    <x v="3"/>
    <x v="3"/>
    <s v="spec_paving_earthwork"/>
  </r>
  <r>
    <n v="973"/>
    <n v="21"/>
    <n v="19"/>
    <n v="344300"/>
    <m/>
    <s v="Reinstall In-Pavement Taxiway Centerline Light on Existing Base Can with Existing Transformer"/>
    <m/>
    <x v="630"/>
    <x v="515"/>
    <n v="2"/>
    <s v="EACH"/>
    <x v="6"/>
    <x v="7"/>
    <s v="spec_airfield_lighting"/>
  </r>
  <r>
    <n v="974"/>
    <n v="21"/>
    <n v="19"/>
    <s v="P-606"/>
    <m/>
    <s v="Adhesive Compound"/>
    <m/>
    <x v="55"/>
    <x v="52"/>
    <n v="160"/>
    <s v="GAL"/>
    <x v="3"/>
    <x v="3"/>
    <s v="spec_paving_earthwork"/>
  </r>
  <r>
    <n v="975"/>
    <n v="21"/>
    <n v="20"/>
    <n v="344300"/>
    <m/>
    <s v="Reinstall In-Pavement Stop Bar Light on Existing Base Can with Existing Transformer"/>
    <m/>
    <x v="631"/>
    <x v="516"/>
    <n v="5"/>
    <s v="EACH"/>
    <x v="6"/>
    <x v="7"/>
    <s v="spec_airfield_lighting"/>
  </r>
  <r>
    <n v="976"/>
    <n v="21"/>
    <n v="20"/>
    <s v="P-610"/>
    <m/>
    <s v="Concrete"/>
    <m/>
    <x v="311"/>
    <x v="248"/>
    <n v="55"/>
    <s v="CY"/>
    <x v="3"/>
    <x v="3"/>
    <s v="spec_paving_earthwork"/>
  </r>
  <r>
    <n v="977"/>
    <n v="21"/>
    <n v="21"/>
    <n v="344301"/>
    <m/>
    <s v="Adjust Existing Taxiway Centerline Light to New Finish Elevation"/>
    <m/>
    <x v="632"/>
    <x v="517"/>
    <n v="77"/>
    <s v="EACH"/>
    <x v="6"/>
    <x v="7"/>
    <s v="spec_airfield_lighting"/>
  </r>
  <r>
    <n v="978"/>
    <n v="21"/>
    <n v="21"/>
    <s v="P-620"/>
    <m/>
    <s v="Surface Preparation - Marking Removal"/>
    <m/>
    <x v="633"/>
    <x v="518"/>
    <n v="7800"/>
    <s v="SF"/>
    <x v="3"/>
    <x v="3"/>
    <s v="spec_paving_earthwork"/>
  </r>
  <r>
    <n v="979"/>
    <n v="21"/>
    <n v="22"/>
    <s v="P-620"/>
    <m/>
    <s v="Surface Preparation - Remove Existing Markings"/>
    <m/>
    <x v="309"/>
    <x v="246"/>
    <n v="62300"/>
    <s v="SF"/>
    <x v="3"/>
    <x v="3"/>
    <s v="spec_paving_earthwork"/>
  </r>
  <r>
    <n v="980"/>
    <n v="21"/>
    <n v="23"/>
    <s v="P-620"/>
    <m/>
    <s v="Marking"/>
    <m/>
    <x v="310"/>
    <x v="247"/>
    <n v="105800"/>
    <s v="SF"/>
    <x v="3"/>
    <x v="3"/>
    <s v="spec_paving_earthwork"/>
  </r>
  <r>
    <n v="981"/>
    <n v="21"/>
    <n v="24"/>
    <s v="P-620"/>
    <m/>
    <s v="Reflective Media"/>
    <m/>
    <x v="63"/>
    <x v="60"/>
    <n v="3500"/>
    <s v="LB"/>
    <x v="3"/>
    <x v="3"/>
    <s v="spec_paving_earthwork"/>
  </r>
  <r>
    <n v="982"/>
    <n v="21"/>
    <n v="25"/>
    <s v="P-620"/>
    <m/>
    <s v="Temporary Runway and Taxiway Marking"/>
    <m/>
    <x v="312"/>
    <x v="249"/>
    <n v="67500"/>
    <s v="SF"/>
    <x v="3"/>
    <x v="3"/>
    <s v="spec_paving_earthwork"/>
  </r>
  <r>
    <n v="983"/>
    <n v="21"/>
    <n v="26"/>
    <s v="P-620"/>
    <m/>
    <s v="Preformed Markings"/>
    <m/>
    <x v="197"/>
    <x v="161"/>
    <n v="3950"/>
    <s v="SF"/>
    <x v="3"/>
    <x v="3"/>
    <s v="spec_paving_earthwork"/>
  </r>
  <r>
    <n v="984"/>
    <n v="21"/>
    <n v="27"/>
    <s v="P-621"/>
    <m/>
    <s v="Grooving"/>
    <m/>
    <x v="66"/>
    <x v="63"/>
    <n v="1600"/>
    <s v="SY"/>
    <x v="3"/>
    <x v="3"/>
    <s v="spec_paving_earthwork"/>
  </r>
  <r>
    <n v="985"/>
    <n v="21"/>
    <n v="28"/>
    <s v="D-701"/>
    <m/>
    <s v="STS"/>
    <s v="12-Inch"/>
    <x v="313"/>
    <x v="250"/>
    <n v="189"/>
    <s v="LF"/>
    <x v="5"/>
    <x v="6"/>
    <s v="spec_drainage_structures"/>
  </r>
  <r>
    <n v="986"/>
    <n v="21"/>
    <n v="29"/>
    <s v="D-701"/>
    <m/>
    <s v="STS"/>
    <s v="18-Inch"/>
    <x v="319"/>
    <x v="250"/>
    <n v="264"/>
    <s v="LF"/>
    <x v="5"/>
    <x v="6"/>
    <s v="spec_drainage_structures"/>
  </r>
  <r>
    <n v="987"/>
    <n v="21"/>
    <n v="30"/>
    <s v="D-751"/>
    <m/>
    <s v="Manholes"/>
    <m/>
    <x v="634"/>
    <x v="339"/>
    <n v="1"/>
    <s v="EACH"/>
    <x v="5"/>
    <x v="6"/>
    <s v="spec_drainage_structures"/>
  </r>
  <r>
    <n v="988"/>
    <n v="21"/>
    <n v="31"/>
    <s v="D-751"/>
    <m/>
    <s v="Catch Basins"/>
    <m/>
    <x v="220"/>
    <x v="173"/>
    <n v="2"/>
    <s v="EACH"/>
    <x v="5"/>
    <x v="6"/>
    <s v="spec_drainage_structures"/>
  </r>
  <r>
    <n v="989"/>
    <n v="21"/>
    <n v="32"/>
    <n v="312300"/>
    <m/>
    <s v="Existing Manhole Adjustment to Grade"/>
    <s v="Minor Adjustment"/>
    <x v="635"/>
    <x v="84"/>
    <n v="5"/>
    <s v="EACH"/>
    <x v="5"/>
    <x v="6"/>
    <s v="spec_drainage_structures"/>
  </r>
  <r>
    <n v="990"/>
    <n v="21"/>
    <n v="33"/>
    <n v="312300"/>
    <m/>
    <s v="Existing Manhole Adjustment"/>
    <s v="Cleanout"/>
    <x v="636"/>
    <x v="519"/>
    <n v="1"/>
    <s v="EACH"/>
    <x v="5"/>
    <x v="6"/>
    <s v="spec_drainage_structures"/>
  </r>
  <r>
    <n v="991"/>
    <n v="21"/>
    <n v="34"/>
    <s v="L-108"/>
    <m/>
    <s v="No. 8 AWG, 5kV, L-824, Type C Cable Installed in Trench, Duct Bank or Conduit"/>
    <m/>
    <x v="637"/>
    <x v="520"/>
    <n v="9310"/>
    <s v="LF"/>
    <x v="6"/>
    <x v="7"/>
    <s v="spec_airfield_lighting"/>
  </r>
  <r>
    <n v="992"/>
    <n v="21"/>
    <n v="35"/>
    <s v="L-108"/>
    <m/>
    <s v="No. 6 AWG, Solid, Bare Copper Counterpoise Wire, Installed above the Duct Bank or Conduit, Including Connections/Terminations"/>
    <m/>
    <x v="638"/>
    <x v="521"/>
    <n v="2080"/>
    <s v="LF"/>
    <x v="6"/>
    <x v="7"/>
    <s v="spec_airfield_lighting"/>
  </r>
  <r>
    <n v="993"/>
    <n v="21"/>
    <n v="36"/>
    <s v="L-108"/>
    <m/>
    <s v="No. 10 AWG, 600V, Cable Installed in Conduit"/>
    <m/>
    <x v="639"/>
    <x v="522"/>
    <n v="110"/>
    <s v="LF"/>
    <x v="6"/>
    <x v="7"/>
    <s v="spec_airfield_lighting"/>
  </r>
  <r>
    <n v="994"/>
    <n v="21"/>
    <n v="37"/>
    <s v="L-108"/>
    <m/>
    <s v="Counterpoise Ground Rod"/>
    <m/>
    <x v="506"/>
    <x v="178"/>
    <n v="9"/>
    <s v="EACH"/>
    <x v="6"/>
    <x v="7"/>
    <s v="spec_airfield_lighting"/>
  </r>
  <r>
    <n v="995"/>
    <n v="21"/>
    <n v="38"/>
    <s v="L-110"/>
    <m/>
    <s v="PVC Encased in CLSM in New AC"/>
    <s v="2-Inch"/>
    <x v="640"/>
    <x v="523"/>
    <n v="1530"/>
    <s v="LF"/>
    <x v="6"/>
    <x v="7"/>
    <s v="spec_airfield_lighting"/>
  </r>
  <r>
    <n v="996"/>
    <n v="21"/>
    <n v="39"/>
    <s v="L-110"/>
    <m/>
    <s v="PVC Encased in P-610 in Existing AC"/>
    <s v="2-Inch"/>
    <x v="507"/>
    <x v="403"/>
    <n v="535"/>
    <s v="LF"/>
    <x v="6"/>
    <x v="7"/>
    <s v="spec_airfield_lighting"/>
  </r>
  <r>
    <n v="997"/>
    <n v="21"/>
    <n v="40"/>
    <s v="L-110"/>
    <m/>
    <s v="GRSC Encased in P-610 in Existing AC"/>
    <s v="1.5-Inch"/>
    <x v="641"/>
    <x v="524"/>
    <n v="25"/>
    <s v="LF"/>
    <x v="6"/>
    <x v="7"/>
    <s v="spec_airfield_lighting"/>
  </r>
  <r>
    <n v="998"/>
    <n v="21"/>
    <n v="41"/>
    <s v="L-110"/>
    <m/>
    <s v="GRSC Encased in P-610 in Existing AC"/>
    <s v="1-Inch"/>
    <x v="642"/>
    <x v="524"/>
    <n v="145"/>
    <s v="LF"/>
    <x v="6"/>
    <x v="7"/>
    <s v="spec_airfield_lighting"/>
  </r>
  <r>
    <n v="999"/>
    <n v="21"/>
    <n v="42"/>
    <n v="260500"/>
    <m/>
    <s v="General Electrical Removal"/>
    <m/>
    <x v="83"/>
    <x v="76"/>
    <n v="1"/>
    <s v="LS"/>
    <x v="6"/>
    <x v="8"/>
    <s v="spec_power_distribution"/>
  </r>
  <r>
    <n v="1000"/>
    <n v="21"/>
    <n v="43"/>
    <n v="260500"/>
    <m/>
    <s v="Temporary Circuit Connection"/>
    <m/>
    <x v="85"/>
    <x v="78"/>
    <n v="1"/>
    <s v="LS"/>
    <x v="6"/>
    <x v="8"/>
    <s v="spec_power_distribution"/>
  </r>
  <r>
    <n v="1001"/>
    <n v="21"/>
    <n v="44"/>
    <n v="344300"/>
    <m/>
    <s v="Reinstall Elevated Taxiway Edge Light on Existing Base Can with PF Transformer"/>
    <m/>
    <x v="643"/>
    <x v="525"/>
    <n v="131"/>
    <s v="EACH"/>
    <x v="6"/>
    <x v="7"/>
    <s v="spec_airfield_lighting"/>
  </r>
  <r>
    <n v="1002"/>
    <n v="21"/>
    <n v="45"/>
    <n v="344300"/>
    <m/>
    <s v="Reinstall Elevated Runway End Light on Existing Base Can with PF Transformer"/>
    <m/>
    <x v="644"/>
    <x v="526"/>
    <n v="2"/>
    <s v="EACH"/>
    <x v="6"/>
    <x v="7"/>
    <s v="spec_airfield_lighting"/>
  </r>
  <r>
    <n v="1003"/>
    <n v="21"/>
    <n v="46"/>
    <n v="344300"/>
    <m/>
    <s v="Reinstall In-Pavement Taxiway Edge Light on Existing Base Can with PF Transformer"/>
    <m/>
    <x v="645"/>
    <x v="527"/>
    <n v="5"/>
    <s v="EACH"/>
    <x v="6"/>
    <x v="7"/>
    <s v="spec_airfield_lighting"/>
  </r>
  <r>
    <n v="1004"/>
    <n v="21"/>
    <n v="47"/>
    <n v="344300"/>
    <m/>
    <s v="Reinstall Taxiway Centerline Light on Existing Base Can with PF Transformer"/>
    <m/>
    <x v="646"/>
    <x v="528"/>
    <n v="5"/>
    <s v="EACH"/>
    <x v="6"/>
    <x v="7"/>
    <s v="spec_airfield_lighting"/>
  </r>
  <r>
    <n v="1005"/>
    <n v="21"/>
    <n v="48"/>
    <n v="344300"/>
    <m/>
    <s v="Reinstall Taxiway Centerline Light on PF Base Can, PF Extension, PF Flange Ring, and PF Transformer"/>
    <m/>
    <x v="647"/>
    <x v="529"/>
    <n v="116"/>
    <s v="EACH"/>
    <x v="6"/>
    <x v="7"/>
    <s v="spec_airfield_lighting"/>
  </r>
  <r>
    <n v="1006"/>
    <n v="21"/>
    <n v="49"/>
    <n v="344301"/>
    <m/>
    <s v="Adjust Existing Taxiway Centerline Light to New Finish Elevation"/>
    <m/>
    <x v="632"/>
    <x v="517"/>
    <n v="88"/>
    <s v="EACH"/>
    <x v="6"/>
    <x v="7"/>
    <s v="spec_airfield_lighting"/>
  </r>
  <r>
    <n v="1007"/>
    <n v="21"/>
    <n v="50"/>
    <n v="344301"/>
    <m/>
    <s v="Adjust Existing Runway Edge Light to New Finish Elevation"/>
    <m/>
    <x v="648"/>
    <x v="530"/>
    <n v="11"/>
    <s v="EACH"/>
    <x v="6"/>
    <x v="7"/>
    <s v="spec_airfield_lighting"/>
  </r>
  <r>
    <n v="1008"/>
    <n v="21"/>
    <n v="51"/>
    <n v="344301"/>
    <m/>
    <s v="Adjust Existing Taxiway Edge Light to New Finish Elevation"/>
    <m/>
    <x v="649"/>
    <x v="531"/>
    <n v="1"/>
    <s v="EACH"/>
    <x v="6"/>
    <x v="7"/>
    <s v="spec_airfield_lighting"/>
  </r>
  <r>
    <n v="1009"/>
    <n v="21"/>
    <n v="52"/>
    <n v="344301"/>
    <m/>
    <s v="Adjust Existing Base Can to New Finish Elevation"/>
    <m/>
    <x v="650"/>
    <x v="532"/>
    <n v="35"/>
    <s v="EACH"/>
    <x v="6"/>
    <x v="7"/>
    <s v="spec_airfield_lighting"/>
  </r>
  <r>
    <n v="1010"/>
    <n v="21"/>
    <n v="53"/>
    <n v="344302"/>
    <m/>
    <s v="Sign CE-10"/>
    <m/>
    <x v="651"/>
    <x v="533"/>
    <n v="1"/>
    <s v="LS"/>
    <x v="6"/>
    <x v="9"/>
    <s v="spec_airfield_signage"/>
  </r>
  <r>
    <n v="1011"/>
    <n v="22"/>
    <n v="1"/>
    <n v="12200"/>
    <m/>
    <s v="Sweeper"/>
    <m/>
    <x v="31"/>
    <x v="30"/>
    <n v="1"/>
    <s v="LS"/>
    <x v="0"/>
    <x v="0"/>
    <s v="spec_temp_traffic"/>
  </r>
  <r>
    <n v="1012"/>
    <n v="22"/>
    <n v="1"/>
    <s v="C-105"/>
    <m/>
    <s v="Mobilization"/>
    <m/>
    <x v="286"/>
    <x v="235"/>
    <n v="1"/>
    <s v="LS"/>
    <x v="0"/>
    <x v="0"/>
    <s v="spec_temp_traffic"/>
  </r>
  <r>
    <n v="1013"/>
    <n v="22"/>
    <n v="1"/>
    <s v="UNCLASSIFIED"/>
    <m/>
    <s v="Sweeper Section"/>
    <n v="12200"/>
    <x v="652"/>
    <x v="534"/>
    <n v="1"/>
    <s v="LS"/>
    <x v="0"/>
    <x v="0"/>
    <s v="kw_temp_traffic"/>
  </r>
  <r>
    <n v="1014"/>
    <n v="22"/>
    <n v="2"/>
    <n v="12200"/>
    <m/>
    <s v="Escort"/>
    <m/>
    <x v="34"/>
    <x v="33"/>
    <n v="1"/>
    <s v="LS"/>
    <x v="0"/>
    <x v="0"/>
    <s v="spec_temp_traffic"/>
  </r>
  <r>
    <n v="1015"/>
    <n v="22"/>
    <n v="2"/>
    <s v="P-620"/>
    <m/>
    <s v="Surface Prep - Existing Pavement"/>
    <m/>
    <x v="653"/>
    <x v="535"/>
    <n v="5407"/>
    <s v="SF"/>
    <x v="3"/>
    <x v="3"/>
    <s v="spec_paving_earthwork"/>
  </r>
  <r>
    <n v="1016"/>
    <n v="22"/>
    <n v="2"/>
    <s v="P-620"/>
    <m/>
    <s v="Surface Prep - Existing Pavement"/>
    <m/>
    <x v="653"/>
    <x v="535"/>
    <n v="2142"/>
    <s v="SF"/>
    <x v="3"/>
    <x v="3"/>
    <s v="spec_paving_earthwork"/>
  </r>
  <r>
    <n v="1017"/>
    <n v="22"/>
    <n v="3"/>
    <s v="C-105"/>
    <m/>
    <s v="Mobilization"/>
    <m/>
    <x v="286"/>
    <x v="235"/>
    <n v="1"/>
    <s v="LS"/>
    <x v="0"/>
    <x v="0"/>
    <s v="spec_temp_traffic"/>
  </r>
  <r>
    <n v="1018"/>
    <n v="22"/>
    <n v="3"/>
    <s v="P-620"/>
    <m/>
    <s v="Surface Prep - Marking Removal"/>
    <m/>
    <x v="654"/>
    <x v="536"/>
    <n v="1515"/>
    <s v="SF"/>
    <x v="3"/>
    <x v="3"/>
    <s v="spec_paving_earthwork"/>
  </r>
  <r>
    <n v="1019"/>
    <n v="22"/>
    <n v="3"/>
    <s v="P-620"/>
    <m/>
    <s v="Surface Prep - Marking Removal"/>
    <m/>
    <x v="654"/>
    <x v="536"/>
    <n v="766"/>
    <s v="SF"/>
    <x v="3"/>
    <x v="3"/>
    <s v="spec_paving_earthwork"/>
  </r>
  <r>
    <n v="1020"/>
    <n v="22"/>
    <n v="4"/>
    <s v="P-101"/>
    <m/>
    <s v="Asphalt Pavement Removal"/>
    <m/>
    <x v="655"/>
    <x v="40"/>
    <n v="145"/>
    <s v="SY"/>
    <x v="3"/>
    <x v="3"/>
    <s v="spec_paving_earthwork"/>
  </r>
  <r>
    <n v="1021"/>
    <n v="22"/>
    <n v="4"/>
    <s v="P-101"/>
    <m/>
    <s v="Asphalt Pavement Removal"/>
    <m/>
    <x v="655"/>
    <x v="40"/>
    <n v="67"/>
    <s v="SY"/>
    <x v="3"/>
    <x v="3"/>
    <s v="spec_paving_earthwork"/>
  </r>
  <r>
    <n v="1022"/>
    <n v="22"/>
    <n v="4"/>
    <s v="P-101"/>
    <m/>
    <s v="Asphalt Pavement Removal"/>
    <m/>
    <x v="655"/>
    <x v="40"/>
    <n v="21"/>
    <s v="SY"/>
    <x v="3"/>
    <x v="3"/>
    <s v="spec_paving_earthwork"/>
  </r>
  <r>
    <n v="1023"/>
    <n v="22"/>
    <n v="4"/>
    <s v="P-620"/>
    <m/>
    <s v="Markings"/>
    <m/>
    <x v="656"/>
    <x v="537"/>
    <n v="5407"/>
    <s v="SF"/>
    <x v="3"/>
    <x v="3"/>
    <s v="spec_paving_earthwork"/>
  </r>
  <r>
    <n v="1024"/>
    <n v="22"/>
    <n v="4"/>
    <s v="P-620"/>
    <m/>
    <s v="Markings"/>
    <m/>
    <x v="656"/>
    <x v="537"/>
    <n v="2142"/>
    <s v="SF"/>
    <x v="3"/>
    <x v="3"/>
    <s v="spec_paving_earthwork"/>
  </r>
  <r>
    <n v="1025"/>
    <n v="22"/>
    <n v="5"/>
    <s v="P-610"/>
    <m/>
    <s v="Concrete"/>
    <m/>
    <x v="311"/>
    <x v="248"/>
    <n v="112"/>
    <s v="SY"/>
    <x v="3"/>
    <x v="3"/>
    <s v="spec_paving_earthwork"/>
  </r>
  <r>
    <n v="1026"/>
    <n v="22"/>
    <n v="5"/>
    <s v="P-610"/>
    <m/>
    <s v="Concrete"/>
    <m/>
    <x v="311"/>
    <x v="248"/>
    <n v="67"/>
    <s v="SY"/>
    <x v="3"/>
    <x v="3"/>
    <s v="spec_paving_earthwork"/>
  </r>
  <r>
    <n v="1027"/>
    <n v="22"/>
    <n v="5"/>
    <s v="P-610"/>
    <m/>
    <s v="Concrete"/>
    <m/>
    <x v="311"/>
    <x v="248"/>
    <n v="21"/>
    <s v="SY"/>
    <x v="3"/>
    <x v="3"/>
    <s v="spec_paving_earthwork"/>
  </r>
  <r>
    <n v="1028"/>
    <n v="22"/>
    <n v="5"/>
    <s v="P-620"/>
    <m/>
    <s v="Reflective Media"/>
    <m/>
    <x v="63"/>
    <x v="60"/>
    <n v="362"/>
    <s v="LB"/>
    <x v="3"/>
    <x v="3"/>
    <s v="spec_paving_earthwork"/>
  </r>
  <r>
    <n v="1029"/>
    <n v="22"/>
    <n v="5"/>
    <s v="P-620"/>
    <m/>
    <s v="Reflective Media"/>
    <m/>
    <x v="63"/>
    <x v="60"/>
    <n v="143"/>
    <s v="LB"/>
    <x v="3"/>
    <x v="3"/>
    <s v="spec_paving_earthwork"/>
  </r>
  <r>
    <n v="1030"/>
    <n v="22"/>
    <n v="6"/>
    <n v="24113"/>
    <m/>
    <s v="Remove Bollard - Embedded"/>
    <m/>
    <x v="657"/>
    <x v="538"/>
    <n v="10"/>
    <s v="EACH"/>
    <x v="2"/>
    <x v="2"/>
    <s v="spec_demo_remediation"/>
  </r>
  <r>
    <n v="1031"/>
    <n v="22"/>
    <n v="6"/>
    <n v="24113"/>
    <m/>
    <s v="Remove Bollard - Embedded"/>
    <m/>
    <x v="657"/>
    <x v="538"/>
    <n v="6"/>
    <s v="EACH"/>
    <x v="2"/>
    <x v="2"/>
    <s v="spec_demo_remediation"/>
  </r>
  <r>
    <n v="1032"/>
    <n v="22"/>
    <n v="6"/>
    <s v="P-620"/>
    <m/>
    <s v="Surface Prep - Existing Pavement"/>
    <m/>
    <x v="653"/>
    <x v="535"/>
    <n v="1559"/>
    <s v="SF"/>
    <x v="3"/>
    <x v="3"/>
    <s v="spec_paving_earthwork"/>
  </r>
  <r>
    <n v="1033"/>
    <n v="22"/>
    <n v="6"/>
    <s v="P-620"/>
    <m/>
    <s v="Surface Prep - Existing Pavement"/>
    <m/>
    <x v="653"/>
    <x v="535"/>
    <n v="341"/>
    <s v="SF"/>
    <x v="3"/>
    <x v="3"/>
    <s v="spec_paving_earthwork"/>
  </r>
  <r>
    <n v="1034"/>
    <n v="22"/>
    <n v="6"/>
    <s v="P-620"/>
    <m/>
    <s v="Surface Prep - Existing Pavement"/>
    <m/>
    <x v="653"/>
    <x v="535"/>
    <n v="259"/>
    <s v="SF"/>
    <x v="3"/>
    <x v="3"/>
    <s v="spec_paving_earthwork"/>
  </r>
  <r>
    <n v="1035"/>
    <n v="22"/>
    <n v="7"/>
    <n v="24113"/>
    <m/>
    <s v="Relocate Storage Shelter"/>
    <m/>
    <x v="658"/>
    <x v="539"/>
    <n v="1"/>
    <s v="LS"/>
    <x v="2"/>
    <x v="2"/>
    <s v="spec_demo_remediation"/>
  </r>
  <r>
    <n v="1036"/>
    <n v="22"/>
    <n v="7"/>
    <n v="24113"/>
    <m/>
    <s v="Remove Bollard - Bolt Down"/>
    <m/>
    <x v="659"/>
    <x v="540"/>
    <n v="1"/>
    <s v="EACH"/>
    <x v="2"/>
    <x v="2"/>
    <s v="spec_demo_remediation"/>
  </r>
  <r>
    <n v="1037"/>
    <n v="22"/>
    <n v="7"/>
    <s v="P-620"/>
    <m/>
    <s v="Markings"/>
    <m/>
    <x v="656"/>
    <x v="537"/>
    <n v="259"/>
    <s v="SF"/>
    <x v="3"/>
    <x v="3"/>
    <s v="spec_paving_earthwork"/>
  </r>
  <r>
    <n v="1038"/>
    <n v="22"/>
    <n v="7"/>
    <s v="P-620"/>
    <m/>
    <s v="Surface Prep - Marking Removal"/>
    <m/>
    <x v="654"/>
    <x v="536"/>
    <n v="220"/>
    <s v="SF"/>
    <x v="3"/>
    <x v="3"/>
    <s v="spec_paving_earthwork"/>
  </r>
  <r>
    <n v="1039"/>
    <n v="22"/>
    <n v="7"/>
    <s v="P-620"/>
    <m/>
    <s v="Surface Prep - Marking Removal"/>
    <m/>
    <x v="654"/>
    <x v="536"/>
    <n v="67"/>
    <s v="SF"/>
    <x v="3"/>
    <x v="3"/>
    <s v="spec_paving_earthwork"/>
  </r>
  <r>
    <n v="1040"/>
    <n v="22"/>
    <n v="8"/>
    <n v="111100"/>
    <m/>
    <s v="Cable Retrievers"/>
    <m/>
    <x v="660"/>
    <x v="541"/>
    <n v="112"/>
    <s v="EACH"/>
    <x v="7"/>
    <x v="11"/>
    <s v="spec_site_safety"/>
  </r>
  <r>
    <n v="1041"/>
    <n v="22"/>
    <n v="8"/>
    <n v="111100"/>
    <m/>
    <s v="Cable Retrievers"/>
    <m/>
    <x v="660"/>
    <x v="541"/>
    <n v="46"/>
    <s v="EACH"/>
    <x v="7"/>
    <x v="11"/>
    <s v="spec_site_safety"/>
  </r>
  <r>
    <n v="1042"/>
    <n v="22"/>
    <n v="8"/>
    <s v="P-620"/>
    <m/>
    <s v="Markings"/>
    <m/>
    <x v="656"/>
    <x v="537"/>
    <n v="1559"/>
    <s v="SF"/>
    <x v="3"/>
    <x v="3"/>
    <s v="spec_paving_earthwork"/>
  </r>
  <r>
    <n v="1043"/>
    <n v="22"/>
    <n v="8"/>
    <s v="P-620"/>
    <m/>
    <s v="Markings"/>
    <m/>
    <x v="656"/>
    <x v="537"/>
    <n v="341"/>
    <s v="SF"/>
    <x v="3"/>
    <x v="3"/>
    <s v="spec_paving_earthwork"/>
  </r>
  <r>
    <n v="1044"/>
    <n v="22"/>
    <n v="8"/>
    <s v="P-620"/>
    <m/>
    <s v="Reflective Media"/>
    <m/>
    <x v="63"/>
    <x v="60"/>
    <n v="17"/>
    <s v="LB"/>
    <x v="3"/>
    <x v="3"/>
    <s v="spec_paving_earthwork"/>
  </r>
  <r>
    <n v="1045"/>
    <n v="22"/>
    <n v="9"/>
    <n v="111100"/>
    <m/>
    <s v="Cable Retrievers"/>
    <m/>
    <x v="660"/>
    <x v="541"/>
    <n v="6"/>
    <s v="EACH"/>
    <x v="7"/>
    <x v="11"/>
    <s v="spec_site_safety"/>
  </r>
  <r>
    <n v="1046"/>
    <n v="22"/>
    <n v="9"/>
    <n v="347115"/>
    <m/>
    <s v="Precast Concrete Wheel Stop"/>
    <m/>
    <x v="661"/>
    <x v="542"/>
    <n v="74"/>
    <s v="EACH"/>
    <x v="7"/>
    <x v="11"/>
    <s v="spec_site_safety"/>
  </r>
  <r>
    <n v="1047"/>
    <n v="22"/>
    <n v="9"/>
    <n v="347115"/>
    <m/>
    <s v="Precast Concrete Wheel Stop"/>
    <m/>
    <x v="661"/>
    <x v="542"/>
    <n v="33"/>
    <s v="EACH"/>
    <x v="7"/>
    <x v="11"/>
    <s v="spec_site_safety"/>
  </r>
  <r>
    <n v="1048"/>
    <n v="22"/>
    <n v="9"/>
    <s v="P-620"/>
    <m/>
    <s v="Reflective Media"/>
    <m/>
    <x v="63"/>
    <x v="60"/>
    <n v="106"/>
    <s v="LB"/>
    <x v="3"/>
    <x v="3"/>
    <s v="spec_paving_earthwork"/>
  </r>
  <r>
    <n v="1049"/>
    <n v="22"/>
    <n v="9"/>
    <s v="P-620"/>
    <m/>
    <s v="Reflective Media"/>
    <m/>
    <x v="63"/>
    <x v="60"/>
    <n v="23"/>
    <s v="LB"/>
    <x v="3"/>
    <x v="3"/>
    <s v="spec_paving_earthwork"/>
  </r>
  <r>
    <n v="1050"/>
    <n v="22"/>
    <n v="10"/>
    <n v="24113"/>
    <m/>
    <s v="Remove Bollard - Embedded"/>
    <m/>
    <x v="657"/>
    <x v="538"/>
    <n v="9"/>
    <s v="EACH"/>
    <x v="2"/>
    <x v="2"/>
    <s v="spec_demo_remediation"/>
  </r>
  <r>
    <n v="1051"/>
    <n v="22"/>
    <n v="10"/>
    <n v="111100"/>
    <m/>
    <s v="Cable Retrievers"/>
    <m/>
    <x v="660"/>
    <x v="541"/>
    <n v="8"/>
    <s v="EACH"/>
    <x v="7"/>
    <x v="11"/>
    <s v="spec_site_safety"/>
  </r>
  <r>
    <n v="1052"/>
    <n v="22"/>
    <n v="10"/>
    <n v="347115"/>
    <m/>
    <s v="Bollard - Bolt Down"/>
    <m/>
    <x v="662"/>
    <x v="543"/>
    <n v="35"/>
    <s v="EACH"/>
    <x v="7"/>
    <x v="11"/>
    <s v="spec_site_safety"/>
  </r>
  <r>
    <n v="1053"/>
    <n v="22"/>
    <n v="10"/>
    <n v="347115"/>
    <m/>
    <s v="Bollard - Bolt Down"/>
    <m/>
    <x v="662"/>
    <x v="543"/>
    <n v="19"/>
    <s v="EACH"/>
    <x v="7"/>
    <x v="11"/>
    <s v="spec_site_safety"/>
  </r>
  <r>
    <n v="1054"/>
    <n v="22"/>
    <n v="10"/>
    <n v="347115"/>
    <m/>
    <s v="Precast Concrete Wheel Stop"/>
    <m/>
    <x v="661"/>
    <x v="542"/>
    <n v="5"/>
    <s v="EACH"/>
    <x v="7"/>
    <x v="11"/>
    <s v="spec_site_safety"/>
  </r>
  <r>
    <n v="1055"/>
    <n v="22"/>
    <n v="11"/>
    <n v="24113"/>
    <m/>
    <s v="Remove Electrical Chargers"/>
    <m/>
    <x v="663"/>
    <x v="544"/>
    <n v="1"/>
    <s v="LS"/>
    <x v="2"/>
    <x v="2"/>
    <s v="spec_demo_remediation"/>
  </r>
  <r>
    <n v="1056"/>
    <n v="22"/>
    <n v="11"/>
    <n v="347115"/>
    <m/>
    <s v="Bollard - Bolt Down"/>
    <m/>
    <x v="662"/>
    <x v="543"/>
    <n v="2"/>
    <s v="EACH"/>
    <x v="7"/>
    <x v="11"/>
    <s v="spec_site_safety"/>
  </r>
  <r>
    <n v="1057"/>
    <n v="22"/>
    <n v="11"/>
    <n v="347115"/>
    <m/>
    <s v="Guard Rail"/>
    <m/>
    <x v="664"/>
    <x v="545"/>
    <n v="430"/>
    <s v="LF"/>
    <x v="7"/>
    <x v="11"/>
    <s v="spec_site_safety"/>
  </r>
  <r>
    <n v="1058"/>
    <n v="22"/>
    <n v="11"/>
    <n v="347115"/>
    <m/>
    <s v="Guard Rail"/>
    <m/>
    <x v="664"/>
    <x v="545"/>
    <n v="161"/>
    <s v="LF"/>
    <x v="7"/>
    <x v="11"/>
    <s v="spec_site_safety"/>
  </r>
  <r>
    <n v="1059"/>
    <n v="22"/>
    <n v="11"/>
    <n v="347115"/>
    <m/>
    <s v="Precast Concrete Wheel Stop"/>
    <m/>
    <x v="661"/>
    <x v="542"/>
    <n v="8"/>
    <s v="EACH"/>
    <x v="7"/>
    <x v="11"/>
    <s v="spec_site_safety"/>
  </r>
  <r>
    <n v="1060"/>
    <n v="22"/>
    <n v="12"/>
    <n v="111100"/>
    <m/>
    <s v="Cable Retrievers"/>
    <m/>
    <x v="660"/>
    <x v="541"/>
    <n v="38"/>
    <s v="EACH"/>
    <x v="7"/>
    <x v="11"/>
    <s v="spec_site_safety"/>
  </r>
  <r>
    <n v="1061"/>
    <n v="22"/>
    <n v="12"/>
    <n v="260500"/>
    <m/>
    <s v="Electrical Feeds to Enclosed Circuit Breakers (2.5&quot; Conduit)"/>
    <m/>
    <x v="665"/>
    <x v="546"/>
    <n v="2700"/>
    <s v="LF"/>
    <x v="6"/>
    <x v="8"/>
    <s v="spec_power_distribution"/>
  </r>
  <r>
    <n v="1062"/>
    <n v="22"/>
    <n v="12"/>
    <n v="260500"/>
    <m/>
    <s v="Electrical Feeds to Enclosed Circuit Breakers (2.5&quot; Conduit)"/>
    <m/>
    <x v="665"/>
    <x v="546"/>
    <n v="1025"/>
    <s v="LF"/>
    <x v="6"/>
    <x v="8"/>
    <s v="spec_power_distribution"/>
  </r>
  <r>
    <n v="1063"/>
    <n v="22"/>
    <n v="12"/>
    <n v="347115"/>
    <m/>
    <s v="Guard Rail"/>
    <m/>
    <x v="664"/>
    <x v="545"/>
    <n v="98"/>
    <s v="LF"/>
    <x v="7"/>
    <x v="11"/>
    <s v="spec_site_safety"/>
  </r>
  <r>
    <n v="1064"/>
    <n v="22"/>
    <n v="12"/>
    <n v="347115"/>
    <m/>
    <s v="Guard Rail"/>
    <m/>
    <x v="664"/>
    <x v="545"/>
    <n v="82"/>
    <s v="LF"/>
    <x v="7"/>
    <x v="11"/>
    <s v="spec_site_safety"/>
  </r>
  <r>
    <n v="1065"/>
    <n v="22"/>
    <n v="13"/>
    <n v="260500"/>
    <m/>
    <s v="Electrical Feeds to Enclosed Circuit Breakers (2.5&quot; Conduit)"/>
    <m/>
    <x v="665"/>
    <x v="546"/>
    <n v="80"/>
    <s v="LF"/>
    <x v="6"/>
    <x v="8"/>
    <s v="spec_power_distribution"/>
  </r>
  <r>
    <n v="1066"/>
    <n v="22"/>
    <n v="13"/>
    <n v="260500"/>
    <m/>
    <s v="Electrical Feeds to Enclosed Circuit Breakers (2.5&quot; Conduit)"/>
    <m/>
    <x v="665"/>
    <x v="546"/>
    <n v="50"/>
    <s v="LF"/>
    <x v="6"/>
    <x v="8"/>
    <s v="spec_power_distribution"/>
  </r>
  <r>
    <n v="1067"/>
    <n v="22"/>
    <n v="13"/>
    <n v="260500"/>
    <m/>
    <s v="Electrical Feeds to Enclosed Circuit Breakers (3/4&quot; Conduit)"/>
    <m/>
    <x v="666"/>
    <x v="547"/>
    <n v="2660"/>
    <s v="LF"/>
    <x v="6"/>
    <x v="8"/>
    <s v="spec_power_distribution"/>
  </r>
  <r>
    <n v="1068"/>
    <n v="22"/>
    <n v="13"/>
    <n v="260500"/>
    <m/>
    <s v="Electrical Feeds to Enclosed Circuit Breakers (3/4&quot; Conduit)"/>
    <m/>
    <x v="666"/>
    <x v="547"/>
    <n v="1025"/>
    <s v="LF"/>
    <x v="6"/>
    <x v="8"/>
    <s v="spec_power_distribution"/>
  </r>
  <r>
    <n v="1069"/>
    <n v="22"/>
    <n v="13"/>
    <n v="347115"/>
    <m/>
    <s v="Precast Concrete Wheel Stop"/>
    <m/>
    <x v="661"/>
    <x v="542"/>
    <n v="23"/>
    <s v="EACH"/>
    <x v="7"/>
    <x v="11"/>
    <s v="spec_site_safety"/>
  </r>
  <r>
    <n v="1070"/>
    <n v="22"/>
    <n v="14"/>
    <n v="260500"/>
    <m/>
    <s v="Electrical Equipment Rack - Load Share Connected"/>
    <m/>
    <x v="667"/>
    <x v="548"/>
    <n v="23"/>
    <s v="EACH"/>
    <x v="6"/>
    <x v="8"/>
    <s v="spec_power_distribution"/>
  </r>
  <r>
    <n v="1071"/>
    <n v="22"/>
    <n v="14"/>
    <n v="260500"/>
    <m/>
    <s v="Electrical Equipment Rack - Load Share Connected"/>
    <m/>
    <x v="667"/>
    <x v="548"/>
    <n v="9"/>
    <s v="EACH"/>
    <x v="6"/>
    <x v="8"/>
    <s v="spec_power_distribution"/>
  </r>
  <r>
    <n v="1072"/>
    <n v="22"/>
    <n v="14"/>
    <n v="260500"/>
    <m/>
    <s v="Electrical Feeds to Enclosed Circuit Breakers (3/4&quot; Conduit)"/>
    <m/>
    <x v="666"/>
    <x v="547"/>
    <n v="80"/>
    <s v="LF"/>
    <x v="6"/>
    <x v="8"/>
    <s v="spec_power_distribution"/>
  </r>
  <r>
    <n v="1073"/>
    <n v="22"/>
    <n v="14"/>
    <n v="260500"/>
    <m/>
    <s v="Electrical Feeds to Enclosed Circuit Breakers (3/4&quot; Conduit)"/>
    <m/>
    <x v="666"/>
    <x v="547"/>
    <n v="50"/>
    <s v="LF"/>
    <x v="6"/>
    <x v="8"/>
    <s v="spec_power_distribution"/>
  </r>
  <r>
    <n v="1074"/>
    <n v="22"/>
    <n v="14"/>
    <n v="347115"/>
    <m/>
    <s v="Bollard - Bolt Down"/>
    <m/>
    <x v="662"/>
    <x v="543"/>
    <n v="7"/>
    <s v="EACH"/>
    <x v="7"/>
    <x v="11"/>
    <s v="spec_site_safety"/>
  </r>
  <r>
    <n v="1075"/>
    <n v="22"/>
    <n v="15"/>
    <n v="260500"/>
    <m/>
    <s v="Electrical Equipment Rack - Panel Connected"/>
    <m/>
    <x v="668"/>
    <x v="549"/>
    <n v="1"/>
    <s v="EACH"/>
    <x v="6"/>
    <x v="8"/>
    <s v="spec_power_distribution"/>
  </r>
  <r>
    <n v="1076"/>
    <n v="22"/>
    <n v="15"/>
    <n v="260500"/>
    <m/>
    <s v="Electrical Feeds to Panels (Existing 3.5&quot; Conduit)"/>
    <m/>
    <x v="669"/>
    <x v="550"/>
    <n v="70"/>
    <s v="LF"/>
    <x v="6"/>
    <x v="8"/>
    <s v="spec_power_distribution"/>
  </r>
  <r>
    <n v="1077"/>
    <n v="22"/>
    <n v="15"/>
    <n v="263343"/>
    <m/>
    <s v="Electrical Charging Units (Primary Units)"/>
    <m/>
    <x v="670"/>
    <x v="551"/>
    <n v="9"/>
    <s v="EACH"/>
    <x v="6"/>
    <x v="12"/>
    <s v="spec_ev_charging"/>
  </r>
  <r>
    <n v="1078"/>
    <n v="22"/>
    <n v="15"/>
    <n v="347115"/>
    <m/>
    <s v="Guard Rail"/>
    <m/>
    <x v="664"/>
    <x v="545"/>
    <n v="105"/>
    <s v="LF"/>
    <x v="7"/>
    <x v="11"/>
    <s v="spec_site_safety"/>
  </r>
  <r>
    <n v="1079"/>
    <n v="22"/>
    <n v="16"/>
    <n v="260500"/>
    <m/>
    <s v="Electrical Equipment Rack - Panel Connected"/>
    <m/>
    <x v="668"/>
    <x v="549"/>
    <n v="1"/>
    <s v="EACH"/>
    <x v="6"/>
    <x v="8"/>
    <s v="spec_power_distribution"/>
  </r>
  <r>
    <n v="1080"/>
    <n v="22"/>
    <n v="16"/>
    <n v="260500"/>
    <m/>
    <s v="Electrical Feeds to Enclosed Circuit Breakers (2.5&quot; Conduit)"/>
    <m/>
    <x v="665"/>
    <x v="546"/>
    <n v="858"/>
    <s v="LF"/>
    <x v="6"/>
    <x v="8"/>
    <s v="spec_power_distribution"/>
  </r>
  <r>
    <n v="1081"/>
    <n v="22"/>
    <n v="16"/>
    <n v="260500"/>
    <m/>
    <s v="Training"/>
    <m/>
    <x v="671"/>
    <x v="552"/>
    <n v="1"/>
    <s v="LS"/>
    <x v="6"/>
    <x v="8"/>
    <s v="spec_power_distribution"/>
  </r>
  <r>
    <n v="1082"/>
    <n v="22"/>
    <n v="16"/>
    <n v="263343"/>
    <m/>
    <s v="Electrical Charging Units (Primary Units)"/>
    <m/>
    <x v="670"/>
    <x v="551"/>
    <n v="1"/>
    <s v="EACH"/>
    <x v="6"/>
    <x v="12"/>
    <s v="spec_ev_charging"/>
  </r>
  <r>
    <n v="1083"/>
    <n v="22"/>
    <n v="16"/>
    <n v="263343"/>
    <m/>
    <s v="Electrical Charging Units (Secondary Units)"/>
    <m/>
    <x v="672"/>
    <x v="553"/>
    <n v="14"/>
    <s v="EACH"/>
    <x v="6"/>
    <x v="12"/>
    <s v="spec_ev_charging"/>
  </r>
  <r>
    <n v="1084"/>
    <n v="22"/>
    <n v="17"/>
    <n v="260500"/>
    <m/>
    <s v="Electrical Feeds to Enclosed Circuit Breakers (3/4&quot; Conduit)"/>
    <m/>
    <x v="666"/>
    <x v="547"/>
    <n v="868"/>
    <s v="LF"/>
    <x v="6"/>
    <x v="8"/>
    <s v="spec_power_distribution"/>
  </r>
  <r>
    <n v="1085"/>
    <n v="22"/>
    <n v="17"/>
    <n v="260500"/>
    <m/>
    <s v="New Electrical Panels"/>
    <s v="800A"/>
    <x v="673"/>
    <x v="554"/>
    <n v="2"/>
    <s v="EACH"/>
    <x v="6"/>
    <x v="8"/>
    <s v="spec_power_distribution"/>
  </r>
  <r>
    <n v="1086"/>
    <n v="22"/>
    <n v="17"/>
    <n v="263343"/>
    <m/>
    <s v="Electrical Charging Units (Primary Units)"/>
    <m/>
    <x v="670"/>
    <x v="551"/>
    <n v="24"/>
    <s v="EACH"/>
    <x v="6"/>
    <x v="12"/>
    <s v="spec_ev_charging"/>
  </r>
  <r>
    <n v="1087"/>
    <n v="22"/>
    <n v="17"/>
    <n v="263343"/>
    <m/>
    <s v="Electrical Charging Units (Secondary Units)"/>
    <m/>
    <x v="672"/>
    <x v="553"/>
    <n v="3"/>
    <s v="EACH"/>
    <x v="6"/>
    <x v="12"/>
    <s v="spec_ev_charging"/>
  </r>
  <r>
    <n v="1088"/>
    <n v="22"/>
    <n v="17"/>
    <n v="271000"/>
    <m/>
    <s v="Network Termination Enclosure"/>
    <m/>
    <x v="674"/>
    <x v="555"/>
    <n v="14"/>
    <s v="EACH"/>
    <x v="6"/>
    <x v="10"/>
    <s v="spec_telecom_it"/>
  </r>
  <r>
    <n v="1089"/>
    <n v="22"/>
    <n v="18"/>
    <n v="260500"/>
    <m/>
    <s v="Electrical Feeds to Panels (Existing 3.5&quot; Conduit)"/>
    <m/>
    <x v="669"/>
    <x v="550"/>
    <n v="1600"/>
    <s v="LF"/>
    <x v="6"/>
    <x v="8"/>
    <s v="spec_power_distribution"/>
  </r>
  <r>
    <n v="1090"/>
    <n v="22"/>
    <n v="18"/>
    <n v="263343"/>
    <m/>
    <s v="Electrical Charging Units (Primary Units)"/>
    <m/>
    <x v="670"/>
    <x v="551"/>
    <n v="1"/>
    <s v="EACH"/>
    <x v="6"/>
    <x v="12"/>
    <s v="spec_ev_charging"/>
  </r>
  <r>
    <n v="1091"/>
    <n v="22"/>
    <n v="18"/>
    <n v="263343"/>
    <m/>
    <s v="Electrical Charging Units (Secondary Units)"/>
    <m/>
    <x v="672"/>
    <x v="553"/>
    <n v="36"/>
    <s v="EACH"/>
    <x v="6"/>
    <x v="12"/>
    <s v="spec_ev_charging"/>
  </r>
  <r>
    <n v="1092"/>
    <n v="22"/>
    <n v="18"/>
    <n v="271000"/>
    <m/>
    <s v="Data Equipment Rack &amp; Data Connections 1&quot; Conduit"/>
    <m/>
    <x v="675"/>
    <x v="556"/>
    <n v="900"/>
    <s v="LF"/>
    <x v="6"/>
    <x v="10"/>
    <s v="spec_telecom_it"/>
  </r>
  <r>
    <n v="1093"/>
    <n v="22"/>
    <n v="18"/>
    <n v="271000"/>
    <m/>
    <s v="Network Termination Enclosure"/>
    <m/>
    <x v="674"/>
    <x v="555"/>
    <n v="1"/>
    <s v="EACH"/>
    <x v="6"/>
    <x v="10"/>
    <s v="spec_telecom_it"/>
  </r>
  <r>
    <n v="1094"/>
    <n v="22"/>
    <n v="19"/>
    <n v="260500"/>
    <m/>
    <s v="Electrical Equipment Rack - Panel Connected"/>
    <m/>
    <x v="668"/>
    <x v="549"/>
    <n v="6"/>
    <s v="EACH"/>
    <x v="6"/>
    <x v="8"/>
    <s v="spec_power_distribution"/>
  </r>
  <r>
    <n v="1095"/>
    <n v="22"/>
    <n v="19"/>
    <n v="263343"/>
    <m/>
    <s v="Electrical Charging Units (Secondary Units)"/>
    <m/>
    <x v="672"/>
    <x v="553"/>
    <n v="2"/>
    <s v="EACH"/>
    <x v="6"/>
    <x v="12"/>
    <s v="spec_ev_charging"/>
  </r>
  <r>
    <n v="1096"/>
    <n v="22"/>
    <n v="19"/>
    <n v="271000"/>
    <m/>
    <s v="Data Drop to Each Enclosure and Chargers"/>
    <m/>
    <x v="676"/>
    <x v="557"/>
    <n v="23"/>
    <s v="EACH"/>
    <x v="6"/>
    <x v="10"/>
    <s v="spec_telecom_it"/>
  </r>
  <r>
    <n v="1097"/>
    <n v="22"/>
    <n v="19"/>
    <n v="271000"/>
    <m/>
    <s v="Data Equipment Rack &amp; Data Connections 1&quot; Conduit"/>
    <m/>
    <x v="675"/>
    <x v="556"/>
    <n v="100"/>
    <s v="LF"/>
    <x v="6"/>
    <x v="10"/>
    <s v="spec_telecom_it"/>
  </r>
  <r>
    <n v="1098"/>
    <n v="22"/>
    <n v="19"/>
    <n v="271000"/>
    <m/>
    <s v="Network Termination Enclosure"/>
    <m/>
    <x v="674"/>
    <x v="555"/>
    <n v="30"/>
    <s v="EACH"/>
    <x v="6"/>
    <x v="10"/>
    <s v="spec_telecom_it"/>
  </r>
  <r>
    <n v="1099"/>
    <n v="22"/>
    <n v="20"/>
    <n v="260500"/>
    <m/>
    <s v="New Electrical Panels"/>
    <s v="800A"/>
    <x v="673"/>
    <x v="554"/>
    <n v="2"/>
    <s v="EACH"/>
    <x v="6"/>
    <x v="8"/>
    <s v="spec_power_distribution"/>
  </r>
  <r>
    <n v="1100"/>
    <n v="22"/>
    <n v="20"/>
    <n v="271000"/>
    <m/>
    <s v="Data Drop to Each Enclosure and Chargers"/>
    <m/>
    <x v="676"/>
    <x v="557"/>
    <n v="4"/>
    <s v="EACH"/>
    <x v="6"/>
    <x v="10"/>
    <s v="spec_telecom_it"/>
  </r>
  <r>
    <n v="1101"/>
    <n v="22"/>
    <n v="20"/>
    <n v="271000"/>
    <m/>
    <s v="Data Equipment Rack &amp; Data Connections 1&quot; Conduit"/>
    <m/>
    <x v="675"/>
    <x v="556"/>
    <n v="2400"/>
    <s v="LF"/>
    <x v="6"/>
    <x v="10"/>
    <s v="spec_telecom_it"/>
  </r>
  <r>
    <n v="1102"/>
    <n v="22"/>
    <n v="20"/>
    <n v="271000"/>
    <m/>
    <s v="Network Termination Enclosure"/>
    <m/>
    <x v="674"/>
    <x v="555"/>
    <n v="1"/>
    <s v="EACH"/>
    <x v="6"/>
    <x v="10"/>
    <s v="spec_telecom_it"/>
  </r>
  <r>
    <n v="1103"/>
    <n v="22"/>
    <n v="21"/>
    <n v="263343"/>
    <m/>
    <s v="Electrical Charging Units (Primary Units)"/>
    <m/>
    <x v="670"/>
    <x v="551"/>
    <n v="6"/>
    <s v="EACH"/>
    <x v="6"/>
    <x v="12"/>
    <s v="spec_ev_charging"/>
  </r>
  <r>
    <n v="1104"/>
    <n v="22"/>
    <n v="21"/>
    <n v="271000"/>
    <m/>
    <s v="Data Drop to Each Enclosure and Chargers"/>
    <m/>
    <x v="676"/>
    <x v="557"/>
    <n v="61"/>
    <s v="EACH"/>
    <x v="6"/>
    <x v="10"/>
    <s v="spec_telecom_it"/>
  </r>
  <r>
    <n v="1105"/>
    <n v="22"/>
    <n v="21"/>
    <n v="271000"/>
    <m/>
    <s v="Data Equipment Rack &amp; Data Connections 1&quot; Conduit"/>
    <m/>
    <x v="675"/>
    <x v="556"/>
    <n v="100"/>
    <s v="LF"/>
    <x v="6"/>
    <x v="10"/>
    <s v="spec_telecom_it"/>
  </r>
  <r>
    <n v="1106"/>
    <n v="22"/>
    <n v="22"/>
    <n v="263343"/>
    <m/>
    <s v="Electrical Charging Units (Secondary Units)"/>
    <m/>
    <x v="672"/>
    <x v="553"/>
    <n v="13"/>
    <s v="EACH"/>
    <x v="6"/>
    <x v="12"/>
    <s v="spec_ev_charging"/>
  </r>
  <r>
    <n v="1107"/>
    <n v="22"/>
    <n v="22"/>
    <n v="271000"/>
    <m/>
    <s v="Data Drop to Each Enclosure and Chargers"/>
    <m/>
    <x v="676"/>
    <x v="557"/>
    <n v="3"/>
    <s v="EACH"/>
    <x v="6"/>
    <x v="10"/>
    <s v="spec_telecom_it"/>
  </r>
  <r>
    <n v="1108"/>
    <n v="22"/>
    <n v="23"/>
    <n v="271000"/>
    <m/>
    <s v="Network Termination Enclosure"/>
    <m/>
    <x v="674"/>
    <x v="555"/>
    <n v="6"/>
    <s v="EACH"/>
    <x v="6"/>
    <x v="10"/>
    <s v="spec_telecom_it"/>
  </r>
  <r>
    <n v="1109"/>
    <n v="22"/>
    <n v="24"/>
    <n v="271000"/>
    <m/>
    <s v="Data Equipment Rack &amp; Data Connections 1&quot; Conduit"/>
    <m/>
    <x v="675"/>
    <x v="556"/>
    <n v="878"/>
    <s v="LF"/>
    <x v="6"/>
    <x v="10"/>
    <s v="spec_telecom_it"/>
  </r>
  <r>
    <n v="1110"/>
    <n v="22"/>
    <n v="25"/>
    <n v="271000"/>
    <m/>
    <s v="Data Drop to Each Enclosure and Chargers"/>
    <m/>
    <x v="676"/>
    <x v="557"/>
    <n v="19"/>
    <s v="EACH"/>
    <x v="6"/>
    <x v="10"/>
    <s v="spec_telecom_it"/>
  </r>
  <r>
    <n v="1111"/>
    <n v="23"/>
    <n v="1"/>
    <n v="12200"/>
    <m/>
    <s v="Sweeper"/>
    <m/>
    <x v="31"/>
    <x v="30"/>
    <n v="1"/>
    <s v="LS"/>
    <x v="0"/>
    <x v="0"/>
    <s v="spec_temp_traffic"/>
  </r>
  <r>
    <n v="1112"/>
    <n v="23"/>
    <n v="1"/>
    <s v="C-105"/>
    <m/>
    <s v="Mobilization"/>
    <m/>
    <x v="286"/>
    <x v="235"/>
    <n v="1"/>
    <s v="LS"/>
    <x v="0"/>
    <x v="0"/>
    <s v="spec_temp_traffic"/>
  </r>
  <r>
    <n v="1113"/>
    <n v="23"/>
    <n v="2"/>
    <n v="12200"/>
    <m/>
    <s v="Security Control Monitoring"/>
    <m/>
    <x v="32"/>
    <x v="31"/>
    <n v="1"/>
    <s v="LS"/>
    <x v="0"/>
    <x v="0"/>
    <s v="spec_temp_traffic"/>
  </r>
  <r>
    <n v="1114"/>
    <n v="23"/>
    <n v="2"/>
    <s v="P-101"/>
    <m/>
    <s v="Cold Milling"/>
    <s v="3-5 Inch"/>
    <x v="677"/>
    <x v="41"/>
    <n v="7200"/>
    <s v="SY"/>
    <x v="3"/>
    <x v="3"/>
    <s v="spec_paving_earthwork"/>
  </r>
  <r>
    <n v="1115"/>
    <n v="23"/>
    <n v="3"/>
    <n v="12200"/>
    <m/>
    <s v="Work Zone Traffic Control"/>
    <m/>
    <x v="678"/>
    <x v="558"/>
    <n v="1"/>
    <s v="LS"/>
    <x v="0"/>
    <x v="0"/>
    <s v="spec_temp_traffic"/>
  </r>
  <r>
    <n v="1116"/>
    <n v="23"/>
    <n v="3"/>
    <s v="P-401"/>
    <m/>
    <s v="Asphalt Surface Course"/>
    <m/>
    <x v="300"/>
    <x v="239"/>
    <n v="1420"/>
    <s v="TON"/>
    <x v="3"/>
    <x v="3"/>
    <s v="spec_paving_earthwork"/>
  </r>
  <r>
    <n v="1117"/>
    <n v="23"/>
    <n v="4"/>
    <n v="12200"/>
    <m/>
    <s v="Escort"/>
    <m/>
    <x v="34"/>
    <x v="33"/>
    <n v="1"/>
    <s v="LS"/>
    <x v="0"/>
    <x v="0"/>
    <s v="spec_temp_traffic"/>
  </r>
  <r>
    <n v="1118"/>
    <n v="23"/>
    <n v="4"/>
    <s v="P-603"/>
    <m/>
    <s v="Emulsified Asphalt Tack Coat"/>
    <m/>
    <x v="305"/>
    <x v="242"/>
    <n v="1520"/>
    <s v="GAL"/>
    <x v="3"/>
    <x v="3"/>
    <s v="spec_paving_earthwork"/>
  </r>
  <r>
    <n v="1119"/>
    <n v="23"/>
    <n v="5"/>
    <s v="C-102"/>
    <m/>
    <s v="Inlet Protection"/>
    <m/>
    <x v="679"/>
    <x v="559"/>
    <n v="21"/>
    <s v="EACH"/>
    <x v="0"/>
    <x v="0"/>
    <s v="spec_temp_traffic"/>
  </r>
  <r>
    <n v="1120"/>
    <n v="23"/>
    <n v="5"/>
    <s v="P-620"/>
    <m/>
    <s v="Permanent Pavement Marking"/>
    <m/>
    <x v="680"/>
    <x v="560"/>
    <n v="3111"/>
    <s v="SF"/>
    <x v="3"/>
    <x v="3"/>
    <s v="spec_paving_earthwork"/>
  </r>
  <r>
    <n v="1121"/>
    <n v="23"/>
    <n v="6"/>
    <s v="C-105"/>
    <m/>
    <s v="Mobilization"/>
    <m/>
    <x v="286"/>
    <x v="235"/>
    <n v="1"/>
    <s v="LS"/>
    <x v="0"/>
    <x v="0"/>
    <s v="spec_temp_traffic"/>
  </r>
  <r>
    <n v="1122"/>
    <n v="23"/>
    <n v="6"/>
    <s v="P-620"/>
    <m/>
    <s v="Reflective Media"/>
    <m/>
    <x v="63"/>
    <x v="60"/>
    <n v="86"/>
    <s v="LB"/>
    <x v="3"/>
    <x v="3"/>
    <s v="spec_paving_earthwork"/>
  </r>
  <r>
    <n v="1123"/>
    <n v="23"/>
    <n v="7"/>
    <s v="P-101"/>
    <m/>
    <s v="Pavement Removal"/>
    <s v="Full Depth Asphalt Concrete, 4-17.5 Inches"/>
    <x v="681"/>
    <x v="561"/>
    <n v="18390"/>
    <s v="SY"/>
    <x v="3"/>
    <x v="3"/>
    <s v="spec_paving_earthwork"/>
  </r>
  <r>
    <n v="1124"/>
    <n v="23"/>
    <n v="7"/>
    <s v="P-620"/>
    <m/>
    <s v="Temporary Pavement Marking"/>
    <m/>
    <x v="682"/>
    <x v="562"/>
    <n v="482"/>
    <s v="SF"/>
    <x v="3"/>
    <x v="3"/>
    <s v="spec_paving_earthwork"/>
  </r>
  <r>
    <n v="1125"/>
    <n v="23"/>
    <n v="8"/>
    <n v="26100"/>
    <m/>
    <s v="Contaminated Material Excavation and Disposal"/>
    <m/>
    <x v="81"/>
    <x v="75"/>
    <n v="50"/>
    <s v="TON"/>
    <x v="2"/>
    <x v="2"/>
    <s v="spec_demo_remediation"/>
  </r>
  <r>
    <n v="1126"/>
    <n v="23"/>
    <n v="8"/>
    <s v="P-101"/>
    <m/>
    <s v="Joint and Crack Repair"/>
    <m/>
    <x v="40"/>
    <x v="39"/>
    <n v="1000"/>
    <s v="LF"/>
    <x v="3"/>
    <x v="3"/>
    <s v="spec_paving_earthwork"/>
  </r>
  <r>
    <n v="1127"/>
    <n v="23"/>
    <n v="9"/>
    <s v="L-108"/>
    <m/>
    <s v="No. 8 AWG, 5kV, L-824, Type C Cable, Installed in Trench, Duct Bank or Conduit"/>
    <m/>
    <x v="683"/>
    <x v="563"/>
    <n v="960"/>
    <s v="LF"/>
    <x v="6"/>
    <x v="7"/>
    <s v="spec_airfield_lighting"/>
  </r>
  <r>
    <n v="1128"/>
    <n v="23"/>
    <n v="9"/>
    <s v="P-101"/>
    <m/>
    <s v="Cold Milling"/>
    <s v="3-5 Inch"/>
    <x v="677"/>
    <x v="41"/>
    <n v="16460"/>
    <s v="SY"/>
    <x v="3"/>
    <x v="3"/>
    <s v="spec_paving_earthwork"/>
  </r>
  <r>
    <n v="1129"/>
    <n v="23"/>
    <n v="10"/>
    <n v="344300"/>
    <m/>
    <s v="Install Elevated Taxiway Edge Light on Existing Base Can with PF Transformer"/>
    <m/>
    <x v="684"/>
    <x v="564"/>
    <n v="18"/>
    <s v="EACH"/>
    <x v="6"/>
    <x v="7"/>
    <s v="spec_airfield_lighting"/>
  </r>
  <r>
    <n v="1130"/>
    <n v="23"/>
    <n v="10"/>
    <s v="P-101"/>
    <m/>
    <s v="Removal of Pipe and other Buried Structures"/>
    <m/>
    <x v="295"/>
    <x v="237"/>
    <n v="1"/>
    <s v="LS"/>
    <x v="3"/>
    <x v="3"/>
    <s v="spec_paving_earthwork"/>
  </r>
  <r>
    <n v="1131"/>
    <n v="23"/>
    <n v="11"/>
    <n v="344301"/>
    <m/>
    <s v="Adjust Existing Taxiway Centerline Light to New Finish Elevation"/>
    <m/>
    <x v="632"/>
    <x v="517"/>
    <n v="4"/>
    <s v="EACH"/>
    <x v="6"/>
    <x v="7"/>
    <s v="spec_airfield_lighting"/>
  </r>
  <r>
    <n v="1132"/>
    <n v="23"/>
    <n v="11"/>
    <s v="P-152"/>
    <m/>
    <s v="Unclassified Excavation"/>
    <m/>
    <x v="207"/>
    <x v="164"/>
    <n v="14988"/>
    <s v="CY"/>
    <x v="3"/>
    <x v="3"/>
    <s v="spec_paving_earthwork"/>
  </r>
  <r>
    <n v="1133"/>
    <n v="23"/>
    <n v="12"/>
    <s v="P-152"/>
    <m/>
    <s v="Existing Subgrade Stabilzation"/>
    <m/>
    <x v="626"/>
    <x v="322"/>
    <n v="744"/>
    <s v="CY"/>
    <x v="3"/>
    <x v="3"/>
    <s v="spec_paving_earthwork"/>
  </r>
  <r>
    <n v="1134"/>
    <n v="23"/>
    <n v="13"/>
    <s v="P-154"/>
    <m/>
    <s v="Subbase Course"/>
    <m/>
    <x v="54"/>
    <x v="51"/>
    <n v="4700"/>
    <s v="CY"/>
    <x v="3"/>
    <x v="3"/>
    <s v="spec_paving_earthwork"/>
  </r>
  <r>
    <n v="1135"/>
    <n v="23"/>
    <n v="14"/>
    <s v="P-154"/>
    <m/>
    <s v="Separation Geotextile"/>
    <m/>
    <x v="299"/>
    <x v="238"/>
    <n v="24800"/>
    <s v="SY"/>
    <x v="3"/>
    <x v="3"/>
    <s v="spec_paving_earthwork"/>
  </r>
  <r>
    <n v="1136"/>
    <n v="23"/>
    <n v="15"/>
    <s v="P-209"/>
    <m/>
    <s v="Crushed Aggregate Base Course"/>
    <m/>
    <x v="57"/>
    <x v="54"/>
    <n v="8150"/>
    <s v="CY"/>
    <x v="3"/>
    <x v="3"/>
    <s v="spec_paving_earthwork"/>
  </r>
  <r>
    <n v="1137"/>
    <n v="23"/>
    <n v="16"/>
    <s v="P-401"/>
    <m/>
    <s v="Asphalt Surface Course"/>
    <m/>
    <x v="300"/>
    <x v="239"/>
    <n v="8760"/>
    <s v="TON"/>
    <x v="3"/>
    <x v="3"/>
    <s v="spec_paving_earthwork"/>
  </r>
  <r>
    <n v="1138"/>
    <n v="23"/>
    <n v="17"/>
    <s v="P-403"/>
    <m/>
    <s v="Asphalt Mixture Base Course"/>
    <m/>
    <x v="350"/>
    <x v="276"/>
    <n v="11540"/>
    <s v="TON"/>
    <x v="3"/>
    <x v="3"/>
    <s v="spec_paving_earthwork"/>
  </r>
  <r>
    <n v="1139"/>
    <n v="23"/>
    <n v="18"/>
    <s v="P-603"/>
    <m/>
    <s v="Emulsified Asphalt Tack Coat"/>
    <m/>
    <x v="305"/>
    <x v="242"/>
    <n v="8710"/>
    <s v="GAL"/>
    <x v="3"/>
    <x v="3"/>
    <s v="spec_paving_earthwork"/>
  </r>
  <r>
    <n v="1140"/>
    <n v="23"/>
    <n v="19"/>
    <s v="P-605"/>
    <m/>
    <s v="Joint Sealing Filler"/>
    <m/>
    <x v="53"/>
    <x v="50"/>
    <n v="122"/>
    <s v="GAL"/>
    <x v="3"/>
    <x v="3"/>
    <s v="spec_paving_earthwork"/>
  </r>
  <r>
    <n v="1141"/>
    <n v="23"/>
    <n v="20"/>
    <s v="P-606"/>
    <m/>
    <s v="Adhesive Compound"/>
    <m/>
    <x v="55"/>
    <x v="52"/>
    <n v="88"/>
    <s v="GAL"/>
    <x v="3"/>
    <x v="3"/>
    <s v="spec_paving_earthwork"/>
  </r>
  <r>
    <n v="1142"/>
    <n v="23"/>
    <n v="21"/>
    <s v="P-610"/>
    <m/>
    <s v="Structural Portland Cement Concrete"/>
    <m/>
    <x v="213"/>
    <x v="170"/>
    <n v="89"/>
    <s v="CY"/>
    <x v="3"/>
    <x v="3"/>
    <s v="spec_paving_earthwork"/>
  </r>
  <r>
    <n v="1143"/>
    <n v="23"/>
    <n v="22"/>
    <s v="P-620"/>
    <m/>
    <s v="Surface Preparation"/>
    <m/>
    <x v="685"/>
    <x v="565"/>
    <n v="1"/>
    <s v="LS"/>
    <x v="3"/>
    <x v="3"/>
    <s v="spec_paving_earthwork"/>
  </r>
  <r>
    <n v="1144"/>
    <n v="23"/>
    <n v="23"/>
    <s v="P-620"/>
    <m/>
    <s v="Permanent Pavement Marking"/>
    <m/>
    <x v="680"/>
    <x v="560"/>
    <n v="29101"/>
    <s v="SF"/>
    <x v="3"/>
    <x v="3"/>
    <s v="spec_paving_earthwork"/>
  </r>
  <r>
    <n v="1145"/>
    <n v="23"/>
    <n v="24"/>
    <s v="P-620"/>
    <m/>
    <s v="Reflective Media"/>
    <m/>
    <x v="63"/>
    <x v="60"/>
    <n v="805"/>
    <s v="LB"/>
    <x v="3"/>
    <x v="3"/>
    <s v="spec_paving_earthwork"/>
  </r>
  <r>
    <n v="1146"/>
    <n v="23"/>
    <n v="25"/>
    <s v="P-620"/>
    <m/>
    <s v="Temporary Pavement Marking"/>
    <m/>
    <x v="682"/>
    <x v="562"/>
    <n v="10668"/>
    <s v="SF"/>
    <x v="3"/>
    <x v="3"/>
    <s v="spec_paving_earthwork"/>
  </r>
  <r>
    <n v="1147"/>
    <n v="23"/>
    <n v="26"/>
    <s v="D-701"/>
    <m/>
    <s v="STS Drain Pipe"/>
    <s v="18-inch"/>
    <x v="686"/>
    <x v="566"/>
    <n v="393"/>
    <s v="LF"/>
    <x v="5"/>
    <x v="6"/>
    <s v="spec_drainage_structures"/>
  </r>
  <r>
    <n v="1148"/>
    <n v="23"/>
    <n v="27"/>
    <s v="D-701"/>
    <m/>
    <s v="STS Drain Pipe"/>
    <s v="24-inch"/>
    <x v="687"/>
    <x v="566"/>
    <n v="1220"/>
    <s v="LF"/>
    <x v="5"/>
    <x v="6"/>
    <s v="spec_drainage_structures"/>
  </r>
  <r>
    <n v="1149"/>
    <n v="23"/>
    <n v="28"/>
    <s v="D-705"/>
    <m/>
    <s v="Perforated Underdrain Pipe"/>
    <s v="6-inch"/>
    <x v="688"/>
    <x v="567"/>
    <n v="2325"/>
    <s v="LF"/>
    <x v="5"/>
    <x v="6"/>
    <s v="spec_drainage_structures"/>
  </r>
  <r>
    <n v="1150"/>
    <n v="23"/>
    <n v="29"/>
    <s v="D-705"/>
    <m/>
    <s v="Non - Perforated Underdrain Pipe"/>
    <s v="6-inch"/>
    <x v="689"/>
    <x v="568"/>
    <n v="174"/>
    <s v="LF"/>
    <x v="5"/>
    <x v="6"/>
    <s v="spec_drainage_structures"/>
  </r>
  <r>
    <n v="1151"/>
    <n v="23"/>
    <n v="30"/>
    <s v="D-751"/>
    <m/>
    <s v="Manholes"/>
    <s v="60-Inch"/>
    <x v="690"/>
    <x v="339"/>
    <n v="5"/>
    <s v="EACH"/>
    <x v="5"/>
    <x v="6"/>
    <s v="spec_drainage_structures"/>
  </r>
  <r>
    <n v="1152"/>
    <n v="23"/>
    <n v="31"/>
    <s v="D-751"/>
    <m/>
    <s v="Catch Basins"/>
    <m/>
    <x v="220"/>
    <x v="173"/>
    <n v="3"/>
    <s v="EACH"/>
    <x v="5"/>
    <x v="6"/>
    <s v="spec_drainage_structures"/>
  </r>
  <r>
    <n v="1153"/>
    <n v="23"/>
    <n v="32"/>
    <s v="D-751"/>
    <m/>
    <s v="Underdrain Cleanout"/>
    <m/>
    <x v="691"/>
    <x v="569"/>
    <n v="12"/>
    <s v="EACH"/>
    <x v="5"/>
    <x v="6"/>
    <s v="spec_drainage_structures"/>
  </r>
  <r>
    <n v="1154"/>
    <n v="23"/>
    <n v="33"/>
    <s v="D-751"/>
    <m/>
    <s v="Connect to Existing Catch Basin/Manhole"/>
    <m/>
    <x v="692"/>
    <x v="570"/>
    <n v="5"/>
    <s v="EACH"/>
    <x v="5"/>
    <x v="6"/>
    <s v="spec_drainage_structures"/>
  </r>
  <r>
    <n v="1155"/>
    <n v="23"/>
    <n v="34"/>
    <s v="D-751"/>
    <m/>
    <s v="Manhole Catch Basin"/>
    <s v="60-Inch"/>
    <x v="693"/>
    <x v="571"/>
    <n v="1"/>
    <s v="EACH"/>
    <x v="5"/>
    <x v="6"/>
    <s v="spec_drainage_structures"/>
  </r>
  <r>
    <n v="1156"/>
    <n v="23"/>
    <n v="35"/>
    <s v="T-901"/>
    <m/>
    <s v="Seeding"/>
    <m/>
    <x v="86"/>
    <x v="79"/>
    <n v="3"/>
    <s v="ACRE"/>
    <x v="1"/>
    <x v="1"/>
    <s v="spec_landscape"/>
  </r>
  <r>
    <n v="1157"/>
    <n v="23"/>
    <n v="36"/>
    <s v="T-905"/>
    <m/>
    <s v="Topsoil (Obtained on Site or Removed from Stockpile)"/>
    <s v="3&quot;"/>
    <x v="694"/>
    <x v="253"/>
    <n v="1113"/>
    <s v="CY"/>
    <x v="1"/>
    <x v="1"/>
    <s v="spec_landscape"/>
  </r>
  <r>
    <n v="1158"/>
    <n v="23"/>
    <n v="37"/>
    <s v="L-108"/>
    <m/>
    <s v="No. 8 AWG, 5kV, L-824, Type C Cable, Installed in Trench, Duct Bank or Conduit"/>
    <m/>
    <x v="683"/>
    <x v="563"/>
    <n v="16545"/>
    <s v="LF"/>
    <x v="6"/>
    <x v="7"/>
    <s v="spec_airfield_lighting"/>
  </r>
  <r>
    <n v="1159"/>
    <n v="23"/>
    <n v="38"/>
    <s v="L-108"/>
    <m/>
    <s v="No. 12 AWG, 600V, Cable, Installed in Conduit"/>
    <m/>
    <x v="695"/>
    <x v="572"/>
    <n v="5720"/>
    <s v="LF"/>
    <x v="6"/>
    <x v="7"/>
    <s v="spec_airfield_lighting"/>
  </r>
  <r>
    <n v="1160"/>
    <n v="23"/>
    <n v="39"/>
    <s v="L-108"/>
    <m/>
    <s v="No. 6 AWG, Solid, Bare Counterpoise Wire, Installed in Trench, Above the Duct Bank or Conduit, Including Connections/Terminations"/>
    <m/>
    <x v="696"/>
    <x v="573"/>
    <n v="3765"/>
    <s v="LF"/>
    <x v="6"/>
    <x v="7"/>
    <s v="spec_airfield_lighting"/>
  </r>
  <r>
    <n v="1161"/>
    <n v="23"/>
    <n v="40"/>
    <s v="L-108"/>
    <m/>
    <s v="Counterpoise Ground Rod"/>
    <s v="10-Ft Long"/>
    <x v="697"/>
    <x v="178"/>
    <n v="12"/>
    <s v="EACH"/>
    <x v="6"/>
    <x v="7"/>
    <s v="spec_airfield_lighting"/>
  </r>
  <r>
    <n v="1162"/>
    <n v="23"/>
    <n v="41"/>
    <s v="L-110"/>
    <m/>
    <s v="PVC Encased in Concrete in new Structural AC"/>
    <s v="2-Inch"/>
    <x v="698"/>
    <x v="574"/>
    <n v="1410"/>
    <s v="LF"/>
    <x v="6"/>
    <x v="7"/>
    <s v="spec_airfield_lighting"/>
  </r>
  <r>
    <n v="1163"/>
    <n v="23"/>
    <n v="42"/>
    <s v="L-110"/>
    <m/>
    <s v="PVC in Existing Structural AC"/>
    <s v="2-Inch"/>
    <x v="699"/>
    <x v="575"/>
    <n v="100"/>
    <s v="LF"/>
    <x v="6"/>
    <x v="7"/>
    <s v="spec_airfield_lighting"/>
  </r>
  <r>
    <n v="1164"/>
    <n v="23"/>
    <n v="43"/>
    <s v="L-110"/>
    <m/>
    <s v="PVC Direct Buried in Grass"/>
    <s v="2-Inch"/>
    <x v="270"/>
    <x v="223"/>
    <n v="155"/>
    <s v="LF"/>
    <x v="6"/>
    <x v="7"/>
    <s v="spec_airfield_lighting"/>
  </r>
  <r>
    <n v="1165"/>
    <n v="23"/>
    <n v="44"/>
    <s v="L-110"/>
    <m/>
    <s v="PVC under New AC Shoulder"/>
    <s v="2-Inch"/>
    <x v="700"/>
    <x v="576"/>
    <n v="2815"/>
    <s v="LF"/>
    <x v="6"/>
    <x v="7"/>
    <s v="spec_airfield_lighting"/>
  </r>
  <r>
    <n v="1166"/>
    <n v="23"/>
    <n v="45"/>
    <s v="L-110"/>
    <m/>
    <s v="IMC under New AC Shoulder"/>
    <s v="1.5-Inch"/>
    <x v="701"/>
    <x v="577"/>
    <n v="30"/>
    <s v="LF"/>
    <x v="6"/>
    <x v="7"/>
    <s v="spec_airfield_lighting"/>
  </r>
  <r>
    <n v="1167"/>
    <n v="23"/>
    <n v="46"/>
    <n v="265000"/>
    <m/>
    <s v="General Electrical Removal"/>
    <m/>
    <x v="702"/>
    <x v="578"/>
    <n v="1"/>
    <s v="LS"/>
    <x v="6"/>
    <x v="8"/>
    <s v="spec_power_distribution"/>
  </r>
  <r>
    <n v="1168"/>
    <n v="23"/>
    <n v="47"/>
    <n v="265000"/>
    <m/>
    <s v="Temporary Circuit Connection"/>
    <m/>
    <x v="703"/>
    <x v="579"/>
    <n v="1"/>
    <s v="LS"/>
    <x v="6"/>
    <x v="8"/>
    <s v="spec_power_distribution"/>
  </r>
  <r>
    <n v="1169"/>
    <n v="23"/>
    <n v="48"/>
    <n v="344300"/>
    <m/>
    <s v="Install Elevated Taxiway Edge Light on Existing Base Can with PF Transformer"/>
    <m/>
    <x v="684"/>
    <x v="564"/>
    <n v="31"/>
    <s v="EACH"/>
    <x v="6"/>
    <x v="7"/>
    <s v="spec_airfield_lighting"/>
  </r>
  <r>
    <n v="1170"/>
    <n v="23"/>
    <n v="49"/>
    <n v="344300"/>
    <m/>
    <s v="Install Elevated Runway Guard Light on Existing Base Can with PF Transformer"/>
    <m/>
    <x v="704"/>
    <x v="580"/>
    <n v="1"/>
    <s v="EACH"/>
    <x v="6"/>
    <x v="7"/>
    <s v="spec_airfield_lighting"/>
  </r>
  <r>
    <n v="1171"/>
    <n v="23"/>
    <n v="50"/>
    <n v="344300"/>
    <m/>
    <s v="Install Elevated Red Stop Bar Light on Existing Base Can with PF Transformer"/>
    <m/>
    <x v="705"/>
    <x v="581"/>
    <n v="1"/>
    <s v="EACH"/>
    <x v="6"/>
    <x v="7"/>
    <s v="spec_airfield_lighting"/>
  </r>
  <r>
    <n v="1172"/>
    <n v="23"/>
    <n v="51"/>
    <n v="344300"/>
    <m/>
    <s v="Install Taxiway Centerline Light on PF Base Can, PF Extension, PF Flange Ring, and CF Transformer"/>
    <m/>
    <x v="706"/>
    <x v="582"/>
    <n v="28"/>
    <s v="EACH"/>
    <x v="6"/>
    <x v="7"/>
    <s v="spec_airfield_lighting"/>
  </r>
  <r>
    <n v="1173"/>
    <n v="23"/>
    <n v="52"/>
    <n v="344300"/>
    <m/>
    <s v="Install Taxiway Edge Light on PF Base Can, PF Extension, PF Flange Ring, and CF Transformer"/>
    <m/>
    <x v="707"/>
    <x v="583"/>
    <n v="38"/>
    <s v="EACH"/>
    <x v="6"/>
    <x v="7"/>
    <s v="spec_airfield_lighting"/>
  </r>
  <r>
    <n v="1174"/>
    <n v="23"/>
    <n v="53"/>
    <n v="344300"/>
    <m/>
    <s v="Install Elevated Runway Guard Light on PF Base Can, PF Extension, PF Flange Ring, and CF Transformer"/>
    <m/>
    <x v="708"/>
    <x v="584"/>
    <n v="3"/>
    <s v="EACH"/>
    <x v="6"/>
    <x v="7"/>
    <s v="spec_airfield_lighting"/>
  </r>
  <r>
    <n v="1175"/>
    <n v="23"/>
    <n v="54"/>
    <n v="344300"/>
    <m/>
    <s v="Install Elevated Red Stop Bar Light on PF Base Can, PF Extension, PF Flange Ring, and CF Transformer"/>
    <m/>
    <x v="709"/>
    <x v="585"/>
    <n v="3"/>
    <s v="EACH"/>
    <x v="6"/>
    <x v="7"/>
    <s v="spec_airfield_lighting"/>
  </r>
  <r>
    <n v="1176"/>
    <n v="23"/>
    <n v="55"/>
    <n v="344300"/>
    <m/>
    <s v="Install In-Pavement Runway Guard/Stop Bar Light on PF Base Can, PF Extension, PF Flange Ring and CF Transformer"/>
    <m/>
    <x v="710"/>
    <x v="586"/>
    <n v="14"/>
    <s v="EACH"/>
    <x v="6"/>
    <x v="7"/>
    <s v="spec_airfield_lighting"/>
  </r>
  <r>
    <n v="1177"/>
    <n v="23"/>
    <n v="56"/>
    <n v="344300"/>
    <m/>
    <s v="Install PF Base Can, PF Extension, PF Flange Ring and PF Cover Plate"/>
    <m/>
    <x v="711"/>
    <x v="587"/>
    <n v="4"/>
    <s v="EACH"/>
    <x v="6"/>
    <x v="7"/>
    <s v="spec_airfield_lighting"/>
  </r>
  <r>
    <n v="1178"/>
    <n v="23"/>
    <n v="57"/>
    <n v="344301"/>
    <m/>
    <s v="Adjust Existing Taxiway Centerline Light to New Finish Elevation"/>
    <m/>
    <x v="632"/>
    <x v="517"/>
    <n v="39"/>
    <s v="EACH"/>
    <x v="6"/>
    <x v="7"/>
    <s v="spec_airfield_lighting"/>
  </r>
  <r>
    <n v="1179"/>
    <n v="23"/>
    <n v="58"/>
    <n v="344301"/>
    <m/>
    <s v="Adjust Existing In-Pavement Runway Guard/Stop Bar Light to New Finish Elevation"/>
    <m/>
    <x v="712"/>
    <x v="588"/>
    <n v="13"/>
    <s v="EACH"/>
    <x v="6"/>
    <x v="7"/>
    <s v="spec_airfield_lighting"/>
  </r>
  <r>
    <n v="1180"/>
    <n v="23"/>
    <n v="59"/>
    <n v="344302"/>
    <m/>
    <s v="Sign A5-1"/>
    <m/>
    <x v="713"/>
    <x v="589"/>
    <n v="1"/>
    <s v="LS"/>
    <x v="6"/>
    <x v="9"/>
    <s v="spec_airfield_signage"/>
  </r>
  <r>
    <n v="1181"/>
    <n v="23"/>
    <n v="60"/>
    <n v="344302"/>
    <m/>
    <s v="Sign A5-6"/>
    <m/>
    <x v="714"/>
    <x v="590"/>
    <n v="1"/>
    <s v="LS"/>
    <x v="6"/>
    <x v="9"/>
    <s v="spec_airfield_signage"/>
  </r>
  <r>
    <n v="1182"/>
    <n v="23"/>
    <n v="61"/>
    <n v="344302"/>
    <m/>
    <s v="Sign A5-7"/>
    <m/>
    <x v="715"/>
    <x v="591"/>
    <n v="1"/>
    <s v="LS"/>
    <x v="6"/>
    <x v="9"/>
    <s v="spec_airfield_signage"/>
  </r>
  <r>
    <n v="1183"/>
    <n v="23"/>
    <n v="62"/>
    <n v="344302"/>
    <m/>
    <s v="Sign A5-8"/>
    <m/>
    <x v="716"/>
    <x v="592"/>
    <n v="1"/>
    <s v="LS"/>
    <x v="6"/>
    <x v="9"/>
    <s v="spec_airfield_signage"/>
  </r>
  <r>
    <n v="1184"/>
    <n v="23"/>
    <n v="63"/>
    <n v="344302"/>
    <m/>
    <s v="Sign A5-9"/>
    <m/>
    <x v="717"/>
    <x v="593"/>
    <n v="1"/>
    <s v="LS"/>
    <x v="6"/>
    <x v="9"/>
    <s v="spec_airfield_signage"/>
  </r>
  <r>
    <n v="1185"/>
    <n v="23"/>
    <n v="64"/>
    <n v="344302"/>
    <m/>
    <s v="Sign A6-2"/>
    <m/>
    <x v="718"/>
    <x v="594"/>
    <n v="1"/>
    <s v="LS"/>
    <x v="6"/>
    <x v="9"/>
    <s v="spec_airfield_signage"/>
  </r>
  <r>
    <n v="1186"/>
    <n v="23"/>
    <n v="65"/>
    <n v="344302"/>
    <m/>
    <s v="Sign A6-3"/>
    <m/>
    <x v="719"/>
    <x v="595"/>
    <n v="1"/>
    <s v="LS"/>
    <x v="6"/>
    <x v="9"/>
    <s v="spec_airfield_signage"/>
  </r>
  <r>
    <n v="1187"/>
    <n v="23"/>
    <n v="66"/>
    <n v="344302"/>
    <m/>
    <s v="Sign A6-9"/>
    <m/>
    <x v="720"/>
    <x v="596"/>
    <n v="1"/>
    <s v="LS"/>
    <x v="6"/>
    <x v="9"/>
    <s v="spec_airfield_signage"/>
  </r>
  <r>
    <n v="1188"/>
    <n v="23"/>
    <n v="67"/>
    <n v="344302"/>
    <m/>
    <s v="Sign A6-10"/>
    <m/>
    <x v="721"/>
    <x v="597"/>
    <n v="1"/>
    <s v="LS"/>
    <x v="6"/>
    <x v="9"/>
    <s v="spec_airfield_signage"/>
  </r>
  <r>
    <n v="1189"/>
    <n v="23"/>
    <n v="68"/>
    <n v="344302"/>
    <m/>
    <s v="Sign A6-11"/>
    <m/>
    <x v="722"/>
    <x v="598"/>
    <n v="1"/>
    <s v="LS"/>
    <x v="6"/>
    <x v="9"/>
    <s v="spec_airfield_signage"/>
  </r>
  <r>
    <n v="1190"/>
    <n v="23"/>
    <n v="69"/>
    <n v="344302"/>
    <m/>
    <s v="Sign A6-12"/>
    <m/>
    <x v="723"/>
    <x v="599"/>
    <n v="1"/>
    <s v="LS"/>
    <x v="6"/>
    <x v="9"/>
    <s v="spec_airfield_signage"/>
  </r>
  <r>
    <n v="1191"/>
    <n v="24"/>
    <n v="1"/>
    <n v="12200"/>
    <m/>
    <s v="Sweeper"/>
    <m/>
    <x v="31"/>
    <x v="30"/>
    <n v="1"/>
    <s v="LS"/>
    <x v="0"/>
    <x v="0"/>
    <s v="spec_temp_traffic"/>
  </r>
  <r>
    <n v="1192"/>
    <n v="24"/>
    <n v="1"/>
    <s v="C-105"/>
    <m/>
    <s v="Mobilization"/>
    <m/>
    <x v="286"/>
    <x v="235"/>
    <n v="1"/>
    <s v="LS"/>
    <x v="0"/>
    <x v="0"/>
    <s v="spec_temp_traffic"/>
  </r>
  <r>
    <n v="1193"/>
    <n v="24"/>
    <n v="2"/>
    <n v="12200"/>
    <m/>
    <s v="Security Control Monitoring"/>
    <m/>
    <x v="32"/>
    <x v="31"/>
    <n v="1"/>
    <s v="LS"/>
    <x v="0"/>
    <x v="0"/>
    <s v="spec_temp_traffic"/>
  </r>
  <r>
    <n v="1194"/>
    <n v="24"/>
    <n v="2"/>
    <s v="P-101"/>
    <m/>
    <s v="Cold Milling 3-Inch Depth"/>
    <m/>
    <x v="724"/>
    <x v="600"/>
    <n v="2389"/>
    <s v="SY"/>
    <x v="3"/>
    <x v="3"/>
    <s v="spec_paving_earthwork"/>
  </r>
  <r>
    <n v="1195"/>
    <n v="24"/>
    <n v="3"/>
    <n v="12200"/>
    <m/>
    <s v="Traffic Control"/>
    <m/>
    <x v="111"/>
    <x v="103"/>
    <n v="1"/>
    <s v="LS"/>
    <x v="0"/>
    <x v="0"/>
    <s v="spec_temp_traffic"/>
  </r>
  <r>
    <n v="1196"/>
    <n v="24"/>
    <n v="3"/>
    <s v="P-603"/>
    <m/>
    <s v="Emulsified Asphalt Tack Coat"/>
    <m/>
    <x v="305"/>
    <x v="242"/>
    <n v="170"/>
    <s v="GAL"/>
    <x v="3"/>
    <x v="3"/>
    <s v="spec_paving_earthwork"/>
  </r>
  <r>
    <n v="1197"/>
    <n v="24"/>
    <n v="4"/>
    <n v="12200"/>
    <m/>
    <s v="Escort"/>
    <m/>
    <x v="34"/>
    <x v="33"/>
    <n v="1"/>
    <s v="LS"/>
    <x v="0"/>
    <x v="0"/>
    <s v="spec_temp_traffic"/>
  </r>
  <r>
    <n v="1198"/>
    <n v="24"/>
    <n v="4"/>
    <s v="P-401"/>
    <m/>
    <s v="Asphalt Surface Course"/>
    <m/>
    <x v="300"/>
    <x v="239"/>
    <n v="429"/>
    <s v="TON"/>
    <x v="3"/>
    <x v="3"/>
    <s v="spec_paving_earthwork"/>
  </r>
  <r>
    <n v="1199"/>
    <n v="24"/>
    <n v="5"/>
    <n v="15713"/>
    <m/>
    <s v="Inlet Protection"/>
    <m/>
    <x v="37"/>
    <x v="36"/>
    <n v="18"/>
    <s v="EACH"/>
    <x v="0"/>
    <x v="0"/>
    <s v="spec_temp_traffic"/>
  </r>
  <r>
    <n v="1200"/>
    <n v="24"/>
    <n v="5"/>
    <s v="P-620"/>
    <m/>
    <s v="Marking"/>
    <m/>
    <x v="310"/>
    <x v="247"/>
    <n v="1537"/>
    <s v="SF"/>
    <x v="3"/>
    <x v="3"/>
    <s v="spec_paving_earthwork"/>
  </r>
  <r>
    <n v="1201"/>
    <n v="24"/>
    <n v="6"/>
    <n v="15713"/>
    <m/>
    <s v="Trench Drain Protection"/>
    <m/>
    <x v="340"/>
    <x v="267"/>
    <n v="153"/>
    <s v="LF"/>
    <x v="0"/>
    <x v="0"/>
    <s v="spec_temp_traffic"/>
  </r>
  <r>
    <n v="1202"/>
    <n v="24"/>
    <n v="6"/>
    <s v="P-620"/>
    <m/>
    <s v="Reflective Media"/>
    <m/>
    <x v="63"/>
    <x v="60"/>
    <n v="47"/>
    <s v="LB"/>
    <x v="3"/>
    <x v="3"/>
    <s v="spec_paving_earthwork"/>
  </r>
  <r>
    <n v="1203"/>
    <n v="24"/>
    <n v="7"/>
    <n v="15713"/>
    <m/>
    <s v="Jet Blast Control Material"/>
    <m/>
    <x v="38"/>
    <x v="37"/>
    <n v="0.3"/>
    <s v="ACRE"/>
    <x v="0"/>
    <x v="0"/>
    <s v="spec_temp_traffic"/>
  </r>
  <r>
    <n v="1204"/>
    <n v="24"/>
    <n v="7"/>
    <s v="P-620"/>
    <m/>
    <s v="Surface Preparation"/>
    <m/>
    <x v="685"/>
    <x v="565"/>
    <n v="768"/>
    <s v="SF"/>
    <x v="3"/>
    <x v="3"/>
    <s v="spec_paving_earthwork"/>
  </r>
  <r>
    <n v="1205"/>
    <n v="24"/>
    <n v="8"/>
    <n v="15713"/>
    <m/>
    <s v="Sediment Fence"/>
    <m/>
    <x v="341"/>
    <x v="268"/>
    <n v="1620"/>
    <s v="LF"/>
    <x v="0"/>
    <x v="0"/>
    <s v="spec_temp_traffic"/>
  </r>
  <r>
    <n v="1206"/>
    <n v="24"/>
    <n v="8"/>
    <n v="26100"/>
    <m/>
    <s v="Contaminated Material Excavation and Disposal"/>
    <m/>
    <x v="81"/>
    <x v="75"/>
    <n v="290"/>
    <s v="TON"/>
    <x v="2"/>
    <x v="2"/>
    <s v="spec_demo_remediation"/>
  </r>
  <r>
    <n v="1207"/>
    <n v="24"/>
    <n v="9"/>
    <n v="26100"/>
    <m/>
    <s v="Contaminated Material Excavation and Disposal - Wasco Landfill"/>
    <m/>
    <x v="725"/>
    <x v="601"/>
    <n v="500"/>
    <s v="TON"/>
    <x v="2"/>
    <x v="2"/>
    <s v="spec_demo_remediation"/>
  </r>
  <r>
    <n v="1208"/>
    <n v="24"/>
    <n v="9"/>
    <s v="C-105"/>
    <m/>
    <s v="Mobilization"/>
    <m/>
    <x v="286"/>
    <x v="235"/>
    <n v="1"/>
    <s v="LS"/>
    <x v="0"/>
    <x v="0"/>
    <s v="spec_temp_traffic"/>
  </r>
  <r>
    <n v="1209"/>
    <n v="24"/>
    <n v="10"/>
    <s v="P-101"/>
    <m/>
    <s v="Full - Depth Asphalt Pavement Removal"/>
    <s v="10 to 19 Inches)"/>
    <x v="726"/>
    <x v="602"/>
    <n v="16500"/>
    <s v="SY"/>
    <x v="3"/>
    <x v="3"/>
    <s v="spec_paving_earthwork"/>
  </r>
  <r>
    <n v="1210"/>
    <n v="24"/>
    <n v="11"/>
    <s v="P-101"/>
    <m/>
    <s v="Cold Milling 3-Inch Depth"/>
    <m/>
    <x v="724"/>
    <x v="600"/>
    <n v="18000"/>
    <s v="SY"/>
    <x v="3"/>
    <x v="3"/>
    <s v="spec_paving_earthwork"/>
  </r>
  <r>
    <n v="1211"/>
    <n v="24"/>
    <n v="12"/>
    <s v="P-101"/>
    <m/>
    <s v="Cold Milling Variable to 10-Inch Depth"/>
    <m/>
    <x v="727"/>
    <x v="603"/>
    <n v="2300"/>
    <s v="SY"/>
    <x v="3"/>
    <x v="3"/>
    <s v="spec_paving_earthwork"/>
  </r>
  <r>
    <n v="1212"/>
    <n v="24"/>
    <n v="13"/>
    <s v="P-101"/>
    <m/>
    <s v="Cold Milling Surface Preparation"/>
    <m/>
    <x v="728"/>
    <x v="604"/>
    <n v="822"/>
    <s v="SY"/>
    <x v="3"/>
    <x v="3"/>
    <s v="spec_paving_earthwork"/>
  </r>
  <r>
    <n v="1213"/>
    <n v="24"/>
    <n v="14"/>
    <s v="P-101"/>
    <m/>
    <s v="Removal of Pipe and Other Buried Structures"/>
    <m/>
    <x v="295"/>
    <x v="237"/>
    <n v="1"/>
    <s v="LS"/>
    <x v="3"/>
    <x v="3"/>
    <s v="spec_paving_earthwork"/>
  </r>
  <r>
    <n v="1214"/>
    <n v="24"/>
    <n v="15"/>
    <s v="P-152"/>
    <m/>
    <s v="Unclassified Excavation"/>
    <m/>
    <x v="207"/>
    <x v="164"/>
    <n v="5720"/>
    <s v="CY"/>
    <x v="3"/>
    <x v="3"/>
    <s v="spec_paving_earthwork"/>
  </r>
  <r>
    <n v="1215"/>
    <n v="24"/>
    <n v="16"/>
    <s v="P-152"/>
    <m/>
    <s v="Existing Subgrade Stabilzation"/>
    <m/>
    <x v="626"/>
    <x v="322"/>
    <n v="500"/>
    <s v="CY"/>
    <x v="3"/>
    <x v="3"/>
    <s v="spec_paving_earthwork"/>
  </r>
  <r>
    <n v="1216"/>
    <n v="24"/>
    <n v="17"/>
    <s v="P-209"/>
    <m/>
    <s v="Crushed Aggregate Base Course"/>
    <m/>
    <x v="57"/>
    <x v="54"/>
    <n v="6200"/>
    <s v="CY"/>
    <x v="3"/>
    <x v="3"/>
    <s v="spec_paving_earthwork"/>
  </r>
  <r>
    <n v="1217"/>
    <n v="24"/>
    <n v="18"/>
    <s v="P-209"/>
    <m/>
    <s v="Separation Geotextile"/>
    <m/>
    <x v="628"/>
    <x v="513"/>
    <n v="15540"/>
    <s v="SY"/>
    <x v="3"/>
    <x v="3"/>
    <s v="spec_paving_earthwork"/>
  </r>
  <r>
    <n v="1218"/>
    <n v="24"/>
    <n v="19"/>
    <s v="P-401"/>
    <m/>
    <s v="Asphalt Surface Course"/>
    <m/>
    <x v="300"/>
    <x v="239"/>
    <n v="7300"/>
    <s v="TON"/>
    <x v="3"/>
    <x v="3"/>
    <s v="spec_paving_earthwork"/>
  </r>
  <r>
    <n v="1219"/>
    <n v="24"/>
    <n v="20"/>
    <s v="P-403"/>
    <m/>
    <s v="Asphalt Mixture Base Course"/>
    <m/>
    <x v="350"/>
    <x v="276"/>
    <n v="12100"/>
    <s v="TON"/>
    <x v="3"/>
    <x v="3"/>
    <s v="spec_paving_earthwork"/>
  </r>
  <r>
    <n v="1220"/>
    <n v="24"/>
    <n v="21"/>
    <s v="P-603"/>
    <m/>
    <s v="Emulsified Asphalt Tack Coat"/>
    <m/>
    <x v="305"/>
    <x v="242"/>
    <n v="7940"/>
    <s v="GAL"/>
    <x v="3"/>
    <x v="3"/>
    <s v="spec_paving_earthwork"/>
  </r>
  <r>
    <n v="1221"/>
    <n v="24"/>
    <n v="22"/>
    <s v="P-605"/>
    <m/>
    <s v="Joint Sealing Filler"/>
    <m/>
    <x v="53"/>
    <x v="50"/>
    <n v="37"/>
    <s v="GAL"/>
    <x v="3"/>
    <x v="3"/>
    <s v="spec_paving_earthwork"/>
  </r>
  <r>
    <n v="1222"/>
    <n v="24"/>
    <n v="23"/>
    <s v="P-606"/>
    <m/>
    <s v="Adhesive Compound"/>
    <m/>
    <x v="55"/>
    <x v="52"/>
    <n v="63"/>
    <s v="GAL"/>
    <x v="3"/>
    <x v="3"/>
    <s v="spec_paving_earthwork"/>
  </r>
  <r>
    <n v="1223"/>
    <n v="24"/>
    <n v="24"/>
    <s v="P-610"/>
    <m/>
    <s v="Concrete"/>
    <m/>
    <x v="311"/>
    <x v="248"/>
    <n v="22"/>
    <s v="CY"/>
    <x v="3"/>
    <x v="3"/>
    <s v="spec_paving_earthwork"/>
  </r>
  <r>
    <n v="1224"/>
    <n v="24"/>
    <n v="25"/>
    <s v="P-620"/>
    <m/>
    <s v="Surface Preparation"/>
    <m/>
    <x v="685"/>
    <x v="565"/>
    <n v="15260"/>
    <s v="SF"/>
    <x v="3"/>
    <x v="3"/>
    <s v="spec_paving_earthwork"/>
  </r>
  <r>
    <n v="1225"/>
    <n v="24"/>
    <n v="26"/>
    <s v="P-620"/>
    <m/>
    <s v="Marking"/>
    <m/>
    <x v="310"/>
    <x v="247"/>
    <n v="38950"/>
    <s v="SF"/>
    <x v="3"/>
    <x v="3"/>
    <s v="spec_paving_earthwork"/>
  </r>
  <r>
    <n v="1226"/>
    <n v="24"/>
    <n v="27"/>
    <s v="P-620"/>
    <m/>
    <s v="Reflective Media"/>
    <m/>
    <x v="63"/>
    <x v="60"/>
    <n v="1360"/>
    <s v="LB"/>
    <x v="3"/>
    <x v="3"/>
    <s v="spec_paving_earthwork"/>
  </r>
  <r>
    <n v="1227"/>
    <n v="24"/>
    <n v="28"/>
    <s v="P-620"/>
    <m/>
    <s v="Temporary Runway and Taxiway Marking"/>
    <m/>
    <x v="312"/>
    <x v="249"/>
    <n v="8250"/>
    <s v="SF"/>
    <x v="3"/>
    <x v="3"/>
    <s v="spec_paving_earthwork"/>
  </r>
  <r>
    <n v="1228"/>
    <n v="24"/>
    <n v="29"/>
    <s v="D-701"/>
    <m/>
    <s v="Storm Sewer Pipe"/>
    <s v="12-Inch"/>
    <x v="729"/>
    <x v="605"/>
    <n v="413"/>
    <s v="LF"/>
    <x v="5"/>
    <x v="6"/>
    <s v="spec_drainage_structures"/>
  </r>
  <r>
    <n v="1229"/>
    <n v="24"/>
    <n v="30"/>
    <s v="D-701"/>
    <m/>
    <s v="Storm Sewer Pipe"/>
    <s v="15-Inch"/>
    <x v="730"/>
    <x v="605"/>
    <n v="265"/>
    <s v="LF"/>
    <x v="5"/>
    <x v="6"/>
    <s v="spec_drainage_structures"/>
  </r>
  <r>
    <n v="1230"/>
    <n v="24"/>
    <n v="31"/>
    <s v="D-701"/>
    <m/>
    <s v="Storm Sewer Pipe"/>
    <s v="18-Inch"/>
    <x v="731"/>
    <x v="605"/>
    <n v="162"/>
    <s v="LF"/>
    <x v="5"/>
    <x v="6"/>
    <s v="spec_drainage_structures"/>
  </r>
  <r>
    <n v="1231"/>
    <n v="24"/>
    <n v="32"/>
    <s v="D-705"/>
    <m/>
    <s v="Perforated Storm Sewer Pipe"/>
    <s v="6-Inch"/>
    <x v="732"/>
    <x v="606"/>
    <n v="520"/>
    <s v="LF"/>
    <x v="5"/>
    <x v="6"/>
    <s v="spec_drainage_structures"/>
  </r>
  <r>
    <n v="1232"/>
    <n v="24"/>
    <n v="33"/>
    <s v="D-705"/>
    <m/>
    <s v="Non - Perforated Pipe"/>
    <s v="6-Inch"/>
    <x v="733"/>
    <x v="607"/>
    <n v="50"/>
    <s v="LF"/>
    <x v="5"/>
    <x v="6"/>
    <s v="spec_drainage_structures"/>
  </r>
  <r>
    <n v="1233"/>
    <n v="24"/>
    <n v="34"/>
    <s v="D-751"/>
    <m/>
    <s v="Manholes"/>
    <s v="48-Inch"/>
    <x v="734"/>
    <x v="339"/>
    <n v="3"/>
    <s v="EACH"/>
    <x v="5"/>
    <x v="6"/>
    <s v="spec_drainage_structures"/>
  </r>
  <r>
    <n v="1234"/>
    <n v="24"/>
    <n v="35"/>
    <s v="D-751"/>
    <m/>
    <s v="Manholes"/>
    <s v="60-Inch"/>
    <x v="690"/>
    <x v="339"/>
    <n v="1"/>
    <s v="EACH"/>
    <x v="5"/>
    <x v="6"/>
    <s v="spec_drainage_structures"/>
  </r>
  <r>
    <n v="1235"/>
    <n v="24"/>
    <n v="36"/>
    <s v="D-751"/>
    <m/>
    <s v="Catch Basins"/>
    <m/>
    <x v="220"/>
    <x v="173"/>
    <n v="3"/>
    <s v="EACH"/>
    <x v="5"/>
    <x v="6"/>
    <s v="spec_drainage_structures"/>
  </r>
  <r>
    <n v="1236"/>
    <n v="24"/>
    <n v="37"/>
    <s v="D-751"/>
    <m/>
    <s v="Underdrain Cleanout"/>
    <m/>
    <x v="691"/>
    <x v="569"/>
    <n v="4"/>
    <s v="EACH"/>
    <x v="5"/>
    <x v="6"/>
    <s v="spec_drainage_structures"/>
  </r>
  <r>
    <n v="1237"/>
    <n v="24"/>
    <n v="38"/>
    <s v="D-751"/>
    <m/>
    <s v="Connect to Existing Catch Basin/Manhole"/>
    <m/>
    <x v="692"/>
    <x v="570"/>
    <n v="2"/>
    <s v="EACH"/>
    <x v="5"/>
    <x v="6"/>
    <s v="spec_drainage_structures"/>
  </r>
  <r>
    <n v="1238"/>
    <n v="24"/>
    <n v="39"/>
    <s v="T-901"/>
    <m/>
    <s v="Seeding"/>
    <m/>
    <x v="86"/>
    <x v="79"/>
    <n v="0.7"/>
    <s v="ACRE"/>
    <x v="1"/>
    <x v="1"/>
    <s v="spec_landscape"/>
  </r>
  <r>
    <n v="1239"/>
    <n v="24"/>
    <n v="40"/>
    <s v="T-905"/>
    <m/>
    <s v="Topsoil (Furnished from Off the Site)"/>
    <m/>
    <x v="735"/>
    <x v="608"/>
    <n v="550"/>
    <s v="CY"/>
    <x v="1"/>
    <x v="1"/>
    <s v="spec_landscape"/>
  </r>
  <r>
    <n v="1240"/>
    <n v="24"/>
    <n v="41"/>
    <s v="L-108"/>
    <m/>
    <s v="No. 8 AWG, 5kV, L-824, Type C Cable, Installed in Trench, Duct Bank or Conduit"/>
    <m/>
    <x v="683"/>
    <x v="563"/>
    <n v="7925"/>
    <s v="LF"/>
    <x v="6"/>
    <x v="7"/>
    <s v="spec_airfield_lighting"/>
  </r>
  <r>
    <n v="1241"/>
    <n v="24"/>
    <n v="42"/>
    <s v="L-108"/>
    <m/>
    <s v="No. 6 AWG, Solid, Bare Counterpoise Wire, Installed in Trench, Above the Duct Bank or Conduit, Including Connections/Terminations"/>
    <m/>
    <x v="696"/>
    <x v="573"/>
    <n v="1765"/>
    <s v="LF"/>
    <x v="6"/>
    <x v="7"/>
    <s v="spec_airfield_lighting"/>
  </r>
  <r>
    <n v="1242"/>
    <n v="24"/>
    <n v="43"/>
    <s v="L-108"/>
    <m/>
    <s v="Counterpoise Ground Rod"/>
    <s v="10-Ft Long"/>
    <x v="697"/>
    <x v="178"/>
    <n v="7"/>
    <s v="EACH"/>
    <x v="6"/>
    <x v="7"/>
    <s v="spec_airfield_lighting"/>
  </r>
  <r>
    <n v="1243"/>
    <n v="24"/>
    <n v="44"/>
    <s v="L-110"/>
    <m/>
    <s v="PVC Encased in Concrete in New Structural AC"/>
    <s v="2-Inch"/>
    <x v="698"/>
    <x v="574"/>
    <n v="640"/>
    <s v="LF"/>
    <x v="6"/>
    <x v="7"/>
    <s v="spec_airfield_lighting"/>
  </r>
  <r>
    <n v="1244"/>
    <n v="24"/>
    <n v="45"/>
    <s v="L-110"/>
    <m/>
    <s v="PVC in Existing Structural AC"/>
    <s v="2-Inch"/>
    <x v="699"/>
    <x v="575"/>
    <n v="660"/>
    <s v="LF"/>
    <x v="6"/>
    <x v="7"/>
    <s v="spec_airfield_lighting"/>
  </r>
  <r>
    <n v="1245"/>
    <n v="24"/>
    <n v="46"/>
    <s v="L-110"/>
    <m/>
    <s v="PVC Direct Buried in Grass or under New AC Shoulder"/>
    <s v="2-Inch"/>
    <x v="736"/>
    <x v="609"/>
    <n v="585"/>
    <s v="LF"/>
    <x v="6"/>
    <x v="7"/>
    <s v="spec_airfield_lighting"/>
  </r>
  <r>
    <n v="1246"/>
    <n v="24"/>
    <n v="47"/>
    <n v="260500"/>
    <m/>
    <s v="General Electrical Removal"/>
    <m/>
    <x v="83"/>
    <x v="76"/>
    <n v="1"/>
    <s v="LS"/>
    <x v="6"/>
    <x v="8"/>
    <s v="spec_power_distribution"/>
  </r>
  <r>
    <n v="1247"/>
    <n v="24"/>
    <n v="48"/>
    <n v="260500"/>
    <m/>
    <s v="Temporary Circuit Connection"/>
    <m/>
    <x v="85"/>
    <x v="78"/>
    <n v="1"/>
    <s v="LS"/>
    <x v="6"/>
    <x v="8"/>
    <s v="spec_power_distribution"/>
  </r>
  <r>
    <n v="1248"/>
    <n v="24"/>
    <n v="49"/>
    <n v="344300"/>
    <m/>
    <s v="Install Elevated Taxiway Edge Light on Existing Base Can with PF Transformer"/>
    <m/>
    <x v="684"/>
    <x v="564"/>
    <n v="32"/>
    <s v="EACH"/>
    <x v="6"/>
    <x v="7"/>
    <s v="spec_airfield_lighting"/>
  </r>
  <r>
    <n v="1249"/>
    <n v="24"/>
    <n v="50"/>
    <n v="344300"/>
    <m/>
    <s v="Install Elevated Runway Guard Light on Existing Base Can with CF Transformer"/>
    <m/>
    <x v="737"/>
    <x v="610"/>
    <n v="4"/>
    <s v="EACH"/>
    <x v="6"/>
    <x v="7"/>
    <s v="spec_airfield_lighting"/>
  </r>
  <r>
    <n v="1250"/>
    <n v="24"/>
    <n v="51"/>
    <n v="344300"/>
    <m/>
    <s v="Install Elevated Red Stop Bar Light on Existing Base Can with CF Transformer"/>
    <m/>
    <x v="738"/>
    <x v="611"/>
    <n v="2"/>
    <s v="EACH"/>
    <x v="6"/>
    <x v="7"/>
    <s v="spec_airfield_lighting"/>
  </r>
  <r>
    <n v="1251"/>
    <n v="24"/>
    <n v="52"/>
    <n v="344300"/>
    <m/>
    <s v="Install In-Pavement Runway Guard Light on Existing Base Can with CF Transformer"/>
    <m/>
    <x v="739"/>
    <x v="612"/>
    <n v="17"/>
    <s v="EACH"/>
    <x v="6"/>
    <x v="7"/>
    <s v="spec_airfield_lighting"/>
  </r>
  <r>
    <n v="1252"/>
    <n v="24"/>
    <n v="53"/>
    <n v="344300"/>
    <m/>
    <s v="Install In-Pavement Runway Guard/Stop Bar Light on Existing Base Can with CF Transformer"/>
    <m/>
    <x v="740"/>
    <x v="613"/>
    <n v="13"/>
    <s v="EACH"/>
    <x v="6"/>
    <x v="7"/>
    <s v="spec_airfield_lighting"/>
  </r>
  <r>
    <n v="1253"/>
    <n v="24"/>
    <n v="54"/>
    <n v="344300"/>
    <m/>
    <s v="Install Taxiway Centerline Light on PF Base Can, PF Extension, PF Flange Ring and CF Transformer"/>
    <m/>
    <x v="741"/>
    <x v="614"/>
    <n v="39"/>
    <s v="EACH"/>
    <x v="6"/>
    <x v="7"/>
    <s v="spec_airfield_lighting"/>
  </r>
  <r>
    <n v="1254"/>
    <n v="24"/>
    <n v="55"/>
    <n v="344300"/>
    <m/>
    <s v="Install Taxiway Edge Light on PF Base Can, PF Extension, PF Flange Ring and CF Transformer"/>
    <m/>
    <x v="742"/>
    <x v="615"/>
    <n v="6"/>
    <s v="EACH"/>
    <x v="6"/>
    <x v="7"/>
    <s v="spec_airfield_lighting"/>
  </r>
  <r>
    <n v="1255"/>
    <n v="24"/>
    <n v="56"/>
    <n v="344300"/>
    <m/>
    <s v="Install PF Elevated Taxiway Edge Light on PF Base Can, PF Extension, PF Flange Ring and CF Transformer in Existing AC"/>
    <m/>
    <x v="743"/>
    <x v="616"/>
    <n v="1"/>
    <s v="EACH"/>
    <x v="6"/>
    <x v="7"/>
    <s v="spec_airfield_lighting"/>
  </r>
  <r>
    <n v="1256"/>
    <n v="24"/>
    <n v="57"/>
    <n v="344301"/>
    <m/>
    <s v="Adjust Existing Taxiway Centerline Light to New Finish Elevation"/>
    <m/>
    <x v="632"/>
    <x v="517"/>
    <n v="64"/>
    <s v="EACH"/>
    <x v="6"/>
    <x v="7"/>
    <s v="spec_airfield_lighting"/>
  </r>
  <r>
    <n v="1257"/>
    <n v="24"/>
    <n v="58"/>
    <n v="344301"/>
    <m/>
    <s v="Adjust Existing Base Can to New Finish Elevation"/>
    <m/>
    <x v="650"/>
    <x v="532"/>
    <n v="5"/>
    <s v="EACH"/>
    <x v="6"/>
    <x v="7"/>
    <s v="spec_airfield_lighting"/>
  </r>
  <r>
    <n v="1258"/>
    <n v="24"/>
    <n v="59"/>
    <n v="344302"/>
    <m/>
    <s v="Sign A6-7"/>
    <m/>
    <x v="744"/>
    <x v="617"/>
    <n v="1"/>
    <s v="EACH"/>
    <x v="6"/>
    <x v="9"/>
    <s v="spec_airfield_signage"/>
  </r>
  <r>
    <n v="1259"/>
    <n v="24"/>
    <n v="60"/>
    <n v="344302"/>
    <m/>
    <s v="Sign EA-15"/>
    <m/>
    <x v="745"/>
    <x v="618"/>
    <n v="1"/>
    <s v="EACH"/>
    <x v="6"/>
    <x v="9"/>
    <s v="spec_airfield_signage"/>
  </r>
  <r>
    <n v="1260"/>
    <n v="24"/>
    <n v="61"/>
    <n v="344302"/>
    <m/>
    <s v="Sign T-5"/>
    <m/>
    <x v="746"/>
    <x v="619"/>
    <n v="1"/>
    <s v="EACH"/>
    <x v="6"/>
    <x v="9"/>
    <s v="spec_airfield_signage"/>
  </r>
  <r>
    <n v="1261"/>
    <n v="25"/>
    <n v="0"/>
    <s v="UNCLASSIFIED"/>
    <m/>
    <n v="0"/>
    <m/>
    <x v="747"/>
    <x v="620"/>
    <n v="0"/>
    <n v="0"/>
    <x v="4"/>
    <x v="4"/>
    <s v="fallback_unmapped"/>
  </r>
  <r>
    <n v="1262"/>
    <n v="25"/>
    <n v="1"/>
    <n v="12200"/>
    <m/>
    <s v="Sweeper"/>
    <m/>
    <x v="31"/>
    <x v="30"/>
    <n v="1"/>
    <s v="LS"/>
    <x v="0"/>
    <x v="0"/>
    <s v="spec_temp_traffic"/>
  </r>
  <r>
    <n v="1263"/>
    <n v="25"/>
    <n v="1"/>
    <s v="C-105"/>
    <m/>
    <s v="Mobilization"/>
    <m/>
    <x v="286"/>
    <x v="235"/>
    <n v="1"/>
    <s v="LS"/>
    <x v="0"/>
    <x v="0"/>
    <s v="spec_temp_traffic"/>
  </r>
  <r>
    <n v="1264"/>
    <n v="25"/>
    <n v="2"/>
    <n v="12200"/>
    <m/>
    <s v="Work Zone and Traffic Control"/>
    <m/>
    <x v="33"/>
    <x v="32"/>
    <n v="1"/>
    <s v="LS"/>
    <x v="0"/>
    <x v="0"/>
    <s v="spec_temp_traffic"/>
  </r>
  <r>
    <n v="1265"/>
    <n v="25"/>
    <n v="2"/>
    <s v="P-608"/>
    <m/>
    <s v="Asphalt Surface Treatment"/>
    <m/>
    <x v="56"/>
    <x v="53"/>
    <n v="8600"/>
    <s v="SY"/>
    <x v="3"/>
    <x v="3"/>
    <s v="spec_paving_earthwork"/>
  </r>
  <r>
    <n v="1266"/>
    <n v="25"/>
    <n v="3"/>
    <s v="C-105"/>
    <m/>
    <s v="Mobilization"/>
    <m/>
    <x v="286"/>
    <x v="235"/>
    <n v="1"/>
    <s v="LS"/>
    <x v="0"/>
    <x v="0"/>
    <s v="spec_temp_traffic"/>
  </r>
  <r>
    <n v="1267"/>
    <n v="25"/>
    <n v="3"/>
    <s v="P-620"/>
    <m/>
    <s v="Surface Preparation - Remove Existing Markings"/>
    <m/>
    <x v="309"/>
    <x v="246"/>
    <n v="1840"/>
    <s v="SF"/>
    <x v="3"/>
    <x v="3"/>
    <s v="spec_paving_earthwork"/>
  </r>
  <r>
    <n v="1268"/>
    <n v="25"/>
    <n v="4"/>
    <s v="P-608"/>
    <m/>
    <s v="Runway and High Speed Exit Taxiway Friction Testing"/>
    <m/>
    <x v="748"/>
    <x v="621"/>
    <n v="1"/>
    <s v="LS"/>
    <x v="3"/>
    <x v="3"/>
    <s v="spec_paving_earthwork"/>
  </r>
  <r>
    <n v="1269"/>
    <n v="25"/>
    <n v="4"/>
    <s v="P-620"/>
    <m/>
    <s v="Marking"/>
    <m/>
    <x v="310"/>
    <x v="247"/>
    <n v="1840"/>
    <s v="SF"/>
    <x v="3"/>
    <x v="3"/>
    <s v="spec_paving_earthwork"/>
  </r>
  <r>
    <n v="1270"/>
    <n v="25"/>
    <n v="5"/>
    <s v="P-608"/>
    <m/>
    <s v="Asphalt Surface Treatment"/>
    <m/>
    <x v="56"/>
    <x v="53"/>
    <n v="163800"/>
    <s v="SY"/>
    <x v="3"/>
    <x v="3"/>
    <s v="spec_paving_earthwork"/>
  </r>
  <r>
    <n v="1271"/>
    <n v="25"/>
    <n v="5"/>
    <s v="P-620"/>
    <m/>
    <s v="Temporary Runway and Taxiway Marking"/>
    <m/>
    <x v="312"/>
    <x v="249"/>
    <n v="1840"/>
    <s v="SF"/>
    <x v="3"/>
    <x v="3"/>
    <s v="spec_paving_earthwork"/>
  </r>
  <r>
    <n v="1272"/>
    <n v="25"/>
    <n v="6"/>
    <s v="P-620"/>
    <m/>
    <s v="Reflective Media"/>
    <m/>
    <x v="63"/>
    <x v="60"/>
    <n v="120"/>
    <s v="LB"/>
    <x v="3"/>
    <x v="3"/>
    <s v="spec_paving_earthwork"/>
  </r>
  <r>
    <n v="1273"/>
    <n v="25"/>
    <n v="6"/>
    <s v="P-620"/>
    <m/>
    <s v="Surface Preparation - Remove Existing Markings"/>
    <m/>
    <x v="309"/>
    <x v="246"/>
    <n v="69500"/>
    <s v="SF"/>
    <x v="3"/>
    <x v="3"/>
    <s v="spec_paving_earthwork"/>
  </r>
  <r>
    <n v="1274"/>
    <n v="25"/>
    <n v="7"/>
    <s v="P-620"/>
    <m/>
    <s v="Marking"/>
    <m/>
    <x v="310"/>
    <x v="247"/>
    <n v="69500"/>
    <s v="SF"/>
    <x v="3"/>
    <x v="3"/>
    <s v="spec_paving_earthwork"/>
  </r>
  <r>
    <n v="1275"/>
    <n v="25"/>
    <n v="8"/>
    <s v="P-620"/>
    <m/>
    <s v="Temporary Runway and Taxiway Marking"/>
    <m/>
    <x v="312"/>
    <x v="249"/>
    <n v="69500"/>
    <s v="SF"/>
    <x v="3"/>
    <x v="3"/>
    <s v="spec_paving_earthwork"/>
  </r>
  <r>
    <n v="1276"/>
    <n v="25"/>
    <n v="9"/>
    <s v="P-620"/>
    <m/>
    <s v="Reflective Media"/>
    <m/>
    <x v="63"/>
    <x v="60"/>
    <n v="4300"/>
    <s v="LB"/>
    <x v="3"/>
    <x v="3"/>
    <s v="spec_paving_earthwork"/>
  </r>
  <r>
    <n v="1277"/>
    <n v="26"/>
    <n v="1"/>
    <n v="12200"/>
    <m/>
    <s v="Mobilization, Surveying, Cleanup, and Demobilization"/>
    <m/>
    <x v="246"/>
    <x v="199"/>
    <n v="1"/>
    <s v="LS"/>
    <x v="0"/>
    <x v="0"/>
    <s v="spec_temp_traffic"/>
  </r>
  <r>
    <n v="1278"/>
    <n v="26"/>
    <n v="2"/>
    <n v="12200"/>
    <m/>
    <s v="Sweeper"/>
    <m/>
    <x v="31"/>
    <x v="30"/>
    <n v="1"/>
    <s v="LS"/>
    <x v="0"/>
    <x v="0"/>
    <s v="spec_temp_traffic"/>
  </r>
  <r>
    <n v="1279"/>
    <n v="26"/>
    <n v="3"/>
    <n v="12200"/>
    <m/>
    <s v="Work Zone and Traffic Control"/>
    <m/>
    <x v="33"/>
    <x v="32"/>
    <n v="1"/>
    <s v="LS"/>
    <x v="0"/>
    <x v="0"/>
    <s v="spec_temp_traffic"/>
  </r>
  <r>
    <n v="1280"/>
    <n v="26"/>
    <n v="4"/>
    <n v="12200"/>
    <m/>
    <s v="Escort"/>
    <m/>
    <x v="34"/>
    <x v="33"/>
    <n v="1"/>
    <s v="LS"/>
    <x v="0"/>
    <x v="0"/>
    <s v="spec_temp_traffic"/>
  </r>
  <r>
    <n v="1281"/>
    <n v="26"/>
    <n v="5"/>
    <n v="12200"/>
    <m/>
    <s v="Erosion and Sediment Control"/>
    <m/>
    <x v="749"/>
    <x v="622"/>
    <n v="1"/>
    <s v="LS"/>
    <x v="0"/>
    <x v="0"/>
    <s v="spec_temp_traffic"/>
  </r>
  <r>
    <n v="1282"/>
    <n v="26"/>
    <n v="6"/>
    <n v="12200"/>
    <m/>
    <s v="Dewatering"/>
    <m/>
    <x v="750"/>
    <x v="623"/>
    <n v="100"/>
    <s v="GAL"/>
    <x v="0"/>
    <x v="0"/>
    <s v="spec_temp_traffic"/>
  </r>
  <r>
    <n v="1283"/>
    <n v="26"/>
    <n v="7"/>
    <n v="12200"/>
    <m/>
    <s v="Contaminated Soil Handling and Management"/>
    <m/>
    <x v="751"/>
    <x v="624"/>
    <n v="10"/>
    <s v="CY"/>
    <x v="0"/>
    <x v="0"/>
    <s v="spec_temp_traffic"/>
  </r>
  <r>
    <n v="1284"/>
    <n v="26"/>
    <n v="8"/>
    <n v="12200"/>
    <m/>
    <s v="Temporary Sewage Bypassing"/>
    <m/>
    <x v="752"/>
    <x v="625"/>
    <n v="1"/>
    <s v="LS"/>
    <x v="0"/>
    <x v="0"/>
    <s v="spec_temp_traffic"/>
  </r>
  <r>
    <n v="1285"/>
    <n v="26"/>
    <n v="9"/>
    <n v="12200"/>
    <m/>
    <s v="Removal, Haul, and Disposal of Demolition Debris"/>
    <m/>
    <x v="753"/>
    <x v="626"/>
    <n v="1"/>
    <s v="LS"/>
    <x v="0"/>
    <x v="0"/>
    <s v="spec_temp_traffic"/>
  </r>
  <r>
    <n v="1286"/>
    <n v="26"/>
    <n v="10"/>
    <n v="12200"/>
    <m/>
    <s v="B6 Wet Well (SSLS 950) Mechanical Rehabilitation"/>
    <m/>
    <x v="754"/>
    <x v="627"/>
    <n v="1"/>
    <s v="LS"/>
    <x v="0"/>
    <x v="0"/>
    <s v="spec_temp_traffic"/>
  </r>
  <r>
    <n v="1287"/>
    <n v="26"/>
    <n v="10"/>
    <n v="12200"/>
    <m/>
    <s v="D9 Wet Well (SSLS 953) Mechanical Rehabilitation"/>
    <m/>
    <x v="755"/>
    <x v="628"/>
    <n v="1"/>
    <s v="LS"/>
    <x v="0"/>
    <x v="0"/>
    <s v="spec_temp_traffic"/>
  </r>
  <r>
    <n v="1288"/>
    <n v="26"/>
    <n v="11"/>
    <n v="12200"/>
    <m/>
    <s v="B6 Valve Vault (SSVLT 1202) Mechanical Rehabilitation"/>
    <m/>
    <x v="756"/>
    <x v="629"/>
    <n v="1"/>
    <s v="LS"/>
    <x v="0"/>
    <x v="0"/>
    <s v="spec_temp_traffic"/>
  </r>
  <r>
    <n v="1289"/>
    <n v="26"/>
    <n v="11"/>
    <n v="12200"/>
    <m/>
    <s v="D9 Valve Vault (STSVLT 863) Mechanical Rehabilitation"/>
    <m/>
    <x v="757"/>
    <x v="630"/>
    <n v="1"/>
    <s v="LS"/>
    <x v="0"/>
    <x v="0"/>
    <s v="spec_temp_traffic"/>
  </r>
  <r>
    <n v="1290"/>
    <n v="26"/>
    <n v="12"/>
    <n v="12200"/>
    <m/>
    <s v="B6 Replacement of Existing Lids and Hatches"/>
    <m/>
    <x v="758"/>
    <x v="631"/>
    <n v="2"/>
    <s v="EACH"/>
    <x v="0"/>
    <x v="0"/>
    <s v="spec_temp_traffic"/>
  </r>
  <r>
    <n v="1291"/>
    <n v="26"/>
    <n v="12"/>
    <n v="12200"/>
    <m/>
    <s v="D9 Replacement of Existing Lids and Hatches"/>
    <m/>
    <x v="759"/>
    <x v="632"/>
    <n v="2"/>
    <s v="EACH"/>
    <x v="0"/>
    <x v="0"/>
    <s v="spec_temp_traffic"/>
  </r>
  <r>
    <n v="1292"/>
    <n v="26"/>
    <n v="13"/>
    <n v="12200"/>
    <m/>
    <s v="B6 Wet Well (SSLS 950) Concrete Repair"/>
    <m/>
    <x v="760"/>
    <x v="633"/>
    <n v="1"/>
    <s v="LS"/>
    <x v="0"/>
    <x v="0"/>
    <s v="spec_temp_traffic"/>
  </r>
  <r>
    <n v="1293"/>
    <n v="26"/>
    <n v="13"/>
    <n v="12200"/>
    <m/>
    <s v="D9 Wet Well (SSLS 953) Concrete Repair"/>
    <m/>
    <x v="761"/>
    <x v="634"/>
    <n v="1"/>
    <s v="LS"/>
    <x v="0"/>
    <x v="0"/>
    <s v="spec_temp_traffic"/>
  </r>
  <r>
    <n v="1294"/>
    <n v="26"/>
    <n v="14"/>
    <n v="12200"/>
    <m/>
    <s v="B6 Valve Vault (SSVLT 1202) Concrete Repair"/>
    <m/>
    <x v="762"/>
    <x v="635"/>
    <n v="1"/>
    <s v="LS"/>
    <x v="0"/>
    <x v="0"/>
    <s v="spec_temp_traffic"/>
  </r>
  <r>
    <n v="1295"/>
    <n v="26"/>
    <n v="14"/>
    <n v="12200"/>
    <m/>
    <s v="D9 Valve Vault (STSVLT 863) Concrete Repair"/>
    <m/>
    <x v="763"/>
    <x v="636"/>
    <n v="1"/>
    <s v="LS"/>
    <x v="0"/>
    <x v="0"/>
    <s v="spec_temp_traffic"/>
  </r>
  <r>
    <n v="1296"/>
    <n v="26"/>
    <n v="15"/>
    <n v="12200"/>
    <m/>
    <s v="B6 Electrical"/>
    <m/>
    <x v="764"/>
    <x v="637"/>
    <n v="1"/>
    <s v="LS"/>
    <x v="0"/>
    <x v="0"/>
    <s v="spec_temp_traffic"/>
  </r>
  <r>
    <n v="1297"/>
    <n v="26"/>
    <n v="15"/>
    <n v="12200"/>
    <m/>
    <s v="D9 Electrical"/>
    <m/>
    <x v="765"/>
    <x v="638"/>
    <n v="1"/>
    <s v="LS"/>
    <x v="0"/>
    <x v="0"/>
    <s v="spec_temp_traffic"/>
  </r>
  <r>
    <n v="1298"/>
    <n v="26"/>
    <n v="16"/>
    <n v="12200"/>
    <m/>
    <s v="B6 Temporary Airfield Lighting Circuit Connection"/>
    <m/>
    <x v="766"/>
    <x v="639"/>
    <n v="1"/>
    <s v="LS"/>
    <x v="0"/>
    <x v="0"/>
    <s v="spec_temp_traffic"/>
  </r>
  <r>
    <n v="1299"/>
    <n v="26"/>
    <n v="16"/>
    <s v="P-101"/>
    <m/>
    <s v="PCC Pavement Removal"/>
    <s v="16 Inch Depth"/>
    <x v="767"/>
    <x v="106"/>
    <n v="90"/>
    <s v="SY"/>
    <x v="3"/>
    <x v="3"/>
    <s v="spec_paving_earthwork"/>
  </r>
  <r>
    <n v="1300"/>
    <n v="26"/>
    <n v="17"/>
    <s v="P-101"/>
    <m/>
    <s v="Asphalt Pavement Removal"/>
    <s v="6 Inch Depth"/>
    <x v="768"/>
    <x v="40"/>
    <n v="90"/>
    <s v="SY"/>
    <x v="3"/>
    <x v="3"/>
    <s v="spec_paving_earthwork"/>
  </r>
  <r>
    <n v="1301"/>
    <n v="26"/>
    <n v="17"/>
    <s v="P-152"/>
    <m/>
    <s v="Unclassified Excavation"/>
    <m/>
    <x v="207"/>
    <x v="164"/>
    <n v="25"/>
    <s v="CY"/>
    <x v="3"/>
    <x v="3"/>
    <s v="spec_paving_earthwork"/>
  </r>
  <r>
    <n v="1302"/>
    <n v="26"/>
    <n v="18"/>
    <s v="P-152"/>
    <m/>
    <s v="Subgrade Stabilzation"/>
    <m/>
    <x v="769"/>
    <x v="640"/>
    <n v="20"/>
    <s v="CY"/>
    <x v="3"/>
    <x v="3"/>
    <s v="spec_paving_earthwork"/>
  </r>
  <r>
    <n v="1303"/>
    <n v="26"/>
    <n v="18"/>
    <s v="P-152"/>
    <m/>
    <s v="Unclassified Excavation"/>
    <m/>
    <x v="207"/>
    <x v="164"/>
    <n v="20"/>
    <s v="CY"/>
    <x v="3"/>
    <x v="3"/>
    <s v="spec_paving_earthwork"/>
  </r>
  <r>
    <n v="1304"/>
    <n v="26"/>
    <n v="19"/>
    <s v="P-152"/>
    <m/>
    <s v="Subgrade Stabilzation"/>
    <m/>
    <x v="769"/>
    <x v="640"/>
    <n v="10"/>
    <s v="CY"/>
    <x v="3"/>
    <x v="3"/>
    <s v="spec_paving_earthwork"/>
  </r>
  <r>
    <n v="1305"/>
    <n v="26"/>
    <n v="19"/>
    <s v="P-209"/>
    <m/>
    <s v="Crushed Aggregate Base Course"/>
    <m/>
    <x v="57"/>
    <x v="54"/>
    <n v="10"/>
    <s v="CY"/>
    <x v="3"/>
    <x v="3"/>
    <s v="spec_paving_earthwork"/>
  </r>
  <r>
    <n v="1306"/>
    <n v="26"/>
    <n v="20"/>
    <s v="P-209"/>
    <m/>
    <s v="Crushed Aggregate Base Course"/>
    <m/>
    <x v="57"/>
    <x v="54"/>
    <n v="15"/>
    <s v="CY"/>
    <x v="3"/>
    <x v="3"/>
    <s v="spec_paving_earthwork"/>
  </r>
  <r>
    <n v="1307"/>
    <n v="26"/>
    <n v="20"/>
    <s v="P-306"/>
    <m/>
    <s v="Lean Concrete Base Course"/>
    <m/>
    <x v="770"/>
    <x v="641"/>
    <n v="80"/>
    <s v="SY"/>
    <x v="3"/>
    <x v="3"/>
    <s v="spec_paving_earthwork"/>
  </r>
  <r>
    <n v="1308"/>
    <n v="26"/>
    <n v="21"/>
    <s v="P-403"/>
    <m/>
    <s v="Asphalt Mixture Surface Course"/>
    <m/>
    <x v="771"/>
    <x v="642"/>
    <n v="25"/>
    <s v="TON"/>
    <x v="3"/>
    <x v="3"/>
    <s v="spec_paving_earthwork"/>
  </r>
  <r>
    <n v="1309"/>
    <n v="26"/>
    <n v="21"/>
    <s v="P-501"/>
    <m/>
    <s v="Concrete Pavement"/>
    <m/>
    <x v="772"/>
    <x v="643"/>
    <n v="35"/>
    <s v="CY"/>
    <x v="3"/>
    <x v="3"/>
    <s v="spec_paving_earthwork"/>
  </r>
  <r>
    <n v="1310"/>
    <n v="26"/>
    <n v="22"/>
    <s v="P-603"/>
    <m/>
    <s v="Emulsified Asphalt Tack Coat"/>
    <m/>
    <x v="305"/>
    <x v="242"/>
    <n v="10"/>
    <s v="GAL"/>
    <x v="3"/>
    <x v="3"/>
    <s v="spec_paving_earthwork"/>
  </r>
  <r>
    <n v="1311"/>
    <n v="26"/>
    <n v="22"/>
    <s v="P-605"/>
    <m/>
    <s v="Joint Sealing Filler"/>
    <m/>
    <x v="53"/>
    <x v="50"/>
    <n v="245"/>
    <s v="LF"/>
    <x v="3"/>
    <x v="3"/>
    <s v="spec_paving_earthwork"/>
  </r>
  <r>
    <n v="1312"/>
    <n v="26"/>
    <n v="23"/>
    <s v="P-620"/>
    <m/>
    <s v="Marking"/>
    <m/>
    <x v="310"/>
    <x v="247"/>
    <n v="295"/>
    <s v="SF"/>
    <x v="3"/>
    <x v="3"/>
    <s v="spec_paving_earthwork"/>
  </r>
  <r>
    <n v="1313"/>
    <n v="26"/>
    <n v="23"/>
    <s v="P-620"/>
    <m/>
    <s v="Marking"/>
    <m/>
    <x v="310"/>
    <x v="247"/>
    <n v="3170"/>
    <s v="SF"/>
    <x v="3"/>
    <x v="3"/>
    <s v="spec_paving_earthwork"/>
  </r>
  <r>
    <n v="1314"/>
    <n v="26"/>
    <n v="24"/>
    <s v="P-620"/>
    <m/>
    <s v="Reflective Media"/>
    <m/>
    <x v="63"/>
    <x v="60"/>
    <n v="20"/>
    <s v="LB"/>
    <x v="3"/>
    <x v="3"/>
    <s v="spec_paving_earthwork"/>
  </r>
  <r>
    <n v="1315"/>
    <n v="26"/>
    <n v="24"/>
    <s v="P-620"/>
    <m/>
    <s v="Reflective Media"/>
    <m/>
    <x v="63"/>
    <x v="60"/>
    <n v="95"/>
    <s v="LB"/>
    <x v="3"/>
    <x v="3"/>
    <s v="spec_paving_earthwork"/>
  </r>
  <r>
    <n v="1316"/>
    <n v="26"/>
    <n v="25"/>
    <s v="P-620"/>
    <m/>
    <s v="Temporary Runway and Taxiway Marking"/>
    <m/>
    <x v="312"/>
    <x v="249"/>
    <n v="295"/>
    <s v="SF"/>
    <x v="3"/>
    <x v="3"/>
    <s v="spec_paving_earthwork"/>
  </r>
  <r>
    <n v="1317"/>
    <n v="26"/>
    <n v="25"/>
    <s v="P-620"/>
    <m/>
    <s v="Temporary Runway and Taxiway Marking"/>
    <m/>
    <x v="312"/>
    <x v="249"/>
    <n v="3095"/>
    <s v="SF"/>
    <x v="3"/>
    <x v="3"/>
    <s v="spec_paving_earthwork"/>
  </r>
  <r>
    <n v="1318"/>
    <n v="27"/>
    <n v="1"/>
    <s v="UNCLASSIFIED"/>
    <m/>
    <s v="Mobilization, Surveying, Cleanup, and Demobilization"/>
    <m/>
    <x v="0"/>
    <x v="0"/>
    <n v="1"/>
    <s v="LS"/>
    <x v="0"/>
    <x v="0"/>
    <s v="kw_temp_traffic"/>
  </r>
  <r>
    <n v="1319"/>
    <n v="27"/>
    <n v="2"/>
    <s v="UNCLASSIFIED"/>
    <m/>
    <s v="Traffic Control"/>
    <m/>
    <x v="511"/>
    <x v="407"/>
    <n v="1"/>
    <s v="LS"/>
    <x v="0"/>
    <x v="0"/>
    <s v="kw_temp_traffic"/>
  </r>
  <r>
    <n v="1320"/>
    <n v="27"/>
    <n v="3"/>
    <s v="UNCLASSIFIED"/>
    <m/>
    <s v="Temporary Erosion, Sediment, and Pollution Control"/>
    <m/>
    <x v="2"/>
    <x v="2"/>
    <n v="1"/>
    <s v="LS"/>
    <x v="1"/>
    <x v="1"/>
    <s v="kw_landscape_env"/>
  </r>
  <r>
    <n v="1321"/>
    <n v="27"/>
    <n v="4"/>
    <s v="UNCLASSIFIED"/>
    <m/>
    <s v="General Demolition"/>
    <m/>
    <x v="773"/>
    <x v="644"/>
    <n v="1"/>
    <s v="LS"/>
    <x v="2"/>
    <x v="2"/>
    <s v="kw_demo_remediation"/>
  </r>
  <r>
    <n v="1322"/>
    <n v="27"/>
    <n v="5"/>
    <s v="UNCLASSIFIED"/>
    <m/>
    <s v="Pavement Removal and Disposal"/>
    <s v="9-Inch Depth"/>
    <x v="774"/>
    <x v="645"/>
    <n v="230"/>
    <s v="SY"/>
    <x v="3"/>
    <x v="3"/>
    <s v="kw_paving_earthwork"/>
  </r>
  <r>
    <n v="1323"/>
    <n v="27"/>
    <n v="6"/>
    <s v="UNCLASSIFIED"/>
    <m/>
    <s v="Cold Plane Pavement Removal and Disposal"/>
    <s v="3-Inch Depth"/>
    <x v="775"/>
    <x v="646"/>
    <n v="5000"/>
    <s v="SY"/>
    <x v="3"/>
    <x v="3"/>
    <s v="kw_paving_earthwork"/>
  </r>
  <r>
    <n v="1324"/>
    <n v="27"/>
    <n v="7"/>
    <s v="UNCLASSIFIED"/>
    <m/>
    <s v="Signage"/>
    <m/>
    <x v="494"/>
    <x v="393"/>
    <n v="1"/>
    <s v="LS"/>
    <x v="6"/>
    <x v="9"/>
    <s v="kw_airfield_signage"/>
  </r>
  <r>
    <n v="1325"/>
    <n v="27"/>
    <n v="8"/>
    <s v="UNCLASSIFIED"/>
    <m/>
    <s v="Signal Modification"/>
    <m/>
    <x v="776"/>
    <x v="647"/>
    <n v="1"/>
    <s v="LS"/>
    <x v="4"/>
    <x v="4"/>
    <s v="fallback_unmapped"/>
  </r>
  <r>
    <n v="1326"/>
    <n v="27"/>
    <n v="9"/>
    <s v="UNCLASSIFIED"/>
    <m/>
    <s v="Lighting"/>
    <m/>
    <x v="777"/>
    <x v="648"/>
    <n v="1"/>
    <s v="LS"/>
    <x v="6"/>
    <x v="7"/>
    <s v="kw_airfield_lighting"/>
  </r>
  <r>
    <n v="1327"/>
    <n v="27"/>
    <n v="10"/>
    <s v="UNCLASSIFIED"/>
    <m/>
    <s v="Common Excavation"/>
    <m/>
    <x v="160"/>
    <x v="132"/>
    <n v="1030"/>
    <s v="CY"/>
    <x v="3"/>
    <x v="3"/>
    <s v="kw_paving_earthwork"/>
  </r>
  <r>
    <n v="1328"/>
    <n v="27"/>
    <n v="11"/>
    <s v="UNCLASSIFIED"/>
    <m/>
    <s v="Site Preparation"/>
    <m/>
    <x v="778"/>
    <x v="649"/>
    <n v="1"/>
    <s v="LS"/>
    <x v="4"/>
    <x v="4"/>
    <s v="fallback_unmapped"/>
  </r>
  <r>
    <n v="1329"/>
    <n v="27"/>
    <n v="12"/>
    <s v="UNCLASSIFIED"/>
    <m/>
    <s v="Subgrade Preparation"/>
    <m/>
    <x v="779"/>
    <x v="650"/>
    <n v="670"/>
    <s v="SY"/>
    <x v="4"/>
    <x v="4"/>
    <s v="fallback_unmapped"/>
  </r>
  <r>
    <n v="1330"/>
    <n v="27"/>
    <n v="13"/>
    <s v="UNCLASSIFIED"/>
    <m/>
    <s v="Aggregate Base Course"/>
    <m/>
    <x v="23"/>
    <x v="22"/>
    <n v="250"/>
    <s v="CY"/>
    <x v="3"/>
    <x v="3"/>
    <s v="kw_paving_earthwork"/>
  </r>
  <r>
    <n v="1331"/>
    <n v="27"/>
    <n v="14"/>
    <s v="UNCLASSIFIED"/>
    <m/>
    <s v="Level 3"/>
    <s v="1/2-Inch - Dense HMAC"/>
    <x v="780"/>
    <x v="158"/>
    <n v="1500"/>
    <s v="TON"/>
    <x v="3"/>
    <x v="3"/>
    <s v="kw_paving_earthwork"/>
  </r>
  <r>
    <n v="1332"/>
    <n v="27"/>
    <n v="15"/>
    <s v="UNCLASSIFIED"/>
    <m/>
    <s v="Geotextile Fabric"/>
    <m/>
    <x v="781"/>
    <x v="651"/>
    <n v="700"/>
    <s v="SY"/>
    <x v="3"/>
    <x v="3"/>
    <s v="kw_paving_earthwork"/>
  </r>
  <r>
    <n v="1333"/>
    <n v="27"/>
    <n v="16"/>
    <s v="UNCLASSIFIED"/>
    <m/>
    <s v="Tack Coat"/>
    <m/>
    <x v="782"/>
    <x v="652"/>
    <n v="4"/>
    <s v="TON"/>
    <x v="4"/>
    <x v="4"/>
    <s v="fallback_unmapped"/>
  </r>
  <r>
    <n v="1334"/>
    <n v="27"/>
    <n v="17"/>
    <s v="UNCLASSIFIED"/>
    <m/>
    <s v="Valley Gutter"/>
    <m/>
    <x v="783"/>
    <x v="653"/>
    <n v="105"/>
    <s v="SF"/>
    <x v="4"/>
    <x v="4"/>
    <s v="fallback_unmapped"/>
  </r>
  <r>
    <n v="1335"/>
    <n v="27"/>
    <n v="18"/>
    <s v="UNCLASSIFIED"/>
    <m/>
    <s v="Concrete Curb"/>
    <m/>
    <x v="784"/>
    <x v="654"/>
    <n v="180"/>
    <s v="LF"/>
    <x v="3"/>
    <x v="3"/>
    <s v="kw_paving_earthwork"/>
  </r>
  <r>
    <n v="1336"/>
    <n v="27"/>
    <n v="19"/>
    <s v="UNCLASSIFIED"/>
    <m/>
    <s v="Concrete Walks"/>
    <m/>
    <x v="785"/>
    <x v="655"/>
    <n v="700"/>
    <s v="SF"/>
    <x v="4"/>
    <x v="4"/>
    <s v="fallback_unmapped"/>
  </r>
  <r>
    <n v="1337"/>
    <n v="27"/>
    <n v="20"/>
    <s v="UNCLASSIFIED"/>
    <m/>
    <s v="Pavement Markings"/>
    <m/>
    <x v="283"/>
    <x v="232"/>
    <n v="1"/>
    <s v="LS"/>
    <x v="3"/>
    <x v="3"/>
    <s v="kw_paving_earthwork"/>
  </r>
  <r>
    <n v="1338"/>
    <n v="27"/>
    <n v="21"/>
    <s v="UNCLASSIFIED"/>
    <m/>
    <s v="Clearing and Seeding"/>
    <m/>
    <x v="786"/>
    <x v="656"/>
    <n v="0.3"/>
    <s v="ACRE"/>
    <x v="1"/>
    <x v="1"/>
    <s v="kw_landscape_env"/>
  </r>
  <r>
    <n v="1339"/>
    <n v="27"/>
    <n v="22"/>
    <s v="UNCLASSIFIED"/>
    <m/>
    <s v="Storm Culvert"/>
    <m/>
    <x v="787"/>
    <x v="657"/>
    <n v="55"/>
    <s v="LF"/>
    <x v="4"/>
    <x v="4"/>
    <s v="fallback_unmapped"/>
  </r>
  <r>
    <n v="1340"/>
    <n v="28"/>
    <n v="1"/>
    <n v="12200"/>
    <m/>
    <s v="Mobilization, Surveying, Cleanup, and Demobilization"/>
    <m/>
    <x v="246"/>
    <x v="199"/>
    <n v="1"/>
    <s v="LS"/>
    <x v="0"/>
    <x v="0"/>
    <s v="spec_temp_traffic"/>
  </r>
  <r>
    <n v="1341"/>
    <n v="28"/>
    <n v="2"/>
    <n v="12200"/>
    <m/>
    <s v="Sweeper"/>
    <m/>
    <x v="31"/>
    <x v="30"/>
    <n v="1"/>
    <s v="LS"/>
    <x v="0"/>
    <x v="0"/>
    <s v="spec_temp_traffic"/>
  </r>
  <r>
    <n v="1342"/>
    <n v="28"/>
    <n v="3"/>
    <n v="12200"/>
    <m/>
    <s v="Traffic Control"/>
    <m/>
    <x v="111"/>
    <x v="103"/>
    <n v="1"/>
    <s v="LS"/>
    <x v="0"/>
    <x v="0"/>
    <s v="spec_temp_traffic"/>
  </r>
  <r>
    <n v="1343"/>
    <n v="28"/>
    <n v="4"/>
    <n v="12200"/>
    <m/>
    <s v="Escort"/>
    <m/>
    <x v="34"/>
    <x v="33"/>
    <n v="1"/>
    <s v="LS"/>
    <x v="0"/>
    <x v="0"/>
    <s v="spec_temp_traffic"/>
  </r>
  <r>
    <n v="1344"/>
    <n v="28"/>
    <n v="5"/>
    <n v="12200"/>
    <n v="312000"/>
    <s v="Clearing and Grubbing"/>
    <m/>
    <x v="788"/>
    <x v="658"/>
    <n v="1"/>
    <s v="LS"/>
    <x v="0"/>
    <x v="0"/>
    <s v="spec_temp_traffic"/>
  </r>
  <r>
    <n v="1345"/>
    <n v="28"/>
    <n v="6"/>
    <n v="12200"/>
    <n v="15713"/>
    <s v="Temporary Erosion and Sediment Control Measures"/>
    <m/>
    <x v="789"/>
    <x v="659"/>
    <n v="1"/>
    <s v="LS"/>
    <x v="0"/>
    <x v="0"/>
    <s v="spec_temp_traffic"/>
  </r>
  <r>
    <n v="1346"/>
    <n v="28"/>
    <n v="7"/>
    <n v="12200"/>
    <n v="24113"/>
    <s v="General Demolition"/>
    <m/>
    <x v="790"/>
    <x v="660"/>
    <n v="1"/>
    <s v="LS"/>
    <x v="0"/>
    <x v="0"/>
    <s v="spec_temp_traffic"/>
  </r>
  <r>
    <n v="1347"/>
    <n v="28"/>
    <n v="8"/>
    <n v="12200"/>
    <n v="24113"/>
    <s v="Pavement Removal and Disposal"/>
    <s v="6-inch Depth"/>
    <x v="791"/>
    <x v="661"/>
    <n v="171"/>
    <s v="CY"/>
    <x v="0"/>
    <x v="0"/>
    <s v="spec_temp_traffic"/>
  </r>
  <r>
    <n v="1348"/>
    <n v="28"/>
    <n v="9"/>
    <n v="12200"/>
    <n v="26100"/>
    <s v="Contaminated Soil Removal and Haul"/>
    <m/>
    <x v="792"/>
    <x v="662"/>
    <n v="3887"/>
    <s v="TON"/>
    <x v="0"/>
    <x v="0"/>
    <s v="spec_temp_traffic"/>
  </r>
  <r>
    <n v="1349"/>
    <n v="28"/>
    <n v="10"/>
    <n v="12200"/>
    <n v="312300"/>
    <s v="Unsuitable Excavation and Disposal"/>
    <m/>
    <x v="793"/>
    <x v="663"/>
    <n v="200"/>
    <s v="CY"/>
    <x v="0"/>
    <x v="0"/>
    <s v="spec_temp_traffic"/>
  </r>
  <r>
    <n v="1350"/>
    <n v="28"/>
    <n v="11"/>
    <n v="12200"/>
    <n v="312300"/>
    <s v="Trench Stabilization"/>
    <m/>
    <x v="794"/>
    <x v="664"/>
    <n v="200"/>
    <s v="CY"/>
    <x v="0"/>
    <x v="0"/>
    <s v="spec_temp_traffic"/>
  </r>
  <r>
    <n v="1351"/>
    <n v="28"/>
    <n v="12"/>
    <n v="12200"/>
    <n v="312000"/>
    <s v="Embankment, Ditch"/>
    <m/>
    <x v="795"/>
    <x v="665"/>
    <n v="2446.1"/>
    <s v="CY"/>
    <x v="0"/>
    <x v="0"/>
    <s v="spec_temp_traffic"/>
  </r>
  <r>
    <n v="1352"/>
    <n v="28"/>
    <n v="13"/>
    <n v="12200"/>
    <n v="312300"/>
    <s v="Repair Existing ARFF Cap"/>
    <m/>
    <x v="796"/>
    <x v="666"/>
    <n v="342"/>
    <s v="SY"/>
    <x v="0"/>
    <x v="0"/>
    <s v="spec_temp_traffic"/>
  </r>
  <r>
    <n v="1353"/>
    <n v="28"/>
    <n v="14"/>
    <n v="12200"/>
    <n v="320117"/>
    <s v="Site Preparation"/>
    <m/>
    <x v="797"/>
    <x v="667"/>
    <n v="1"/>
    <s v="LS"/>
    <x v="0"/>
    <x v="0"/>
    <s v="spec_temp_traffic"/>
  </r>
  <r>
    <n v="1354"/>
    <n v="28"/>
    <n v="15"/>
    <n v="12200"/>
    <n v="321123"/>
    <s v="Aggregate Base Course"/>
    <m/>
    <x v="798"/>
    <x v="668"/>
    <n v="612"/>
    <s v="TON"/>
    <x v="0"/>
    <x v="0"/>
    <s v="spec_temp_traffic"/>
  </r>
  <r>
    <n v="1355"/>
    <n v="28"/>
    <n v="16"/>
    <n v="12200"/>
    <n v="321200"/>
    <s v="Asphalt Concrete Pavement"/>
    <m/>
    <x v="799"/>
    <x v="669"/>
    <n v="369"/>
    <s v="TON"/>
    <x v="0"/>
    <x v="0"/>
    <s v="spec_temp_traffic"/>
  </r>
  <r>
    <n v="1356"/>
    <n v="28"/>
    <n v="17"/>
    <n v="12200"/>
    <n v="321300"/>
    <s v="Portland Cement Concrete Pavement"/>
    <s v="10-Inch Thick"/>
    <x v="800"/>
    <x v="670"/>
    <n v="23"/>
    <s v="SY"/>
    <x v="0"/>
    <x v="0"/>
    <s v="spec_temp_traffic"/>
  </r>
  <r>
    <n v="1357"/>
    <n v="28"/>
    <n v="18"/>
    <n v="12200"/>
    <n v="329219"/>
    <s v="Seeding"/>
    <m/>
    <x v="801"/>
    <x v="671"/>
    <n v="4"/>
    <s v="ACRE"/>
    <x v="0"/>
    <x v="0"/>
    <s v="spec_temp_traffic"/>
  </r>
  <r>
    <n v="1358"/>
    <n v="28"/>
    <n v="19"/>
    <n v="12200"/>
    <s v="312000 | 329113"/>
    <s v="Fill Material, Topsoil"/>
    <m/>
    <x v="802"/>
    <x v="672"/>
    <n v="2487"/>
    <s v="CY"/>
    <x v="0"/>
    <x v="0"/>
    <s v="spec_temp_traffic"/>
  </r>
  <r>
    <n v="1359"/>
    <n v="28"/>
    <n v="20"/>
    <n v="12200"/>
    <n v="334100"/>
    <s v="STS"/>
    <s v="8-Inch"/>
    <x v="803"/>
    <x v="673"/>
    <n v="153"/>
    <s v="LF"/>
    <x v="0"/>
    <x v="0"/>
    <s v="spec_temp_traffic"/>
  </r>
  <r>
    <n v="1360"/>
    <n v="28"/>
    <n v="21"/>
    <n v="12200"/>
    <n v="334100"/>
    <s v="STS"/>
    <s v="12-Inch"/>
    <x v="804"/>
    <x v="673"/>
    <n v="1426"/>
    <s v="LF"/>
    <x v="0"/>
    <x v="0"/>
    <s v="spec_temp_traffic"/>
  </r>
  <r>
    <n v="1361"/>
    <n v="28"/>
    <n v="22"/>
    <n v="12200"/>
    <n v="334100"/>
    <s v="STS"/>
    <s v="18-Inch"/>
    <x v="805"/>
    <x v="673"/>
    <n v="474"/>
    <s v="LF"/>
    <x v="0"/>
    <x v="0"/>
    <s v="spec_temp_traffic"/>
  </r>
  <r>
    <n v="1362"/>
    <n v="28"/>
    <n v="23"/>
    <n v="12200"/>
    <n v="334100"/>
    <s v="STS"/>
    <s v="36-Inch"/>
    <x v="806"/>
    <x v="673"/>
    <n v="1695"/>
    <s v="LF"/>
    <x v="0"/>
    <x v="0"/>
    <s v="spec_temp_traffic"/>
  </r>
  <r>
    <n v="1363"/>
    <n v="28"/>
    <n v="24"/>
    <n v="12200"/>
    <n v="334100"/>
    <s v="STS"/>
    <s v="48-Inch"/>
    <x v="807"/>
    <x v="673"/>
    <n v="896"/>
    <s v="LF"/>
    <x v="0"/>
    <x v="0"/>
    <s v="spec_temp_traffic"/>
  </r>
  <r>
    <n v="1364"/>
    <n v="28"/>
    <n v="25"/>
    <n v="12200"/>
    <n v="334100"/>
    <s v="Connection to Existing Drainage Structure"/>
    <m/>
    <x v="808"/>
    <x v="674"/>
    <n v="7"/>
    <s v="EACH"/>
    <x v="0"/>
    <x v="0"/>
    <s v="spec_temp_traffic"/>
  </r>
  <r>
    <n v="1365"/>
    <n v="28"/>
    <n v="26"/>
    <n v="12200"/>
    <n v="334100"/>
    <s v="Abandon and Plug Storm Pipe"/>
    <m/>
    <x v="809"/>
    <x v="675"/>
    <n v="4"/>
    <s v="EACH"/>
    <x v="0"/>
    <x v="0"/>
    <s v="spec_temp_traffic"/>
  </r>
  <r>
    <n v="1366"/>
    <n v="28"/>
    <n v="27"/>
    <n v="12200"/>
    <n v="334100"/>
    <s v="Abandon Existing Structure"/>
    <m/>
    <x v="810"/>
    <x v="676"/>
    <n v="2"/>
    <s v="EACH"/>
    <x v="0"/>
    <x v="0"/>
    <s v="spec_temp_traffic"/>
  </r>
  <r>
    <n v="1367"/>
    <n v="28"/>
    <n v="28"/>
    <n v="12200"/>
    <n v="334100"/>
    <s v="Catch Basins/Inlets"/>
    <m/>
    <x v="811"/>
    <x v="677"/>
    <n v="14"/>
    <s v="EACH"/>
    <x v="0"/>
    <x v="0"/>
    <s v="spec_temp_traffic"/>
  </r>
  <r>
    <n v="1368"/>
    <n v="28"/>
    <n v="29"/>
    <n v="12200"/>
    <n v="334100"/>
    <s v="Manhole"/>
    <s v="48-Inch"/>
    <x v="812"/>
    <x v="678"/>
    <n v="9"/>
    <s v="EACH"/>
    <x v="0"/>
    <x v="0"/>
    <s v="spec_temp_traffic"/>
  </r>
  <r>
    <n v="1369"/>
    <n v="28"/>
    <n v="30"/>
    <n v="12200"/>
    <n v="334100"/>
    <s v="Manhole"/>
    <s v="72-Inch"/>
    <x v="813"/>
    <x v="678"/>
    <n v="15"/>
    <s v="EACH"/>
    <x v="0"/>
    <x v="0"/>
    <s v="spec_temp_traffic"/>
  </r>
  <r>
    <n v="1370"/>
    <n v="28"/>
    <n v="31"/>
    <n v="12200"/>
    <n v="334100"/>
    <s v="Manhole"/>
    <s v="120-Inch"/>
    <x v="814"/>
    <x v="678"/>
    <n v="1"/>
    <s v="EACH"/>
    <x v="0"/>
    <x v="0"/>
    <s v="spec_temp_traffic"/>
  </r>
  <r>
    <n v="1371"/>
    <n v="28"/>
    <n v="32"/>
    <n v="12200"/>
    <n v="334100"/>
    <s v="Extra Manhole Depth"/>
    <s v="48-Inch"/>
    <x v="815"/>
    <x v="679"/>
    <n v="4"/>
    <s v="LF"/>
    <x v="0"/>
    <x v="0"/>
    <s v="spec_temp_traffic"/>
  </r>
  <r>
    <n v="1372"/>
    <n v="28"/>
    <n v="33"/>
    <n v="12200"/>
    <n v="334100"/>
    <s v="Extra Manhole Depth"/>
    <s v="72-Inch"/>
    <x v="816"/>
    <x v="679"/>
    <n v="35"/>
    <s v="LF"/>
    <x v="0"/>
    <x v="0"/>
    <s v="spec_temp_traffic"/>
  </r>
  <r>
    <n v="1373"/>
    <n v="28"/>
    <n v="34"/>
    <n v="12200"/>
    <n v="334100"/>
    <s v="Extra Manhole Depth"/>
    <s v="120-Inch"/>
    <x v="817"/>
    <x v="679"/>
    <n v="4"/>
    <s v="LF"/>
    <x v="0"/>
    <x v="0"/>
    <s v="spec_temp_traffic"/>
  </r>
  <r>
    <n v="1374"/>
    <n v="29"/>
    <n v="1"/>
    <n v="12200"/>
    <m/>
    <s v="Mobilization, Surveying, Cleanup, and Demobilization"/>
    <m/>
    <x v="246"/>
    <x v="199"/>
    <n v="1"/>
    <s v="LS"/>
    <x v="0"/>
    <x v="0"/>
    <s v="spec_temp_traffic"/>
  </r>
  <r>
    <n v="1375"/>
    <n v="29"/>
    <n v="2"/>
    <n v="12200"/>
    <m/>
    <s v="Sweeper"/>
    <m/>
    <x v="31"/>
    <x v="30"/>
    <n v="1"/>
    <s v="LS"/>
    <x v="0"/>
    <x v="0"/>
    <s v="spec_temp_traffic"/>
  </r>
  <r>
    <n v="1376"/>
    <n v="29"/>
    <n v="3"/>
    <n v="12200"/>
    <m/>
    <s v="Security Control Monitoring"/>
    <m/>
    <x v="32"/>
    <x v="31"/>
    <n v="1"/>
    <s v="LS"/>
    <x v="0"/>
    <x v="0"/>
    <s v="spec_temp_traffic"/>
  </r>
  <r>
    <n v="1377"/>
    <n v="29"/>
    <n v="4"/>
    <n v="12200"/>
    <m/>
    <s v="Work Zone and Traffic Control"/>
    <m/>
    <x v="33"/>
    <x v="32"/>
    <n v="1"/>
    <s v="LS"/>
    <x v="0"/>
    <x v="0"/>
    <s v="spec_temp_traffic"/>
  </r>
  <r>
    <n v="1378"/>
    <n v="29"/>
    <n v="5"/>
    <n v="12200"/>
    <m/>
    <s v="Escort"/>
    <m/>
    <x v="34"/>
    <x v="33"/>
    <n v="1"/>
    <s v="LS"/>
    <x v="0"/>
    <x v="0"/>
    <s v="spec_temp_traffic"/>
  </r>
  <r>
    <n v="1379"/>
    <n v="29"/>
    <n v="6"/>
    <n v="12200"/>
    <m/>
    <s v="PCC Spall Panel Repair"/>
    <s v="0-1 SF"/>
    <x v="818"/>
    <x v="680"/>
    <n v="99"/>
    <s v="EACH"/>
    <x v="0"/>
    <x v="0"/>
    <s v="spec_temp_traffic"/>
  </r>
  <r>
    <n v="1380"/>
    <n v="29"/>
    <n v="7"/>
    <n v="12200"/>
    <m/>
    <s v="PCC Spall Panel Repair"/>
    <s v="1-5 SF"/>
    <x v="819"/>
    <x v="680"/>
    <n v="53"/>
    <s v="EACH"/>
    <x v="0"/>
    <x v="0"/>
    <s v="spec_temp_traffic"/>
  </r>
  <r>
    <n v="1381"/>
    <n v="29"/>
    <n v="8"/>
    <n v="12200"/>
    <m/>
    <s v="PCC Spall Panel Repair"/>
    <s v="5-15 SF"/>
    <x v="820"/>
    <x v="680"/>
    <n v="16"/>
    <s v="EACH"/>
    <x v="0"/>
    <x v="0"/>
    <s v="spec_temp_traffic"/>
  </r>
  <r>
    <n v="1382"/>
    <n v="29"/>
    <n v="9"/>
    <n v="12200"/>
    <m/>
    <s v="PCC Crack Repair"/>
    <s v="Original"/>
    <x v="821"/>
    <x v="681"/>
    <n v="3210"/>
    <s v="LF"/>
    <x v="0"/>
    <x v="0"/>
    <s v="spec_temp_traffic"/>
  </r>
  <r>
    <n v="1383"/>
    <n v="29"/>
    <n v="10"/>
    <n v="12200"/>
    <m/>
    <s v="PCC Crack Repair"/>
    <s v="Renewal"/>
    <x v="822"/>
    <x v="681"/>
    <n v="350"/>
    <s v="LF"/>
    <x v="0"/>
    <x v="0"/>
    <s v="spec_temp_traffic"/>
  </r>
  <r>
    <n v="1384"/>
    <n v="29"/>
    <n v="11"/>
    <s v="P-604"/>
    <m/>
    <s v="Compression Joint Seals for Concrete Pavements"/>
    <m/>
    <x v="306"/>
    <x v="243"/>
    <n v="79900"/>
    <s v="LF"/>
    <x v="3"/>
    <x v="3"/>
    <s v="spec_paving_earthwork"/>
  </r>
  <r>
    <n v="1385"/>
    <n v="29"/>
    <n v="12"/>
    <s v="P-605"/>
    <m/>
    <s v="Concrete to Concrete Joint Seal"/>
    <s v="Silicone"/>
    <x v="823"/>
    <x v="682"/>
    <n v="3500"/>
    <s v="LF"/>
    <x v="3"/>
    <x v="3"/>
    <s v="spec_paving_earthwork"/>
  </r>
  <r>
    <n v="1386"/>
    <n v="29"/>
    <n v="13"/>
    <s v="P-605"/>
    <m/>
    <s v="Concrete to Asphalt Joint Seal"/>
    <m/>
    <x v="824"/>
    <x v="683"/>
    <n v="1740"/>
    <s v="LF"/>
    <x v="3"/>
    <x v="3"/>
    <s v="spec_paving_earthwor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B0AF4-2188-7940-9ED4-DC9A682E1F7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50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826">
        <item x="109"/>
        <item x="520"/>
        <item x="519"/>
        <item x="518"/>
        <item x="522"/>
        <item x="521"/>
        <item x="386"/>
        <item x="678"/>
        <item x="1"/>
        <item x="33"/>
        <item x="110"/>
        <item x="393"/>
        <item x="113"/>
        <item x="568"/>
        <item x="373"/>
        <item x="192"/>
        <item x="529"/>
        <item x="528"/>
        <item x="525"/>
        <item x="526"/>
        <item x="527"/>
        <item x="533"/>
        <item x="532"/>
        <item x="783"/>
        <item x="572"/>
        <item x="188"/>
        <item x="409"/>
        <item x="793"/>
        <item x="161"/>
        <item x="48"/>
        <item x="383"/>
        <item x="367"/>
        <item x="691"/>
        <item x="434"/>
        <item x="126"/>
        <item x="207"/>
        <item x="475"/>
        <item x="615"/>
        <item x="541"/>
        <item x="794"/>
        <item x="12"/>
        <item x="199"/>
        <item x="6"/>
        <item x="7"/>
        <item x="5"/>
        <item x="540"/>
        <item x="340"/>
        <item x="359"/>
        <item x="512"/>
        <item x="671"/>
        <item x="111"/>
        <item x="511"/>
        <item x="143"/>
        <item x="438"/>
        <item x="439"/>
        <item x="325"/>
        <item x="694"/>
        <item x="735"/>
        <item x="458"/>
        <item x="389"/>
        <item x="424"/>
        <item x="457"/>
        <item x="272"/>
        <item x="752"/>
        <item x="312"/>
        <item x="504"/>
        <item x="578"/>
        <item x="682"/>
        <item x="353"/>
        <item x="2"/>
        <item x="789"/>
        <item x="470"/>
        <item x="703"/>
        <item x="85"/>
        <item x="371"/>
        <item x="782"/>
        <item x="652"/>
        <item x="385"/>
        <item x="31"/>
        <item x="152"/>
        <item x="513"/>
        <item x="421"/>
        <item x="420"/>
        <item x="685"/>
        <item x="309"/>
        <item x="503"/>
        <item x="502"/>
        <item x="308"/>
        <item x="352"/>
        <item x="633"/>
        <item x="627"/>
        <item x="654"/>
        <item x="653"/>
        <item x="769"/>
        <item x="779"/>
        <item x="17"/>
        <item x="411"/>
        <item x="54"/>
        <item x="687"/>
        <item x="686"/>
        <item x="372"/>
        <item x="435"/>
        <item x="60"/>
        <item x="213"/>
        <item x="448"/>
        <item x="447"/>
        <item x="148"/>
        <item x="179"/>
        <item x="180"/>
        <item x="147"/>
        <item x="178"/>
        <item x="28"/>
        <item x="787"/>
        <item x="61"/>
        <item x="491"/>
        <item x="158"/>
        <item x="605"/>
        <item x="604"/>
        <item x="601"/>
        <item x="579"/>
        <item x="797"/>
        <item x="778"/>
        <item x="3"/>
        <item x="45"/>
        <item x="776"/>
        <item x="494"/>
        <item x="469"/>
        <item x="468"/>
        <item x="238"/>
        <item x="244"/>
        <item x="237"/>
        <item x="236"/>
        <item x="596"/>
        <item x="595"/>
        <item x="746"/>
        <item x="108"/>
        <item x="745"/>
        <item x="106"/>
        <item x="104"/>
        <item x="651"/>
        <item x="594"/>
        <item x="593"/>
        <item x="337"/>
        <item x="592"/>
        <item x="591"/>
        <item x="590"/>
        <item x="589"/>
        <item x="720"/>
        <item x="744"/>
        <item x="719"/>
        <item x="718"/>
        <item x="723"/>
        <item x="722"/>
        <item x="721"/>
        <item x="717"/>
        <item x="716"/>
        <item x="715"/>
        <item x="714"/>
        <item x="243"/>
        <item x="242"/>
        <item x="713"/>
        <item x="241"/>
        <item x="240"/>
        <item x="239"/>
        <item x="245"/>
        <item x="588"/>
        <item x="22"/>
        <item x="10"/>
        <item x="390"/>
        <item x="571"/>
        <item x="413"/>
        <item x="628"/>
        <item x="299"/>
        <item x="348"/>
        <item x="437"/>
        <item x="801"/>
        <item x="86"/>
        <item x="341"/>
        <item x="156"/>
        <item x="32"/>
        <item x="153"/>
        <item x="133"/>
        <item x="222"/>
        <item x="62"/>
        <item x="58"/>
        <item x="196"/>
        <item x="748"/>
        <item x="374"/>
        <item x="449"/>
        <item x="103"/>
        <item x="327"/>
        <item x="796"/>
        <item x="321"/>
        <item x="663"/>
        <item x="657"/>
        <item x="659"/>
        <item x="368"/>
        <item x="369"/>
        <item x="616"/>
        <item x="619"/>
        <item x="284"/>
        <item x="282"/>
        <item x="486"/>
        <item x="405"/>
        <item x="753"/>
        <item x="295"/>
        <item x="345"/>
        <item x="164"/>
        <item x="88"/>
        <item x="346"/>
        <item x="165"/>
        <item x="658"/>
        <item x="510"/>
        <item x="233"/>
        <item x="647"/>
        <item x="646"/>
        <item x="509"/>
        <item x="235"/>
        <item x="234"/>
        <item x="508"/>
        <item x="231"/>
        <item x="334"/>
        <item x="645"/>
        <item x="630"/>
        <item x="631"/>
        <item x="229"/>
        <item x="230"/>
        <item x="643"/>
        <item x="644"/>
        <item x="333"/>
        <item x="436"/>
        <item x="544"/>
        <item x="423"/>
        <item x="63"/>
        <item x="361"/>
        <item x="514"/>
        <item x="515"/>
        <item x="516"/>
        <item x="517"/>
        <item x="530"/>
        <item x="107"/>
        <item x="105"/>
        <item x="360"/>
        <item x="479"/>
        <item x="197"/>
        <item x="661"/>
        <item x="211"/>
        <item x="24"/>
        <item x="800"/>
        <item x="128"/>
        <item x="391"/>
        <item x="11"/>
        <item x="384"/>
        <item x="606"/>
        <item x="607"/>
        <item x="64"/>
        <item x="680"/>
        <item x="688"/>
        <item x="820"/>
        <item x="819"/>
        <item x="818"/>
        <item x="115"/>
        <item x="296"/>
        <item x="201"/>
        <item x="114"/>
        <item x="200"/>
        <item x="289"/>
        <item x="202"/>
        <item x="767"/>
        <item x="287"/>
        <item x="822"/>
        <item x="821"/>
        <item x="774"/>
        <item x="791"/>
        <item x="681"/>
        <item x="159"/>
        <item x="577"/>
        <item x="283"/>
        <item x="189"/>
        <item x="191"/>
        <item x="190"/>
        <item x="132"/>
        <item x="25"/>
        <item x="537"/>
        <item x="538"/>
        <item x="547"/>
        <item x="8"/>
        <item x="689"/>
        <item x="451"/>
        <item x="452"/>
        <item x="683"/>
        <item x="637"/>
        <item x="505"/>
        <item x="223"/>
        <item x="68"/>
        <item x="696"/>
        <item x="224"/>
        <item x="638"/>
        <item x="70"/>
        <item x="328"/>
        <item x="329"/>
        <item x="695"/>
        <item x="639"/>
        <item x="673"/>
        <item x="674"/>
        <item x="548"/>
        <item x="492"/>
        <item x="21"/>
        <item x="166"/>
        <item x="198"/>
        <item x="246"/>
        <item x="0"/>
        <item x="30"/>
        <item x="151"/>
        <item x="399"/>
        <item x="286"/>
        <item x="573"/>
        <item x="536"/>
        <item x="524"/>
        <item x="618"/>
        <item x="617"/>
        <item x="407"/>
        <item x="19"/>
        <item x="656"/>
        <item x="422"/>
        <item x="310"/>
        <item x="432"/>
        <item x="634"/>
        <item x="565"/>
        <item x="575"/>
        <item x="777"/>
        <item x="498"/>
        <item x="780"/>
        <item x="193"/>
        <item x="770"/>
        <item x="576"/>
        <item x="562"/>
        <item x="29"/>
        <item x="471"/>
        <item x="472"/>
        <item x="397"/>
        <item x="417"/>
        <item x="53"/>
        <item x="131"/>
        <item x="609"/>
        <item x="608"/>
        <item x="40"/>
        <item x="394"/>
        <item x="38"/>
        <item x="379"/>
        <item x="549"/>
        <item x="464"/>
        <item x="461"/>
        <item x="463"/>
        <item x="462"/>
        <item x="466"/>
        <item x="460"/>
        <item x="465"/>
        <item x="398"/>
        <item x="209"/>
        <item x="288"/>
        <item x="363"/>
        <item x="707"/>
        <item x="742"/>
        <item x="706"/>
        <item x="741"/>
        <item x="587"/>
        <item x="253"/>
        <item x="260"/>
        <item x="262"/>
        <item x="251"/>
        <item x="254"/>
        <item x="257"/>
        <item x="267"/>
        <item x="90"/>
        <item x="92"/>
        <item x="585"/>
        <item x="583"/>
        <item x="584"/>
        <item x="94"/>
        <item x="96"/>
        <item x="232"/>
        <item x="335"/>
        <item x="252"/>
        <item x="256"/>
        <item x="264"/>
        <item x="250"/>
        <item x="265"/>
        <item x="261"/>
        <item x="743"/>
        <item x="258"/>
        <item x="248"/>
        <item x="249"/>
        <item x="259"/>
        <item x="255"/>
        <item x="263"/>
        <item x="98"/>
        <item x="586"/>
        <item x="268"/>
        <item x="711"/>
        <item x="710"/>
        <item x="740"/>
        <item x="739"/>
        <item x="362"/>
        <item x="621"/>
        <item x="364"/>
        <item x="684"/>
        <item x="708"/>
        <item x="704"/>
        <item x="737"/>
        <item x="709"/>
        <item x="705"/>
        <item x="738"/>
        <item x="266"/>
        <item x="370"/>
        <item x="392"/>
        <item x="37"/>
        <item x="679"/>
        <item x="157"/>
        <item x="18"/>
        <item x="59"/>
        <item x="127"/>
        <item x="46"/>
        <item x="49"/>
        <item x="599"/>
        <item x="210"/>
        <item x="72"/>
        <item x="531"/>
        <item x="181"/>
        <item x="535"/>
        <item x="474"/>
        <item x="26"/>
        <item x="664"/>
        <item x="453"/>
        <item x="366"/>
        <item x="247"/>
        <item x="74"/>
        <item x="380"/>
        <item x="66"/>
        <item x="450"/>
        <item x="781"/>
        <item x="50"/>
        <item x="163"/>
        <item x="456"/>
        <item x="702"/>
        <item x="83"/>
        <item x="790"/>
        <item x="773"/>
        <item x="726"/>
        <item x="564"/>
        <item x="802"/>
        <item x="274"/>
        <item x="574"/>
        <item x="614"/>
        <item x="495"/>
        <item x="459"/>
        <item x="816"/>
        <item x="815"/>
        <item x="817"/>
        <item x="408"/>
        <item x="441"/>
        <item x="442"/>
        <item x="443"/>
        <item x="444"/>
        <item x="626"/>
        <item x="326"/>
        <item x="91"/>
        <item x="635"/>
        <item x="636"/>
        <item x="344"/>
        <item x="144"/>
        <item x="221"/>
        <item x="93"/>
        <item x="387"/>
        <item x="34"/>
        <item x="154"/>
        <item x="749"/>
        <item x="485"/>
        <item x="416"/>
        <item x="305"/>
        <item x="307"/>
        <item x="406"/>
        <item x="795"/>
        <item x="484"/>
        <item x="185"/>
        <item x="669"/>
        <item x="666"/>
        <item x="665"/>
        <item x="477"/>
        <item x="478"/>
        <item x="476"/>
        <item x="668"/>
        <item x="667"/>
        <item x="539"/>
        <item x="672"/>
        <item x="670"/>
        <item x="487"/>
        <item x="497"/>
        <item x="523"/>
        <item x="395"/>
        <item x="112"/>
        <item x="480"/>
        <item x="750"/>
        <item x="13"/>
        <item x="365"/>
        <item x="534"/>
        <item x="35"/>
        <item x="612"/>
        <item x="613"/>
        <item x="611"/>
        <item x="610"/>
        <item x="603"/>
        <item x="602"/>
        <item x="600"/>
        <item x="675"/>
        <item x="676"/>
        <item x="755"/>
        <item x="761"/>
        <item x="757"/>
        <item x="763"/>
        <item x="759"/>
        <item x="765"/>
        <item x="482"/>
        <item x="412"/>
        <item x="57"/>
        <item x="543"/>
        <item x="582"/>
        <item x="697"/>
        <item x="225"/>
        <item x="506"/>
        <item x="410"/>
        <item x="208"/>
        <item x="52"/>
        <item x="349"/>
        <item x="440"/>
        <item x="9"/>
        <item x="792"/>
        <item x="751"/>
        <item x="273"/>
        <item x="162"/>
        <item x="81"/>
        <item x="725"/>
        <item x="598"/>
        <item x="396"/>
        <item x="338"/>
        <item x="39"/>
        <item x="155"/>
        <item x="36"/>
        <item x="489"/>
        <item x="89"/>
        <item x="808"/>
        <item x="692"/>
        <item x="419"/>
        <item x="567"/>
        <item x="182"/>
        <item x="785"/>
        <item x="376"/>
        <item x="823"/>
        <item x="824"/>
        <item x="546"/>
        <item x="569"/>
        <item x="772"/>
        <item x="620"/>
        <item x="183"/>
        <item x="784"/>
        <item x="311"/>
        <item x="306"/>
        <item x="212"/>
        <item x="130"/>
        <item x="275"/>
        <item x="160"/>
        <item x="20"/>
        <item x="404"/>
        <item x="403"/>
        <item x="775"/>
        <item x="187"/>
        <item x="186"/>
        <item x="500"/>
        <item x="727"/>
        <item x="728"/>
        <item x="724"/>
        <item x="501"/>
        <item x="44"/>
        <item x="297"/>
        <item x="125"/>
        <item x="194"/>
        <item x="293"/>
        <item x="42"/>
        <item x="625"/>
        <item x="298"/>
        <item x="786"/>
        <item x="788"/>
        <item x="4"/>
        <item x="445"/>
        <item x="561"/>
        <item x="433"/>
        <item x="811"/>
        <item x="220"/>
        <item x="84"/>
        <item x="490"/>
        <item x="375"/>
        <item x="545"/>
        <item x="660"/>
        <item x="343"/>
        <item x="566"/>
        <item x="342"/>
        <item x="446"/>
        <item x="47"/>
        <item x="499"/>
        <item x="662"/>
        <item x="184"/>
        <item x="493"/>
        <item x="51"/>
        <item x="195"/>
        <item x="129"/>
        <item x="542"/>
        <item x="597"/>
        <item x="754"/>
        <item x="760"/>
        <item x="756"/>
        <item x="762"/>
        <item x="766"/>
        <item x="758"/>
        <item x="764"/>
        <item x="414"/>
        <item x="402"/>
        <item x="401"/>
        <item x="400"/>
        <item x="415"/>
        <item x="56"/>
        <item x="300"/>
        <item x="481"/>
        <item x="655"/>
        <item x="204"/>
        <item x="43"/>
        <item x="623"/>
        <item x="118"/>
        <item x="203"/>
        <item x="768"/>
        <item x="117"/>
        <item x="347"/>
        <item x="292"/>
        <item x="116"/>
        <item x="41"/>
        <item x="622"/>
        <item x="123"/>
        <item x="122"/>
        <item x="291"/>
        <item x="580"/>
        <item x="121"/>
        <item x="324"/>
        <item x="206"/>
        <item x="120"/>
        <item x="294"/>
        <item x="124"/>
        <item x="119"/>
        <item x="205"/>
        <item x="290"/>
        <item x="771"/>
        <item x="301"/>
        <item x="350"/>
        <item x="629"/>
        <item x="483"/>
        <item x="581"/>
        <item x="799"/>
        <item x="285"/>
        <item x="27"/>
        <item x="563"/>
        <item x="473"/>
        <item x="570"/>
        <item x="798"/>
        <item x="23"/>
        <item x="95"/>
        <item x="167"/>
        <item x="97"/>
        <item x="467"/>
        <item x="649"/>
        <item x="632"/>
        <item x="336"/>
        <item x="648"/>
        <item x="150"/>
        <item x="712"/>
        <item x="102"/>
        <item x="100"/>
        <item x="149"/>
        <item x="650"/>
        <item x="418"/>
        <item x="55"/>
        <item x="810"/>
        <item x="339"/>
        <item x="809"/>
        <item x="219"/>
        <item x="142"/>
        <item x="82"/>
        <item x="218"/>
        <item x="358"/>
        <item x="430"/>
        <item x="65"/>
        <item x="803"/>
        <item x="316"/>
        <item x="382"/>
        <item x="557"/>
        <item x="381"/>
        <item x="14"/>
        <item x="141"/>
        <item x="79"/>
        <item x="813"/>
        <item x="318"/>
        <item x="176"/>
        <item x="217"/>
        <item x="177"/>
        <item x="377"/>
        <item x="690"/>
        <item x="140"/>
        <item x="693"/>
        <item x="317"/>
        <item x="175"/>
        <item x="425"/>
        <item x="431"/>
        <item x="278"/>
        <item x="135"/>
        <item x="732"/>
        <item x="138"/>
        <item x="215"/>
        <item x="733"/>
        <item x="281"/>
        <item x="496"/>
        <item x="69"/>
        <item x="807"/>
        <item x="734"/>
        <item x="75"/>
        <item x="139"/>
        <item x="77"/>
        <item x="812"/>
        <item x="323"/>
        <item x="174"/>
        <item x="216"/>
        <item x="357"/>
        <item x="277"/>
        <item x="134"/>
        <item x="554"/>
        <item x="280"/>
        <item x="551"/>
        <item x="806"/>
        <item x="315"/>
        <item x="214"/>
        <item x="322"/>
        <item x="356"/>
        <item x="101"/>
        <item x="388"/>
        <item x="556"/>
        <item x="550"/>
        <item x="87"/>
        <item x="677"/>
        <item x="427"/>
        <item x="137"/>
        <item x="320"/>
        <item x="173"/>
        <item x="168"/>
        <item x="73"/>
        <item x="172"/>
        <item x="171"/>
        <item x="146"/>
        <item x="455"/>
        <item x="454"/>
        <item x="276"/>
        <item x="559"/>
        <item x="700"/>
        <item x="330"/>
        <item x="699"/>
        <item x="271"/>
        <item x="80"/>
        <item x="331"/>
        <item x="507"/>
        <item x="698"/>
        <item x="640"/>
        <item x="736"/>
        <item x="270"/>
        <item x="78"/>
        <item x="226"/>
        <item x="227"/>
        <item x="279"/>
        <item x="560"/>
        <item x="624"/>
        <item x="351"/>
        <item x="429"/>
        <item x="304"/>
        <item x="136"/>
        <item x="805"/>
        <item x="319"/>
        <item x="731"/>
        <item x="555"/>
        <item x="553"/>
        <item x="558"/>
        <item x="303"/>
        <item x="314"/>
        <item x="730"/>
        <item x="170"/>
        <item x="355"/>
        <item x="428"/>
        <item x="814"/>
        <item x="16"/>
        <item x="426"/>
        <item x="67"/>
        <item x="804"/>
        <item x="313"/>
        <item x="729"/>
        <item x="169"/>
        <item x="354"/>
        <item x="71"/>
        <item x="488"/>
        <item x="145"/>
        <item x="552"/>
        <item x="99"/>
        <item x="302"/>
        <item x="15"/>
        <item x="378"/>
        <item x="701"/>
        <item x="641"/>
        <item x="76"/>
        <item x="642"/>
        <item x="332"/>
        <item x="228"/>
        <item x="269"/>
        <item x="7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85">
        <item x="675"/>
        <item x="266"/>
        <item x="676"/>
        <item x="668"/>
        <item x="669"/>
        <item x="637"/>
        <item x="631"/>
        <item x="639"/>
        <item x="635"/>
        <item x="629"/>
        <item x="633"/>
        <item x="627"/>
        <item x="677"/>
        <item x="658"/>
        <item x="674"/>
        <item x="265"/>
        <item x="624"/>
        <item x="662"/>
        <item x="638"/>
        <item x="632"/>
        <item x="636"/>
        <item x="630"/>
        <item x="634"/>
        <item x="628"/>
        <item x="34"/>
        <item x="623"/>
        <item x="665"/>
        <item x="622"/>
        <item x="33"/>
        <item x="679"/>
        <item x="672"/>
        <item x="660"/>
        <item x="308"/>
        <item x="678"/>
        <item x="29"/>
        <item x="199"/>
        <item x="661"/>
        <item x="681"/>
        <item x="680"/>
        <item x="670"/>
        <item x="626"/>
        <item x="666"/>
        <item x="31"/>
        <item x="671"/>
        <item x="310"/>
        <item x="667"/>
        <item x="673"/>
        <item x="30"/>
        <item x="659"/>
        <item x="625"/>
        <item x="309"/>
        <item x="103"/>
        <item x="664"/>
        <item x="663"/>
        <item x="102"/>
        <item x="32"/>
        <item x="558"/>
        <item x="307"/>
        <item x="35"/>
        <item x="313"/>
        <item x="104"/>
        <item x="36"/>
        <item x="312"/>
        <item x="37"/>
        <item x="314"/>
        <item x="311"/>
        <item x="268"/>
        <item x="267"/>
        <item x="163"/>
        <item x="105"/>
        <item x="269"/>
        <item x="270"/>
        <item x="271"/>
        <item x="539"/>
        <item x="273"/>
        <item x="272"/>
        <item x="540"/>
        <item x="538"/>
        <item x="544"/>
        <item x="75"/>
        <item x="601"/>
        <item x="345"/>
        <item x="541"/>
        <item x="287"/>
        <item x="548"/>
        <item x="549"/>
        <item x="546"/>
        <item x="547"/>
        <item x="550"/>
        <item x="358"/>
        <item x="76"/>
        <item x="286"/>
        <item x="510"/>
        <item x="284"/>
        <item x="359"/>
        <item x="285"/>
        <item x="554"/>
        <item x="282"/>
        <item x="283"/>
        <item x="78"/>
        <item x="357"/>
        <item x="552"/>
        <item x="200"/>
        <item x="288"/>
        <item x="289"/>
        <item x="80"/>
        <item x="290"/>
        <item x="291"/>
        <item x="551"/>
        <item x="553"/>
        <item x="578"/>
        <item x="579"/>
        <item x="292"/>
        <item x="293"/>
        <item x="557"/>
        <item x="556"/>
        <item x="555"/>
        <item x="294"/>
        <item x="295"/>
        <item x="90"/>
        <item x="88"/>
        <item x="82"/>
        <item x="86"/>
        <item x="174"/>
        <item x="117"/>
        <item x="519"/>
        <item x="84"/>
        <item x="254"/>
        <item x="162"/>
        <item x="81"/>
        <item x="252"/>
        <item x="255"/>
        <item x="296"/>
        <item x="175"/>
        <item x="470"/>
        <item x="469"/>
        <item x="471"/>
        <item x="297"/>
        <item x="298"/>
        <item x="299"/>
        <item x="300"/>
        <item x="301"/>
        <item x="302"/>
        <item x="346"/>
        <item x="303"/>
        <item x="304"/>
        <item x="305"/>
        <item x="92"/>
        <item x="118"/>
        <item x="95"/>
        <item x="97"/>
        <item x="99"/>
        <item x="119"/>
        <item x="120"/>
        <item x="219"/>
        <item x="611"/>
        <item x="581"/>
        <item x="585"/>
        <item x="610"/>
        <item x="580"/>
        <item x="584"/>
        <item x="564"/>
        <item x="612"/>
        <item x="613"/>
        <item x="586"/>
        <item x="587"/>
        <item x="221"/>
        <item x="475"/>
        <item x="91"/>
        <item x="216"/>
        <item x="208"/>
        <item x="212"/>
        <item x="202"/>
        <item x="201"/>
        <item x="211"/>
        <item x="616"/>
        <item x="214"/>
        <item x="218"/>
        <item x="203"/>
        <item x="217"/>
        <item x="209"/>
        <item x="205"/>
        <item x="262"/>
        <item x="185"/>
        <item x="89"/>
        <item x="87"/>
        <item x="473"/>
        <item x="472"/>
        <item x="474"/>
        <item x="85"/>
        <item x="83"/>
        <item x="220"/>
        <item x="210"/>
        <item x="207"/>
        <item x="204"/>
        <item x="215"/>
        <item x="213"/>
        <item x="206"/>
        <item x="476"/>
        <item x="365"/>
        <item x="361"/>
        <item x="362"/>
        <item x="360"/>
        <item x="363"/>
        <item x="614"/>
        <item x="582"/>
        <item x="615"/>
        <item x="583"/>
        <item x="364"/>
        <item x="260"/>
        <item x="526"/>
        <item x="525"/>
        <item x="183"/>
        <item x="182"/>
        <item x="516"/>
        <item x="515"/>
        <item x="527"/>
        <item x="261"/>
        <item x="184"/>
        <item x="404"/>
        <item x="187"/>
        <item x="188"/>
        <item x="405"/>
        <item x="528"/>
        <item x="529"/>
        <item x="186"/>
        <item x="406"/>
        <item x="532"/>
        <item x="121"/>
        <item x="93"/>
        <item x="94"/>
        <item x="588"/>
        <item x="122"/>
        <item x="530"/>
        <item x="366"/>
        <item x="263"/>
        <item x="517"/>
        <item x="531"/>
        <item x="367"/>
        <item x="477"/>
        <item x="198"/>
        <item x="192"/>
        <item x="193"/>
        <item x="194"/>
        <item x="589"/>
        <item x="195"/>
        <item x="196"/>
        <item x="590"/>
        <item x="591"/>
        <item x="592"/>
        <item x="593"/>
        <item x="597"/>
        <item x="598"/>
        <item x="599"/>
        <item x="594"/>
        <item x="595"/>
        <item x="617"/>
        <item x="596"/>
        <item x="478"/>
        <item x="479"/>
        <item x="480"/>
        <item x="481"/>
        <item x="264"/>
        <item x="482"/>
        <item x="483"/>
        <item x="533"/>
        <item x="96"/>
        <item x="98"/>
        <item x="618"/>
        <item x="100"/>
        <item x="619"/>
        <item x="485"/>
        <item x="189"/>
        <item x="190"/>
        <item x="197"/>
        <item x="191"/>
        <item x="368"/>
        <item x="306"/>
        <item x="543"/>
        <item x="545"/>
        <item x="542"/>
        <item x="347"/>
        <item x="351"/>
        <item x="350"/>
        <item x="348"/>
        <item x="349"/>
        <item x="559"/>
        <item x="236"/>
        <item x="315"/>
        <item x="235"/>
        <item x="333"/>
        <item x="335"/>
        <item x="336"/>
        <item x="334"/>
        <item x="332"/>
        <item x="337"/>
        <item x="66"/>
        <item x="279"/>
        <item x="605"/>
        <item x="250"/>
        <item x="566"/>
        <item x="62"/>
        <item x="338"/>
        <item x="607"/>
        <item x="568"/>
        <item x="171"/>
        <item x="115"/>
        <item x="606"/>
        <item x="567"/>
        <item x="77"/>
        <item x="173"/>
        <item x="340"/>
        <item x="570"/>
        <item x="280"/>
        <item x="172"/>
        <item x="251"/>
        <item x="571"/>
        <item x="71"/>
        <item x="73"/>
        <item x="69"/>
        <item x="339"/>
        <item x="281"/>
        <item x="569"/>
        <item x="343"/>
        <item x="342"/>
        <item x="341"/>
        <item x="222"/>
        <item x="178"/>
        <item x="68"/>
        <item x="354"/>
        <item x="67"/>
        <item x="522"/>
        <item x="572"/>
        <item x="257"/>
        <item x="256"/>
        <item x="65"/>
        <item x="521"/>
        <item x="177"/>
        <item x="573"/>
        <item x="64"/>
        <item x="176"/>
        <item x="402"/>
        <item x="520"/>
        <item x="563"/>
        <item x="353"/>
        <item x="352"/>
        <item x="181"/>
        <item x="180"/>
        <item x="524"/>
        <item x="70"/>
        <item x="577"/>
        <item x="355"/>
        <item x="356"/>
        <item x="179"/>
        <item x="72"/>
        <item x="223"/>
        <item x="609"/>
        <item x="523"/>
        <item x="574"/>
        <item x="403"/>
        <item x="259"/>
        <item x="74"/>
        <item x="224"/>
        <item x="575"/>
        <item x="258"/>
        <item x="576"/>
        <item x="40"/>
        <item x="316"/>
        <item x="41"/>
        <item x="600"/>
        <item x="604"/>
        <item x="603"/>
        <item x="398"/>
        <item x="317"/>
        <item x="318"/>
        <item x="602"/>
        <item x="39"/>
        <item x="561"/>
        <item x="106"/>
        <item x="237"/>
        <item x="319"/>
        <item x="320"/>
        <item x="322"/>
        <item x="47"/>
        <item x="321"/>
        <item x="274"/>
        <item x="640"/>
        <item x="164"/>
        <item x="45"/>
        <item x="323"/>
        <item x="165"/>
        <item x="49"/>
        <item x="275"/>
        <item x="324"/>
        <item x="238"/>
        <item x="51"/>
        <item x="325"/>
        <item x="166"/>
        <item x="42"/>
        <item x="54"/>
        <item x="513"/>
        <item x="326"/>
        <item x="641"/>
        <item x="239"/>
        <item x="159"/>
        <item x="43"/>
        <item x="108"/>
        <item x="514"/>
        <item x="276"/>
        <item x="327"/>
        <item x="240"/>
        <item x="642"/>
        <item x="167"/>
        <item x="46"/>
        <item x="56"/>
        <item x="511"/>
        <item x="643"/>
        <item x="109"/>
        <item x="168"/>
        <item x="241"/>
        <item x="110"/>
        <item x="244"/>
        <item x="48"/>
        <item x="242"/>
        <item x="111"/>
        <item x="169"/>
        <item x="243"/>
        <item x="683"/>
        <item x="682"/>
        <item x="112"/>
        <item x="50"/>
        <item x="52"/>
        <item x="328"/>
        <item x="53"/>
        <item x="621"/>
        <item x="55"/>
        <item x="248"/>
        <item x="58"/>
        <item x="170"/>
        <item x="57"/>
        <item x="247"/>
        <item x="537"/>
        <item x="113"/>
        <item x="466"/>
        <item x="560"/>
        <item x="61"/>
        <item x="161"/>
        <item x="60"/>
        <item x="330"/>
        <item x="160"/>
        <item x="59"/>
        <item x="535"/>
        <item x="536"/>
        <item x="565"/>
        <item x="512"/>
        <item x="518"/>
        <item x="277"/>
        <item x="245"/>
        <item x="399"/>
        <item x="400"/>
        <item x="246"/>
        <item x="329"/>
        <item x="278"/>
        <item x="562"/>
        <item x="467"/>
        <item x="401"/>
        <item x="249"/>
        <item x="331"/>
        <item x="63"/>
        <item x="114"/>
        <item x="468"/>
        <item x="79"/>
        <item x="344"/>
        <item x="608"/>
        <item x="253"/>
        <item x="116"/>
        <item x="101"/>
        <item x="620"/>
        <item x="139"/>
        <item x="22"/>
        <item x="459"/>
        <item x="449"/>
        <item x="372"/>
        <item x="452"/>
        <item x="26"/>
        <item x="234"/>
        <item x="382"/>
        <item x="380"/>
        <item x="486"/>
        <item x="435"/>
        <item x="392"/>
        <item x="150"/>
        <item x="397"/>
        <item x="44"/>
        <item x="455"/>
        <item x="447"/>
        <item x="438"/>
        <item x="389"/>
        <item x="450"/>
        <item x="395"/>
        <item x="4"/>
        <item x="656"/>
        <item x="152"/>
        <item x="646"/>
        <item x="19"/>
        <item x="132"/>
        <item x="228"/>
        <item x="654"/>
        <item x="149"/>
        <item x="509"/>
        <item x="458"/>
        <item x="439"/>
        <item x="655"/>
        <item x="148"/>
        <item x="456"/>
        <item x="388"/>
        <item x="127"/>
        <item x="38"/>
        <item x="487"/>
        <item x="134"/>
        <item x="226"/>
        <item x="9"/>
        <item x="143"/>
        <item x="436"/>
        <item x="381"/>
        <item x="489"/>
        <item x="491"/>
        <item x="492"/>
        <item x="499"/>
        <item x="500"/>
        <item x="502"/>
        <item x="501"/>
        <item x="427"/>
        <item x="13"/>
        <item x="444"/>
        <item x="379"/>
        <item x="443"/>
        <item x="387"/>
        <item x="416"/>
        <item x="396"/>
        <item x="386"/>
        <item x="432"/>
        <item x="375"/>
        <item x="377"/>
        <item x="376"/>
        <item x="151"/>
        <item x="383"/>
        <item x="384"/>
        <item x="126"/>
        <item x="394"/>
        <item x="503"/>
        <item x="463"/>
        <item x="227"/>
        <item x="453"/>
        <item x="230"/>
        <item x="644"/>
        <item x="135"/>
        <item x="651"/>
        <item x="25"/>
        <item x="373"/>
        <item x="428"/>
        <item x="147"/>
        <item x="424"/>
        <item x="488"/>
        <item x="17"/>
        <item x="129"/>
        <item x="442"/>
        <item x="497"/>
        <item x="498"/>
        <item x="371"/>
        <item x="370"/>
        <item x="28"/>
        <item x="451"/>
        <item x="465"/>
        <item x="158"/>
        <item x="648"/>
        <item x="464"/>
        <item x="15"/>
        <item x="454"/>
        <item x="18"/>
        <item x="506"/>
        <item x="507"/>
        <item x="417"/>
        <item x="429"/>
        <item x="462"/>
        <item x="123"/>
        <item x="0"/>
        <item x="138"/>
        <item x="20"/>
        <item x="391"/>
        <item x="441"/>
        <item x="8"/>
        <item x="440"/>
        <item x="431"/>
        <item x="430"/>
        <item x="24"/>
        <item x="155"/>
        <item x="156"/>
        <item x="154"/>
        <item x="232"/>
        <item x="131"/>
        <item x="645"/>
        <item x="496"/>
        <item x="495"/>
        <item x="11"/>
        <item x="23"/>
        <item x="378"/>
        <item x="423"/>
        <item x="410"/>
        <item x="445"/>
        <item x="446"/>
        <item x="437"/>
        <item x="137"/>
        <item x="136"/>
        <item x="385"/>
        <item x="231"/>
        <item x="233"/>
        <item x="508"/>
        <item x="505"/>
        <item x="125"/>
        <item x="128"/>
        <item x="460"/>
        <item x="14"/>
        <item x="10"/>
        <item x="21"/>
        <item x="484"/>
        <item x="393"/>
        <item x="647"/>
        <item x="3"/>
        <item x="649"/>
        <item x="490"/>
        <item x="493"/>
        <item x="494"/>
        <item x="130"/>
        <item x="390"/>
        <item x="657"/>
        <item x="140"/>
        <item x="141"/>
        <item x="142"/>
        <item x="27"/>
        <item x="144"/>
        <item x="146"/>
        <item x="145"/>
        <item x="16"/>
        <item x="650"/>
        <item x="409"/>
        <item x="124"/>
        <item x="534"/>
        <item x="652"/>
        <item x="369"/>
        <item x="2"/>
        <item x="225"/>
        <item x="407"/>
        <item x="408"/>
        <item x="433"/>
        <item x="5"/>
        <item x="7"/>
        <item x="6"/>
        <item x="12"/>
        <item x="434"/>
        <item x="504"/>
        <item x="374"/>
        <item x="107"/>
        <item x="133"/>
        <item x="153"/>
        <item x="461"/>
        <item x="653"/>
        <item x="425"/>
        <item x="426"/>
        <item x="420"/>
        <item x="419"/>
        <item x="418"/>
        <item x="421"/>
        <item x="422"/>
        <item x="157"/>
        <item x="448"/>
        <item x="229"/>
        <item x="457"/>
        <item x="1"/>
        <item x="414"/>
        <item x="415"/>
        <item x="411"/>
        <item x="412"/>
        <item x="413"/>
        <item t="default"/>
      </items>
    </pivotField>
    <pivotField showAll="0"/>
    <pivotField showAll="0"/>
    <pivotField axis="axisRow" showAll="0" sortType="descending">
      <items count="9">
        <item x="2"/>
        <item x="6"/>
        <item x="0"/>
        <item x="1"/>
        <item x="4"/>
        <item x="5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4">
        <item x="7"/>
        <item x="9"/>
        <item x="2"/>
        <item x="6"/>
        <item x="12"/>
        <item x="11"/>
        <item x="1"/>
        <item x="3"/>
        <item x="5"/>
        <item x="8"/>
        <item x="10"/>
        <item x="0"/>
        <item x="4"/>
        <item t="default"/>
      </items>
    </pivotField>
    <pivotField showAll="0"/>
  </pivotFields>
  <rowFields count="3">
    <field x="11"/>
    <field x="12"/>
    <field x="7"/>
  </rowFields>
  <rowItems count="847">
    <i>
      <x v="6"/>
    </i>
    <i r="1">
      <x v="7"/>
    </i>
    <i r="2">
      <x v="233"/>
    </i>
    <i r="2">
      <x v="325"/>
    </i>
    <i r="2">
      <x v="479"/>
    </i>
    <i r="2">
      <x v="342"/>
    </i>
    <i r="2">
      <x v="524"/>
    </i>
    <i r="2">
      <x v="630"/>
    </i>
    <i r="2">
      <x v="35"/>
    </i>
    <i r="2">
      <x v="64"/>
    </i>
    <i r="2">
      <x v="687"/>
    </i>
    <i r="2">
      <x v="29"/>
    </i>
    <i r="2">
      <x v="671"/>
    </i>
    <i r="2">
      <x v="565"/>
    </i>
    <i r="2">
      <x v="205"/>
    </i>
    <i r="2">
      <x v="84"/>
    </i>
    <i r="2">
      <x v="97"/>
    </i>
    <i r="2">
      <x v="629"/>
    </i>
    <i r="2">
      <x v="612"/>
    </i>
    <i r="2">
      <x v="570"/>
    </i>
    <i r="2">
      <x v="323"/>
    </i>
    <i r="2">
      <x v="92"/>
    </i>
    <i r="2">
      <x v="660"/>
    </i>
    <i r="2">
      <x v="255"/>
    </i>
    <i r="2">
      <x v="566"/>
    </i>
    <i r="2">
      <x v="532"/>
    </i>
    <i r="2">
      <x v="91"/>
    </i>
    <i r="2">
      <x v="539"/>
    </i>
    <i r="2">
      <x v="40"/>
    </i>
    <i r="2">
      <x v="113"/>
    </i>
    <i r="2">
      <x v="346"/>
    </i>
    <i r="2">
      <x v="275"/>
    </i>
    <i r="2">
      <x v="442"/>
    </i>
    <i r="2">
      <x v="123"/>
    </i>
    <i r="2">
      <x v="632"/>
    </i>
    <i r="2">
      <x v="172"/>
    </i>
    <i r="2">
      <x v="441"/>
    </i>
    <i r="2">
      <x v="83"/>
    </i>
    <i r="2">
      <x v="269"/>
    </i>
    <i r="2">
      <x v="102"/>
    </i>
    <i r="2">
      <x v="643"/>
    </i>
    <i r="2">
      <x v="244"/>
    </i>
    <i r="2">
      <x v="531"/>
    </i>
    <i r="2">
      <x v="28"/>
    </i>
    <i r="2">
      <x v="282"/>
    </i>
    <i r="2">
      <x v="464"/>
    </i>
    <i r="2">
      <x v="586"/>
    </i>
    <i r="2">
      <x v="641"/>
    </i>
    <i r="2">
      <x v="614"/>
    </i>
    <i r="2">
      <x v="185"/>
    </i>
    <i r="2">
      <x v="173"/>
    </i>
    <i r="2">
      <x v="256"/>
    </i>
    <i r="2">
      <x v="588"/>
    </i>
    <i r="2">
      <x v="277"/>
    </i>
    <i r="2">
      <x v="634"/>
    </i>
    <i r="2">
      <x v="87"/>
    </i>
    <i r="2">
      <x v="650"/>
    </i>
    <i r="2">
      <x v="88"/>
    </i>
    <i r="2">
      <x v="585"/>
    </i>
    <i r="2">
      <x v="333"/>
    </i>
    <i r="2">
      <x v="587"/>
    </i>
    <i r="2">
      <x v="420"/>
    </i>
    <i r="2">
      <x v="613"/>
    </i>
    <i r="2">
      <x v="438"/>
    </i>
    <i r="2">
      <x v="171"/>
    </i>
    <i r="2">
      <x v="93"/>
    </i>
    <i r="2">
      <x v="637"/>
    </i>
    <i r="2">
      <x v="103"/>
    </i>
    <i r="2">
      <x v="67"/>
    </i>
    <i r="2">
      <x v="753"/>
    </i>
    <i r="2">
      <x v="659"/>
    </i>
    <i r="2">
      <x v="794"/>
    </i>
    <i r="2">
      <x v="580"/>
    </i>
    <i r="2">
      <x v="183"/>
    </i>
    <i r="2">
      <x v="279"/>
    </i>
    <i r="2">
      <x v="43"/>
    </i>
    <i r="2">
      <x v="601"/>
    </i>
    <i r="2">
      <x v="280"/>
    </i>
    <i r="2">
      <x v="276"/>
    </i>
    <i r="2">
      <x v="281"/>
    </i>
    <i r="2">
      <x v="583"/>
    </i>
    <i r="2">
      <x v="86"/>
    </i>
    <i r="2">
      <x v="626"/>
    </i>
    <i r="2">
      <x v="306"/>
    </i>
    <i r="2">
      <x v="642"/>
    </i>
    <i r="2">
      <x v="307"/>
    </i>
    <i r="2">
      <x v="658"/>
    </i>
    <i r="2">
      <x v="321"/>
    </i>
    <i r="2">
      <x v="579"/>
    </i>
    <i r="2">
      <x v="68"/>
    </i>
    <i r="2">
      <x v="264"/>
    </i>
    <i r="2">
      <x v="324"/>
    </i>
    <i r="2">
      <x v="266"/>
    </i>
    <i r="2">
      <x v="232"/>
    </i>
    <i r="2">
      <x v="170"/>
    </i>
    <i r="2">
      <x v="331"/>
    </i>
    <i r="2">
      <x v="638"/>
    </i>
    <i r="2">
      <x v="332"/>
    </i>
    <i r="2">
      <x v="646"/>
    </i>
    <i r="2">
      <x v="81"/>
    </i>
    <i r="2">
      <x v="654"/>
    </i>
    <i r="2">
      <x v="334"/>
    </i>
    <i r="2">
      <x v="662"/>
    </i>
    <i r="2">
      <x v="341"/>
    </i>
    <i r="2">
      <x v="577"/>
    </i>
    <i r="2">
      <x v="89"/>
    </i>
    <i r="2">
      <x v="581"/>
    </i>
    <i r="2">
      <x v="343"/>
    </i>
    <i r="2">
      <x v="262"/>
    </i>
    <i r="2">
      <x v="345"/>
    </i>
    <i r="2">
      <x v="589"/>
    </i>
    <i r="2">
      <x v="90"/>
    </i>
    <i r="2">
      <x v="611"/>
    </i>
    <i r="2">
      <x v="359"/>
    </i>
    <i r="2">
      <x v="624"/>
    </i>
    <i r="2">
      <x v="82"/>
    </i>
    <i r="2">
      <x v="628"/>
    </i>
    <i r="2">
      <x v="421"/>
    </i>
    <i r="2">
      <x v="268"/>
    </i>
    <i r="2">
      <x v="422"/>
    </i>
    <i r="2">
      <x v="636"/>
    </i>
    <i r="2">
      <x v="423"/>
    </i>
    <i r="2">
      <x v="640"/>
    </i>
    <i r="2">
      <x v="425"/>
    </i>
    <i r="2">
      <x v="644"/>
    </i>
    <i r="2">
      <x v="246"/>
    </i>
    <i r="2">
      <x v="648"/>
    </i>
    <i r="2">
      <x v="440"/>
    </i>
    <i r="2">
      <x v="652"/>
    </i>
    <i r="2">
      <x v="44"/>
    </i>
    <i r="2">
      <x v="656"/>
    </i>
    <i r="2">
      <x v="45"/>
    </i>
    <i r="2">
      <x v="278"/>
    </i>
    <i r="2">
      <x v="448"/>
    </i>
    <i r="2">
      <x v="665"/>
    </i>
    <i r="2">
      <x v="459"/>
    </i>
    <i r="2">
      <x v="576"/>
    </i>
    <i r="2">
      <x v="26"/>
    </i>
    <i r="2">
      <x v="578"/>
    </i>
    <i r="2">
      <x v="478"/>
    </i>
    <i r="2">
      <x v="261"/>
    </i>
    <i r="2">
      <x v="247"/>
    </i>
    <i r="2">
      <x v="582"/>
    </i>
    <i r="2">
      <x v="480"/>
    </i>
    <i r="2">
      <x v="584"/>
    </i>
    <i r="2">
      <x v="481"/>
    </i>
    <i r="2">
      <x v="263"/>
    </i>
    <i r="2">
      <x v="522"/>
    </i>
    <i r="2">
      <x v="265"/>
    </i>
    <i r="2">
      <x v="523"/>
    </i>
    <i r="2">
      <x v="600"/>
    </i>
    <i r="2">
      <x v="96"/>
    </i>
    <i r="2">
      <x v="607"/>
    </i>
    <i r="2">
      <x v="526"/>
    </i>
    <i r="2">
      <x v="66"/>
    </i>
    <i r="2">
      <x v="530"/>
    </i>
    <i r="2">
      <x v="267"/>
    </i>
    <i r="2">
      <x v="60"/>
    </i>
    <i r="2">
      <x v="625"/>
    </i>
    <i r="2">
      <x v="34"/>
    </i>
    <i r="2">
      <x v="627"/>
    </i>
    <i r="2">
      <x v="533"/>
    </i>
    <i r="2">
      <x v="166"/>
    </i>
    <i r="2">
      <x v="535"/>
    </i>
    <i r="2">
      <x v="631"/>
    </i>
    <i r="2">
      <x v="538"/>
    </i>
    <i r="2">
      <x v="633"/>
    </i>
    <i r="2">
      <x v="249"/>
    </i>
    <i r="2">
      <x v="635"/>
    </i>
    <i r="2">
      <x v="552"/>
    </i>
    <i r="2">
      <x v="272"/>
    </i>
    <i r="2">
      <x v="556"/>
    </i>
    <i r="2">
      <x v="639"/>
    </i>
    <i r="2">
      <x v="686"/>
    </i>
    <i r="2">
      <x v="274"/>
    </i>
    <i r="2">
      <x v="42"/>
    </i>
    <i r="2">
      <x v="85"/>
    </i>
    <i r="2">
      <x v="784"/>
    </i>
    <i r="2">
      <x v="645"/>
    </i>
    <i r="2">
      <x v="186"/>
    </i>
    <i r="2">
      <x v="647"/>
    </i>
    <i r="2">
      <x v="184"/>
    </i>
    <i r="2">
      <x v="649"/>
    </i>
    <i r="2">
      <x v="564"/>
    </i>
    <i r="2">
      <x v="651"/>
    </i>
    <i r="2">
      <x v="65"/>
    </i>
    <i r="2">
      <x v="653"/>
    </i>
    <i r="2">
      <x v="114"/>
    </i>
    <i r="2">
      <x v="655"/>
    </i>
    <i r="2">
      <x v="567"/>
    </i>
    <i r="2">
      <x v="657"/>
    </i>
    <i r="2">
      <x v="568"/>
    </i>
    <i r="2">
      <x v="203"/>
    </i>
    <i r="2">
      <x v="119"/>
    </i>
    <i r="2">
      <x v="661"/>
    </i>
    <i r="2">
      <x v="572"/>
    </i>
    <i r="2">
      <x v="663"/>
    </i>
    <i r="2">
      <x v="573"/>
    </i>
    <i r="2">
      <x v="181"/>
    </i>
    <i r="2">
      <x v="574"/>
    </i>
    <i r="2">
      <x v="575"/>
    </i>
    <i r="2">
      <x v="557"/>
    </i>
    <i r="2">
      <x v="783"/>
    </i>
    <i r="2">
      <x v="558"/>
    </i>
    <i r="2">
      <x v="786"/>
    </i>
    <i r="2">
      <x v="559"/>
    </i>
    <i r="2">
      <x v="814"/>
    </i>
    <i r="2">
      <x v="561"/>
    </i>
    <i r="2">
      <x v="563"/>
    </i>
    <i>
      <x v="1"/>
    </i>
    <i r="1">
      <x/>
    </i>
    <i r="2">
      <x v="677"/>
    </i>
    <i r="2">
      <x v="406"/>
    </i>
    <i r="2">
      <x v="298"/>
    </i>
    <i r="2">
      <x v="436"/>
    </i>
    <i r="2">
      <x v="296"/>
    </i>
    <i r="2">
      <x v="290"/>
    </i>
    <i r="2">
      <x v="426"/>
    </i>
    <i r="2">
      <x v="773"/>
    </i>
    <i r="2">
      <x v="527"/>
    </i>
    <i r="2">
      <x v="374"/>
    </i>
    <i r="2">
      <x v="295"/>
    </i>
    <i r="2">
      <x v="528"/>
    </i>
    <i r="2">
      <x v="293"/>
    </i>
    <i r="2">
      <x v="682"/>
    </i>
    <i r="2">
      <x v="294"/>
    </i>
    <i r="2">
      <x v="769"/>
    </i>
    <i r="2">
      <x v="529"/>
    </i>
    <i r="2">
      <x v="375"/>
    </i>
    <i r="2">
      <x v="685"/>
    </i>
    <i r="2">
      <x v="777"/>
    </i>
    <i r="2">
      <x v="771"/>
    </i>
    <i r="2">
      <x v="819"/>
    </i>
    <i r="2">
      <x v="774"/>
    </i>
    <i r="2">
      <x v="396"/>
    </i>
    <i r="2">
      <x v="778"/>
    </i>
    <i r="2">
      <x v="407"/>
    </i>
    <i r="2">
      <x v="770"/>
    </i>
    <i r="2">
      <x v="675"/>
    </i>
    <i r="2">
      <x v="291"/>
    </i>
    <i r="2">
      <x v="223"/>
    </i>
    <i r="2">
      <x v="292"/>
    </i>
    <i r="2">
      <x v="225"/>
    </i>
    <i r="2">
      <x v="214"/>
    </i>
    <i r="2">
      <x v="683"/>
    </i>
    <i r="2">
      <x v="215"/>
    </i>
    <i r="2">
      <x v="392"/>
    </i>
    <i r="2">
      <x v="216"/>
    </i>
    <i r="2">
      <x v="400"/>
    </i>
    <i r="2">
      <x v="217"/>
    </i>
    <i r="2">
      <x v="411"/>
    </i>
    <i r="2">
      <x v="297"/>
    </i>
    <i r="2">
      <x v="505"/>
    </i>
    <i r="2">
      <x v="218"/>
    </i>
    <i r="2">
      <x v="679"/>
    </i>
    <i r="2">
      <x v="299"/>
    </i>
    <i r="2">
      <x v="764"/>
    </i>
    <i r="2">
      <x v="300"/>
    </i>
    <i r="2">
      <x v="289"/>
    </i>
    <i r="2">
      <x v="301"/>
    </i>
    <i r="2">
      <x v="394"/>
    </i>
    <i r="2">
      <x v="302"/>
    </i>
    <i r="2">
      <x v="398"/>
    </i>
    <i r="2">
      <x v="330"/>
    </i>
    <i r="2">
      <x v="402"/>
    </i>
    <i r="2">
      <x v="344"/>
    </i>
    <i r="2">
      <x v="409"/>
    </i>
    <i r="2">
      <x v="351"/>
    </i>
    <i r="2">
      <x v="413"/>
    </i>
    <i r="2">
      <x v="352"/>
    </i>
    <i r="2">
      <x v="226"/>
    </i>
    <i r="2">
      <x v="353"/>
    </i>
    <i r="2">
      <x v="228"/>
    </i>
    <i r="2">
      <x v="354"/>
    </i>
    <i r="2">
      <x v="235"/>
    </i>
    <i r="2">
      <x v="355"/>
    </i>
    <i r="2">
      <x v="681"/>
    </i>
    <i r="2">
      <x v="357"/>
    </i>
    <i r="2">
      <x v="237"/>
    </i>
    <i r="2">
      <x v="362"/>
    </i>
    <i r="2">
      <x v="768"/>
    </i>
    <i r="2">
      <x v="363"/>
    </i>
    <i r="2">
      <x v="772"/>
    </i>
    <i r="2">
      <x v="364"/>
    </i>
    <i r="2">
      <x v="776"/>
    </i>
    <i r="2">
      <x v="365"/>
    </i>
    <i r="2">
      <x v="393"/>
    </i>
    <i r="2">
      <x v="366"/>
    </i>
    <i r="2">
      <x v="395"/>
    </i>
    <i r="2">
      <x v="367"/>
    </i>
    <i r="2">
      <x v="397"/>
    </i>
    <i r="2">
      <x v="368"/>
    </i>
    <i r="2">
      <x v="399"/>
    </i>
    <i r="2">
      <x v="369"/>
    </i>
    <i r="2">
      <x v="401"/>
    </i>
    <i r="2">
      <x v="370"/>
    </i>
    <i r="2">
      <x v="224"/>
    </i>
    <i r="2">
      <x v="371"/>
    </i>
    <i r="2">
      <x v="408"/>
    </i>
    <i r="2">
      <x v="372"/>
    </i>
    <i r="2">
      <x v="410"/>
    </i>
    <i r="2">
      <x v="373"/>
    </i>
    <i r="2">
      <x v="412"/>
    </i>
    <i r="2">
      <x v="219"/>
    </i>
    <i r="2">
      <x v="424"/>
    </i>
    <i r="2">
      <x v="220"/>
    </i>
    <i r="2">
      <x v="433"/>
    </i>
    <i r="2">
      <x v="376"/>
    </i>
    <i r="2">
      <x v="453"/>
    </i>
    <i r="2">
      <x v="377"/>
    </i>
    <i r="2">
      <x v="227"/>
    </i>
    <i r="2">
      <x v="378"/>
    </i>
    <i r="2">
      <x v="229"/>
    </i>
    <i r="2">
      <x v="221"/>
    </i>
    <i r="2">
      <x v="676"/>
    </i>
    <i r="2">
      <x v="779"/>
    </i>
    <i r="2">
      <x v="678"/>
    </i>
    <i r="2">
      <x v="817"/>
    </i>
    <i r="2">
      <x v="680"/>
    </i>
    <i r="2">
      <x v="222"/>
    </i>
    <i r="2">
      <x v="236"/>
    </i>
    <i r="2">
      <x v="821"/>
    </i>
    <i r="2">
      <x v="684"/>
    </i>
    <i r="2">
      <x v="823"/>
    </i>
    <i r="2">
      <x v="763"/>
    </i>
    <i r="2">
      <x v="385"/>
    </i>
    <i r="2">
      <x v="767"/>
    </i>
    <i r="2">
      <x v="386"/>
    </i>
    <i r="2">
      <x v="238"/>
    </i>
    <i r="2">
      <x v="387"/>
    </i>
    <i r="2">
      <x v="239"/>
    </i>
    <i r="2">
      <x v="388"/>
    </i>
    <i r="2">
      <x v="288"/>
    </i>
    <i r="2">
      <x v="389"/>
    </i>
    <i r="2">
      <x v="775"/>
    </i>
    <i r="2">
      <x v="390"/>
    </i>
    <i r="2">
      <x v="213"/>
    </i>
    <i r="2">
      <x v="391"/>
    </i>
    <i r="2">
      <x v="379"/>
    </i>
    <i r="2">
      <x v="780"/>
    </i>
    <i r="2">
      <x v="380"/>
    </i>
    <i r="2">
      <x v="818"/>
    </i>
    <i r="2">
      <x v="381"/>
    </i>
    <i r="2">
      <x v="820"/>
    </i>
    <i r="2">
      <x v="382"/>
    </i>
    <i r="2">
      <x v="822"/>
    </i>
    <i r="2">
      <x v="383"/>
    </i>
    <i r="2">
      <x v="212"/>
    </i>
    <i r="2">
      <x v="384"/>
    </i>
    <i r="1">
      <x v="1"/>
    </i>
    <i r="2">
      <x v="125"/>
    </i>
    <i r="2">
      <x v="137"/>
    </i>
    <i r="2">
      <x v="135"/>
    </i>
    <i r="2">
      <x v="138"/>
    </i>
    <i r="2">
      <x v="164"/>
    </i>
    <i r="2">
      <x v="152"/>
    </i>
    <i r="2">
      <x v="148"/>
    </i>
    <i r="2">
      <x v="130"/>
    </i>
    <i r="2">
      <x v="160"/>
    </i>
    <i r="2">
      <x v="131"/>
    </i>
    <i r="2">
      <x v="146"/>
    </i>
    <i r="2">
      <x v="132"/>
    </i>
    <i r="2">
      <x v="150"/>
    </i>
    <i r="2">
      <x v="133"/>
    </i>
    <i r="2">
      <x v="158"/>
    </i>
    <i r="2">
      <x v="134"/>
    </i>
    <i r="2">
      <x v="162"/>
    </i>
    <i r="2">
      <x v="126"/>
    </i>
    <i r="2">
      <x v="128"/>
    </i>
    <i r="2">
      <x v="136"/>
    </i>
    <i r="2">
      <x v="147"/>
    </i>
    <i r="2">
      <x v="127"/>
    </i>
    <i r="2">
      <x v="149"/>
    </i>
    <i r="2">
      <x v="153"/>
    </i>
    <i r="2">
      <x v="151"/>
    </i>
    <i r="2">
      <x v="154"/>
    </i>
    <i r="2">
      <x v="129"/>
    </i>
    <i r="2">
      <x v="156"/>
    </i>
    <i r="2">
      <x v="155"/>
    </i>
    <i r="2">
      <x v="139"/>
    </i>
    <i r="2">
      <x v="157"/>
    </i>
    <i r="2">
      <x v="140"/>
    </i>
    <i r="2">
      <x v="159"/>
    </i>
    <i r="2">
      <x v="141"/>
    </i>
    <i r="2">
      <x v="161"/>
    </i>
    <i r="2">
      <x v="142"/>
    </i>
    <i r="2">
      <x v="163"/>
    </i>
    <i r="2">
      <x v="143"/>
    </i>
    <i r="2">
      <x v="165"/>
    </i>
    <i r="2">
      <x v="144"/>
    </i>
    <i r="2">
      <x v="145"/>
    </i>
    <i r="1">
      <x v="4"/>
    </i>
    <i r="2">
      <x v="495"/>
    </i>
    <i r="2">
      <x v="494"/>
    </i>
    <i r="1">
      <x v="9"/>
    </i>
    <i r="2">
      <x v="445"/>
    </i>
    <i r="2">
      <x v="73"/>
    </i>
    <i r="2">
      <x v="486"/>
    </i>
    <i r="2">
      <x v="487"/>
    </i>
    <i r="2">
      <x v="752"/>
    </i>
    <i r="2">
      <x v="491"/>
    </i>
    <i r="2">
      <x v="492"/>
    </i>
    <i r="2">
      <x v="303"/>
    </i>
    <i r="2">
      <x v="485"/>
    </i>
    <i r="2">
      <x v="504"/>
    </i>
    <i r="2">
      <x v="234"/>
    </i>
    <i r="2">
      <x v="49"/>
    </i>
    <i r="2">
      <x v="443"/>
    </i>
    <i r="2">
      <x v="356"/>
    </i>
    <i r="2">
      <x v="196"/>
    </i>
    <i r="2">
      <x v="361"/>
    </i>
    <i r="2">
      <x v="58"/>
    </i>
    <i r="2">
      <x v="61"/>
    </i>
    <i r="2">
      <x v="444"/>
    </i>
    <i r="2">
      <x v="72"/>
    </i>
    <i r="2">
      <x v="455"/>
    </i>
    <i r="2">
      <x v="405"/>
    </i>
    <i r="2">
      <x v="197"/>
    </i>
    <i r="2">
      <x v="414"/>
    </i>
    <i r="2">
      <x v="242"/>
    </i>
    <i r="2">
      <x v="434"/>
    </i>
    <i r="2">
      <x v="435"/>
    </i>
    <i r="2">
      <x v="403"/>
    </i>
    <i r="2">
      <x v="31"/>
    </i>
    <i r="2">
      <x v="404"/>
    </i>
    <i r="1">
      <x v="10"/>
    </i>
    <i r="2">
      <x v="304"/>
    </i>
    <i r="2">
      <x v="515"/>
    </i>
    <i r="2">
      <x v="514"/>
    </i>
    <i r="2">
      <x v="74"/>
    </i>
    <i r="2">
      <x v="14"/>
    </i>
    <i r="2">
      <x v="100"/>
    </i>
    <i>
      <x v="2"/>
    </i>
    <i r="1">
      <x v="11"/>
    </i>
    <i r="2">
      <x v="78"/>
    </i>
    <i r="2">
      <x v="474"/>
    </i>
    <i r="2">
      <x v="416"/>
    </i>
    <i r="2">
      <x v="179"/>
    </i>
    <i r="2">
      <x v="315"/>
    </i>
    <i r="2">
      <x v="9"/>
    </i>
    <i r="2">
      <x v="311"/>
    </i>
    <i r="2">
      <x v="312"/>
    </i>
    <i r="2">
      <x v="79"/>
    </i>
    <i r="2">
      <x v="50"/>
    </i>
    <i r="2">
      <x v="545"/>
    </i>
    <i r="2">
      <x v="310"/>
    </i>
    <i r="2">
      <x v="348"/>
    </i>
    <i r="2">
      <x v="8"/>
    </i>
    <i r="2">
      <x v="500"/>
    </i>
    <i r="2">
      <x v="46"/>
    </i>
    <i r="2">
      <x v="177"/>
    </i>
    <i r="2">
      <x v="544"/>
    </i>
    <i r="2">
      <x v="313"/>
    </i>
    <i r="2">
      <x v="51"/>
    </i>
    <i r="2">
      <x v="547"/>
    </i>
    <i r="2">
      <x v="546"/>
    </i>
    <i r="2">
      <x v="450"/>
    </i>
    <i r="2">
      <x v="519"/>
    </i>
    <i r="2">
      <x v="482"/>
    </i>
    <i r="2">
      <x v="175"/>
    </i>
    <i r="2">
      <x v="621"/>
    </i>
    <i r="2">
      <x v="62"/>
    </i>
    <i r="2">
      <x v="473"/>
    </i>
    <i r="2">
      <x v="12"/>
    </i>
    <i r="2">
      <x v="506"/>
    </i>
    <i r="2">
      <x v="180"/>
    </i>
    <i r="2">
      <x v="537"/>
    </i>
    <i r="2">
      <x v="191"/>
    </i>
    <i r="2">
      <x v="670"/>
    </i>
    <i r="2">
      <x v="204"/>
    </i>
    <i r="2">
      <x v="457"/>
    </i>
    <i r="2">
      <x v="243"/>
    </i>
    <i r="2">
      <x v="475"/>
    </i>
    <i r="2">
      <x v="248"/>
    </i>
    <i r="2">
      <x v="11"/>
    </i>
    <i r="2">
      <x v="250"/>
    </i>
    <i r="2">
      <x v="517"/>
    </i>
    <i r="2">
      <x v="258"/>
    </i>
    <i r="2">
      <x v="521"/>
    </i>
    <i r="2">
      <x v="259"/>
    </i>
    <i r="2">
      <x v="120"/>
    </i>
    <i r="2">
      <x v="260"/>
    </i>
    <i r="2">
      <x v="623"/>
    </i>
    <i r="2">
      <x v="270"/>
    </i>
    <i r="2">
      <x v="10"/>
    </i>
    <i r="2">
      <x v="271"/>
    </i>
    <i r="2">
      <x v="456"/>
    </i>
    <i r="2">
      <x v="273"/>
    </i>
    <i r="2">
      <x v="458"/>
    </i>
    <i r="2">
      <x v="27"/>
    </i>
    <i r="2">
      <x v="7"/>
    </i>
    <i r="2">
      <x v="39"/>
    </i>
    <i r="2">
      <x v="476"/>
    </i>
    <i r="2">
      <x v="41"/>
    </i>
    <i r="2">
      <x v="499"/>
    </i>
    <i r="2">
      <x v="63"/>
    </i>
    <i r="2">
      <x v="502"/>
    </i>
    <i r="2">
      <x v="314"/>
    </i>
    <i r="2">
      <x v="516"/>
    </i>
    <i r="2">
      <x v="70"/>
    </i>
    <i r="2">
      <x v="518"/>
    </i>
    <i r="2">
      <x v="76"/>
    </i>
    <i r="2">
      <x v="520"/>
    </i>
    <i r="2">
      <x v="77"/>
    </i>
    <i r="2">
      <x v="536"/>
    </i>
    <i r="2">
      <x v="591"/>
    </i>
    <i r="2">
      <x v="543"/>
    </i>
    <i r="2">
      <x v="617"/>
    </i>
    <i r="2">
      <x v="168"/>
    </i>
    <i r="2">
      <x v="619"/>
    </i>
    <i r="2">
      <x v="340"/>
    </i>
    <i r="2">
      <x v="550"/>
    </i>
    <i r="2">
      <x v="347"/>
    </i>
    <i r="2">
      <x v="596"/>
    </i>
    <i r="2">
      <x v="688"/>
    </i>
    <i r="2">
      <x v="618"/>
    </i>
    <i r="2">
      <x v="689"/>
    </i>
    <i r="2">
      <x v="620"/>
    </i>
    <i r="2">
      <x v="698"/>
    </i>
    <i r="2">
      <x v="622"/>
    </i>
    <i r="2">
      <x v="728"/>
    </i>
    <i r="2">
      <x v="664"/>
    </i>
    <i r="2">
      <x v="743"/>
    </i>
    <i r="2">
      <x v="59"/>
    </i>
    <i r="2">
      <x v="788"/>
    </i>
    <i r="2">
      <x v="690"/>
    </i>
    <i r="2">
      <x v="358"/>
    </i>
    <i r="2">
      <x v="706"/>
    </i>
    <i r="2">
      <x v="360"/>
    </i>
    <i r="2">
      <x v="733"/>
    </i>
    <i r="2">
      <x v="415"/>
    </i>
    <i r="2">
      <x v="749"/>
    </i>
    <i r="2">
      <x v="804"/>
    </i>
    <i r="2">
      <x v="800"/>
    </i>
    <i r="2">
      <x v="6"/>
    </i>
    <i r="2">
      <x v="446"/>
    </i>
    <i r="2">
      <x v="417"/>
    </i>
    <i>
      <x v="5"/>
    </i>
    <i r="1">
      <x v="3"/>
    </i>
    <i r="2">
      <x v="597"/>
    </i>
    <i r="2">
      <x v="549"/>
    </i>
    <i r="2">
      <x v="805"/>
    </i>
    <i r="2">
      <x v="789"/>
    </i>
    <i r="2">
      <x v="465"/>
    </i>
    <i r="2">
      <x v="466"/>
    </i>
    <i r="2">
      <x v="727"/>
    </i>
    <i r="2">
      <x v="470"/>
    </i>
    <i r="2">
      <x v="795"/>
    </i>
    <i r="2">
      <x v="803"/>
    </i>
    <i r="2">
      <x v="208"/>
    </i>
    <i r="2">
      <x v="699"/>
    </i>
    <i r="2">
      <x v="739"/>
    </i>
    <i r="2">
      <x v="472"/>
    </i>
    <i r="2">
      <x v="756"/>
    </i>
    <i r="2">
      <x v="809"/>
    </i>
    <i r="2">
      <x v="693"/>
    </i>
    <i r="2">
      <x v="712"/>
    </i>
    <i r="2">
      <x v="755"/>
    </i>
    <i r="2">
      <x v="715"/>
    </i>
    <i r="2">
      <x v="759"/>
    </i>
    <i r="2">
      <x v="720"/>
    </i>
    <i r="2">
      <x v="598"/>
    </i>
    <i r="2">
      <x v="551"/>
    </i>
    <i r="2">
      <x v="47"/>
    </i>
    <i r="2">
      <x v="730"/>
    </i>
    <i r="2">
      <x v="32"/>
    </i>
    <i r="2">
      <x v="705"/>
    </i>
    <i r="2">
      <x v="729"/>
    </i>
    <i r="2">
      <x v="785"/>
    </i>
    <i r="2">
      <x v="744"/>
    </i>
    <i r="2">
      <x v="190"/>
    </i>
    <i r="2">
      <x v="802"/>
    </i>
    <i r="2">
      <x v="595"/>
    </i>
    <i r="2">
      <x v="734"/>
    </i>
    <i r="2">
      <x v="192"/>
    </i>
    <i r="2">
      <x v="754"/>
    </i>
    <i r="2">
      <x v="33"/>
    </i>
    <i r="2">
      <x v="468"/>
    </i>
    <i r="2">
      <x v="672"/>
    </i>
    <i r="2">
      <x v="808"/>
    </i>
    <i r="2">
      <x v="674"/>
    </i>
    <i r="2">
      <x v="731"/>
    </i>
    <i r="2">
      <x v="691"/>
    </i>
    <i r="2">
      <x v="737"/>
    </i>
    <i r="2">
      <x v="692"/>
    </i>
    <i r="2">
      <x v="746"/>
    </i>
    <i r="2">
      <x v="230"/>
    </i>
    <i r="2">
      <x v="98"/>
    </i>
    <i r="2">
      <x v="694"/>
    </i>
    <i r="2">
      <x v="467"/>
    </i>
    <i r="2">
      <x v="695"/>
    </i>
    <i r="2">
      <x v="798"/>
    </i>
    <i r="2">
      <x v="696"/>
    </i>
    <i r="2">
      <x v="471"/>
    </i>
    <i r="2">
      <x v="697"/>
    </i>
    <i r="2">
      <x v="187"/>
    </i>
    <i r="2">
      <x v="257"/>
    </i>
    <i r="2">
      <x v="461"/>
    </i>
    <i r="2">
      <x v="704"/>
    </i>
    <i r="2">
      <x v="732"/>
    </i>
    <i r="2">
      <x v="287"/>
    </i>
    <i r="2">
      <x v="736"/>
    </i>
    <i r="2">
      <x v="707"/>
    </i>
    <i r="2">
      <x v="462"/>
    </i>
    <i r="2">
      <x v="709"/>
    </i>
    <i r="2">
      <x v="745"/>
    </i>
    <i r="2">
      <x v="309"/>
    </i>
    <i r="2">
      <x v="747"/>
    </i>
    <i r="2">
      <x v="713"/>
    </i>
    <i r="2">
      <x v="463"/>
    </i>
    <i r="2">
      <x v="714"/>
    </i>
    <i r="2">
      <x v="99"/>
    </i>
    <i r="2">
      <x v="326"/>
    </i>
    <i r="2">
      <x v="787"/>
    </i>
    <i r="2">
      <x v="717"/>
    </i>
    <i r="2">
      <x v="790"/>
    </i>
    <i r="2">
      <x v="718"/>
    </i>
    <i r="2">
      <x v="796"/>
    </i>
    <i r="2">
      <x v="327"/>
    </i>
    <i r="2">
      <x v="799"/>
    </i>
    <i r="2">
      <x v="721"/>
    </i>
    <i r="2">
      <x v="101"/>
    </i>
    <i r="2">
      <x v="722"/>
    </i>
    <i r="2">
      <x v="806"/>
    </i>
    <i r="2">
      <x v="723"/>
    </i>
    <i r="2">
      <x v="182"/>
    </i>
    <i r="2">
      <x v="724"/>
    </i>
    <i r="2">
      <x v="460"/>
    </i>
    <i r="1">
      <x v="8"/>
    </i>
    <i r="2">
      <x v="189"/>
    </i>
    <i r="2">
      <x v="741"/>
    </i>
    <i r="2">
      <x v="107"/>
    </i>
    <i r="2">
      <x v="807"/>
    </i>
    <i r="2">
      <x v="762"/>
    </i>
    <i r="2">
      <x v="108"/>
    </i>
    <i r="2">
      <x v="716"/>
    </i>
    <i r="2">
      <x v="109"/>
    </i>
    <i r="2">
      <x v="757"/>
    </i>
    <i r="2">
      <x v="110"/>
    </i>
    <i r="2">
      <x v="792"/>
    </i>
    <i r="2">
      <x v="111"/>
    </i>
    <i r="2">
      <x v="813"/>
    </i>
    <i r="2">
      <x v="169"/>
    </i>
    <i r="2">
      <x v="725"/>
    </i>
    <i r="2">
      <x v="106"/>
    </i>
    <i r="2">
      <x v="750"/>
    </i>
    <i r="2">
      <x v="201"/>
    </i>
    <i r="2">
      <x v="760"/>
    </i>
    <i r="2">
      <x v="202"/>
    </i>
    <i r="2">
      <x v="781"/>
    </i>
    <i r="2">
      <x v="207"/>
    </i>
    <i r="2">
      <x v="797"/>
    </i>
    <i r="2">
      <x v="210"/>
    </i>
    <i r="2">
      <x v="811"/>
    </i>
    <i r="2">
      <x v="240"/>
    </i>
    <i r="2">
      <x v="30"/>
    </i>
    <i r="2">
      <x v="241"/>
    </i>
    <i r="2">
      <x v="719"/>
    </i>
    <i r="2">
      <x v="251"/>
    </i>
    <i r="2">
      <x v="735"/>
    </i>
    <i r="2">
      <x v="738"/>
    </i>
    <i r="2">
      <x v="742"/>
    </i>
    <i r="2">
      <x v="308"/>
    </i>
    <i r="2">
      <x v="748"/>
    </i>
    <i r="2">
      <x v="322"/>
    </i>
    <i r="2">
      <x v="751"/>
    </i>
    <i r="2">
      <x v="328"/>
    </i>
    <i r="2">
      <x v="758"/>
    </i>
    <i r="2">
      <x v="449"/>
    </i>
    <i r="2">
      <x v="761"/>
    </i>
    <i r="2">
      <x v="571"/>
    </i>
    <i r="2">
      <x v="765"/>
    </i>
    <i r="2">
      <x v="593"/>
    </i>
    <i r="2">
      <x v="782"/>
    </i>
    <i r="2">
      <x v="599"/>
    </i>
    <i r="2">
      <x v="793"/>
    </i>
    <i r="2">
      <x v="615"/>
    </i>
    <i r="2">
      <x v="801"/>
    </i>
    <i r="2">
      <x v="700"/>
    </i>
    <i r="2">
      <x v="810"/>
    </i>
    <i r="2">
      <x v="701"/>
    </i>
    <i r="2">
      <x v="812"/>
    </i>
    <i r="2">
      <x v="702"/>
    </i>
    <i r="2">
      <x v="815"/>
    </i>
    <i r="2">
      <x v="703"/>
    </i>
    <i r="2">
      <x v="708"/>
    </i>
    <i>
      <x v="4"/>
    </i>
    <i r="1">
      <x v="12"/>
    </i>
    <i r="2">
      <x v="508"/>
    </i>
    <i r="2">
      <x v="427"/>
    </i>
    <i r="2">
      <x v="668"/>
    </i>
    <i r="2">
      <x v="1"/>
    </i>
    <i r="2">
      <x v="488"/>
    </i>
    <i r="2">
      <x v="2"/>
    </i>
    <i r="2">
      <x v="548"/>
    </i>
    <i r="2">
      <x v="3"/>
    </i>
    <i r="2">
      <x/>
    </i>
    <i r="2">
      <x v="4"/>
    </i>
    <i r="2">
      <x v="452"/>
    </i>
    <i r="2">
      <x v="5"/>
    </i>
    <i r="2">
      <x v="496"/>
    </i>
    <i r="2">
      <x v="13"/>
    </i>
    <i r="2">
      <x v="512"/>
    </i>
    <i r="2">
      <x v="15"/>
    </i>
    <i r="2">
      <x v="608"/>
    </i>
    <i r="2">
      <x v="16"/>
    </i>
    <i r="2">
      <x v="740"/>
    </i>
    <i r="2">
      <x v="17"/>
    </i>
    <i r="2">
      <x v="339"/>
    </i>
    <i r="2">
      <x v="18"/>
    </i>
    <i r="2">
      <x v="429"/>
    </i>
    <i r="2">
      <x v="19"/>
    </i>
    <i r="2">
      <x v="483"/>
    </i>
    <i r="2">
      <x v="20"/>
    </i>
    <i r="2">
      <x v="490"/>
    </i>
    <i r="2">
      <x v="21"/>
    </i>
    <i r="2">
      <x v="498"/>
    </i>
    <i r="2">
      <x v="22"/>
    </i>
    <i r="2">
      <x v="510"/>
    </i>
    <i r="2">
      <x v="23"/>
    </i>
    <i r="2">
      <x v="525"/>
    </i>
    <i r="2">
      <x v="25"/>
    </i>
    <i r="2">
      <x v="569"/>
    </i>
    <i r="2">
      <x v="36"/>
    </i>
    <i r="2">
      <x v="616"/>
    </i>
    <i r="2">
      <x v="37"/>
    </i>
    <i r="2">
      <x v="710"/>
    </i>
    <i r="2">
      <x v="38"/>
    </i>
    <i r="2">
      <x v="791"/>
    </i>
    <i r="2">
      <x v="75"/>
    </i>
    <i r="2">
      <x v="338"/>
    </i>
    <i r="2">
      <x v="94"/>
    </i>
    <i r="2">
      <x v="419"/>
    </i>
    <i r="2">
      <x v="95"/>
    </i>
    <i r="2">
      <x v="428"/>
    </i>
    <i r="2">
      <x v="112"/>
    </i>
    <i r="2">
      <x v="430"/>
    </i>
    <i r="2">
      <x v="115"/>
    </i>
    <i r="2">
      <x v="477"/>
    </i>
    <i r="2">
      <x v="116"/>
    </i>
    <i r="2">
      <x v="484"/>
    </i>
    <i r="2">
      <x v="117"/>
    </i>
    <i r="2">
      <x v="489"/>
    </i>
    <i r="2">
      <x v="118"/>
    </i>
    <i r="2">
      <x v="493"/>
    </i>
    <i r="2">
      <x v="121"/>
    </i>
    <i r="2">
      <x v="497"/>
    </i>
    <i r="2">
      <x v="124"/>
    </i>
    <i r="2">
      <x v="507"/>
    </i>
    <i r="2">
      <x v="167"/>
    </i>
    <i r="2">
      <x v="509"/>
    </i>
    <i r="2">
      <x v="231"/>
    </i>
    <i r="2">
      <x v="511"/>
    </i>
    <i r="2">
      <x v="253"/>
    </i>
    <i r="2">
      <x v="513"/>
    </i>
    <i r="2">
      <x v="254"/>
    </i>
    <i r="2">
      <x v="542"/>
    </i>
    <i r="2">
      <x v="283"/>
    </i>
    <i r="2">
      <x v="555"/>
    </i>
    <i r="2">
      <x v="284"/>
    </i>
    <i r="2">
      <x v="594"/>
    </i>
    <i r="2">
      <x v="286"/>
    </i>
    <i r="2">
      <x v="610"/>
    </i>
    <i r="2">
      <x v="305"/>
    </i>
    <i r="2">
      <x v="667"/>
    </i>
    <i r="2">
      <x v="316"/>
    </i>
    <i r="2">
      <x v="673"/>
    </i>
    <i r="2">
      <x v="317"/>
    </i>
    <i r="2">
      <x v="726"/>
    </i>
    <i r="2">
      <x v="318"/>
    </i>
    <i r="2">
      <x v="766"/>
    </i>
    <i r="2">
      <x v="319"/>
    </i>
    <i r="2">
      <x v="824"/>
    </i>
    <i r="2">
      <x v="320"/>
    </i>
    <i r="2">
      <x v="336"/>
    </i>
    <i>
      <x v="3"/>
    </i>
    <i r="1">
      <x v="6"/>
    </i>
    <i r="2">
      <x v="666"/>
    </i>
    <i r="2">
      <x v="176"/>
    </i>
    <i r="2">
      <x v="69"/>
    </i>
    <i r="2">
      <x v="418"/>
    </i>
    <i r="2">
      <x v="592"/>
    </i>
    <i r="2">
      <x v="52"/>
    </i>
    <i r="2">
      <x v="503"/>
    </i>
    <i r="2">
      <x v="285"/>
    </i>
    <i r="2">
      <x v="451"/>
    </i>
    <i r="2">
      <x v="350"/>
    </i>
    <i r="2">
      <x v="337"/>
    </i>
    <i r="2">
      <x v="104"/>
    </i>
    <i r="2">
      <x v="437"/>
    </i>
    <i r="2">
      <x v="105"/>
    </i>
    <i r="2">
      <x v="54"/>
    </i>
    <i r="2">
      <x v="174"/>
    </i>
    <i r="2">
      <x v="349"/>
    </i>
    <i r="2">
      <x v="590"/>
    </i>
    <i r="2">
      <x v="55"/>
    </i>
    <i r="2">
      <x v="53"/>
    </i>
    <i r="2">
      <x v="439"/>
    </i>
    <i r="2">
      <x v="57"/>
    </i>
    <i r="2">
      <x v="501"/>
    </i>
    <i r="2">
      <x v="56"/>
    </i>
    <i r="2">
      <x v="71"/>
    </i>
    <i r="2">
      <x v="329"/>
    </i>
    <i r="2">
      <x v="606"/>
    </i>
    <i r="2">
      <x v="178"/>
    </i>
    <i r="2">
      <x v="48"/>
    </i>
    <i r="2">
      <x v="188"/>
    </i>
    <i>
      <x/>
    </i>
    <i r="1">
      <x v="2"/>
    </i>
    <i r="2">
      <x v="540"/>
    </i>
    <i r="2">
      <x v="194"/>
    </i>
    <i r="2">
      <x v="603"/>
    </i>
    <i r="2">
      <x v="122"/>
    </i>
    <i r="2">
      <x v="605"/>
    </i>
    <i r="2">
      <x v="553"/>
    </i>
    <i r="2">
      <x v="469"/>
    </i>
    <i r="2">
      <x v="80"/>
    </i>
    <i r="2">
      <x v="198"/>
    </i>
    <i r="2">
      <x v="193"/>
    </i>
    <i r="2">
      <x v="199"/>
    </i>
    <i r="2">
      <x v="560"/>
    </i>
    <i r="2">
      <x v="200"/>
    </i>
    <i r="2">
      <x v="454"/>
    </i>
    <i r="2">
      <x v="206"/>
    </i>
    <i r="2">
      <x v="534"/>
    </i>
    <i r="2">
      <x v="209"/>
    </i>
    <i r="2">
      <x v="541"/>
    </i>
    <i r="2">
      <x v="211"/>
    </i>
    <i r="2">
      <x v="554"/>
    </i>
    <i r="2">
      <x v="604"/>
    </i>
    <i r="2">
      <x v="562"/>
    </i>
    <i r="2">
      <x v="669"/>
    </i>
    <i r="2">
      <x v="195"/>
    </i>
    <i r="2">
      <x v="447"/>
    </i>
    <i r="2">
      <x v="335"/>
    </i>
    <i r="2">
      <x v="24"/>
    </i>
    <i r="2">
      <x v="431"/>
    </i>
    <i>
      <x v="7"/>
    </i>
    <i r="1">
      <x v="5"/>
    </i>
    <i r="2">
      <x v="432"/>
    </i>
    <i r="2">
      <x v="245"/>
    </i>
    <i r="2">
      <x v="602"/>
    </i>
    <i r="2">
      <x v="609"/>
    </i>
    <i r="2">
      <x v="252"/>
    </i>
    <i r="2">
      <x v="816"/>
    </i>
    <i r="2">
      <x v="711"/>
    </i>
    <i t="grand">
      <x/>
    </i>
  </rowItems>
  <colItems count="1">
    <i/>
  </colItems>
  <dataFields count="1">
    <dataField name="Count of item_description_raw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6C2C2A-0D13-614A-A1E8-EF25697C3C42}" name="Table1" displayName="Table1" ref="A1:N1387" totalsRowShown="0">
  <autoFilter ref="A1:N1387" xr:uid="{4C6C2C2A-0D13-614A-A1E8-EF25697C3C42}"/>
  <tableColumns count="14">
    <tableColumn id="1" xr3:uid="{9F4F182D-8330-E545-AB85-D80A6EB4A720}" name="item_id"/>
    <tableColumn id="2" xr3:uid="{22E1173A-91CA-C840-95FA-E704EE5FC4C0}" name="project_id"/>
    <tableColumn id="3" xr3:uid="{CAA755A0-1CA3-5749-BD3B-33F25B5C58A1}" name="line_no"/>
    <tableColumn id="4" xr3:uid="{D7C6C1AB-ECAB-FC47-890B-12917E6A1479}" name="specification"/>
    <tableColumn id="5" xr3:uid="{A03CAF37-F2F6-A547-BA6B-2ABD42565593}" name="alternate_specification"/>
    <tableColumn id="6" xr3:uid="{44128AEE-AA5D-A24E-B044-F327CAF20699}" name="pay_item_description"/>
    <tableColumn id="7" xr3:uid="{79EE8624-2CDA-E641-B2E4-507467174640}" name="supplemental_description"/>
    <tableColumn id="8" xr3:uid="{6F631BBE-3811-CB40-ADA3-42828ACAE596}" name="item_description_raw"/>
    <tableColumn id="9" xr3:uid="{FD41E63E-3BD3-1344-8BDC-5B852E9224CD}" name="item"/>
    <tableColumn id="10" xr3:uid="{E9B0ACBE-EFE7-5446-BEBB-F59490723B82}" name="quantity"/>
    <tableColumn id="11" xr3:uid="{1D310B06-2E07-C943-A4D1-D8124F6E78D7}" name="unit_norm"/>
    <tableColumn id="12" xr3:uid="{529D16EE-AC21-1C41-A471-37DCDA4504DB}" name="item_group"/>
    <tableColumn id="13" xr3:uid="{63058B92-91BB-8449-9B81-0EA982FAF99E}" name="item_subgroup"/>
    <tableColumn id="14" xr3:uid="{8DA0E703-1311-A340-9BA4-16B662E6D1EF}" name="grouping_rule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BE25C-3D06-BF4A-94B9-D9856A976519}">
  <dimension ref="A3:B850"/>
  <sheetViews>
    <sheetView tabSelected="1" topLeftCell="A381" workbookViewId="0">
      <selection activeCell="B3" sqref="B3"/>
      <pivotSelection pane="bottomRight" showHeader="1" extendable="1" activeRow="2" activeCol="1" click="1" r:id="rId1">
        <pivotArea dataOnly="0" outline="0" axis="axisValues" fieldPosition="0"/>
      </pivotSelection>
    </sheetView>
  </sheetViews>
  <sheetFormatPr baseColWidth="10" defaultRowHeight="16" x14ac:dyDescent="0.2"/>
  <cols>
    <col min="1" max="1" width="155.28515625" bestFit="1" customWidth="1"/>
    <col min="2" max="2" width="30.42578125" bestFit="1" customWidth="1"/>
  </cols>
  <sheetData>
    <row r="3" spans="1:2" x14ac:dyDescent="0.2">
      <c r="A3" s="1" t="s">
        <v>2220</v>
      </c>
      <c r="B3" t="s">
        <v>2223</v>
      </c>
    </row>
    <row r="4" spans="1:2" x14ac:dyDescent="0.2">
      <c r="A4" s="2" t="s">
        <v>37</v>
      </c>
      <c r="B4" s="5">
        <v>454</v>
      </c>
    </row>
    <row r="5" spans="1:2" x14ac:dyDescent="0.2">
      <c r="A5" s="3" t="s">
        <v>38</v>
      </c>
      <c r="B5" s="5">
        <v>454</v>
      </c>
    </row>
    <row r="6" spans="1:2" x14ac:dyDescent="0.2">
      <c r="A6" s="4" t="s">
        <v>222</v>
      </c>
      <c r="B6" s="5">
        <v>26</v>
      </c>
    </row>
    <row r="7" spans="1:2" x14ac:dyDescent="0.2">
      <c r="A7" s="4" t="s">
        <v>861</v>
      </c>
      <c r="B7" s="5">
        <v>13</v>
      </c>
    </row>
    <row r="8" spans="1:2" x14ac:dyDescent="0.2">
      <c r="A8" s="4" t="s">
        <v>846</v>
      </c>
      <c r="B8" s="5">
        <v>12</v>
      </c>
    </row>
    <row r="9" spans="1:2" x14ac:dyDescent="0.2">
      <c r="A9" s="4" t="s">
        <v>185</v>
      </c>
      <c r="B9" s="5">
        <v>12</v>
      </c>
    </row>
    <row r="10" spans="1:2" x14ac:dyDescent="0.2">
      <c r="A10" s="4" t="s">
        <v>201</v>
      </c>
      <c r="B10" s="5">
        <v>12</v>
      </c>
    </row>
    <row r="11" spans="1:2" x14ac:dyDescent="0.2">
      <c r="A11" s="4" t="s">
        <v>834</v>
      </c>
      <c r="B11" s="5">
        <v>11</v>
      </c>
    </row>
    <row r="12" spans="1:2" x14ac:dyDescent="0.2">
      <c r="A12" s="4" t="s">
        <v>593</v>
      </c>
      <c r="B12" s="5">
        <v>10</v>
      </c>
    </row>
    <row r="13" spans="1:2" x14ac:dyDescent="0.2">
      <c r="A13" s="4" t="s">
        <v>867</v>
      </c>
      <c r="B13" s="5">
        <v>9</v>
      </c>
    </row>
    <row r="14" spans="1:2" x14ac:dyDescent="0.2">
      <c r="A14" s="4" t="s">
        <v>193</v>
      </c>
      <c r="B14" s="5">
        <v>9</v>
      </c>
    </row>
    <row r="15" spans="1:2" x14ac:dyDescent="0.2">
      <c r="A15" s="4" t="s">
        <v>165</v>
      </c>
      <c r="B15" s="5">
        <v>7</v>
      </c>
    </row>
    <row r="16" spans="1:2" x14ac:dyDescent="0.2">
      <c r="A16" s="4" t="s">
        <v>88</v>
      </c>
      <c r="B16" s="5">
        <v>7</v>
      </c>
    </row>
    <row r="17" spans="1:2" x14ac:dyDescent="0.2">
      <c r="A17" s="4" t="s">
        <v>864</v>
      </c>
      <c r="B17" s="5">
        <v>7</v>
      </c>
    </row>
    <row r="18" spans="1:2" x14ac:dyDescent="0.2">
      <c r="A18" s="4" t="s">
        <v>825</v>
      </c>
      <c r="B18" s="5">
        <v>7</v>
      </c>
    </row>
    <row r="19" spans="1:2" x14ac:dyDescent="0.2">
      <c r="A19" s="4" t="s">
        <v>858</v>
      </c>
      <c r="B19" s="5">
        <v>7</v>
      </c>
    </row>
    <row r="20" spans="1:2" x14ac:dyDescent="0.2">
      <c r="A20" s="4" t="s">
        <v>189</v>
      </c>
      <c r="B20" s="5">
        <v>6</v>
      </c>
    </row>
    <row r="21" spans="1:2" x14ac:dyDescent="0.2">
      <c r="A21" s="4" t="s">
        <v>197</v>
      </c>
      <c r="B21" s="5">
        <v>6</v>
      </c>
    </row>
    <row r="22" spans="1:2" x14ac:dyDescent="0.2">
      <c r="A22" s="4" t="s">
        <v>176</v>
      </c>
      <c r="B22" s="5">
        <v>5</v>
      </c>
    </row>
    <row r="23" spans="1:2" x14ac:dyDescent="0.2">
      <c r="A23" s="4" t="s">
        <v>492</v>
      </c>
      <c r="B23" s="5">
        <v>5</v>
      </c>
    </row>
    <row r="24" spans="1:2" x14ac:dyDescent="0.2">
      <c r="A24" s="4" t="s">
        <v>1763</v>
      </c>
      <c r="B24" s="5">
        <v>5</v>
      </c>
    </row>
    <row r="25" spans="1:2" x14ac:dyDescent="0.2">
      <c r="A25" s="4" t="s">
        <v>1756</v>
      </c>
      <c r="B25" s="5">
        <v>5</v>
      </c>
    </row>
    <row r="26" spans="1:2" x14ac:dyDescent="0.2">
      <c r="A26" s="4" t="s">
        <v>961</v>
      </c>
      <c r="B26" s="5">
        <v>4</v>
      </c>
    </row>
    <row r="27" spans="1:2" x14ac:dyDescent="0.2">
      <c r="A27" s="4" t="s">
        <v>225</v>
      </c>
      <c r="B27" s="5">
        <v>4</v>
      </c>
    </row>
    <row r="28" spans="1:2" x14ac:dyDescent="0.2">
      <c r="A28" s="4" t="s">
        <v>849</v>
      </c>
      <c r="B28" s="5">
        <v>4</v>
      </c>
    </row>
    <row r="29" spans="1:2" x14ac:dyDescent="0.2">
      <c r="A29" s="4" t="s">
        <v>181</v>
      </c>
      <c r="B29" s="5">
        <v>4</v>
      </c>
    </row>
    <row r="30" spans="1:2" x14ac:dyDescent="0.2">
      <c r="A30" s="4" t="s">
        <v>1759</v>
      </c>
      <c r="B30" s="5">
        <v>4</v>
      </c>
    </row>
    <row r="31" spans="1:2" x14ac:dyDescent="0.2">
      <c r="A31" s="4" t="s">
        <v>496</v>
      </c>
      <c r="B31" s="5">
        <v>4</v>
      </c>
    </row>
    <row r="32" spans="1:2" x14ac:dyDescent="0.2">
      <c r="A32" s="4" t="s">
        <v>60</v>
      </c>
      <c r="B32" s="5">
        <v>4</v>
      </c>
    </row>
    <row r="33" spans="1:2" x14ac:dyDescent="0.2">
      <c r="A33" s="4" t="s">
        <v>214</v>
      </c>
      <c r="B33" s="5">
        <v>4</v>
      </c>
    </row>
    <row r="34" spans="1:2" x14ac:dyDescent="0.2">
      <c r="A34" s="4" t="s">
        <v>138</v>
      </c>
      <c r="B34" s="5">
        <v>4</v>
      </c>
    </row>
    <row r="35" spans="1:2" x14ac:dyDescent="0.2">
      <c r="A35" s="4" t="s">
        <v>490</v>
      </c>
      <c r="B35" s="5">
        <v>4</v>
      </c>
    </row>
    <row r="36" spans="1:2" x14ac:dyDescent="0.2">
      <c r="A36" s="4" t="s">
        <v>171</v>
      </c>
      <c r="B36" s="5">
        <v>3</v>
      </c>
    </row>
    <row r="37" spans="1:2" x14ac:dyDescent="0.2">
      <c r="A37" s="4" t="s">
        <v>155</v>
      </c>
      <c r="B37" s="5">
        <v>3</v>
      </c>
    </row>
    <row r="38" spans="1:2" x14ac:dyDescent="0.2">
      <c r="A38" s="4" t="s">
        <v>1761</v>
      </c>
      <c r="B38" s="5">
        <v>3</v>
      </c>
    </row>
    <row r="39" spans="1:2" x14ac:dyDescent="0.2">
      <c r="A39" s="4" t="s">
        <v>831</v>
      </c>
      <c r="B39" s="5">
        <v>3</v>
      </c>
    </row>
    <row r="40" spans="1:2" x14ac:dyDescent="0.2">
      <c r="A40" s="4" t="s">
        <v>172</v>
      </c>
      <c r="B40" s="5">
        <v>3</v>
      </c>
    </row>
    <row r="41" spans="1:2" x14ac:dyDescent="0.2">
      <c r="A41" s="4" t="s">
        <v>1850</v>
      </c>
      <c r="B41" s="5">
        <v>3</v>
      </c>
    </row>
    <row r="42" spans="1:2" x14ac:dyDescent="0.2">
      <c r="A42" s="4" t="s">
        <v>810</v>
      </c>
      <c r="B42" s="5">
        <v>3</v>
      </c>
    </row>
    <row r="43" spans="1:2" x14ac:dyDescent="0.2">
      <c r="A43" s="4" t="s">
        <v>211</v>
      </c>
      <c r="B43" s="5">
        <v>3</v>
      </c>
    </row>
    <row r="44" spans="1:2" x14ac:dyDescent="0.2">
      <c r="A44" s="4" t="s">
        <v>143</v>
      </c>
      <c r="B44" s="5">
        <v>3</v>
      </c>
    </row>
    <row r="45" spans="1:2" x14ac:dyDescent="0.2">
      <c r="A45" s="4" t="s">
        <v>571</v>
      </c>
      <c r="B45" s="5">
        <v>3</v>
      </c>
    </row>
    <row r="46" spans="1:2" x14ac:dyDescent="0.2">
      <c r="A46" s="4" t="s">
        <v>596</v>
      </c>
      <c r="B46" s="5">
        <v>3</v>
      </c>
    </row>
    <row r="47" spans="1:2" x14ac:dyDescent="0.2">
      <c r="A47" s="4" t="s">
        <v>494</v>
      </c>
      <c r="B47" s="5">
        <v>3</v>
      </c>
    </row>
    <row r="48" spans="1:2" x14ac:dyDescent="0.2">
      <c r="A48" s="4" t="s">
        <v>95</v>
      </c>
      <c r="B48" s="5">
        <v>3</v>
      </c>
    </row>
    <row r="49" spans="1:2" x14ac:dyDescent="0.2">
      <c r="A49" s="4" t="s">
        <v>1678</v>
      </c>
      <c r="B49" s="5">
        <v>3</v>
      </c>
    </row>
    <row r="50" spans="1:2" x14ac:dyDescent="0.2">
      <c r="A50" s="4" t="s">
        <v>821</v>
      </c>
      <c r="B50" s="5">
        <v>2</v>
      </c>
    </row>
    <row r="51" spans="1:2" x14ac:dyDescent="0.2">
      <c r="A51" s="4" t="s">
        <v>820</v>
      </c>
      <c r="B51" s="5">
        <v>2</v>
      </c>
    </row>
    <row r="52" spans="1:2" x14ac:dyDescent="0.2">
      <c r="A52" s="4" t="s">
        <v>425</v>
      </c>
      <c r="B52" s="5">
        <v>2</v>
      </c>
    </row>
    <row r="53" spans="1:2" x14ac:dyDescent="0.2">
      <c r="A53" s="4" t="s">
        <v>568</v>
      </c>
      <c r="B53" s="5">
        <v>2</v>
      </c>
    </row>
    <row r="54" spans="1:2" x14ac:dyDescent="0.2">
      <c r="A54" s="4" t="s">
        <v>955</v>
      </c>
      <c r="B54" s="5">
        <v>2</v>
      </c>
    </row>
    <row r="55" spans="1:2" x14ac:dyDescent="0.2">
      <c r="A55" s="4" t="s">
        <v>1835</v>
      </c>
      <c r="B55" s="5">
        <v>2</v>
      </c>
    </row>
    <row r="56" spans="1:2" x14ac:dyDescent="0.2">
      <c r="A56" s="4" t="s">
        <v>1677</v>
      </c>
      <c r="B56" s="5">
        <v>2</v>
      </c>
    </row>
    <row r="57" spans="1:2" x14ac:dyDescent="0.2">
      <c r="A57" s="4" t="s">
        <v>800</v>
      </c>
      <c r="B57" s="5">
        <v>2</v>
      </c>
    </row>
    <row r="58" spans="1:2" x14ac:dyDescent="0.2">
      <c r="A58" s="4" t="s">
        <v>150</v>
      </c>
      <c r="B58" s="5">
        <v>2</v>
      </c>
    </row>
    <row r="59" spans="1:2" x14ac:dyDescent="0.2">
      <c r="A59" s="4" t="s">
        <v>855</v>
      </c>
      <c r="B59" s="5">
        <v>2</v>
      </c>
    </row>
    <row r="60" spans="1:2" x14ac:dyDescent="0.2">
      <c r="A60" s="4" t="s">
        <v>886</v>
      </c>
      <c r="B60" s="5">
        <v>2</v>
      </c>
    </row>
    <row r="61" spans="1:2" x14ac:dyDescent="0.2">
      <c r="A61" s="4" t="s">
        <v>966</v>
      </c>
      <c r="B61" s="5">
        <v>2</v>
      </c>
    </row>
    <row r="62" spans="1:2" x14ac:dyDescent="0.2">
      <c r="A62" s="4" t="s">
        <v>563</v>
      </c>
      <c r="B62" s="5">
        <v>2</v>
      </c>
    </row>
    <row r="63" spans="1:2" x14ac:dyDescent="0.2">
      <c r="A63" s="4" t="s">
        <v>560</v>
      </c>
      <c r="B63" s="5">
        <v>2</v>
      </c>
    </row>
    <row r="64" spans="1:2" x14ac:dyDescent="0.2">
      <c r="A64" s="4" t="s">
        <v>147</v>
      </c>
      <c r="B64" s="5">
        <v>2</v>
      </c>
    </row>
    <row r="65" spans="1:2" x14ac:dyDescent="0.2">
      <c r="A65" s="4" t="s">
        <v>207</v>
      </c>
      <c r="B65" s="5">
        <v>2</v>
      </c>
    </row>
    <row r="66" spans="1:2" x14ac:dyDescent="0.2">
      <c r="A66" s="4" t="s">
        <v>565</v>
      </c>
      <c r="B66" s="5">
        <v>2</v>
      </c>
    </row>
    <row r="67" spans="1:2" x14ac:dyDescent="0.2">
      <c r="A67" s="4" t="s">
        <v>236</v>
      </c>
      <c r="B67" s="5">
        <v>2</v>
      </c>
    </row>
    <row r="68" spans="1:2" x14ac:dyDescent="0.2">
      <c r="A68" s="4" t="s">
        <v>1682</v>
      </c>
      <c r="B68" s="5">
        <v>2</v>
      </c>
    </row>
    <row r="69" spans="1:2" x14ac:dyDescent="0.2">
      <c r="A69" s="4" t="s">
        <v>2090</v>
      </c>
      <c r="B69" s="5">
        <v>2</v>
      </c>
    </row>
    <row r="70" spans="1:2" x14ac:dyDescent="0.2">
      <c r="A70" s="4" t="s">
        <v>585</v>
      </c>
      <c r="B70" s="5">
        <v>2</v>
      </c>
    </row>
    <row r="71" spans="1:2" x14ac:dyDescent="0.2">
      <c r="A71" s="4" t="s">
        <v>610</v>
      </c>
      <c r="B71" s="5">
        <v>2</v>
      </c>
    </row>
    <row r="72" spans="1:2" x14ac:dyDescent="0.2">
      <c r="A72" s="4" t="s">
        <v>1841</v>
      </c>
      <c r="B72" s="5">
        <v>2</v>
      </c>
    </row>
    <row r="73" spans="1:2" x14ac:dyDescent="0.2">
      <c r="A73" s="4" t="s">
        <v>1829</v>
      </c>
      <c r="B73" s="5">
        <v>2</v>
      </c>
    </row>
    <row r="74" spans="1:2" x14ac:dyDescent="0.2">
      <c r="A74" s="4" t="s">
        <v>837</v>
      </c>
      <c r="B74" s="5">
        <v>2</v>
      </c>
    </row>
    <row r="75" spans="1:2" x14ac:dyDescent="0.2">
      <c r="A75" s="4" t="s">
        <v>843</v>
      </c>
      <c r="B75" s="5">
        <v>2</v>
      </c>
    </row>
    <row r="76" spans="1:2" x14ac:dyDescent="0.2">
      <c r="A76" s="4" t="s">
        <v>1963</v>
      </c>
      <c r="B76" s="5">
        <v>2</v>
      </c>
    </row>
    <row r="77" spans="1:2" x14ac:dyDescent="0.2">
      <c r="A77" s="4" t="s">
        <v>219</v>
      </c>
      <c r="B77" s="5">
        <v>2</v>
      </c>
    </row>
    <row r="78" spans="1:2" x14ac:dyDescent="0.2">
      <c r="A78" s="4" t="s">
        <v>554</v>
      </c>
      <c r="B78" s="5">
        <v>1</v>
      </c>
    </row>
    <row r="79" spans="1:2" x14ac:dyDescent="0.2">
      <c r="A79" s="4" t="s">
        <v>42</v>
      </c>
      <c r="B79" s="5">
        <v>1</v>
      </c>
    </row>
    <row r="80" spans="1:2" x14ac:dyDescent="0.2">
      <c r="A80" s="4" t="s">
        <v>1469</v>
      </c>
      <c r="B80" s="5">
        <v>1</v>
      </c>
    </row>
    <row r="81" spans="1:2" x14ac:dyDescent="0.2">
      <c r="A81" s="4" t="s">
        <v>552</v>
      </c>
      <c r="B81" s="5">
        <v>1</v>
      </c>
    </row>
    <row r="82" spans="1:2" x14ac:dyDescent="0.2">
      <c r="A82" s="4" t="s">
        <v>1559</v>
      </c>
      <c r="B82" s="5">
        <v>1</v>
      </c>
    </row>
    <row r="83" spans="1:2" x14ac:dyDescent="0.2">
      <c r="A83" s="4" t="s">
        <v>434</v>
      </c>
      <c r="B83" s="5">
        <v>1</v>
      </c>
    </row>
    <row r="84" spans="1:2" x14ac:dyDescent="0.2">
      <c r="A84" s="4" t="s">
        <v>828</v>
      </c>
      <c r="B84" s="5">
        <v>1</v>
      </c>
    </row>
    <row r="85" spans="1:2" x14ac:dyDescent="0.2">
      <c r="A85" s="4" t="s">
        <v>1363</v>
      </c>
      <c r="B85" s="5">
        <v>1</v>
      </c>
    </row>
    <row r="86" spans="1:2" x14ac:dyDescent="0.2">
      <c r="A86" s="4" t="s">
        <v>1102</v>
      </c>
      <c r="B86" s="5">
        <v>1</v>
      </c>
    </row>
    <row r="87" spans="1:2" x14ac:dyDescent="0.2">
      <c r="A87" s="4" t="s">
        <v>1339</v>
      </c>
      <c r="B87" s="5">
        <v>1</v>
      </c>
    </row>
    <row r="88" spans="1:2" x14ac:dyDescent="0.2">
      <c r="A88" s="4" t="s">
        <v>395</v>
      </c>
      <c r="B88" s="5">
        <v>1</v>
      </c>
    </row>
    <row r="89" spans="1:2" x14ac:dyDescent="0.2">
      <c r="A89" s="4" t="s">
        <v>83</v>
      </c>
      <c r="B89" s="5">
        <v>1</v>
      </c>
    </row>
    <row r="90" spans="1:2" x14ac:dyDescent="0.2">
      <c r="A90" s="4" t="s">
        <v>2097</v>
      </c>
      <c r="B90" s="5">
        <v>1</v>
      </c>
    </row>
    <row r="91" spans="1:2" x14ac:dyDescent="0.2">
      <c r="A91" s="4" t="s">
        <v>1118</v>
      </c>
      <c r="B91" s="5">
        <v>1</v>
      </c>
    </row>
    <row r="92" spans="1:2" x14ac:dyDescent="0.2">
      <c r="A92" s="4" t="s">
        <v>1976</v>
      </c>
      <c r="B92" s="5">
        <v>1</v>
      </c>
    </row>
    <row r="93" spans="1:2" x14ac:dyDescent="0.2">
      <c r="A93" s="4" t="s">
        <v>969</v>
      </c>
      <c r="B93" s="5">
        <v>1</v>
      </c>
    </row>
    <row r="94" spans="1:2" x14ac:dyDescent="0.2">
      <c r="A94" s="4" t="s">
        <v>391</v>
      </c>
      <c r="B94" s="5">
        <v>1</v>
      </c>
    </row>
    <row r="95" spans="1:2" x14ac:dyDescent="0.2">
      <c r="A95" s="4" t="s">
        <v>1152</v>
      </c>
      <c r="B95" s="5">
        <v>1</v>
      </c>
    </row>
    <row r="96" spans="1:2" x14ac:dyDescent="0.2">
      <c r="A96" s="4" t="s">
        <v>815</v>
      </c>
      <c r="B96" s="5">
        <v>1</v>
      </c>
    </row>
    <row r="97" spans="1:2" x14ac:dyDescent="0.2">
      <c r="A97" s="4" t="s">
        <v>1154</v>
      </c>
      <c r="B97" s="5">
        <v>1</v>
      </c>
    </row>
    <row r="98" spans="1:2" x14ac:dyDescent="0.2">
      <c r="A98" s="4" t="s">
        <v>1134</v>
      </c>
      <c r="B98" s="5">
        <v>1</v>
      </c>
    </row>
    <row r="99" spans="1:2" x14ac:dyDescent="0.2">
      <c r="A99" s="4" t="s">
        <v>1355</v>
      </c>
      <c r="B99" s="5">
        <v>1</v>
      </c>
    </row>
    <row r="100" spans="1:2" x14ac:dyDescent="0.2">
      <c r="A100" s="4" t="s">
        <v>2088</v>
      </c>
      <c r="B100" s="5">
        <v>1</v>
      </c>
    </row>
    <row r="101" spans="1:2" x14ac:dyDescent="0.2">
      <c r="A101" s="4" t="s">
        <v>2119</v>
      </c>
      <c r="B101" s="5">
        <v>1</v>
      </c>
    </row>
    <row r="102" spans="1:2" x14ac:dyDescent="0.2">
      <c r="A102" s="4" t="s">
        <v>407</v>
      </c>
      <c r="B102" s="5">
        <v>1</v>
      </c>
    </row>
    <row r="103" spans="1:2" x14ac:dyDescent="0.2">
      <c r="A103" s="4" t="s">
        <v>1151</v>
      </c>
      <c r="B103" s="5">
        <v>1</v>
      </c>
    </row>
    <row r="104" spans="1:2" x14ac:dyDescent="0.2">
      <c r="A104" s="4" t="s">
        <v>411</v>
      </c>
      <c r="B104" s="5">
        <v>1</v>
      </c>
    </row>
    <row r="105" spans="1:2" x14ac:dyDescent="0.2">
      <c r="A105" s="4" t="s">
        <v>2094</v>
      </c>
      <c r="B105" s="5">
        <v>1</v>
      </c>
    </row>
    <row r="106" spans="1:2" x14ac:dyDescent="0.2">
      <c r="A106" s="4" t="s">
        <v>1321</v>
      </c>
      <c r="B106" s="5">
        <v>1</v>
      </c>
    </row>
    <row r="107" spans="1:2" x14ac:dyDescent="0.2">
      <c r="A107" s="4" t="s">
        <v>1141</v>
      </c>
      <c r="B107" s="5">
        <v>1</v>
      </c>
    </row>
    <row r="108" spans="1:2" x14ac:dyDescent="0.2">
      <c r="A108" s="4" t="s">
        <v>1359</v>
      </c>
      <c r="B108" s="5">
        <v>1</v>
      </c>
    </row>
    <row r="109" spans="1:2" x14ac:dyDescent="0.2">
      <c r="A109" s="4" t="s">
        <v>1697</v>
      </c>
      <c r="B109" s="5">
        <v>1</v>
      </c>
    </row>
    <row r="110" spans="1:2" x14ac:dyDescent="0.2">
      <c r="A110" s="4" t="s">
        <v>1361</v>
      </c>
      <c r="B110" s="5">
        <v>1</v>
      </c>
    </row>
    <row r="111" spans="1:2" x14ac:dyDescent="0.2">
      <c r="A111" s="4" t="s">
        <v>432</v>
      </c>
      <c r="B111" s="5">
        <v>1</v>
      </c>
    </row>
    <row r="112" spans="1:2" x14ac:dyDescent="0.2">
      <c r="A112" s="4" t="s">
        <v>827</v>
      </c>
      <c r="B112" s="5">
        <v>1</v>
      </c>
    </row>
    <row r="113" spans="1:2" x14ac:dyDescent="0.2">
      <c r="A113" s="4" t="s">
        <v>1640</v>
      </c>
      <c r="B113" s="5">
        <v>1</v>
      </c>
    </row>
    <row r="114" spans="1:2" x14ac:dyDescent="0.2">
      <c r="A114" s="4" t="s">
        <v>829</v>
      </c>
      <c r="B114" s="5">
        <v>1</v>
      </c>
    </row>
    <row r="115" spans="1:2" x14ac:dyDescent="0.2">
      <c r="A115" s="4" t="s">
        <v>1680</v>
      </c>
      <c r="B115" s="5">
        <v>1</v>
      </c>
    </row>
    <row r="116" spans="1:2" x14ac:dyDescent="0.2">
      <c r="A116" s="4" t="s">
        <v>1341</v>
      </c>
      <c r="B116" s="5">
        <v>1</v>
      </c>
    </row>
    <row r="117" spans="1:2" x14ac:dyDescent="0.2">
      <c r="A117" s="4" t="s">
        <v>599</v>
      </c>
      <c r="B117" s="5">
        <v>1</v>
      </c>
    </row>
    <row r="118" spans="1:2" x14ac:dyDescent="0.2">
      <c r="A118" s="4" t="s">
        <v>1136</v>
      </c>
      <c r="B118" s="5">
        <v>1</v>
      </c>
    </row>
    <row r="119" spans="1:2" x14ac:dyDescent="0.2">
      <c r="A119" s="4" t="s">
        <v>1148</v>
      </c>
      <c r="B119" s="5">
        <v>1</v>
      </c>
    </row>
    <row r="120" spans="1:2" x14ac:dyDescent="0.2">
      <c r="A120" s="4" t="s">
        <v>1138</v>
      </c>
      <c r="B120" s="5">
        <v>1</v>
      </c>
    </row>
    <row r="121" spans="1:2" x14ac:dyDescent="0.2">
      <c r="A121" s="4" t="s">
        <v>417</v>
      </c>
      <c r="B121" s="5">
        <v>1</v>
      </c>
    </row>
    <row r="122" spans="1:2" x14ac:dyDescent="0.2">
      <c r="A122" s="4" t="s">
        <v>2086</v>
      </c>
      <c r="B122" s="5">
        <v>1</v>
      </c>
    </row>
    <row r="123" spans="1:2" x14ac:dyDescent="0.2">
      <c r="A123" s="4" t="s">
        <v>159</v>
      </c>
      <c r="B123" s="5">
        <v>1</v>
      </c>
    </row>
    <row r="124" spans="1:2" x14ac:dyDescent="0.2">
      <c r="A124" s="4" t="s">
        <v>399</v>
      </c>
      <c r="B124" s="5">
        <v>1</v>
      </c>
    </row>
    <row r="125" spans="1:2" x14ac:dyDescent="0.2">
      <c r="A125" s="4" t="s">
        <v>169</v>
      </c>
      <c r="B125" s="5">
        <v>1</v>
      </c>
    </row>
    <row r="126" spans="1:2" x14ac:dyDescent="0.2">
      <c r="A126" s="4" t="s">
        <v>951</v>
      </c>
      <c r="B126" s="5">
        <v>1</v>
      </c>
    </row>
    <row r="127" spans="1:2" x14ac:dyDescent="0.2">
      <c r="A127" s="4" t="s">
        <v>602</v>
      </c>
      <c r="B127" s="5">
        <v>1</v>
      </c>
    </row>
    <row r="128" spans="1:2" x14ac:dyDescent="0.2">
      <c r="A128" s="4" t="s">
        <v>1671</v>
      </c>
      <c r="B128" s="5">
        <v>1</v>
      </c>
    </row>
    <row r="129" spans="1:2" x14ac:dyDescent="0.2">
      <c r="A129" s="4" t="s">
        <v>604</v>
      </c>
      <c r="B129" s="5">
        <v>1</v>
      </c>
    </row>
    <row r="130" spans="1:2" x14ac:dyDescent="0.2">
      <c r="A130" s="4" t="s">
        <v>1569</v>
      </c>
      <c r="B130" s="5">
        <v>1</v>
      </c>
    </row>
    <row r="131" spans="1:2" x14ac:dyDescent="0.2">
      <c r="A131" s="4" t="s">
        <v>2120</v>
      </c>
      <c r="B131" s="5">
        <v>1</v>
      </c>
    </row>
    <row r="132" spans="1:2" x14ac:dyDescent="0.2">
      <c r="A132" s="4" t="s">
        <v>403</v>
      </c>
      <c r="B132" s="5">
        <v>1</v>
      </c>
    </row>
    <row r="133" spans="1:2" x14ac:dyDescent="0.2">
      <c r="A133" s="4" t="s">
        <v>34</v>
      </c>
      <c r="B133" s="5">
        <v>1</v>
      </c>
    </row>
    <row r="134" spans="1:2" x14ac:dyDescent="0.2">
      <c r="A134" s="4" t="s">
        <v>589</v>
      </c>
      <c r="B134" s="5">
        <v>1</v>
      </c>
    </row>
    <row r="135" spans="1:2" x14ac:dyDescent="0.2">
      <c r="A135" s="4" t="s">
        <v>1458</v>
      </c>
      <c r="B135" s="5">
        <v>1</v>
      </c>
    </row>
    <row r="136" spans="1:2" x14ac:dyDescent="0.2">
      <c r="A136" s="4" t="s">
        <v>550</v>
      </c>
      <c r="B136" s="5">
        <v>1</v>
      </c>
    </row>
    <row r="137" spans="1:2" x14ac:dyDescent="0.2">
      <c r="A137" s="4" t="s">
        <v>1970</v>
      </c>
      <c r="B137" s="5">
        <v>1</v>
      </c>
    </row>
    <row r="138" spans="1:2" x14ac:dyDescent="0.2">
      <c r="A138" s="4" t="s">
        <v>804</v>
      </c>
      <c r="B138" s="5">
        <v>1</v>
      </c>
    </row>
    <row r="139" spans="1:2" x14ac:dyDescent="0.2">
      <c r="A139" s="4" t="s">
        <v>1121</v>
      </c>
      <c r="B139" s="5">
        <v>1</v>
      </c>
    </row>
    <row r="140" spans="1:2" x14ac:dyDescent="0.2">
      <c r="A140" s="4" t="s">
        <v>544</v>
      </c>
      <c r="B140" s="5">
        <v>1</v>
      </c>
    </row>
    <row r="141" spans="1:2" x14ac:dyDescent="0.2">
      <c r="A141" s="4" t="s">
        <v>1124</v>
      </c>
      <c r="B141" s="5">
        <v>1</v>
      </c>
    </row>
    <row r="142" spans="1:2" x14ac:dyDescent="0.2">
      <c r="A142" s="4" t="s">
        <v>1973</v>
      </c>
      <c r="B142" s="5">
        <v>1</v>
      </c>
    </row>
    <row r="143" spans="1:2" x14ac:dyDescent="0.2">
      <c r="A143" s="4" t="s">
        <v>1140</v>
      </c>
      <c r="B143" s="5">
        <v>1</v>
      </c>
    </row>
    <row r="144" spans="1:2" x14ac:dyDescent="0.2">
      <c r="A144" s="4" t="s">
        <v>394</v>
      </c>
      <c r="B144" s="5">
        <v>1</v>
      </c>
    </row>
    <row r="145" spans="1:2" x14ac:dyDescent="0.2">
      <c r="A145" s="4" t="s">
        <v>92</v>
      </c>
      <c r="B145" s="5">
        <v>1</v>
      </c>
    </row>
    <row r="146" spans="1:2" x14ac:dyDescent="0.2">
      <c r="A146" s="4" t="s">
        <v>152</v>
      </c>
      <c r="B146" s="5">
        <v>1</v>
      </c>
    </row>
    <row r="147" spans="1:2" x14ac:dyDescent="0.2">
      <c r="A147" s="4" t="s">
        <v>852</v>
      </c>
      <c r="B147" s="5">
        <v>1</v>
      </c>
    </row>
    <row r="148" spans="1:2" x14ac:dyDescent="0.2">
      <c r="A148" s="4" t="s">
        <v>413</v>
      </c>
      <c r="B148" s="5">
        <v>1</v>
      </c>
    </row>
    <row r="149" spans="1:2" x14ac:dyDescent="0.2">
      <c r="A149" s="4" t="s">
        <v>1115</v>
      </c>
      <c r="B149" s="5">
        <v>1</v>
      </c>
    </row>
    <row r="150" spans="1:2" x14ac:dyDescent="0.2">
      <c r="A150" s="4" t="s">
        <v>581</v>
      </c>
      <c r="B150" s="5">
        <v>1</v>
      </c>
    </row>
    <row r="151" spans="1:2" x14ac:dyDescent="0.2">
      <c r="A151" s="4" t="s">
        <v>1319</v>
      </c>
      <c r="B151" s="5">
        <v>1</v>
      </c>
    </row>
    <row r="152" spans="1:2" x14ac:dyDescent="0.2">
      <c r="A152" s="4" t="s">
        <v>579</v>
      </c>
      <c r="B152" s="5">
        <v>1</v>
      </c>
    </row>
    <row r="153" spans="1:2" x14ac:dyDescent="0.2">
      <c r="A153" s="4" t="s">
        <v>1132</v>
      </c>
      <c r="B153" s="5">
        <v>1</v>
      </c>
    </row>
    <row r="154" spans="1:2" x14ac:dyDescent="0.2">
      <c r="A154" s="4" t="s">
        <v>1031</v>
      </c>
      <c r="B154" s="5">
        <v>1</v>
      </c>
    </row>
    <row r="155" spans="1:2" x14ac:dyDescent="0.2">
      <c r="A155" s="4" t="s">
        <v>1130</v>
      </c>
      <c r="B155" s="5">
        <v>1</v>
      </c>
    </row>
    <row r="156" spans="1:2" x14ac:dyDescent="0.2">
      <c r="A156" s="4" t="s">
        <v>161</v>
      </c>
      <c r="B156" s="5">
        <v>1</v>
      </c>
    </row>
    <row r="157" spans="1:2" x14ac:dyDescent="0.2">
      <c r="A157" s="4" t="s">
        <v>1575</v>
      </c>
      <c r="B157" s="5">
        <v>1</v>
      </c>
    </row>
    <row r="158" spans="1:2" x14ac:dyDescent="0.2">
      <c r="A158" s="4" t="s">
        <v>1562</v>
      </c>
      <c r="B158" s="5">
        <v>1</v>
      </c>
    </row>
    <row r="159" spans="1:2" x14ac:dyDescent="0.2">
      <c r="A159" s="4" t="s">
        <v>1127</v>
      </c>
      <c r="B159" s="5">
        <v>1</v>
      </c>
    </row>
    <row r="160" spans="1:2" x14ac:dyDescent="0.2">
      <c r="A160" s="4" t="s">
        <v>583</v>
      </c>
      <c r="B160" s="5">
        <v>1</v>
      </c>
    </row>
    <row r="161" spans="1:2" x14ac:dyDescent="0.2">
      <c r="A161" s="4" t="s">
        <v>1157</v>
      </c>
      <c r="B161" s="5">
        <v>1</v>
      </c>
    </row>
    <row r="162" spans="1:2" x14ac:dyDescent="0.2">
      <c r="A162" s="4" t="s">
        <v>1104</v>
      </c>
      <c r="B162" s="5">
        <v>1</v>
      </c>
    </row>
    <row r="163" spans="1:2" x14ac:dyDescent="0.2">
      <c r="A163" s="4" t="s">
        <v>414</v>
      </c>
      <c r="B163" s="5">
        <v>1</v>
      </c>
    </row>
    <row r="164" spans="1:2" x14ac:dyDescent="0.2">
      <c r="A164" s="4" t="s">
        <v>1099</v>
      </c>
      <c r="B164" s="5">
        <v>1</v>
      </c>
    </row>
    <row r="165" spans="1:2" x14ac:dyDescent="0.2">
      <c r="A165" s="4" t="s">
        <v>958</v>
      </c>
      <c r="B165" s="5">
        <v>1</v>
      </c>
    </row>
    <row r="166" spans="1:2" x14ac:dyDescent="0.2">
      <c r="A166" s="4" t="s">
        <v>85</v>
      </c>
      <c r="B166" s="5">
        <v>1</v>
      </c>
    </row>
    <row r="167" spans="1:2" x14ac:dyDescent="0.2">
      <c r="A167" s="4" t="s">
        <v>50</v>
      </c>
      <c r="B167" s="5">
        <v>1</v>
      </c>
    </row>
    <row r="168" spans="1:2" x14ac:dyDescent="0.2">
      <c r="A168" s="4" t="s">
        <v>1317</v>
      </c>
      <c r="B168" s="5">
        <v>1</v>
      </c>
    </row>
    <row r="169" spans="1:2" x14ac:dyDescent="0.2">
      <c r="A169" s="4" t="s">
        <v>782</v>
      </c>
      <c r="B169" s="5">
        <v>1</v>
      </c>
    </row>
    <row r="170" spans="1:2" x14ac:dyDescent="0.2">
      <c r="A170" s="4" t="s">
        <v>587</v>
      </c>
      <c r="B170" s="5">
        <v>1</v>
      </c>
    </row>
    <row r="171" spans="1:2" x14ac:dyDescent="0.2">
      <c r="A171" s="4" t="s">
        <v>421</v>
      </c>
      <c r="B171" s="5">
        <v>1</v>
      </c>
    </row>
    <row r="172" spans="1:2" x14ac:dyDescent="0.2">
      <c r="A172" s="4" t="s">
        <v>1673</v>
      </c>
      <c r="B172" s="5">
        <v>1</v>
      </c>
    </row>
    <row r="173" spans="1:2" x14ac:dyDescent="0.2">
      <c r="A173" s="4" t="s">
        <v>1145</v>
      </c>
      <c r="B173" s="5">
        <v>1</v>
      </c>
    </row>
    <row r="174" spans="1:2" x14ac:dyDescent="0.2">
      <c r="A174" s="4" t="s">
        <v>2105</v>
      </c>
      <c r="B174" s="5">
        <v>1</v>
      </c>
    </row>
    <row r="175" spans="1:2" x14ac:dyDescent="0.2">
      <c r="A175" s="4" t="s">
        <v>1034</v>
      </c>
      <c r="B175" s="5">
        <v>1</v>
      </c>
    </row>
    <row r="176" spans="1:2" x14ac:dyDescent="0.2">
      <c r="A176" s="4" t="s">
        <v>397</v>
      </c>
      <c r="B176" s="5">
        <v>1</v>
      </c>
    </row>
    <row r="177" spans="1:2" x14ac:dyDescent="0.2">
      <c r="A177" s="4" t="s">
        <v>1143</v>
      </c>
      <c r="B177" s="5">
        <v>1</v>
      </c>
    </row>
    <row r="178" spans="1:2" x14ac:dyDescent="0.2">
      <c r="A178" s="4" t="s">
        <v>1838</v>
      </c>
      <c r="B178" s="5">
        <v>1</v>
      </c>
    </row>
    <row r="179" spans="1:2" x14ac:dyDescent="0.2">
      <c r="A179" s="4" t="s">
        <v>40</v>
      </c>
      <c r="B179" s="5">
        <v>1</v>
      </c>
    </row>
    <row r="180" spans="1:2" x14ac:dyDescent="0.2">
      <c r="A180" s="4" t="s">
        <v>1366</v>
      </c>
      <c r="B180" s="5">
        <v>1</v>
      </c>
    </row>
    <row r="181" spans="1:2" x14ac:dyDescent="0.2">
      <c r="A181" s="4" t="s">
        <v>964</v>
      </c>
      <c r="B181" s="5">
        <v>1</v>
      </c>
    </row>
    <row r="182" spans="1:2" x14ac:dyDescent="0.2">
      <c r="A182" s="4" t="s">
        <v>409</v>
      </c>
      <c r="B182" s="5">
        <v>1</v>
      </c>
    </row>
    <row r="183" spans="1:2" x14ac:dyDescent="0.2">
      <c r="A183" s="4" t="s">
        <v>2030</v>
      </c>
      <c r="B183" s="5">
        <v>1</v>
      </c>
    </row>
    <row r="184" spans="1:2" x14ac:dyDescent="0.2">
      <c r="A184" s="4" t="s">
        <v>819</v>
      </c>
      <c r="B184" s="5">
        <v>1</v>
      </c>
    </row>
    <row r="185" spans="1:2" x14ac:dyDescent="0.2">
      <c r="A185" s="4" t="s">
        <v>204</v>
      </c>
      <c r="B185" s="5">
        <v>1</v>
      </c>
    </row>
    <row r="186" spans="1:2" x14ac:dyDescent="0.2">
      <c r="A186" s="4" t="s">
        <v>405</v>
      </c>
      <c r="B186" s="5">
        <v>1</v>
      </c>
    </row>
    <row r="187" spans="1:2" x14ac:dyDescent="0.2">
      <c r="A187" s="4" t="s">
        <v>2126</v>
      </c>
      <c r="B187" s="5">
        <v>1</v>
      </c>
    </row>
    <row r="188" spans="1:2" x14ac:dyDescent="0.2">
      <c r="A188" s="4" t="s">
        <v>591</v>
      </c>
      <c r="B188" s="5">
        <v>1</v>
      </c>
    </row>
    <row r="189" spans="1:2" x14ac:dyDescent="0.2">
      <c r="A189" s="4" t="s">
        <v>1369</v>
      </c>
      <c r="B189" s="5">
        <v>1</v>
      </c>
    </row>
    <row r="190" spans="1:2" x14ac:dyDescent="0.2">
      <c r="A190" s="4" t="s">
        <v>823</v>
      </c>
      <c r="B190" s="5">
        <v>1</v>
      </c>
    </row>
    <row r="191" spans="1:2" x14ac:dyDescent="0.2">
      <c r="A191" s="4" t="s">
        <v>1337</v>
      </c>
      <c r="B191" s="5">
        <v>1</v>
      </c>
    </row>
    <row r="192" spans="1:2" x14ac:dyDescent="0.2">
      <c r="A192" s="4" t="s">
        <v>401</v>
      </c>
      <c r="B192" s="5">
        <v>1</v>
      </c>
    </row>
    <row r="193" spans="1:2" x14ac:dyDescent="0.2">
      <c r="A193" s="4" t="s">
        <v>607</v>
      </c>
      <c r="B193" s="5">
        <v>1</v>
      </c>
    </row>
    <row r="194" spans="1:2" x14ac:dyDescent="0.2">
      <c r="A194" s="4" t="s">
        <v>817</v>
      </c>
      <c r="B194" s="5">
        <v>1</v>
      </c>
    </row>
    <row r="195" spans="1:2" x14ac:dyDescent="0.2">
      <c r="A195" s="4" t="s">
        <v>429</v>
      </c>
      <c r="B195" s="5">
        <v>1</v>
      </c>
    </row>
    <row r="196" spans="1:2" x14ac:dyDescent="0.2">
      <c r="A196" s="4" t="s">
        <v>1112</v>
      </c>
      <c r="B196" s="5">
        <v>1</v>
      </c>
    </row>
    <row r="197" spans="1:2" x14ac:dyDescent="0.2">
      <c r="A197" s="4" t="s">
        <v>1566</v>
      </c>
      <c r="B197" s="5">
        <v>1</v>
      </c>
    </row>
    <row r="198" spans="1:2" x14ac:dyDescent="0.2">
      <c r="A198" s="4" t="s">
        <v>1685</v>
      </c>
      <c r="B198" s="5">
        <v>1</v>
      </c>
    </row>
    <row r="199" spans="1:2" x14ac:dyDescent="0.2">
      <c r="A199" s="4" t="s">
        <v>1109</v>
      </c>
      <c r="B199" s="5">
        <v>1</v>
      </c>
    </row>
    <row r="200" spans="1:2" x14ac:dyDescent="0.2">
      <c r="A200" s="4" t="s">
        <v>1572</v>
      </c>
      <c r="B200" s="5">
        <v>1</v>
      </c>
    </row>
    <row r="201" spans="1:2" x14ac:dyDescent="0.2">
      <c r="A201" s="4" t="s">
        <v>1106</v>
      </c>
      <c r="B201" s="5">
        <v>1</v>
      </c>
    </row>
    <row r="202" spans="1:2" x14ac:dyDescent="0.2">
      <c r="A202" s="4" t="s">
        <v>437</v>
      </c>
      <c r="B202" s="5">
        <v>1</v>
      </c>
    </row>
    <row r="203" spans="1:2" x14ac:dyDescent="0.2">
      <c r="A203" s="4" t="s">
        <v>2108</v>
      </c>
      <c r="B203" s="5">
        <v>1</v>
      </c>
    </row>
    <row r="204" spans="1:2" x14ac:dyDescent="0.2">
      <c r="A204" s="4" t="s">
        <v>547</v>
      </c>
      <c r="B204" s="5">
        <v>1</v>
      </c>
    </row>
    <row r="205" spans="1:2" x14ac:dyDescent="0.2">
      <c r="A205" s="4" t="s">
        <v>2215</v>
      </c>
      <c r="B205" s="5">
        <v>1</v>
      </c>
    </row>
    <row r="206" spans="1:2" x14ac:dyDescent="0.2">
      <c r="A206" s="4" t="s">
        <v>1674</v>
      </c>
      <c r="B206" s="5">
        <v>1</v>
      </c>
    </row>
    <row r="207" spans="1:2" x14ac:dyDescent="0.2">
      <c r="A207" s="4" t="s">
        <v>2218</v>
      </c>
      <c r="B207" s="5">
        <v>1</v>
      </c>
    </row>
    <row r="208" spans="1:2" x14ac:dyDescent="0.2">
      <c r="A208" s="4" t="s">
        <v>844</v>
      </c>
      <c r="B208" s="5">
        <v>1</v>
      </c>
    </row>
    <row r="209" spans="1:2" x14ac:dyDescent="0.2">
      <c r="A209" s="4" t="s">
        <v>1471</v>
      </c>
      <c r="B209" s="5">
        <v>1</v>
      </c>
    </row>
    <row r="210" spans="1:2" x14ac:dyDescent="0.2">
      <c r="A210" s="4" t="s">
        <v>841</v>
      </c>
      <c r="B210" s="5">
        <v>1</v>
      </c>
    </row>
    <row r="211" spans="1:2" x14ac:dyDescent="0.2">
      <c r="A211" s="4" t="s">
        <v>2100</v>
      </c>
      <c r="B211" s="5">
        <v>1</v>
      </c>
    </row>
    <row r="212" spans="1:2" x14ac:dyDescent="0.2">
      <c r="A212" s="4" t="s">
        <v>536</v>
      </c>
      <c r="B212" s="5">
        <v>1</v>
      </c>
    </row>
    <row r="213" spans="1:2" x14ac:dyDescent="0.2">
      <c r="A213" s="2" t="s">
        <v>244</v>
      </c>
      <c r="B213" s="5">
        <v>311</v>
      </c>
    </row>
    <row r="214" spans="1:2" x14ac:dyDescent="0.2">
      <c r="A214" s="3" t="s">
        <v>245</v>
      </c>
      <c r="B214" s="5">
        <v>171</v>
      </c>
    </row>
    <row r="215" spans="1:2" x14ac:dyDescent="0.2">
      <c r="A215" s="4" t="s">
        <v>1694</v>
      </c>
      <c r="B215" s="5">
        <v>5</v>
      </c>
    </row>
    <row r="216" spans="1:2" x14ac:dyDescent="0.2">
      <c r="A216" s="4" t="s">
        <v>1847</v>
      </c>
      <c r="B216" s="5">
        <v>3</v>
      </c>
    </row>
    <row r="217" spans="1:2" x14ac:dyDescent="0.2">
      <c r="A217" s="4" t="s">
        <v>250</v>
      </c>
      <c r="B217" s="5">
        <v>3</v>
      </c>
    </row>
    <row r="218" spans="1:2" x14ac:dyDescent="0.2">
      <c r="A218" s="4" t="s">
        <v>261</v>
      </c>
      <c r="B218" s="5">
        <v>3</v>
      </c>
    </row>
    <row r="219" spans="1:2" x14ac:dyDescent="0.2">
      <c r="A219" s="4" t="s">
        <v>636</v>
      </c>
      <c r="B219" s="5">
        <v>3</v>
      </c>
    </row>
    <row r="220" spans="1:2" x14ac:dyDescent="0.2">
      <c r="A220" s="4" t="s">
        <v>1844</v>
      </c>
      <c r="B220" s="5">
        <v>3</v>
      </c>
    </row>
    <row r="221" spans="1:2" x14ac:dyDescent="0.2">
      <c r="A221" s="4" t="s">
        <v>256</v>
      </c>
      <c r="B221" s="5">
        <v>2</v>
      </c>
    </row>
    <row r="222" spans="1:2" x14ac:dyDescent="0.2">
      <c r="A222" s="4" t="s">
        <v>1376</v>
      </c>
      <c r="B222" s="5">
        <v>2</v>
      </c>
    </row>
    <row r="223" spans="1:2" x14ac:dyDescent="0.2">
      <c r="A223" s="4" t="s">
        <v>1884</v>
      </c>
      <c r="B223" s="5">
        <v>2</v>
      </c>
    </row>
    <row r="224" spans="1:2" x14ac:dyDescent="0.2">
      <c r="A224" s="4" t="s">
        <v>318</v>
      </c>
      <c r="B224" s="5">
        <v>2</v>
      </c>
    </row>
    <row r="225" spans="1:2" x14ac:dyDescent="0.2">
      <c r="A225" s="4" t="s">
        <v>1881</v>
      </c>
      <c r="B225" s="5">
        <v>2</v>
      </c>
    </row>
    <row r="226" spans="1:2" x14ac:dyDescent="0.2">
      <c r="A226" s="4" t="s">
        <v>640</v>
      </c>
      <c r="B226" s="5">
        <v>2</v>
      </c>
    </row>
    <row r="227" spans="1:2" x14ac:dyDescent="0.2">
      <c r="A227" s="4" t="s">
        <v>633</v>
      </c>
      <c r="B227" s="5">
        <v>2</v>
      </c>
    </row>
    <row r="228" spans="1:2" x14ac:dyDescent="0.2">
      <c r="A228" s="4" t="s">
        <v>354</v>
      </c>
      <c r="B228" s="5">
        <v>2</v>
      </c>
    </row>
    <row r="229" spans="1:2" x14ac:dyDescent="0.2">
      <c r="A229" s="4" t="s">
        <v>242</v>
      </c>
      <c r="B229" s="5">
        <v>2</v>
      </c>
    </row>
    <row r="230" spans="1:2" x14ac:dyDescent="0.2">
      <c r="A230" s="4" t="s">
        <v>1889</v>
      </c>
      <c r="B230" s="5">
        <v>2</v>
      </c>
    </row>
    <row r="231" spans="1:2" x14ac:dyDescent="0.2">
      <c r="A231" s="4" t="s">
        <v>1374</v>
      </c>
      <c r="B231" s="5">
        <v>2</v>
      </c>
    </row>
    <row r="232" spans="1:2" x14ac:dyDescent="0.2">
      <c r="A232" s="4" t="s">
        <v>324</v>
      </c>
      <c r="B232" s="5">
        <v>2</v>
      </c>
    </row>
    <row r="233" spans="1:2" x14ac:dyDescent="0.2">
      <c r="A233" s="4" t="s">
        <v>1747</v>
      </c>
      <c r="B233" s="5">
        <v>2</v>
      </c>
    </row>
    <row r="234" spans="1:2" x14ac:dyDescent="0.2">
      <c r="A234" s="4" t="s">
        <v>775</v>
      </c>
      <c r="B234" s="5">
        <v>2</v>
      </c>
    </row>
    <row r="235" spans="1:2" x14ac:dyDescent="0.2">
      <c r="A235" s="4" t="s">
        <v>283</v>
      </c>
      <c r="B235" s="5">
        <v>2</v>
      </c>
    </row>
    <row r="236" spans="1:2" x14ac:dyDescent="0.2">
      <c r="A236" s="4" t="s">
        <v>270</v>
      </c>
      <c r="B236" s="5">
        <v>2</v>
      </c>
    </row>
    <row r="237" spans="1:2" x14ac:dyDescent="0.2">
      <c r="A237" s="4" t="s">
        <v>1886</v>
      </c>
      <c r="B237" s="5">
        <v>2</v>
      </c>
    </row>
    <row r="238" spans="1:2" x14ac:dyDescent="0.2">
      <c r="A238" s="4" t="s">
        <v>342</v>
      </c>
      <c r="B238" s="5">
        <v>2</v>
      </c>
    </row>
    <row r="239" spans="1:2" x14ac:dyDescent="0.2">
      <c r="A239" s="4" t="s">
        <v>277</v>
      </c>
      <c r="B239" s="5">
        <v>2</v>
      </c>
    </row>
    <row r="240" spans="1:2" x14ac:dyDescent="0.2">
      <c r="A240" s="4" t="s">
        <v>1915</v>
      </c>
      <c r="B240" s="5">
        <v>1</v>
      </c>
    </row>
    <row r="241" spans="1:2" x14ac:dyDescent="0.2">
      <c r="A241" s="4" t="s">
        <v>778</v>
      </c>
      <c r="B241" s="5">
        <v>1</v>
      </c>
    </row>
    <row r="242" spans="1:2" x14ac:dyDescent="0.2">
      <c r="A242" s="4" t="s">
        <v>1283</v>
      </c>
      <c r="B242" s="5">
        <v>1</v>
      </c>
    </row>
    <row r="243" spans="1:2" x14ac:dyDescent="0.2">
      <c r="A243" s="4" t="s">
        <v>1706</v>
      </c>
      <c r="B243" s="5">
        <v>1</v>
      </c>
    </row>
    <row r="244" spans="1:2" x14ac:dyDescent="0.2">
      <c r="A244" s="4" t="s">
        <v>1688</v>
      </c>
      <c r="B244" s="5">
        <v>1</v>
      </c>
    </row>
    <row r="245" spans="1:2" x14ac:dyDescent="0.2">
      <c r="A245" s="4" t="s">
        <v>1372</v>
      </c>
      <c r="B245" s="5">
        <v>1</v>
      </c>
    </row>
    <row r="246" spans="1:2" x14ac:dyDescent="0.2">
      <c r="A246" s="4" t="s">
        <v>652</v>
      </c>
      <c r="B246" s="5">
        <v>1</v>
      </c>
    </row>
    <row r="247" spans="1:2" x14ac:dyDescent="0.2">
      <c r="A247" s="4" t="s">
        <v>1738</v>
      </c>
      <c r="B247" s="5">
        <v>1</v>
      </c>
    </row>
    <row r="248" spans="1:2" x14ac:dyDescent="0.2">
      <c r="A248" s="4" t="s">
        <v>349</v>
      </c>
      <c r="B248" s="5">
        <v>1</v>
      </c>
    </row>
    <row r="249" spans="1:2" x14ac:dyDescent="0.2">
      <c r="A249" s="4" t="s">
        <v>1735</v>
      </c>
      <c r="B249" s="5">
        <v>1</v>
      </c>
    </row>
    <row r="250" spans="1:2" x14ac:dyDescent="0.2">
      <c r="A250" s="4" t="s">
        <v>710</v>
      </c>
      <c r="B250" s="5">
        <v>1</v>
      </c>
    </row>
    <row r="251" spans="1:2" x14ac:dyDescent="0.2">
      <c r="A251" s="4" t="s">
        <v>1382</v>
      </c>
      <c r="B251" s="5">
        <v>1</v>
      </c>
    </row>
    <row r="252" spans="1:2" x14ac:dyDescent="0.2">
      <c r="A252" s="4" t="s">
        <v>1921</v>
      </c>
      <c r="B252" s="5">
        <v>1</v>
      </c>
    </row>
    <row r="253" spans="1:2" x14ac:dyDescent="0.2">
      <c r="A253" s="4" t="s">
        <v>670</v>
      </c>
      <c r="B253" s="5">
        <v>1</v>
      </c>
    </row>
    <row r="254" spans="1:2" x14ac:dyDescent="0.2">
      <c r="A254" s="4" t="s">
        <v>1906</v>
      </c>
      <c r="B254" s="5">
        <v>1</v>
      </c>
    </row>
    <row r="255" spans="1:2" x14ac:dyDescent="0.2">
      <c r="A255" s="4" t="s">
        <v>1709</v>
      </c>
      <c r="B255" s="5">
        <v>1</v>
      </c>
    </row>
    <row r="256" spans="1:2" x14ac:dyDescent="0.2">
      <c r="A256" s="4" t="s">
        <v>1444</v>
      </c>
      <c r="B256" s="5">
        <v>1</v>
      </c>
    </row>
    <row r="257" spans="1:2" x14ac:dyDescent="0.2">
      <c r="A257" s="4" t="s">
        <v>667</v>
      </c>
      <c r="B257" s="5">
        <v>1</v>
      </c>
    </row>
    <row r="258" spans="1:2" x14ac:dyDescent="0.2">
      <c r="A258" s="4" t="s">
        <v>1741</v>
      </c>
      <c r="B258" s="5">
        <v>1</v>
      </c>
    </row>
    <row r="259" spans="1:2" x14ac:dyDescent="0.2">
      <c r="A259" s="4" t="s">
        <v>897</v>
      </c>
      <c r="B259" s="5">
        <v>1</v>
      </c>
    </row>
    <row r="260" spans="1:2" x14ac:dyDescent="0.2">
      <c r="A260" s="4" t="s">
        <v>1246</v>
      </c>
      <c r="B260" s="5">
        <v>1</v>
      </c>
    </row>
    <row r="261" spans="1:2" x14ac:dyDescent="0.2">
      <c r="A261" s="4" t="s">
        <v>901</v>
      </c>
      <c r="B261" s="5">
        <v>1</v>
      </c>
    </row>
    <row r="262" spans="1:2" x14ac:dyDescent="0.2">
      <c r="A262" s="4" t="s">
        <v>1239</v>
      </c>
      <c r="B262" s="5">
        <v>1</v>
      </c>
    </row>
    <row r="263" spans="1:2" x14ac:dyDescent="0.2">
      <c r="A263" s="4" t="s">
        <v>1878</v>
      </c>
      <c r="B263" s="5">
        <v>1</v>
      </c>
    </row>
    <row r="264" spans="1:2" x14ac:dyDescent="0.2">
      <c r="A264" s="4" t="s">
        <v>728</v>
      </c>
      <c r="B264" s="5">
        <v>1</v>
      </c>
    </row>
    <row r="265" spans="1:2" x14ac:dyDescent="0.2">
      <c r="A265" s="4" t="s">
        <v>1712</v>
      </c>
      <c r="B265" s="5">
        <v>1</v>
      </c>
    </row>
    <row r="266" spans="1:2" x14ac:dyDescent="0.2">
      <c r="A266" s="4" t="s">
        <v>768</v>
      </c>
      <c r="B266" s="5">
        <v>1</v>
      </c>
    </row>
    <row r="267" spans="1:2" x14ac:dyDescent="0.2">
      <c r="A267" s="4" t="s">
        <v>2112</v>
      </c>
      <c r="B267" s="5">
        <v>1</v>
      </c>
    </row>
    <row r="268" spans="1:2" x14ac:dyDescent="0.2">
      <c r="A268" s="4" t="s">
        <v>2005</v>
      </c>
      <c r="B268" s="5">
        <v>1</v>
      </c>
    </row>
    <row r="269" spans="1:2" x14ac:dyDescent="0.2">
      <c r="A269" s="4" t="s">
        <v>1642</v>
      </c>
      <c r="B269" s="5">
        <v>1</v>
      </c>
    </row>
    <row r="270" spans="1:2" x14ac:dyDescent="0.2">
      <c r="A270" s="4" t="s">
        <v>1999</v>
      </c>
      <c r="B270" s="5">
        <v>1</v>
      </c>
    </row>
    <row r="271" spans="1:2" x14ac:dyDescent="0.2">
      <c r="A271" s="4" t="s">
        <v>1273</v>
      </c>
      <c r="B271" s="5">
        <v>1</v>
      </c>
    </row>
    <row r="272" spans="1:2" x14ac:dyDescent="0.2">
      <c r="A272" s="4" t="s">
        <v>762</v>
      </c>
      <c r="B272" s="5">
        <v>1</v>
      </c>
    </row>
    <row r="273" spans="1:2" x14ac:dyDescent="0.2">
      <c r="A273" s="4" t="s">
        <v>1264</v>
      </c>
      <c r="B273" s="5">
        <v>1</v>
      </c>
    </row>
    <row r="274" spans="1:2" x14ac:dyDescent="0.2">
      <c r="A274" s="4" t="s">
        <v>655</v>
      </c>
      <c r="B274" s="5">
        <v>1</v>
      </c>
    </row>
    <row r="275" spans="1:2" x14ac:dyDescent="0.2">
      <c r="A275" s="4" t="s">
        <v>1270</v>
      </c>
      <c r="B275" s="5">
        <v>1</v>
      </c>
    </row>
    <row r="276" spans="1:2" x14ac:dyDescent="0.2">
      <c r="A276" s="4" t="s">
        <v>1729</v>
      </c>
      <c r="B276" s="5">
        <v>1</v>
      </c>
    </row>
    <row r="277" spans="1:2" x14ac:dyDescent="0.2">
      <c r="A277" s="4" t="s">
        <v>1267</v>
      </c>
      <c r="B277" s="5">
        <v>1</v>
      </c>
    </row>
    <row r="278" spans="1:2" x14ac:dyDescent="0.2">
      <c r="A278" s="4" t="s">
        <v>1394</v>
      </c>
      <c r="B278" s="5">
        <v>1</v>
      </c>
    </row>
    <row r="279" spans="1:2" x14ac:dyDescent="0.2">
      <c r="A279" s="4" t="s">
        <v>1280</v>
      </c>
      <c r="B279" s="5">
        <v>1</v>
      </c>
    </row>
    <row r="280" spans="1:2" x14ac:dyDescent="0.2">
      <c r="A280" s="4" t="s">
        <v>1927</v>
      </c>
      <c r="B280" s="5">
        <v>1</v>
      </c>
    </row>
    <row r="281" spans="1:2" x14ac:dyDescent="0.2">
      <c r="A281" s="4" t="s">
        <v>1277</v>
      </c>
      <c r="B281" s="5">
        <v>1</v>
      </c>
    </row>
    <row r="282" spans="1:2" x14ac:dyDescent="0.2">
      <c r="A282" s="4" t="s">
        <v>1400</v>
      </c>
      <c r="B282" s="5">
        <v>1</v>
      </c>
    </row>
    <row r="283" spans="1:2" x14ac:dyDescent="0.2">
      <c r="A283" s="4" t="s">
        <v>1912</v>
      </c>
      <c r="B283" s="5">
        <v>1</v>
      </c>
    </row>
    <row r="284" spans="1:2" x14ac:dyDescent="0.2">
      <c r="A284" s="4" t="s">
        <v>904</v>
      </c>
      <c r="B284" s="5">
        <v>1</v>
      </c>
    </row>
    <row r="285" spans="1:2" x14ac:dyDescent="0.2">
      <c r="A285" s="4" t="s">
        <v>2014</v>
      </c>
      <c r="B285" s="5">
        <v>1</v>
      </c>
    </row>
    <row r="286" spans="1:2" x14ac:dyDescent="0.2">
      <c r="A286" s="4" t="s">
        <v>907</v>
      </c>
      <c r="B286" s="5">
        <v>1</v>
      </c>
    </row>
    <row r="287" spans="1:2" x14ac:dyDescent="0.2">
      <c r="A287" s="4" t="s">
        <v>1909</v>
      </c>
      <c r="B287" s="5">
        <v>1</v>
      </c>
    </row>
    <row r="288" spans="1:2" x14ac:dyDescent="0.2">
      <c r="A288" s="4" t="s">
        <v>1996</v>
      </c>
      <c r="B288" s="5">
        <v>1</v>
      </c>
    </row>
    <row r="289" spans="1:2" x14ac:dyDescent="0.2">
      <c r="A289" s="4" t="s">
        <v>2011</v>
      </c>
      <c r="B289" s="5">
        <v>1</v>
      </c>
    </row>
    <row r="290" spans="1:2" x14ac:dyDescent="0.2">
      <c r="A290" s="4" t="s">
        <v>740</v>
      </c>
      <c r="B290" s="5">
        <v>1</v>
      </c>
    </row>
    <row r="291" spans="1:2" x14ac:dyDescent="0.2">
      <c r="A291" s="4" t="s">
        <v>1590</v>
      </c>
      <c r="B291" s="5">
        <v>1</v>
      </c>
    </row>
    <row r="292" spans="1:2" x14ac:dyDescent="0.2">
      <c r="A292" s="4" t="s">
        <v>752</v>
      </c>
      <c r="B292" s="5">
        <v>1</v>
      </c>
    </row>
    <row r="293" spans="1:2" x14ac:dyDescent="0.2">
      <c r="A293" s="4" t="s">
        <v>722</v>
      </c>
      <c r="B293" s="5">
        <v>1</v>
      </c>
    </row>
    <row r="294" spans="1:2" x14ac:dyDescent="0.2">
      <c r="A294" s="4" t="s">
        <v>1587</v>
      </c>
      <c r="B294" s="5">
        <v>1</v>
      </c>
    </row>
    <row r="295" spans="1:2" x14ac:dyDescent="0.2">
      <c r="A295" s="4" t="s">
        <v>743</v>
      </c>
      <c r="B295" s="5">
        <v>1</v>
      </c>
    </row>
    <row r="296" spans="1:2" x14ac:dyDescent="0.2">
      <c r="A296" s="4" t="s">
        <v>1924</v>
      </c>
      <c r="B296" s="5">
        <v>1</v>
      </c>
    </row>
    <row r="297" spans="1:2" x14ac:dyDescent="0.2">
      <c r="A297" s="4" t="s">
        <v>749</v>
      </c>
      <c r="B297" s="5">
        <v>1</v>
      </c>
    </row>
    <row r="298" spans="1:2" x14ac:dyDescent="0.2">
      <c r="A298" s="4" t="s">
        <v>2008</v>
      </c>
      <c r="B298" s="5">
        <v>1</v>
      </c>
    </row>
    <row r="299" spans="1:2" x14ac:dyDescent="0.2">
      <c r="A299" s="4" t="s">
        <v>716</v>
      </c>
      <c r="B299" s="5">
        <v>1</v>
      </c>
    </row>
    <row r="300" spans="1:2" x14ac:dyDescent="0.2">
      <c r="A300" s="4" t="s">
        <v>1691</v>
      </c>
      <c r="B300" s="5">
        <v>1</v>
      </c>
    </row>
    <row r="301" spans="1:2" x14ac:dyDescent="0.2">
      <c r="A301" s="4" t="s">
        <v>725</v>
      </c>
      <c r="B301" s="5">
        <v>1</v>
      </c>
    </row>
    <row r="302" spans="1:2" x14ac:dyDescent="0.2">
      <c r="A302" s="4" t="s">
        <v>1903</v>
      </c>
      <c r="B302" s="5">
        <v>1</v>
      </c>
    </row>
    <row r="303" spans="1:2" x14ac:dyDescent="0.2">
      <c r="A303" s="4" t="s">
        <v>734</v>
      </c>
      <c r="B303" s="5">
        <v>1</v>
      </c>
    </row>
    <row r="304" spans="1:2" x14ac:dyDescent="0.2">
      <c r="A304" s="4" t="s">
        <v>1918</v>
      </c>
      <c r="B304" s="5">
        <v>1</v>
      </c>
    </row>
    <row r="305" spans="1:2" x14ac:dyDescent="0.2">
      <c r="A305" s="4" t="s">
        <v>765</v>
      </c>
      <c r="B305" s="5">
        <v>1</v>
      </c>
    </row>
    <row r="306" spans="1:2" x14ac:dyDescent="0.2">
      <c r="A306" s="4" t="s">
        <v>2002</v>
      </c>
      <c r="B306" s="5">
        <v>1</v>
      </c>
    </row>
    <row r="307" spans="1:2" x14ac:dyDescent="0.2">
      <c r="A307" s="4" t="s">
        <v>1379</v>
      </c>
      <c r="B307" s="5">
        <v>1</v>
      </c>
    </row>
    <row r="308" spans="1:2" x14ac:dyDescent="0.2">
      <c r="A308" s="4" t="s">
        <v>1622</v>
      </c>
      <c r="B308" s="5">
        <v>1</v>
      </c>
    </row>
    <row r="309" spans="1:2" x14ac:dyDescent="0.2">
      <c r="A309" s="4" t="s">
        <v>658</v>
      </c>
      <c r="B309" s="5">
        <v>1</v>
      </c>
    </row>
    <row r="310" spans="1:2" x14ac:dyDescent="0.2">
      <c r="A310" s="4" t="s">
        <v>1242</v>
      </c>
      <c r="B310" s="5">
        <v>1</v>
      </c>
    </row>
    <row r="311" spans="1:2" x14ac:dyDescent="0.2">
      <c r="A311" s="4" t="s">
        <v>1584</v>
      </c>
      <c r="B311" s="5">
        <v>1</v>
      </c>
    </row>
    <row r="312" spans="1:2" x14ac:dyDescent="0.2">
      <c r="A312" s="4" t="s">
        <v>1652</v>
      </c>
      <c r="B312" s="5">
        <v>1</v>
      </c>
    </row>
    <row r="313" spans="1:2" x14ac:dyDescent="0.2">
      <c r="A313" s="4" t="s">
        <v>1578</v>
      </c>
      <c r="B313" s="5">
        <v>1</v>
      </c>
    </row>
    <row r="314" spans="1:2" x14ac:dyDescent="0.2">
      <c r="A314" s="4" t="s">
        <v>1726</v>
      </c>
      <c r="B314" s="5">
        <v>1</v>
      </c>
    </row>
    <row r="315" spans="1:2" x14ac:dyDescent="0.2">
      <c r="A315" s="4" t="s">
        <v>1581</v>
      </c>
      <c r="B315" s="5">
        <v>1</v>
      </c>
    </row>
    <row r="316" spans="1:2" x14ac:dyDescent="0.2">
      <c r="A316" s="4" t="s">
        <v>911</v>
      </c>
      <c r="B316" s="5">
        <v>1</v>
      </c>
    </row>
    <row r="317" spans="1:2" x14ac:dyDescent="0.2">
      <c r="A317" s="4" t="s">
        <v>914</v>
      </c>
      <c r="B317" s="5">
        <v>1</v>
      </c>
    </row>
    <row r="318" spans="1:2" x14ac:dyDescent="0.2">
      <c r="A318" s="4" t="s">
        <v>1744</v>
      </c>
      <c r="B318" s="5">
        <v>1</v>
      </c>
    </row>
    <row r="319" spans="1:2" x14ac:dyDescent="0.2">
      <c r="A319" s="4" t="s">
        <v>643</v>
      </c>
      <c r="B319" s="5">
        <v>1</v>
      </c>
    </row>
    <row r="320" spans="1:2" x14ac:dyDescent="0.2">
      <c r="A320" s="4" t="s">
        <v>920</v>
      </c>
      <c r="B320" s="5">
        <v>1</v>
      </c>
    </row>
    <row r="321" spans="1:2" x14ac:dyDescent="0.2">
      <c r="A321" s="4" t="s">
        <v>1896</v>
      </c>
      <c r="B321" s="5">
        <v>1</v>
      </c>
    </row>
    <row r="322" spans="1:2" x14ac:dyDescent="0.2">
      <c r="A322" s="4" t="s">
        <v>477</v>
      </c>
      <c r="B322" s="5">
        <v>1</v>
      </c>
    </row>
    <row r="323" spans="1:2" x14ac:dyDescent="0.2">
      <c r="A323" s="4" t="s">
        <v>1732</v>
      </c>
      <c r="B323" s="5">
        <v>1</v>
      </c>
    </row>
    <row r="324" spans="1:2" x14ac:dyDescent="0.2">
      <c r="A324" s="4" t="s">
        <v>1398</v>
      </c>
      <c r="B324" s="5">
        <v>1</v>
      </c>
    </row>
    <row r="325" spans="1:2" x14ac:dyDescent="0.2">
      <c r="A325" s="4" t="s">
        <v>909</v>
      </c>
      <c r="B325" s="5">
        <v>1</v>
      </c>
    </row>
    <row r="326" spans="1:2" x14ac:dyDescent="0.2">
      <c r="A326" s="4" t="s">
        <v>474</v>
      </c>
      <c r="B326" s="5">
        <v>1</v>
      </c>
    </row>
    <row r="327" spans="1:2" x14ac:dyDescent="0.2">
      <c r="A327" s="4" t="s">
        <v>771</v>
      </c>
      <c r="B327" s="5">
        <v>1</v>
      </c>
    </row>
    <row r="328" spans="1:2" x14ac:dyDescent="0.2">
      <c r="A328" s="4" t="s">
        <v>1249</v>
      </c>
      <c r="B328" s="5">
        <v>1</v>
      </c>
    </row>
    <row r="329" spans="1:2" x14ac:dyDescent="0.2">
      <c r="A329" s="4" t="s">
        <v>755</v>
      </c>
      <c r="B329" s="5">
        <v>1</v>
      </c>
    </row>
    <row r="330" spans="1:2" x14ac:dyDescent="0.2">
      <c r="A330" s="4" t="s">
        <v>1893</v>
      </c>
      <c r="B330" s="5">
        <v>1</v>
      </c>
    </row>
    <row r="331" spans="1:2" x14ac:dyDescent="0.2">
      <c r="A331" s="4" t="s">
        <v>713</v>
      </c>
      <c r="B331" s="5">
        <v>1</v>
      </c>
    </row>
    <row r="332" spans="1:2" x14ac:dyDescent="0.2">
      <c r="A332" s="4" t="s">
        <v>1402</v>
      </c>
      <c r="B332" s="5">
        <v>1</v>
      </c>
    </row>
    <row r="333" spans="1:2" x14ac:dyDescent="0.2">
      <c r="A333" s="4" t="s">
        <v>758</v>
      </c>
      <c r="B333" s="5">
        <v>1</v>
      </c>
    </row>
    <row r="334" spans="1:2" x14ac:dyDescent="0.2">
      <c r="A334" s="4" t="s">
        <v>1434</v>
      </c>
      <c r="B334" s="5">
        <v>1</v>
      </c>
    </row>
    <row r="335" spans="1:2" x14ac:dyDescent="0.2">
      <c r="A335" s="4" t="s">
        <v>746</v>
      </c>
      <c r="B335" s="5">
        <v>1</v>
      </c>
    </row>
    <row r="336" spans="1:2" x14ac:dyDescent="0.2">
      <c r="A336" s="4" t="s">
        <v>1235</v>
      </c>
      <c r="B336" s="5">
        <v>1</v>
      </c>
    </row>
    <row r="337" spans="1:2" x14ac:dyDescent="0.2">
      <c r="A337" s="4" t="s">
        <v>2017</v>
      </c>
      <c r="B337" s="5">
        <v>1</v>
      </c>
    </row>
    <row r="338" spans="1:2" x14ac:dyDescent="0.2">
      <c r="A338" s="4" t="s">
        <v>1715</v>
      </c>
      <c r="B338" s="5">
        <v>1</v>
      </c>
    </row>
    <row r="339" spans="1:2" x14ac:dyDescent="0.2">
      <c r="A339" s="4" t="s">
        <v>737</v>
      </c>
      <c r="B339" s="5">
        <v>1</v>
      </c>
    </row>
    <row r="340" spans="1:2" x14ac:dyDescent="0.2">
      <c r="A340" s="4" t="s">
        <v>664</v>
      </c>
      <c r="B340" s="5">
        <v>1</v>
      </c>
    </row>
    <row r="341" spans="1:2" x14ac:dyDescent="0.2">
      <c r="A341" s="4" t="s">
        <v>707</v>
      </c>
      <c r="B341" s="5">
        <v>1</v>
      </c>
    </row>
    <row r="342" spans="1:2" x14ac:dyDescent="0.2">
      <c r="A342" s="4" t="s">
        <v>330</v>
      </c>
      <c r="B342" s="5">
        <v>1</v>
      </c>
    </row>
    <row r="343" spans="1:2" x14ac:dyDescent="0.2">
      <c r="A343" s="4" t="s">
        <v>646</v>
      </c>
      <c r="B343" s="5">
        <v>1</v>
      </c>
    </row>
    <row r="344" spans="1:2" x14ac:dyDescent="0.2">
      <c r="A344" s="4" t="s">
        <v>336</v>
      </c>
      <c r="B344" s="5">
        <v>1</v>
      </c>
    </row>
    <row r="345" spans="1:2" x14ac:dyDescent="0.2">
      <c r="A345" s="4" t="s">
        <v>1722</v>
      </c>
      <c r="B345" s="5">
        <v>1</v>
      </c>
    </row>
    <row r="346" spans="1:2" x14ac:dyDescent="0.2">
      <c r="A346" s="4" t="s">
        <v>661</v>
      </c>
      <c r="B346" s="5">
        <v>1</v>
      </c>
    </row>
    <row r="347" spans="1:2" x14ac:dyDescent="0.2">
      <c r="A347" s="4" t="s">
        <v>1724</v>
      </c>
      <c r="B347" s="5">
        <v>1</v>
      </c>
    </row>
    <row r="348" spans="1:2" x14ac:dyDescent="0.2">
      <c r="A348" s="4" t="s">
        <v>917</v>
      </c>
      <c r="B348" s="5">
        <v>1</v>
      </c>
    </row>
    <row r="349" spans="1:2" x14ac:dyDescent="0.2">
      <c r="A349" s="4" t="s">
        <v>649</v>
      </c>
      <c r="B349" s="5">
        <v>1</v>
      </c>
    </row>
    <row r="350" spans="1:2" x14ac:dyDescent="0.2">
      <c r="A350" s="4" t="s">
        <v>719</v>
      </c>
      <c r="B350" s="5">
        <v>1</v>
      </c>
    </row>
    <row r="351" spans="1:2" x14ac:dyDescent="0.2">
      <c r="A351" s="4" t="s">
        <v>1385</v>
      </c>
      <c r="B351" s="5">
        <v>1</v>
      </c>
    </row>
    <row r="352" spans="1:2" x14ac:dyDescent="0.2">
      <c r="A352" s="4" t="s">
        <v>731</v>
      </c>
      <c r="B352" s="5">
        <v>1</v>
      </c>
    </row>
    <row r="353" spans="1:2" x14ac:dyDescent="0.2">
      <c r="A353" s="3" t="s">
        <v>362</v>
      </c>
      <c r="B353" s="5">
        <v>46</v>
      </c>
    </row>
    <row r="354" spans="1:2" x14ac:dyDescent="0.2">
      <c r="A354" s="4" t="s">
        <v>1343</v>
      </c>
      <c r="B354" s="5">
        <v>3</v>
      </c>
    </row>
    <row r="355" spans="1:2" x14ac:dyDescent="0.2">
      <c r="A355" s="4" t="s">
        <v>368</v>
      </c>
      <c r="B355" s="5">
        <v>2</v>
      </c>
    </row>
    <row r="356" spans="1:2" x14ac:dyDescent="0.2">
      <c r="A356" s="4" t="s">
        <v>374</v>
      </c>
      <c r="B356" s="5">
        <v>2</v>
      </c>
    </row>
    <row r="357" spans="1:2" x14ac:dyDescent="0.2">
      <c r="A357" s="4" t="s">
        <v>360</v>
      </c>
      <c r="B357" s="5">
        <v>2</v>
      </c>
    </row>
    <row r="358" spans="1:2" x14ac:dyDescent="0.2">
      <c r="A358" s="4" t="s">
        <v>700</v>
      </c>
      <c r="B358" s="5">
        <v>1</v>
      </c>
    </row>
    <row r="359" spans="1:2" x14ac:dyDescent="0.2">
      <c r="A359" s="4" t="s">
        <v>1957</v>
      </c>
      <c r="B359" s="5">
        <v>1</v>
      </c>
    </row>
    <row r="360" spans="1:2" x14ac:dyDescent="0.2">
      <c r="A360" s="4" t="s">
        <v>2020</v>
      </c>
      <c r="B360" s="5">
        <v>1</v>
      </c>
    </row>
    <row r="361" spans="1:2" x14ac:dyDescent="0.2">
      <c r="A361" s="4" t="s">
        <v>676</v>
      </c>
      <c r="B361" s="5">
        <v>1</v>
      </c>
    </row>
    <row r="362" spans="1:2" x14ac:dyDescent="0.2">
      <c r="A362" s="4" t="s">
        <v>1930</v>
      </c>
      <c r="B362" s="5">
        <v>1</v>
      </c>
    </row>
    <row r="363" spans="1:2" x14ac:dyDescent="0.2">
      <c r="A363" s="4" t="s">
        <v>673</v>
      </c>
      <c r="B363" s="5">
        <v>1</v>
      </c>
    </row>
    <row r="364" spans="1:2" x14ac:dyDescent="0.2">
      <c r="A364" s="4" t="s">
        <v>1596</v>
      </c>
      <c r="B364" s="5">
        <v>1</v>
      </c>
    </row>
    <row r="365" spans="1:2" x14ac:dyDescent="0.2">
      <c r="A365" s="4" t="s">
        <v>1616</v>
      </c>
      <c r="B365" s="5">
        <v>1</v>
      </c>
    </row>
    <row r="366" spans="1:2" x14ac:dyDescent="0.2">
      <c r="A366" s="4" t="s">
        <v>1945</v>
      </c>
      <c r="B366" s="5">
        <v>1</v>
      </c>
    </row>
    <row r="367" spans="1:2" x14ac:dyDescent="0.2">
      <c r="A367" s="4" t="s">
        <v>1613</v>
      </c>
      <c r="B367" s="5">
        <v>1</v>
      </c>
    </row>
    <row r="368" spans="1:2" x14ac:dyDescent="0.2">
      <c r="A368" s="4" t="s">
        <v>694</v>
      </c>
      <c r="B368" s="5">
        <v>1</v>
      </c>
    </row>
    <row r="369" spans="1:2" x14ac:dyDescent="0.2">
      <c r="A369" s="4" t="s">
        <v>2026</v>
      </c>
      <c r="B369" s="5">
        <v>1</v>
      </c>
    </row>
    <row r="370" spans="1:2" x14ac:dyDescent="0.2">
      <c r="A370" s="4" t="s">
        <v>685</v>
      </c>
      <c r="B370" s="5">
        <v>1</v>
      </c>
    </row>
    <row r="371" spans="1:2" x14ac:dyDescent="0.2">
      <c r="A371" s="4" t="s">
        <v>1290</v>
      </c>
      <c r="B371" s="5">
        <v>1</v>
      </c>
    </row>
    <row r="372" spans="1:2" x14ac:dyDescent="0.2">
      <c r="A372" s="4" t="s">
        <v>679</v>
      </c>
      <c r="B372" s="5">
        <v>1</v>
      </c>
    </row>
    <row r="373" spans="1:2" x14ac:dyDescent="0.2">
      <c r="A373" s="4" t="s">
        <v>2023</v>
      </c>
      <c r="B373" s="5">
        <v>1</v>
      </c>
    </row>
    <row r="374" spans="1:2" x14ac:dyDescent="0.2">
      <c r="A374" s="4" t="s">
        <v>1951</v>
      </c>
      <c r="B374" s="5">
        <v>1</v>
      </c>
    </row>
    <row r="375" spans="1:2" x14ac:dyDescent="0.2">
      <c r="A375" s="4" t="s">
        <v>1287</v>
      </c>
      <c r="B375" s="5">
        <v>1</v>
      </c>
    </row>
    <row r="376" spans="1:2" x14ac:dyDescent="0.2">
      <c r="A376" s="4" t="s">
        <v>1948</v>
      </c>
      <c r="B376" s="5">
        <v>1</v>
      </c>
    </row>
    <row r="377" spans="1:2" x14ac:dyDescent="0.2">
      <c r="A377" s="4" t="s">
        <v>1954</v>
      </c>
      <c r="B377" s="5">
        <v>1</v>
      </c>
    </row>
    <row r="378" spans="1:2" x14ac:dyDescent="0.2">
      <c r="A378" s="4" t="s">
        <v>1960</v>
      </c>
      <c r="B378" s="5">
        <v>1</v>
      </c>
    </row>
    <row r="379" spans="1:2" x14ac:dyDescent="0.2">
      <c r="A379" s="4" t="s">
        <v>1942</v>
      </c>
      <c r="B379" s="5">
        <v>1</v>
      </c>
    </row>
    <row r="380" spans="1:2" x14ac:dyDescent="0.2">
      <c r="A380" s="4" t="s">
        <v>697</v>
      </c>
      <c r="B380" s="5">
        <v>1</v>
      </c>
    </row>
    <row r="381" spans="1:2" x14ac:dyDescent="0.2">
      <c r="A381" s="4" t="s">
        <v>1936</v>
      </c>
      <c r="B381" s="5">
        <v>1</v>
      </c>
    </row>
    <row r="382" spans="1:2" x14ac:dyDescent="0.2">
      <c r="A382" s="4" t="s">
        <v>1939</v>
      </c>
      <c r="B382" s="5">
        <v>1</v>
      </c>
    </row>
    <row r="383" spans="1:2" x14ac:dyDescent="0.2">
      <c r="A383" s="4" t="s">
        <v>1750</v>
      </c>
      <c r="B383" s="5">
        <v>1</v>
      </c>
    </row>
    <row r="384" spans="1:2" x14ac:dyDescent="0.2">
      <c r="A384" s="4" t="s">
        <v>1933</v>
      </c>
      <c r="B384" s="5">
        <v>1</v>
      </c>
    </row>
    <row r="385" spans="1:2" x14ac:dyDescent="0.2">
      <c r="A385" s="4" t="s">
        <v>1611</v>
      </c>
      <c r="B385" s="5">
        <v>1</v>
      </c>
    </row>
    <row r="386" spans="1:2" x14ac:dyDescent="0.2">
      <c r="A386" s="4" t="s">
        <v>691</v>
      </c>
      <c r="B386" s="5">
        <v>1</v>
      </c>
    </row>
    <row r="387" spans="1:2" x14ac:dyDescent="0.2">
      <c r="A387" s="4" t="s">
        <v>1608</v>
      </c>
      <c r="B387" s="5">
        <v>1</v>
      </c>
    </row>
    <row r="388" spans="1:2" x14ac:dyDescent="0.2">
      <c r="A388" s="4" t="s">
        <v>688</v>
      </c>
      <c r="B388" s="5">
        <v>1</v>
      </c>
    </row>
    <row r="389" spans="1:2" x14ac:dyDescent="0.2">
      <c r="A389" s="4" t="s">
        <v>923</v>
      </c>
      <c r="B389" s="5">
        <v>1</v>
      </c>
    </row>
    <row r="390" spans="1:2" x14ac:dyDescent="0.2">
      <c r="A390" s="4" t="s">
        <v>682</v>
      </c>
      <c r="B390" s="5">
        <v>1</v>
      </c>
    </row>
    <row r="391" spans="1:2" x14ac:dyDescent="0.2">
      <c r="A391" s="4" t="s">
        <v>1605</v>
      </c>
      <c r="B391" s="5">
        <v>1</v>
      </c>
    </row>
    <row r="392" spans="1:2" x14ac:dyDescent="0.2">
      <c r="A392" s="4" t="s">
        <v>1593</v>
      </c>
      <c r="B392" s="5">
        <v>1</v>
      </c>
    </row>
    <row r="393" spans="1:2" x14ac:dyDescent="0.2">
      <c r="A393" s="4" t="s">
        <v>1602</v>
      </c>
      <c r="B393" s="5">
        <v>1</v>
      </c>
    </row>
    <row r="394" spans="1:2" x14ac:dyDescent="0.2">
      <c r="A394" s="4" t="s">
        <v>1599</v>
      </c>
      <c r="B394" s="5">
        <v>1</v>
      </c>
    </row>
    <row r="395" spans="1:2" x14ac:dyDescent="0.2">
      <c r="A395" s="3" t="s">
        <v>1807</v>
      </c>
      <c r="B395" s="5">
        <v>10</v>
      </c>
    </row>
    <row r="396" spans="1:2" x14ac:dyDescent="0.2">
      <c r="A396" s="4" t="s">
        <v>1805</v>
      </c>
      <c r="B396" s="5">
        <v>5</v>
      </c>
    </row>
    <row r="397" spans="1:2" x14ac:dyDescent="0.2">
      <c r="A397" s="4" t="s">
        <v>1813</v>
      </c>
      <c r="B397" s="5">
        <v>5</v>
      </c>
    </row>
    <row r="398" spans="1:2" x14ac:dyDescent="0.2">
      <c r="A398" s="3" t="s">
        <v>294</v>
      </c>
      <c r="B398" s="5">
        <v>66</v>
      </c>
    </row>
    <row r="399" spans="1:2" x14ac:dyDescent="0.2">
      <c r="A399" s="4" t="s">
        <v>292</v>
      </c>
      <c r="B399" s="5">
        <v>11</v>
      </c>
    </row>
    <row r="400" spans="1:2" x14ac:dyDescent="0.2">
      <c r="A400" s="4" t="s">
        <v>300</v>
      </c>
      <c r="B400" s="5">
        <v>10</v>
      </c>
    </row>
    <row r="401" spans="1:2" x14ac:dyDescent="0.2">
      <c r="A401" s="4" t="s">
        <v>1793</v>
      </c>
      <c r="B401" s="5">
        <v>5</v>
      </c>
    </row>
    <row r="402" spans="1:2" x14ac:dyDescent="0.2">
      <c r="A402" s="4" t="s">
        <v>1790</v>
      </c>
      <c r="B402" s="5">
        <v>5</v>
      </c>
    </row>
    <row r="403" spans="1:2" x14ac:dyDescent="0.2">
      <c r="A403" s="4" t="s">
        <v>309</v>
      </c>
      <c r="B403" s="5">
        <v>4</v>
      </c>
    </row>
    <row r="404" spans="1:2" x14ac:dyDescent="0.2">
      <c r="A404" s="4" t="s">
        <v>1799</v>
      </c>
      <c r="B404" s="5">
        <v>3</v>
      </c>
    </row>
    <row r="405" spans="1:2" x14ac:dyDescent="0.2">
      <c r="A405" s="4" t="s">
        <v>1796</v>
      </c>
      <c r="B405" s="5">
        <v>2</v>
      </c>
    </row>
    <row r="406" spans="1:2" x14ac:dyDescent="0.2">
      <c r="A406" s="4" t="s">
        <v>1817</v>
      </c>
      <c r="B406" s="5">
        <v>2</v>
      </c>
    </row>
    <row r="407" spans="1:2" x14ac:dyDescent="0.2">
      <c r="A407" s="4" t="s">
        <v>1802</v>
      </c>
      <c r="B407" s="5">
        <v>2</v>
      </c>
    </row>
    <row r="408" spans="1:2" x14ac:dyDescent="0.2">
      <c r="A408" s="4" t="s">
        <v>999</v>
      </c>
      <c r="B408" s="5">
        <v>2</v>
      </c>
    </row>
    <row r="409" spans="1:2" x14ac:dyDescent="0.2">
      <c r="A409" s="4" t="s">
        <v>987</v>
      </c>
      <c r="B409" s="5">
        <v>1</v>
      </c>
    </row>
    <row r="410" spans="1:2" x14ac:dyDescent="0.2">
      <c r="A410" s="4" t="s">
        <v>1810</v>
      </c>
      <c r="B410" s="5">
        <v>1</v>
      </c>
    </row>
    <row r="411" spans="1:2" x14ac:dyDescent="0.2">
      <c r="A411" s="4" t="s">
        <v>1251</v>
      </c>
      <c r="B411" s="5">
        <v>1</v>
      </c>
    </row>
    <row r="412" spans="1:2" x14ac:dyDescent="0.2">
      <c r="A412" s="4" t="s">
        <v>1260</v>
      </c>
      <c r="B412" s="5">
        <v>1</v>
      </c>
    </row>
    <row r="413" spans="1:2" x14ac:dyDescent="0.2">
      <c r="A413" s="4" t="s">
        <v>1008</v>
      </c>
      <c r="B413" s="5">
        <v>1</v>
      </c>
    </row>
    <row r="414" spans="1:2" x14ac:dyDescent="0.2">
      <c r="A414" s="4" t="s">
        <v>993</v>
      </c>
      <c r="B414" s="5">
        <v>1</v>
      </c>
    </row>
    <row r="415" spans="1:2" x14ac:dyDescent="0.2">
      <c r="A415" s="4" t="s">
        <v>1254</v>
      </c>
      <c r="B415" s="5">
        <v>1</v>
      </c>
    </row>
    <row r="416" spans="1:2" x14ac:dyDescent="0.2">
      <c r="A416" s="4" t="s">
        <v>1252</v>
      </c>
      <c r="B416" s="5">
        <v>1</v>
      </c>
    </row>
    <row r="417" spans="1:2" x14ac:dyDescent="0.2">
      <c r="A417" s="4" t="s">
        <v>1898</v>
      </c>
      <c r="B417" s="5">
        <v>1</v>
      </c>
    </row>
    <row r="418" spans="1:2" x14ac:dyDescent="0.2">
      <c r="A418" s="4" t="s">
        <v>1900</v>
      </c>
      <c r="B418" s="5">
        <v>1</v>
      </c>
    </row>
    <row r="419" spans="1:2" x14ac:dyDescent="0.2">
      <c r="A419" s="4" t="s">
        <v>1257</v>
      </c>
      <c r="B419" s="5">
        <v>1</v>
      </c>
    </row>
    <row r="420" spans="1:2" x14ac:dyDescent="0.2">
      <c r="A420" s="4" t="s">
        <v>996</v>
      </c>
      <c r="B420" s="5">
        <v>1</v>
      </c>
    </row>
    <row r="421" spans="1:2" x14ac:dyDescent="0.2">
      <c r="A421" s="4" t="s">
        <v>1011</v>
      </c>
      <c r="B421" s="5">
        <v>1</v>
      </c>
    </row>
    <row r="422" spans="1:2" x14ac:dyDescent="0.2">
      <c r="A422" s="4" t="s">
        <v>1014</v>
      </c>
      <c r="B422" s="5">
        <v>1</v>
      </c>
    </row>
    <row r="423" spans="1:2" x14ac:dyDescent="0.2">
      <c r="A423" s="4" t="s">
        <v>984</v>
      </c>
      <c r="B423" s="5">
        <v>1</v>
      </c>
    </row>
    <row r="424" spans="1:2" x14ac:dyDescent="0.2">
      <c r="A424" s="4" t="s">
        <v>1002</v>
      </c>
      <c r="B424" s="5">
        <v>1</v>
      </c>
    </row>
    <row r="425" spans="1:2" x14ac:dyDescent="0.2">
      <c r="A425" s="4" t="s">
        <v>704</v>
      </c>
      <c r="B425" s="5">
        <v>1</v>
      </c>
    </row>
    <row r="426" spans="1:2" x14ac:dyDescent="0.2">
      <c r="A426" s="4" t="s">
        <v>990</v>
      </c>
      <c r="B426" s="5">
        <v>1</v>
      </c>
    </row>
    <row r="427" spans="1:2" x14ac:dyDescent="0.2">
      <c r="A427" s="4" t="s">
        <v>1005</v>
      </c>
      <c r="B427" s="5">
        <v>1</v>
      </c>
    </row>
    <row r="428" spans="1:2" x14ac:dyDescent="0.2">
      <c r="A428" s="4" t="s">
        <v>1668</v>
      </c>
      <c r="B428" s="5">
        <v>1</v>
      </c>
    </row>
    <row r="429" spans="1:2" x14ac:dyDescent="0.2">
      <c r="A429" s="3" t="s">
        <v>1019</v>
      </c>
      <c r="B429" s="5">
        <v>18</v>
      </c>
    </row>
    <row r="430" spans="1:2" x14ac:dyDescent="0.2">
      <c r="A430" s="4" t="s">
        <v>1820</v>
      </c>
      <c r="B430" s="5">
        <v>5</v>
      </c>
    </row>
    <row r="431" spans="1:2" x14ac:dyDescent="0.2">
      <c r="A431" s="4" t="s">
        <v>1826</v>
      </c>
      <c r="B431" s="5">
        <v>5</v>
      </c>
    </row>
    <row r="432" spans="1:2" x14ac:dyDescent="0.2">
      <c r="A432" s="4" t="s">
        <v>1823</v>
      </c>
      <c r="B432" s="5">
        <v>5</v>
      </c>
    </row>
    <row r="433" spans="1:2" x14ac:dyDescent="0.2">
      <c r="A433" s="4" t="s">
        <v>1017</v>
      </c>
      <c r="B433" s="5">
        <v>1</v>
      </c>
    </row>
    <row r="434" spans="1:2" x14ac:dyDescent="0.2">
      <c r="A434" s="4" t="s">
        <v>1025</v>
      </c>
      <c r="B434" s="5">
        <v>1</v>
      </c>
    </row>
    <row r="435" spans="1:2" x14ac:dyDescent="0.2">
      <c r="A435" s="4" t="s">
        <v>1022</v>
      </c>
      <c r="B435" s="5">
        <v>1</v>
      </c>
    </row>
    <row r="436" spans="1:2" x14ac:dyDescent="0.2">
      <c r="A436" s="2" t="s">
        <v>18</v>
      </c>
      <c r="B436" s="5">
        <v>225</v>
      </c>
    </row>
    <row r="437" spans="1:2" x14ac:dyDescent="0.2">
      <c r="A437" s="3" t="s">
        <v>19</v>
      </c>
      <c r="B437" s="5">
        <v>225</v>
      </c>
    </row>
    <row r="438" spans="1:2" x14ac:dyDescent="0.2">
      <c r="A438" s="4" t="s">
        <v>110</v>
      </c>
      <c r="B438" s="5">
        <v>18</v>
      </c>
    </row>
    <row r="439" spans="1:2" x14ac:dyDescent="0.2">
      <c r="A439" s="4" t="s">
        <v>119</v>
      </c>
      <c r="B439" s="5">
        <v>16</v>
      </c>
    </row>
    <row r="440" spans="1:2" x14ac:dyDescent="0.2">
      <c r="A440" s="4" t="s">
        <v>128</v>
      </c>
      <c r="B440" s="5">
        <v>14</v>
      </c>
    </row>
    <row r="441" spans="1:2" x14ac:dyDescent="0.2">
      <c r="A441" s="4" t="s">
        <v>113</v>
      </c>
      <c r="B441" s="5">
        <v>13</v>
      </c>
    </row>
    <row r="442" spans="1:2" x14ac:dyDescent="0.2">
      <c r="A442" s="4" t="s">
        <v>808</v>
      </c>
      <c r="B442" s="5">
        <v>12</v>
      </c>
    </row>
    <row r="443" spans="1:2" x14ac:dyDescent="0.2">
      <c r="A443" s="4" t="s">
        <v>116</v>
      </c>
      <c r="B443" s="5">
        <v>11</v>
      </c>
    </row>
    <row r="444" spans="1:2" x14ac:dyDescent="0.2">
      <c r="A444" s="4" t="s">
        <v>15</v>
      </c>
      <c r="B444" s="5">
        <v>8</v>
      </c>
    </row>
    <row r="445" spans="1:2" x14ac:dyDescent="0.2">
      <c r="A445" s="4" t="s">
        <v>106</v>
      </c>
      <c r="B445" s="5">
        <v>6</v>
      </c>
    </row>
    <row r="446" spans="1:2" x14ac:dyDescent="0.2">
      <c r="A446" s="4" t="s">
        <v>109</v>
      </c>
      <c r="B446" s="5">
        <v>5</v>
      </c>
    </row>
    <row r="447" spans="1:2" x14ac:dyDescent="0.2">
      <c r="A447" s="4" t="s">
        <v>381</v>
      </c>
      <c r="B447" s="5">
        <v>5</v>
      </c>
    </row>
    <row r="448" spans="1:2" x14ac:dyDescent="0.2">
      <c r="A448" s="4" t="s">
        <v>134</v>
      </c>
      <c r="B448" s="5">
        <v>5</v>
      </c>
    </row>
    <row r="449" spans="1:2" x14ac:dyDescent="0.2">
      <c r="A449" s="4" t="s">
        <v>702</v>
      </c>
      <c r="B449" s="5">
        <v>5</v>
      </c>
    </row>
    <row r="450" spans="1:2" x14ac:dyDescent="0.2">
      <c r="A450" s="4" t="s">
        <v>131</v>
      </c>
      <c r="B450" s="5">
        <v>5</v>
      </c>
    </row>
    <row r="451" spans="1:2" x14ac:dyDescent="0.2">
      <c r="A451" s="4" t="s">
        <v>21</v>
      </c>
      <c r="B451" s="5">
        <v>3</v>
      </c>
    </row>
    <row r="452" spans="1:2" x14ac:dyDescent="0.2">
      <c r="A452" s="4" t="s">
        <v>384</v>
      </c>
      <c r="B452" s="5">
        <v>3</v>
      </c>
    </row>
    <row r="453" spans="1:2" x14ac:dyDescent="0.2">
      <c r="A453" s="4" t="s">
        <v>931</v>
      </c>
      <c r="B453" s="5">
        <v>3</v>
      </c>
    </row>
    <row r="454" spans="1:2" x14ac:dyDescent="0.2">
      <c r="A454" s="4" t="s">
        <v>933</v>
      </c>
      <c r="B454" s="5">
        <v>2</v>
      </c>
    </row>
    <row r="455" spans="1:2" x14ac:dyDescent="0.2">
      <c r="A455" s="4" t="s">
        <v>925</v>
      </c>
      <c r="B455" s="5">
        <v>2</v>
      </c>
    </row>
    <row r="456" spans="1:2" x14ac:dyDescent="0.2">
      <c r="A456" s="4" t="s">
        <v>105</v>
      </c>
      <c r="B456" s="5">
        <v>2</v>
      </c>
    </row>
    <row r="457" spans="1:2" x14ac:dyDescent="0.2">
      <c r="A457" s="4" t="s">
        <v>380</v>
      </c>
      <c r="B457" s="5">
        <v>2</v>
      </c>
    </row>
    <row r="458" spans="1:2" x14ac:dyDescent="0.2">
      <c r="A458" s="4" t="s">
        <v>125</v>
      </c>
      <c r="B458" s="5">
        <v>2</v>
      </c>
    </row>
    <row r="459" spans="1:2" x14ac:dyDescent="0.2">
      <c r="A459" s="4" t="s">
        <v>483</v>
      </c>
      <c r="B459" s="5">
        <v>2</v>
      </c>
    </row>
    <row r="460" spans="1:2" x14ac:dyDescent="0.2">
      <c r="A460" s="4" t="s">
        <v>2170</v>
      </c>
      <c r="B460" s="5">
        <v>1</v>
      </c>
    </row>
    <row r="461" spans="1:2" x14ac:dyDescent="0.2">
      <c r="A461" s="4" t="s">
        <v>2074</v>
      </c>
      <c r="B461" s="5">
        <v>1</v>
      </c>
    </row>
    <row r="462" spans="1:2" x14ac:dyDescent="0.2">
      <c r="A462" s="4" t="s">
        <v>2152</v>
      </c>
      <c r="B462" s="5">
        <v>1</v>
      </c>
    </row>
    <row r="463" spans="1:2" x14ac:dyDescent="0.2">
      <c r="A463" s="4" t="s">
        <v>2167</v>
      </c>
      <c r="B463" s="5">
        <v>1</v>
      </c>
    </row>
    <row r="464" spans="1:2" x14ac:dyDescent="0.2">
      <c r="A464" s="4" t="s">
        <v>2083</v>
      </c>
      <c r="B464" s="5">
        <v>1</v>
      </c>
    </row>
    <row r="465" spans="1:2" x14ac:dyDescent="0.2">
      <c r="A465" s="4" t="s">
        <v>780</v>
      </c>
      <c r="B465" s="5">
        <v>1</v>
      </c>
    </row>
    <row r="466" spans="1:2" x14ac:dyDescent="0.2">
      <c r="A466" s="4" t="s">
        <v>1068</v>
      </c>
      <c r="B466" s="5">
        <v>1</v>
      </c>
    </row>
    <row r="467" spans="1:2" x14ac:dyDescent="0.2">
      <c r="A467" s="4" t="s">
        <v>387</v>
      </c>
      <c r="B467" s="5">
        <v>1</v>
      </c>
    </row>
    <row r="468" spans="1:2" x14ac:dyDescent="0.2">
      <c r="A468" s="4" t="s">
        <v>122</v>
      </c>
      <c r="B468" s="5">
        <v>1</v>
      </c>
    </row>
    <row r="469" spans="1:2" x14ac:dyDescent="0.2">
      <c r="A469" s="4" t="s">
        <v>112</v>
      </c>
      <c r="B469" s="5">
        <v>1</v>
      </c>
    </row>
    <row r="470" spans="1:2" x14ac:dyDescent="0.2">
      <c r="A470" s="4" t="s">
        <v>2038</v>
      </c>
      <c r="B470" s="5">
        <v>1</v>
      </c>
    </row>
    <row r="471" spans="1:2" x14ac:dyDescent="0.2">
      <c r="A471" s="4" t="s">
        <v>2155</v>
      </c>
      <c r="B471" s="5">
        <v>1</v>
      </c>
    </row>
    <row r="472" spans="1:2" x14ac:dyDescent="0.2">
      <c r="A472" s="4" t="s">
        <v>2159</v>
      </c>
      <c r="B472" s="5">
        <v>1</v>
      </c>
    </row>
    <row r="473" spans="1:2" x14ac:dyDescent="0.2">
      <c r="A473" s="4" t="s">
        <v>2044</v>
      </c>
      <c r="B473" s="5">
        <v>1</v>
      </c>
    </row>
    <row r="474" spans="1:2" x14ac:dyDescent="0.2">
      <c r="A474" s="4" t="s">
        <v>2195</v>
      </c>
      <c r="B474" s="5">
        <v>1</v>
      </c>
    </row>
    <row r="475" spans="1:2" x14ac:dyDescent="0.2">
      <c r="A475" s="4" t="s">
        <v>1313</v>
      </c>
      <c r="B475" s="5">
        <v>1</v>
      </c>
    </row>
    <row r="476" spans="1:2" x14ac:dyDescent="0.2">
      <c r="A476" s="4" t="s">
        <v>118</v>
      </c>
      <c r="B476" s="5">
        <v>1</v>
      </c>
    </row>
    <row r="477" spans="1:2" x14ac:dyDescent="0.2">
      <c r="A477" s="4" t="s">
        <v>2165</v>
      </c>
      <c r="B477" s="5">
        <v>1</v>
      </c>
    </row>
    <row r="478" spans="1:2" x14ac:dyDescent="0.2">
      <c r="A478" s="4" t="s">
        <v>1085</v>
      </c>
      <c r="B478" s="5">
        <v>1</v>
      </c>
    </row>
    <row r="479" spans="1:2" x14ac:dyDescent="0.2">
      <c r="A479" s="4" t="s">
        <v>1080</v>
      </c>
      <c r="B479" s="5">
        <v>1</v>
      </c>
    </row>
    <row r="480" spans="1:2" x14ac:dyDescent="0.2">
      <c r="A480" s="4" t="s">
        <v>2068</v>
      </c>
      <c r="B480" s="5">
        <v>1</v>
      </c>
    </row>
    <row r="481" spans="1:2" x14ac:dyDescent="0.2">
      <c r="A481" s="4" t="s">
        <v>2206</v>
      </c>
      <c r="B481" s="5">
        <v>1</v>
      </c>
    </row>
    <row r="482" spans="1:2" x14ac:dyDescent="0.2">
      <c r="A482" s="4" t="s">
        <v>2080</v>
      </c>
      <c r="B482" s="5">
        <v>1</v>
      </c>
    </row>
    <row r="483" spans="1:2" x14ac:dyDescent="0.2">
      <c r="A483" s="4" t="s">
        <v>2204</v>
      </c>
      <c r="B483" s="5">
        <v>1</v>
      </c>
    </row>
    <row r="484" spans="1:2" x14ac:dyDescent="0.2">
      <c r="A484" s="4" t="s">
        <v>2157</v>
      </c>
      <c r="B484" s="5">
        <v>1</v>
      </c>
    </row>
    <row r="485" spans="1:2" x14ac:dyDescent="0.2">
      <c r="A485" s="4" t="s">
        <v>2201</v>
      </c>
      <c r="B485" s="5">
        <v>1</v>
      </c>
    </row>
    <row r="486" spans="1:2" x14ac:dyDescent="0.2">
      <c r="A486" s="4" t="s">
        <v>2077</v>
      </c>
      <c r="B486" s="5">
        <v>1</v>
      </c>
    </row>
    <row r="487" spans="1:2" x14ac:dyDescent="0.2">
      <c r="A487" s="4" t="s">
        <v>2212</v>
      </c>
      <c r="B487" s="5">
        <v>1</v>
      </c>
    </row>
    <row r="488" spans="1:2" x14ac:dyDescent="0.2">
      <c r="A488" s="4" t="s">
        <v>378</v>
      </c>
      <c r="B488" s="5">
        <v>1</v>
      </c>
    </row>
    <row r="489" spans="1:2" x14ac:dyDescent="0.2">
      <c r="A489" s="4" t="s">
        <v>2209</v>
      </c>
      <c r="B489" s="5">
        <v>1</v>
      </c>
    </row>
    <row r="490" spans="1:2" x14ac:dyDescent="0.2">
      <c r="A490" s="4" t="s">
        <v>2197</v>
      </c>
      <c r="B490" s="5">
        <v>1</v>
      </c>
    </row>
    <row r="491" spans="1:2" x14ac:dyDescent="0.2">
      <c r="A491" s="4" t="s">
        <v>2142</v>
      </c>
      <c r="B491" s="5">
        <v>1</v>
      </c>
    </row>
    <row r="492" spans="1:2" x14ac:dyDescent="0.2">
      <c r="A492" s="4" t="s">
        <v>2198</v>
      </c>
      <c r="B492" s="5">
        <v>1</v>
      </c>
    </row>
    <row r="493" spans="1:2" x14ac:dyDescent="0.2">
      <c r="A493" s="4" t="s">
        <v>2147</v>
      </c>
      <c r="B493" s="5">
        <v>1</v>
      </c>
    </row>
    <row r="494" spans="1:2" x14ac:dyDescent="0.2">
      <c r="A494" s="4" t="s">
        <v>1830</v>
      </c>
      <c r="B494" s="5">
        <v>1</v>
      </c>
    </row>
    <row r="495" spans="1:2" x14ac:dyDescent="0.2">
      <c r="A495" s="4" t="s">
        <v>2149</v>
      </c>
      <c r="B495" s="5">
        <v>1</v>
      </c>
    </row>
    <row r="496" spans="1:2" x14ac:dyDescent="0.2">
      <c r="A496" s="4" t="s">
        <v>2033</v>
      </c>
      <c r="B496" s="5">
        <v>1</v>
      </c>
    </row>
    <row r="497" spans="1:2" x14ac:dyDescent="0.2">
      <c r="A497" s="4" t="s">
        <v>577</v>
      </c>
      <c r="B497" s="5">
        <v>1</v>
      </c>
    </row>
    <row r="498" spans="1:2" x14ac:dyDescent="0.2">
      <c r="A498" s="4" t="s">
        <v>1087</v>
      </c>
      <c r="B498" s="5">
        <v>1</v>
      </c>
    </row>
    <row r="499" spans="1:2" x14ac:dyDescent="0.2">
      <c r="A499" s="4" t="s">
        <v>2041</v>
      </c>
      <c r="B499" s="5">
        <v>1</v>
      </c>
    </row>
    <row r="500" spans="1:2" x14ac:dyDescent="0.2">
      <c r="A500" s="4" t="s">
        <v>2035</v>
      </c>
      <c r="B500" s="5">
        <v>1</v>
      </c>
    </row>
    <row r="501" spans="1:2" x14ac:dyDescent="0.2">
      <c r="A501" s="4" t="s">
        <v>1097</v>
      </c>
      <c r="B501" s="5">
        <v>1</v>
      </c>
    </row>
    <row r="502" spans="1:2" x14ac:dyDescent="0.2">
      <c r="A502" s="4" t="s">
        <v>2050</v>
      </c>
      <c r="B502" s="5">
        <v>1</v>
      </c>
    </row>
    <row r="503" spans="1:2" x14ac:dyDescent="0.2">
      <c r="A503" s="4" t="s">
        <v>2137</v>
      </c>
      <c r="B503" s="5">
        <v>1</v>
      </c>
    </row>
    <row r="504" spans="1:2" x14ac:dyDescent="0.2">
      <c r="A504" s="4" t="s">
        <v>2056</v>
      </c>
      <c r="B504" s="5">
        <v>1</v>
      </c>
    </row>
    <row r="505" spans="1:2" x14ac:dyDescent="0.2">
      <c r="A505" s="4" t="s">
        <v>1753</v>
      </c>
      <c r="B505" s="5">
        <v>1</v>
      </c>
    </row>
    <row r="506" spans="1:2" x14ac:dyDescent="0.2">
      <c r="A506" s="4" t="s">
        <v>2062</v>
      </c>
      <c r="B506" s="5">
        <v>1</v>
      </c>
    </row>
    <row r="507" spans="1:2" x14ac:dyDescent="0.2">
      <c r="A507" s="4" t="s">
        <v>1064</v>
      </c>
      <c r="B507" s="5">
        <v>1</v>
      </c>
    </row>
    <row r="508" spans="1:2" x14ac:dyDescent="0.2">
      <c r="A508" s="4" t="s">
        <v>2145</v>
      </c>
      <c r="B508" s="5">
        <v>1</v>
      </c>
    </row>
    <row r="509" spans="1:2" x14ac:dyDescent="0.2">
      <c r="A509" s="4" t="s">
        <v>2134</v>
      </c>
      <c r="B509" s="5">
        <v>1</v>
      </c>
    </row>
    <row r="510" spans="1:2" x14ac:dyDescent="0.2">
      <c r="A510" s="4" t="s">
        <v>1089</v>
      </c>
      <c r="B510" s="5">
        <v>1</v>
      </c>
    </row>
    <row r="511" spans="1:2" x14ac:dyDescent="0.2">
      <c r="A511" s="4" t="s">
        <v>2047</v>
      </c>
      <c r="B511" s="5">
        <v>1</v>
      </c>
    </row>
    <row r="512" spans="1:2" x14ac:dyDescent="0.2">
      <c r="A512" s="4" t="s">
        <v>1077</v>
      </c>
      <c r="B512" s="5">
        <v>1</v>
      </c>
    </row>
    <row r="513" spans="1:2" x14ac:dyDescent="0.2">
      <c r="A513" s="4" t="s">
        <v>2053</v>
      </c>
      <c r="B513" s="5">
        <v>1</v>
      </c>
    </row>
    <row r="514" spans="1:2" x14ac:dyDescent="0.2">
      <c r="A514" s="4" t="s">
        <v>1092</v>
      </c>
      <c r="B514" s="5">
        <v>1</v>
      </c>
    </row>
    <row r="515" spans="1:2" x14ac:dyDescent="0.2">
      <c r="A515" s="4" t="s">
        <v>2179</v>
      </c>
      <c r="B515" s="5">
        <v>1</v>
      </c>
    </row>
    <row r="516" spans="1:2" x14ac:dyDescent="0.2">
      <c r="A516" s="4" t="s">
        <v>1086</v>
      </c>
      <c r="B516" s="5">
        <v>1</v>
      </c>
    </row>
    <row r="517" spans="1:2" x14ac:dyDescent="0.2">
      <c r="A517" s="4" t="s">
        <v>2188</v>
      </c>
      <c r="B517" s="5">
        <v>1</v>
      </c>
    </row>
    <row r="518" spans="1:2" x14ac:dyDescent="0.2">
      <c r="A518" s="4" t="s">
        <v>2185</v>
      </c>
      <c r="B518" s="5">
        <v>1</v>
      </c>
    </row>
    <row r="519" spans="1:2" x14ac:dyDescent="0.2">
      <c r="A519" s="4" t="s">
        <v>2065</v>
      </c>
      <c r="B519" s="5">
        <v>1</v>
      </c>
    </row>
    <row r="520" spans="1:2" x14ac:dyDescent="0.2">
      <c r="A520" s="4" t="s">
        <v>928</v>
      </c>
      <c r="B520" s="5">
        <v>1</v>
      </c>
    </row>
    <row r="521" spans="1:2" x14ac:dyDescent="0.2">
      <c r="A521" s="4" t="s">
        <v>2071</v>
      </c>
      <c r="B521" s="5">
        <v>1</v>
      </c>
    </row>
    <row r="522" spans="1:2" x14ac:dyDescent="0.2">
      <c r="A522" s="4" t="s">
        <v>2172</v>
      </c>
      <c r="B522" s="5">
        <v>1</v>
      </c>
    </row>
    <row r="523" spans="1:2" x14ac:dyDescent="0.2">
      <c r="A523" s="4" t="s">
        <v>2059</v>
      </c>
      <c r="B523" s="5">
        <v>1</v>
      </c>
    </row>
    <row r="524" spans="1:2" x14ac:dyDescent="0.2">
      <c r="A524" s="4" t="s">
        <v>2177</v>
      </c>
      <c r="B524" s="5">
        <v>1</v>
      </c>
    </row>
    <row r="525" spans="1:2" x14ac:dyDescent="0.2">
      <c r="A525" s="4" t="s">
        <v>2162</v>
      </c>
      <c r="B525" s="5">
        <v>1</v>
      </c>
    </row>
    <row r="526" spans="1:2" x14ac:dyDescent="0.2">
      <c r="A526" s="4" t="s">
        <v>2176</v>
      </c>
      <c r="B526" s="5">
        <v>1</v>
      </c>
    </row>
    <row r="527" spans="1:2" x14ac:dyDescent="0.2">
      <c r="A527" s="4" t="s">
        <v>1074</v>
      </c>
      <c r="B527" s="5">
        <v>1</v>
      </c>
    </row>
    <row r="528" spans="1:2" x14ac:dyDescent="0.2">
      <c r="A528" s="4" t="s">
        <v>2175</v>
      </c>
      <c r="B528" s="5">
        <v>1</v>
      </c>
    </row>
    <row r="529" spans="1:2" x14ac:dyDescent="0.2">
      <c r="A529" s="4" t="s">
        <v>2182</v>
      </c>
      <c r="B529" s="5">
        <v>1</v>
      </c>
    </row>
    <row r="530" spans="1:2" x14ac:dyDescent="0.2">
      <c r="A530" s="4" t="s">
        <v>1095</v>
      </c>
      <c r="B530" s="5">
        <v>1</v>
      </c>
    </row>
    <row r="531" spans="1:2" x14ac:dyDescent="0.2">
      <c r="A531" s="4" t="s">
        <v>2192</v>
      </c>
      <c r="B531" s="5">
        <v>1</v>
      </c>
    </row>
    <row r="532" spans="1:2" x14ac:dyDescent="0.2">
      <c r="A532" s="4" t="s">
        <v>812</v>
      </c>
      <c r="B532" s="5">
        <v>1</v>
      </c>
    </row>
    <row r="533" spans="1:2" x14ac:dyDescent="0.2">
      <c r="A533" s="4" t="s">
        <v>2190</v>
      </c>
      <c r="B533" s="5">
        <v>1</v>
      </c>
    </row>
    <row r="534" spans="1:2" x14ac:dyDescent="0.2">
      <c r="A534" s="4" t="s">
        <v>1083</v>
      </c>
      <c r="B534" s="5">
        <v>1</v>
      </c>
    </row>
    <row r="535" spans="1:2" x14ac:dyDescent="0.2">
      <c r="A535" s="4" t="s">
        <v>1071</v>
      </c>
      <c r="B535" s="5">
        <v>1</v>
      </c>
    </row>
    <row r="536" spans="1:2" x14ac:dyDescent="0.2">
      <c r="A536" s="4" t="s">
        <v>2174</v>
      </c>
      <c r="B536" s="5">
        <v>1</v>
      </c>
    </row>
    <row r="537" spans="1:2" x14ac:dyDescent="0.2">
      <c r="A537" s="4" t="s">
        <v>2193</v>
      </c>
      <c r="B537" s="5">
        <v>1</v>
      </c>
    </row>
    <row r="538" spans="1:2" x14ac:dyDescent="0.2">
      <c r="A538" s="4" t="s">
        <v>1066</v>
      </c>
      <c r="B538" s="5">
        <v>1</v>
      </c>
    </row>
    <row r="539" spans="1:2" x14ac:dyDescent="0.2">
      <c r="A539" s="4" t="s">
        <v>2139</v>
      </c>
      <c r="B539" s="5">
        <v>1</v>
      </c>
    </row>
    <row r="540" spans="1:2" x14ac:dyDescent="0.2">
      <c r="A540" s="4" t="s">
        <v>1832</v>
      </c>
      <c r="B540" s="5">
        <v>1</v>
      </c>
    </row>
    <row r="541" spans="1:2" x14ac:dyDescent="0.2">
      <c r="A541" s="2" t="s">
        <v>57</v>
      </c>
      <c r="B541" s="5">
        <v>197</v>
      </c>
    </row>
    <row r="542" spans="1:2" x14ac:dyDescent="0.2">
      <c r="A542" s="3" t="s">
        <v>232</v>
      </c>
      <c r="B542" s="5">
        <v>138</v>
      </c>
    </row>
    <row r="543" spans="1:2" x14ac:dyDescent="0.2">
      <c r="A543" s="4" t="s">
        <v>624</v>
      </c>
      <c r="B543" s="5">
        <v>7</v>
      </c>
    </row>
    <row r="544" spans="1:2" x14ac:dyDescent="0.2">
      <c r="A544" s="4" t="s">
        <v>315</v>
      </c>
      <c r="B544" s="5">
        <v>7</v>
      </c>
    </row>
    <row r="545" spans="1:2" x14ac:dyDescent="0.2">
      <c r="A545" s="4" t="s">
        <v>870</v>
      </c>
      <c r="B545" s="5">
        <v>4</v>
      </c>
    </row>
    <row r="546" spans="1:2" x14ac:dyDescent="0.2">
      <c r="A546" s="4" t="s">
        <v>879</v>
      </c>
      <c r="B546" s="5">
        <v>3</v>
      </c>
    </row>
    <row r="547" spans="1:2" x14ac:dyDescent="0.2">
      <c r="A547" s="4" t="s">
        <v>891</v>
      </c>
      <c r="B547" s="5">
        <v>3</v>
      </c>
    </row>
    <row r="548" spans="1:2" x14ac:dyDescent="0.2">
      <c r="A548" s="4" t="s">
        <v>321</v>
      </c>
      <c r="B548" s="5">
        <v>3</v>
      </c>
    </row>
    <row r="549" spans="1:2" x14ac:dyDescent="0.2">
      <c r="A549" s="4" t="s">
        <v>248</v>
      </c>
      <c r="B549" s="5">
        <v>3</v>
      </c>
    </row>
    <row r="550" spans="1:2" x14ac:dyDescent="0.2">
      <c r="A550" s="4" t="s">
        <v>460</v>
      </c>
      <c r="B550" s="5">
        <v>3</v>
      </c>
    </row>
    <row r="551" spans="1:2" x14ac:dyDescent="0.2">
      <c r="A551" s="4" t="s">
        <v>872</v>
      </c>
      <c r="B551" s="5">
        <v>3</v>
      </c>
    </row>
    <row r="552" spans="1:2" x14ac:dyDescent="0.2">
      <c r="A552" s="4" t="s">
        <v>239</v>
      </c>
      <c r="B552" s="5">
        <v>3</v>
      </c>
    </row>
    <row r="553" spans="1:2" x14ac:dyDescent="0.2">
      <c r="A553" s="4" t="s">
        <v>312</v>
      </c>
      <c r="B553" s="5">
        <v>3</v>
      </c>
    </row>
    <row r="554" spans="1:2" x14ac:dyDescent="0.2">
      <c r="A554" s="4" t="s">
        <v>875</v>
      </c>
      <c r="B554" s="5">
        <v>3</v>
      </c>
    </row>
    <row r="555" spans="1:2" x14ac:dyDescent="0.2">
      <c r="A555" s="4" t="s">
        <v>440</v>
      </c>
      <c r="B555" s="5">
        <v>2</v>
      </c>
    </row>
    <row r="556" spans="1:2" x14ac:dyDescent="0.2">
      <c r="A556" s="4" t="s">
        <v>327</v>
      </c>
      <c r="B556" s="5">
        <v>2</v>
      </c>
    </row>
    <row r="557" spans="1:2" x14ac:dyDescent="0.2">
      <c r="A557" s="4" t="s">
        <v>880</v>
      </c>
      <c r="B557" s="5">
        <v>2</v>
      </c>
    </row>
    <row r="558" spans="1:2" x14ac:dyDescent="0.2">
      <c r="A558" s="4" t="s">
        <v>253</v>
      </c>
      <c r="B558" s="5">
        <v>2</v>
      </c>
    </row>
    <row r="559" spans="1:2" x14ac:dyDescent="0.2">
      <c r="A559" s="4" t="s">
        <v>290</v>
      </c>
      <c r="B559" s="5">
        <v>2</v>
      </c>
    </row>
    <row r="560" spans="1:2" x14ac:dyDescent="0.2">
      <c r="A560" s="4" t="s">
        <v>1865</v>
      </c>
      <c r="B560" s="5">
        <v>2</v>
      </c>
    </row>
    <row r="561" spans="1:2" x14ac:dyDescent="0.2">
      <c r="A561" s="4" t="s">
        <v>445</v>
      </c>
      <c r="B561" s="5">
        <v>2</v>
      </c>
    </row>
    <row r="562" spans="1:2" x14ac:dyDescent="0.2">
      <c r="A562" s="4" t="s">
        <v>876</v>
      </c>
      <c r="B562" s="5">
        <v>2</v>
      </c>
    </row>
    <row r="563" spans="1:2" x14ac:dyDescent="0.2">
      <c r="A563" s="4" t="s">
        <v>259</v>
      </c>
      <c r="B563" s="5">
        <v>2</v>
      </c>
    </row>
    <row r="564" spans="1:2" x14ac:dyDescent="0.2">
      <c r="A564" s="4" t="s">
        <v>442</v>
      </c>
      <c r="B564" s="5">
        <v>2</v>
      </c>
    </row>
    <row r="565" spans="1:2" x14ac:dyDescent="0.2">
      <c r="A565" s="4" t="s">
        <v>297</v>
      </c>
      <c r="B565" s="5">
        <v>2</v>
      </c>
    </row>
    <row r="566" spans="1:2" x14ac:dyDescent="0.2">
      <c r="A566" s="4" t="s">
        <v>1870</v>
      </c>
      <c r="B566" s="5">
        <v>2</v>
      </c>
    </row>
    <row r="567" spans="1:2" x14ac:dyDescent="0.2">
      <c r="A567" s="4" t="s">
        <v>981</v>
      </c>
      <c r="B567" s="5">
        <v>2</v>
      </c>
    </row>
    <row r="568" spans="1:2" x14ac:dyDescent="0.2">
      <c r="A568" s="4" t="s">
        <v>265</v>
      </c>
      <c r="B568" s="5">
        <v>2</v>
      </c>
    </row>
    <row r="569" spans="1:2" x14ac:dyDescent="0.2">
      <c r="A569" s="4" t="s">
        <v>1867</v>
      </c>
      <c r="B569" s="5">
        <v>2</v>
      </c>
    </row>
    <row r="570" spans="1:2" x14ac:dyDescent="0.2">
      <c r="A570" s="4" t="s">
        <v>280</v>
      </c>
      <c r="B570" s="5">
        <v>2</v>
      </c>
    </row>
    <row r="571" spans="1:2" x14ac:dyDescent="0.2">
      <c r="A571" s="4" t="s">
        <v>1988</v>
      </c>
      <c r="B571" s="5">
        <v>1</v>
      </c>
    </row>
    <row r="572" spans="1:2" x14ac:dyDescent="0.2">
      <c r="A572" s="4" t="s">
        <v>1172</v>
      </c>
      <c r="B572" s="5">
        <v>1</v>
      </c>
    </row>
    <row r="573" spans="1:2" x14ac:dyDescent="0.2">
      <c r="A573" s="4" t="s">
        <v>874</v>
      </c>
      <c r="B573" s="5">
        <v>1</v>
      </c>
    </row>
    <row r="574" spans="1:2" x14ac:dyDescent="0.2">
      <c r="A574" s="4" t="s">
        <v>894</v>
      </c>
      <c r="B574" s="5">
        <v>1</v>
      </c>
    </row>
    <row r="575" spans="1:2" x14ac:dyDescent="0.2">
      <c r="A575" s="4" t="s">
        <v>1163</v>
      </c>
      <c r="B575" s="5">
        <v>1</v>
      </c>
    </row>
    <row r="576" spans="1:2" x14ac:dyDescent="0.2">
      <c r="A576" s="4" t="s">
        <v>1186</v>
      </c>
      <c r="B576" s="5">
        <v>1</v>
      </c>
    </row>
    <row r="577" spans="1:2" x14ac:dyDescent="0.2">
      <c r="A577" s="4" t="s">
        <v>885</v>
      </c>
      <c r="B577" s="5">
        <v>1</v>
      </c>
    </row>
    <row r="578" spans="1:2" x14ac:dyDescent="0.2">
      <c r="A578" s="4" t="s">
        <v>882</v>
      </c>
      <c r="B578" s="5">
        <v>1</v>
      </c>
    </row>
    <row r="579" spans="1:2" x14ac:dyDescent="0.2">
      <c r="A579" s="4" t="s">
        <v>1166</v>
      </c>
      <c r="B579" s="5">
        <v>1</v>
      </c>
    </row>
    <row r="580" spans="1:2" x14ac:dyDescent="0.2">
      <c r="A580" s="4" t="s">
        <v>1190</v>
      </c>
      <c r="B580" s="5">
        <v>1</v>
      </c>
    </row>
    <row r="581" spans="1:2" x14ac:dyDescent="0.2">
      <c r="A581" s="4" t="s">
        <v>1703</v>
      </c>
      <c r="B581" s="5">
        <v>1</v>
      </c>
    </row>
    <row r="582" spans="1:2" x14ac:dyDescent="0.2">
      <c r="A582" s="4" t="s">
        <v>333</v>
      </c>
      <c r="B582" s="5">
        <v>1</v>
      </c>
    </row>
    <row r="583" spans="1:2" x14ac:dyDescent="0.2">
      <c r="A583" s="4" t="s">
        <v>972</v>
      </c>
      <c r="B583" s="5">
        <v>1</v>
      </c>
    </row>
    <row r="584" spans="1:2" x14ac:dyDescent="0.2">
      <c r="A584" s="4" t="s">
        <v>339</v>
      </c>
      <c r="B584" s="5">
        <v>1</v>
      </c>
    </row>
    <row r="585" spans="1:2" x14ac:dyDescent="0.2">
      <c r="A585" s="4" t="s">
        <v>450</v>
      </c>
      <c r="B585" s="5">
        <v>1</v>
      </c>
    </row>
    <row r="586" spans="1:2" x14ac:dyDescent="0.2">
      <c r="A586" s="4" t="s">
        <v>622</v>
      </c>
      <c r="B586" s="5">
        <v>1</v>
      </c>
    </row>
    <row r="587" spans="1:2" x14ac:dyDescent="0.2">
      <c r="A587" s="4" t="s">
        <v>977</v>
      </c>
      <c r="B587" s="5">
        <v>1</v>
      </c>
    </row>
    <row r="588" spans="1:2" x14ac:dyDescent="0.2">
      <c r="A588" s="4" t="s">
        <v>454</v>
      </c>
      <c r="B588" s="5">
        <v>1</v>
      </c>
    </row>
    <row r="589" spans="1:2" x14ac:dyDescent="0.2">
      <c r="A589" s="4" t="s">
        <v>884</v>
      </c>
      <c r="B589" s="5">
        <v>1</v>
      </c>
    </row>
    <row r="590" spans="1:2" x14ac:dyDescent="0.2">
      <c r="A590" s="4" t="s">
        <v>1196</v>
      </c>
      <c r="B590" s="5">
        <v>1</v>
      </c>
    </row>
    <row r="591" spans="1:2" x14ac:dyDescent="0.2">
      <c r="A591" s="4" t="s">
        <v>1857</v>
      </c>
      <c r="B591" s="5">
        <v>1</v>
      </c>
    </row>
    <row r="592" spans="1:2" x14ac:dyDescent="0.2">
      <c r="A592" s="4" t="s">
        <v>620</v>
      </c>
      <c r="B592" s="5">
        <v>1</v>
      </c>
    </row>
    <row r="593" spans="1:2" x14ac:dyDescent="0.2">
      <c r="A593" s="4" t="s">
        <v>1701</v>
      </c>
      <c r="B593" s="5">
        <v>1</v>
      </c>
    </row>
    <row r="594" spans="1:2" x14ac:dyDescent="0.2">
      <c r="A594" s="4" t="s">
        <v>979</v>
      </c>
      <c r="B594" s="5">
        <v>1</v>
      </c>
    </row>
    <row r="595" spans="1:2" x14ac:dyDescent="0.2">
      <c r="A595" s="4" t="s">
        <v>974</v>
      </c>
      <c r="B595" s="5">
        <v>1</v>
      </c>
    </row>
    <row r="596" spans="1:2" x14ac:dyDescent="0.2">
      <c r="A596" s="4" t="s">
        <v>1176</v>
      </c>
      <c r="B596" s="5">
        <v>1</v>
      </c>
    </row>
    <row r="597" spans="1:2" x14ac:dyDescent="0.2">
      <c r="A597" s="4" t="s">
        <v>627</v>
      </c>
      <c r="B597" s="5">
        <v>1</v>
      </c>
    </row>
    <row r="598" spans="1:2" x14ac:dyDescent="0.2">
      <c r="A598" s="4" t="s">
        <v>230</v>
      </c>
      <c r="B598" s="5">
        <v>1</v>
      </c>
    </row>
    <row r="599" spans="1:2" x14ac:dyDescent="0.2">
      <c r="A599" s="4" t="s">
        <v>1028</v>
      </c>
      <c r="B599" s="5">
        <v>1</v>
      </c>
    </row>
    <row r="600" spans="1:2" x14ac:dyDescent="0.2">
      <c r="A600" s="4" t="s">
        <v>1860</v>
      </c>
      <c r="B600" s="5">
        <v>1</v>
      </c>
    </row>
    <row r="601" spans="1:2" x14ac:dyDescent="0.2">
      <c r="A601" s="4" t="s">
        <v>1211</v>
      </c>
      <c r="B601" s="5">
        <v>1</v>
      </c>
    </row>
    <row r="602" spans="1:2" x14ac:dyDescent="0.2">
      <c r="A602" s="4" t="s">
        <v>453</v>
      </c>
      <c r="B602" s="5">
        <v>1</v>
      </c>
    </row>
    <row r="603" spans="1:2" x14ac:dyDescent="0.2">
      <c r="A603" s="4" t="s">
        <v>273</v>
      </c>
      <c r="B603" s="5">
        <v>1</v>
      </c>
    </row>
    <row r="604" spans="1:2" x14ac:dyDescent="0.2">
      <c r="A604" s="4" t="s">
        <v>1863</v>
      </c>
      <c r="B604" s="5">
        <v>1</v>
      </c>
    </row>
    <row r="605" spans="1:2" x14ac:dyDescent="0.2">
      <c r="A605" s="4" t="s">
        <v>617</v>
      </c>
      <c r="B605" s="5">
        <v>1</v>
      </c>
    </row>
    <row r="606" spans="1:2" x14ac:dyDescent="0.2">
      <c r="A606" s="4" t="s">
        <v>878</v>
      </c>
      <c r="B606" s="5">
        <v>1</v>
      </c>
    </row>
    <row r="607" spans="1:2" x14ac:dyDescent="0.2">
      <c r="A607" s="4" t="s">
        <v>1213</v>
      </c>
      <c r="B607" s="5">
        <v>1</v>
      </c>
    </row>
    <row r="608" spans="1:2" x14ac:dyDescent="0.2">
      <c r="A608" s="4" t="s">
        <v>619</v>
      </c>
      <c r="B608" s="5">
        <v>1</v>
      </c>
    </row>
    <row r="609" spans="1:2" x14ac:dyDescent="0.2">
      <c r="A609" s="4" t="s">
        <v>612</v>
      </c>
      <c r="B609" s="5">
        <v>1</v>
      </c>
    </row>
    <row r="610" spans="1:2" x14ac:dyDescent="0.2">
      <c r="A610" s="4" t="s">
        <v>574</v>
      </c>
      <c r="B610" s="5">
        <v>1</v>
      </c>
    </row>
    <row r="611" spans="1:2" x14ac:dyDescent="0.2">
      <c r="A611" s="4" t="s">
        <v>975</v>
      </c>
      <c r="B611" s="5">
        <v>1</v>
      </c>
    </row>
    <row r="612" spans="1:2" x14ac:dyDescent="0.2">
      <c r="A612" s="4" t="s">
        <v>452</v>
      </c>
      <c r="B612" s="5">
        <v>1</v>
      </c>
    </row>
    <row r="613" spans="1:2" x14ac:dyDescent="0.2">
      <c r="A613" s="4" t="s">
        <v>1214</v>
      </c>
      <c r="B613" s="5">
        <v>1</v>
      </c>
    </row>
    <row r="614" spans="1:2" x14ac:dyDescent="0.2">
      <c r="A614" s="4" t="s">
        <v>1873</v>
      </c>
      <c r="B614" s="5">
        <v>1</v>
      </c>
    </row>
    <row r="615" spans="1:2" x14ac:dyDescent="0.2">
      <c r="A615" s="4" t="s">
        <v>1854</v>
      </c>
      <c r="B615" s="5">
        <v>1</v>
      </c>
    </row>
    <row r="616" spans="1:2" x14ac:dyDescent="0.2">
      <c r="A616" s="4" t="s">
        <v>1183</v>
      </c>
      <c r="B616" s="5">
        <v>1</v>
      </c>
    </row>
    <row r="617" spans="1:2" x14ac:dyDescent="0.2">
      <c r="A617" s="4" t="s">
        <v>444</v>
      </c>
      <c r="B617" s="5">
        <v>1</v>
      </c>
    </row>
    <row r="618" spans="1:2" x14ac:dyDescent="0.2">
      <c r="A618" s="4" t="s">
        <v>1160</v>
      </c>
      <c r="B618" s="5">
        <v>1</v>
      </c>
    </row>
    <row r="619" spans="1:2" x14ac:dyDescent="0.2">
      <c r="A619" s="4" t="s">
        <v>1981</v>
      </c>
      <c r="B619" s="5">
        <v>1</v>
      </c>
    </row>
    <row r="620" spans="1:2" x14ac:dyDescent="0.2">
      <c r="A620" s="4" t="s">
        <v>1180</v>
      </c>
      <c r="B620" s="5">
        <v>1</v>
      </c>
    </row>
    <row r="621" spans="1:2" x14ac:dyDescent="0.2">
      <c r="A621" s="4" t="s">
        <v>1980</v>
      </c>
      <c r="B621" s="5">
        <v>1</v>
      </c>
    </row>
    <row r="622" spans="1:2" x14ac:dyDescent="0.2">
      <c r="A622" s="4" t="s">
        <v>1699</v>
      </c>
      <c r="B622" s="5">
        <v>1</v>
      </c>
    </row>
    <row r="623" spans="1:2" x14ac:dyDescent="0.2">
      <c r="A623" s="4" t="s">
        <v>1169</v>
      </c>
      <c r="B623" s="5">
        <v>1</v>
      </c>
    </row>
    <row r="624" spans="1:2" x14ac:dyDescent="0.2">
      <c r="A624" s="4" t="s">
        <v>1983</v>
      </c>
      <c r="B624" s="5">
        <v>1</v>
      </c>
    </row>
    <row r="625" spans="1:2" x14ac:dyDescent="0.2">
      <c r="A625" s="4" t="s">
        <v>1193</v>
      </c>
      <c r="B625" s="5">
        <v>1</v>
      </c>
    </row>
    <row r="626" spans="1:2" x14ac:dyDescent="0.2">
      <c r="A626" s="4" t="s">
        <v>448</v>
      </c>
      <c r="B626" s="5">
        <v>1</v>
      </c>
    </row>
    <row r="627" spans="1:2" x14ac:dyDescent="0.2">
      <c r="A627" s="4" t="s">
        <v>1978</v>
      </c>
      <c r="B627" s="5">
        <v>1</v>
      </c>
    </row>
    <row r="628" spans="1:2" x14ac:dyDescent="0.2">
      <c r="A628" s="4" t="s">
        <v>614</v>
      </c>
      <c r="B628" s="5">
        <v>1</v>
      </c>
    </row>
    <row r="629" spans="1:2" x14ac:dyDescent="0.2">
      <c r="A629" s="4" t="s">
        <v>630</v>
      </c>
      <c r="B629" s="5">
        <v>1</v>
      </c>
    </row>
    <row r="630" spans="1:2" x14ac:dyDescent="0.2">
      <c r="A630" s="4" t="s">
        <v>1986</v>
      </c>
      <c r="B630" s="5">
        <v>1</v>
      </c>
    </row>
    <row r="631" spans="1:2" x14ac:dyDescent="0.2">
      <c r="A631" s="4" t="s">
        <v>1209</v>
      </c>
      <c r="B631" s="5">
        <v>1</v>
      </c>
    </row>
    <row r="632" spans="1:2" x14ac:dyDescent="0.2">
      <c r="A632" s="3" t="s">
        <v>58</v>
      </c>
      <c r="B632" s="5">
        <v>59</v>
      </c>
    </row>
    <row r="633" spans="1:2" x14ac:dyDescent="0.2">
      <c r="A633" s="4" t="s">
        <v>357</v>
      </c>
      <c r="B633" s="5">
        <v>2</v>
      </c>
    </row>
    <row r="634" spans="1:2" x14ac:dyDescent="0.2">
      <c r="A634" s="4" t="s">
        <v>796</v>
      </c>
      <c r="B634" s="5">
        <v>2</v>
      </c>
    </row>
    <row r="635" spans="1:2" x14ac:dyDescent="0.2">
      <c r="A635" s="4" t="s">
        <v>528</v>
      </c>
      <c r="B635" s="5">
        <v>1</v>
      </c>
    </row>
    <row r="636" spans="1:2" x14ac:dyDescent="0.2">
      <c r="A636" s="4" t="s">
        <v>510</v>
      </c>
      <c r="B636" s="5">
        <v>1</v>
      </c>
    </row>
    <row r="637" spans="1:2" x14ac:dyDescent="0.2">
      <c r="A637" s="4" t="s">
        <v>466</v>
      </c>
      <c r="B637" s="5">
        <v>1</v>
      </c>
    </row>
    <row r="638" spans="1:2" x14ac:dyDescent="0.2">
      <c r="A638" s="4" t="s">
        <v>530</v>
      </c>
      <c r="B638" s="5">
        <v>1</v>
      </c>
    </row>
    <row r="639" spans="1:2" x14ac:dyDescent="0.2">
      <c r="A639" s="4" t="s">
        <v>521</v>
      </c>
      <c r="B639" s="5">
        <v>1</v>
      </c>
    </row>
    <row r="640" spans="1:2" x14ac:dyDescent="0.2">
      <c r="A640" s="4" t="s">
        <v>468</v>
      </c>
      <c r="B640" s="5">
        <v>1</v>
      </c>
    </row>
    <row r="641" spans="1:2" x14ac:dyDescent="0.2">
      <c r="A641" s="4" t="s">
        <v>519</v>
      </c>
      <c r="B641" s="5">
        <v>1</v>
      </c>
    </row>
    <row r="642" spans="1:2" x14ac:dyDescent="0.2">
      <c r="A642" s="4" t="s">
        <v>526</v>
      </c>
      <c r="B642" s="5">
        <v>1</v>
      </c>
    </row>
    <row r="643" spans="1:2" x14ac:dyDescent="0.2">
      <c r="A643" s="4" t="s">
        <v>1487</v>
      </c>
      <c r="B643" s="5">
        <v>1</v>
      </c>
    </row>
    <row r="644" spans="1:2" x14ac:dyDescent="0.2">
      <c r="A644" s="4" t="s">
        <v>101</v>
      </c>
      <c r="B644" s="5">
        <v>1</v>
      </c>
    </row>
    <row r="645" spans="1:2" x14ac:dyDescent="0.2">
      <c r="A645" s="4" t="s">
        <v>345</v>
      </c>
      <c r="B645" s="5">
        <v>1</v>
      </c>
    </row>
    <row r="646" spans="1:2" x14ac:dyDescent="0.2">
      <c r="A646" s="4" t="s">
        <v>1538</v>
      </c>
      <c r="B646" s="5">
        <v>1</v>
      </c>
    </row>
    <row r="647" spans="1:2" x14ac:dyDescent="0.2">
      <c r="A647" s="4" t="s">
        <v>797</v>
      </c>
      <c r="B647" s="5">
        <v>1</v>
      </c>
    </row>
    <row r="648" spans="1:2" x14ac:dyDescent="0.2">
      <c r="A648" s="4" t="s">
        <v>471</v>
      </c>
      <c r="B648" s="5">
        <v>1</v>
      </c>
    </row>
    <row r="649" spans="1:2" x14ac:dyDescent="0.2">
      <c r="A649" s="4" t="s">
        <v>1494</v>
      </c>
      <c r="B649" s="5">
        <v>1</v>
      </c>
    </row>
    <row r="650" spans="1:2" x14ac:dyDescent="0.2">
      <c r="A650" s="4" t="s">
        <v>798</v>
      </c>
      <c r="B650" s="5">
        <v>1</v>
      </c>
    </row>
    <row r="651" spans="1:2" x14ac:dyDescent="0.2">
      <c r="A651" s="4" t="s">
        <v>517</v>
      </c>
      <c r="B651" s="5">
        <v>1</v>
      </c>
    </row>
    <row r="652" spans="1:2" x14ac:dyDescent="0.2">
      <c r="A652" s="4" t="s">
        <v>1327</v>
      </c>
      <c r="B652" s="5">
        <v>1</v>
      </c>
    </row>
    <row r="653" spans="1:2" x14ac:dyDescent="0.2">
      <c r="A653" s="4" t="s">
        <v>794</v>
      </c>
      <c r="B653" s="5">
        <v>1</v>
      </c>
    </row>
    <row r="654" spans="1:2" x14ac:dyDescent="0.2">
      <c r="A654" s="4" t="s">
        <v>499</v>
      </c>
      <c r="B654" s="5">
        <v>1</v>
      </c>
    </row>
    <row r="655" spans="1:2" x14ac:dyDescent="0.2">
      <c r="A655" s="4" t="s">
        <v>513</v>
      </c>
      <c r="B655" s="5">
        <v>1</v>
      </c>
    </row>
    <row r="656" spans="1:2" x14ac:dyDescent="0.2">
      <c r="A656" s="4" t="s">
        <v>501</v>
      </c>
      <c r="B656" s="5">
        <v>1</v>
      </c>
    </row>
    <row r="657" spans="1:2" x14ac:dyDescent="0.2">
      <c r="A657" s="4" t="s">
        <v>463</v>
      </c>
      <c r="B657" s="5">
        <v>1</v>
      </c>
    </row>
    <row r="658" spans="1:2" x14ac:dyDescent="0.2">
      <c r="A658" s="4" t="s">
        <v>371</v>
      </c>
      <c r="B658" s="5">
        <v>1</v>
      </c>
    </row>
    <row r="659" spans="1:2" x14ac:dyDescent="0.2">
      <c r="A659" s="4" t="s">
        <v>1059</v>
      </c>
      <c r="B659" s="5">
        <v>1</v>
      </c>
    </row>
    <row r="660" spans="1:2" x14ac:dyDescent="0.2">
      <c r="A660" s="4" t="s">
        <v>365</v>
      </c>
      <c r="B660" s="5">
        <v>1</v>
      </c>
    </row>
    <row r="661" spans="1:2" x14ac:dyDescent="0.2">
      <c r="A661" s="4" t="s">
        <v>792</v>
      </c>
      <c r="B661" s="5">
        <v>1</v>
      </c>
    </row>
    <row r="662" spans="1:2" x14ac:dyDescent="0.2">
      <c r="A662" s="4" t="s">
        <v>55</v>
      </c>
      <c r="B662" s="5">
        <v>1</v>
      </c>
    </row>
    <row r="663" spans="1:2" x14ac:dyDescent="0.2">
      <c r="A663" s="4" t="s">
        <v>520</v>
      </c>
      <c r="B663" s="5">
        <v>1</v>
      </c>
    </row>
    <row r="664" spans="1:2" x14ac:dyDescent="0.2">
      <c r="A664" s="4" t="s">
        <v>791</v>
      </c>
      <c r="B664" s="5">
        <v>1</v>
      </c>
    </row>
    <row r="665" spans="1:2" x14ac:dyDescent="0.2">
      <c r="A665" s="4" t="s">
        <v>1483</v>
      </c>
      <c r="B665" s="5">
        <v>1</v>
      </c>
    </row>
    <row r="666" spans="1:2" x14ac:dyDescent="0.2">
      <c r="A666" s="4" t="s">
        <v>503</v>
      </c>
      <c r="B666" s="5">
        <v>1</v>
      </c>
    </row>
    <row r="667" spans="1:2" x14ac:dyDescent="0.2">
      <c r="A667" s="4" t="s">
        <v>352</v>
      </c>
      <c r="B667" s="5">
        <v>1</v>
      </c>
    </row>
    <row r="668" spans="1:2" x14ac:dyDescent="0.2">
      <c r="A668" s="4" t="s">
        <v>79</v>
      </c>
      <c r="B668" s="5">
        <v>1</v>
      </c>
    </row>
    <row r="669" spans="1:2" x14ac:dyDescent="0.2">
      <c r="A669" s="4" t="s">
        <v>1480</v>
      </c>
      <c r="B669" s="5">
        <v>1</v>
      </c>
    </row>
    <row r="670" spans="1:2" x14ac:dyDescent="0.2">
      <c r="A670" s="4" t="s">
        <v>1513</v>
      </c>
      <c r="B670" s="5">
        <v>1</v>
      </c>
    </row>
    <row r="671" spans="1:2" x14ac:dyDescent="0.2">
      <c r="A671" s="4" t="s">
        <v>507</v>
      </c>
      <c r="B671" s="5">
        <v>1</v>
      </c>
    </row>
    <row r="672" spans="1:2" x14ac:dyDescent="0.2">
      <c r="A672" s="4" t="s">
        <v>1511</v>
      </c>
      <c r="B672" s="5">
        <v>1</v>
      </c>
    </row>
    <row r="673" spans="1:2" x14ac:dyDescent="0.2">
      <c r="A673" s="4" t="s">
        <v>515</v>
      </c>
      <c r="B673" s="5">
        <v>1</v>
      </c>
    </row>
    <row r="674" spans="1:2" x14ac:dyDescent="0.2">
      <c r="A674" s="4" t="s">
        <v>81</v>
      </c>
      <c r="B674" s="5">
        <v>1</v>
      </c>
    </row>
    <row r="675" spans="1:2" x14ac:dyDescent="0.2">
      <c r="A675" s="4" t="s">
        <v>789</v>
      </c>
      <c r="B675" s="5">
        <v>1</v>
      </c>
    </row>
    <row r="676" spans="1:2" x14ac:dyDescent="0.2">
      <c r="A676" s="4" t="s">
        <v>1216</v>
      </c>
      <c r="B676" s="5">
        <v>1</v>
      </c>
    </row>
    <row r="677" spans="1:2" x14ac:dyDescent="0.2">
      <c r="A677" s="4" t="s">
        <v>1503</v>
      </c>
      <c r="B677" s="5">
        <v>1</v>
      </c>
    </row>
    <row r="678" spans="1:2" x14ac:dyDescent="0.2">
      <c r="A678" s="4" t="s">
        <v>296</v>
      </c>
      <c r="B678" s="5">
        <v>1</v>
      </c>
    </row>
    <row r="679" spans="1:2" x14ac:dyDescent="0.2">
      <c r="A679" s="4" t="s">
        <v>1497</v>
      </c>
      <c r="B679" s="5">
        <v>1</v>
      </c>
    </row>
    <row r="680" spans="1:2" x14ac:dyDescent="0.2">
      <c r="A680" s="4" t="s">
        <v>1462</v>
      </c>
      <c r="B680" s="5">
        <v>1</v>
      </c>
    </row>
    <row r="681" spans="1:2" x14ac:dyDescent="0.2">
      <c r="A681" s="4" t="s">
        <v>74</v>
      </c>
      <c r="B681" s="5">
        <v>1</v>
      </c>
    </row>
    <row r="682" spans="1:2" x14ac:dyDescent="0.2">
      <c r="A682" s="4" t="s">
        <v>1056</v>
      </c>
      <c r="B682" s="5">
        <v>1</v>
      </c>
    </row>
    <row r="683" spans="1:2" x14ac:dyDescent="0.2">
      <c r="A683" s="4" t="s">
        <v>1332</v>
      </c>
      <c r="B683" s="5">
        <v>1</v>
      </c>
    </row>
    <row r="684" spans="1:2" x14ac:dyDescent="0.2">
      <c r="A684" s="4" t="s">
        <v>1495</v>
      </c>
      <c r="B684" s="5">
        <v>1</v>
      </c>
    </row>
    <row r="685" spans="1:2" x14ac:dyDescent="0.2">
      <c r="A685" s="4" t="s">
        <v>1485</v>
      </c>
      <c r="B685" s="5">
        <v>1</v>
      </c>
    </row>
    <row r="686" spans="1:2" x14ac:dyDescent="0.2">
      <c r="A686" s="4" t="s">
        <v>1054</v>
      </c>
      <c r="B686" s="5">
        <v>1</v>
      </c>
    </row>
    <row r="687" spans="1:2" x14ac:dyDescent="0.2">
      <c r="A687" s="4" t="s">
        <v>70</v>
      </c>
      <c r="B687" s="5">
        <v>1</v>
      </c>
    </row>
    <row r="688" spans="1:2" x14ac:dyDescent="0.2">
      <c r="A688" s="4" t="s">
        <v>66</v>
      </c>
      <c r="B688" s="5">
        <v>1</v>
      </c>
    </row>
    <row r="689" spans="1:2" x14ac:dyDescent="0.2">
      <c r="A689" s="4" t="s">
        <v>522</v>
      </c>
      <c r="B689" s="5">
        <v>1</v>
      </c>
    </row>
    <row r="690" spans="1:2" x14ac:dyDescent="0.2">
      <c r="A690" s="2" t="s">
        <v>47</v>
      </c>
      <c r="B690" s="5">
        <v>87</v>
      </c>
    </row>
    <row r="691" spans="1:2" x14ac:dyDescent="0.2">
      <c r="A691" s="3" t="s">
        <v>48</v>
      </c>
      <c r="B691" s="5">
        <v>87</v>
      </c>
    </row>
    <row r="692" spans="1:2" x14ac:dyDescent="0.2">
      <c r="A692" s="4" t="s">
        <v>1650</v>
      </c>
      <c r="B692" s="5">
        <v>1</v>
      </c>
    </row>
    <row r="693" spans="1:2" x14ac:dyDescent="0.2">
      <c r="A693" s="4" t="s">
        <v>1436</v>
      </c>
      <c r="B693" s="5">
        <v>1</v>
      </c>
    </row>
    <row r="694" spans="1:2" x14ac:dyDescent="0.2">
      <c r="A694" s="4" t="s">
        <v>1300</v>
      </c>
      <c r="B694" s="5">
        <v>1</v>
      </c>
    </row>
    <row r="695" spans="1:2" x14ac:dyDescent="0.2">
      <c r="A695" s="4" t="s">
        <v>1407</v>
      </c>
      <c r="B695" s="5">
        <v>1</v>
      </c>
    </row>
    <row r="696" spans="1:2" x14ac:dyDescent="0.2">
      <c r="A696" s="4" t="s">
        <v>1309</v>
      </c>
      <c r="B696" s="5">
        <v>1</v>
      </c>
    </row>
    <row r="697" spans="1:2" x14ac:dyDescent="0.2">
      <c r="A697" s="4" t="s">
        <v>1405</v>
      </c>
      <c r="B697" s="5">
        <v>1</v>
      </c>
    </row>
    <row r="698" spans="1:2" x14ac:dyDescent="0.2">
      <c r="A698" s="4" t="s">
        <v>1334</v>
      </c>
      <c r="B698" s="5">
        <v>1</v>
      </c>
    </row>
    <row r="699" spans="1:2" x14ac:dyDescent="0.2">
      <c r="A699" s="4" t="s">
        <v>1403</v>
      </c>
      <c r="B699" s="5">
        <v>1</v>
      </c>
    </row>
    <row r="700" spans="1:2" x14ac:dyDescent="0.2">
      <c r="A700" s="4" t="s">
        <v>2222</v>
      </c>
      <c r="B700" s="5">
        <v>1</v>
      </c>
    </row>
    <row r="701" spans="1:2" x14ac:dyDescent="0.2">
      <c r="A701" s="4" t="s">
        <v>1411</v>
      </c>
      <c r="B701" s="5">
        <v>1</v>
      </c>
    </row>
    <row r="702" spans="1:2" x14ac:dyDescent="0.2">
      <c r="A702" s="4" t="s">
        <v>1549</v>
      </c>
      <c r="B702" s="5">
        <v>1</v>
      </c>
    </row>
    <row r="703" spans="1:2" x14ac:dyDescent="0.2">
      <c r="A703" s="4" t="s">
        <v>1409</v>
      </c>
      <c r="B703" s="5">
        <v>1</v>
      </c>
    </row>
    <row r="704" spans="1:2" x14ac:dyDescent="0.2">
      <c r="A704" s="4" t="s">
        <v>1329</v>
      </c>
      <c r="B704" s="5">
        <v>1</v>
      </c>
    </row>
    <row r="705" spans="1:2" x14ac:dyDescent="0.2">
      <c r="A705" s="4" t="s">
        <v>1526</v>
      </c>
      <c r="B705" s="5">
        <v>1</v>
      </c>
    </row>
    <row r="706" spans="1:2" x14ac:dyDescent="0.2">
      <c r="A706" s="4" t="s">
        <v>1628</v>
      </c>
      <c r="B706" s="5">
        <v>1</v>
      </c>
    </row>
    <row r="707" spans="1:2" x14ac:dyDescent="0.2">
      <c r="A707" s="4" t="s">
        <v>556</v>
      </c>
      <c r="B707" s="5">
        <v>1</v>
      </c>
    </row>
    <row r="708" spans="1:2" x14ac:dyDescent="0.2">
      <c r="A708" s="4" t="s">
        <v>1356</v>
      </c>
      <c r="B708" s="5">
        <v>1</v>
      </c>
    </row>
    <row r="709" spans="1:2" x14ac:dyDescent="0.2">
      <c r="A709" s="4" t="s">
        <v>1431</v>
      </c>
      <c r="B709" s="5">
        <v>1</v>
      </c>
    </row>
    <row r="710" spans="1:2" x14ac:dyDescent="0.2">
      <c r="A710" s="4" t="s">
        <v>1489</v>
      </c>
      <c r="B710" s="5">
        <v>1</v>
      </c>
    </row>
    <row r="711" spans="1:2" x14ac:dyDescent="0.2">
      <c r="A711" s="4" t="s">
        <v>1428</v>
      </c>
      <c r="B711" s="5">
        <v>1</v>
      </c>
    </row>
    <row r="712" spans="1:2" x14ac:dyDescent="0.2">
      <c r="A712" s="4" t="s">
        <v>1297</v>
      </c>
      <c r="B712" s="5">
        <v>1</v>
      </c>
    </row>
    <row r="713" spans="1:2" x14ac:dyDescent="0.2">
      <c r="A713" s="4" t="s">
        <v>1418</v>
      </c>
      <c r="B713" s="5">
        <v>1</v>
      </c>
    </row>
    <row r="714" spans="1:2" x14ac:dyDescent="0.2">
      <c r="A714" s="4" t="s">
        <v>1446</v>
      </c>
      <c r="B714" s="5">
        <v>1</v>
      </c>
    </row>
    <row r="715" spans="1:2" x14ac:dyDescent="0.2">
      <c r="A715" s="4" t="s">
        <v>1421</v>
      </c>
      <c r="B715" s="5">
        <v>1</v>
      </c>
    </row>
    <row r="716" spans="1:2" x14ac:dyDescent="0.2">
      <c r="A716" s="4" t="s">
        <v>1323</v>
      </c>
      <c r="B716" s="5">
        <v>1</v>
      </c>
    </row>
    <row r="717" spans="1:2" x14ac:dyDescent="0.2">
      <c r="A717" s="4" t="s">
        <v>1425</v>
      </c>
      <c r="B717" s="5">
        <v>1</v>
      </c>
    </row>
    <row r="718" spans="1:2" x14ac:dyDescent="0.2">
      <c r="A718" s="4" t="s">
        <v>1307</v>
      </c>
      <c r="B718" s="5">
        <v>1</v>
      </c>
    </row>
    <row r="719" spans="1:2" x14ac:dyDescent="0.2">
      <c r="A719" s="4" t="s">
        <v>1442</v>
      </c>
      <c r="B719" s="5">
        <v>1</v>
      </c>
    </row>
    <row r="720" spans="1:2" x14ac:dyDescent="0.2">
      <c r="A720" s="4" t="s">
        <v>1413</v>
      </c>
      <c r="B720" s="5">
        <v>1</v>
      </c>
    </row>
    <row r="721" spans="1:2" x14ac:dyDescent="0.2">
      <c r="A721" s="4" t="s">
        <v>1440</v>
      </c>
      <c r="B721" s="5">
        <v>1</v>
      </c>
    </row>
    <row r="722" spans="1:2" x14ac:dyDescent="0.2">
      <c r="A722" s="4" t="s">
        <v>1644</v>
      </c>
      <c r="B722" s="5">
        <v>1</v>
      </c>
    </row>
    <row r="723" spans="1:2" x14ac:dyDescent="0.2">
      <c r="A723" s="4" t="s">
        <v>2124</v>
      </c>
      <c r="B723" s="5">
        <v>1</v>
      </c>
    </row>
    <row r="724" spans="1:2" x14ac:dyDescent="0.2">
      <c r="A724" s="4" t="s">
        <v>1464</v>
      </c>
      <c r="B724" s="5">
        <v>1</v>
      </c>
    </row>
    <row r="725" spans="1:2" x14ac:dyDescent="0.2">
      <c r="A725" s="4" t="s">
        <v>548</v>
      </c>
      <c r="B725" s="5">
        <v>1</v>
      </c>
    </row>
    <row r="726" spans="1:2" x14ac:dyDescent="0.2">
      <c r="A726" s="4" t="s">
        <v>786</v>
      </c>
      <c r="B726" s="5">
        <v>1</v>
      </c>
    </row>
    <row r="727" spans="1:2" x14ac:dyDescent="0.2">
      <c r="A727" s="4" t="s">
        <v>1305</v>
      </c>
      <c r="B727" s="5">
        <v>1</v>
      </c>
    </row>
    <row r="728" spans="1:2" x14ac:dyDescent="0.2">
      <c r="A728" s="4" t="s">
        <v>1618</v>
      </c>
      <c r="B728" s="5">
        <v>1</v>
      </c>
    </row>
    <row r="729" spans="1:2" x14ac:dyDescent="0.2">
      <c r="A729" s="4" t="s">
        <v>1655</v>
      </c>
      <c r="B729" s="5">
        <v>1</v>
      </c>
    </row>
    <row r="730" spans="1:2" x14ac:dyDescent="0.2">
      <c r="A730" s="4" t="s">
        <v>524</v>
      </c>
      <c r="B730" s="5">
        <v>1</v>
      </c>
    </row>
    <row r="731" spans="1:2" x14ac:dyDescent="0.2">
      <c r="A731" s="4" t="s">
        <v>1460</v>
      </c>
      <c r="B731" s="5">
        <v>1</v>
      </c>
    </row>
    <row r="732" spans="1:2" x14ac:dyDescent="0.2">
      <c r="A732" s="4" t="s">
        <v>1492</v>
      </c>
      <c r="B732" s="5">
        <v>1</v>
      </c>
    </row>
    <row r="733" spans="1:2" x14ac:dyDescent="0.2">
      <c r="A733" s="4" t="s">
        <v>2122</v>
      </c>
      <c r="B733" s="5">
        <v>1</v>
      </c>
    </row>
    <row r="734" spans="1:2" x14ac:dyDescent="0.2">
      <c r="A734" s="4" t="s">
        <v>1294</v>
      </c>
      <c r="B734" s="5">
        <v>1</v>
      </c>
    </row>
    <row r="735" spans="1:2" x14ac:dyDescent="0.2">
      <c r="A735" s="4" t="s">
        <v>2116</v>
      </c>
      <c r="B735" s="5">
        <v>1</v>
      </c>
    </row>
    <row r="736" spans="1:2" x14ac:dyDescent="0.2">
      <c r="A736" s="4" t="s">
        <v>77</v>
      </c>
      <c r="B736" s="5">
        <v>1</v>
      </c>
    </row>
    <row r="737" spans="1:2" x14ac:dyDescent="0.2">
      <c r="A737" s="4" t="s">
        <v>75</v>
      </c>
      <c r="B737" s="5">
        <v>1</v>
      </c>
    </row>
    <row r="738" spans="1:2" x14ac:dyDescent="0.2">
      <c r="A738" s="4" t="s">
        <v>532</v>
      </c>
      <c r="B738" s="5">
        <v>1</v>
      </c>
    </row>
    <row r="739" spans="1:2" x14ac:dyDescent="0.2">
      <c r="A739" s="4" t="s">
        <v>2132</v>
      </c>
      <c r="B739" s="5">
        <v>1</v>
      </c>
    </row>
    <row r="740" spans="1:2" x14ac:dyDescent="0.2">
      <c r="A740" s="4" t="s">
        <v>1303</v>
      </c>
      <c r="B740" s="5">
        <v>1</v>
      </c>
    </row>
    <row r="741" spans="1:2" x14ac:dyDescent="0.2">
      <c r="A741" s="4" t="s">
        <v>488</v>
      </c>
      <c r="B741" s="5">
        <v>1</v>
      </c>
    </row>
    <row r="742" spans="1:2" x14ac:dyDescent="0.2">
      <c r="A742" s="4" t="s">
        <v>1325</v>
      </c>
      <c r="B742" s="5">
        <v>1</v>
      </c>
    </row>
    <row r="743" spans="1:2" x14ac:dyDescent="0.2">
      <c r="A743" s="4" t="s">
        <v>1634</v>
      </c>
      <c r="B743" s="5">
        <v>1</v>
      </c>
    </row>
    <row r="744" spans="1:2" x14ac:dyDescent="0.2">
      <c r="A744" s="4" t="s">
        <v>540</v>
      </c>
      <c r="B744" s="5">
        <v>1</v>
      </c>
    </row>
    <row r="745" spans="1:2" x14ac:dyDescent="0.2">
      <c r="A745" s="4" t="s">
        <v>1632</v>
      </c>
      <c r="B745" s="5">
        <v>1</v>
      </c>
    </row>
    <row r="746" spans="1:2" x14ac:dyDescent="0.2">
      <c r="A746" s="4" t="s">
        <v>1311</v>
      </c>
      <c r="B746" s="5">
        <v>1</v>
      </c>
    </row>
    <row r="747" spans="1:2" x14ac:dyDescent="0.2">
      <c r="A747" s="4" t="s">
        <v>1626</v>
      </c>
      <c r="B747" s="5">
        <v>1</v>
      </c>
    </row>
    <row r="748" spans="1:2" x14ac:dyDescent="0.2">
      <c r="A748" s="4" t="s">
        <v>1456</v>
      </c>
      <c r="B748" s="5">
        <v>1</v>
      </c>
    </row>
    <row r="749" spans="1:2" x14ac:dyDescent="0.2">
      <c r="A749" s="4" t="s">
        <v>2114</v>
      </c>
      <c r="B749" s="5">
        <v>1</v>
      </c>
    </row>
    <row r="750" spans="1:2" x14ac:dyDescent="0.2">
      <c r="A750" s="4" t="s">
        <v>1352</v>
      </c>
      <c r="B750" s="5">
        <v>1</v>
      </c>
    </row>
    <row r="751" spans="1:2" x14ac:dyDescent="0.2">
      <c r="A751" s="4" t="s">
        <v>2110</v>
      </c>
      <c r="B751" s="5">
        <v>1</v>
      </c>
    </row>
    <row r="752" spans="1:2" x14ac:dyDescent="0.2">
      <c r="A752" s="4" t="s">
        <v>1648</v>
      </c>
      <c r="B752" s="5">
        <v>1</v>
      </c>
    </row>
    <row r="753" spans="1:2" x14ac:dyDescent="0.2">
      <c r="A753" s="4" t="s">
        <v>53</v>
      </c>
      <c r="B753" s="5">
        <v>1</v>
      </c>
    </row>
    <row r="754" spans="1:2" x14ac:dyDescent="0.2">
      <c r="A754" s="4" t="s">
        <v>1646</v>
      </c>
      <c r="B754" s="5">
        <v>1</v>
      </c>
    </row>
    <row r="755" spans="1:2" x14ac:dyDescent="0.2">
      <c r="A755" s="4" t="s">
        <v>1466</v>
      </c>
      <c r="B755" s="5">
        <v>1</v>
      </c>
    </row>
    <row r="756" spans="1:2" x14ac:dyDescent="0.2">
      <c r="A756" s="4" t="s">
        <v>1630</v>
      </c>
      <c r="B756" s="5">
        <v>1</v>
      </c>
    </row>
    <row r="757" spans="1:2" x14ac:dyDescent="0.2">
      <c r="A757" s="4" t="s">
        <v>1636</v>
      </c>
      <c r="B757" s="5">
        <v>1</v>
      </c>
    </row>
    <row r="758" spans="1:2" x14ac:dyDescent="0.2">
      <c r="A758" s="4" t="s">
        <v>1624</v>
      </c>
      <c r="B758" s="5">
        <v>1</v>
      </c>
    </row>
    <row r="759" spans="1:2" x14ac:dyDescent="0.2">
      <c r="A759" s="4" t="s">
        <v>1638</v>
      </c>
      <c r="B759" s="5">
        <v>1</v>
      </c>
    </row>
    <row r="760" spans="1:2" x14ac:dyDescent="0.2">
      <c r="A760" s="4" t="s">
        <v>1620</v>
      </c>
      <c r="B760" s="5">
        <v>1</v>
      </c>
    </row>
    <row r="761" spans="1:2" x14ac:dyDescent="0.2">
      <c r="A761" s="4" t="s">
        <v>1452</v>
      </c>
      <c r="B761" s="5">
        <v>1</v>
      </c>
    </row>
    <row r="762" spans="1:2" x14ac:dyDescent="0.2">
      <c r="A762" s="4" t="s">
        <v>2128</v>
      </c>
      <c r="B762" s="5">
        <v>1</v>
      </c>
    </row>
    <row r="763" spans="1:2" x14ac:dyDescent="0.2">
      <c r="A763" s="4" t="s">
        <v>1454</v>
      </c>
      <c r="B763" s="5">
        <v>1</v>
      </c>
    </row>
    <row r="764" spans="1:2" x14ac:dyDescent="0.2">
      <c r="A764" s="4" t="s">
        <v>1505</v>
      </c>
      <c r="B764" s="5">
        <v>1</v>
      </c>
    </row>
    <row r="765" spans="1:2" x14ac:dyDescent="0.2">
      <c r="A765" s="4" t="s">
        <v>44</v>
      </c>
      <c r="B765" s="5">
        <v>1</v>
      </c>
    </row>
    <row r="766" spans="1:2" x14ac:dyDescent="0.2">
      <c r="A766" s="4" t="s">
        <v>538</v>
      </c>
      <c r="B766" s="5">
        <v>1</v>
      </c>
    </row>
    <row r="767" spans="1:2" x14ac:dyDescent="0.2">
      <c r="A767" s="4" t="s">
        <v>1476</v>
      </c>
      <c r="B767" s="5">
        <v>1</v>
      </c>
    </row>
    <row r="768" spans="1:2" x14ac:dyDescent="0.2">
      <c r="A768" s="4" t="s">
        <v>1509</v>
      </c>
      <c r="B768" s="5">
        <v>1</v>
      </c>
    </row>
    <row r="769" spans="1:2" x14ac:dyDescent="0.2">
      <c r="A769" s="4" t="s">
        <v>1545</v>
      </c>
      <c r="B769" s="5">
        <v>1</v>
      </c>
    </row>
    <row r="770" spans="1:2" x14ac:dyDescent="0.2">
      <c r="A770" s="4" t="s">
        <v>332</v>
      </c>
      <c r="B770" s="5">
        <v>1</v>
      </c>
    </row>
    <row r="771" spans="1:2" x14ac:dyDescent="0.2">
      <c r="A771" s="4" t="s">
        <v>1450</v>
      </c>
      <c r="B771" s="5">
        <v>1</v>
      </c>
    </row>
    <row r="772" spans="1:2" x14ac:dyDescent="0.2">
      <c r="A772" s="4" t="s">
        <v>1350</v>
      </c>
      <c r="B772" s="5">
        <v>1</v>
      </c>
    </row>
    <row r="773" spans="1:2" x14ac:dyDescent="0.2">
      <c r="A773" s="4" t="s">
        <v>1415</v>
      </c>
      <c r="B773" s="5">
        <v>1</v>
      </c>
    </row>
    <row r="774" spans="1:2" x14ac:dyDescent="0.2">
      <c r="A774" s="4" t="s">
        <v>1500</v>
      </c>
      <c r="B774" s="5">
        <v>1</v>
      </c>
    </row>
    <row r="775" spans="1:2" x14ac:dyDescent="0.2">
      <c r="A775" s="4" t="s">
        <v>1661</v>
      </c>
      <c r="B775" s="5">
        <v>1</v>
      </c>
    </row>
    <row r="776" spans="1:2" x14ac:dyDescent="0.2">
      <c r="A776" s="4">
        <v>0</v>
      </c>
      <c r="B776" s="5">
        <v>1</v>
      </c>
    </row>
    <row r="777" spans="1:2" x14ac:dyDescent="0.2">
      <c r="A777" s="4" t="s">
        <v>1659</v>
      </c>
      <c r="B777" s="5">
        <v>1</v>
      </c>
    </row>
    <row r="778" spans="1:2" x14ac:dyDescent="0.2">
      <c r="A778" s="4" t="s">
        <v>1507</v>
      </c>
      <c r="B778" s="5">
        <v>1</v>
      </c>
    </row>
    <row r="779" spans="1:2" x14ac:dyDescent="0.2">
      <c r="A779" s="2" t="s">
        <v>25</v>
      </c>
      <c r="B779" s="5">
        <v>51</v>
      </c>
    </row>
    <row r="780" spans="1:2" x14ac:dyDescent="0.2">
      <c r="A780" s="3" t="s">
        <v>26</v>
      </c>
      <c r="B780" s="5">
        <v>51</v>
      </c>
    </row>
    <row r="781" spans="1:2" x14ac:dyDescent="0.2">
      <c r="A781" s="4" t="s">
        <v>99</v>
      </c>
      <c r="B781" s="5">
        <v>6</v>
      </c>
    </row>
    <row r="782" spans="1:2" x14ac:dyDescent="0.2">
      <c r="A782" s="4" t="s">
        <v>304</v>
      </c>
      <c r="B782" s="5">
        <v>6</v>
      </c>
    </row>
    <row r="783" spans="1:2" x14ac:dyDescent="0.2">
      <c r="A783" s="4" t="s">
        <v>23</v>
      </c>
      <c r="B783" s="5">
        <v>5</v>
      </c>
    </row>
    <row r="784" spans="1:2" x14ac:dyDescent="0.2">
      <c r="A784" s="4" t="s">
        <v>127</v>
      </c>
      <c r="B784" s="5">
        <v>3</v>
      </c>
    </row>
    <row r="785" spans="1:2" x14ac:dyDescent="0.2">
      <c r="A785" s="4" t="s">
        <v>32</v>
      </c>
      <c r="B785" s="5">
        <v>3</v>
      </c>
    </row>
    <row r="786" spans="1:2" x14ac:dyDescent="0.2">
      <c r="A786" s="4" t="s">
        <v>457</v>
      </c>
      <c r="B786" s="5">
        <v>2</v>
      </c>
    </row>
    <row r="787" spans="1:2" x14ac:dyDescent="0.2">
      <c r="A787" s="4" t="s">
        <v>62</v>
      </c>
      <c r="B787" s="5">
        <v>2</v>
      </c>
    </row>
    <row r="788" spans="1:2" x14ac:dyDescent="0.2">
      <c r="A788" s="4" t="s">
        <v>1474</v>
      </c>
      <c r="B788" s="5">
        <v>2</v>
      </c>
    </row>
    <row r="789" spans="1:2" x14ac:dyDescent="0.2">
      <c r="A789" s="4" t="s">
        <v>784</v>
      </c>
      <c r="B789" s="5">
        <v>1</v>
      </c>
    </row>
    <row r="790" spans="1:2" x14ac:dyDescent="0.2">
      <c r="A790" s="4" t="s">
        <v>1047</v>
      </c>
      <c r="B790" s="5">
        <v>1</v>
      </c>
    </row>
    <row r="791" spans="1:2" x14ac:dyDescent="0.2">
      <c r="A791" s="4" t="s">
        <v>103</v>
      </c>
      <c r="B791" s="5">
        <v>1</v>
      </c>
    </row>
    <row r="792" spans="1:2" x14ac:dyDescent="0.2">
      <c r="A792" s="4" t="s">
        <v>1225</v>
      </c>
      <c r="B792" s="5">
        <v>1</v>
      </c>
    </row>
    <row r="793" spans="1:2" x14ac:dyDescent="0.2">
      <c r="A793" s="4" t="s">
        <v>1051</v>
      </c>
      <c r="B793" s="5">
        <v>1</v>
      </c>
    </row>
    <row r="794" spans="1:2" x14ac:dyDescent="0.2">
      <c r="A794" s="4" t="s">
        <v>1222</v>
      </c>
      <c r="B794" s="5">
        <v>1</v>
      </c>
    </row>
    <row r="795" spans="1:2" x14ac:dyDescent="0.2">
      <c r="A795" s="4" t="s">
        <v>1204</v>
      </c>
      <c r="B795" s="5">
        <v>1</v>
      </c>
    </row>
    <row r="796" spans="1:2" x14ac:dyDescent="0.2">
      <c r="A796" s="4" t="s">
        <v>1198</v>
      </c>
      <c r="B796" s="5">
        <v>1</v>
      </c>
    </row>
    <row r="797" spans="1:2" x14ac:dyDescent="0.2">
      <c r="A797" s="4" t="s">
        <v>1048</v>
      </c>
      <c r="B797" s="5">
        <v>1</v>
      </c>
    </row>
    <row r="798" spans="1:2" x14ac:dyDescent="0.2">
      <c r="A798" s="4" t="s">
        <v>2130</v>
      </c>
      <c r="B798" s="5">
        <v>1</v>
      </c>
    </row>
    <row r="799" spans="1:2" x14ac:dyDescent="0.2">
      <c r="A799" s="4" t="s">
        <v>888</v>
      </c>
      <c r="B799" s="5">
        <v>1</v>
      </c>
    </row>
    <row r="800" spans="1:2" x14ac:dyDescent="0.2">
      <c r="A800" s="4" t="s">
        <v>1201</v>
      </c>
      <c r="B800" s="5">
        <v>1</v>
      </c>
    </row>
    <row r="801" spans="1:2" x14ac:dyDescent="0.2">
      <c r="A801" s="4" t="s">
        <v>1231</v>
      </c>
      <c r="B801" s="5">
        <v>1</v>
      </c>
    </row>
    <row r="802" spans="1:2" x14ac:dyDescent="0.2">
      <c r="A802" s="4" t="s">
        <v>1990</v>
      </c>
      <c r="B802" s="5">
        <v>1</v>
      </c>
    </row>
    <row r="803" spans="1:2" x14ac:dyDescent="0.2">
      <c r="A803" s="4" t="s">
        <v>1315</v>
      </c>
      <c r="B803" s="5">
        <v>1</v>
      </c>
    </row>
    <row r="804" spans="1:2" x14ac:dyDescent="0.2">
      <c r="A804" s="4" t="s">
        <v>1876</v>
      </c>
      <c r="B804" s="5">
        <v>1</v>
      </c>
    </row>
    <row r="805" spans="1:2" x14ac:dyDescent="0.2">
      <c r="A805" s="4" t="s">
        <v>1292</v>
      </c>
      <c r="B805" s="5">
        <v>1</v>
      </c>
    </row>
    <row r="806" spans="1:2" x14ac:dyDescent="0.2">
      <c r="A806" s="4" t="s">
        <v>1552</v>
      </c>
      <c r="B806" s="5">
        <v>1</v>
      </c>
    </row>
    <row r="807" spans="1:2" x14ac:dyDescent="0.2">
      <c r="A807" s="4" t="s">
        <v>1219</v>
      </c>
      <c r="B807" s="5">
        <v>1</v>
      </c>
    </row>
    <row r="808" spans="1:2" x14ac:dyDescent="0.2">
      <c r="A808" s="4" t="s">
        <v>485</v>
      </c>
      <c r="B808" s="5">
        <v>1</v>
      </c>
    </row>
    <row r="809" spans="1:2" x14ac:dyDescent="0.2">
      <c r="A809" s="4" t="s">
        <v>1388</v>
      </c>
      <c r="B809" s="5">
        <v>1</v>
      </c>
    </row>
    <row r="810" spans="1:2" x14ac:dyDescent="0.2">
      <c r="A810" s="4" t="s">
        <v>1228</v>
      </c>
      <c r="B810" s="5">
        <v>1</v>
      </c>
    </row>
    <row r="811" spans="1:2" x14ac:dyDescent="0.2">
      <c r="A811" s="2" t="s">
        <v>30</v>
      </c>
      <c r="B811" s="5">
        <v>39</v>
      </c>
    </row>
    <row r="812" spans="1:2" x14ac:dyDescent="0.2">
      <c r="A812" s="3" t="s">
        <v>30</v>
      </c>
      <c r="B812" s="5">
        <v>39</v>
      </c>
    </row>
    <row r="813" spans="1:2" x14ac:dyDescent="0.2">
      <c r="A813" s="4" t="s">
        <v>286</v>
      </c>
      <c r="B813" s="5">
        <v>7</v>
      </c>
    </row>
    <row r="814" spans="1:2" x14ac:dyDescent="0.2">
      <c r="A814" s="4" t="s">
        <v>1766</v>
      </c>
      <c r="B814" s="5">
        <v>3</v>
      </c>
    </row>
    <row r="815" spans="1:2" x14ac:dyDescent="0.2">
      <c r="A815" s="4" t="s">
        <v>939</v>
      </c>
      <c r="B815" s="5">
        <v>2</v>
      </c>
    </row>
    <row r="816" spans="1:2" x14ac:dyDescent="0.2">
      <c r="A816" s="4" t="s">
        <v>28</v>
      </c>
      <c r="B816" s="5">
        <v>2</v>
      </c>
    </row>
    <row r="817" spans="1:2" x14ac:dyDescent="0.2">
      <c r="A817" s="4" t="s">
        <v>936</v>
      </c>
      <c r="B817" s="5">
        <v>2</v>
      </c>
    </row>
    <row r="818" spans="1:2" x14ac:dyDescent="0.2">
      <c r="A818" s="4" t="s">
        <v>1523</v>
      </c>
      <c r="B818" s="5">
        <v>1</v>
      </c>
    </row>
    <row r="819" spans="1:2" x14ac:dyDescent="0.2">
      <c r="A819" s="4" t="s">
        <v>942</v>
      </c>
      <c r="B819" s="5">
        <v>1</v>
      </c>
    </row>
    <row r="820" spans="1:2" x14ac:dyDescent="0.2">
      <c r="A820" s="4" t="s">
        <v>1390</v>
      </c>
      <c r="B820" s="5">
        <v>1</v>
      </c>
    </row>
    <row r="821" spans="1:2" x14ac:dyDescent="0.2">
      <c r="A821" s="4" t="s">
        <v>1657</v>
      </c>
      <c r="B821" s="5">
        <v>1</v>
      </c>
    </row>
    <row r="822" spans="1:2" x14ac:dyDescent="0.2">
      <c r="A822" s="4" t="s">
        <v>1784</v>
      </c>
      <c r="B822" s="5">
        <v>1</v>
      </c>
    </row>
    <row r="823" spans="1:2" x14ac:dyDescent="0.2">
      <c r="A823" s="4" t="s">
        <v>1663</v>
      </c>
      <c r="B823" s="5">
        <v>1</v>
      </c>
    </row>
    <row r="824" spans="1:2" x14ac:dyDescent="0.2">
      <c r="A824" s="4" t="s">
        <v>1529</v>
      </c>
      <c r="B824" s="5">
        <v>1</v>
      </c>
    </row>
    <row r="825" spans="1:2" x14ac:dyDescent="0.2">
      <c r="A825" s="4" t="s">
        <v>802</v>
      </c>
      <c r="B825" s="5">
        <v>1</v>
      </c>
    </row>
    <row r="826" spans="1:2" x14ac:dyDescent="0.2">
      <c r="A826" s="4" t="s">
        <v>1346</v>
      </c>
      <c r="B826" s="5">
        <v>1</v>
      </c>
    </row>
    <row r="827" spans="1:2" x14ac:dyDescent="0.2">
      <c r="A827" s="4" t="s">
        <v>945</v>
      </c>
      <c r="B827" s="5">
        <v>1</v>
      </c>
    </row>
    <row r="828" spans="1:2" x14ac:dyDescent="0.2">
      <c r="A828" s="4" t="s">
        <v>1206</v>
      </c>
      <c r="B828" s="5">
        <v>1</v>
      </c>
    </row>
    <row r="829" spans="1:2" x14ac:dyDescent="0.2">
      <c r="A829" s="4" t="s">
        <v>948</v>
      </c>
      <c r="B829" s="5">
        <v>1</v>
      </c>
    </row>
    <row r="830" spans="1:2" x14ac:dyDescent="0.2">
      <c r="A830" s="4" t="s">
        <v>1966</v>
      </c>
      <c r="B830" s="5">
        <v>1</v>
      </c>
    </row>
    <row r="831" spans="1:2" x14ac:dyDescent="0.2">
      <c r="A831" s="4" t="s">
        <v>1769</v>
      </c>
      <c r="B831" s="5">
        <v>1</v>
      </c>
    </row>
    <row r="832" spans="1:2" x14ac:dyDescent="0.2">
      <c r="A832" s="4" t="s">
        <v>534</v>
      </c>
      <c r="B832" s="5">
        <v>1</v>
      </c>
    </row>
    <row r="833" spans="1:2" x14ac:dyDescent="0.2">
      <c r="A833" s="4" t="s">
        <v>1520</v>
      </c>
      <c r="B833" s="5">
        <v>1</v>
      </c>
    </row>
    <row r="834" spans="1:2" x14ac:dyDescent="0.2">
      <c r="A834" s="4" t="s">
        <v>1665</v>
      </c>
      <c r="B834" s="5">
        <v>1</v>
      </c>
    </row>
    <row r="835" spans="1:2" x14ac:dyDescent="0.2">
      <c r="A835" s="4" t="s">
        <v>1534</v>
      </c>
      <c r="B835" s="5">
        <v>1</v>
      </c>
    </row>
    <row r="836" spans="1:2" x14ac:dyDescent="0.2">
      <c r="A836" s="4" t="s">
        <v>1772</v>
      </c>
      <c r="B836" s="5">
        <v>1</v>
      </c>
    </row>
    <row r="837" spans="1:2" x14ac:dyDescent="0.2">
      <c r="A837" s="4" t="s">
        <v>2102</v>
      </c>
      <c r="B837" s="5">
        <v>1</v>
      </c>
    </row>
    <row r="838" spans="1:2" x14ac:dyDescent="0.2">
      <c r="A838" s="4" t="s">
        <v>1555</v>
      </c>
      <c r="B838" s="5">
        <v>1</v>
      </c>
    </row>
    <row r="839" spans="1:2" x14ac:dyDescent="0.2">
      <c r="A839" s="4" t="s">
        <v>1541</v>
      </c>
      <c r="B839" s="5">
        <v>1</v>
      </c>
    </row>
    <row r="840" spans="1:2" x14ac:dyDescent="0.2">
      <c r="A840" s="4" t="s">
        <v>97</v>
      </c>
      <c r="B840" s="5">
        <v>1</v>
      </c>
    </row>
    <row r="841" spans="1:2" x14ac:dyDescent="0.2">
      <c r="A841" s="2" t="s">
        <v>1040</v>
      </c>
      <c r="B841" s="5">
        <v>22</v>
      </c>
    </row>
    <row r="842" spans="1:2" x14ac:dyDescent="0.2">
      <c r="A842" s="3" t="s">
        <v>1041</v>
      </c>
      <c r="B842" s="5">
        <v>22</v>
      </c>
    </row>
    <row r="843" spans="1:2" x14ac:dyDescent="0.2">
      <c r="A843" s="4" t="s">
        <v>1787</v>
      </c>
      <c r="B843" s="5">
        <v>5</v>
      </c>
    </row>
    <row r="844" spans="1:2" x14ac:dyDescent="0.2">
      <c r="A844" s="4" t="s">
        <v>1778</v>
      </c>
      <c r="B844" s="5">
        <v>5</v>
      </c>
    </row>
    <row r="845" spans="1:2" x14ac:dyDescent="0.2">
      <c r="A845" s="4" t="s">
        <v>1775</v>
      </c>
      <c r="B845" s="5">
        <v>5</v>
      </c>
    </row>
    <row r="846" spans="1:2" x14ac:dyDescent="0.2">
      <c r="A846" s="4" t="s">
        <v>1781</v>
      </c>
      <c r="B846" s="5">
        <v>4</v>
      </c>
    </row>
    <row r="847" spans="1:2" x14ac:dyDescent="0.2">
      <c r="A847" s="4" t="s">
        <v>1062</v>
      </c>
      <c r="B847" s="5">
        <v>1</v>
      </c>
    </row>
    <row r="848" spans="1:2" x14ac:dyDescent="0.2">
      <c r="A848" s="4" t="s">
        <v>1045</v>
      </c>
      <c r="B848" s="5">
        <v>1</v>
      </c>
    </row>
    <row r="849" spans="1:2" x14ac:dyDescent="0.2">
      <c r="A849" s="4" t="s">
        <v>1038</v>
      </c>
      <c r="B849" s="5">
        <v>1</v>
      </c>
    </row>
    <row r="850" spans="1:2" x14ac:dyDescent="0.2">
      <c r="A850" s="2" t="s">
        <v>2221</v>
      </c>
      <c r="B850" s="5">
        <v>1386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4D02-448D-064D-91C4-88535B8B592E}">
  <dimension ref="A1:N1387"/>
  <sheetViews>
    <sheetView topLeftCell="A2" workbookViewId="0">
      <selection sqref="A1:N1387"/>
    </sheetView>
  </sheetViews>
  <sheetFormatPr baseColWidth="10" defaultRowHeight="16" x14ac:dyDescent="0.2"/>
  <cols>
    <col min="2" max="2" width="13" customWidth="1"/>
    <col min="4" max="4" width="16" customWidth="1"/>
    <col min="5" max="5" width="26" customWidth="1"/>
    <col min="6" max="6" width="96.42578125" customWidth="1"/>
    <col min="7" max="7" width="27" customWidth="1"/>
    <col min="8" max="8" width="114.85546875" customWidth="1"/>
    <col min="10" max="10" width="11" customWidth="1"/>
    <col min="11" max="11" width="12" customWidth="1"/>
    <col min="12" max="12" width="24.28515625" bestFit="1" customWidth="1"/>
    <col min="13" max="13" width="27.42578125" bestFit="1" customWidth="1"/>
    <col min="14" max="14" width="19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>
        <v>1</v>
      </c>
      <c r="C2">
        <v>1</v>
      </c>
      <c r="D2" t="s">
        <v>14</v>
      </c>
      <c r="F2" t="s">
        <v>15</v>
      </c>
      <c r="H2" t="s">
        <v>15</v>
      </c>
      <c r="I2" t="s">
        <v>16</v>
      </c>
      <c r="J2">
        <v>1</v>
      </c>
      <c r="K2" t="s">
        <v>17</v>
      </c>
      <c r="L2" t="s">
        <v>18</v>
      </c>
      <c r="M2" t="s">
        <v>19</v>
      </c>
      <c r="N2" t="s">
        <v>20</v>
      </c>
    </row>
    <row r="3" spans="1:14" x14ac:dyDescent="0.2">
      <c r="A3">
        <v>2</v>
      </c>
      <c r="B3">
        <v>1</v>
      </c>
      <c r="C3">
        <v>2</v>
      </c>
      <c r="D3" t="s">
        <v>14</v>
      </c>
      <c r="F3" t="s">
        <v>21</v>
      </c>
      <c r="H3" t="s">
        <v>21</v>
      </c>
      <c r="I3" t="s">
        <v>22</v>
      </c>
      <c r="J3">
        <v>1</v>
      </c>
      <c r="K3" t="s">
        <v>17</v>
      </c>
      <c r="L3" t="s">
        <v>18</v>
      </c>
      <c r="M3" t="s">
        <v>19</v>
      </c>
      <c r="N3" t="s">
        <v>20</v>
      </c>
    </row>
    <row r="4" spans="1:14" x14ac:dyDescent="0.2">
      <c r="A4">
        <v>3</v>
      </c>
      <c r="B4">
        <v>1</v>
      </c>
      <c r="C4">
        <v>3</v>
      </c>
      <c r="D4" t="s">
        <v>14</v>
      </c>
      <c r="F4" t="s">
        <v>23</v>
      </c>
      <c r="H4" t="s">
        <v>23</v>
      </c>
      <c r="I4" t="s">
        <v>24</v>
      </c>
      <c r="J4">
        <v>1</v>
      </c>
      <c r="K4" t="s">
        <v>17</v>
      </c>
      <c r="L4" t="s">
        <v>25</v>
      </c>
      <c r="M4" t="s">
        <v>26</v>
      </c>
      <c r="N4" t="s">
        <v>27</v>
      </c>
    </row>
    <row r="5" spans="1:14" x14ac:dyDescent="0.2">
      <c r="A5">
        <v>4</v>
      </c>
      <c r="B5">
        <v>1</v>
      </c>
      <c r="C5">
        <v>4</v>
      </c>
      <c r="D5" t="s">
        <v>14</v>
      </c>
      <c r="F5" t="s">
        <v>28</v>
      </c>
      <c r="H5" t="s">
        <v>28</v>
      </c>
      <c r="I5" t="s">
        <v>29</v>
      </c>
      <c r="J5">
        <v>1</v>
      </c>
      <c r="K5" t="s">
        <v>17</v>
      </c>
      <c r="L5" t="s">
        <v>30</v>
      </c>
      <c r="M5" t="s">
        <v>30</v>
      </c>
      <c r="N5" t="s">
        <v>31</v>
      </c>
    </row>
    <row r="6" spans="1:14" x14ac:dyDescent="0.2">
      <c r="A6">
        <v>5</v>
      </c>
      <c r="B6">
        <v>1</v>
      </c>
      <c r="C6">
        <v>5</v>
      </c>
      <c r="D6" t="s">
        <v>14</v>
      </c>
      <c r="F6" t="s">
        <v>32</v>
      </c>
      <c r="H6" t="s">
        <v>32</v>
      </c>
      <c r="I6" t="s">
        <v>33</v>
      </c>
      <c r="J6">
        <v>1</v>
      </c>
      <c r="K6" t="s">
        <v>17</v>
      </c>
      <c r="L6" t="s">
        <v>25</v>
      </c>
      <c r="M6" t="s">
        <v>26</v>
      </c>
      <c r="N6" t="s">
        <v>27</v>
      </c>
    </row>
    <row r="7" spans="1:14" x14ac:dyDescent="0.2">
      <c r="A7">
        <v>6</v>
      </c>
      <c r="B7">
        <v>1</v>
      </c>
      <c r="C7">
        <v>6</v>
      </c>
      <c r="D7" t="s">
        <v>14</v>
      </c>
      <c r="F7" t="s">
        <v>34</v>
      </c>
      <c r="H7" t="s">
        <v>34</v>
      </c>
      <c r="I7" t="s">
        <v>35</v>
      </c>
      <c r="J7">
        <v>577</v>
      </c>
      <c r="K7" t="s">
        <v>36</v>
      </c>
      <c r="L7" t="s">
        <v>37</v>
      </c>
      <c r="M7" t="s">
        <v>38</v>
      </c>
      <c r="N7" t="s">
        <v>39</v>
      </c>
    </row>
    <row r="8" spans="1:14" x14ac:dyDescent="0.2">
      <c r="A8">
        <v>7</v>
      </c>
      <c r="B8">
        <v>1</v>
      </c>
      <c r="C8">
        <v>7</v>
      </c>
      <c r="D8" t="s">
        <v>14</v>
      </c>
      <c r="F8" t="s">
        <v>40</v>
      </c>
      <c r="H8" t="s">
        <v>40</v>
      </c>
      <c r="I8" t="s">
        <v>41</v>
      </c>
      <c r="J8">
        <v>622</v>
      </c>
      <c r="K8" t="s">
        <v>36</v>
      </c>
      <c r="L8" t="s">
        <v>37</v>
      </c>
      <c r="M8" t="s">
        <v>38</v>
      </c>
      <c r="N8" t="s">
        <v>39</v>
      </c>
    </row>
    <row r="9" spans="1:14" x14ac:dyDescent="0.2">
      <c r="A9">
        <v>8</v>
      </c>
      <c r="B9">
        <v>1</v>
      </c>
      <c r="C9">
        <v>8</v>
      </c>
      <c r="D9" t="s">
        <v>14</v>
      </c>
      <c r="F9" t="s">
        <v>42</v>
      </c>
      <c r="H9" t="s">
        <v>42</v>
      </c>
      <c r="I9" t="s">
        <v>43</v>
      </c>
      <c r="J9">
        <v>48</v>
      </c>
      <c r="K9" t="s">
        <v>36</v>
      </c>
      <c r="L9" t="s">
        <v>37</v>
      </c>
      <c r="M9" t="s">
        <v>38</v>
      </c>
      <c r="N9" t="s">
        <v>39</v>
      </c>
    </row>
    <row r="10" spans="1:14" x14ac:dyDescent="0.2">
      <c r="A10">
        <v>9</v>
      </c>
      <c r="B10">
        <v>1</v>
      </c>
      <c r="C10">
        <v>9</v>
      </c>
      <c r="D10" t="s">
        <v>14</v>
      </c>
      <c r="F10" t="s">
        <v>44</v>
      </c>
      <c r="H10" t="s">
        <v>44</v>
      </c>
      <c r="I10" t="s">
        <v>45</v>
      </c>
      <c r="J10">
        <v>6060</v>
      </c>
      <c r="K10" t="s">
        <v>46</v>
      </c>
      <c r="L10" t="s">
        <v>47</v>
      </c>
      <c r="M10" t="s">
        <v>48</v>
      </c>
      <c r="N10" t="s">
        <v>49</v>
      </c>
    </row>
    <row r="11" spans="1:14" x14ac:dyDescent="0.2">
      <c r="A11">
        <v>10</v>
      </c>
      <c r="B11">
        <v>1</v>
      </c>
      <c r="C11">
        <v>10</v>
      </c>
      <c r="D11" t="s">
        <v>14</v>
      </c>
      <c r="F11" t="s">
        <v>50</v>
      </c>
      <c r="H11" t="s">
        <v>50</v>
      </c>
      <c r="I11" t="s">
        <v>51</v>
      </c>
      <c r="J11">
        <v>255</v>
      </c>
      <c r="K11" t="s">
        <v>52</v>
      </c>
      <c r="L11" t="s">
        <v>37</v>
      </c>
      <c r="M11" t="s">
        <v>38</v>
      </c>
      <c r="N11" t="s">
        <v>39</v>
      </c>
    </row>
    <row r="12" spans="1:14" x14ac:dyDescent="0.2">
      <c r="A12">
        <v>11</v>
      </c>
      <c r="B12">
        <v>1</v>
      </c>
      <c r="C12">
        <v>11</v>
      </c>
      <c r="D12" t="s">
        <v>14</v>
      </c>
      <c r="F12" t="s">
        <v>53</v>
      </c>
      <c r="H12" t="s">
        <v>53</v>
      </c>
      <c r="I12" t="s">
        <v>54</v>
      </c>
      <c r="J12">
        <v>1</v>
      </c>
      <c r="K12" t="s">
        <v>17</v>
      </c>
      <c r="L12" t="s">
        <v>47</v>
      </c>
      <c r="M12" t="s">
        <v>48</v>
      </c>
      <c r="N12" t="s">
        <v>49</v>
      </c>
    </row>
    <row r="13" spans="1:14" x14ac:dyDescent="0.2">
      <c r="A13">
        <v>12</v>
      </c>
      <c r="B13">
        <v>1</v>
      </c>
      <c r="C13">
        <v>12</v>
      </c>
      <c r="D13" t="s">
        <v>14</v>
      </c>
      <c r="F13" t="s">
        <v>55</v>
      </c>
      <c r="H13" t="s">
        <v>55</v>
      </c>
      <c r="I13" t="s">
        <v>56</v>
      </c>
      <c r="J13">
        <v>2940</v>
      </c>
      <c r="K13" t="s">
        <v>46</v>
      </c>
      <c r="L13" t="s">
        <v>57</v>
      </c>
      <c r="M13" t="s">
        <v>58</v>
      </c>
      <c r="N13" t="s">
        <v>59</v>
      </c>
    </row>
    <row r="14" spans="1:14" x14ac:dyDescent="0.2">
      <c r="A14">
        <v>13</v>
      </c>
      <c r="B14">
        <v>1</v>
      </c>
      <c r="C14">
        <v>13</v>
      </c>
      <c r="D14" t="s">
        <v>14</v>
      </c>
      <c r="F14" t="s">
        <v>60</v>
      </c>
      <c r="H14" t="s">
        <v>60</v>
      </c>
      <c r="I14" t="s">
        <v>61</v>
      </c>
      <c r="J14">
        <v>555</v>
      </c>
      <c r="K14" t="s">
        <v>46</v>
      </c>
      <c r="L14" t="s">
        <v>37</v>
      </c>
      <c r="M14" t="s">
        <v>38</v>
      </c>
      <c r="N14" t="s">
        <v>39</v>
      </c>
    </row>
    <row r="15" spans="1:14" x14ac:dyDescent="0.2">
      <c r="A15">
        <v>14</v>
      </c>
      <c r="B15">
        <v>1</v>
      </c>
      <c r="C15">
        <v>14</v>
      </c>
      <c r="D15" t="s">
        <v>14</v>
      </c>
      <c r="F15" t="s">
        <v>62</v>
      </c>
      <c r="H15" t="s">
        <v>62</v>
      </c>
      <c r="I15" t="s">
        <v>63</v>
      </c>
      <c r="J15">
        <v>1</v>
      </c>
      <c r="K15" t="s">
        <v>17</v>
      </c>
      <c r="L15" t="s">
        <v>25</v>
      </c>
      <c r="M15" t="s">
        <v>26</v>
      </c>
      <c r="N15" t="s">
        <v>27</v>
      </c>
    </row>
    <row r="16" spans="1:14" x14ac:dyDescent="0.2">
      <c r="A16">
        <v>15</v>
      </c>
      <c r="B16">
        <v>1</v>
      </c>
      <c r="C16">
        <v>15</v>
      </c>
      <c r="D16" t="s">
        <v>14</v>
      </c>
      <c r="F16" t="s">
        <v>64</v>
      </c>
      <c r="G16" t="s">
        <v>65</v>
      </c>
      <c r="H16" t="s">
        <v>66</v>
      </c>
      <c r="I16" t="s">
        <v>67</v>
      </c>
      <c r="J16">
        <v>1260</v>
      </c>
      <c r="K16" t="s">
        <v>36</v>
      </c>
      <c r="L16" t="s">
        <v>57</v>
      </c>
      <c r="M16" t="s">
        <v>58</v>
      </c>
      <c r="N16" t="s">
        <v>59</v>
      </c>
    </row>
    <row r="17" spans="1:14" x14ac:dyDescent="0.2">
      <c r="A17">
        <v>16</v>
      </c>
      <c r="B17">
        <v>1</v>
      </c>
      <c r="C17">
        <v>16</v>
      </c>
      <c r="D17" t="s">
        <v>14</v>
      </c>
      <c r="F17" t="s">
        <v>68</v>
      </c>
      <c r="G17" t="s">
        <v>69</v>
      </c>
      <c r="H17" t="s">
        <v>70</v>
      </c>
      <c r="I17" t="s">
        <v>71</v>
      </c>
      <c r="J17">
        <v>1</v>
      </c>
      <c r="K17" t="s">
        <v>72</v>
      </c>
      <c r="L17" t="s">
        <v>57</v>
      </c>
      <c r="M17" t="s">
        <v>58</v>
      </c>
      <c r="N17" t="s">
        <v>59</v>
      </c>
    </row>
    <row r="18" spans="1:14" x14ac:dyDescent="0.2">
      <c r="A18">
        <v>17</v>
      </c>
      <c r="B18">
        <v>1</v>
      </c>
      <c r="C18">
        <v>17</v>
      </c>
      <c r="D18" t="s">
        <v>14</v>
      </c>
      <c r="F18" t="s">
        <v>68</v>
      </c>
      <c r="G18" t="s">
        <v>73</v>
      </c>
      <c r="H18" t="s">
        <v>74</v>
      </c>
      <c r="I18" t="s">
        <v>71</v>
      </c>
      <c r="J18">
        <v>1</v>
      </c>
      <c r="K18" t="s">
        <v>72</v>
      </c>
      <c r="L18" t="s">
        <v>57</v>
      </c>
      <c r="M18" t="s">
        <v>58</v>
      </c>
      <c r="N18" t="s">
        <v>59</v>
      </c>
    </row>
    <row r="19" spans="1:14" x14ac:dyDescent="0.2">
      <c r="A19">
        <v>18</v>
      </c>
      <c r="B19">
        <v>1</v>
      </c>
      <c r="C19">
        <v>18</v>
      </c>
      <c r="D19" t="s">
        <v>14</v>
      </c>
      <c r="F19" t="s">
        <v>75</v>
      </c>
      <c r="H19" t="s">
        <v>75</v>
      </c>
      <c r="I19" t="s">
        <v>76</v>
      </c>
      <c r="J19">
        <v>36</v>
      </c>
      <c r="K19" t="s">
        <v>36</v>
      </c>
      <c r="L19" t="s">
        <v>47</v>
      </c>
      <c r="M19" t="s">
        <v>48</v>
      </c>
      <c r="N19" t="s">
        <v>49</v>
      </c>
    </row>
    <row r="20" spans="1:14" x14ac:dyDescent="0.2">
      <c r="A20">
        <v>19</v>
      </c>
      <c r="B20">
        <v>1</v>
      </c>
      <c r="C20">
        <v>19</v>
      </c>
      <c r="D20" t="s">
        <v>14</v>
      </c>
      <c r="F20" t="s">
        <v>77</v>
      </c>
      <c r="H20" t="s">
        <v>77</v>
      </c>
      <c r="I20" t="s">
        <v>78</v>
      </c>
      <c r="J20">
        <v>3</v>
      </c>
      <c r="K20" t="s">
        <v>72</v>
      </c>
      <c r="L20" t="s">
        <v>47</v>
      </c>
      <c r="M20" t="s">
        <v>48</v>
      </c>
      <c r="N20" t="s">
        <v>49</v>
      </c>
    </row>
    <row r="21" spans="1:14" x14ac:dyDescent="0.2">
      <c r="A21">
        <v>20</v>
      </c>
      <c r="B21">
        <v>1</v>
      </c>
      <c r="C21">
        <v>20</v>
      </c>
      <c r="D21" t="s">
        <v>14</v>
      </c>
      <c r="F21" t="s">
        <v>79</v>
      </c>
      <c r="H21" t="s">
        <v>79</v>
      </c>
      <c r="I21" t="s">
        <v>80</v>
      </c>
      <c r="J21">
        <v>1</v>
      </c>
      <c r="K21" t="s">
        <v>17</v>
      </c>
      <c r="L21" t="s">
        <v>57</v>
      </c>
      <c r="M21" t="s">
        <v>58</v>
      </c>
      <c r="N21" t="s">
        <v>59</v>
      </c>
    </row>
    <row r="22" spans="1:14" x14ac:dyDescent="0.2">
      <c r="A22">
        <v>21</v>
      </c>
      <c r="B22">
        <v>1</v>
      </c>
      <c r="C22">
        <v>21</v>
      </c>
      <c r="D22" t="s">
        <v>14</v>
      </c>
      <c r="F22" t="s">
        <v>81</v>
      </c>
      <c r="H22" t="s">
        <v>81</v>
      </c>
      <c r="I22" t="s">
        <v>82</v>
      </c>
      <c r="J22">
        <v>1</v>
      </c>
      <c r="K22" t="s">
        <v>17</v>
      </c>
      <c r="L22" t="s">
        <v>57</v>
      </c>
      <c r="M22" t="s">
        <v>58</v>
      </c>
      <c r="N22" t="s">
        <v>59</v>
      </c>
    </row>
    <row r="23" spans="1:14" x14ac:dyDescent="0.2">
      <c r="A23">
        <v>22</v>
      </c>
      <c r="B23">
        <v>1</v>
      </c>
      <c r="C23">
        <v>22</v>
      </c>
      <c r="D23" t="s">
        <v>14</v>
      </c>
      <c r="F23" t="s">
        <v>83</v>
      </c>
      <c r="H23" t="s">
        <v>83</v>
      </c>
      <c r="I23" t="s">
        <v>84</v>
      </c>
      <c r="J23">
        <v>36</v>
      </c>
      <c r="K23" t="s">
        <v>36</v>
      </c>
      <c r="L23" t="s">
        <v>37</v>
      </c>
      <c r="M23" t="s">
        <v>38</v>
      </c>
      <c r="N23" t="s">
        <v>39</v>
      </c>
    </row>
    <row r="24" spans="1:14" x14ac:dyDescent="0.2">
      <c r="A24">
        <v>23</v>
      </c>
      <c r="B24">
        <v>1</v>
      </c>
      <c r="C24">
        <v>23</v>
      </c>
      <c r="D24" t="s">
        <v>14</v>
      </c>
      <c r="F24" t="s">
        <v>85</v>
      </c>
      <c r="H24" t="s">
        <v>85</v>
      </c>
      <c r="I24" t="s">
        <v>86</v>
      </c>
      <c r="J24">
        <v>500</v>
      </c>
      <c r="K24" t="s">
        <v>87</v>
      </c>
      <c r="L24" t="s">
        <v>37</v>
      </c>
      <c r="M24" t="s">
        <v>38</v>
      </c>
      <c r="N24" t="s">
        <v>39</v>
      </c>
    </row>
    <row r="25" spans="1:14" x14ac:dyDescent="0.2">
      <c r="A25">
        <v>24</v>
      </c>
      <c r="B25">
        <v>1</v>
      </c>
      <c r="C25">
        <v>24</v>
      </c>
      <c r="D25" t="s">
        <v>14</v>
      </c>
      <c r="F25" t="s">
        <v>88</v>
      </c>
      <c r="H25" t="s">
        <v>88</v>
      </c>
      <c r="I25" t="s">
        <v>89</v>
      </c>
      <c r="J25">
        <v>175</v>
      </c>
      <c r="K25" t="s">
        <v>52</v>
      </c>
      <c r="L25" t="s">
        <v>37</v>
      </c>
      <c r="M25" t="s">
        <v>38</v>
      </c>
      <c r="N25" t="s">
        <v>39</v>
      </c>
    </row>
    <row r="26" spans="1:14" x14ac:dyDescent="0.2">
      <c r="A26">
        <v>25</v>
      </c>
      <c r="B26">
        <v>1</v>
      </c>
      <c r="C26">
        <v>25</v>
      </c>
      <c r="D26" t="s">
        <v>14</v>
      </c>
      <c r="F26" t="s">
        <v>90</v>
      </c>
      <c r="G26" t="s">
        <v>91</v>
      </c>
      <c r="H26" t="s">
        <v>92</v>
      </c>
      <c r="I26" t="s">
        <v>93</v>
      </c>
      <c r="J26">
        <v>175</v>
      </c>
      <c r="K26" t="s">
        <v>94</v>
      </c>
      <c r="L26" t="s">
        <v>37</v>
      </c>
      <c r="M26" t="s">
        <v>38</v>
      </c>
      <c r="N26" t="s">
        <v>39</v>
      </c>
    </row>
    <row r="27" spans="1:14" x14ac:dyDescent="0.2">
      <c r="A27">
        <v>26</v>
      </c>
      <c r="B27">
        <v>1</v>
      </c>
      <c r="C27">
        <v>26</v>
      </c>
      <c r="D27" t="s">
        <v>14</v>
      </c>
      <c r="F27" t="s">
        <v>95</v>
      </c>
      <c r="H27" t="s">
        <v>95</v>
      </c>
      <c r="I27" t="s">
        <v>96</v>
      </c>
      <c r="J27">
        <v>1</v>
      </c>
      <c r="K27" t="s">
        <v>17</v>
      </c>
      <c r="L27" t="s">
        <v>37</v>
      </c>
      <c r="M27" t="s">
        <v>38</v>
      </c>
      <c r="N27" t="s">
        <v>39</v>
      </c>
    </row>
    <row r="28" spans="1:14" x14ac:dyDescent="0.2">
      <c r="A28">
        <v>27</v>
      </c>
      <c r="B28">
        <v>1</v>
      </c>
      <c r="C28">
        <v>27</v>
      </c>
      <c r="D28" t="s">
        <v>14</v>
      </c>
      <c r="F28" t="s">
        <v>97</v>
      </c>
      <c r="H28" t="s">
        <v>97</v>
      </c>
      <c r="I28" t="s">
        <v>98</v>
      </c>
      <c r="J28">
        <v>72</v>
      </c>
      <c r="K28" t="s">
        <v>36</v>
      </c>
      <c r="L28" t="s">
        <v>30</v>
      </c>
      <c r="M28" t="s">
        <v>30</v>
      </c>
      <c r="N28" t="s">
        <v>31</v>
      </c>
    </row>
    <row r="29" spans="1:14" x14ac:dyDescent="0.2">
      <c r="A29">
        <v>28</v>
      </c>
      <c r="B29">
        <v>1</v>
      </c>
      <c r="C29">
        <v>28</v>
      </c>
      <c r="D29" t="s">
        <v>14</v>
      </c>
      <c r="F29" t="s">
        <v>99</v>
      </c>
      <c r="H29" t="s">
        <v>99</v>
      </c>
      <c r="I29" t="s">
        <v>100</v>
      </c>
      <c r="J29">
        <v>1</v>
      </c>
      <c r="K29" t="s">
        <v>17</v>
      </c>
      <c r="L29" t="s">
        <v>25</v>
      </c>
      <c r="M29" t="s">
        <v>26</v>
      </c>
      <c r="N29" t="s">
        <v>27</v>
      </c>
    </row>
    <row r="30" spans="1:14" x14ac:dyDescent="0.2">
      <c r="A30">
        <v>29</v>
      </c>
      <c r="B30">
        <v>1</v>
      </c>
      <c r="C30">
        <v>29</v>
      </c>
      <c r="D30" t="s">
        <v>14</v>
      </c>
      <c r="F30" t="s">
        <v>101</v>
      </c>
      <c r="H30" t="s">
        <v>101</v>
      </c>
      <c r="I30" t="s">
        <v>102</v>
      </c>
      <c r="J30">
        <v>1</v>
      </c>
      <c r="K30" t="s">
        <v>17</v>
      </c>
      <c r="L30" t="s">
        <v>57</v>
      </c>
      <c r="M30" t="s">
        <v>58</v>
      </c>
      <c r="N30" t="s">
        <v>59</v>
      </c>
    </row>
    <row r="31" spans="1:14" x14ac:dyDescent="0.2">
      <c r="A31">
        <v>30</v>
      </c>
      <c r="B31">
        <v>1</v>
      </c>
      <c r="C31">
        <v>30</v>
      </c>
      <c r="D31" t="s">
        <v>14</v>
      </c>
      <c r="F31" t="s">
        <v>103</v>
      </c>
      <c r="H31" t="s">
        <v>103</v>
      </c>
      <c r="I31" t="s">
        <v>104</v>
      </c>
      <c r="J31">
        <v>1</v>
      </c>
      <c r="K31" t="s">
        <v>17</v>
      </c>
      <c r="L31" t="s">
        <v>25</v>
      </c>
      <c r="M31" t="s">
        <v>26</v>
      </c>
      <c r="N31" t="s">
        <v>27</v>
      </c>
    </row>
    <row r="32" spans="1:14" x14ac:dyDescent="0.2">
      <c r="A32">
        <v>31</v>
      </c>
      <c r="B32">
        <v>2</v>
      </c>
      <c r="C32">
        <v>1</v>
      </c>
      <c r="D32">
        <v>12200</v>
      </c>
      <c r="F32" t="s">
        <v>105</v>
      </c>
      <c r="H32" t="s">
        <v>106</v>
      </c>
      <c r="I32" t="s">
        <v>107</v>
      </c>
      <c r="J32">
        <v>1</v>
      </c>
      <c r="K32" t="s">
        <v>17</v>
      </c>
      <c r="L32" t="s">
        <v>18</v>
      </c>
      <c r="M32" t="s">
        <v>19</v>
      </c>
      <c r="N32" t="s">
        <v>108</v>
      </c>
    </row>
    <row r="33" spans="1:14" x14ac:dyDescent="0.2">
      <c r="A33">
        <v>32</v>
      </c>
      <c r="B33">
        <v>2</v>
      </c>
      <c r="C33">
        <v>2</v>
      </c>
      <c r="D33">
        <v>12200</v>
      </c>
      <c r="F33" t="s">
        <v>109</v>
      </c>
      <c r="H33" t="s">
        <v>110</v>
      </c>
      <c r="I33" t="s">
        <v>111</v>
      </c>
      <c r="J33">
        <v>1</v>
      </c>
      <c r="K33" t="s">
        <v>17</v>
      </c>
      <c r="L33" t="s">
        <v>18</v>
      </c>
      <c r="M33" t="s">
        <v>19</v>
      </c>
      <c r="N33" t="s">
        <v>108</v>
      </c>
    </row>
    <row r="34" spans="1:14" x14ac:dyDescent="0.2">
      <c r="A34">
        <v>33</v>
      </c>
      <c r="B34">
        <v>2</v>
      </c>
      <c r="C34">
        <v>3</v>
      </c>
      <c r="D34">
        <v>12200</v>
      </c>
      <c r="F34" t="s">
        <v>112</v>
      </c>
      <c r="H34" t="s">
        <v>113</v>
      </c>
      <c r="I34" t="s">
        <v>114</v>
      </c>
      <c r="J34">
        <v>1</v>
      </c>
      <c r="K34" t="s">
        <v>17</v>
      </c>
      <c r="L34" t="s">
        <v>18</v>
      </c>
      <c r="M34" t="s">
        <v>19</v>
      </c>
      <c r="N34" t="s">
        <v>108</v>
      </c>
    </row>
    <row r="35" spans="1:14" x14ac:dyDescent="0.2">
      <c r="A35">
        <v>34</v>
      </c>
      <c r="B35">
        <v>2</v>
      </c>
      <c r="C35">
        <v>4</v>
      </c>
      <c r="D35">
        <v>12200</v>
      </c>
      <c r="F35" t="s">
        <v>115</v>
      </c>
      <c r="H35" t="s">
        <v>116</v>
      </c>
      <c r="I35" t="s">
        <v>117</v>
      </c>
      <c r="J35">
        <v>1</v>
      </c>
      <c r="K35" t="s">
        <v>17</v>
      </c>
      <c r="L35" t="s">
        <v>18</v>
      </c>
      <c r="M35" t="s">
        <v>19</v>
      </c>
      <c r="N35" t="s">
        <v>108</v>
      </c>
    </row>
    <row r="36" spans="1:14" x14ac:dyDescent="0.2">
      <c r="A36">
        <v>35</v>
      </c>
      <c r="B36">
        <v>2</v>
      </c>
      <c r="C36">
        <v>5</v>
      </c>
      <c r="D36">
        <v>12200</v>
      </c>
      <c r="F36" t="s">
        <v>118</v>
      </c>
      <c r="H36" t="s">
        <v>119</v>
      </c>
      <c r="I36" t="s">
        <v>120</v>
      </c>
      <c r="J36">
        <v>1</v>
      </c>
      <c r="K36" t="s">
        <v>17</v>
      </c>
      <c r="L36" t="s">
        <v>18</v>
      </c>
      <c r="M36" t="s">
        <v>19</v>
      </c>
      <c r="N36" t="s">
        <v>108</v>
      </c>
    </row>
    <row r="37" spans="1:14" x14ac:dyDescent="0.2">
      <c r="A37">
        <v>36</v>
      </c>
      <c r="B37">
        <v>2</v>
      </c>
      <c r="C37">
        <v>6</v>
      </c>
      <c r="D37">
        <v>12200</v>
      </c>
      <c r="F37" t="s">
        <v>121</v>
      </c>
      <c r="H37" t="s">
        <v>122</v>
      </c>
      <c r="I37" t="s">
        <v>123</v>
      </c>
      <c r="J37">
        <v>5</v>
      </c>
      <c r="K37" t="s">
        <v>72</v>
      </c>
      <c r="L37" t="s">
        <v>18</v>
      </c>
      <c r="M37" t="s">
        <v>19</v>
      </c>
      <c r="N37" t="s">
        <v>108</v>
      </c>
    </row>
    <row r="38" spans="1:14" x14ac:dyDescent="0.2">
      <c r="A38">
        <v>37</v>
      </c>
      <c r="B38">
        <v>2</v>
      </c>
      <c r="C38">
        <v>6</v>
      </c>
      <c r="D38">
        <v>15713</v>
      </c>
      <c r="F38" t="s">
        <v>124</v>
      </c>
      <c r="H38" t="s">
        <v>125</v>
      </c>
      <c r="I38" t="s">
        <v>126</v>
      </c>
      <c r="J38">
        <v>2</v>
      </c>
      <c r="K38" t="s">
        <v>72</v>
      </c>
      <c r="L38" t="s">
        <v>18</v>
      </c>
      <c r="M38" t="s">
        <v>19</v>
      </c>
      <c r="N38" t="s">
        <v>108</v>
      </c>
    </row>
    <row r="39" spans="1:14" x14ac:dyDescent="0.2">
      <c r="A39">
        <v>38</v>
      </c>
      <c r="B39">
        <v>2</v>
      </c>
      <c r="C39">
        <v>7</v>
      </c>
      <c r="D39">
        <v>15713</v>
      </c>
      <c r="F39" t="s">
        <v>127</v>
      </c>
      <c r="H39" t="s">
        <v>128</v>
      </c>
      <c r="I39" t="s">
        <v>129</v>
      </c>
      <c r="J39">
        <v>86</v>
      </c>
      <c r="K39" t="s">
        <v>72</v>
      </c>
      <c r="L39" t="s">
        <v>18</v>
      </c>
      <c r="M39" t="s">
        <v>19</v>
      </c>
      <c r="N39" t="s">
        <v>108</v>
      </c>
    </row>
    <row r="40" spans="1:14" x14ac:dyDescent="0.2">
      <c r="A40">
        <v>39</v>
      </c>
      <c r="B40">
        <v>2</v>
      </c>
      <c r="C40">
        <v>7</v>
      </c>
      <c r="D40">
        <v>15713</v>
      </c>
      <c r="F40" t="s">
        <v>127</v>
      </c>
      <c r="H40" t="s">
        <v>128</v>
      </c>
      <c r="I40" t="s">
        <v>129</v>
      </c>
      <c r="J40">
        <v>15</v>
      </c>
      <c r="K40" t="s">
        <v>72</v>
      </c>
      <c r="L40" t="s">
        <v>18</v>
      </c>
      <c r="M40" t="s">
        <v>19</v>
      </c>
      <c r="N40" t="s">
        <v>108</v>
      </c>
    </row>
    <row r="41" spans="1:14" x14ac:dyDescent="0.2">
      <c r="A41">
        <v>40</v>
      </c>
      <c r="B41">
        <v>2</v>
      </c>
      <c r="C41">
        <v>8</v>
      </c>
      <c r="D41">
        <v>15713</v>
      </c>
      <c r="F41" t="s">
        <v>130</v>
      </c>
      <c r="H41" t="s">
        <v>131</v>
      </c>
      <c r="I41" t="s">
        <v>132</v>
      </c>
      <c r="J41">
        <v>0.2</v>
      </c>
      <c r="K41" t="s">
        <v>133</v>
      </c>
      <c r="L41" t="s">
        <v>18</v>
      </c>
      <c r="M41" t="s">
        <v>19</v>
      </c>
      <c r="N41" t="s">
        <v>108</v>
      </c>
    </row>
    <row r="42" spans="1:14" x14ac:dyDescent="0.2">
      <c r="A42">
        <v>41</v>
      </c>
      <c r="B42">
        <v>2</v>
      </c>
      <c r="C42">
        <v>8</v>
      </c>
      <c r="D42" t="s">
        <v>14</v>
      </c>
      <c r="F42" t="s">
        <v>134</v>
      </c>
      <c r="H42" t="s">
        <v>134</v>
      </c>
      <c r="I42" t="s">
        <v>135</v>
      </c>
      <c r="J42">
        <v>1</v>
      </c>
      <c r="K42" t="s">
        <v>17</v>
      </c>
      <c r="L42" t="s">
        <v>18</v>
      </c>
      <c r="M42" t="s">
        <v>19</v>
      </c>
      <c r="N42" t="s">
        <v>20</v>
      </c>
    </row>
    <row r="43" spans="1:14" x14ac:dyDescent="0.2">
      <c r="A43">
        <v>42</v>
      </c>
      <c r="B43">
        <v>2</v>
      </c>
      <c r="C43">
        <v>9</v>
      </c>
      <c r="D43" t="s">
        <v>136</v>
      </c>
      <c r="F43" t="s">
        <v>137</v>
      </c>
      <c r="H43" t="s">
        <v>138</v>
      </c>
      <c r="I43" t="s">
        <v>139</v>
      </c>
      <c r="J43">
        <v>1000</v>
      </c>
      <c r="K43" t="s">
        <v>36</v>
      </c>
      <c r="L43" t="s">
        <v>37</v>
      </c>
      <c r="M43" t="s">
        <v>38</v>
      </c>
      <c r="N43" t="s">
        <v>140</v>
      </c>
    </row>
    <row r="44" spans="1:14" x14ac:dyDescent="0.2">
      <c r="A44">
        <v>43</v>
      </c>
      <c r="B44">
        <v>2</v>
      </c>
      <c r="C44">
        <v>9</v>
      </c>
      <c r="D44" t="s">
        <v>14</v>
      </c>
      <c r="F44" t="s">
        <v>134</v>
      </c>
      <c r="H44" t="s">
        <v>134</v>
      </c>
      <c r="I44" t="s">
        <v>135</v>
      </c>
      <c r="J44">
        <v>1</v>
      </c>
      <c r="K44" t="s">
        <v>17</v>
      </c>
      <c r="L44" t="s">
        <v>18</v>
      </c>
      <c r="M44" t="s">
        <v>19</v>
      </c>
      <c r="N44" t="s">
        <v>20</v>
      </c>
    </row>
    <row r="45" spans="1:14" x14ac:dyDescent="0.2">
      <c r="A45">
        <v>44</v>
      </c>
      <c r="B45">
        <v>2</v>
      </c>
      <c r="C45">
        <v>10</v>
      </c>
      <c r="D45" t="s">
        <v>136</v>
      </c>
      <c r="F45" t="s">
        <v>141</v>
      </c>
      <c r="G45" t="s">
        <v>142</v>
      </c>
      <c r="H45" t="s">
        <v>143</v>
      </c>
      <c r="I45" t="s">
        <v>144</v>
      </c>
      <c r="J45">
        <v>100</v>
      </c>
      <c r="K45" t="s">
        <v>94</v>
      </c>
      <c r="L45" t="s">
        <v>37</v>
      </c>
      <c r="M45" t="s">
        <v>38</v>
      </c>
      <c r="N45" t="s">
        <v>140</v>
      </c>
    </row>
    <row r="46" spans="1:14" x14ac:dyDescent="0.2">
      <c r="A46">
        <v>45</v>
      </c>
      <c r="B46">
        <v>2</v>
      </c>
      <c r="C46">
        <v>10</v>
      </c>
      <c r="D46" t="s">
        <v>136</v>
      </c>
      <c r="F46" t="s">
        <v>145</v>
      </c>
      <c r="G46" t="s">
        <v>146</v>
      </c>
      <c r="H46" t="s">
        <v>147</v>
      </c>
      <c r="I46" t="s">
        <v>148</v>
      </c>
      <c r="J46">
        <v>58100</v>
      </c>
      <c r="K46" t="s">
        <v>94</v>
      </c>
      <c r="L46" t="s">
        <v>37</v>
      </c>
      <c r="M46" t="s">
        <v>38</v>
      </c>
      <c r="N46" t="s">
        <v>140</v>
      </c>
    </row>
    <row r="47" spans="1:14" x14ac:dyDescent="0.2">
      <c r="A47">
        <v>46</v>
      </c>
      <c r="B47">
        <v>2</v>
      </c>
      <c r="C47">
        <v>11</v>
      </c>
      <c r="D47" t="s">
        <v>136</v>
      </c>
      <c r="F47" t="s">
        <v>141</v>
      </c>
      <c r="G47" t="s">
        <v>149</v>
      </c>
      <c r="H47" t="s">
        <v>150</v>
      </c>
      <c r="I47" t="s">
        <v>144</v>
      </c>
      <c r="J47">
        <v>1700</v>
      </c>
      <c r="K47" t="s">
        <v>94</v>
      </c>
      <c r="L47" t="s">
        <v>37</v>
      </c>
      <c r="M47" t="s">
        <v>38</v>
      </c>
      <c r="N47" t="s">
        <v>140</v>
      </c>
    </row>
    <row r="48" spans="1:14" x14ac:dyDescent="0.2">
      <c r="A48">
        <v>47</v>
      </c>
      <c r="B48">
        <v>2</v>
      </c>
      <c r="C48">
        <v>11</v>
      </c>
      <c r="D48" t="s">
        <v>136</v>
      </c>
      <c r="F48" t="s">
        <v>145</v>
      </c>
      <c r="G48" t="s">
        <v>151</v>
      </c>
      <c r="H48" t="s">
        <v>152</v>
      </c>
      <c r="I48" t="s">
        <v>148</v>
      </c>
      <c r="J48">
        <v>30400</v>
      </c>
      <c r="K48" t="s">
        <v>94</v>
      </c>
      <c r="L48" t="s">
        <v>37</v>
      </c>
      <c r="M48" t="s">
        <v>38</v>
      </c>
      <c r="N48" t="s">
        <v>140</v>
      </c>
    </row>
    <row r="49" spans="1:14" x14ac:dyDescent="0.2">
      <c r="A49">
        <v>48</v>
      </c>
      <c r="B49">
        <v>2</v>
      </c>
      <c r="C49">
        <v>12</v>
      </c>
      <c r="D49" t="s">
        <v>136</v>
      </c>
      <c r="F49" t="s">
        <v>145</v>
      </c>
      <c r="G49" t="s">
        <v>146</v>
      </c>
      <c r="H49" t="s">
        <v>147</v>
      </c>
      <c r="I49" t="s">
        <v>148</v>
      </c>
      <c r="J49">
        <v>550</v>
      </c>
      <c r="K49" t="s">
        <v>94</v>
      </c>
      <c r="L49" t="s">
        <v>37</v>
      </c>
      <c r="M49" t="s">
        <v>38</v>
      </c>
      <c r="N49" t="s">
        <v>140</v>
      </c>
    </row>
    <row r="50" spans="1:14" x14ac:dyDescent="0.2">
      <c r="A50">
        <v>49</v>
      </c>
      <c r="B50">
        <v>2</v>
      </c>
      <c r="C50">
        <v>12</v>
      </c>
      <c r="D50" t="s">
        <v>153</v>
      </c>
      <c r="F50" t="s">
        <v>154</v>
      </c>
      <c r="H50" t="s">
        <v>155</v>
      </c>
      <c r="I50" t="s">
        <v>156</v>
      </c>
      <c r="J50">
        <v>4200</v>
      </c>
      <c r="K50" t="s">
        <v>36</v>
      </c>
      <c r="L50" t="s">
        <v>37</v>
      </c>
      <c r="M50" t="s">
        <v>38</v>
      </c>
      <c r="N50" t="s">
        <v>140</v>
      </c>
    </row>
    <row r="51" spans="1:14" x14ac:dyDescent="0.2">
      <c r="A51">
        <v>50</v>
      </c>
      <c r="B51">
        <v>2</v>
      </c>
      <c r="C51">
        <v>13</v>
      </c>
      <c r="D51" t="s">
        <v>157</v>
      </c>
      <c r="F51" t="s">
        <v>158</v>
      </c>
      <c r="H51" t="s">
        <v>159</v>
      </c>
      <c r="I51" t="s">
        <v>160</v>
      </c>
      <c r="J51">
        <v>15000</v>
      </c>
      <c r="K51" t="s">
        <v>52</v>
      </c>
      <c r="L51" t="s">
        <v>37</v>
      </c>
      <c r="M51" t="s">
        <v>38</v>
      </c>
      <c r="N51" t="s">
        <v>140</v>
      </c>
    </row>
    <row r="52" spans="1:14" x14ac:dyDescent="0.2">
      <c r="A52">
        <v>51</v>
      </c>
      <c r="B52">
        <v>2</v>
      </c>
      <c r="C52">
        <v>13</v>
      </c>
      <c r="D52" t="s">
        <v>14</v>
      </c>
      <c r="F52" t="s">
        <v>161</v>
      </c>
      <c r="H52" t="s">
        <v>161</v>
      </c>
      <c r="I52" t="s">
        <v>162</v>
      </c>
      <c r="J52">
        <v>14500</v>
      </c>
      <c r="K52" t="s">
        <v>46</v>
      </c>
      <c r="L52" t="s">
        <v>37</v>
      </c>
      <c r="M52" t="s">
        <v>38</v>
      </c>
      <c r="N52" t="s">
        <v>39</v>
      </c>
    </row>
    <row r="53" spans="1:14" x14ac:dyDescent="0.2">
      <c r="A53">
        <v>52</v>
      </c>
      <c r="B53">
        <v>2</v>
      </c>
      <c r="C53">
        <v>14</v>
      </c>
      <c r="D53" t="s">
        <v>163</v>
      </c>
      <c r="F53" t="s">
        <v>164</v>
      </c>
      <c r="H53" t="s">
        <v>165</v>
      </c>
      <c r="I53" t="s">
        <v>166</v>
      </c>
      <c r="J53">
        <v>250</v>
      </c>
      <c r="K53" t="s">
        <v>46</v>
      </c>
      <c r="L53" t="s">
        <v>37</v>
      </c>
      <c r="M53" t="s">
        <v>38</v>
      </c>
      <c r="N53" t="s">
        <v>140</v>
      </c>
    </row>
    <row r="54" spans="1:14" x14ac:dyDescent="0.2">
      <c r="A54">
        <v>53</v>
      </c>
      <c r="B54">
        <v>2</v>
      </c>
      <c r="C54">
        <v>14</v>
      </c>
      <c r="D54" t="s">
        <v>167</v>
      </c>
      <c r="F54" t="s">
        <v>168</v>
      </c>
      <c r="H54" t="s">
        <v>169</v>
      </c>
      <c r="I54" t="s">
        <v>170</v>
      </c>
      <c r="J54">
        <v>8500</v>
      </c>
      <c r="K54" t="s">
        <v>52</v>
      </c>
      <c r="L54" t="s">
        <v>37</v>
      </c>
      <c r="M54" t="s">
        <v>38</v>
      </c>
      <c r="N54" t="s">
        <v>140</v>
      </c>
    </row>
    <row r="55" spans="1:14" x14ac:dyDescent="0.2">
      <c r="A55">
        <v>54</v>
      </c>
      <c r="B55">
        <v>2</v>
      </c>
      <c r="C55">
        <v>15</v>
      </c>
      <c r="D55" t="s">
        <v>163</v>
      </c>
      <c r="F55" t="s">
        <v>171</v>
      </c>
      <c r="H55" t="s">
        <v>172</v>
      </c>
      <c r="I55" t="s">
        <v>173</v>
      </c>
      <c r="J55">
        <v>1600</v>
      </c>
      <c r="K55" t="s">
        <v>94</v>
      </c>
      <c r="L55" t="s">
        <v>37</v>
      </c>
      <c r="M55" t="s">
        <v>38</v>
      </c>
      <c r="N55" t="s">
        <v>140</v>
      </c>
    </row>
    <row r="56" spans="1:14" x14ac:dyDescent="0.2">
      <c r="A56">
        <v>55</v>
      </c>
      <c r="B56">
        <v>2</v>
      </c>
      <c r="C56">
        <v>15</v>
      </c>
      <c r="D56" t="s">
        <v>174</v>
      </c>
      <c r="F56" t="s">
        <v>175</v>
      </c>
      <c r="H56" t="s">
        <v>176</v>
      </c>
      <c r="I56" t="s">
        <v>177</v>
      </c>
      <c r="J56">
        <v>9500</v>
      </c>
      <c r="K56" t="s">
        <v>178</v>
      </c>
      <c r="L56" t="s">
        <v>37</v>
      </c>
      <c r="M56" t="s">
        <v>38</v>
      </c>
      <c r="N56" t="s">
        <v>140</v>
      </c>
    </row>
    <row r="57" spans="1:14" x14ac:dyDescent="0.2">
      <c r="A57">
        <v>56</v>
      </c>
      <c r="B57">
        <v>2</v>
      </c>
      <c r="C57">
        <v>16</v>
      </c>
      <c r="D57" t="s">
        <v>179</v>
      </c>
      <c r="F57" t="s">
        <v>180</v>
      </c>
      <c r="H57" t="s">
        <v>181</v>
      </c>
      <c r="I57" t="s">
        <v>182</v>
      </c>
      <c r="J57">
        <v>750</v>
      </c>
      <c r="K57" t="s">
        <v>46</v>
      </c>
      <c r="L57" t="s">
        <v>37</v>
      </c>
      <c r="M57" t="s">
        <v>38</v>
      </c>
      <c r="N57" t="s">
        <v>140</v>
      </c>
    </row>
    <row r="58" spans="1:14" x14ac:dyDescent="0.2">
      <c r="A58">
        <v>57</v>
      </c>
      <c r="B58">
        <v>2</v>
      </c>
      <c r="C58">
        <v>16</v>
      </c>
      <c r="D58" t="s">
        <v>183</v>
      </c>
      <c r="F58" t="s">
        <v>184</v>
      </c>
      <c r="H58" t="s">
        <v>185</v>
      </c>
      <c r="I58" t="s">
        <v>186</v>
      </c>
      <c r="J58">
        <v>25</v>
      </c>
      <c r="K58" t="s">
        <v>178</v>
      </c>
      <c r="L58" t="s">
        <v>37</v>
      </c>
      <c r="M58" t="s">
        <v>38</v>
      </c>
      <c r="N58" t="s">
        <v>140</v>
      </c>
    </row>
    <row r="59" spans="1:14" x14ac:dyDescent="0.2">
      <c r="A59">
        <v>58</v>
      </c>
      <c r="B59">
        <v>2</v>
      </c>
      <c r="C59">
        <v>17</v>
      </c>
      <c r="D59" t="s">
        <v>187</v>
      </c>
      <c r="F59" t="s">
        <v>188</v>
      </c>
      <c r="H59" t="s">
        <v>189</v>
      </c>
      <c r="I59" t="s">
        <v>190</v>
      </c>
      <c r="J59">
        <v>150</v>
      </c>
      <c r="K59" t="s">
        <v>46</v>
      </c>
      <c r="L59" t="s">
        <v>37</v>
      </c>
      <c r="M59" t="s">
        <v>38</v>
      </c>
      <c r="N59" t="s">
        <v>140</v>
      </c>
    </row>
    <row r="60" spans="1:14" x14ac:dyDescent="0.2">
      <c r="A60">
        <v>59</v>
      </c>
      <c r="B60">
        <v>2</v>
      </c>
      <c r="C60">
        <v>17</v>
      </c>
      <c r="D60" t="s">
        <v>191</v>
      </c>
      <c r="F60" t="s">
        <v>192</v>
      </c>
      <c r="H60" t="s">
        <v>193</v>
      </c>
      <c r="I60" t="s">
        <v>194</v>
      </c>
      <c r="J60">
        <v>60</v>
      </c>
      <c r="K60" t="s">
        <v>178</v>
      </c>
      <c r="L60" t="s">
        <v>37</v>
      </c>
      <c r="M60" t="s">
        <v>38</v>
      </c>
      <c r="N60" t="s">
        <v>140</v>
      </c>
    </row>
    <row r="61" spans="1:14" x14ac:dyDescent="0.2">
      <c r="A61">
        <v>60</v>
      </c>
      <c r="B61">
        <v>2</v>
      </c>
      <c r="C61">
        <v>18</v>
      </c>
      <c r="D61" t="s">
        <v>153</v>
      </c>
      <c r="F61" t="s">
        <v>154</v>
      </c>
      <c r="H61" t="s">
        <v>155</v>
      </c>
      <c r="I61" t="s">
        <v>156</v>
      </c>
      <c r="J61">
        <v>2300</v>
      </c>
      <c r="K61" t="s">
        <v>36</v>
      </c>
      <c r="L61" t="s">
        <v>37</v>
      </c>
      <c r="M61" t="s">
        <v>38</v>
      </c>
      <c r="N61" t="s">
        <v>140</v>
      </c>
    </row>
    <row r="62" spans="1:14" x14ac:dyDescent="0.2">
      <c r="A62">
        <v>61</v>
      </c>
      <c r="B62">
        <v>2</v>
      </c>
      <c r="C62">
        <v>18</v>
      </c>
      <c r="D62" t="s">
        <v>195</v>
      </c>
      <c r="F62" t="s">
        <v>196</v>
      </c>
      <c r="H62" t="s">
        <v>197</v>
      </c>
      <c r="I62" t="s">
        <v>198</v>
      </c>
      <c r="J62">
        <v>19600</v>
      </c>
      <c r="K62" t="s">
        <v>94</v>
      </c>
      <c r="L62" t="s">
        <v>37</v>
      </c>
      <c r="M62" t="s">
        <v>38</v>
      </c>
      <c r="N62" t="s">
        <v>140</v>
      </c>
    </row>
    <row r="63" spans="1:14" x14ac:dyDescent="0.2">
      <c r="A63">
        <v>62</v>
      </c>
      <c r="B63">
        <v>2</v>
      </c>
      <c r="C63">
        <v>19</v>
      </c>
      <c r="D63" t="s">
        <v>199</v>
      </c>
      <c r="F63" t="s">
        <v>200</v>
      </c>
      <c r="H63" t="s">
        <v>201</v>
      </c>
      <c r="I63" t="s">
        <v>202</v>
      </c>
      <c r="J63">
        <v>650</v>
      </c>
      <c r="K63" t="s">
        <v>46</v>
      </c>
      <c r="L63" t="s">
        <v>37</v>
      </c>
      <c r="M63" t="s">
        <v>38</v>
      </c>
      <c r="N63" t="s">
        <v>140</v>
      </c>
    </row>
    <row r="64" spans="1:14" x14ac:dyDescent="0.2">
      <c r="A64">
        <v>63</v>
      </c>
      <c r="B64">
        <v>2</v>
      </c>
      <c r="C64">
        <v>19</v>
      </c>
      <c r="D64" t="s">
        <v>195</v>
      </c>
      <c r="F64" t="s">
        <v>203</v>
      </c>
      <c r="H64" t="s">
        <v>204</v>
      </c>
      <c r="I64" t="s">
        <v>205</v>
      </c>
      <c r="J64">
        <v>1</v>
      </c>
      <c r="K64" t="s">
        <v>17</v>
      </c>
      <c r="L64" t="s">
        <v>37</v>
      </c>
      <c r="M64" t="s">
        <v>38</v>
      </c>
      <c r="N64" t="s">
        <v>140</v>
      </c>
    </row>
    <row r="65" spans="1:14" x14ac:dyDescent="0.2">
      <c r="A65">
        <v>64</v>
      </c>
      <c r="B65">
        <v>2</v>
      </c>
      <c r="C65">
        <v>20</v>
      </c>
      <c r="D65" t="s">
        <v>167</v>
      </c>
      <c r="F65" t="s">
        <v>206</v>
      </c>
      <c r="H65" t="s">
        <v>207</v>
      </c>
      <c r="I65" t="s">
        <v>208</v>
      </c>
      <c r="J65">
        <v>750</v>
      </c>
      <c r="K65" t="s">
        <v>52</v>
      </c>
      <c r="L65" t="s">
        <v>37</v>
      </c>
      <c r="M65" t="s">
        <v>38</v>
      </c>
      <c r="N65" t="s">
        <v>140</v>
      </c>
    </row>
    <row r="66" spans="1:14" x14ac:dyDescent="0.2">
      <c r="A66">
        <v>65</v>
      </c>
      <c r="B66">
        <v>2</v>
      </c>
      <c r="C66">
        <v>20</v>
      </c>
      <c r="D66" t="s">
        <v>209</v>
      </c>
      <c r="F66" t="s">
        <v>210</v>
      </c>
      <c r="H66" t="s">
        <v>211</v>
      </c>
      <c r="I66" t="s">
        <v>212</v>
      </c>
      <c r="J66">
        <v>30</v>
      </c>
      <c r="K66" t="s">
        <v>46</v>
      </c>
      <c r="L66" t="s">
        <v>37</v>
      </c>
      <c r="M66" t="s">
        <v>38</v>
      </c>
      <c r="N66" t="s">
        <v>140</v>
      </c>
    </row>
    <row r="67" spans="1:14" x14ac:dyDescent="0.2">
      <c r="A67">
        <v>66</v>
      </c>
      <c r="B67">
        <v>2</v>
      </c>
      <c r="C67">
        <v>21</v>
      </c>
      <c r="D67" t="s">
        <v>174</v>
      </c>
      <c r="F67" t="s">
        <v>175</v>
      </c>
      <c r="H67" t="s">
        <v>176</v>
      </c>
      <c r="I67" t="s">
        <v>177</v>
      </c>
      <c r="J67">
        <v>140</v>
      </c>
      <c r="K67" t="s">
        <v>178</v>
      </c>
      <c r="L67" t="s">
        <v>37</v>
      </c>
      <c r="M67" t="s">
        <v>38</v>
      </c>
      <c r="N67" t="s">
        <v>140</v>
      </c>
    </row>
    <row r="68" spans="1:14" x14ac:dyDescent="0.2">
      <c r="A68">
        <v>67</v>
      </c>
      <c r="B68">
        <v>2</v>
      </c>
      <c r="C68">
        <v>21</v>
      </c>
      <c r="D68" t="s">
        <v>209</v>
      </c>
      <c r="F68" t="s">
        <v>213</v>
      </c>
      <c r="H68" t="s">
        <v>214</v>
      </c>
      <c r="I68" t="s">
        <v>215</v>
      </c>
      <c r="J68">
        <v>400</v>
      </c>
      <c r="K68" t="s">
        <v>216</v>
      </c>
      <c r="L68" t="s">
        <v>37</v>
      </c>
      <c r="M68" t="s">
        <v>38</v>
      </c>
      <c r="N68" t="s">
        <v>140</v>
      </c>
    </row>
    <row r="69" spans="1:14" x14ac:dyDescent="0.2">
      <c r="A69">
        <v>68</v>
      </c>
      <c r="B69">
        <v>2</v>
      </c>
      <c r="C69">
        <v>22</v>
      </c>
      <c r="D69" t="s">
        <v>209</v>
      </c>
      <c r="F69" t="s">
        <v>213</v>
      </c>
      <c r="H69" t="s">
        <v>214</v>
      </c>
      <c r="I69" t="s">
        <v>215</v>
      </c>
      <c r="J69">
        <v>1830</v>
      </c>
      <c r="K69" t="s">
        <v>216</v>
      </c>
      <c r="L69" t="s">
        <v>37</v>
      </c>
      <c r="M69" t="s">
        <v>38</v>
      </c>
      <c r="N69" t="s">
        <v>140</v>
      </c>
    </row>
    <row r="70" spans="1:14" x14ac:dyDescent="0.2">
      <c r="A70">
        <v>69</v>
      </c>
      <c r="B70">
        <v>2</v>
      </c>
      <c r="C70">
        <v>22</v>
      </c>
      <c r="D70" t="s">
        <v>217</v>
      </c>
      <c r="F70" t="s">
        <v>218</v>
      </c>
      <c r="H70" t="s">
        <v>219</v>
      </c>
      <c r="I70" t="s">
        <v>220</v>
      </c>
      <c r="J70">
        <v>92000</v>
      </c>
      <c r="K70" t="s">
        <v>87</v>
      </c>
      <c r="L70" t="s">
        <v>37</v>
      </c>
      <c r="M70" t="s">
        <v>38</v>
      </c>
      <c r="N70" t="s">
        <v>140</v>
      </c>
    </row>
    <row r="71" spans="1:14" x14ac:dyDescent="0.2">
      <c r="A71">
        <v>70</v>
      </c>
      <c r="B71">
        <v>2</v>
      </c>
      <c r="C71">
        <v>23</v>
      </c>
      <c r="D71" t="s">
        <v>217</v>
      </c>
      <c r="F71" t="s">
        <v>221</v>
      </c>
      <c r="H71" t="s">
        <v>222</v>
      </c>
      <c r="I71" t="s">
        <v>223</v>
      </c>
      <c r="J71">
        <v>5600</v>
      </c>
      <c r="K71" t="s">
        <v>216</v>
      </c>
      <c r="L71" t="s">
        <v>37</v>
      </c>
      <c r="M71" t="s">
        <v>38</v>
      </c>
      <c r="N71" t="s">
        <v>140</v>
      </c>
    </row>
    <row r="72" spans="1:14" x14ac:dyDescent="0.2">
      <c r="A72">
        <v>71</v>
      </c>
      <c r="B72">
        <v>2</v>
      </c>
      <c r="C72">
        <v>23</v>
      </c>
      <c r="D72" t="s">
        <v>217</v>
      </c>
      <c r="F72" t="s">
        <v>218</v>
      </c>
      <c r="H72" t="s">
        <v>219</v>
      </c>
      <c r="I72" t="s">
        <v>220</v>
      </c>
      <c r="J72">
        <v>750</v>
      </c>
      <c r="K72" t="s">
        <v>87</v>
      </c>
      <c r="L72" t="s">
        <v>37</v>
      </c>
      <c r="M72" t="s">
        <v>38</v>
      </c>
      <c r="N72" t="s">
        <v>140</v>
      </c>
    </row>
    <row r="73" spans="1:14" x14ac:dyDescent="0.2">
      <c r="A73">
        <v>72</v>
      </c>
      <c r="B73">
        <v>2</v>
      </c>
      <c r="C73">
        <v>24</v>
      </c>
      <c r="D73" t="s">
        <v>217</v>
      </c>
      <c r="F73" t="s">
        <v>224</v>
      </c>
      <c r="H73" t="s">
        <v>225</v>
      </c>
      <c r="I73" t="s">
        <v>226</v>
      </c>
      <c r="J73">
        <v>7250</v>
      </c>
      <c r="K73" t="s">
        <v>87</v>
      </c>
      <c r="L73" t="s">
        <v>37</v>
      </c>
      <c r="M73" t="s">
        <v>38</v>
      </c>
      <c r="N73" t="s">
        <v>140</v>
      </c>
    </row>
    <row r="74" spans="1:14" x14ac:dyDescent="0.2">
      <c r="A74">
        <v>73</v>
      </c>
      <c r="B74">
        <v>2</v>
      </c>
      <c r="C74">
        <v>24</v>
      </c>
      <c r="D74" t="s">
        <v>217</v>
      </c>
      <c r="F74" t="s">
        <v>221</v>
      </c>
      <c r="H74" t="s">
        <v>222</v>
      </c>
      <c r="I74" t="s">
        <v>223</v>
      </c>
      <c r="J74">
        <v>50</v>
      </c>
      <c r="K74" t="s">
        <v>216</v>
      </c>
      <c r="L74" t="s">
        <v>37</v>
      </c>
      <c r="M74" t="s">
        <v>38</v>
      </c>
      <c r="N74" t="s">
        <v>140</v>
      </c>
    </row>
    <row r="75" spans="1:14" x14ac:dyDescent="0.2">
      <c r="A75">
        <v>74</v>
      </c>
      <c r="B75">
        <v>2</v>
      </c>
      <c r="C75">
        <v>25</v>
      </c>
      <c r="D75" t="s">
        <v>227</v>
      </c>
      <c r="F75" t="s">
        <v>228</v>
      </c>
      <c r="G75" t="s">
        <v>229</v>
      </c>
      <c r="H75" t="s">
        <v>230</v>
      </c>
      <c r="I75" t="s">
        <v>231</v>
      </c>
      <c r="J75">
        <v>439</v>
      </c>
      <c r="K75" t="s">
        <v>36</v>
      </c>
      <c r="L75" t="s">
        <v>57</v>
      </c>
      <c r="M75" t="s">
        <v>232</v>
      </c>
      <c r="N75" t="s">
        <v>233</v>
      </c>
    </row>
    <row r="76" spans="1:14" x14ac:dyDescent="0.2">
      <c r="A76">
        <v>75</v>
      </c>
      <c r="B76">
        <v>2</v>
      </c>
      <c r="C76">
        <v>25</v>
      </c>
      <c r="D76" t="s">
        <v>234</v>
      </c>
      <c r="F76" t="s">
        <v>235</v>
      </c>
      <c r="H76" t="s">
        <v>236</v>
      </c>
      <c r="I76" t="s">
        <v>237</v>
      </c>
      <c r="J76">
        <v>78600</v>
      </c>
      <c r="K76" t="s">
        <v>94</v>
      </c>
      <c r="L76" t="s">
        <v>37</v>
      </c>
      <c r="M76" t="s">
        <v>38</v>
      </c>
      <c r="N76" t="s">
        <v>140</v>
      </c>
    </row>
    <row r="77" spans="1:14" x14ac:dyDescent="0.2">
      <c r="A77">
        <v>76</v>
      </c>
      <c r="B77">
        <v>2</v>
      </c>
      <c r="C77">
        <v>26</v>
      </c>
      <c r="D77" t="s">
        <v>227</v>
      </c>
      <c r="F77" t="s">
        <v>228</v>
      </c>
      <c r="G77" t="s">
        <v>238</v>
      </c>
      <c r="H77" t="s">
        <v>239</v>
      </c>
      <c r="I77" t="s">
        <v>231</v>
      </c>
      <c r="J77">
        <v>749</v>
      </c>
      <c r="K77" t="s">
        <v>36</v>
      </c>
      <c r="L77" t="s">
        <v>57</v>
      </c>
      <c r="M77" t="s">
        <v>232</v>
      </c>
      <c r="N77" t="s">
        <v>233</v>
      </c>
    </row>
    <row r="78" spans="1:14" x14ac:dyDescent="0.2">
      <c r="A78">
        <v>77</v>
      </c>
      <c r="B78">
        <v>2</v>
      </c>
      <c r="C78">
        <v>26</v>
      </c>
      <c r="D78" t="s">
        <v>240</v>
      </c>
      <c r="F78" t="s">
        <v>241</v>
      </c>
      <c r="H78" t="s">
        <v>242</v>
      </c>
      <c r="I78" t="s">
        <v>243</v>
      </c>
      <c r="J78">
        <v>5000</v>
      </c>
      <c r="K78" t="s">
        <v>36</v>
      </c>
      <c r="L78" t="s">
        <v>244</v>
      </c>
      <c r="M78" t="s">
        <v>245</v>
      </c>
      <c r="N78" t="s">
        <v>246</v>
      </c>
    </row>
    <row r="79" spans="1:14" x14ac:dyDescent="0.2">
      <c r="A79">
        <v>78</v>
      </c>
      <c r="B79">
        <v>2</v>
      </c>
      <c r="C79">
        <v>27</v>
      </c>
      <c r="D79" t="s">
        <v>227</v>
      </c>
      <c r="F79" t="s">
        <v>228</v>
      </c>
      <c r="G79" t="s">
        <v>247</v>
      </c>
      <c r="H79" t="s">
        <v>248</v>
      </c>
      <c r="I79" t="s">
        <v>231</v>
      </c>
      <c r="J79">
        <v>2336</v>
      </c>
      <c r="K79" t="s">
        <v>36</v>
      </c>
      <c r="L79" t="s">
        <v>57</v>
      </c>
      <c r="M79" t="s">
        <v>232</v>
      </c>
      <c r="N79" t="s">
        <v>233</v>
      </c>
    </row>
    <row r="80" spans="1:14" x14ac:dyDescent="0.2">
      <c r="A80">
        <v>79</v>
      </c>
      <c r="B80">
        <v>2</v>
      </c>
      <c r="C80">
        <v>27</v>
      </c>
      <c r="D80" t="s">
        <v>240</v>
      </c>
      <c r="F80" t="s">
        <v>249</v>
      </c>
      <c r="H80" t="s">
        <v>250</v>
      </c>
      <c r="I80" t="s">
        <v>251</v>
      </c>
      <c r="J80">
        <v>1060</v>
      </c>
      <c r="K80" t="s">
        <v>36</v>
      </c>
      <c r="L80" t="s">
        <v>244</v>
      </c>
      <c r="M80" t="s">
        <v>245</v>
      </c>
      <c r="N80" t="s">
        <v>246</v>
      </c>
    </row>
    <row r="81" spans="1:14" x14ac:dyDescent="0.2">
      <c r="A81">
        <v>80</v>
      </c>
      <c r="B81">
        <v>2</v>
      </c>
      <c r="C81">
        <v>28</v>
      </c>
      <c r="D81" t="s">
        <v>227</v>
      </c>
      <c r="F81" t="s">
        <v>252</v>
      </c>
      <c r="G81" t="s">
        <v>238</v>
      </c>
      <c r="H81" t="s">
        <v>253</v>
      </c>
      <c r="I81" t="s">
        <v>254</v>
      </c>
      <c r="J81">
        <v>52</v>
      </c>
      <c r="K81" t="s">
        <v>36</v>
      </c>
      <c r="L81" t="s">
        <v>57</v>
      </c>
      <c r="M81" t="s">
        <v>232</v>
      </c>
      <c r="N81" t="s">
        <v>233</v>
      </c>
    </row>
    <row r="82" spans="1:14" x14ac:dyDescent="0.2">
      <c r="A82">
        <v>81</v>
      </c>
      <c r="B82">
        <v>2</v>
      </c>
      <c r="C82">
        <v>28</v>
      </c>
      <c r="D82" t="s">
        <v>240</v>
      </c>
      <c r="F82" t="s">
        <v>255</v>
      </c>
      <c r="H82" t="s">
        <v>256</v>
      </c>
      <c r="I82" t="s">
        <v>257</v>
      </c>
      <c r="J82">
        <v>485</v>
      </c>
      <c r="K82" t="s">
        <v>72</v>
      </c>
      <c r="L82" t="s">
        <v>244</v>
      </c>
      <c r="M82" t="s">
        <v>245</v>
      </c>
      <c r="N82" t="s">
        <v>246</v>
      </c>
    </row>
    <row r="83" spans="1:14" x14ac:dyDescent="0.2">
      <c r="A83">
        <v>82</v>
      </c>
      <c r="B83">
        <v>2</v>
      </c>
      <c r="C83">
        <v>29</v>
      </c>
      <c r="D83" t="s">
        <v>227</v>
      </c>
      <c r="F83" t="s">
        <v>252</v>
      </c>
      <c r="G83" t="s">
        <v>258</v>
      </c>
      <c r="H83" t="s">
        <v>259</v>
      </c>
      <c r="I83" t="s">
        <v>254</v>
      </c>
      <c r="J83">
        <v>58</v>
      </c>
      <c r="K83" t="s">
        <v>36</v>
      </c>
      <c r="L83" t="s">
        <v>57</v>
      </c>
      <c r="M83" t="s">
        <v>232</v>
      </c>
      <c r="N83" t="s">
        <v>233</v>
      </c>
    </row>
    <row r="84" spans="1:14" x14ac:dyDescent="0.2">
      <c r="A84">
        <v>83</v>
      </c>
      <c r="B84">
        <v>2</v>
      </c>
      <c r="C84">
        <v>29</v>
      </c>
      <c r="D84" t="s">
        <v>240</v>
      </c>
      <c r="F84" t="s">
        <v>260</v>
      </c>
      <c r="H84" t="s">
        <v>261</v>
      </c>
      <c r="I84" t="s">
        <v>262</v>
      </c>
      <c r="J84">
        <v>6</v>
      </c>
      <c r="K84" t="s">
        <v>72</v>
      </c>
      <c r="L84" t="s">
        <v>244</v>
      </c>
      <c r="M84" t="s">
        <v>245</v>
      </c>
      <c r="N84" t="s">
        <v>246</v>
      </c>
    </row>
    <row r="85" spans="1:14" x14ac:dyDescent="0.2">
      <c r="A85">
        <v>84</v>
      </c>
      <c r="B85">
        <v>2</v>
      </c>
      <c r="C85">
        <v>30</v>
      </c>
      <c r="D85" t="s">
        <v>263</v>
      </c>
      <c r="F85" t="s">
        <v>264</v>
      </c>
      <c r="G85" t="s">
        <v>247</v>
      </c>
      <c r="H85" t="s">
        <v>265</v>
      </c>
      <c r="I85" t="s">
        <v>266</v>
      </c>
      <c r="J85">
        <v>1</v>
      </c>
      <c r="K85" t="s">
        <v>72</v>
      </c>
      <c r="L85" t="s">
        <v>57</v>
      </c>
      <c r="M85" t="s">
        <v>232</v>
      </c>
      <c r="N85" t="s">
        <v>233</v>
      </c>
    </row>
    <row r="86" spans="1:14" x14ac:dyDescent="0.2">
      <c r="A86">
        <v>85</v>
      </c>
      <c r="B86">
        <v>2</v>
      </c>
      <c r="C86">
        <v>30</v>
      </c>
      <c r="D86" t="s">
        <v>267</v>
      </c>
      <c r="F86" t="s">
        <v>268</v>
      </c>
      <c r="G86" t="s">
        <v>269</v>
      </c>
      <c r="H86" t="s">
        <v>270</v>
      </c>
      <c r="I86" t="s">
        <v>271</v>
      </c>
      <c r="J86">
        <v>25</v>
      </c>
      <c r="K86" t="s">
        <v>36</v>
      </c>
      <c r="L86" t="s">
        <v>244</v>
      </c>
      <c r="M86" t="s">
        <v>245</v>
      </c>
      <c r="N86" t="s">
        <v>246</v>
      </c>
    </row>
    <row r="87" spans="1:14" x14ac:dyDescent="0.2">
      <c r="A87">
        <v>86</v>
      </c>
      <c r="B87">
        <v>2</v>
      </c>
      <c r="C87">
        <v>31</v>
      </c>
      <c r="D87" t="s">
        <v>263</v>
      </c>
      <c r="F87" t="s">
        <v>272</v>
      </c>
      <c r="G87" t="s">
        <v>247</v>
      </c>
      <c r="H87" t="s">
        <v>273</v>
      </c>
      <c r="I87" t="s">
        <v>274</v>
      </c>
      <c r="J87">
        <v>1</v>
      </c>
      <c r="K87" t="s">
        <v>72</v>
      </c>
      <c r="L87" t="s">
        <v>57</v>
      </c>
      <c r="M87" t="s">
        <v>232</v>
      </c>
      <c r="N87" t="s">
        <v>233</v>
      </c>
    </row>
    <row r="88" spans="1:14" x14ac:dyDescent="0.2">
      <c r="A88">
        <v>87</v>
      </c>
      <c r="B88">
        <v>2</v>
      </c>
      <c r="C88">
        <v>31</v>
      </c>
      <c r="D88" t="s">
        <v>267</v>
      </c>
      <c r="F88" t="s">
        <v>275</v>
      </c>
      <c r="G88" t="s">
        <v>276</v>
      </c>
      <c r="H88" t="s">
        <v>277</v>
      </c>
      <c r="I88" t="s">
        <v>278</v>
      </c>
      <c r="J88">
        <v>65</v>
      </c>
      <c r="K88" t="s">
        <v>36</v>
      </c>
      <c r="L88" t="s">
        <v>244</v>
      </c>
      <c r="M88" t="s">
        <v>245</v>
      </c>
      <c r="N88" t="s">
        <v>246</v>
      </c>
    </row>
    <row r="89" spans="1:14" x14ac:dyDescent="0.2">
      <c r="A89">
        <v>88</v>
      </c>
      <c r="B89">
        <v>2</v>
      </c>
      <c r="C89">
        <v>32</v>
      </c>
      <c r="D89" t="s">
        <v>263</v>
      </c>
      <c r="F89" t="s">
        <v>279</v>
      </c>
      <c r="G89" t="s">
        <v>65</v>
      </c>
      <c r="H89" t="s">
        <v>280</v>
      </c>
      <c r="I89" t="s">
        <v>281</v>
      </c>
      <c r="J89">
        <v>6</v>
      </c>
      <c r="K89" t="s">
        <v>72</v>
      </c>
      <c r="L89" t="s">
        <v>57</v>
      </c>
      <c r="M89" t="s">
        <v>232</v>
      </c>
      <c r="N89" t="s">
        <v>233</v>
      </c>
    </row>
    <row r="90" spans="1:14" x14ac:dyDescent="0.2">
      <c r="A90">
        <v>89</v>
      </c>
      <c r="B90">
        <v>2</v>
      </c>
      <c r="C90">
        <v>32</v>
      </c>
      <c r="D90" t="s">
        <v>267</v>
      </c>
      <c r="F90" t="s">
        <v>282</v>
      </c>
      <c r="G90" t="s">
        <v>276</v>
      </c>
      <c r="H90" t="s">
        <v>283</v>
      </c>
      <c r="I90" t="s">
        <v>284</v>
      </c>
      <c r="J90">
        <v>1190</v>
      </c>
      <c r="K90" t="s">
        <v>36</v>
      </c>
      <c r="L90" t="s">
        <v>244</v>
      </c>
      <c r="M90" t="s">
        <v>245</v>
      </c>
      <c r="N90" t="s">
        <v>246</v>
      </c>
    </row>
    <row r="91" spans="1:14" x14ac:dyDescent="0.2">
      <c r="A91">
        <v>90</v>
      </c>
      <c r="B91">
        <v>2</v>
      </c>
      <c r="C91">
        <v>33</v>
      </c>
      <c r="D91">
        <v>26100</v>
      </c>
      <c r="F91" t="s">
        <v>285</v>
      </c>
      <c r="H91" t="s">
        <v>286</v>
      </c>
      <c r="I91" t="s">
        <v>287</v>
      </c>
      <c r="J91">
        <v>250</v>
      </c>
      <c r="K91" t="s">
        <v>52</v>
      </c>
      <c r="L91" t="s">
        <v>30</v>
      </c>
      <c r="M91" t="s">
        <v>30</v>
      </c>
      <c r="N91" t="s">
        <v>288</v>
      </c>
    </row>
    <row r="92" spans="1:14" x14ac:dyDescent="0.2">
      <c r="A92">
        <v>91</v>
      </c>
      <c r="B92">
        <v>2</v>
      </c>
      <c r="C92">
        <v>33</v>
      </c>
      <c r="D92" t="s">
        <v>263</v>
      </c>
      <c r="F92" t="s">
        <v>279</v>
      </c>
      <c r="G92" t="s">
        <v>289</v>
      </c>
      <c r="H92" t="s">
        <v>290</v>
      </c>
      <c r="I92" t="s">
        <v>281</v>
      </c>
      <c r="J92">
        <v>1</v>
      </c>
      <c r="K92" t="s">
        <v>72</v>
      </c>
      <c r="L92" t="s">
        <v>57</v>
      </c>
      <c r="M92" t="s">
        <v>232</v>
      </c>
      <c r="N92" t="s">
        <v>233</v>
      </c>
    </row>
    <row r="93" spans="1:14" x14ac:dyDescent="0.2">
      <c r="A93">
        <v>92</v>
      </c>
      <c r="B93">
        <v>2</v>
      </c>
      <c r="C93">
        <v>34</v>
      </c>
      <c r="D93">
        <v>260500</v>
      </c>
      <c r="F93" t="s">
        <v>291</v>
      </c>
      <c r="H93" t="s">
        <v>292</v>
      </c>
      <c r="I93" t="s">
        <v>293</v>
      </c>
      <c r="J93">
        <v>1</v>
      </c>
      <c r="K93" t="s">
        <v>17</v>
      </c>
      <c r="L93" t="s">
        <v>244</v>
      </c>
      <c r="M93" t="s">
        <v>294</v>
      </c>
      <c r="N93" t="s">
        <v>295</v>
      </c>
    </row>
    <row r="94" spans="1:14" x14ac:dyDescent="0.2">
      <c r="A94">
        <v>93</v>
      </c>
      <c r="B94">
        <v>2</v>
      </c>
      <c r="C94">
        <v>34</v>
      </c>
      <c r="D94" t="s">
        <v>263</v>
      </c>
      <c r="F94" t="s">
        <v>296</v>
      </c>
      <c r="H94" t="s">
        <v>297</v>
      </c>
      <c r="I94" t="s">
        <v>298</v>
      </c>
      <c r="J94">
        <v>4</v>
      </c>
      <c r="K94" t="s">
        <v>72</v>
      </c>
      <c r="L94" t="s">
        <v>57</v>
      </c>
      <c r="M94" t="s">
        <v>232</v>
      </c>
      <c r="N94" t="s">
        <v>233</v>
      </c>
    </row>
    <row r="95" spans="1:14" x14ac:dyDescent="0.2">
      <c r="A95">
        <v>94</v>
      </c>
      <c r="B95">
        <v>2</v>
      </c>
      <c r="C95">
        <v>35</v>
      </c>
      <c r="D95">
        <v>260500</v>
      </c>
      <c r="F95" t="s">
        <v>299</v>
      </c>
      <c r="H95" t="s">
        <v>300</v>
      </c>
      <c r="I95" t="s">
        <v>301</v>
      </c>
      <c r="J95">
        <v>1</v>
      </c>
      <c r="K95" t="s">
        <v>17</v>
      </c>
      <c r="L95" t="s">
        <v>244</v>
      </c>
      <c r="M95" t="s">
        <v>294</v>
      </c>
      <c r="N95" t="s">
        <v>295</v>
      </c>
    </row>
    <row r="96" spans="1:14" x14ac:dyDescent="0.2">
      <c r="A96">
        <v>95</v>
      </c>
      <c r="B96">
        <v>2</v>
      </c>
      <c r="C96">
        <v>35</v>
      </c>
      <c r="D96" t="s">
        <v>302</v>
      </c>
      <c r="F96" t="s">
        <v>303</v>
      </c>
      <c r="H96" t="s">
        <v>304</v>
      </c>
      <c r="I96" t="s">
        <v>305</v>
      </c>
      <c r="J96">
        <v>17.3</v>
      </c>
      <c r="K96" t="s">
        <v>133</v>
      </c>
      <c r="L96" t="s">
        <v>25</v>
      </c>
      <c r="M96" t="s">
        <v>26</v>
      </c>
      <c r="N96" t="s">
        <v>306</v>
      </c>
    </row>
    <row r="97" spans="1:14" x14ac:dyDescent="0.2">
      <c r="A97">
        <v>96</v>
      </c>
      <c r="B97">
        <v>2</v>
      </c>
      <c r="C97">
        <v>36</v>
      </c>
      <c r="D97">
        <v>260553</v>
      </c>
      <c r="F97" t="s">
        <v>307</v>
      </c>
      <c r="G97" t="s">
        <v>308</v>
      </c>
      <c r="H97" t="s">
        <v>309</v>
      </c>
      <c r="I97" t="s">
        <v>310</v>
      </c>
      <c r="J97">
        <v>2</v>
      </c>
      <c r="K97" t="s">
        <v>72</v>
      </c>
      <c r="L97" t="s">
        <v>244</v>
      </c>
      <c r="M97" t="s">
        <v>294</v>
      </c>
      <c r="N97" t="s">
        <v>295</v>
      </c>
    </row>
    <row r="98" spans="1:14" x14ac:dyDescent="0.2">
      <c r="A98">
        <v>97</v>
      </c>
      <c r="B98">
        <v>2</v>
      </c>
      <c r="C98">
        <v>36</v>
      </c>
      <c r="D98">
        <v>312300</v>
      </c>
      <c r="F98" t="s">
        <v>311</v>
      </c>
      <c r="H98" t="s">
        <v>312</v>
      </c>
      <c r="I98" t="s">
        <v>313</v>
      </c>
      <c r="J98">
        <v>1</v>
      </c>
      <c r="K98" t="s">
        <v>17</v>
      </c>
      <c r="L98" t="s">
        <v>57</v>
      </c>
      <c r="M98" t="s">
        <v>232</v>
      </c>
      <c r="N98" t="s">
        <v>233</v>
      </c>
    </row>
    <row r="99" spans="1:14" x14ac:dyDescent="0.2">
      <c r="A99">
        <v>98</v>
      </c>
      <c r="B99">
        <v>2</v>
      </c>
      <c r="C99">
        <v>37</v>
      </c>
      <c r="D99">
        <v>312300</v>
      </c>
      <c r="F99" t="s">
        <v>314</v>
      </c>
      <c r="H99" t="s">
        <v>315</v>
      </c>
      <c r="I99" t="s">
        <v>316</v>
      </c>
      <c r="J99">
        <v>17</v>
      </c>
      <c r="K99" t="s">
        <v>72</v>
      </c>
      <c r="L99" t="s">
        <v>57</v>
      </c>
      <c r="M99" t="s">
        <v>232</v>
      </c>
      <c r="N99" t="s">
        <v>233</v>
      </c>
    </row>
    <row r="100" spans="1:14" x14ac:dyDescent="0.2">
      <c r="A100">
        <v>99</v>
      </c>
      <c r="B100">
        <v>2</v>
      </c>
      <c r="C100">
        <v>37</v>
      </c>
      <c r="D100">
        <v>344300</v>
      </c>
      <c r="F100" t="s">
        <v>317</v>
      </c>
      <c r="H100" t="s">
        <v>318</v>
      </c>
      <c r="I100" t="s">
        <v>319</v>
      </c>
      <c r="J100">
        <v>21</v>
      </c>
      <c r="K100" t="s">
        <v>72</v>
      </c>
      <c r="L100" t="s">
        <v>244</v>
      </c>
      <c r="M100" t="s">
        <v>245</v>
      </c>
      <c r="N100" t="s">
        <v>246</v>
      </c>
    </row>
    <row r="101" spans="1:14" x14ac:dyDescent="0.2">
      <c r="A101">
        <v>100</v>
      </c>
      <c r="B101">
        <v>2</v>
      </c>
      <c r="C101">
        <v>38</v>
      </c>
      <c r="D101">
        <v>312300</v>
      </c>
      <c r="F101" t="s">
        <v>320</v>
      </c>
      <c r="H101" t="s">
        <v>321</v>
      </c>
      <c r="I101" t="s">
        <v>322</v>
      </c>
      <c r="J101">
        <v>1</v>
      </c>
      <c r="K101" t="s">
        <v>72</v>
      </c>
      <c r="L101" t="s">
        <v>57</v>
      </c>
      <c r="M101" t="s">
        <v>232</v>
      </c>
      <c r="N101" t="s">
        <v>233</v>
      </c>
    </row>
    <row r="102" spans="1:14" x14ac:dyDescent="0.2">
      <c r="A102">
        <v>101</v>
      </c>
      <c r="B102">
        <v>2</v>
      </c>
      <c r="C102">
        <v>38</v>
      </c>
      <c r="D102">
        <v>344300</v>
      </c>
      <c r="F102" t="s">
        <v>323</v>
      </c>
      <c r="H102" t="s">
        <v>324</v>
      </c>
      <c r="I102" t="s">
        <v>325</v>
      </c>
      <c r="J102">
        <v>9</v>
      </c>
      <c r="K102" t="s">
        <v>72</v>
      </c>
      <c r="L102" t="s">
        <v>244</v>
      </c>
      <c r="M102" t="s">
        <v>245</v>
      </c>
      <c r="N102" t="s">
        <v>246</v>
      </c>
    </row>
    <row r="103" spans="1:14" x14ac:dyDescent="0.2">
      <c r="A103">
        <v>102</v>
      </c>
      <c r="B103">
        <v>2</v>
      </c>
      <c r="C103">
        <v>39</v>
      </c>
      <c r="D103">
        <v>312300</v>
      </c>
      <c r="F103" t="s">
        <v>326</v>
      </c>
      <c r="H103" t="s">
        <v>327</v>
      </c>
      <c r="I103" t="s">
        <v>328</v>
      </c>
      <c r="J103">
        <v>1</v>
      </c>
      <c r="K103" t="s">
        <v>72</v>
      </c>
      <c r="L103" t="s">
        <v>57</v>
      </c>
      <c r="M103" t="s">
        <v>232</v>
      </c>
      <c r="N103" t="s">
        <v>233</v>
      </c>
    </row>
    <row r="104" spans="1:14" x14ac:dyDescent="0.2">
      <c r="A104">
        <v>103</v>
      </c>
      <c r="B104">
        <v>2</v>
      </c>
      <c r="C104">
        <v>39</v>
      </c>
      <c r="D104">
        <v>344300</v>
      </c>
      <c r="F104" t="s">
        <v>329</v>
      </c>
      <c r="H104" t="s">
        <v>330</v>
      </c>
      <c r="I104" t="s">
        <v>331</v>
      </c>
      <c r="J104">
        <v>15</v>
      </c>
      <c r="K104" t="s">
        <v>72</v>
      </c>
      <c r="L104" t="s">
        <v>244</v>
      </c>
      <c r="M104" t="s">
        <v>245</v>
      </c>
      <c r="N104" t="s">
        <v>246</v>
      </c>
    </row>
    <row r="105" spans="1:14" x14ac:dyDescent="0.2">
      <c r="A105">
        <v>104</v>
      </c>
      <c r="B105">
        <v>2</v>
      </c>
      <c r="C105">
        <v>40</v>
      </c>
      <c r="D105">
        <v>312300</v>
      </c>
      <c r="F105" t="s">
        <v>332</v>
      </c>
      <c r="H105" t="s">
        <v>333</v>
      </c>
      <c r="I105" t="s">
        <v>334</v>
      </c>
      <c r="J105">
        <v>9</v>
      </c>
      <c r="K105" t="s">
        <v>72</v>
      </c>
      <c r="L105" t="s">
        <v>57</v>
      </c>
      <c r="M105" t="s">
        <v>232</v>
      </c>
      <c r="N105" t="s">
        <v>233</v>
      </c>
    </row>
    <row r="106" spans="1:14" x14ac:dyDescent="0.2">
      <c r="A106">
        <v>105</v>
      </c>
      <c r="B106">
        <v>2</v>
      </c>
      <c r="C106">
        <v>40</v>
      </c>
      <c r="D106">
        <v>344300</v>
      </c>
      <c r="F106" t="s">
        <v>335</v>
      </c>
      <c r="H106" t="s">
        <v>336</v>
      </c>
      <c r="I106" t="s">
        <v>337</v>
      </c>
      <c r="J106">
        <v>2</v>
      </c>
      <c r="K106" t="s">
        <v>72</v>
      </c>
      <c r="L106" t="s">
        <v>244</v>
      </c>
      <c r="M106" t="s">
        <v>245</v>
      </c>
      <c r="N106" t="s">
        <v>246</v>
      </c>
    </row>
    <row r="107" spans="1:14" x14ac:dyDescent="0.2">
      <c r="A107">
        <v>106</v>
      </c>
      <c r="B107">
        <v>2</v>
      </c>
      <c r="C107">
        <v>41</v>
      </c>
      <c r="D107">
        <v>312300</v>
      </c>
      <c r="F107" t="s">
        <v>338</v>
      </c>
      <c r="H107" t="s">
        <v>339</v>
      </c>
      <c r="I107" t="s">
        <v>340</v>
      </c>
      <c r="J107">
        <v>1</v>
      </c>
      <c r="K107" t="s">
        <v>72</v>
      </c>
      <c r="L107" t="s">
        <v>57</v>
      </c>
      <c r="M107" t="s">
        <v>232</v>
      </c>
      <c r="N107" t="s">
        <v>233</v>
      </c>
    </row>
    <row r="108" spans="1:14" x14ac:dyDescent="0.2">
      <c r="A108">
        <v>107</v>
      </c>
      <c r="B108">
        <v>2</v>
      </c>
      <c r="C108">
        <v>41</v>
      </c>
      <c r="D108">
        <v>344300</v>
      </c>
      <c r="F108" t="s">
        <v>341</v>
      </c>
      <c r="H108" t="s">
        <v>342</v>
      </c>
      <c r="I108" t="s">
        <v>343</v>
      </c>
      <c r="J108">
        <v>21</v>
      </c>
      <c r="K108" t="s">
        <v>72</v>
      </c>
      <c r="L108" t="s">
        <v>244</v>
      </c>
      <c r="M108" t="s">
        <v>245</v>
      </c>
      <c r="N108" t="s">
        <v>246</v>
      </c>
    </row>
    <row r="109" spans="1:14" x14ac:dyDescent="0.2">
      <c r="A109">
        <v>108</v>
      </c>
      <c r="B109">
        <v>2</v>
      </c>
      <c r="C109">
        <v>42</v>
      </c>
      <c r="D109">
        <v>334100</v>
      </c>
      <c r="F109" t="s">
        <v>344</v>
      </c>
      <c r="G109" t="s">
        <v>238</v>
      </c>
      <c r="H109" t="s">
        <v>345</v>
      </c>
      <c r="I109" t="s">
        <v>346</v>
      </c>
      <c r="J109">
        <v>91</v>
      </c>
      <c r="K109" t="s">
        <v>36</v>
      </c>
      <c r="L109" t="s">
        <v>57</v>
      </c>
      <c r="M109" t="s">
        <v>58</v>
      </c>
      <c r="N109" t="s">
        <v>347</v>
      </c>
    </row>
    <row r="110" spans="1:14" x14ac:dyDescent="0.2">
      <c r="A110">
        <v>109</v>
      </c>
      <c r="B110">
        <v>2</v>
      </c>
      <c r="C110">
        <v>42</v>
      </c>
      <c r="D110">
        <v>344301</v>
      </c>
      <c r="F110" t="s">
        <v>348</v>
      </c>
      <c r="H110" t="s">
        <v>349</v>
      </c>
      <c r="I110" t="s">
        <v>350</v>
      </c>
      <c r="J110">
        <v>21</v>
      </c>
      <c r="K110" t="s">
        <v>72</v>
      </c>
      <c r="L110" t="s">
        <v>244</v>
      </c>
      <c r="M110" t="s">
        <v>245</v>
      </c>
      <c r="N110" t="s">
        <v>246</v>
      </c>
    </row>
    <row r="111" spans="1:14" x14ac:dyDescent="0.2">
      <c r="A111">
        <v>110</v>
      </c>
      <c r="B111">
        <v>2</v>
      </c>
      <c r="C111">
        <v>43</v>
      </c>
      <c r="D111">
        <v>334100</v>
      </c>
      <c r="F111" t="s">
        <v>344</v>
      </c>
      <c r="G111" t="s">
        <v>351</v>
      </c>
      <c r="H111" t="s">
        <v>352</v>
      </c>
      <c r="I111" t="s">
        <v>346</v>
      </c>
      <c r="J111">
        <v>77</v>
      </c>
      <c r="K111" t="s">
        <v>36</v>
      </c>
      <c r="L111" t="s">
        <v>57</v>
      </c>
      <c r="M111" t="s">
        <v>58</v>
      </c>
      <c r="N111" t="s">
        <v>347</v>
      </c>
    </row>
    <row r="112" spans="1:14" x14ac:dyDescent="0.2">
      <c r="A112">
        <v>111</v>
      </c>
      <c r="B112">
        <v>2</v>
      </c>
      <c r="C112">
        <v>43</v>
      </c>
      <c r="D112">
        <v>344301</v>
      </c>
      <c r="F112" t="s">
        <v>353</v>
      </c>
      <c r="H112" t="s">
        <v>354</v>
      </c>
      <c r="I112" t="s">
        <v>355</v>
      </c>
      <c r="J112">
        <v>8</v>
      </c>
      <c r="K112" t="s">
        <v>72</v>
      </c>
      <c r="L112" t="s">
        <v>244</v>
      </c>
      <c r="M112" t="s">
        <v>245</v>
      </c>
      <c r="N112" t="s">
        <v>246</v>
      </c>
    </row>
    <row r="113" spans="1:14" x14ac:dyDescent="0.2">
      <c r="A113">
        <v>112</v>
      </c>
      <c r="B113">
        <v>2</v>
      </c>
      <c r="C113">
        <v>44</v>
      </c>
      <c r="D113">
        <v>334100</v>
      </c>
      <c r="F113" t="s">
        <v>356</v>
      </c>
      <c r="H113" t="s">
        <v>357</v>
      </c>
      <c r="I113" t="s">
        <v>358</v>
      </c>
      <c r="J113">
        <v>50</v>
      </c>
      <c r="K113" t="s">
        <v>46</v>
      </c>
      <c r="L113" t="s">
        <v>57</v>
      </c>
      <c r="M113" t="s">
        <v>58</v>
      </c>
      <c r="N113" t="s">
        <v>347</v>
      </c>
    </row>
    <row r="114" spans="1:14" x14ac:dyDescent="0.2">
      <c r="A114">
        <v>113</v>
      </c>
      <c r="B114">
        <v>2</v>
      </c>
      <c r="C114">
        <v>44</v>
      </c>
      <c r="D114">
        <v>344302</v>
      </c>
      <c r="F114" t="s">
        <v>359</v>
      </c>
      <c r="H114" t="s">
        <v>360</v>
      </c>
      <c r="I114" t="s">
        <v>361</v>
      </c>
      <c r="J114">
        <v>1</v>
      </c>
      <c r="K114" t="s">
        <v>17</v>
      </c>
      <c r="L114" t="s">
        <v>244</v>
      </c>
      <c r="M114" t="s">
        <v>362</v>
      </c>
      <c r="N114" t="s">
        <v>363</v>
      </c>
    </row>
    <row r="115" spans="1:14" x14ac:dyDescent="0.2">
      <c r="A115">
        <v>114</v>
      </c>
      <c r="B115">
        <v>2</v>
      </c>
      <c r="C115">
        <v>45</v>
      </c>
      <c r="D115">
        <v>334213</v>
      </c>
      <c r="F115" t="s">
        <v>364</v>
      </c>
      <c r="H115" t="s">
        <v>365</v>
      </c>
      <c r="I115" t="s">
        <v>366</v>
      </c>
      <c r="J115">
        <v>1</v>
      </c>
      <c r="K115" t="s">
        <v>17</v>
      </c>
      <c r="L115" t="s">
        <v>57</v>
      </c>
      <c r="M115" t="s">
        <v>58</v>
      </c>
      <c r="N115" t="s">
        <v>347</v>
      </c>
    </row>
    <row r="116" spans="1:14" x14ac:dyDescent="0.2">
      <c r="A116">
        <v>115</v>
      </c>
      <c r="B116">
        <v>2</v>
      </c>
      <c r="C116">
        <v>45</v>
      </c>
      <c r="D116">
        <v>344302</v>
      </c>
      <c r="F116" t="s">
        <v>367</v>
      </c>
      <c r="H116" t="s">
        <v>368</v>
      </c>
      <c r="I116" t="s">
        <v>369</v>
      </c>
      <c r="J116">
        <v>1</v>
      </c>
      <c r="K116" t="s">
        <v>17</v>
      </c>
      <c r="L116" t="s">
        <v>244</v>
      </c>
      <c r="M116" t="s">
        <v>362</v>
      </c>
      <c r="N116" t="s">
        <v>363</v>
      </c>
    </row>
    <row r="117" spans="1:14" x14ac:dyDescent="0.2">
      <c r="A117">
        <v>116</v>
      </c>
      <c r="B117">
        <v>2</v>
      </c>
      <c r="C117">
        <v>46</v>
      </c>
      <c r="D117">
        <v>334213</v>
      </c>
      <c r="F117" t="s">
        <v>370</v>
      </c>
      <c r="H117" t="s">
        <v>371</v>
      </c>
      <c r="I117" t="s">
        <v>372</v>
      </c>
      <c r="J117">
        <v>1</v>
      </c>
      <c r="K117" t="s">
        <v>17</v>
      </c>
      <c r="L117" t="s">
        <v>57</v>
      </c>
      <c r="M117" t="s">
        <v>58</v>
      </c>
      <c r="N117" t="s">
        <v>347</v>
      </c>
    </row>
    <row r="118" spans="1:14" x14ac:dyDescent="0.2">
      <c r="A118">
        <v>117</v>
      </c>
      <c r="B118">
        <v>2</v>
      </c>
      <c r="C118">
        <v>46</v>
      </c>
      <c r="D118">
        <v>344302</v>
      </c>
      <c r="F118" t="s">
        <v>373</v>
      </c>
      <c r="H118" t="s">
        <v>374</v>
      </c>
      <c r="I118" t="s">
        <v>375</v>
      </c>
      <c r="J118">
        <v>1</v>
      </c>
      <c r="K118" t="s">
        <v>17</v>
      </c>
      <c r="L118" t="s">
        <v>244</v>
      </c>
      <c r="M118" t="s">
        <v>362</v>
      </c>
      <c r="N118" t="s">
        <v>363</v>
      </c>
    </row>
    <row r="119" spans="1:14" x14ac:dyDescent="0.2">
      <c r="A119">
        <v>118</v>
      </c>
      <c r="B119">
        <v>2</v>
      </c>
      <c r="C119">
        <v>47</v>
      </c>
      <c r="D119" t="s">
        <v>209</v>
      </c>
      <c r="F119" t="s">
        <v>210</v>
      </c>
      <c r="H119" t="s">
        <v>211</v>
      </c>
      <c r="I119" t="s">
        <v>212</v>
      </c>
      <c r="J119">
        <v>85</v>
      </c>
      <c r="K119" t="s">
        <v>46</v>
      </c>
      <c r="L119" t="s">
        <v>37</v>
      </c>
      <c r="M119" t="s">
        <v>38</v>
      </c>
      <c r="N119" t="s">
        <v>140</v>
      </c>
    </row>
    <row r="120" spans="1:14" x14ac:dyDescent="0.2">
      <c r="A120">
        <v>119</v>
      </c>
      <c r="B120">
        <v>2</v>
      </c>
      <c r="C120">
        <v>48</v>
      </c>
      <c r="D120" t="s">
        <v>240</v>
      </c>
      <c r="F120" t="s">
        <v>249</v>
      </c>
      <c r="H120" t="s">
        <v>250</v>
      </c>
      <c r="I120" t="s">
        <v>251</v>
      </c>
      <c r="J120">
        <v>310</v>
      </c>
      <c r="K120" t="s">
        <v>36</v>
      </c>
      <c r="L120" t="s">
        <v>244</v>
      </c>
      <c r="M120" t="s">
        <v>245</v>
      </c>
      <c r="N120" t="s">
        <v>246</v>
      </c>
    </row>
    <row r="121" spans="1:14" x14ac:dyDescent="0.2">
      <c r="A121">
        <v>120</v>
      </c>
      <c r="B121">
        <v>2</v>
      </c>
      <c r="C121">
        <v>49</v>
      </c>
      <c r="D121" t="s">
        <v>240</v>
      </c>
      <c r="F121" t="s">
        <v>260</v>
      </c>
      <c r="H121" t="s">
        <v>261</v>
      </c>
      <c r="I121" t="s">
        <v>262</v>
      </c>
      <c r="J121">
        <v>8</v>
      </c>
      <c r="K121" t="s">
        <v>72</v>
      </c>
      <c r="L121" t="s">
        <v>244</v>
      </c>
      <c r="M121" t="s">
        <v>245</v>
      </c>
      <c r="N121" t="s">
        <v>246</v>
      </c>
    </row>
    <row r="122" spans="1:14" x14ac:dyDescent="0.2">
      <c r="A122">
        <v>121</v>
      </c>
      <c r="B122">
        <v>3</v>
      </c>
      <c r="C122" t="e">
        <v>#REF!</v>
      </c>
      <c r="D122" t="s">
        <v>14</v>
      </c>
      <c r="F122" t="e">
        <v>#REF!</v>
      </c>
      <c r="H122" t="e">
        <v>#REF!</v>
      </c>
      <c r="I122" t="s">
        <v>376</v>
      </c>
      <c r="K122" t="e">
        <v>#REF!</v>
      </c>
      <c r="L122" t="s">
        <v>47</v>
      </c>
      <c r="M122" t="s">
        <v>48</v>
      </c>
      <c r="N122" t="s">
        <v>49</v>
      </c>
    </row>
    <row r="123" spans="1:14" x14ac:dyDescent="0.2">
      <c r="A123">
        <v>122</v>
      </c>
      <c r="B123">
        <v>3</v>
      </c>
      <c r="C123">
        <v>1</v>
      </c>
      <c r="D123">
        <v>12200</v>
      </c>
      <c r="F123" t="s">
        <v>105</v>
      </c>
      <c r="H123" t="s">
        <v>106</v>
      </c>
      <c r="I123" t="s">
        <v>107</v>
      </c>
      <c r="J123">
        <v>1</v>
      </c>
      <c r="K123" t="s">
        <v>17</v>
      </c>
      <c r="L123" t="s">
        <v>18</v>
      </c>
      <c r="M123" t="s">
        <v>19</v>
      </c>
      <c r="N123" t="s">
        <v>108</v>
      </c>
    </row>
    <row r="124" spans="1:14" x14ac:dyDescent="0.2">
      <c r="A124">
        <v>123</v>
      </c>
      <c r="B124">
        <v>3</v>
      </c>
      <c r="C124">
        <v>1</v>
      </c>
      <c r="D124">
        <v>12200</v>
      </c>
      <c r="F124" t="s">
        <v>377</v>
      </c>
      <c r="H124" t="s">
        <v>378</v>
      </c>
      <c r="I124" t="s">
        <v>379</v>
      </c>
      <c r="J124">
        <v>200</v>
      </c>
      <c r="K124" t="s">
        <v>46</v>
      </c>
      <c r="L124" t="s">
        <v>18</v>
      </c>
      <c r="M124" t="s">
        <v>19</v>
      </c>
      <c r="N124" t="s">
        <v>108</v>
      </c>
    </row>
    <row r="125" spans="1:14" x14ac:dyDescent="0.2">
      <c r="A125">
        <v>124</v>
      </c>
      <c r="B125">
        <v>3</v>
      </c>
      <c r="C125">
        <v>2</v>
      </c>
      <c r="D125">
        <v>12200</v>
      </c>
      <c r="F125" t="s">
        <v>109</v>
      </c>
      <c r="H125" t="s">
        <v>110</v>
      </c>
      <c r="I125" t="s">
        <v>111</v>
      </c>
      <c r="J125">
        <v>1</v>
      </c>
      <c r="K125" t="s">
        <v>17</v>
      </c>
      <c r="L125" t="s">
        <v>18</v>
      </c>
      <c r="M125" t="s">
        <v>19</v>
      </c>
      <c r="N125" t="s">
        <v>108</v>
      </c>
    </row>
    <row r="126" spans="1:14" x14ac:dyDescent="0.2">
      <c r="A126">
        <v>125</v>
      </c>
      <c r="B126">
        <v>3</v>
      </c>
      <c r="C126">
        <v>2</v>
      </c>
      <c r="D126" t="s">
        <v>240</v>
      </c>
      <c r="F126" t="s">
        <v>255</v>
      </c>
      <c r="H126" t="s">
        <v>256</v>
      </c>
      <c r="I126" t="s">
        <v>257</v>
      </c>
      <c r="J126">
        <v>435</v>
      </c>
      <c r="K126" t="s">
        <v>72</v>
      </c>
      <c r="L126" t="s">
        <v>244</v>
      </c>
      <c r="M126" t="s">
        <v>245</v>
      </c>
      <c r="N126" t="s">
        <v>246</v>
      </c>
    </row>
    <row r="127" spans="1:14" x14ac:dyDescent="0.2">
      <c r="A127">
        <v>126</v>
      </c>
      <c r="B127">
        <v>3</v>
      </c>
      <c r="C127">
        <v>3</v>
      </c>
      <c r="D127">
        <v>12200</v>
      </c>
      <c r="F127" t="s">
        <v>112</v>
      </c>
      <c r="H127" t="s">
        <v>113</v>
      </c>
      <c r="I127" t="s">
        <v>114</v>
      </c>
      <c r="J127">
        <v>1</v>
      </c>
      <c r="K127" t="s">
        <v>17</v>
      </c>
      <c r="L127" t="s">
        <v>18</v>
      </c>
      <c r="M127" t="s">
        <v>19</v>
      </c>
      <c r="N127" t="s">
        <v>108</v>
      </c>
    </row>
    <row r="128" spans="1:14" x14ac:dyDescent="0.2">
      <c r="A128">
        <v>127</v>
      </c>
      <c r="B128">
        <v>3</v>
      </c>
      <c r="C128">
        <v>3</v>
      </c>
      <c r="D128" t="s">
        <v>267</v>
      </c>
      <c r="F128" t="s">
        <v>268</v>
      </c>
      <c r="G128" t="s">
        <v>269</v>
      </c>
      <c r="H128" t="s">
        <v>270</v>
      </c>
      <c r="I128" t="s">
        <v>271</v>
      </c>
      <c r="J128">
        <v>25</v>
      </c>
      <c r="K128" t="s">
        <v>36</v>
      </c>
      <c r="L128" t="s">
        <v>244</v>
      </c>
      <c r="M128" t="s">
        <v>245</v>
      </c>
      <c r="N128" t="s">
        <v>246</v>
      </c>
    </row>
    <row r="129" spans="1:14" x14ac:dyDescent="0.2">
      <c r="A129">
        <v>128</v>
      </c>
      <c r="B129">
        <v>3</v>
      </c>
      <c r="C129">
        <v>4</v>
      </c>
      <c r="D129">
        <v>12200</v>
      </c>
      <c r="F129" t="s">
        <v>380</v>
      </c>
      <c r="H129" t="s">
        <v>381</v>
      </c>
      <c r="I129" t="s">
        <v>382</v>
      </c>
      <c r="J129">
        <v>1</v>
      </c>
      <c r="K129" t="s">
        <v>17</v>
      </c>
      <c r="L129" t="s">
        <v>18</v>
      </c>
      <c r="M129" t="s">
        <v>19</v>
      </c>
      <c r="N129" t="s">
        <v>108</v>
      </c>
    </row>
    <row r="130" spans="1:14" x14ac:dyDescent="0.2">
      <c r="A130">
        <v>129</v>
      </c>
      <c r="B130">
        <v>3</v>
      </c>
      <c r="C130">
        <v>4</v>
      </c>
      <c r="D130">
        <v>260553</v>
      </c>
      <c r="F130" t="s">
        <v>307</v>
      </c>
      <c r="G130" t="s">
        <v>308</v>
      </c>
      <c r="H130" t="s">
        <v>309</v>
      </c>
      <c r="I130" t="s">
        <v>310</v>
      </c>
      <c r="J130">
        <v>3</v>
      </c>
      <c r="K130" t="s">
        <v>72</v>
      </c>
      <c r="L130" t="s">
        <v>244</v>
      </c>
      <c r="M130" t="s">
        <v>294</v>
      </c>
      <c r="N130" t="s">
        <v>295</v>
      </c>
    </row>
    <row r="131" spans="1:14" x14ac:dyDescent="0.2">
      <c r="A131">
        <v>130</v>
      </c>
      <c r="B131">
        <v>3</v>
      </c>
      <c r="C131">
        <v>5</v>
      </c>
      <c r="D131">
        <v>12200</v>
      </c>
      <c r="F131" t="s">
        <v>118</v>
      </c>
      <c r="H131" t="s">
        <v>119</v>
      </c>
      <c r="I131" t="s">
        <v>120</v>
      </c>
      <c r="J131">
        <v>1</v>
      </c>
      <c r="K131" t="s">
        <v>17</v>
      </c>
      <c r="L131" t="s">
        <v>18</v>
      </c>
      <c r="M131" t="s">
        <v>19</v>
      </c>
      <c r="N131" t="s">
        <v>108</v>
      </c>
    </row>
    <row r="132" spans="1:14" x14ac:dyDescent="0.2">
      <c r="A132">
        <v>131</v>
      </c>
      <c r="B132">
        <v>3</v>
      </c>
      <c r="C132">
        <v>6</v>
      </c>
      <c r="D132">
        <v>15713</v>
      </c>
      <c r="F132" t="s">
        <v>124</v>
      </c>
      <c r="H132" t="s">
        <v>125</v>
      </c>
      <c r="I132" t="s">
        <v>126</v>
      </c>
      <c r="J132">
        <v>2</v>
      </c>
      <c r="K132" t="s">
        <v>72</v>
      </c>
      <c r="L132" t="s">
        <v>18</v>
      </c>
      <c r="M132" t="s">
        <v>19</v>
      </c>
      <c r="N132" t="s">
        <v>108</v>
      </c>
    </row>
    <row r="133" spans="1:14" x14ac:dyDescent="0.2">
      <c r="A133">
        <v>132</v>
      </c>
      <c r="B133">
        <v>3</v>
      </c>
      <c r="C133">
        <v>7</v>
      </c>
      <c r="D133">
        <v>15713</v>
      </c>
      <c r="F133" t="s">
        <v>130</v>
      </c>
      <c r="H133" t="s">
        <v>131</v>
      </c>
      <c r="I133" t="s">
        <v>132</v>
      </c>
      <c r="J133">
        <v>2.5</v>
      </c>
      <c r="K133" t="s">
        <v>133</v>
      </c>
      <c r="L133" t="s">
        <v>18</v>
      </c>
      <c r="M133" t="s">
        <v>19</v>
      </c>
      <c r="N133" t="s">
        <v>108</v>
      </c>
    </row>
    <row r="134" spans="1:14" x14ac:dyDescent="0.2">
      <c r="A134">
        <v>133</v>
      </c>
      <c r="B134">
        <v>3</v>
      </c>
      <c r="C134">
        <v>8</v>
      </c>
      <c r="D134">
        <v>15713</v>
      </c>
      <c r="F134" t="s">
        <v>127</v>
      </c>
      <c r="H134" t="s">
        <v>128</v>
      </c>
      <c r="I134" t="s">
        <v>129</v>
      </c>
      <c r="J134">
        <v>85</v>
      </c>
      <c r="K134" t="s">
        <v>72</v>
      </c>
      <c r="L134" t="s">
        <v>18</v>
      </c>
      <c r="M134" t="s">
        <v>19</v>
      </c>
      <c r="N134" t="s">
        <v>108</v>
      </c>
    </row>
    <row r="135" spans="1:14" x14ac:dyDescent="0.2">
      <c r="A135">
        <v>134</v>
      </c>
      <c r="B135">
        <v>3</v>
      </c>
      <c r="C135">
        <v>9</v>
      </c>
      <c r="D135">
        <v>15713</v>
      </c>
      <c r="F135" t="s">
        <v>383</v>
      </c>
      <c r="H135" t="s">
        <v>384</v>
      </c>
      <c r="I135" t="s">
        <v>385</v>
      </c>
      <c r="J135">
        <v>12</v>
      </c>
      <c r="K135" t="s">
        <v>72</v>
      </c>
      <c r="L135" t="s">
        <v>18</v>
      </c>
      <c r="M135" t="s">
        <v>19</v>
      </c>
      <c r="N135" t="s">
        <v>108</v>
      </c>
    </row>
    <row r="136" spans="1:14" x14ac:dyDescent="0.2">
      <c r="A136">
        <v>135</v>
      </c>
      <c r="B136">
        <v>3</v>
      </c>
      <c r="C136">
        <v>10</v>
      </c>
      <c r="D136">
        <v>15713</v>
      </c>
      <c r="F136" t="s">
        <v>386</v>
      </c>
      <c r="H136" t="s">
        <v>387</v>
      </c>
      <c r="I136" t="s">
        <v>388</v>
      </c>
      <c r="J136">
        <v>1000</v>
      </c>
      <c r="K136" t="s">
        <v>36</v>
      </c>
      <c r="L136" t="s">
        <v>18</v>
      </c>
      <c r="M136" t="s">
        <v>19</v>
      </c>
      <c r="N136" t="s">
        <v>108</v>
      </c>
    </row>
    <row r="137" spans="1:14" x14ac:dyDescent="0.2">
      <c r="A137">
        <v>136</v>
      </c>
      <c r="B137">
        <v>3</v>
      </c>
      <c r="C137">
        <v>11</v>
      </c>
      <c r="D137" t="s">
        <v>14</v>
      </c>
      <c r="F137" t="s">
        <v>134</v>
      </c>
      <c r="H137" t="s">
        <v>134</v>
      </c>
      <c r="I137" t="s">
        <v>135</v>
      </c>
      <c r="J137">
        <v>1</v>
      </c>
      <c r="K137" t="s">
        <v>17</v>
      </c>
      <c r="L137" t="s">
        <v>18</v>
      </c>
      <c r="M137" t="s">
        <v>19</v>
      </c>
      <c r="N137" t="s">
        <v>20</v>
      </c>
    </row>
    <row r="138" spans="1:14" x14ac:dyDescent="0.2">
      <c r="A138">
        <v>137</v>
      </c>
      <c r="B138">
        <v>3</v>
      </c>
      <c r="C138">
        <v>12</v>
      </c>
      <c r="D138" t="s">
        <v>136</v>
      </c>
      <c r="F138" t="s">
        <v>389</v>
      </c>
      <c r="G138" t="s">
        <v>390</v>
      </c>
      <c r="H138" t="s">
        <v>391</v>
      </c>
      <c r="I138" t="s">
        <v>392</v>
      </c>
      <c r="J138">
        <v>375</v>
      </c>
      <c r="K138" t="s">
        <v>94</v>
      </c>
      <c r="L138" t="s">
        <v>37</v>
      </c>
      <c r="M138" t="s">
        <v>38</v>
      </c>
      <c r="N138" t="s">
        <v>140</v>
      </c>
    </row>
    <row r="139" spans="1:14" x14ac:dyDescent="0.2">
      <c r="A139">
        <v>138</v>
      </c>
      <c r="B139">
        <v>3</v>
      </c>
      <c r="C139">
        <v>13</v>
      </c>
      <c r="D139" t="s">
        <v>136</v>
      </c>
      <c r="F139" t="s">
        <v>389</v>
      </c>
      <c r="G139" t="s">
        <v>393</v>
      </c>
      <c r="H139" t="s">
        <v>394</v>
      </c>
      <c r="I139" t="s">
        <v>392</v>
      </c>
      <c r="J139">
        <v>950</v>
      </c>
      <c r="K139" t="s">
        <v>94</v>
      </c>
      <c r="L139" t="s">
        <v>37</v>
      </c>
      <c r="M139" t="s">
        <v>38</v>
      </c>
      <c r="N139" t="s">
        <v>140</v>
      </c>
    </row>
    <row r="140" spans="1:14" x14ac:dyDescent="0.2">
      <c r="A140">
        <v>139</v>
      </c>
      <c r="B140">
        <v>3</v>
      </c>
      <c r="C140">
        <v>14</v>
      </c>
      <c r="D140" t="s">
        <v>136</v>
      </c>
      <c r="F140" t="s">
        <v>141</v>
      </c>
      <c r="G140" t="s">
        <v>390</v>
      </c>
      <c r="H140" t="s">
        <v>395</v>
      </c>
      <c r="I140" t="s">
        <v>144</v>
      </c>
      <c r="J140">
        <v>19700</v>
      </c>
      <c r="K140" t="s">
        <v>94</v>
      </c>
      <c r="L140" t="s">
        <v>37</v>
      </c>
      <c r="M140" t="s">
        <v>38</v>
      </c>
      <c r="N140" t="s">
        <v>140</v>
      </c>
    </row>
    <row r="141" spans="1:14" x14ac:dyDescent="0.2">
      <c r="A141">
        <v>140</v>
      </c>
      <c r="B141">
        <v>3</v>
      </c>
      <c r="C141">
        <v>15</v>
      </c>
      <c r="D141" t="s">
        <v>136</v>
      </c>
      <c r="F141" t="s">
        <v>141</v>
      </c>
      <c r="G141" t="s">
        <v>396</v>
      </c>
      <c r="H141" t="s">
        <v>397</v>
      </c>
      <c r="I141" t="s">
        <v>144</v>
      </c>
      <c r="J141">
        <v>2100</v>
      </c>
      <c r="K141" t="s">
        <v>94</v>
      </c>
      <c r="L141" t="s">
        <v>37</v>
      </c>
      <c r="M141" t="s">
        <v>38</v>
      </c>
      <c r="N141" t="s">
        <v>140</v>
      </c>
    </row>
    <row r="142" spans="1:14" x14ac:dyDescent="0.2">
      <c r="A142">
        <v>141</v>
      </c>
      <c r="B142">
        <v>3</v>
      </c>
      <c r="C142">
        <v>16</v>
      </c>
      <c r="D142" t="s">
        <v>136</v>
      </c>
      <c r="F142" t="s">
        <v>141</v>
      </c>
      <c r="G142" t="s">
        <v>398</v>
      </c>
      <c r="H142" t="s">
        <v>399</v>
      </c>
      <c r="I142" t="s">
        <v>144</v>
      </c>
      <c r="J142">
        <v>2600</v>
      </c>
      <c r="K142" t="s">
        <v>94</v>
      </c>
      <c r="L142" t="s">
        <v>37</v>
      </c>
      <c r="M142" t="s">
        <v>38</v>
      </c>
      <c r="N142" t="s">
        <v>140</v>
      </c>
    </row>
    <row r="143" spans="1:14" x14ac:dyDescent="0.2">
      <c r="A143">
        <v>142</v>
      </c>
      <c r="B143">
        <v>3</v>
      </c>
      <c r="C143">
        <v>17</v>
      </c>
      <c r="D143" t="s">
        <v>136</v>
      </c>
      <c r="F143" t="s">
        <v>141</v>
      </c>
      <c r="G143" t="s">
        <v>400</v>
      </c>
      <c r="H143" t="s">
        <v>401</v>
      </c>
      <c r="I143" t="s">
        <v>144</v>
      </c>
      <c r="J143">
        <v>8700</v>
      </c>
      <c r="K143" t="s">
        <v>94</v>
      </c>
      <c r="L143" t="s">
        <v>37</v>
      </c>
      <c r="M143" t="s">
        <v>38</v>
      </c>
      <c r="N143" t="s">
        <v>140</v>
      </c>
    </row>
    <row r="144" spans="1:14" x14ac:dyDescent="0.2">
      <c r="A144">
        <v>143</v>
      </c>
      <c r="B144">
        <v>3</v>
      </c>
      <c r="C144">
        <v>18</v>
      </c>
      <c r="D144" t="s">
        <v>136</v>
      </c>
      <c r="F144" t="s">
        <v>141</v>
      </c>
      <c r="G144" t="s">
        <v>402</v>
      </c>
      <c r="H144" t="s">
        <v>403</v>
      </c>
      <c r="I144" t="s">
        <v>144</v>
      </c>
      <c r="J144">
        <v>950</v>
      </c>
      <c r="K144" t="s">
        <v>94</v>
      </c>
      <c r="L144" t="s">
        <v>37</v>
      </c>
      <c r="M144" t="s">
        <v>38</v>
      </c>
      <c r="N144" t="s">
        <v>140</v>
      </c>
    </row>
    <row r="145" spans="1:14" x14ac:dyDescent="0.2">
      <c r="A145">
        <v>144</v>
      </c>
      <c r="B145">
        <v>3</v>
      </c>
      <c r="C145">
        <v>19</v>
      </c>
      <c r="D145" t="s">
        <v>136</v>
      </c>
      <c r="F145" t="s">
        <v>141</v>
      </c>
      <c r="G145" t="s">
        <v>404</v>
      </c>
      <c r="H145" t="s">
        <v>405</v>
      </c>
      <c r="I145" t="s">
        <v>144</v>
      </c>
      <c r="J145">
        <v>15200</v>
      </c>
      <c r="K145" t="s">
        <v>94</v>
      </c>
      <c r="L145" t="s">
        <v>37</v>
      </c>
      <c r="M145" t="s">
        <v>38</v>
      </c>
      <c r="N145" t="s">
        <v>140</v>
      </c>
    </row>
    <row r="146" spans="1:14" x14ac:dyDescent="0.2">
      <c r="A146">
        <v>145</v>
      </c>
      <c r="B146">
        <v>3</v>
      </c>
      <c r="C146">
        <v>20</v>
      </c>
      <c r="D146" t="s">
        <v>136</v>
      </c>
      <c r="F146" t="s">
        <v>141</v>
      </c>
      <c r="G146" t="s">
        <v>406</v>
      </c>
      <c r="H146" t="s">
        <v>407</v>
      </c>
      <c r="I146" t="s">
        <v>144</v>
      </c>
      <c r="J146">
        <v>23600</v>
      </c>
      <c r="K146" t="s">
        <v>94</v>
      </c>
      <c r="L146" t="s">
        <v>37</v>
      </c>
      <c r="M146" t="s">
        <v>38</v>
      </c>
      <c r="N146" t="s">
        <v>140</v>
      </c>
    </row>
    <row r="147" spans="1:14" x14ac:dyDescent="0.2">
      <c r="A147">
        <v>146</v>
      </c>
      <c r="B147">
        <v>3</v>
      </c>
      <c r="C147">
        <v>21</v>
      </c>
      <c r="D147" t="s">
        <v>136</v>
      </c>
      <c r="F147" t="s">
        <v>141</v>
      </c>
      <c r="G147" t="s">
        <v>408</v>
      </c>
      <c r="H147" t="s">
        <v>409</v>
      </c>
      <c r="I147" t="s">
        <v>144</v>
      </c>
      <c r="J147">
        <v>6100</v>
      </c>
      <c r="K147" t="s">
        <v>94</v>
      </c>
      <c r="L147" t="s">
        <v>37</v>
      </c>
      <c r="M147" t="s">
        <v>38</v>
      </c>
      <c r="N147" t="s">
        <v>140</v>
      </c>
    </row>
    <row r="148" spans="1:14" x14ac:dyDescent="0.2">
      <c r="A148">
        <v>147</v>
      </c>
      <c r="B148">
        <v>3</v>
      </c>
      <c r="C148">
        <v>22</v>
      </c>
      <c r="D148" t="s">
        <v>136</v>
      </c>
      <c r="F148" t="s">
        <v>141</v>
      </c>
      <c r="G148" t="s">
        <v>410</v>
      </c>
      <c r="H148" t="s">
        <v>411</v>
      </c>
      <c r="I148" t="s">
        <v>144</v>
      </c>
      <c r="J148">
        <v>375</v>
      </c>
      <c r="K148" t="s">
        <v>94</v>
      </c>
      <c r="L148" t="s">
        <v>37</v>
      </c>
      <c r="M148" t="s">
        <v>38</v>
      </c>
      <c r="N148" t="s">
        <v>140</v>
      </c>
    </row>
    <row r="149" spans="1:14" x14ac:dyDescent="0.2">
      <c r="A149">
        <v>148</v>
      </c>
      <c r="B149">
        <v>3</v>
      </c>
      <c r="C149">
        <v>23</v>
      </c>
      <c r="D149" t="s">
        <v>136</v>
      </c>
      <c r="F149" t="s">
        <v>137</v>
      </c>
      <c r="H149" t="s">
        <v>138</v>
      </c>
      <c r="I149" t="s">
        <v>139</v>
      </c>
      <c r="J149">
        <v>1500</v>
      </c>
      <c r="K149" t="s">
        <v>36</v>
      </c>
      <c r="L149" t="s">
        <v>37</v>
      </c>
      <c r="M149" t="s">
        <v>38</v>
      </c>
      <c r="N149" t="s">
        <v>140</v>
      </c>
    </row>
    <row r="150" spans="1:14" x14ac:dyDescent="0.2">
      <c r="A150">
        <v>149</v>
      </c>
      <c r="B150">
        <v>3</v>
      </c>
      <c r="C150">
        <v>24</v>
      </c>
      <c r="D150" t="s">
        <v>136</v>
      </c>
      <c r="F150" t="s">
        <v>145</v>
      </c>
      <c r="G150" t="s">
        <v>412</v>
      </c>
      <c r="H150" t="s">
        <v>413</v>
      </c>
      <c r="I150" t="s">
        <v>148</v>
      </c>
      <c r="J150">
        <v>5500</v>
      </c>
      <c r="K150" t="s">
        <v>94</v>
      </c>
      <c r="L150" t="s">
        <v>37</v>
      </c>
      <c r="M150" t="s">
        <v>38</v>
      </c>
      <c r="N150" t="s">
        <v>140</v>
      </c>
    </row>
    <row r="151" spans="1:14" x14ac:dyDescent="0.2">
      <c r="A151">
        <v>150</v>
      </c>
      <c r="B151">
        <v>3</v>
      </c>
      <c r="C151">
        <v>25</v>
      </c>
      <c r="D151" t="s">
        <v>14</v>
      </c>
      <c r="F151" t="s">
        <v>414</v>
      </c>
      <c r="H151" t="s">
        <v>414</v>
      </c>
      <c r="I151" t="s">
        <v>415</v>
      </c>
      <c r="J151">
        <v>37500</v>
      </c>
      <c r="K151" t="s">
        <v>46</v>
      </c>
      <c r="L151" t="s">
        <v>37</v>
      </c>
      <c r="M151" t="s">
        <v>38</v>
      </c>
      <c r="N151" t="s">
        <v>39</v>
      </c>
    </row>
    <row r="152" spans="1:14" x14ac:dyDescent="0.2">
      <c r="A152">
        <v>151</v>
      </c>
      <c r="B152">
        <v>3</v>
      </c>
      <c r="C152">
        <v>26</v>
      </c>
      <c r="D152" t="s">
        <v>163</v>
      </c>
      <c r="F152" t="s">
        <v>164</v>
      </c>
      <c r="H152" t="s">
        <v>165</v>
      </c>
      <c r="I152" t="s">
        <v>166</v>
      </c>
      <c r="J152">
        <v>1000</v>
      </c>
      <c r="K152" t="s">
        <v>46</v>
      </c>
      <c r="L152" t="s">
        <v>37</v>
      </c>
      <c r="M152" t="s">
        <v>38</v>
      </c>
      <c r="N152" t="s">
        <v>140</v>
      </c>
    </row>
    <row r="153" spans="1:14" x14ac:dyDescent="0.2">
      <c r="A153">
        <v>152</v>
      </c>
      <c r="B153">
        <v>3</v>
      </c>
      <c r="C153">
        <v>27</v>
      </c>
      <c r="D153" t="s">
        <v>163</v>
      </c>
      <c r="F153" t="s">
        <v>171</v>
      </c>
      <c r="H153" t="s">
        <v>172</v>
      </c>
      <c r="I153" t="s">
        <v>173</v>
      </c>
      <c r="J153">
        <v>87400</v>
      </c>
      <c r="K153" t="s">
        <v>94</v>
      </c>
      <c r="L153" t="s">
        <v>37</v>
      </c>
      <c r="M153" t="s">
        <v>38</v>
      </c>
      <c r="N153" t="s">
        <v>140</v>
      </c>
    </row>
    <row r="154" spans="1:14" x14ac:dyDescent="0.2">
      <c r="A154">
        <v>153</v>
      </c>
      <c r="B154">
        <v>3</v>
      </c>
      <c r="C154">
        <v>28</v>
      </c>
      <c r="D154" t="s">
        <v>179</v>
      </c>
      <c r="F154" t="s">
        <v>180</v>
      </c>
      <c r="H154" t="s">
        <v>181</v>
      </c>
      <c r="I154" t="s">
        <v>182</v>
      </c>
      <c r="J154">
        <v>1500</v>
      </c>
      <c r="K154" t="s">
        <v>46</v>
      </c>
      <c r="L154" t="s">
        <v>37</v>
      </c>
      <c r="M154" t="s">
        <v>38</v>
      </c>
      <c r="N154" t="s">
        <v>140</v>
      </c>
    </row>
    <row r="155" spans="1:14" x14ac:dyDescent="0.2">
      <c r="A155">
        <v>154</v>
      </c>
      <c r="B155">
        <v>3</v>
      </c>
      <c r="C155">
        <v>29</v>
      </c>
      <c r="D155" t="s">
        <v>187</v>
      </c>
      <c r="F155" t="s">
        <v>188</v>
      </c>
      <c r="H155" t="s">
        <v>189</v>
      </c>
      <c r="I155" t="s">
        <v>190</v>
      </c>
      <c r="J155">
        <v>6900</v>
      </c>
      <c r="K155" t="s">
        <v>46</v>
      </c>
      <c r="L155" t="s">
        <v>37</v>
      </c>
      <c r="M155" t="s">
        <v>38</v>
      </c>
      <c r="N155" t="s">
        <v>140</v>
      </c>
    </row>
    <row r="156" spans="1:14" x14ac:dyDescent="0.2">
      <c r="A156">
        <v>155</v>
      </c>
      <c r="B156">
        <v>3</v>
      </c>
      <c r="C156">
        <v>30</v>
      </c>
      <c r="D156" t="s">
        <v>153</v>
      </c>
      <c r="F156" t="s">
        <v>154</v>
      </c>
      <c r="H156" t="s">
        <v>155</v>
      </c>
      <c r="I156" t="s">
        <v>156</v>
      </c>
      <c r="J156">
        <v>5100</v>
      </c>
      <c r="K156" t="s">
        <v>36</v>
      </c>
      <c r="L156" t="s">
        <v>37</v>
      </c>
      <c r="M156" t="s">
        <v>38</v>
      </c>
      <c r="N156" t="s">
        <v>140</v>
      </c>
    </row>
    <row r="157" spans="1:14" x14ac:dyDescent="0.2">
      <c r="A157">
        <v>156</v>
      </c>
      <c r="B157">
        <v>3</v>
      </c>
      <c r="C157">
        <v>31</v>
      </c>
      <c r="D157" t="s">
        <v>199</v>
      </c>
      <c r="F157" t="s">
        <v>200</v>
      </c>
      <c r="H157" t="s">
        <v>201</v>
      </c>
      <c r="I157" t="s">
        <v>202</v>
      </c>
      <c r="J157">
        <v>17800</v>
      </c>
      <c r="K157" t="s">
        <v>46</v>
      </c>
      <c r="L157" t="s">
        <v>37</v>
      </c>
      <c r="M157" t="s">
        <v>38</v>
      </c>
      <c r="N157" t="s">
        <v>140</v>
      </c>
    </row>
    <row r="158" spans="1:14" x14ac:dyDescent="0.2">
      <c r="A158">
        <v>157</v>
      </c>
      <c r="B158">
        <v>3</v>
      </c>
      <c r="C158">
        <v>32</v>
      </c>
      <c r="D158" t="s">
        <v>157</v>
      </c>
      <c r="F158" t="s">
        <v>416</v>
      </c>
      <c r="H158" t="s">
        <v>417</v>
      </c>
      <c r="I158" t="s">
        <v>418</v>
      </c>
      <c r="J158">
        <v>11300</v>
      </c>
      <c r="K158" t="s">
        <v>52</v>
      </c>
      <c r="L158" t="s">
        <v>37</v>
      </c>
      <c r="M158" t="s">
        <v>38</v>
      </c>
      <c r="N158" t="s">
        <v>140</v>
      </c>
    </row>
    <row r="159" spans="1:14" x14ac:dyDescent="0.2">
      <c r="A159">
        <v>158</v>
      </c>
      <c r="B159">
        <v>3</v>
      </c>
      <c r="C159">
        <v>33</v>
      </c>
      <c r="D159" t="s">
        <v>167</v>
      </c>
      <c r="F159" t="s">
        <v>206</v>
      </c>
      <c r="H159" t="s">
        <v>207</v>
      </c>
      <c r="I159" t="s">
        <v>208</v>
      </c>
      <c r="J159">
        <v>22800</v>
      </c>
      <c r="K159" t="s">
        <v>52</v>
      </c>
      <c r="L159" t="s">
        <v>37</v>
      </c>
      <c r="M159" t="s">
        <v>38</v>
      </c>
      <c r="N159" t="s">
        <v>140</v>
      </c>
    </row>
    <row r="160" spans="1:14" x14ac:dyDescent="0.2">
      <c r="A160">
        <v>159</v>
      </c>
      <c r="B160">
        <v>3</v>
      </c>
      <c r="C160">
        <v>34</v>
      </c>
      <c r="D160" t="s">
        <v>419</v>
      </c>
      <c r="F160" t="s">
        <v>420</v>
      </c>
      <c r="H160" t="s">
        <v>421</v>
      </c>
      <c r="I160" t="s">
        <v>422</v>
      </c>
      <c r="J160">
        <v>48500</v>
      </c>
      <c r="K160" t="s">
        <v>94</v>
      </c>
      <c r="L160" t="s">
        <v>37</v>
      </c>
      <c r="M160" t="s">
        <v>38</v>
      </c>
      <c r="N160" t="s">
        <v>140</v>
      </c>
    </row>
    <row r="161" spans="1:14" x14ac:dyDescent="0.2">
      <c r="A161">
        <v>160</v>
      </c>
      <c r="B161">
        <v>3</v>
      </c>
      <c r="C161">
        <v>35</v>
      </c>
      <c r="D161" t="s">
        <v>423</v>
      </c>
      <c r="F161" t="s">
        <v>424</v>
      </c>
      <c r="H161" t="s">
        <v>425</v>
      </c>
      <c r="I161" t="s">
        <v>426</v>
      </c>
      <c r="J161">
        <v>2800</v>
      </c>
      <c r="K161" t="s">
        <v>178</v>
      </c>
      <c r="L161" t="s">
        <v>37</v>
      </c>
      <c r="M161" t="s">
        <v>38</v>
      </c>
      <c r="N161" t="s">
        <v>140</v>
      </c>
    </row>
    <row r="162" spans="1:14" x14ac:dyDescent="0.2">
      <c r="A162">
        <v>161</v>
      </c>
      <c r="B162">
        <v>3</v>
      </c>
      <c r="C162">
        <v>36</v>
      </c>
      <c r="D162" t="s">
        <v>174</v>
      </c>
      <c r="F162" t="s">
        <v>175</v>
      </c>
      <c r="H162" t="s">
        <v>176</v>
      </c>
      <c r="I162" t="s">
        <v>177</v>
      </c>
      <c r="J162">
        <v>600</v>
      </c>
      <c r="K162" t="s">
        <v>178</v>
      </c>
      <c r="L162" t="s">
        <v>37</v>
      </c>
      <c r="M162" t="s">
        <v>38</v>
      </c>
      <c r="N162" t="s">
        <v>140</v>
      </c>
    </row>
    <row r="163" spans="1:14" x14ac:dyDescent="0.2">
      <c r="A163">
        <v>162</v>
      </c>
      <c r="B163">
        <v>3</v>
      </c>
      <c r="C163">
        <v>37</v>
      </c>
      <c r="D163" t="s">
        <v>427</v>
      </c>
      <c r="F163" t="s">
        <v>428</v>
      </c>
      <c r="H163" t="s">
        <v>429</v>
      </c>
      <c r="I163" t="s">
        <v>430</v>
      </c>
      <c r="J163">
        <v>39900</v>
      </c>
      <c r="K163" t="s">
        <v>36</v>
      </c>
      <c r="L163" t="s">
        <v>37</v>
      </c>
      <c r="M163" t="s">
        <v>38</v>
      </c>
      <c r="N163" t="s">
        <v>140</v>
      </c>
    </row>
    <row r="164" spans="1:14" x14ac:dyDescent="0.2">
      <c r="A164">
        <v>163</v>
      </c>
      <c r="B164">
        <v>3</v>
      </c>
      <c r="C164">
        <v>38</v>
      </c>
      <c r="D164" t="s">
        <v>183</v>
      </c>
      <c r="F164" t="s">
        <v>431</v>
      </c>
      <c r="H164" t="s">
        <v>432</v>
      </c>
      <c r="I164" t="s">
        <v>433</v>
      </c>
      <c r="J164">
        <v>300</v>
      </c>
      <c r="K164" t="s">
        <v>178</v>
      </c>
      <c r="L164" t="s">
        <v>37</v>
      </c>
      <c r="M164" t="s">
        <v>38</v>
      </c>
      <c r="N164" t="s">
        <v>140</v>
      </c>
    </row>
    <row r="165" spans="1:14" x14ac:dyDescent="0.2">
      <c r="A165">
        <v>164</v>
      </c>
      <c r="B165">
        <v>3</v>
      </c>
      <c r="C165">
        <v>39</v>
      </c>
      <c r="D165" t="s">
        <v>191</v>
      </c>
      <c r="F165" t="s">
        <v>192</v>
      </c>
      <c r="H165" t="s">
        <v>193</v>
      </c>
      <c r="I165" t="s">
        <v>194</v>
      </c>
      <c r="J165">
        <v>300</v>
      </c>
      <c r="K165" t="s">
        <v>178</v>
      </c>
      <c r="L165" t="s">
        <v>37</v>
      </c>
      <c r="M165" t="s">
        <v>38</v>
      </c>
      <c r="N165" t="s">
        <v>140</v>
      </c>
    </row>
    <row r="166" spans="1:14" x14ac:dyDescent="0.2">
      <c r="A166">
        <v>165</v>
      </c>
      <c r="B166">
        <v>3</v>
      </c>
      <c r="C166">
        <v>40</v>
      </c>
      <c r="D166" t="s">
        <v>209</v>
      </c>
      <c r="F166" t="s">
        <v>210</v>
      </c>
      <c r="H166" t="s">
        <v>211</v>
      </c>
      <c r="I166" t="s">
        <v>212</v>
      </c>
      <c r="J166">
        <v>250</v>
      </c>
      <c r="K166" t="s">
        <v>46</v>
      </c>
      <c r="L166" t="s">
        <v>37</v>
      </c>
      <c r="M166" t="s">
        <v>38</v>
      </c>
      <c r="N166" t="s">
        <v>140</v>
      </c>
    </row>
    <row r="167" spans="1:14" x14ac:dyDescent="0.2">
      <c r="A167">
        <v>166</v>
      </c>
      <c r="B167">
        <v>3</v>
      </c>
      <c r="C167">
        <v>41</v>
      </c>
      <c r="D167" t="s">
        <v>209</v>
      </c>
      <c r="F167" t="s">
        <v>213</v>
      </c>
      <c r="H167" t="s">
        <v>214</v>
      </c>
      <c r="I167" t="s">
        <v>215</v>
      </c>
      <c r="J167">
        <v>5600</v>
      </c>
      <c r="K167" t="s">
        <v>216</v>
      </c>
      <c r="L167" t="s">
        <v>37</v>
      </c>
      <c r="M167" t="s">
        <v>38</v>
      </c>
      <c r="N167" t="s">
        <v>140</v>
      </c>
    </row>
    <row r="168" spans="1:14" x14ac:dyDescent="0.2">
      <c r="A168">
        <v>167</v>
      </c>
      <c r="B168">
        <v>3</v>
      </c>
      <c r="C168">
        <v>42</v>
      </c>
      <c r="D168" t="s">
        <v>217</v>
      </c>
      <c r="F168" t="s">
        <v>95</v>
      </c>
      <c r="H168" t="s">
        <v>434</v>
      </c>
      <c r="I168" t="s">
        <v>435</v>
      </c>
      <c r="J168">
        <v>36000</v>
      </c>
      <c r="K168" t="s">
        <v>87</v>
      </c>
      <c r="L168" t="s">
        <v>37</v>
      </c>
      <c r="M168" t="s">
        <v>38</v>
      </c>
      <c r="N168" t="s">
        <v>140</v>
      </c>
    </row>
    <row r="169" spans="1:14" x14ac:dyDescent="0.2">
      <c r="A169">
        <v>168</v>
      </c>
      <c r="B169">
        <v>3</v>
      </c>
      <c r="C169">
        <v>43</v>
      </c>
      <c r="D169" t="s">
        <v>217</v>
      </c>
      <c r="F169" t="s">
        <v>221</v>
      </c>
      <c r="H169" t="s">
        <v>222</v>
      </c>
      <c r="I169" t="s">
        <v>223</v>
      </c>
      <c r="J169">
        <v>2300</v>
      </c>
      <c r="K169" t="s">
        <v>216</v>
      </c>
      <c r="L169" t="s">
        <v>37</v>
      </c>
      <c r="M169" t="s">
        <v>38</v>
      </c>
      <c r="N169" t="s">
        <v>140</v>
      </c>
    </row>
    <row r="170" spans="1:14" x14ac:dyDescent="0.2">
      <c r="A170">
        <v>169</v>
      </c>
      <c r="B170">
        <v>3</v>
      </c>
      <c r="C170">
        <v>44</v>
      </c>
      <c r="D170" t="s">
        <v>217</v>
      </c>
      <c r="F170" t="s">
        <v>224</v>
      </c>
      <c r="H170" t="s">
        <v>225</v>
      </c>
      <c r="I170" t="s">
        <v>226</v>
      </c>
      <c r="J170">
        <v>22500</v>
      </c>
      <c r="K170" t="s">
        <v>87</v>
      </c>
      <c r="L170" t="s">
        <v>37</v>
      </c>
      <c r="M170" t="s">
        <v>38</v>
      </c>
      <c r="N170" t="s">
        <v>140</v>
      </c>
    </row>
    <row r="171" spans="1:14" x14ac:dyDescent="0.2">
      <c r="A171">
        <v>170</v>
      </c>
      <c r="B171">
        <v>3</v>
      </c>
      <c r="C171">
        <v>45</v>
      </c>
      <c r="D171" t="s">
        <v>234</v>
      </c>
      <c r="F171" t="s">
        <v>436</v>
      </c>
      <c r="H171" t="s">
        <v>437</v>
      </c>
      <c r="I171" t="s">
        <v>438</v>
      </c>
      <c r="J171">
        <v>450</v>
      </c>
      <c r="K171" t="s">
        <v>94</v>
      </c>
      <c r="L171" t="s">
        <v>37</v>
      </c>
      <c r="M171" t="s">
        <v>38</v>
      </c>
      <c r="N171" t="s">
        <v>140</v>
      </c>
    </row>
    <row r="172" spans="1:14" x14ac:dyDescent="0.2">
      <c r="A172">
        <v>171</v>
      </c>
      <c r="B172">
        <v>3</v>
      </c>
      <c r="C172">
        <v>46</v>
      </c>
      <c r="D172" t="s">
        <v>227</v>
      </c>
      <c r="F172" t="s">
        <v>228</v>
      </c>
      <c r="G172" t="s">
        <v>439</v>
      </c>
      <c r="H172" t="s">
        <v>440</v>
      </c>
      <c r="I172" t="s">
        <v>231</v>
      </c>
      <c r="J172">
        <v>210</v>
      </c>
      <c r="K172" t="s">
        <v>36</v>
      </c>
      <c r="L172" t="s">
        <v>57</v>
      </c>
      <c r="M172" t="s">
        <v>232</v>
      </c>
      <c r="N172" t="s">
        <v>233</v>
      </c>
    </row>
    <row r="173" spans="1:14" x14ac:dyDescent="0.2">
      <c r="A173">
        <v>172</v>
      </c>
      <c r="B173">
        <v>3</v>
      </c>
      <c r="C173">
        <v>47</v>
      </c>
      <c r="D173" t="s">
        <v>227</v>
      </c>
      <c r="F173" t="s">
        <v>228</v>
      </c>
      <c r="G173" t="s">
        <v>441</v>
      </c>
      <c r="H173" t="s">
        <v>442</v>
      </c>
      <c r="I173" t="s">
        <v>231</v>
      </c>
      <c r="J173">
        <v>1061</v>
      </c>
      <c r="K173" t="s">
        <v>36</v>
      </c>
      <c r="L173" t="s">
        <v>57</v>
      </c>
      <c r="M173" t="s">
        <v>232</v>
      </c>
      <c r="N173" t="s">
        <v>233</v>
      </c>
    </row>
    <row r="174" spans="1:14" x14ac:dyDescent="0.2">
      <c r="A174">
        <v>173</v>
      </c>
      <c r="B174">
        <v>3</v>
      </c>
      <c r="C174">
        <v>48</v>
      </c>
      <c r="D174" t="s">
        <v>227</v>
      </c>
      <c r="F174" t="s">
        <v>228</v>
      </c>
      <c r="G174" t="s">
        <v>238</v>
      </c>
      <c r="H174" t="s">
        <v>239</v>
      </c>
      <c r="I174" t="s">
        <v>231</v>
      </c>
      <c r="J174">
        <v>1682</v>
      </c>
      <c r="K174" t="s">
        <v>36</v>
      </c>
      <c r="L174" t="s">
        <v>57</v>
      </c>
      <c r="M174" t="s">
        <v>232</v>
      </c>
      <c r="N174" t="s">
        <v>233</v>
      </c>
    </row>
    <row r="175" spans="1:14" x14ac:dyDescent="0.2">
      <c r="A175">
        <v>174</v>
      </c>
      <c r="B175">
        <v>3</v>
      </c>
      <c r="C175">
        <v>49</v>
      </c>
      <c r="D175" t="s">
        <v>227</v>
      </c>
      <c r="F175" t="s">
        <v>252</v>
      </c>
      <c r="G175" t="s">
        <v>238</v>
      </c>
      <c r="H175" t="s">
        <v>253</v>
      </c>
      <c r="I175" t="s">
        <v>254</v>
      </c>
      <c r="J175">
        <v>707</v>
      </c>
      <c r="K175" t="s">
        <v>36</v>
      </c>
      <c r="L175" t="s">
        <v>57</v>
      </c>
      <c r="M175" t="s">
        <v>232</v>
      </c>
      <c r="N175" t="s">
        <v>233</v>
      </c>
    </row>
    <row r="176" spans="1:14" x14ac:dyDescent="0.2">
      <c r="A176">
        <v>175</v>
      </c>
      <c r="B176">
        <v>3</v>
      </c>
      <c r="C176">
        <v>50</v>
      </c>
      <c r="D176" t="s">
        <v>227</v>
      </c>
      <c r="F176" t="s">
        <v>228</v>
      </c>
      <c r="G176" t="s">
        <v>443</v>
      </c>
      <c r="H176" t="s">
        <v>444</v>
      </c>
      <c r="I176" t="s">
        <v>231</v>
      </c>
      <c r="J176">
        <v>743</v>
      </c>
      <c r="K176" t="s">
        <v>36</v>
      </c>
      <c r="L176" t="s">
        <v>57</v>
      </c>
      <c r="M176" t="s">
        <v>232</v>
      </c>
      <c r="N176" t="s">
        <v>233</v>
      </c>
    </row>
    <row r="177" spans="1:14" x14ac:dyDescent="0.2">
      <c r="A177">
        <v>176</v>
      </c>
      <c r="B177">
        <v>3</v>
      </c>
      <c r="C177">
        <v>51</v>
      </c>
      <c r="D177" t="s">
        <v>227</v>
      </c>
      <c r="F177" t="s">
        <v>228</v>
      </c>
      <c r="G177" t="s">
        <v>258</v>
      </c>
      <c r="H177" t="s">
        <v>445</v>
      </c>
      <c r="I177" t="s">
        <v>231</v>
      </c>
      <c r="J177">
        <v>192</v>
      </c>
      <c r="K177" t="s">
        <v>36</v>
      </c>
      <c r="L177" t="s">
        <v>57</v>
      </c>
      <c r="M177" t="s">
        <v>232</v>
      </c>
      <c r="N177" t="s">
        <v>233</v>
      </c>
    </row>
    <row r="178" spans="1:14" x14ac:dyDescent="0.2">
      <c r="A178">
        <v>177</v>
      </c>
      <c r="B178">
        <v>3</v>
      </c>
      <c r="C178">
        <v>52</v>
      </c>
      <c r="D178" t="s">
        <v>227</v>
      </c>
      <c r="F178" t="s">
        <v>252</v>
      </c>
      <c r="G178" t="s">
        <v>258</v>
      </c>
      <c r="H178" t="s">
        <v>259</v>
      </c>
      <c r="I178" t="s">
        <v>254</v>
      </c>
      <c r="J178">
        <v>251</v>
      </c>
      <c r="K178" t="s">
        <v>36</v>
      </c>
      <c r="L178" t="s">
        <v>57</v>
      </c>
      <c r="M178" t="s">
        <v>232</v>
      </c>
      <c r="N178" t="s">
        <v>233</v>
      </c>
    </row>
    <row r="179" spans="1:14" x14ac:dyDescent="0.2">
      <c r="A179">
        <v>178</v>
      </c>
      <c r="B179">
        <v>3</v>
      </c>
      <c r="C179">
        <v>53</v>
      </c>
      <c r="D179" t="s">
        <v>227</v>
      </c>
      <c r="F179" t="s">
        <v>228</v>
      </c>
      <c r="G179" t="s">
        <v>247</v>
      </c>
      <c r="H179" t="s">
        <v>248</v>
      </c>
      <c r="I179" t="s">
        <v>231</v>
      </c>
      <c r="J179">
        <v>1020</v>
      </c>
      <c r="K179" t="s">
        <v>36</v>
      </c>
      <c r="L179" t="s">
        <v>57</v>
      </c>
      <c r="M179" t="s">
        <v>232</v>
      </c>
      <c r="N179" t="s">
        <v>233</v>
      </c>
    </row>
    <row r="180" spans="1:14" x14ac:dyDescent="0.2">
      <c r="A180">
        <v>179</v>
      </c>
      <c r="B180">
        <v>3</v>
      </c>
      <c r="C180">
        <v>54</v>
      </c>
      <c r="D180" t="s">
        <v>446</v>
      </c>
      <c r="F180" t="s">
        <v>447</v>
      </c>
      <c r="G180" t="s">
        <v>441</v>
      </c>
      <c r="H180" t="s">
        <v>448</v>
      </c>
      <c r="I180" t="s">
        <v>449</v>
      </c>
      <c r="J180">
        <v>5379</v>
      </c>
      <c r="K180" t="s">
        <v>36</v>
      </c>
      <c r="L180" t="s">
        <v>57</v>
      </c>
      <c r="M180" t="s">
        <v>232</v>
      </c>
      <c r="N180" t="s">
        <v>233</v>
      </c>
    </row>
    <row r="181" spans="1:14" x14ac:dyDescent="0.2">
      <c r="A181">
        <v>180</v>
      </c>
      <c r="B181">
        <v>3</v>
      </c>
      <c r="C181">
        <v>55</v>
      </c>
      <c r="D181" t="s">
        <v>263</v>
      </c>
      <c r="F181" t="s">
        <v>279</v>
      </c>
      <c r="G181" t="s">
        <v>247</v>
      </c>
      <c r="H181" t="s">
        <v>450</v>
      </c>
      <c r="I181" t="s">
        <v>281</v>
      </c>
      <c r="J181">
        <v>1</v>
      </c>
      <c r="K181" t="s">
        <v>72</v>
      </c>
      <c r="L181" t="s">
        <v>57</v>
      </c>
      <c r="M181" t="s">
        <v>232</v>
      </c>
      <c r="N181" t="s">
        <v>233</v>
      </c>
    </row>
    <row r="182" spans="1:14" x14ac:dyDescent="0.2">
      <c r="A182">
        <v>181</v>
      </c>
      <c r="B182">
        <v>3</v>
      </c>
      <c r="C182">
        <v>56</v>
      </c>
      <c r="D182" t="s">
        <v>263</v>
      </c>
      <c r="F182" t="s">
        <v>264</v>
      </c>
      <c r="G182" t="s">
        <v>247</v>
      </c>
      <c r="H182" t="s">
        <v>265</v>
      </c>
      <c r="I182" t="s">
        <v>266</v>
      </c>
      <c r="J182">
        <v>6</v>
      </c>
      <c r="K182" t="s">
        <v>72</v>
      </c>
      <c r="L182" t="s">
        <v>57</v>
      </c>
      <c r="M182" t="s">
        <v>232</v>
      </c>
      <c r="N182" t="s">
        <v>233</v>
      </c>
    </row>
    <row r="183" spans="1:14" x14ac:dyDescent="0.2">
      <c r="A183">
        <v>182</v>
      </c>
      <c r="B183">
        <v>3</v>
      </c>
      <c r="C183">
        <v>57</v>
      </c>
      <c r="D183" t="s">
        <v>263</v>
      </c>
      <c r="F183" t="s">
        <v>264</v>
      </c>
      <c r="G183" t="s">
        <v>451</v>
      </c>
      <c r="H183" t="s">
        <v>452</v>
      </c>
      <c r="I183" t="s">
        <v>266</v>
      </c>
      <c r="J183">
        <v>1</v>
      </c>
      <c r="K183" t="s">
        <v>72</v>
      </c>
      <c r="L183" t="s">
        <v>57</v>
      </c>
      <c r="M183" t="s">
        <v>232</v>
      </c>
      <c r="N183" t="s">
        <v>233</v>
      </c>
    </row>
    <row r="184" spans="1:14" x14ac:dyDescent="0.2">
      <c r="A184">
        <v>183</v>
      </c>
      <c r="B184">
        <v>3</v>
      </c>
      <c r="C184">
        <v>58</v>
      </c>
      <c r="D184" t="s">
        <v>263</v>
      </c>
      <c r="F184" t="s">
        <v>279</v>
      </c>
      <c r="G184" t="s">
        <v>65</v>
      </c>
      <c r="H184" t="s">
        <v>280</v>
      </c>
      <c r="I184" t="s">
        <v>281</v>
      </c>
      <c r="J184">
        <v>1</v>
      </c>
      <c r="K184" t="s">
        <v>72</v>
      </c>
      <c r="L184" t="s">
        <v>57</v>
      </c>
      <c r="M184" t="s">
        <v>232</v>
      </c>
      <c r="N184" t="s">
        <v>233</v>
      </c>
    </row>
    <row r="185" spans="1:14" x14ac:dyDescent="0.2">
      <c r="A185">
        <v>184</v>
      </c>
      <c r="B185">
        <v>3</v>
      </c>
      <c r="C185">
        <v>59</v>
      </c>
      <c r="D185" t="s">
        <v>263</v>
      </c>
      <c r="F185" t="s">
        <v>264</v>
      </c>
      <c r="G185" t="s">
        <v>65</v>
      </c>
      <c r="H185" t="s">
        <v>453</v>
      </c>
      <c r="I185" t="s">
        <v>266</v>
      </c>
      <c r="J185">
        <v>3</v>
      </c>
      <c r="K185" t="s">
        <v>72</v>
      </c>
      <c r="L185" t="s">
        <v>57</v>
      </c>
      <c r="M185" t="s">
        <v>232</v>
      </c>
      <c r="N185" t="s">
        <v>233</v>
      </c>
    </row>
    <row r="186" spans="1:14" x14ac:dyDescent="0.2">
      <c r="A186">
        <v>185</v>
      </c>
      <c r="B186">
        <v>3</v>
      </c>
      <c r="C186">
        <v>60</v>
      </c>
      <c r="D186" t="s">
        <v>263</v>
      </c>
      <c r="F186" t="s">
        <v>279</v>
      </c>
      <c r="G186" t="s">
        <v>289</v>
      </c>
      <c r="H186" t="s">
        <v>290</v>
      </c>
      <c r="I186" t="s">
        <v>281</v>
      </c>
      <c r="J186">
        <v>2</v>
      </c>
      <c r="K186" t="s">
        <v>72</v>
      </c>
      <c r="L186" t="s">
        <v>57</v>
      </c>
      <c r="M186" t="s">
        <v>232</v>
      </c>
      <c r="N186" t="s">
        <v>233</v>
      </c>
    </row>
    <row r="187" spans="1:14" x14ac:dyDescent="0.2">
      <c r="A187">
        <v>186</v>
      </c>
      <c r="B187">
        <v>3</v>
      </c>
      <c r="C187">
        <v>61</v>
      </c>
      <c r="D187" t="s">
        <v>263</v>
      </c>
      <c r="F187" t="s">
        <v>264</v>
      </c>
      <c r="G187" t="s">
        <v>289</v>
      </c>
      <c r="H187" t="s">
        <v>454</v>
      </c>
      <c r="I187" t="s">
        <v>266</v>
      </c>
      <c r="J187">
        <v>1</v>
      </c>
      <c r="K187" t="s">
        <v>72</v>
      </c>
      <c r="L187" t="s">
        <v>57</v>
      </c>
      <c r="M187" t="s">
        <v>232</v>
      </c>
      <c r="N187" t="s">
        <v>233</v>
      </c>
    </row>
    <row r="188" spans="1:14" x14ac:dyDescent="0.2">
      <c r="A188">
        <v>187</v>
      </c>
      <c r="B188">
        <v>3</v>
      </c>
      <c r="C188">
        <v>62</v>
      </c>
      <c r="D188" t="s">
        <v>263</v>
      </c>
      <c r="F188" t="s">
        <v>296</v>
      </c>
      <c r="H188" t="s">
        <v>297</v>
      </c>
      <c r="I188" t="s">
        <v>298</v>
      </c>
      <c r="J188">
        <v>31</v>
      </c>
      <c r="K188" t="s">
        <v>72</v>
      </c>
      <c r="L188" t="s">
        <v>57</v>
      </c>
      <c r="M188" t="s">
        <v>232</v>
      </c>
      <c r="N188" t="s">
        <v>233</v>
      </c>
    </row>
    <row r="189" spans="1:14" x14ac:dyDescent="0.2">
      <c r="A189">
        <v>188</v>
      </c>
      <c r="B189">
        <v>3</v>
      </c>
      <c r="C189">
        <v>63</v>
      </c>
      <c r="D189" t="s">
        <v>302</v>
      </c>
      <c r="F189" t="s">
        <v>303</v>
      </c>
      <c r="H189" t="s">
        <v>304</v>
      </c>
      <c r="I189" t="s">
        <v>305</v>
      </c>
      <c r="J189">
        <v>8.1999999999999993</v>
      </c>
      <c r="K189" t="s">
        <v>133</v>
      </c>
      <c r="L189" t="s">
        <v>25</v>
      </c>
      <c r="M189" t="s">
        <v>26</v>
      </c>
      <c r="N189" t="s">
        <v>306</v>
      </c>
    </row>
    <row r="190" spans="1:14" x14ac:dyDescent="0.2">
      <c r="A190">
        <v>189</v>
      </c>
      <c r="B190">
        <v>3</v>
      </c>
      <c r="C190">
        <v>64</v>
      </c>
      <c r="D190" t="s">
        <v>455</v>
      </c>
      <c r="F190" t="s">
        <v>456</v>
      </c>
      <c r="H190" t="s">
        <v>457</v>
      </c>
      <c r="I190" t="s">
        <v>458</v>
      </c>
      <c r="J190">
        <v>6900</v>
      </c>
      <c r="K190" t="s">
        <v>46</v>
      </c>
      <c r="L190" t="s">
        <v>25</v>
      </c>
      <c r="M190" t="s">
        <v>26</v>
      </c>
      <c r="N190" t="s">
        <v>306</v>
      </c>
    </row>
    <row r="191" spans="1:14" x14ac:dyDescent="0.2">
      <c r="A191">
        <v>190</v>
      </c>
      <c r="B191">
        <v>3</v>
      </c>
      <c r="C191">
        <v>65</v>
      </c>
      <c r="D191" t="s">
        <v>240</v>
      </c>
      <c r="F191" t="s">
        <v>241</v>
      </c>
      <c r="H191" t="s">
        <v>242</v>
      </c>
      <c r="I191" t="s">
        <v>243</v>
      </c>
      <c r="J191">
        <v>5000</v>
      </c>
      <c r="K191" t="s">
        <v>36</v>
      </c>
      <c r="L191" t="s">
        <v>244</v>
      </c>
      <c r="M191" t="s">
        <v>245</v>
      </c>
      <c r="N191" t="s">
        <v>246</v>
      </c>
    </row>
    <row r="192" spans="1:14" x14ac:dyDescent="0.2">
      <c r="A192">
        <v>191</v>
      </c>
      <c r="B192">
        <v>3</v>
      </c>
      <c r="C192">
        <v>66</v>
      </c>
      <c r="D192" t="s">
        <v>240</v>
      </c>
      <c r="F192" t="s">
        <v>249</v>
      </c>
      <c r="H192" t="s">
        <v>250</v>
      </c>
      <c r="I192" t="s">
        <v>251</v>
      </c>
      <c r="J192">
        <v>1060</v>
      </c>
      <c r="K192" t="s">
        <v>36</v>
      </c>
      <c r="L192" t="s">
        <v>244</v>
      </c>
      <c r="M192" t="s">
        <v>245</v>
      </c>
      <c r="N192" t="s">
        <v>246</v>
      </c>
    </row>
    <row r="193" spans="1:14" x14ac:dyDescent="0.2">
      <c r="A193">
        <v>192</v>
      </c>
      <c r="B193">
        <v>3</v>
      </c>
      <c r="C193">
        <v>67</v>
      </c>
      <c r="D193" t="s">
        <v>240</v>
      </c>
      <c r="F193" t="s">
        <v>260</v>
      </c>
      <c r="H193" t="s">
        <v>261</v>
      </c>
      <c r="I193" t="s">
        <v>262</v>
      </c>
      <c r="J193">
        <v>6</v>
      </c>
      <c r="K193" t="s">
        <v>72</v>
      </c>
      <c r="L193" t="s">
        <v>244</v>
      </c>
      <c r="M193" t="s">
        <v>245</v>
      </c>
      <c r="N193" t="s">
        <v>246</v>
      </c>
    </row>
    <row r="194" spans="1:14" x14ac:dyDescent="0.2">
      <c r="A194">
        <v>193</v>
      </c>
      <c r="B194">
        <v>3</v>
      </c>
      <c r="C194">
        <v>68</v>
      </c>
      <c r="D194" t="s">
        <v>267</v>
      </c>
      <c r="F194" t="s">
        <v>275</v>
      </c>
      <c r="G194" t="s">
        <v>276</v>
      </c>
      <c r="H194" t="s">
        <v>277</v>
      </c>
      <c r="I194" t="s">
        <v>278</v>
      </c>
      <c r="J194">
        <v>65</v>
      </c>
      <c r="K194" t="s">
        <v>36</v>
      </c>
      <c r="L194" t="s">
        <v>244</v>
      </c>
      <c r="M194" t="s">
        <v>245</v>
      </c>
      <c r="N194" t="s">
        <v>246</v>
      </c>
    </row>
    <row r="195" spans="1:14" x14ac:dyDescent="0.2">
      <c r="A195">
        <v>194</v>
      </c>
      <c r="B195">
        <v>3</v>
      </c>
      <c r="C195">
        <v>69</v>
      </c>
      <c r="D195" t="s">
        <v>267</v>
      </c>
      <c r="F195" t="s">
        <v>282</v>
      </c>
      <c r="G195" t="s">
        <v>276</v>
      </c>
      <c r="H195" t="s">
        <v>283</v>
      </c>
      <c r="I195" t="s">
        <v>284</v>
      </c>
      <c r="J195">
        <v>1175</v>
      </c>
      <c r="K195" t="s">
        <v>36</v>
      </c>
      <c r="L195" t="s">
        <v>244</v>
      </c>
      <c r="M195" t="s">
        <v>245</v>
      </c>
      <c r="N195" t="s">
        <v>246</v>
      </c>
    </row>
    <row r="196" spans="1:14" x14ac:dyDescent="0.2">
      <c r="A196">
        <v>195</v>
      </c>
      <c r="B196">
        <v>3</v>
      </c>
      <c r="C196">
        <v>70</v>
      </c>
      <c r="D196">
        <v>260500</v>
      </c>
      <c r="F196" t="s">
        <v>291</v>
      </c>
      <c r="H196" t="s">
        <v>292</v>
      </c>
      <c r="I196" t="s">
        <v>293</v>
      </c>
      <c r="J196">
        <v>1</v>
      </c>
      <c r="K196" t="s">
        <v>17</v>
      </c>
      <c r="L196" t="s">
        <v>244</v>
      </c>
      <c r="M196" t="s">
        <v>294</v>
      </c>
      <c r="N196" t="s">
        <v>295</v>
      </c>
    </row>
    <row r="197" spans="1:14" x14ac:dyDescent="0.2">
      <c r="A197">
        <v>196</v>
      </c>
      <c r="B197">
        <v>3</v>
      </c>
      <c r="C197">
        <v>71</v>
      </c>
      <c r="D197">
        <v>260500</v>
      </c>
      <c r="F197" t="s">
        <v>299</v>
      </c>
      <c r="H197" t="s">
        <v>300</v>
      </c>
      <c r="I197" t="s">
        <v>301</v>
      </c>
      <c r="J197">
        <v>1</v>
      </c>
      <c r="K197" t="s">
        <v>17</v>
      </c>
      <c r="L197" t="s">
        <v>244</v>
      </c>
      <c r="M197" t="s">
        <v>294</v>
      </c>
      <c r="N197" t="s">
        <v>295</v>
      </c>
    </row>
    <row r="198" spans="1:14" x14ac:dyDescent="0.2">
      <c r="A198">
        <v>197</v>
      </c>
      <c r="B198">
        <v>3</v>
      </c>
      <c r="C198">
        <v>72</v>
      </c>
      <c r="D198">
        <v>312300</v>
      </c>
      <c r="F198" t="s">
        <v>311</v>
      </c>
      <c r="H198" t="s">
        <v>312</v>
      </c>
      <c r="I198" t="s">
        <v>313</v>
      </c>
      <c r="J198">
        <v>1</v>
      </c>
      <c r="K198" t="s">
        <v>17</v>
      </c>
      <c r="L198" t="s">
        <v>57</v>
      </c>
      <c r="M198" t="s">
        <v>232</v>
      </c>
      <c r="N198" t="s">
        <v>233</v>
      </c>
    </row>
    <row r="199" spans="1:14" x14ac:dyDescent="0.2">
      <c r="A199">
        <v>198</v>
      </c>
      <c r="B199">
        <v>3</v>
      </c>
      <c r="C199">
        <v>73</v>
      </c>
      <c r="D199">
        <v>312300</v>
      </c>
      <c r="F199" t="s">
        <v>314</v>
      </c>
      <c r="H199" t="s">
        <v>315</v>
      </c>
      <c r="I199" t="s">
        <v>316</v>
      </c>
      <c r="J199">
        <v>0</v>
      </c>
      <c r="K199" t="s">
        <v>72</v>
      </c>
      <c r="L199" t="s">
        <v>57</v>
      </c>
      <c r="M199" t="s">
        <v>232</v>
      </c>
      <c r="N199" t="s">
        <v>233</v>
      </c>
    </row>
    <row r="200" spans="1:14" x14ac:dyDescent="0.2">
      <c r="A200">
        <v>199</v>
      </c>
      <c r="B200">
        <v>3</v>
      </c>
      <c r="C200">
        <v>74</v>
      </c>
      <c r="D200">
        <v>312300</v>
      </c>
      <c r="F200" t="s">
        <v>320</v>
      </c>
      <c r="H200" t="s">
        <v>321</v>
      </c>
      <c r="I200" t="s">
        <v>322</v>
      </c>
      <c r="J200">
        <v>0</v>
      </c>
      <c r="K200" t="s">
        <v>72</v>
      </c>
      <c r="L200" t="s">
        <v>57</v>
      </c>
      <c r="M200" t="s">
        <v>232</v>
      </c>
      <c r="N200" t="s">
        <v>233</v>
      </c>
    </row>
    <row r="201" spans="1:14" x14ac:dyDescent="0.2">
      <c r="A201">
        <v>200</v>
      </c>
      <c r="B201">
        <v>3</v>
      </c>
      <c r="C201">
        <v>75</v>
      </c>
      <c r="D201">
        <v>312300</v>
      </c>
      <c r="F201" t="s">
        <v>326</v>
      </c>
      <c r="H201" t="s">
        <v>327</v>
      </c>
      <c r="I201" t="s">
        <v>328</v>
      </c>
      <c r="J201">
        <v>0</v>
      </c>
      <c r="K201" t="s">
        <v>72</v>
      </c>
      <c r="L201" t="s">
        <v>57</v>
      </c>
      <c r="M201" t="s">
        <v>232</v>
      </c>
      <c r="N201" t="s">
        <v>233</v>
      </c>
    </row>
    <row r="202" spans="1:14" x14ac:dyDescent="0.2">
      <c r="A202">
        <v>201</v>
      </c>
      <c r="B202">
        <v>3</v>
      </c>
      <c r="C202">
        <v>76</v>
      </c>
      <c r="D202">
        <v>312300</v>
      </c>
      <c r="F202" t="s">
        <v>459</v>
      </c>
      <c r="H202" t="s">
        <v>460</v>
      </c>
      <c r="I202" t="s">
        <v>461</v>
      </c>
      <c r="J202">
        <v>2</v>
      </c>
      <c r="K202" t="s">
        <v>72</v>
      </c>
      <c r="L202" t="s">
        <v>57</v>
      </c>
      <c r="M202" t="s">
        <v>232</v>
      </c>
      <c r="N202" t="s">
        <v>233</v>
      </c>
    </row>
    <row r="203" spans="1:14" x14ac:dyDescent="0.2">
      <c r="A203">
        <v>202</v>
      </c>
      <c r="B203">
        <v>3</v>
      </c>
      <c r="C203">
        <v>77</v>
      </c>
      <c r="D203">
        <v>334100</v>
      </c>
      <c r="F203" t="s">
        <v>462</v>
      </c>
      <c r="G203" t="s">
        <v>238</v>
      </c>
      <c r="H203" t="s">
        <v>463</v>
      </c>
      <c r="I203" t="s">
        <v>464</v>
      </c>
      <c r="J203">
        <v>0</v>
      </c>
      <c r="K203" t="s">
        <v>36</v>
      </c>
      <c r="L203" t="s">
        <v>57</v>
      </c>
      <c r="M203" t="s">
        <v>58</v>
      </c>
      <c r="N203" t="s">
        <v>347</v>
      </c>
    </row>
    <row r="204" spans="1:14" x14ac:dyDescent="0.2">
      <c r="A204">
        <v>203</v>
      </c>
      <c r="B204">
        <v>3</v>
      </c>
      <c r="C204">
        <v>78</v>
      </c>
      <c r="D204">
        <v>334100</v>
      </c>
      <c r="F204" t="s">
        <v>462</v>
      </c>
      <c r="G204" t="s">
        <v>465</v>
      </c>
      <c r="H204" t="s">
        <v>466</v>
      </c>
      <c r="I204" t="s">
        <v>464</v>
      </c>
      <c r="J204">
        <v>0</v>
      </c>
      <c r="K204" t="s">
        <v>36</v>
      </c>
      <c r="L204" t="s">
        <v>57</v>
      </c>
      <c r="M204" t="s">
        <v>58</v>
      </c>
      <c r="N204" t="s">
        <v>347</v>
      </c>
    </row>
    <row r="205" spans="1:14" x14ac:dyDescent="0.2">
      <c r="A205">
        <v>204</v>
      </c>
      <c r="B205">
        <v>3</v>
      </c>
      <c r="C205">
        <v>79</v>
      </c>
      <c r="D205">
        <v>334100</v>
      </c>
      <c r="F205" t="s">
        <v>356</v>
      </c>
      <c r="H205" t="s">
        <v>357</v>
      </c>
      <c r="I205" t="s">
        <v>358</v>
      </c>
      <c r="J205">
        <v>0</v>
      </c>
      <c r="K205" t="s">
        <v>46</v>
      </c>
      <c r="L205" t="s">
        <v>57</v>
      </c>
      <c r="M205" t="s">
        <v>58</v>
      </c>
      <c r="N205" t="s">
        <v>347</v>
      </c>
    </row>
    <row r="206" spans="1:14" x14ac:dyDescent="0.2">
      <c r="A206">
        <v>205</v>
      </c>
      <c r="B206">
        <v>3</v>
      </c>
      <c r="C206">
        <v>80</v>
      </c>
      <c r="D206">
        <v>334213</v>
      </c>
      <c r="F206" t="s">
        <v>467</v>
      </c>
      <c r="H206" t="s">
        <v>468</v>
      </c>
      <c r="I206" t="s">
        <v>469</v>
      </c>
      <c r="J206">
        <v>1</v>
      </c>
      <c r="K206" t="s">
        <v>17</v>
      </c>
      <c r="L206" t="s">
        <v>57</v>
      </c>
      <c r="M206" t="s">
        <v>58</v>
      </c>
      <c r="N206" t="s">
        <v>347</v>
      </c>
    </row>
    <row r="207" spans="1:14" x14ac:dyDescent="0.2">
      <c r="A207">
        <v>206</v>
      </c>
      <c r="B207">
        <v>3</v>
      </c>
      <c r="C207">
        <v>81</v>
      </c>
      <c r="D207">
        <v>334213</v>
      </c>
      <c r="F207" t="s">
        <v>470</v>
      </c>
      <c r="H207" t="s">
        <v>471</v>
      </c>
      <c r="I207" t="s">
        <v>472</v>
      </c>
      <c r="J207">
        <v>1</v>
      </c>
      <c r="K207" t="s">
        <v>17</v>
      </c>
      <c r="L207" t="s">
        <v>57</v>
      </c>
      <c r="M207" t="s">
        <v>58</v>
      </c>
      <c r="N207" t="s">
        <v>347</v>
      </c>
    </row>
    <row r="208" spans="1:14" x14ac:dyDescent="0.2">
      <c r="A208">
        <v>207</v>
      </c>
      <c r="B208">
        <v>3</v>
      </c>
      <c r="C208">
        <v>82</v>
      </c>
      <c r="D208">
        <v>344300</v>
      </c>
      <c r="F208" t="s">
        <v>317</v>
      </c>
      <c r="H208" t="s">
        <v>318</v>
      </c>
      <c r="I208" t="s">
        <v>319</v>
      </c>
      <c r="J208">
        <v>22</v>
      </c>
      <c r="K208" t="s">
        <v>72</v>
      </c>
      <c r="L208" t="s">
        <v>244</v>
      </c>
      <c r="M208" t="s">
        <v>245</v>
      </c>
      <c r="N208" t="s">
        <v>246</v>
      </c>
    </row>
    <row r="209" spans="1:14" x14ac:dyDescent="0.2">
      <c r="A209">
        <v>208</v>
      </c>
      <c r="B209">
        <v>3</v>
      </c>
      <c r="C209">
        <v>83</v>
      </c>
      <c r="D209">
        <v>344300</v>
      </c>
      <c r="F209" t="s">
        <v>323</v>
      </c>
      <c r="H209" t="s">
        <v>324</v>
      </c>
      <c r="I209" t="s">
        <v>325</v>
      </c>
      <c r="J209">
        <v>9</v>
      </c>
      <c r="K209" t="s">
        <v>72</v>
      </c>
      <c r="L209" t="s">
        <v>244</v>
      </c>
      <c r="M209" t="s">
        <v>245</v>
      </c>
      <c r="N209" t="s">
        <v>246</v>
      </c>
    </row>
    <row r="210" spans="1:14" x14ac:dyDescent="0.2">
      <c r="A210">
        <v>209</v>
      </c>
      <c r="B210">
        <v>3</v>
      </c>
      <c r="C210">
        <v>84</v>
      </c>
      <c r="D210">
        <v>344301</v>
      </c>
      <c r="F210" t="s">
        <v>473</v>
      </c>
      <c r="H210" t="s">
        <v>474</v>
      </c>
      <c r="I210" t="s">
        <v>475</v>
      </c>
      <c r="J210">
        <v>8</v>
      </c>
      <c r="K210" t="s">
        <v>72</v>
      </c>
      <c r="L210" t="s">
        <v>244</v>
      </c>
      <c r="M210" t="s">
        <v>245</v>
      </c>
      <c r="N210" t="s">
        <v>246</v>
      </c>
    </row>
    <row r="211" spans="1:14" x14ac:dyDescent="0.2">
      <c r="A211">
        <v>210</v>
      </c>
      <c r="B211">
        <v>3</v>
      </c>
      <c r="C211">
        <v>85</v>
      </c>
      <c r="D211">
        <v>344301</v>
      </c>
      <c r="F211" t="s">
        <v>353</v>
      </c>
      <c r="H211" t="s">
        <v>354</v>
      </c>
      <c r="I211" t="s">
        <v>355</v>
      </c>
      <c r="J211">
        <v>8</v>
      </c>
      <c r="K211" t="s">
        <v>72</v>
      </c>
      <c r="L211" t="s">
        <v>244</v>
      </c>
      <c r="M211" t="s">
        <v>245</v>
      </c>
      <c r="N211" t="s">
        <v>246</v>
      </c>
    </row>
    <row r="212" spans="1:14" x14ac:dyDescent="0.2">
      <c r="A212">
        <v>211</v>
      </c>
      <c r="B212">
        <v>3</v>
      </c>
      <c r="C212">
        <v>86</v>
      </c>
      <c r="D212">
        <v>344301</v>
      </c>
      <c r="F212" t="s">
        <v>476</v>
      </c>
      <c r="H212" t="s">
        <v>477</v>
      </c>
      <c r="I212" t="s">
        <v>478</v>
      </c>
      <c r="J212">
        <v>15</v>
      </c>
      <c r="K212" t="s">
        <v>72</v>
      </c>
      <c r="L212" t="s">
        <v>244</v>
      </c>
      <c r="M212" t="s">
        <v>245</v>
      </c>
      <c r="N212" t="s">
        <v>246</v>
      </c>
    </row>
    <row r="213" spans="1:14" x14ac:dyDescent="0.2">
      <c r="A213">
        <v>212</v>
      </c>
      <c r="B213">
        <v>3</v>
      </c>
      <c r="C213">
        <v>87</v>
      </c>
      <c r="D213">
        <v>344302</v>
      </c>
      <c r="F213" t="s">
        <v>359</v>
      </c>
      <c r="H213" t="s">
        <v>360</v>
      </c>
      <c r="I213" t="s">
        <v>361</v>
      </c>
      <c r="J213">
        <v>1</v>
      </c>
      <c r="K213" t="s">
        <v>17</v>
      </c>
      <c r="L213" t="s">
        <v>244</v>
      </c>
      <c r="M213" t="s">
        <v>362</v>
      </c>
      <c r="N213" t="s">
        <v>363</v>
      </c>
    </row>
    <row r="214" spans="1:14" x14ac:dyDescent="0.2">
      <c r="A214">
        <v>213</v>
      </c>
      <c r="B214">
        <v>3</v>
      </c>
      <c r="C214">
        <v>88</v>
      </c>
      <c r="D214">
        <v>344302</v>
      </c>
      <c r="F214" t="s">
        <v>367</v>
      </c>
      <c r="H214" t="s">
        <v>368</v>
      </c>
      <c r="I214" t="s">
        <v>369</v>
      </c>
      <c r="J214">
        <v>1</v>
      </c>
      <c r="K214" t="s">
        <v>17</v>
      </c>
      <c r="L214" t="s">
        <v>244</v>
      </c>
      <c r="M214" t="s">
        <v>362</v>
      </c>
      <c r="N214" t="s">
        <v>363</v>
      </c>
    </row>
    <row r="215" spans="1:14" x14ac:dyDescent="0.2">
      <c r="A215">
        <v>214</v>
      </c>
      <c r="B215">
        <v>3</v>
      </c>
      <c r="C215">
        <v>89</v>
      </c>
      <c r="D215">
        <v>344302</v>
      </c>
      <c r="F215" t="s">
        <v>373</v>
      </c>
      <c r="H215" t="s">
        <v>374</v>
      </c>
      <c r="I215" t="s">
        <v>375</v>
      </c>
      <c r="J215">
        <v>1</v>
      </c>
      <c r="K215" t="s">
        <v>17</v>
      </c>
      <c r="L215" t="s">
        <v>244</v>
      </c>
      <c r="M215" t="s">
        <v>362</v>
      </c>
      <c r="N215" t="s">
        <v>363</v>
      </c>
    </row>
    <row r="216" spans="1:14" x14ac:dyDescent="0.2">
      <c r="A216">
        <v>215</v>
      </c>
      <c r="B216">
        <v>4</v>
      </c>
      <c r="C216">
        <v>1</v>
      </c>
      <c r="D216" t="s">
        <v>14</v>
      </c>
      <c r="F216" t="s">
        <v>105</v>
      </c>
      <c r="H216" t="s">
        <v>105</v>
      </c>
      <c r="I216" t="s">
        <v>479</v>
      </c>
      <c r="J216">
        <v>1</v>
      </c>
      <c r="K216" t="s">
        <v>17</v>
      </c>
      <c r="L216" t="s">
        <v>18</v>
      </c>
      <c r="M216" t="s">
        <v>19</v>
      </c>
      <c r="N216" t="s">
        <v>20</v>
      </c>
    </row>
    <row r="217" spans="1:14" x14ac:dyDescent="0.2">
      <c r="A217">
        <v>216</v>
      </c>
      <c r="B217">
        <v>4</v>
      </c>
      <c r="C217">
        <v>2</v>
      </c>
      <c r="D217" t="s">
        <v>14</v>
      </c>
      <c r="F217" t="s">
        <v>109</v>
      </c>
      <c r="H217" t="s">
        <v>109</v>
      </c>
      <c r="I217" t="s">
        <v>480</v>
      </c>
      <c r="J217">
        <v>1</v>
      </c>
      <c r="K217" t="s">
        <v>17</v>
      </c>
      <c r="L217" t="s">
        <v>18</v>
      </c>
      <c r="M217" t="s">
        <v>19</v>
      </c>
      <c r="N217" t="s">
        <v>20</v>
      </c>
    </row>
    <row r="218" spans="1:14" x14ac:dyDescent="0.2">
      <c r="A218">
        <v>217</v>
      </c>
      <c r="B218">
        <v>4</v>
      </c>
      <c r="C218">
        <v>3</v>
      </c>
      <c r="D218" t="s">
        <v>14</v>
      </c>
      <c r="F218" t="s">
        <v>112</v>
      </c>
      <c r="H218" t="s">
        <v>112</v>
      </c>
      <c r="I218" t="s">
        <v>481</v>
      </c>
      <c r="J218">
        <v>1</v>
      </c>
      <c r="K218" t="s">
        <v>17</v>
      </c>
      <c r="L218" t="s">
        <v>18</v>
      </c>
      <c r="M218" t="s">
        <v>19</v>
      </c>
      <c r="N218" t="s">
        <v>20</v>
      </c>
    </row>
    <row r="219" spans="1:14" x14ac:dyDescent="0.2">
      <c r="A219">
        <v>218</v>
      </c>
      <c r="B219">
        <v>4</v>
      </c>
      <c r="C219">
        <v>4</v>
      </c>
      <c r="D219" t="s">
        <v>14</v>
      </c>
      <c r="F219" t="s">
        <v>118</v>
      </c>
      <c r="H219" t="s">
        <v>118</v>
      </c>
      <c r="I219" t="s">
        <v>482</v>
      </c>
      <c r="J219">
        <v>1</v>
      </c>
      <c r="K219" t="s">
        <v>17</v>
      </c>
      <c r="L219" t="s">
        <v>18</v>
      </c>
      <c r="M219" t="s">
        <v>19</v>
      </c>
      <c r="N219" t="s">
        <v>20</v>
      </c>
    </row>
    <row r="220" spans="1:14" x14ac:dyDescent="0.2">
      <c r="A220">
        <v>219</v>
      </c>
      <c r="B220">
        <v>4</v>
      </c>
      <c r="C220">
        <v>5</v>
      </c>
      <c r="D220" t="s">
        <v>14</v>
      </c>
      <c r="F220" t="s">
        <v>483</v>
      </c>
      <c r="H220" t="s">
        <v>483</v>
      </c>
      <c r="I220" t="s">
        <v>484</v>
      </c>
      <c r="J220">
        <v>1</v>
      </c>
      <c r="K220" t="s">
        <v>17</v>
      </c>
      <c r="L220" t="s">
        <v>18</v>
      </c>
      <c r="M220" t="s">
        <v>19</v>
      </c>
      <c r="N220" t="s">
        <v>20</v>
      </c>
    </row>
    <row r="221" spans="1:14" x14ac:dyDescent="0.2">
      <c r="A221">
        <v>220</v>
      </c>
      <c r="B221">
        <v>4</v>
      </c>
      <c r="C221">
        <v>6</v>
      </c>
      <c r="D221" t="s">
        <v>14</v>
      </c>
      <c r="F221" t="s">
        <v>485</v>
      </c>
      <c r="H221" t="s">
        <v>485</v>
      </c>
      <c r="I221" t="s">
        <v>486</v>
      </c>
      <c r="J221">
        <v>750</v>
      </c>
      <c r="K221" t="s">
        <v>36</v>
      </c>
      <c r="L221" t="s">
        <v>25</v>
      </c>
      <c r="M221" t="s">
        <v>26</v>
      </c>
      <c r="N221" t="s">
        <v>27</v>
      </c>
    </row>
    <row r="222" spans="1:14" x14ac:dyDescent="0.2">
      <c r="A222">
        <v>221</v>
      </c>
      <c r="B222">
        <v>4</v>
      </c>
      <c r="C222">
        <v>7</v>
      </c>
      <c r="D222" t="s">
        <v>14</v>
      </c>
      <c r="F222" t="s">
        <v>127</v>
      </c>
      <c r="H222" t="s">
        <v>127</v>
      </c>
      <c r="I222" t="s">
        <v>487</v>
      </c>
      <c r="J222">
        <v>2</v>
      </c>
      <c r="K222" t="s">
        <v>72</v>
      </c>
      <c r="L222" t="s">
        <v>25</v>
      </c>
      <c r="M222" t="s">
        <v>26</v>
      </c>
      <c r="N222" t="s">
        <v>27</v>
      </c>
    </row>
    <row r="223" spans="1:14" x14ac:dyDescent="0.2">
      <c r="A223">
        <v>222</v>
      </c>
      <c r="B223">
        <v>4</v>
      </c>
      <c r="C223">
        <v>8</v>
      </c>
      <c r="D223" t="s">
        <v>14</v>
      </c>
      <c r="F223" t="s">
        <v>488</v>
      </c>
      <c r="H223" t="s">
        <v>488</v>
      </c>
      <c r="I223" t="s">
        <v>489</v>
      </c>
      <c r="J223">
        <v>1</v>
      </c>
      <c r="K223" t="s">
        <v>72</v>
      </c>
      <c r="L223" t="s">
        <v>47</v>
      </c>
      <c r="M223" t="s">
        <v>48</v>
      </c>
      <c r="N223" t="s">
        <v>49</v>
      </c>
    </row>
    <row r="224" spans="1:14" x14ac:dyDescent="0.2">
      <c r="A224">
        <v>223</v>
      </c>
      <c r="B224">
        <v>4</v>
      </c>
      <c r="C224">
        <v>9</v>
      </c>
      <c r="D224" t="s">
        <v>14</v>
      </c>
      <c r="F224" t="s">
        <v>490</v>
      </c>
      <c r="H224" t="s">
        <v>490</v>
      </c>
      <c r="I224" t="s">
        <v>491</v>
      </c>
      <c r="J224">
        <v>20</v>
      </c>
      <c r="K224" t="s">
        <v>46</v>
      </c>
      <c r="L224" t="s">
        <v>37</v>
      </c>
      <c r="M224" t="s">
        <v>38</v>
      </c>
      <c r="N224" t="s">
        <v>39</v>
      </c>
    </row>
    <row r="225" spans="1:14" x14ac:dyDescent="0.2">
      <c r="A225">
        <v>224</v>
      </c>
      <c r="B225">
        <v>4</v>
      </c>
      <c r="C225">
        <v>10</v>
      </c>
      <c r="D225" t="s">
        <v>14</v>
      </c>
      <c r="F225" t="s">
        <v>492</v>
      </c>
      <c r="H225" t="s">
        <v>492</v>
      </c>
      <c r="I225" t="s">
        <v>493</v>
      </c>
      <c r="J225">
        <v>1500</v>
      </c>
      <c r="K225" t="s">
        <v>46</v>
      </c>
      <c r="L225" t="s">
        <v>37</v>
      </c>
      <c r="M225" t="s">
        <v>38</v>
      </c>
      <c r="N225" t="s">
        <v>39</v>
      </c>
    </row>
    <row r="226" spans="1:14" x14ac:dyDescent="0.2">
      <c r="A226">
        <v>225</v>
      </c>
      <c r="B226">
        <v>4</v>
      </c>
      <c r="C226">
        <v>11</v>
      </c>
      <c r="D226" t="s">
        <v>14</v>
      </c>
      <c r="F226" t="s">
        <v>494</v>
      </c>
      <c r="H226" t="s">
        <v>494</v>
      </c>
      <c r="I226" t="s">
        <v>495</v>
      </c>
      <c r="J226">
        <v>40</v>
      </c>
      <c r="K226" t="s">
        <v>46</v>
      </c>
      <c r="L226" t="s">
        <v>37</v>
      </c>
      <c r="M226" t="s">
        <v>38</v>
      </c>
      <c r="N226" t="s">
        <v>39</v>
      </c>
    </row>
    <row r="227" spans="1:14" x14ac:dyDescent="0.2">
      <c r="A227">
        <v>226</v>
      </c>
      <c r="B227">
        <v>4</v>
      </c>
      <c r="C227">
        <v>12</v>
      </c>
      <c r="D227" t="s">
        <v>14</v>
      </c>
      <c r="F227" t="s">
        <v>496</v>
      </c>
      <c r="H227" t="s">
        <v>496</v>
      </c>
      <c r="I227" t="s">
        <v>497</v>
      </c>
      <c r="J227">
        <v>50</v>
      </c>
      <c r="K227" t="s">
        <v>46</v>
      </c>
      <c r="L227" t="s">
        <v>37</v>
      </c>
      <c r="M227" t="s">
        <v>38</v>
      </c>
      <c r="N227" t="s">
        <v>39</v>
      </c>
    </row>
    <row r="228" spans="1:14" x14ac:dyDescent="0.2">
      <c r="A228">
        <v>227</v>
      </c>
      <c r="B228">
        <v>4</v>
      </c>
      <c r="C228">
        <v>13</v>
      </c>
      <c r="D228" t="s">
        <v>14</v>
      </c>
      <c r="F228" t="s">
        <v>60</v>
      </c>
      <c r="H228" t="s">
        <v>60</v>
      </c>
      <c r="I228" t="s">
        <v>61</v>
      </c>
      <c r="J228">
        <v>10</v>
      </c>
      <c r="K228" t="s">
        <v>46</v>
      </c>
      <c r="L228" t="s">
        <v>37</v>
      </c>
      <c r="M228" t="s">
        <v>38</v>
      </c>
      <c r="N228" t="s">
        <v>39</v>
      </c>
    </row>
    <row r="229" spans="1:14" x14ac:dyDescent="0.2">
      <c r="A229">
        <v>228</v>
      </c>
      <c r="B229">
        <v>4</v>
      </c>
      <c r="C229">
        <v>14</v>
      </c>
      <c r="D229" t="s">
        <v>14</v>
      </c>
      <c r="F229" t="s">
        <v>171</v>
      </c>
      <c r="H229" t="s">
        <v>171</v>
      </c>
      <c r="I229" t="s">
        <v>498</v>
      </c>
      <c r="J229">
        <v>650</v>
      </c>
      <c r="K229" t="s">
        <v>94</v>
      </c>
      <c r="L229" t="s">
        <v>37</v>
      </c>
      <c r="M229" t="s">
        <v>38</v>
      </c>
      <c r="N229" t="s">
        <v>39</v>
      </c>
    </row>
    <row r="230" spans="1:14" x14ac:dyDescent="0.2">
      <c r="A230">
        <v>229</v>
      </c>
      <c r="B230">
        <v>4</v>
      </c>
      <c r="C230">
        <v>15</v>
      </c>
      <c r="D230" t="s">
        <v>14</v>
      </c>
      <c r="F230" t="s">
        <v>88</v>
      </c>
      <c r="H230" t="s">
        <v>88</v>
      </c>
      <c r="I230" t="s">
        <v>89</v>
      </c>
      <c r="J230">
        <v>400</v>
      </c>
      <c r="K230" t="s">
        <v>46</v>
      </c>
      <c r="L230" t="s">
        <v>37</v>
      </c>
      <c r="M230" t="s">
        <v>38</v>
      </c>
      <c r="N230" t="s">
        <v>39</v>
      </c>
    </row>
    <row r="231" spans="1:14" x14ac:dyDescent="0.2">
      <c r="A231">
        <v>230</v>
      </c>
      <c r="B231">
        <v>4</v>
      </c>
      <c r="C231">
        <v>16</v>
      </c>
      <c r="D231" t="s">
        <v>14</v>
      </c>
      <c r="F231" t="s">
        <v>499</v>
      </c>
      <c r="H231" t="s">
        <v>499</v>
      </c>
      <c r="I231" t="s">
        <v>500</v>
      </c>
      <c r="J231">
        <v>1</v>
      </c>
      <c r="K231" t="s">
        <v>17</v>
      </c>
      <c r="L231" t="s">
        <v>57</v>
      </c>
      <c r="M231" t="s">
        <v>58</v>
      </c>
      <c r="N231" t="s">
        <v>59</v>
      </c>
    </row>
    <row r="232" spans="1:14" x14ac:dyDescent="0.2">
      <c r="A232">
        <v>231</v>
      </c>
      <c r="B232">
        <v>4</v>
      </c>
      <c r="C232">
        <v>17</v>
      </c>
      <c r="D232" t="s">
        <v>14</v>
      </c>
      <c r="F232" t="s">
        <v>501</v>
      </c>
      <c r="H232" t="s">
        <v>501</v>
      </c>
      <c r="I232" t="s">
        <v>502</v>
      </c>
      <c r="J232">
        <v>1</v>
      </c>
      <c r="K232" t="s">
        <v>17</v>
      </c>
      <c r="L232" t="s">
        <v>57</v>
      </c>
      <c r="M232" t="s">
        <v>58</v>
      </c>
      <c r="N232" t="s">
        <v>59</v>
      </c>
    </row>
    <row r="233" spans="1:14" x14ac:dyDescent="0.2">
      <c r="A233">
        <v>232</v>
      </c>
      <c r="B233">
        <v>4</v>
      </c>
      <c r="C233">
        <v>18</v>
      </c>
      <c r="D233" t="s">
        <v>14</v>
      </c>
      <c r="F233" t="s">
        <v>503</v>
      </c>
      <c r="H233" t="s">
        <v>503</v>
      </c>
      <c r="I233" t="s">
        <v>504</v>
      </c>
      <c r="J233">
        <v>1</v>
      </c>
      <c r="K233" t="s">
        <v>17</v>
      </c>
      <c r="L233" t="s">
        <v>57</v>
      </c>
      <c r="M233" t="s">
        <v>58</v>
      </c>
      <c r="N233" t="s">
        <v>59</v>
      </c>
    </row>
    <row r="234" spans="1:14" x14ac:dyDescent="0.2">
      <c r="A234">
        <v>233</v>
      </c>
      <c r="B234">
        <v>4</v>
      </c>
      <c r="C234">
        <v>19</v>
      </c>
      <c r="D234" t="s">
        <v>14</v>
      </c>
      <c r="F234" t="s">
        <v>332</v>
      </c>
      <c r="H234" t="s">
        <v>332</v>
      </c>
      <c r="I234" t="s">
        <v>505</v>
      </c>
      <c r="J234">
        <v>4</v>
      </c>
      <c r="K234" t="s">
        <v>72</v>
      </c>
      <c r="L234" t="s">
        <v>47</v>
      </c>
      <c r="M234" t="s">
        <v>48</v>
      </c>
      <c r="N234" t="s">
        <v>49</v>
      </c>
    </row>
    <row r="235" spans="1:14" x14ac:dyDescent="0.2">
      <c r="A235">
        <v>234</v>
      </c>
      <c r="B235">
        <v>4</v>
      </c>
      <c r="C235">
        <v>20</v>
      </c>
      <c r="D235" t="s">
        <v>14</v>
      </c>
      <c r="F235" t="s">
        <v>506</v>
      </c>
      <c r="G235" t="s">
        <v>258</v>
      </c>
      <c r="H235" t="s">
        <v>507</v>
      </c>
      <c r="I235" t="s">
        <v>508</v>
      </c>
      <c r="J235">
        <v>23</v>
      </c>
      <c r="K235" t="s">
        <v>36</v>
      </c>
      <c r="L235" t="s">
        <v>57</v>
      </c>
      <c r="M235" t="s">
        <v>58</v>
      </c>
      <c r="N235" t="s">
        <v>59</v>
      </c>
    </row>
    <row r="236" spans="1:14" x14ac:dyDescent="0.2">
      <c r="A236">
        <v>235</v>
      </c>
      <c r="B236">
        <v>4</v>
      </c>
      <c r="C236">
        <v>21</v>
      </c>
      <c r="D236" t="s">
        <v>14</v>
      </c>
      <c r="F236" t="s">
        <v>509</v>
      </c>
      <c r="G236" t="s">
        <v>238</v>
      </c>
      <c r="H236" t="s">
        <v>510</v>
      </c>
      <c r="I236" t="s">
        <v>511</v>
      </c>
      <c r="J236">
        <v>51</v>
      </c>
      <c r="K236" t="s">
        <v>36</v>
      </c>
      <c r="L236" t="s">
        <v>57</v>
      </c>
      <c r="M236" t="s">
        <v>58</v>
      </c>
      <c r="N236" t="s">
        <v>59</v>
      </c>
    </row>
    <row r="237" spans="1:14" x14ac:dyDescent="0.2">
      <c r="A237">
        <v>236</v>
      </c>
      <c r="B237">
        <v>4</v>
      </c>
      <c r="C237">
        <v>22</v>
      </c>
      <c r="D237" t="s">
        <v>14</v>
      </c>
      <c r="F237" t="s">
        <v>509</v>
      </c>
      <c r="G237" t="s">
        <v>512</v>
      </c>
      <c r="H237" t="s">
        <v>513</v>
      </c>
      <c r="I237" t="s">
        <v>511</v>
      </c>
      <c r="J237">
        <v>22</v>
      </c>
      <c r="K237" t="s">
        <v>36</v>
      </c>
      <c r="L237" t="s">
        <v>57</v>
      </c>
      <c r="M237" t="s">
        <v>58</v>
      </c>
      <c r="N237" t="s">
        <v>59</v>
      </c>
    </row>
    <row r="238" spans="1:14" x14ac:dyDescent="0.2">
      <c r="A238">
        <v>237</v>
      </c>
      <c r="B238">
        <v>4</v>
      </c>
      <c r="C238">
        <v>23</v>
      </c>
      <c r="D238" t="s">
        <v>14</v>
      </c>
      <c r="F238" t="s">
        <v>509</v>
      </c>
      <c r="G238" t="s">
        <v>514</v>
      </c>
      <c r="H238" t="s">
        <v>515</v>
      </c>
      <c r="I238" t="s">
        <v>511</v>
      </c>
      <c r="J238">
        <v>23</v>
      </c>
      <c r="K238" t="s">
        <v>36</v>
      </c>
      <c r="L238" t="s">
        <v>57</v>
      </c>
      <c r="M238" t="s">
        <v>58</v>
      </c>
      <c r="N238" t="s">
        <v>59</v>
      </c>
    </row>
    <row r="239" spans="1:14" x14ac:dyDescent="0.2">
      <c r="A239">
        <v>238</v>
      </c>
      <c r="B239">
        <v>4</v>
      </c>
      <c r="C239">
        <v>24</v>
      </c>
      <c r="D239" t="s">
        <v>14</v>
      </c>
      <c r="F239" t="s">
        <v>516</v>
      </c>
      <c r="G239" t="s">
        <v>514</v>
      </c>
      <c r="H239" t="s">
        <v>517</v>
      </c>
      <c r="I239" t="s">
        <v>518</v>
      </c>
      <c r="J239">
        <v>70</v>
      </c>
      <c r="K239" t="s">
        <v>36</v>
      </c>
      <c r="L239" t="s">
        <v>57</v>
      </c>
      <c r="M239" t="s">
        <v>58</v>
      </c>
      <c r="N239" t="s">
        <v>59</v>
      </c>
    </row>
    <row r="240" spans="1:14" x14ac:dyDescent="0.2">
      <c r="A240">
        <v>239</v>
      </c>
      <c r="B240">
        <v>4</v>
      </c>
      <c r="C240">
        <v>25</v>
      </c>
      <c r="D240" t="s">
        <v>14</v>
      </c>
      <c r="F240" t="s">
        <v>509</v>
      </c>
      <c r="G240" t="s">
        <v>258</v>
      </c>
      <c r="H240" t="s">
        <v>519</v>
      </c>
      <c r="I240" t="s">
        <v>511</v>
      </c>
      <c r="J240">
        <v>85</v>
      </c>
      <c r="K240" t="s">
        <v>36</v>
      </c>
      <c r="L240" t="s">
        <v>57</v>
      </c>
      <c r="M240" t="s">
        <v>58</v>
      </c>
      <c r="N240" t="s">
        <v>59</v>
      </c>
    </row>
    <row r="241" spans="1:14" x14ac:dyDescent="0.2">
      <c r="A241">
        <v>240</v>
      </c>
      <c r="B241">
        <v>4</v>
      </c>
      <c r="C241">
        <v>26</v>
      </c>
      <c r="D241" t="s">
        <v>14</v>
      </c>
      <c r="F241" t="s">
        <v>68</v>
      </c>
      <c r="G241" t="s">
        <v>247</v>
      </c>
      <c r="H241" t="s">
        <v>520</v>
      </c>
      <c r="I241" t="s">
        <v>71</v>
      </c>
      <c r="J241">
        <v>1</v>
      </c>
      <c r="K241" t="s">
        <v>72</v>
      </c>
      <c r="L241" t="s">
        <v>57</v>
      </c>
      <c r="M241" t="s">
        <v>58</v>
      </c>
      <c r="N241" t="s">
        <v>59</v>
      </c>
    </row>
    <row r="242" spans="1:14" x14ac:dyDescent="0.2">
      <c r="A242">
        <v>241</v>
      </c>
      <c r="B242">
        <v>4</v>
      </c>
      <c r="C242">
        <v>27</v>
      </c>
      <c r="D242" t="s">
        <v>14</v>
      </c>
      <c r="F242" t="s">
        <v>68</v>
      </c>
      <c r="G242" t="s">
        <v>451</v>
      </c>
      <c r="H242" t="s">
        <v>521</v>
      </c>
      <c r="I242" t="s">
        <v>71</v>
      </c>
      <c r="J242">
        <v>1</v>
      </c>
      <c r="K242" t="s">
        <v>72</v>
      </c>
      <c r="L242" t="s">
        <v>57</v>
      </c>
      <c r="M242" t="s">
        <v>58</v>
      </c>
      <c r="N242" t="s">
        <v>59</v>
      </c>
    </row>
    <row r="243" spans="1:14" x14ac:dyDescent="0.2">
      <c r="A243">
        <v>242</v>
      </c>
      <c r="B243">
        <v>4</v>
      </c>
      <c r="C243">
        <v>28</v>
      </c>
      <c r="D243" t="s">
        <v>14</v>
      </c>
      <c r="F243" t="s">
        <v>68</v>
      </c>
      <c r="G243" t="s">
        <v>65</v>
      </c>
      <c r="H243" t="s">
        <v>522</v>
      </c>
      <c r="I243" t="s">
        <v>71</v>
      </c>
      <c r="J243">
        <v>2</v>
      </c>
      <c r="K243" t="s">
        <v>72</v>
      </c>
      <c r="L243" t="s">
        <v>57</v>
      </c>
      <c r="M243" t="s">
        <v>58</v>
      </c>
      <c r="N243" t="s">
        <v>59</v>
      </c>
    </row>
    <row r="244" spans="1:14" x14ac:dyDescent="0.2">
      <c r="A244">
        <v>243</v>
      </c>
      <c r="B244">
        <v>4</v>
      </c>
      <c r="C244">
        <v>29</v>
      </c>
      <c r="D244" t="s">
        <v>14</v>
      </c>
      <c r="F244" t="s">
        <v>523</v>
      </c>
      <c r="G244" t="s">
        <v>65</v>
      </c>
      <c r="H244" t="s">
        <v>524</v>
      </c>
      <c r="I244" t="s">
        <v>525</v>
      </c>
      <c r="J244">
        <v>1</v>
      </c>
      <c r="K244" t="s">
        <v>72</v>
      </c>
      <c r="L244" t="s">
        <v>47</v>
      </c>
      <c r="M244" t="s">
        <v>48</v>
      </c>
      <c r="N244" t="s">
        <v>49</v>
      </c>
    </row>
    <row r="245" spans="1:14" x14ac:dyDescent="0.2">
      <c r="A245">
        <v>244</v>
      </c>
      <c r="B245">
        <v>4</v>
      </c>
      <c r="C245">
        <v>30</v>
      </c>
      <c r="D245" t="s">
        <v>14</v>
      </c>
      <c r="F245" t="s">
        <v>526</v>
      </c>
      <c r="H245" t="s">
        <v>526</v>
      </c>
      <c r="I245" t="s">
        <v>527</v>
      </c>
      <c r="J245">
        <v>1</v>
      </c>
      <c r="K245" t="s">
        <v>17</v>
      </c>
      <c r="L245" t="s">
        <v>57</v>
      </c>
      <c r="M245" t="s">
        <v>58</v>
      </c>
      <c r="N245" t="s">
        <v>59</v>
      </c>
    </row>
    <row r="246" spans="1:14" x14ac:dyDescent="0.2">
      <c r="A246">
        <v>245</v>
      </c>
      <c r="B246">
        <v>4</v>
      </c>
      <c r="C246">
        <v>31</v>
      </c>
      <c r="D246" t="s">
        <v>14</v>
      </c>
      <c r="F246" t="s">
        <v>528</v>
      </c>
      <c r="H246" t="s">
        <v>528</v>
      </c>
      <c r="I246" t="s">
        <v>529</v>
      </c>
      <c r="J246">
        <v>3</v>
      </c>
      <c r="K246" t="s">
        <v>72</v>
      </c>
      <c r="L246" t="s">
        <v>57</v>
      </c>
      <c r="M246" t="s">
        <v>58</v>
      </c>
      <c r="N246" t="s">
        <v>59</v>
      </c>
    </row>
    <row r="247" spans="1:14" x14ac:dyDescent="0.2">
      <c r="A247">
        <v>246</v>
      </c>
      <c r="B247">
        <v>4</v>
      </c>
      <c r="C247">
        <v>32</v>
      </c>
      <c r="D247" t="s">
        <v>14</v>
      </c>
      <c r="F247" t="s">
        <v>530</v>
      </c>
      <c r="H247" t="s">
        <v>530</v>
      </c>
      <c r="I247" t="s">
        <v>531</v>
      </c>
      <c r="J247">
        <v>1500</v>
      </c>
      <c r="K247" t="s">
        <v>87</v>
      </c>
      <c r="L247" t="s">
        <v>57</v>
      </c>
      <c r="M247" t="s">
        <v>58</v>
      </c>
      <c r="N247" t="s">
        <v>59</v>
      </c>
    </row>
    <row r="248" spans="1:14" x14ac:dyDescent="0.2">
      <c r="A248">
        <v>247</v>
      </c>
      <c r="B248">
        <v>4</v>
      </c>
      <c r="C248">
        <v>33</v>
      </c>
      <c r="D248" t="s">
        <v>14</v>
      </c>
      <c r="F248" t="s">
        <v>532</v>
      </c>
      <c r="H248" t="s">
        <v>532</v>
      </c>
      <c r="I248" t="s">
        <v>533</v>
      </c>
      <c r="J248">
        <v>350</v>
      </c>
      <c r="K248" t="s">
        <v>36</v>
      </c>
      <c r="L248" t="s">
        <v>47</v>
      </c>
      <c r="M248" t="s">
        <v>48</v>
      </c>
      <c r="N248" t="s">
        <v>49</v>
      </c>
    </row>
    <row r="249" spans="1:14" x14ac:dyDescent="0.2">
      <c r="A249">
        <v>248</v>
      </c>
      <c r="B249">
        <v>4</v>
      </c>
      <c r="C249">
        <v>34</v>
      </c>
      <c r="D249" t="s">
        <v>14</v>
      </c>
      <c r="F249" t="s">
        <v>534</v>
      </c>
      <c r="H249" t="s">
        <v>534</v>
      </c>
      <c r="I249" t="s">
        <v>535</v>
      </c>
      <c r="J249">
        <v>8</v>
      </c>
      <c r="K249" t="s">
        <v>36</v>
      </c>
      <c r="L249" t="s">
        <v>30</v>
      </c>
      <c r="M249" t="s">
        <v>30</v>
      </c>
      <c r="N249" t="s">
        <v>31</v>
      </c>
    </row>
    <row r="250" spans="1:14" x14ac:dyDescent="0.2">
      <c r="A250">
        <v>249</v>
      </c>
      <c r="B250">
        <v>4</v>
      </c>
      <c r="C250">
        <v>35</v>
      </c>
      <c r="D250" t="s">
        <v>14</v>
      </c>
      <c r="F250" t="s">
        <v>536</v>
      </c>
      <c r="H250" t="s">
        <v>536</v>
      </c>
      <c r="I250" t="s">
        <v>537</v>
      </c>
      <c r="J250">
        <v>8</v>
      </c>
      <c r="K250" t="s">
        <v>36</v>
      </c>
      <c r="L250" t="s">
        <v>37</v>
      </c>
      <c r="M250" t="s">
        <v>38</v>
      </c>
      <c r="N250" t="s">
        <v>39</v>
      </c>
    </row>
    <row r="251" spans="1:14" x14ac:dyDescent="0.2">
      <c r="A251">
        <v>250</v>
      </c>
      <c r="B251">
        <v>4</v>
      </c>
      <c r="C251">
        <v>36</v>
      </c>
      <c r="D251" t="s">
        <v>14</v>
      </c>
      <c r="F251" t="s">
        <v>538</v>
      </c>
      <c r="H251" t="s">
        <v>538</v>
      </c>
      <c r="I251" t="s">
        <v>539</v>
      </c>
      <c r="J251">
        <v>4</v>
      </c>
      <c r="K251" t="s">
        <v>72</v>
      </c>
      <c r="L251" t="s">
        <v>47</v>
      </c>
      <c r="M251" t="s">
        <v>48</v>
      </c>
      <c r="N251" t="s">
        <v>49</v>
      </c>
    </row>
    <row r="252" spans="1:14" x14ac:dyDescent="0.2">
      <c r="A252">
        <v>251</v>
      </c>
      <c r="B252">
        <v>4</v>
      </c>
      <c r="C252">
        <v>37</v>
      </c>
      <c r="D252" t="s">
        <v>14</v>
      </c>
      <c r="F252" t="s">
        <v>99</v>
      </c>
      <c r="H252" t="s">
        <v>99</v>
      </c>
      <c r="I252" t="s">
        <v>100</v>
      </c>
      <c r="J252">
        <v>7.0000000000000007E-2</v>
      </c>
      <c r="K252" t="s">
        <v>133</v>
      </c>
      <c r="L252" t="s">
        <v>25</v>
      </c>
      <c r="M252" t="s">
        <v>26</v>
      </c>
      <c r="N252" t="s">
        <v>27</v>
      </c>
    </row>
    <row r="253" spans="1:14" x14ac:dyDescent="0.2">
      <c r="A253">
        <v>252</v>
      </c>
      <c r="B253">
        <v>4</v>
      </c>
      <c r="C253">
        <v>38</v>
      </c>
      <c r="D253" t="s">
        <v>14</v>
      </c>
      <c r="F253" t="s">
        <v>540</v>
      </c>
      <c r="H253" t="s">
        <v>540</v>
      </c>
      <c r="I253" t="s">
        <v>541</v>
      </c>
      <c r="J253">
        <v>1</v>
      </c>
      <c r="K253" t="s">
        <v>17</v>
      </c>
      <c r="L253" t="s">
        <v>47</v>
      </c>
      <c r="M253" t="s">
        <v>48</v>
      </c>
      <c r="N253" t="s">
        <v>49</v>
      </c>
    </row>
    <row r="254" spans="1:14" x14ac:dyDescent="0.2">
      <c r="A254">
        <v>253</v>
      </c>
      <c r="B254">
        <v>5</v>
      </c>
      <c r="C254">
        <v>1</v>
      </c>
      <c r="D254" t="s">
        <v>14</v>
      </c>
      <c r="F254" t="s">
        <v>105</v>
      </c>
      <c r="H254" t="s">
        <v>105</v>
      </c>
      <c r="I254" t="s">
        <v>479</v>
      </c>
      <c r="J254">
        <v>1</v>
      </c>
      <c r="K254" t="s">
        <v>17</v>
      </c>
      <c r="L254" t="s">
        <v>18</v>
      </c>
      <c r="M254" t="s">
        <v>19</v>
      </c>
      <c r="N254" t="s">
        <v>20</v>
      </c>
    </row>
    <row r="255" spans="1:14" x14ac:dyDescent="0.2">
      <c r="A255">
        <v>254</v>
      </c>
      <c r="B255">
        <v>5</v>
      </c>
      <c r="C255">
        <v>2</v>
      </c>
      <c r="D255" t="s">
        <v>14</v>
      </c>
      <c r="F255" t="s">
        <v>109</v>
      </c>
      <c r="H255" t="s">
        <v>109</v>
      </c>
      <c r="I255" t="s">
        <v>480</v>
      </c>
      <c r="J255">
        <v>1</v>
      </c>
      <c r="K255" t="s">
        <v>17</v>
      </c>
      <c r="L255" t="s">
        <v>18</v>
      </c>
      <c r="M255" t="s">
        <v>19</v>
      </c>
      <c r="N255" t="s">
        <v>20</v>
      </c>
    </row>
    <row r="256" spans="1:14" x14ac:dyDescent="0.2">
      <c r="A256">
        <v>255</v>
      </c>
      <c r="B256">
        <v>5</v>
      </c>
      <c r="C256">
        <v>3</v>
      </c>
      <c r="D256" t="s">
        <v>14</v>
      </c>
      <c r="F256" t="s">
        <v>21</v>
      </c>
      <c r="H256" t="s">
        <v>21</v>
      </c>
      <c r="I256" t="s">
        <v>22</v>
      </c>
      <c r="J256">
        <v>1</v>
      </c>
      <c r="K256" t="s">
        <v>17</v>
      </c>
      <c r="L256" t="s">
        <v>18</v>
      </c>
      <c r="M256" t="s">
        <v>19</v>
      </c>
      <c r="N256" t="s">
        <v>20</v>
      </c>
    </row>
    <row r="257" spans="1:14" x14ac:dyDescent="0.2">
      <c r="A257">
        <v>256</v>
      </c>
      <c r="B257">
        <v>5</v>
      </c>
      <c r="C257">
        <v>4</v>
      </c>
      <c r="D257" t="s">
        <v>14</v>
      </c>
      <c r="F257" t="s">
        <v>483</v>
      </c>
      <c r="H257" t="s">
        <v>483</v>
      </c>
      <c r="I257" t="s">
        <v>484</v>
      </c>
      <c r="J257">
        <v>1</v>
      </c>
      <c r="K257" t="s">
        <v>17</v>
      </c>
      <c r="L257" t="s">
        <v>18</v>
      </c>
      <c r="M257" t="s">
        <v>19</v>
      </c>
      <c r="N257" t="s">
        <v>20</v>
      </c>
    </row>
    <row r="258" spans="1:14" x14ac:dyDescent="0.2">
      <c r="A258">
        <v>257</v>
      </c>
      <c r="B258">
        <v>5</v>
      </c>
      <c r="C258">
        <v>5</v>
      </c>
      <c r="D258" t="s">
        <v>14</v>
      </c>
      <c r="F258" t="s">
        <v>127</v>
      </c>
      <c r="H258" t="s">
        <v>127</v>
      </c>
      <c r="I258" t="s">
        <v>487</v>
      </c>
      <c r="J258">
        <v>96</v>
      </c>
      <c r="K258" t="s">
        <v>72</v>
      </c>
      <c r="L258" t="s">
        <v>25</v>
      </c>
      <c r="M258" t="s">
        <v>26</v>
      </c>
      <c r="N258" t="s">
        <v>27</v>
      </c>
    </row>
    <row r="259" spans="1:14" x14ac:dyDescent="0.2">
      <c r="A259">
        <v>258</v>
      </c>
      <c r="B259">
        <v>5</v>
      </c>
      <c r="C259">
        <v>6</v>
      </c>
      <c r="D259" t="s">
        <v>14</v>
      </c>
      <c r="F259" t="s">
        <v>542</v>
      </c>
      <c r="G259" t="s">
        <v>543</v>
      </c>
      <c r="H259" t="s">
        <v>544</v>
      </c>
      <c r="I259" t="s">
        <v>545</v>
      </c>
      <c r="J259">
        <v>59000</v>
      </c>
      <c r="K259" t="s">
        <v>94</v>
      </c>
      <c r="L259" t="s">
        <v>37</v>
      </c>
      <c r="M259" t="s">
        <v>38</v>
      </c>
      <c r="N259" t="s">
        <v>39</v>
      </c>
    </row>
    <row r="260" spans="1:14" x14ac:dyDescent="0.2">
      <c r="A260">
        <v>259</v>
      </c>
      <c r="B260">
        <v>5</v>
      </c>
      <c r="C260">
        <v>7</v>
      </c>
      <c r="D260" t="s">
        <v>14</v>
      </c>
      <c r="F260" t="s">
        <v>542</v>
      </c>
      <c r="G260" t="s">
        <v>546</v>
      </c>
      <c r="H260" t="s">
        <v>547</v>
      </c>
      <c r="I260" t="s">
        <v>545</v>
      </c>
      <c r="J260">
        <v>5500</v>
      </c>
      <c r="K260" t="s">
        <v>94</v>
      </c>
      <c r="L260" t="s">
        <v>37</v>
      </c>
      <c r="M260" t="s">
        <v>38</v>
      </c>
      <c r="N260" t="s">
        <v>39</v>
      </c>
    </row>
    <row r="261" spans="1:14" x14ac:dyDescent="0.2">
      <c r="A261">
        <v>260</v>
      </c>
      <c r="B261">
        <v>5</v>
      </c>
      <c r="C261">
        <v>8</v>
      </c>
      <c r="D261" t="s">
        <v>14</v>
      </c>
      <c r="F261" t="s">
        <v>490</v>
      </c>
      <c r="H261" t="s">
        <v>490</v>
      </c>
      <c r="I261" t="s">
        <v>491</v>
      </c>
      <c r="J261">
        <v>800</v>
      </c>
      <c r="K261" t="s">
        <v>46</v>
      </c>
      <c r="L261" t="s">
        <v>37</v>
      </c>
      <c r="M261" t="s">
        <v>38</v>
      </c>
      <c r="N261" t="s">
        <v>39</v>
      </c>
    </row>
    <row r="262" spans="1:14" x14ac:dyDescent="0.2">
      <c r="A262">
        <v>261</v>
      </c>
      <c r="B262">
        <v>5</v>
      </c>
      <c r="C262">
        <v>9</v>
      </c>
      <c r="D262" t="s">
        <v>14</v>
      </c>
      <c r="F262" t="s">
        <v>492</v>
      </c>
      <c r="H262" t="s">
        <v>492</v>
      </c>
      <c r="I262" t="s">
        <v>493</v>
      </c>
      <c r="J262">
        <v>500</v>
      </c>
      <c r="K262" t="s">
        <v>46</v>
      </c>
      <c r="L262" t="s">
        <v>37</v>
      </c>
      <c r="M262" t="s">
        <v>38</v>
      </c>
      <c r="N262" t="s">
        <v>39</v>
      </c>
    </row>
    <row r="263" spans="1:14" x14ac:dyDescent="0.2">
      <c r="A263">
        <v>262</v>
      </c>
      <c r="B263">
        <v>5</v>
      </c>
      <c r="C263">
        <v>10</v>
      </c>
      <c r="D263" t="s">
        <v>14</v>
      </c>
      <c r="F263" t="s">
        <v>494</v>
      </c>
      <c r="H263" t="s">
        <v>494</v>
      </c>
      <c r="I263" t="s">
        <v>495</v>
      </c>
      <c r="J263">
        <v>200</v>
      </c>
      <c r="K263" t="s">
        <v>46</v>
      </c>
      <c r="L263" t="s">
        <v>37</v>
      </c>
      <c r="M263" t="s">
        <v>38</v>
      </c>
      <c r="N263" t="s">
        <v>39</v>
      </c>
    </row>
    <row r="264" spans="1:14" x14ac:dyDescent="0.2">
      <c r="A264">
        <v>263</v>
      </c>
      <c r="B264">
        <v>5</v>
      </c>
      <c r="C264">
        <v>11</v>
      </c>
      <c r="D264" t="s">
        <v>14</v>
      </c>
      <c r="F264" t="s">
        <v>496</v>
      </c>
      <c r="H264" t="s">
        <v>496</v>
      </c>
      <c r="I264" t="s">
        <v>497</v>
      </c>
      <c r="J264">
        <v>50</v>
      </c>
      <c r="K264" t="s">
        <v>46</v>
      </c>
      <c r="L264" t="s">
        <v>37</v>
      </c>
      <c r="M264" t="s">
        <v>38</v>
      </c>
      <c r="N264" t="s">
        <v>39</v>
      </c>
    </row>
    <row r="265" spans="1:14" x14ac:dyDescent="0.2">
      <c r="A265">
        <v>264</v>
      </c>
      <c r="B265">
        <v>5</v>
      </c>
      <c r="C265">
        <v>12</v>
      </c>
      <c r="D265" t="s">
        <v>14</v>
      </c>
      <c r="F265" t="s">
        <v>171</v>
      </c>
      <c r="H265" t="s">
        <v>171</v>
      </c>
      <c r="I265" t="s">
        <v>498</v>
      </c>
      <c r="J265">
        <v>650</v>
      </c>
      <c r="K265" t="s">
        <v>94</v>
      </c>
      <c r="L265" t="s">
        <v>37</v>
      </c>
      <c r="M265" t="s">
        <v>38</v>
      </c>
      <c r="N265" t="s">
        <v>39</v>
      </c>
    </row>
    <row r="266" spans="1:14" x14ac:dyDescent="0.2">
      <c r="A266">
        <v>265</v>
      </c>
      <c r="B266">
        <v>5</v>
      </c>
      <c r="C266">
        <v>13</v>
      </c>
      <c r="D266" t="s">
        <v>14</v>
      </c>
      <c r="F266" t="s">
        <v>88</v>
      </c>
      <c r="H266" t="s">
        <v>88</v>
      </c>
      <c r="I266" t="s">
        <v>89</v>
      </c>
      <c r="J266">
        <v>170</v>
      </c>
      <c r="K266" t="s">
        <v>46</v>
      </c>
      <c r="L266" t="s">
        <v>37</v>
      </c>
      <c r="M266" t="s">
        <v>38</v>
      </c>
      <c r="N266" t="s">
        <v>39</v>
      </c>
    </row>
    <row r="267" spans="1:14" x14ac:dyDescent="0.2">
      <c r="A267">
        <v>266</v>
      </c>
      <c r="B267">
        <v>5</v>
      </c>
      <c r="C267">
        <v>14</v>
      </c>
      <c r="D267" t="s">
        <v>14</v>
      </c>
      <c r="F267" t="s">
        <v>548</v>
      </c>
      <c r="H267" t="s">
        <v>548</v>
      </c>
      <c r="I267" t="s">
        <v>549</v>
      </c>
      <c r="J267">
        <v>12</v>
      </c>
      <c r="K267" t="s">
        <v>72</v>
      </c>
      <c r="L267" t="s">
        <v>47</v>
      </c>
      <c r="M267" t="s">
        <v>48</v>
      </c>
      <c r="N267" t="s">
        <v>49</v>
      </c>
    </row>
    <row r="268" spans="1:14" x14ac:dyDescent="0.2">
      <c r="A268">
        <v>267</v>
      </c>
      <c r="B268">
        <v>5</v>
      </c>
      <c r="C268">
        <v>15</v>
      </c>
      <c r="D268" t="s">
        <v>14</v>
      </c>
      <c r="F268" t="s">
        <v>550</v>
      </c>
      <c r="H268" t="s">
        <v>550</v>
      </c>
      <c r="I268" t="s">
        <v>551</v>
      </c>
      <c r="J268">
        <v>3200</v>
      </c>
      <c r="K268" t="s">
        <v>87</v>
      </c>
      <c r="L268" t="s">
        <v>37</v>
      </c>
      <c r="M268" t="s">
        <v>38</v>
      </c>
      <c r="N268" t="s">
        <v>39</v>
      </c>
    </row>
    <row r="269" spans="1:14" x14ac:dyDescent="0.2">
      <c r="A269">
        <v>268</v>
      </c>
      <c r="B269">
        <v>5</v>
      </c>
      <c r="C269">
        <v>16</v>
      </c>
      <c r="D269" t="s">
        <v>14</v>
      </c>
      <c r="F269" t="s">
        <v>552</v>
      </c>
      <c r="H269" t="s">
        <v>552</v>
      </c>
      <c r="I269" t="s">
        <v>553</v>
      </c>
      <c r="J269">
        <v>11000</v>
      </c>
      <c r="K269" t="s">
        <v>87</v>
      </c>
      <c r="L269" t="s">
        <v>37</v>
      </c>
      <c r="M269" t="s">
        <v>38</v>
      </c>
      <c r="N269" t="s">
        <v>39</v>
      </c>
    </row>
    <row r="270" spans="1:14" x14ac:dyDescent="0.2">
      <c r="A270">
        <v>269</v>
      </c>
      <c r="B270">
        <v>5</v>
      </c>
      <c r="C270">
        <v>17</v>
      </c>
      <c r="D270" t="s">
        <v>14</v>
      </c>
      <c r="F270" t="s">
        <v>554</v>
      </c>
      <c r="H270" t="s">
        <v>554</v>
      </c>
      <c r="I270" t="s">
        <v>555</v>
      </c>
      <c r="J270">
        <v>6000</v>
      </c>
      <c r="K270" t="s">
        <v>87</v>
      </c>
      <c r="L270" t="s">
        <v>37</v>
      </c>
      <c r="M270" t="s">
        <v>38</v>
      </c>
      <c r="N270" t="s">
        <v>39</v>
      </c>
    </row>
    <row r="271" spans="1:14" x14ac:dyDescent="0.2">
      <c r="A271">
        <v>270</v>
      </c>
      <c r="B271">
        <v>5</v>
      </c>
      <c r="C271">
        <v>18</v>
      </c>
      <c r="D271" t="s">
        <v>14</v>
      </c>
      <c r="F271" t="s">
        <v>556</v>
      </c>
      <c r="H271" t="s">
        <v>556</v>
      </c>
      <c r="I271" t="s">
        <v>557</v>
      </c>
      <c r="J271">
        <v>1</v>
      </c>
      <c r="K271" t="s">
        <v>17</v>
      </c>
      <c r="L271" t="s">
        <v>47</v>
      </c>
      <c r="M271" t="s">
        <v>48</v>
      </c>
      <c r="N271" t="s">
        <v>49</v>
      </c>
    </row>
    <row r="272" spans="1:14" x14ac:dyDescent="0.2">
      <c r="A272">
        <v>271</v>
      </c>
      <c r="B272">
        <v>5</v>
      </c>
      <c r="C272">
        <v>19</v>
      </c>
      <c r="D272" t="s">
        <v>14</v>
      </c>
      <c r="F272" t="s">
        <v>558</v>
      </c>
      <c r="G272" t="s">
        <v>559</v>
      </c>
      <c r="H272" t="s">
        <v>560</v>
      </c>
      <c r="I272" t="s">
        <v>561</v>
      </c>
      <c r="J272">
        <v>16200</v>
      </c>
      <c r="K272" t="s">
        <v>52</v>
      </c>
      <c r="L272" t="s">
        <v>37</v>
      </c>
      <c r="M272" t="s">
        <v>38</v>
      </c>
      <c r="N272" t="s">
        <v>39</v>
      </c>
    </row>
    <row r="273" spans="1:14" x14ac:dyDescent="0.2">
      <c r="A273">
        <v>272</v>
      </c>
      <c r="B273">
        <v>6</v>
      </c>
      <c r="C273">
        <v>1</v>
      </c>
      <c r="D273">
        <v>12200</v>
      </c>
      <c r="F273" t="s">
        <v>105</v>
      </c>
      <c r="H273" t="s">
        <v>106</v>
      </c>
      <c r="I273" t="s">
        <v>107</v>
      </c>
      <c r="J273">
        <v>1</v>
      </c>
      <c r="K273" t="s">
        <v>17</v>
      </c>
      <c r="L273" t="s">
        <v>18</v>
      </c>
      <c r="M273" t="s">
        <v>19</v>
      </c>
      <c r="N273" t="s">
        <v>108</v>
      </c>
    </row>
    <row r="274" spans="1:14" x14ac:dyDescent="0.2">
      <c r="A274">
        <v>273</v>
      </c>
      <c r="B274">
        <v>6</v>
      </c>
      <c r="C274">
        <v>2</v>
      </c>
      <c r="D274">
        <v>12200</v>
      </c>
      <c r="F274" t="s">
        <v>109</v>
      </c>
      <c r="H274" t="s">
        <v>110</v>
      </c>
      <c r="I274" t="s">
        <v>111</v>
      </c>
      <c r="J274">
        <v>1</v>
      </c>
      <c r="K274" t="s">
        <v>17</v>
      </c>
      <c r="L274" t="s">
        <v>18</v>
      </c>
      <c r="M274" t="s">
        <v>19</v>
      </c>
      <c r="N274" t="s">
        <v>108</v>
      </c>
    </row>
    <row r="275" spans="1:14" x14ac:dyDescent="0.2">
      <c r="A275">
        <v>274</v>
      </c>
      <c r="B275">
        <v>6</v>
      </c>
      <c r="C275">
        <v>3</v>
      </c>
      <c r="D275">
        <v>12200</v>
      </c>
      <c r="F275" t="s">
        <v>112</v>
      </c>
      <c r="H275" t="s">
        <v>113</v>
      </c>
      <c r="I275" t="s">
        <v>114</v>
      </c>
      <c r="J275">
        <v>1</v>
      </c>
      <c r="K275" t="s">
        <v>17</v>
      </c>
      <c r="L275" t="s">
        <v>18</v>
      </c>
      <c r="M275" t="s">
        <v>19</v>
      </c>
      <c r="N275" t="s">
        <v>108</v>
      </c>
    </row>
    <row r="276" spans="1:14" x14ac:dyDescent="0.2">
      <c r="A276">
        <v>275</v>
      </c>
      <c r="B276">
        <v>6</v>
      </c>
      <c r="C276">
        <v>4</v>
      </c>
      <c r="D276">
        <v>12200</v>
      </c>
      <c r="F276" t="s">
        <v>115</v>
      </c>
      <c r="H276" t="s">
        <v>116</v>
      </c>
      <c r="I276" t="s">
        <v>117</v>
      </c>
      <c r="J276">
        <v>1</v>
      </c>
      <c r="K276" t="s">
        <v>17</v>
      </c>
      <c r="L276" t="s">
        <v>18</v>
      </c>
      <c r="M276" t="s">
        <v>19</v>
      </c>
      <c r="N276" t="s">
        <v>108</v>
      </c>
    </row>
    <row r="277" spans="1:14" x14ac:dyDescent="0.2">
      <c r="A277">
        <v>276</v>
      </c>
      <c r="B277">
        <v>6</v>
      </c>
      <c r="C277">
        <v>5</v>
      </c>
      <c r="D277">
        <v>12200</v>
      </c>
      <c r="F277" t="s">
        <v>118</v>
      </c>
      <c r="H277" t="s">
        <v>119</v>
      </c>
      <c r="I277" t="s">
        <v>120</v>
      </c>
      <c r="J277">
        <v>1</v>
      </c>
      <c r="K277" t="s">
        <v>17</v>
      </c>
      <c r="L277" t="s">
        <v>18</v>
      </c>
      <c r="M277" t="s">
        <v>19</v>
      </c>
      <c r="N277" t="s">
        <v>108</v>
      </c>
    </row>
    <row r="278" spans="1:14" x14ac:dyDescent="0.2">
      <c r="A278">
        <v>277</v>
      </c>
      <c r="B278">
        <v>6</v>
      </c>
      <c r="C278">
        <v>6</v>
      </c>
      <c r="D278">
        <v>15713</v>
      </c>
      <c r="F278" t="s">
        <v>127</v>
      </c>
      <c r="H278" t="s">
        <v>128</v>
      </c>
      <c r="I278" t="s">
        <v>129</v>
      </c>
      <c r="J278">
        <v>18</v>
      </c>
      <c r="K278" t="s">
        <v>72</v>
      </c>
      <c r="L278" t="s">
        <v>18</v>
      </c>
      <c r="M278" t="s">
        <v>19</v>
      </c>
      <c r="N278" t="s">
        <v>108</v>
      </c>
    </row>
    <row r="279" spans="1:14" x14ac:dyDescent="0.2">
      <c r="A279">
        <v>278</v>
      </c>
      <c r="B279">
        <v>6</v>
      </c>
      <c r="C279">
        <v>7</v>
      </c>
      <c r="D279" t="s">
        <v>14</v>
      </c>
      <c r="F279" t="s">
        <v>134</v>
      </c>
      <c r="H279" t="s">
        <v>134</v>
      </c>
      <c r="I279" t="s">
        <v>135</v>
      </c>
      <c r="J279">
        <v>1</v>
      </c>
      <c r="K279" t="s">
        <v>17</v>
      </c>
      <c r="L279" t="s">
        <v>18</v>
      </c>
      <c r="M279" t="s">
        <v>19</v>
      </c>
      <c r="N279" t="s">
        <v>20</v>
      </c>
    </row>
    <row r="280" spans="1:14" x14ac:dyDescent="0.2">
      <c r="A280">
        <v>279</v>
      </c>
      <c r="B280">
        <v>6</v>
      </c>
      <c r="C280">
        <v>8</v>
      </c>
      <c r="D280" t="s">
        <v>136</v>
      </c>
      <c r="F280" t="s">
        <v>145</v>
      </c>
      <c r="G280" t="s">
        <v>562</v>
      </c>
      <c r="H280" t="s">
        <v>563</v>
      </c>
      <c r="I280" t="s">
        <v>148</v>
      </c>
      <c r="J280">
        <v>21200</v>
      </c>
      <c r="K280" t="s">
        <v>94</v>
      </c>
      <c r="L280" t="s">
        <v>37</v>
      </c>
      <c r="M280" t="s">
        <v>38</v>
      </c>
      <c r="N280" t="s">
        <v>140</v>
      </c>
    </row>
    <row r="281" spans="1:14" x14ac:dyDescent="0.2">
      <c r="A281">
        <v>280</v>
      </c>
      <c r="B281">
        <v>6</v>
      </c>
      <c r="C281">
        <v>9</v>
      </c>
      <c r="D281" t="s">
        <v>157</v>
      </c>
      <c r="F281" t="s">
        <v>564</v>
      </c>
      <c r="H281" t="s">
        <v>565</v>
      </c>
      <c r="I281" t="s">
        <v>566</v>
      </c>
      <c r="J281">
        <v>3800</v>
      </c>
      <c r="K281" t="s">
        <v>52</v>
      </c>
      <c r="L281" t="s">
        <v>37</v>
      </c>
      <c r="M281" t="s">
        <v>38</v>
      </c>
      <c r="N281" t="s">
        <v>140</v>
      </c>
    </row>
    <row r="282" spans="1:14" x14ac:dyDescent="0.2">
      <c r="A282">
        <v>281</v>
      </c>
      <c r="B282">
        <v>6</v>
      </c>
      <c r="C282">
        <v>10</v>
      </c>
      <c r="D282" t="s">
        <v>174</v>
      </c>
      <c r="F282" t="s">
        <v>175</v>
      </c>
      <c r="H282" t="s">
        <v>176</v>
      </c>
      <c r="I282" t="s">
        <v>177</v>
      </c>
      <c r="J282">
        <v>2200</v>
      </c>
      <c r="K282" t="s">
        <v>178</v>
      </c>
      <c r="L282" t="s">
        <v>37</v>
      </c>
      <c r="M282" t="s">
        <v>38</v>
      </c>
      <c r="N282" t="s">
        <v>140</v>
      </c>
    </row>
    <row r="283" spans="1:14" x14ac:dyDescent="0.2">
      <c r="A283">
        <v>282</v>
      </c>
      <c r="B283">
        <v>6</v>
      </c>
      <c r="C283">
        <v>11</v>
      </c>
      <c r="D283" t="s">
        <v>217</v>
      </c>
      <c r="F283" t="s">
        <v>567</v>
      </c>
      <c r="H283" t="s">
        <v>568</v>
      </c>
      <c r="I283" t="s">
        <v>569</v>
      </c>
      <c r="J283">
        <v>8000</v>
      </c>
      <c r="K283" t="s">
        <v>87</v>
      </c>
      <c r="L283" t="s">
        <v>37</v>
      </c>
      <c r="M283" t="s">
        <v>38</v>
      </c>
      <c r="N283" t="s">
        <v>140</v>
      </c>
    </row>
    <row r="284" spans="1:14" x14ac:dyDescent="0.2">
      <c r="A284">
        <v>283</v>
      </c>
      <c r="B284">
        <v>6</v>
      </c>
      <c r="C284">
        <v>12</v>
      </c>
      <c r="D284" t="s">
        <v>217</v>
      </c>
      <c r="F284" t="s">
        <v>221</v>
      </c>
      <c r="H284" t="s">
        <v>222</v>
      </c>
      <c r="I284" t="s">
        <v>223</v>
      </c>
      <c r="J284">
        <v>500</v>
      </c>
      <c r="K284" t="s">
        <v>216</v>
      </c>
      <c r="L284" t="s">
        <v>37</v>
      </c>
      <c r="M284" t="s">
        <v>38</v>
      </c>
      <c r="N284" t="s">
        <v>140</v>
      </c>
    </row>
    <row r="285" spans="1:14" x14ac:dyDescent="0.2">
      <c r="A285">
        <v>284</v>
      </c>
      <c r="B285">
        <v>6</v>
      </c>
      <c r="C285">
        <v>13</v>
      </c>
      <c r="D285" t="s">
        <v>217</v>
      </c>
      <c r="F285" t="s">
        <v>570</v>
      </c>
      <c r="H285" t="s">
        <v>571</v>
      </c>
      <c r="I285" t="s">
        <v>572</v>
      </c>
      <c r="J285">
        <v>4200</v>
      </c>
      <c r="K285" t="s">
        <v>87</v>
      </c>
      <c r="L285" t="s">
        <v>37</v>
      </c>
      <c r="M285" t="s">
        <v>38</v>
      </c>
      <c r="N285" t="s">
        <v>140</v>
      </c>
    </row>
    <row r="286" spans="1:14" x14ac:dyDescent="0.2">
      <c r="A286">
        <v>285</v>
      </c>
      <c r="B286">
        <v>6</v>
      </c>
      <c r="C286">
        <v>14</v>
      </c>
      <c r="D286" t="s">
        <v>217</v>
      </c>
      <c r="F286" t="s">
        <v>224</v>
      </c>
      <c r="H286" t="s">
        <v>225</v>
      </c>
      <c r="I286" t="s">
        <v>226</v>
      </c>
      <c r="J286">
        <v>24750</v>
      </c>
      <c r="K286" t="s">
        <v>87</v>
      </c>
      <c r="L286" t="s">
        <v>37</v>
      </c>
      <c r="M286" t="s">
        <v>38</v>
      </c>
      <c r="N286" t="s">
        <v>140</v>
      </c>
    </row>
    <row r="287" spans="1:14" x14ac:dyDescent="0.2">
      <c r="A287">
        <v>286</v>
      </c>
      <c r="B287">
        <v>6</v>
      </c>
      <c r="C287">
        <v>15</v>
      </c>
      <c r="D287">
        <v>26100</v>
      </c>
      <c r="F287" t="s">
        <v>285</v>
      </c>
      <c r="H287" t="s">
        <v>286</v>
      </c>
      <c r="I287" t="s">
        <v>287</v>
      </c>
      <c r="J287">
        <v>1500</v>
      </c>
      <c r="K287" t="s">
        <v>52</v>
      </c>
      <c r="L287" t="s">
        <v>30</v>
      </c>
      <c r="M287" t="s">
        <v>30</v>
      </c>
      <c r="N287" t="s">
        <v>288</v>
      </c>
    </row>
    <row r="288" spans="1:14" x14ac:dyDescent="0.2">
      <c r="A288">
        <v>287</v>
      </c>
      <c r="B288">
        <v>6</v>
      </c>
      <c r="C288">
        <v>16</v>
      </c>
      <c r="D288">
        <v>312300</v>
      </c>
      <c r="F288" t="s">
        <v>573</v>
      </c>
      <c r="H288" t="s">
        <v>574</v>
      </c>
      <c r="I288" t="s">
        <v>575</v>
      </c>
      <c r="J288">
        <v>1</v>
      </c>
      <c r="K288" t="s">
        <v>17</v>
      </c>
      <c r="L288" t="s">
        <v>57</v>
      </c>
      <c r="M288" t="s">
        <v>232</v>
      </c>
      <c r="N288" t="s">
        <v>233</v>
      </c>
    </row>
    <row r="289" spans="1:14" x14ac:dyDescent="0.2">
      <c r="A289">
        <v>288</v>
      </c>
      <c r="B289">
        <v>6</v>
      </c>
      <c r="C289">
        <v>17</v>
      </c>
      <c r="D289">
        <v>260553</v>
      </c>
      <c r="F289" t="s">
        <v>307</v>
      </c>
      <c r="G289" t="s">
        <v>308</v>
      </c>
      <c r="H289" t="s">
        <v>309</v>
      </c>
      <c r="I289" t="s">
        <v>310</v>
      </c>
      <c r="J289">
        <v>18</v>
      </c>
      <c r="K289" t="s">
        <v>72</v>
      </c>
      <c r="L289" t="s">
        <v>244</v>
      </c>
      <c r="M289" t="s">
        <v>294</v>
      </c>
      <c r="N289" t="s">
        <v>295</v>
      </c>
    </row>
    <row r="290" spans="1:14" x14ac:dyDescent="0.2">
      <c r="A290">
        <v>289</v>
      </c>
      <c r="B290">
        <v>7</v>
      </c>
      <c r="C290">
        <v>1</v>
      </c>
      <c r="D290">
        <v>12200</v>
      </c>
      <c r="F290" t="s">
        <v>105</v>
      </c>
      <c r="H290" t="s">
        <v>106</v>
      </c>
      <c r="I290" t="s">
        <v>107</v>
      </c>
      <c r="J290">
        <v>1</v>
      </c>
      <c r="K290" t="s">
        <v>17</v>
      </c>
      <c r="L290" t="s">
        <v>18</v>
      </c>
      <c r="M290" t="s">
        <v>19</v>
      </c>
      <c r="N290" t="s">
        <v>108</v>
      </c>
    </row>
    <row r="291" spans="1:14" x14ac:dyDescent="0.2">
      <c r="A291">
        <v>290</v>
      </c>
      <c r="B291">
        <v>7</v>
      </c>
      <c r="C291">
        <v>2</v>
      </c>
      <c r="D291">
        <v>12200</v>
      </c>
      <c r="F291" t="s">
        <v>109</v>
      </c>
      <c r="H291" t="s">
        <v>110</v>
      </c>
      <c r="I291" t="s">
        <v>111</v>
      </c>
      <c r="J291">
        <v>1</v>
      </c>
      <c r="K291" t="s">
        <v>17</v>
      </c>
      <c r="L291" t="s">
        <v>18</v>
      </c>
      <c r="M291" t="s">
        <v>19</v>
      </c>
      <c r="N291" t="s">
        <v>108</v>
      </c>
    </row>
    <row r="292" spans="1:14" x14ac:dyDescent="0.2">
      <c r="A292">
        <v>291</v>
      </c>
      <c r="B292">
        <v>7</v>
      </c>
      <c r="C292">
        <v>3</v>
      </c>
      <c r="D292">
        <v>12200</v>
      </c>
      <c r="F292" t="s">
        <v>112</v>
      </c>
      <c r="H292" t="s">
        <v>113</v>
      </c>
      <c r="I292" t="s">
        <v>114</v>
      </c>
      <c r="J292">
        <v>1</v>
      </c>
      <c r="K292" t="s">
        <v>17</v>
      </c>
      <c r="L292" t="s">
        <v>18</v>
      </c>
      <c r="M292" t="s">
        <v>19</v>
      </c>
      <c r="N292" t="s">
        <v>108</v>
      </c>
    </row>
    <row r="293" spans="1:14" x14ac:dyDescent="0.2">
      <c r="A293">
        <v>292</v>
      </c>
      <c r="B293">
        <v>7</v>
      </c>
      <c r="C293">
        <v>4</v>
      </c>
      <c r="D293">
        <v>12200</v>
      </c>
      <c r="F293" t="s">
        <v>115</v>
      </c>
      <c r="H293" t="s">
        <v>116</v>
      </c>
      <c r="I293" t="s">
        <v>117</v>
      </c>
      <c r="J293">
        <v>1</v>
      </c>
      <c r="K293" t="s">
        <v>17</v>
      </c>
      <c r="L293" t="s">
        <v>18</v>
      </c>
      <c r="M293" t="s">
        <v>19</v>
      </c>
      <c r="N293" t="s">
        <v>108</v>
      </c>
    </row>
    <row r="294" spans="1:14" x14ac:dyDescent="0.2">
      <c r="A294">
        <v>293</v>
      </c>
      <c r="B294">
        <v>7</v>
      </c>
      <c r="C294">
        <v>5</v>
      </c>
      <c r="D294">
        <v>12200</v>
      </c>
      <c r="F294" t="s">
        <v>118</v>
      </c>
      <c r="H294" t="s">
        <v>119</v>
      </c>
      <c r="I294" t="s">
        <v>120</v>
      </c>
      <c r="J294">
        <v>1</v>
      </c>
      <c r="K294" t="s">
        <v>17</v>
      </c>
      <c r="L294" t="s">
        <v>18</v>
      </c>
      <c r="M294" t="s">
        <v>19</v>
      </c>
      <c r="N294" t="s">
        <v>108</v>
      </c>
    </row>
    <row r="295" spans="1:14" x14ac:dyDescent="0.2">
      <c r="A295">
        <v>294</v>
      </c>
      <c r="B295">
        <v>7</v>
      </c>
      <c r="C295">
        <v>6</v>
      </c>
      <c r="D295">
        <v>15713</v>
      </c>
      <c r="F295" t="s">
        <v>130</v>
      </c>
      <c r="H295" t="s">
        <v>131</v>
      </c>
      <c r="I295" t="s">
        <v>132</v>
      </c>
      <c r="J295">
        <v>1.4</v>
      </c>
      <c r="K295" t="s">
        <v>133</v>
      </c>
      <c r="L295" t="s">
        <v>18</v>
      </c>
      <c r="M295" t="s">
        <v>19</v>
      </c>
      <c r="N295" t="s">
        <v>108</v>
      </c>
    </row>
    <row r="296" spans="1:14" x14ac:dyDescent="0.2">
      <c r="A296">
        <v>295</v>
      </c>
      <c r="B296">
        <v>7</v>
      </c>
      <c r="C296">
        <v>7</v>
      </c>
      <c r="D296">
        <v>15713</v>
      </c>
      <c r="F296" t="s">
        <v>127</v>
      </c>
      <c r="H296" t="s">
        <v>128</v>
      </c>
      <c r="I296" t="s">
        <v>129</v>
      </c>
      <c r="J296">
        <v>35</v>
      </c>
      <c r="K296" t="s">
        <v>72</v>
      </c>
      <c r="L296" t="s">
        <v>18</v>
      </c>
      <c r="M296" t="s">
        <v>19</v>
      </c>
      <c r="N296" t="s">
        <v>108</v>
      </c>
    </row>
    <row r="297" spans="1:14" x14ac:dyDescent="0.2">
      <c r="A297">
        <v>296</v>
      </c>
      <c r="B297">
        <v>7</v>
      </c>
      <c r="C297">
        <v>8</v>
      </c>
      <c r="D297">
        <v>15713</v>
      </c>
      <c r="F297" t="s">
        <v>576</v>
      </c>
      <c r="H297" t="s">
        <v>577</v>
      </c>
      <c r="I297" t="s">
        <v>578</v>
      </c>
      <c r="J297">
        <v>1740</v>
      </c>
      <c r="K297" t="s">
        <v>36</v>
      </c>
      <c r="L297" t="s">
        <v>18</v>
      </c>
      <c r="M297" t="s">
        <v>19</v>
      </c>
      <c r="N297" t="s">
        <v>108</v>
      </c>
    </row>
    <row r="298" spans="1:14" x14ac:dyDescent="0.2">
      <c r="A298">
        <v>297</v>
      </c>
      <c r="B298">
        <v>7</v>
      </c>
      <c r="C298">
        <v>9</v>
      </c>
      <c r="D298" t="s">
        <v>14</v>
      </c>
      <c r="F298" t="s">
        <v>134</v>
      </c>
      <c r="H298" t="s">
        <v>134</v>
      </c>
      <c r="I298" t="s">
        <v>135</v>
      </c>
      <c r="J298">
        <v>1</v>
      </c>
      <c r="K298" t="s">
        <v>17</v>
      </c>
      <c r="L298" t="s">
        <v>18</v>
      </c>
      <c r="M298" t="s">
        <v>19</v>
      </c>
      <c r="N298" t="s">
        <v>20</v>
      </c>
    </row>
    <row r="299" spans="1:14" x14ac:dyDescent="0.2">
      <c r="A299">
        <v>298</v>
      </c>
      <c r="B299">
        <v>7</v>
      </c>
      <c r="C299">
        <v>10</v>
      </c>
      <c r="D299" t="s">
        <v>136</v>
      </c>
      <c r="F299" t="s">
        <v>389</v>
      </c>
      <c r="G299" t="s">
        <v>142</v>
      </c>
      <c r="H299" t="s">
        <v>579</v>
      </c>
      <c r="I299" t="s">
        <v>392</v>
      </c>
      <c r="J299">
        <v>320</v>
      </c>
      <c r="K299" t="s">
        <v>94</v>
      </c>
      <c r="L299" t="s">
        <v>37</v>
      </c>
      <c r="M299" t="s">
        <v>38</v>
      </c>
      <c r="N299" t="s">
        <v>140</v>
      </c>
    </row>
    <row r="300" spans="1:14" x14ac:dyDescent="0.2">
      <c r="A300">
        <v>299</v>
      </c>
      <c r="B300">
        <v>7</v>
      </c>
      <c r="C300">
        <v>11</v>
      </c>
      <c r="D300" t="s">
        <v>136</v>
      </c>
      <c r="F300" t="s">
        <v>389</v>
      </c>
      <c r="G300" t="s">
        <v>580</v>
      </c>
      <c r="H300" t="s">
        <v>581</v>
      </c>
      <c r="I300" t="s">
        <v>392</v>
      </c>
      <c r="J300">
        <v>60</v>
      </c>
      <c r="K300" t="s">
        <v>94</v>
      </c>
      <c r="L300" t="s">
        <v>37</v>
      </c>
      <c r="M300" t="s">
        <v>38</v>
      </c>
      <c r="N300" t="s">
        <v>140</v>
      </c>
    </row>
    <row r="301" spans="1:14" x14ac:dyDescent="0.2">
      <c r="A301">
        <v>300</v>
      </c>
      <c r="B301">
        <v>7</v>
      </c>
      <c r="C301">
        <v>12</v>
      </c>
      <c r="D301" t="s">
        <v>136</v>
      </c>
      <c r="F301" t="s">
        <v>389</v>
      </c>
      <c r="G301" t="s">
        <v>582</v>
      </c>
      <c r="H301" t="s">
        <v>583</v>
      </c>
      <c r="I301" t="s">
        <v>392</v>
      </c>
      <c r="J301">
        <v>9400</v>
      </c>
      <c r="K301" t="s">
        <v>94</v>
      </c>
      <c r="L301" t="s">
        <v>37</v>
      </c>
      <c r="M301" t="s">
        <v>38</v>
      </c>
      <c r="N301" t="s">
        <v>140</v>
      </c>
    </row>
    <row r="302" spans="1:14" x14ac:dyDescent="0.2">
      <c r="A302">
        <v>301</v>
      </c>
      <c r="B302">
        <v>7</v>
      </c>
      <c r="C302">
        <v>13</v>
      </c>
      <c r="D302" t="s">
        <v>136</v>
      </c>
      <c r="F302" t="s">
        <v>141</v>
      </c>
      <c r="G302" t="s">
        <v>142</v>
      </c>
      <c r="H302" t="s">
        <v>143</v>
      </c>
      <c r="I302" t="s">
        <v>144</v>
      </c>
      <c r="J302">
        <v>3700</v>
      </c>
      <c r="K302" t="s">
        <v>94</v>
      </c>
      <c r="L302" t="s">
        <v>37</v>
      </c>
      <c r="M302" t="s">
        <v>38</v>
      </c>
      <c r="N302" t="s">
        <v>140</v>
      </c>
    </row>
    <row r="303" spans="1:14" x14ac:dyDescent="0.2">
      <c r="A303">
        <v>302</v>
      </c>
      <c r="B303">
        <v>7</v>
      </c>
      <c r="C303">
        <v>14</v>
      </c>
      <c r="D303" t="s">
        <v>136</v>
      </c>
      <c r="F303" t="s">
        <v>141</v>
      </c>
      <c r="G303" t="s">
        <v>584</v>
      </c>
      <c r="H303" t="s">
        <v>585</v>
      </c>
      <c r="I303" t="s">
        <v>144</v>
      </c>
      <c r="J303">
        <v>16900</v>
      </c>
      <c r="K303" t="s">
        <v>94</v>
      </c>
      <c r="L303" t="s">
        <v>37</v>
      </c>
      <c r="M303" t="s">
        <v>38</v>
      </c>
      <c r="N303" t="s">
        <v>140</v>
      </c>
    </row>
    <row r="304" spans="1:14" x14ac:dyDescent="0.2">
      <c r="A304">
        <v>303</v>
      </c>
      <c r="B304">
        <v>7</v>
      </c>
      <c r="C304">
        <v>15</v>
      </c>
      <c r="D304" t="s">
        <v>136</v>
      </c>
      <c r="F304" t="s">
        <v>141</v>
      </c>
      <c r="G304" t="s">
        <v>586</v>
      </c>
      <c r="H304" t="s">
        <v>587</v>
      </c>
      <c r="I304" t="s">
        <v>144</v>
      </c>
      <c r="J304">
        <v>3000</v>
      </c>
      <c r="K304" t="s">
        <v>94</v>
      </c>
      <c r="L304" t="s">
        <v>37</v>
      </c>
      <c r="M304" t="s">
        <v>38</v>
      </c>
      <c r="N304" t="s">
        <v>140</v>
      </c>
    </row>
    <row r="305" spans="1:14" x14ac:dyDescent="0.2">
      <c r="A305">
        <v>304</v>
      </c>
      <c r="B305">
        <v>7</v>
      </c>
      <c r="C305">
        <v>16</v>
      </c>
      <c r="D305" t="s">
        <v>136</v>
      </c>
      <c r="F305" t="s">
        <v>141</v>
      </c>
      <c r="G305" t="s">
        <v>588</v>
      </c>
      <c r="H305" t="s">
        <v>589</v>
      </c>
      <c r="I305" t="s">
        <v>144</v>
      </c>
      <c r="J305">
        <v>26500</v>
      </c>
      <c r="K305" t="s">
        <v>94</v>
      </c>
      <c r="L305" t="s">
        <v>37</v>
      </c>
      <c r="M305" t="s">
        <v>38</v>
      </c>
      <c r="N305" t="s">
        <v>140</v>
      </c>
    </row>
    <row r="306" spans="1:14" x14ac:dyDescent="0.2">
      <c r="A306">
        <v>305</v>
      </c>
      <c r="B306">
        <v>7</v>
      </c>
      <c r="C306">
        <v>17</v>
      </c>
      <c r="D306" t="s">
        <v>136</v>
      </c>
      <c r="F306" t="s">
        <v>141</v>
      </c>
      <c r="G306" t="s">
        <v>590</v>
      </c>
      <c r="H306" t="s">
        <v>591</v>
      </c>
      <c r="I306" t="s">
        <v>144</v>
      </c>
      <c r="J306">
        <v>7000</v>
      </c>
      <c r="K306" t="s">
        <v>94</v>
      </c>
      <c r="L306" t="s">
        <v>37</v>
      </c>
      <c r="M306" t="s">
        <v>38</v>
      </c>
      <c r="N306" t="s">
        <v>140</v>
      </c>
    </row>
    <row r="307" spans="1:14" x14ac:dyDescent="0.2">
      <c r="A307">
        <v>306</v>
      </c>
      <c r="B307">
        <v>7</v>
      </c>
      <c r="C307">
        <v>18</v>
      </c>
      <c r="D307" t="s">
        <v>136</v>
      </c>
      <c r="F307" t="s">
        <v>137</v>
      </c>
      <c r="H307" t="s">
        <v>138</v>
      </c>
      <c r="I307" t="s">
        <v>139</v>
      </c>
      <c r="J307">
        <v>1500</v>
      </c>
      <c r="K307" t="s">
        <v>36</v>
      </c>
      <c r="L307" t="s">
        <v>37</v>
      </c>
      <c r="M307" t="s">
        <v>38</v>
      </c>
      <c r="N307" t="s">
        <v>140</v>
      </c>
    </row>
    <row r="308" spans="1:14" x14ac:dyDescent="0.2">
      <c r="A308">
        <v>307</v>
      </c>
      <c r="B308">
        <v>7</v>
      </c>
      <c r="C308">
        <v>19</v>
      </c>
      <c r="D308" t="s">
        <v>136</v>
      </c>
      <c r="F308" t="s">
        <v>145</v>
      </c>
      <c r="G308" t="s">
        <v>562</v>
      </c>
      <c r="H308" t="s">
        <v>563</v>
      </c>
      <c r="I308" t="s">
        <v>148</v>
      </c>
      <c r="J308">
        <v>400</v>
      </c>
      <c r="K308" t="s">
        <v>94</v>
      </c>
      <c r="L308" t="s">
        <v>37</v>
      </c>
      <c r="M308" t="s">
        <v>38</v>
      </c>
      <c r="N308" t="s">
        <v>140</v>
      </c>
    </row>
    <row r="309" spans="1:14" x14ac:dyDescent="0.2">
      <c r="A309">
        <v>308</v>
      </c>
      <c r="B309">
        <v>7</v>
      </c>
      <c r="C309">
        <v>20</v>
      </c>
      <c r="D309" t="s">
        <v>163</v>
      </c>
      <c r="F309" t="s">
        <v>592</v>
      </c>
      <c r="H309" t="s">
        <v>593</v>
      </c>
      <c r="I309" t="s">
        <v>594</v>
      </c>
      <c r="J309">
        <v>65000</v>
      </c>
      <c r="K309" t="s">
        <v>46</v>
      </c>
      <c r="L309" t="s">
        <v>37</v>
      </c>
      <c r="M309" t="s">
        <v>38</v>
      </c>
      <c r="N309" t="s">
        <v>140</v>
      </c>
    </row>
    <row r="310" spans="1:14" x14ac:dyDescent="0.2">
      <c r="A310">
        <v>309</v>
      </c>
      <c r="B310">
        <v>7</v>
      </c>
      <c r="C310">
        <v>21</v>
      </c>
      <c r="D310" t="s">
        <v>163</v>
      </c>
      <c r="F310" t="s">
        <v>164</v>
      </c>
      <c r="H310" t="s">
        <v>165</v>
      </c>
      <c r="I310" t="s">
        <v>166</v>
      </c>
      <c r="J310">
        <v>3250</v>
      </c>
      <c r="K310" t="s">
        <v>46</v>
      </c>
      <c r="L310" t="s">
        <v>37</v>
      </c>
      <c r="M310" t="s">
        <v>38</v>
      </c>
      <c r="N310" t="s">
        <v>140</v>
      </c>
    </row>
    <row r="311" spans="1:14" x14ac:dyDescent="0.2">
      <c r="A311">
        <v>310</v>
      </c>
      <c r="B311">
        <v>7</v>
      </c>
      <c r="C311">
        <v>22</v>
      </c>
      <c r="D311" t="s">
        <v>163</v>
      </c>
      <c r="F311" t="s">
        <v>171</v>
      </c>
      <c r="H311" t="s">
        <v>172</v>
      </c>
      <c r="I311" t="s">
        <v>173</v>
      </c>
      <c r="J311">
        <v>57000</v>
      </c>
      <c r="K311" t="s">
        <v>94</v>
      </c>
      <c r="L311" t="s">
        <v>37</v>
      </c>
      <c r="M311" t="s">
        <v>38</v>
      </c>
      <c r="N311" t="s">
        <v>140</v>
      </c>
    </row>
    <row r="312" spans="1:14" x14ac:dyDescent="0.2">
      <c r="A312">
        <v>311</v>
      </c>
      <c r="B312">
        <v>7</v>
      </c>
      <c r="C312">
        <v>23</v>
      </c>
      <c r="D312" t="s">
        <v>179</v>
      </c>
      <c r="F312" t="s">
        <v>595</v>
      </c>
      <c r="H312" t="s">
        <v>596</v>
      </c>
      <c r="I312" t="s">
        <v>597</v>
      </c>
      <c r="J312">
        <v>2000</v>
      </c>
      <c r="K312" t="s">
        <v>46</v>
      </c>
      <c r="L312" t="s">
        <v>37</v>
      </c>
      <c r="M312" t="s">
        <v>38</v>
      </c>
      <c r="N312" t="s">
        <v>140</v>
      </c>
    </row>
    <row r="313" spans="1:14" x14ac:dyDescent="0.2">
      <c r="A313">
        <v>312</v>
      </c>
      <c r="B313">
        <v>7</v>
      </c>
      <c r="C313">
        <v>24</v>
      </c>
      <c r="D313" t="s">
        <v>187</v>
      </c>
      <c r="F313" t="s">
        <v>188</v>
      </c>
      <c r="H313" t="s">
        <v>189</v>
      </c>
      <c r="I313" t="s">
        <v>190</v>
      </c>
      <c r="J313">
        <v>52200</v>
      </c>
      <c r="K313" t="s">
        <v>46</v>
      </c>
      <c r="L313" t="s">
        <v>37</v>
      </c>
      <c r="M313" t="s">
        <v>38</v>
      </c>
      <c r="N313" t="s">
        <v>140</v>
      </c>
    </row>
    <row r="314" spans="1:14" x14ac:dyDescent="0.2">
      <c r="A314">
        <v>313</v>
      </c>
      <c r="B314">
        <v>7</v>
      </c>
      <c r="C314">
        <v>25</v>
      </c>
      <c r="D314" t="s">
        <v>153</v>
      </c>
      <c r="F314" t="s">
        <v>598</v>
      </c>
      <c r="H314" t="s">
        <v>599</v>
      </c>
      <c r="I314" t="s">
        <v>600</v>
      </c>
      <c r="J314">
        <v>2600</v>
      </c>
      <c r="K314" t="s">
        <v>36</v>
      </c>
      <c r="L314" t="s">
        <v>37</v>
      </c>
      <c r="M314" t="s">
        <v>38</v>
      </c>
      <c r="N314" t="s">
        <v>140</v>
      </c>
    </row>
    <row r="315" spans="1:14" x14ac:dyDescent="0.2">
      <c r="A315">
        <v>314</v>
      </c>
      <c r="B315">
        <v>7</v>
      </c>
      <c r="C315">
        <v>26</v>
      </c>
      <c r="D315" t="s">
        <v>199</v>
      </c>
      <c r="F315" t="s">
        <v>200</v>
      </c>
      <c r="H315" t="s">
        <v>201</v>
      </c>
      <c r="I315" t="s">
        <v>202</v>
      </c>
      <c r="J315">
        <v>10000</v>
      </c>
      <c r="K315" t="s">
        <v>46</v>
      </c>
      <c r="L315" t="s">
        <v>37</v>
      </c>
      <c r="M315" t="s">
        <v>38</v>
      </c>
      <c r="N315" t="s">
        <v>140</v>
      </c>
    </row>
    <row r="316" spans="1:14" x14ac:dyDescent="0.2">
      <c r="A316">
        <v>315</v>
      </c>
      <c r="B316">
        <v>7</v>
      </c>
      <c r="C316">
        <v>27</v>
      </c>
      <c r="D316" t="s">
        <v>157</v>
      </c>
      <c r="F316" t="s">
        <v>564</v>
      </c>
      <c r="H316" t="s">
        <v>565</v>
      </c>
      <c r="I316" t="s">
        <v>566</v>
      </c>
      <c r="J316">
        <v>8700</v>
      </c>
      <c r="K316" t="s">
        <v>52</v>
      </c>
      <c r="L316" t="s">
        <v>37</v>
      </c>
      <c r="M316" t="s">
        <v>38</v>
      </c>
      <c r="N316" t="s">
        <v>140</v>
      </c>
    </row>
    <row r="317" spans="1:14" x14ac:dyDescent="0.2">
      <c r="A317">
        <v>316</v>
      </c>
      <c r="B317">
        <v>7</v>
      </c>
      <c r="C317">
        <v>28</v>
      </c>
      <c r="D317" t="s">
        <v>167</v>
      </c>
      <c r="F317" t="s">
        <v>601</v>
      </c>
      <c r="H317" t="s">
        <v>602</v>
      </c>
      <c r="I317" t="s">
        <v>603</v>
      </c>
      <c r="J317">
        <v>35600</v>
      </c>
      <c r="K317" t="s">
        <v>52</v>
      </c>
      <c r="L317" t="s">
        <v>37</v>
      </c>
      <c r="M317" t="s">
        <v>38</v>
      </c>
      <c r="N317" t="s">
        <v>140</v>
      </c>
    </row>
    <row r="318" spans="1:14" x14ac:dyDescent="0.2">
      <c r="A318">
        <v>317</v>
      </c>
      <c r="B318">
        <v>7</v>
      </c>
      <c r="C318">
        <v>29</v>
      </c>
      <c r="D318" t="s">
        <v>419</v>
      </c>
      <c r="F318" t="s">
        <v>90</v>
      </c>
      <c r="H318" t="s">
        <v>604</v>
      </c>
      <c r="I318" t="s">
        <v>605</v>
      </c>
      <c r="J318">
        <v>13400</v>
      </c>
      <c r="K318" t="s">
        <v>94</v>
      </c>
      <c r="L318" t="s">
        <v>37</v>
      </c>
      <c r="M318" t="s">
        <v>38</v>
      </c>
      <c r="N318" t="s">
        <v>140</v>
      </c>
    </row>
    <row r="319" spans="1:14" x14ac:dyDescent="0.2">
      <c r="A319">
        <v>318</v>
      </c>
      <c r="B319">
        <v>7</v>
      </c>
      <c r="C319">
        <v>30</v>
      </c>
      <c r="D319" t="s">
        <v>423</v>
      </c>
      <c r="F319" t="s">
        <v>424</v>
      </c>
      <c r="H319" t="s">
        <v>425</v>
      </c>
      <c r="I319" t="s">
        <v>426</v>
      </c>
      <c r="J319">
        <v>700</v>
      </c>
      <c r="K319" t="s">
        <v>178</v>
      </c>
      <c r="L319" t="s">
        <v>37</v>
      </c>
      <c r="M319" t="s">
        <v>38</v>
      </c>
      <c r="N319" t="s">
        <v>140</v>
      </c>
    </row>
    <row r="320" spans="1:14" x14ac:dyDescent="0.2">
      <c r="A320">
        <v>319</v>
      </c>
      <c r="B320">
        <v>7</v>
      </c>
      <c r="C320">
        <v>31</v>
      </c>
      <c r="D320" t="s">
        <v>174</v>
      </c>
      <c r="F320" t="s">
        <v>175</v>
      </c>
      <c r="H320" t="s">
        <v>176</v>
      </c>
      <c r="I320" t="s">
        <v>177</v>
      </c>
      <c r="J320">
        <v>23900</v>
      </c>
      <c r="K320" t="s">
        <v>178</v>
      </c>
      <c r="L320" t="s">
        <v>37</v>
      </c>
      <c r="M320" t="s">
        <v>38</v>
      </c>
      <c r="N320" t="s">
        <v>140</v>
      </c>
    </row>
    <row r="321" spans="1:14" x14ac:dyDescent="0.2">
      <c r="A321">
        <v>320</v>
      </c>
      <c r="B321">
        <v>7</v>
      </c>
      <c r="C321">
        <v>32</v>
      </c>
      <c r="D321" t="s">
        <v>427</v>
      </c>
      <c r="F321" t="s">
        <v>606</v>
      </c>
      <c r="H321" t="s">
        <v>607</v>
      </c>
      <c r="I321" t="s">
        <v>608</v>
      </c>
      <c r="J321">
        <v>10850</v>
      </c>
      <c r="K321" t="s">
        <v>36</v>
      </c>
      <c r="L321" t="s">
        <v>37</v>
      </c>
      <c r="M321" t="s">
        <v>38</v>
      </c>
      <c r="N321" t="s">
        <v>140</v>
      </c>
    </row>
    <row r="322" spans="1:14" x14ac:dyDescent="0.2">
      <c r="A322">
        <v>321</v>
      </c>
      <c r="B322">
        <v>7</v>
      </c>
      <c r="C322">
        <v>33</v>
      </c>
      <c r="D322" t="s">
        <v>183</v>
      </c>
      <c r="F322" t="s">
        <v>184</v>
      </c>
      <c r="H322" t="s">
        <v>185</v>
      </c>
      <c r="I322" t="s">
        <v>186</v>
      </c>
      <c r="J322">
        <v>61</v>
      </c>
      <c r="K322" t="s">
        <v>178</v>
      </c>
      <c r="L322" t="s">
        <v>37</v>
      </c>
      <c r="M322" t="s">
        <v>38</v>
      </c>
      <c r="N322" t="s">
        <v>140</v>
      </c>
    </row>
    <row r="323" spans="1:14" x14ac:dyDescent="0.2">
      <c r="A323">
        <v>322</v>
      </c>
      <c r="B323">
        <v>7</v>
      </c>
      <c r="C323">
        <v>34</v>
      </c>
      <c r="D323" t="s">
        <v>191</v>
      </c>
      <c r="F323" t="s">
        <v>192</v>
      </c>
      <c r="H323" t="s">
        <v>193</v>
      </c>
      <c r="I323" t="s">
        <v>194</v>
      </c>
      <c r="J323">
        <v>50</v>
      </c>
      <c r="K323" t="s">
        <v>178</v>
      </c>
      <c r="L323" t="s">
        <v>37</v>
      </c>
      <c r="M323" t="s">
        <v>38</v>
      </c>
      <c r="N323" t="s">
        <v>140</v>
      </c>
    </row>
    <row r="324" spans="1:14" x14ac:dyDescent="0.2">
      <c r="A324">
        <v>323</v>
      </c>
      <c r="B324">
        <v>7</v>
      </c>
      <c r="C324">
        <v>35</v>
      </c>
      <c r="D324" t="s">
        <v>209</v>
      </c>
      <c r="F324" t="s">
        <v>609</v>
      </c>
      <c r="H324" t="s">
        <v>610</v>
      </c>
      <c r="I324" t="s">
        <v>611</v>
      </c>
      <c r="J324">
        <v>30</v>
      </c>
      <c r="K324" t="s">
        <v>46</v>
      </c>
      <c r="L324" t="s">
        <v>37</v>
      </c>
      <c r="M324" t="s">
        <v>38</v>
      </c>
      <c r="N324" t="s">
        <v>140</v>
      </c>
    </row>
    <row r="325" spans="1:14" x14ac:dyDescent="0.2">
      <c r="A325">
        <v>324</v>
      </c>
      <c r="B325">
        <v>7</v>
      </c>
      <c r="C325">
        <v>36</v>
      </c>
      <c r="D325" t="s">
        <v>209</v>
      </c>
      <c r="F325" t="s">
        <v>213</v>
      </c>
      <c r="H325" t="s">
        <v>214</v>
      </c>
      <c r="I325" t="s">
        <v>215</v>
      </c>
      <c r="J325">
        <v>175</v>
      </c>
      <c r="K325" t="s">
        <v>216</v>
      </c>
      <c r="L325" t="s">
        <v>37</v>
      </c>
      <c r="M325" t="s">
        <v>38</v>
      </c>
      <c r="N325" t="s">
        <v>140</v>
      </c>
    </row>
    <row r="326" spans="1:14" x14ac:dyDescent="0.2">
      <c r="A326">
        <v>325</v>
      </c>
      <c r="B326">
        <v>7</v>
      </c>
      <c r="C326">
        <v>37</v>
      </c>
      <c r="D326" t="s">
        <v>217</v>
      </c>
      <c r="F326" t="s">
        <v>567</v>
      </c>
      <c r="H326" t="s">
        <v>568</v>
      </c>
      <c r="I326" t="s">
        <v>569</v>
      </c>
      <c r="J326">
        <v>20000</v>
      </c>
      <c r="K326" t="s">
        <v>87</v>
      </c>
      <c r="L326" t="s">
        <v>37</v>
      </c>
      <c r="M326" t="s">
        <v>38</v>
      </c>
      <c r="N326" t="s">
        <v>140</v>
      </c>
    </row>
    <row r="327" spans="1:14" x14ac:dyDescent="0.2">
      <c r="A327">
        <v>326</v>
      </c>
      <c r="B327">
        <v>7</v>
      </c>
      <c r="C327">
        <v>38</v>
      </c>
      <c r="D327" t="s">
        <v>217</v>
      </c>
      <c r="F327" t="s">
        <v>221</v>
      </c>
      <c r="H327" t="s">
        <v>222</v>
      </c>
      <c r="I327" t="s">
        <v>223</v>
      </c>
      <c r="J327">
        <v>1225</v>
      </c>
      <c r="K327" t="s">
        <v>216</v>
      </c>
      <c r="L327" t="s">
        <v>37</v>
      </c>
      <c r="M327" t="s">
        <v>38</v>
      </c>
      <c r="N327" t="s">
        <v>140</v>
      </c>
    </row>
    <row r="328" spans="1:14" x14ac:dyDescent="0.2">
      <c r="A328">
        <v>327</v>
      </c>
      <c r="B328">
        <v>7</v>
      </c>
      <c r="C328">
        <v>39</v>
      </c>
      <c r="D328" t="s">
        <v>217</v>
      </c>
      <c r="F328" t="s">
        <v>570</v>
      </c>
      <c r="H328" t="s">
        <v>571</v>
      </c>
      <c r="I328" t="s">
        <v>572</v>
      </c>
      <c r="J328">
        <v>9400</v>
      </c>
      <c r="K328" t="s">
        <v>87</v>
      </c>
      <c r="L328" t="s">
        <v>37</v>
      </c>
      <c r="M328" t="s">
        <v>38</v>
      </c>
      <c r="N328" t="s">
        <v>140</v>
      </c>
    </row>
    <row r="329" spans="1:14" x14ac:dyDescent="0.2">
      <c r="A329">
        <v>328</v>
      </c>
      <c r="B329">
        <v>7</v>
      </c>
      <c r="C329">
        <v>40</v>
      </c>
      <c r="D329" t="s">
        <v>217</v>
      </c>
      <c r="F329" t="s">
        <v>224</v>
      </c>
      <c r="H329" t="s">
        <v>225</v>
      </c>
      <c r="I329" t="s">
        <v>226</v>
      </c>
      <c r="J329">
        <v>21750</v>
      </c>
      <c r="K329" t="s">
        <v>87</v>
      </c>
      <c r="L329" t="s">
        <v>37</v>
      </c>
      <c r="M329" t="s">
        <v>38</v>
      </c>
      <c r="N329" t="s">
        <v>140</v>
      </c>
    </row>
    <row r="330" spans="1:14" x14ac:dyDescent="0.2">
      <c r="A330">
        <v>329</v>
      </c>
      <c r="B330">
        <v>7</v>
      </c>
      <c r="C330">
        <v>41</v>
      </c>
      <c r="D330" t="s">
        <v>227</v>
      </c>
      <c r="F330" t="s">
        <v>228</v>
      </c>
      <c r="G330" t="s">
        <v>439</v>
      </c>
      <c r="H330" t="s">
        <v>440</v>
      </c>
      <c r="I330" t="s">
        <v>231</v>
      </c>
      <c r="J330">
        <v>49</v>
      </c>
      <c r="K330" t="s">
        <v>36</v>
      </c>
      <c r="L330" t="s">
        <v>57</v>
      </c>
      <c r="M330" t="s">
        <v>232</v>
      </c>
      <c r="N330" t="s">
        <v>233</v>
      </c>
    </row>
    <row r="331" spans="1:14" x14ac:dyDescent="0.2">
      <c r="A331">
        <v>330</v>
      </c>
      <c r="B331">
        <v>7</v>
      </c>
      <c r="C331">
        <v>42</v>
      </c>
      <c r="D331" t="s">
        <v>227</v>
      </c>
      <c r="F331" t="s">
        <v>228</v>
      </c>
      <c r="G331" t="s">
        <v>441</v>
      </c>
      <c r="H331" t="s">
        <v>442</v>
      </c>
      <c r="I331" t="s">
        <v>231</v>
      </c>
      <c r="J331">
        <v>394</v>
      </c>
      <c r="K331" t="s">
        <v>36</v>
      </c>
      <c r="L331" t="s">
        <v>57</v>
      </c>
      <c r="M331" t="s">
        <v>232</v>
      </c>
      <c r="N331" t="s">
        <v>233</v>
      </c>
    </row>
    <row r="332" spans="1:14" x14ac:dyDescent="0.2">
      <c r="A332">
        <v>331</v>
      </c>
      <c r="B332">
        <v>7</v>
      </c>
      <c r="C332">
        <v>43</v>
      </c>
      <c r="D332" t="s">
        <v>227</v>
      </c>
      <c r="F332" t="s">
        <v>228</v>
      </c>
      <c r="G332" t="s">
        <v>238</v>
      </c>
      <c r="H332" t="s">
        <v>239</v>
      </c>
      <c r="I332" t="s">
        <v>231</v>
      </c>
      <c r="J332">
        <v>657</v>
      </c>
      <c r="K332" t="s">
        <v>36</v>
      </c>
      <c r="L332" t="s">
        <v>57</v>
      </c>
      <c r="M332" t="s">
        <v>232</v>
      </c>
      <c r="N332" t="s">
        <v>233</v>
      </c>
    </row>
    <row r="333" spans="1:14" x14ac:dyDescent="0.2">
      <c r="A333">
        <v>332</v>
      </c>
      <c r="B333">
        <v>7</v>
      </c>
      <c r="C333">
        <v>44</v>
      </c>
      <c r="D333" t="s">
        <v>227</v>
      </c>
      <c r="F333" t="s">
        <v>228</v>
      </c>
      <c r="G333" t="s">
        <v>258</v>
      </c>
      <c r="H333" t="s">
        <v>445</v>
      </c>
      <c r="I333" t="s">
        <v>231</v>
      </c>
      <c r="J333">
        <v>472</v>
      </c>
      <c r="K333" t="s">
        <v>36</v>
      </c>
      <c r="L333" t="s">
        <v>57</v>
      </c>
      <c r="M333" t="s">
        <v>232</v>
      </c>
      <c r="N333" t="s">
        <v>233</v>
      </c>
    </row>
    <row r="334" spans="1:14" x14ac:dyDescent="0.2">
      <c r="A334">
        <v>333</v>
      </c>
      <c r="B334">
        <v>7</v>
      </c>
      <c r="C334">
        <v>45</v>
      </c>
      <c r="D334" t="s">
        <v>227</v>
      </c>
      <c r="F334" t="s">
        <v>228</v>
      </c>
      <c r="G334" t="s">
        <v>351</v>
      </c>
      <c r="H334" t="s">
        <v>612</v>
      </c>
      <c r="I334" t="s">
        <v>231</v>
      </c>
      <c r="J334">
        <v>238</v>
      </c>
      <c r="K334" t="s">
        <v>36</v>
      </c>
      <c r="L334" t="s">
        <v>57</v>
      </c>
      <c r="M334" t="s">
        <v>232</v>
      </c>
      <c r="N334" t="s">
        <v>233</v>
      </c>
    </row>
    <row r="335" spans="1:14" x14ac:dyDescent="0.2">
      <c r="A335">
        <v>334</v>
      </c>
      <c r="B335">
        <v>7</v>
      </c>
      <c r="C335">
        <v>46</v>
      </c>
      <c r="D335" t="s">
        <v>227</v>
      </c>
      <c r="F335" t="s">
        <v>228</v>
      </c>
      <c r="G335" t="s">
        <v>247</v>
      </c>
      <c r="H335" t="s">
        <v>248</v>
      </c>
      <c r="I335" t="s">
        <v>231</v>
      </c>
      <c r="J335">
        <v>3653</v>
      </c>
      <c r="K335" t="s">
        <v>36</v>
      </c>
      <c r="L335" t="s">
        <v>57</v>
      </c>
      <c r="M335" t="s">
        <v>232</v>
      </c>
      <c r="N335" t="s">
        <v>233</v>
      </c>
    </row>
    <row r="336" spans="1:14" x14ac:dyDescent="0.2">
      <c r="A336">
        <v>335</v>
      </c>
      <c r="B336">
        <v>7</v>
      </c>
      <c r="C336">
        <v>47</v>
      </c>
      <c r="D336" t="s">
        <v>446</v>
      </c>
      <c r="F336" t="s">
        <v>613</v>
      </c>
      <c r="G336" t="s">
        <v>441</v>
      </c>
      <c r="H336" t="s">
        <v>614</v>
      </c>
      <c r="I336" t="s">
        <v>615</v>
      </c>
      <c r="J336">
        <v>5322</v>
      </c>
      <c r="K336" t="s">
        <v>36</v>
      </c>
      <c r="L336" t="s">
        <v>57</v>
      </c>
      <c r="M336" t="s">
        <v>232</v>
      </c>
      <c r="N336" t="s">
        <v>233</v>
      </c>
    </row>
    <row r="337" spans="1:14" x14ac:dyDescent="0.2">
      <c r="A337">
        <v>336</v>
      </c>
      <c r="B337">
        <v>7</v>
      </c>
      <c r="C337">
        <v>48</v>
      </c>
      <c r="D337" t="s">
        <v>263</v>
      </c>
      <c r="F337" t="s">
        <v>616</v>
      </c>
      <c r="G337" t="s">
        <v>247</v>
      </c>
      <c r="H337" t="s">
        <v>617</v>
      </c>
      <c r="I337" t="s">
        <v>618</v>
      </c>
      <c r="J337">
        <v>1</v>
      </c>
      <c r="K337" t="s">
        <v>72</v>
      </c>
      <c r="L337" t="s">
        <v>57</v>
      </c>
      <c r="M337" t="s">
        <v>232</v>
      </c>
      <c r="N337" t="s">
        <v>233</v>
      </c>
    </row>
    <row r="338" spans="1:14" x14ac:dyDescent="0.2">
      <c r="A338">
        <v>337</v>
      </c>
      <c r="B338">
        <v>7</v>
      </c>
      <c r="C338">
        <v>49</v>
      </c>
      <c r="D338" t="s">
        <v>263</v>
      </c>
      <c r="F338" t="s">
        <v>616</v>
      </c>
      <c r="G338" t="s">
        <v>65</v>
      </c>
      <c r="H338" t="s">
        <v>619</v>
      </c>
      <c r="I338" t="s">
        <v>618</v>
      </c>
      <c r="J338">
        <v>7</v>
      </c>
      <c r="K338" t="s">
        <v>72</v>
      </c>
      <c r="L338" t="s">
        <v>57</v>
      </c>
      <c r="M338" t="s">
        <v>232</v>
      </c>
      <c r="N338" t="s">
        <v>233</v>
      </c>
    </row>
    <row r="339" spans="1:14" x14ac:dyDescent="0.2">
      <c r="A339">
        <v>338</v>
      </c>
      <c r="B339">
        <v>7</v>
      </c>
      <c r="C339">
        <v>50</v>
      </c>
      <c r="D339" t="s">
        <v>263</v>
      </c>
      <c r="F339" t="s">
        <v>616</v>
      </c>
      <c r="G339" t="s">
        <v>289</v>
      </c>
      <c r="H339" t="s">
        <v>620</v>
      </c>
      <c r="I339" t="s">
        <v>618</v>
      </c>
      <c r="J339">
        <v>2</v>
      </c>
      <c r="K339" t="s">
        <v>72</v>
      </c>
      <c r="L339" t="s">
        <v>57</v>
      </c>
      <c r="M339" t="s">
        <v>232</v>
      </c>
      <c r="N339" t="s">
        <v>233</v>
      </c>
    </row>
    <row r="340" spans="1:14" x14ac:dyDescent="0.2">
      <c r="A340">
        <v>339</v>
      </c>
      <c r="B340">
        <v>7</v>
      </c>
      <c r="C340">
        <v>51</v>
      </c>
      <c r="D340" t="s">
        <v>263</v>
      </c>
      <c r="F340" t="s">
        <v>616</v>
      </c>
      <c r="G340" t="s">
        <v>621</v>
      </c>
      <c r="H340" t="s">
        <v>622</v>
      </c>
      <c r="I340" t="s">
        <v>618</v>
      </c>
      <c r="J340">
        <v>1</v>
      </c>
      <c r="K340" t="s">
        <v>72</v>
      </c>
      <c r="L340" t="s">
        <v>57</v>
      </c>
      <c r="M340" t="s">
        <v>232</v>
      </c>
      <c r="N340" t="s">
        <v>233</v>
      </c>
    </row>
    <row r="341" spans="1:14" x14ac:dyDescent="0.2">
      <c r="A341">
        <v>340</v>
      </c>
      <c r="B341">
        <v>7</v>
      </c>
      <c r="C341">
        <v>52</v>
      </c>
      <c r="D341" t="s">
        <v>263</v>
      </c>
      <c r="F341" t="s">
        <v>623</v>
      </c>
      <c r="H341" t="s">
        <v>624</v>
      </c>
      <c r="I341" t="s">
        <v>625</v>
      </c>
      <c r="J341">
        <v>18</v>
      </c>
      <c r="K341" t="s">
        <v>72</v>
      </c>
      <c r="L341" t="s">
        <v>57</v>
      </c>
      <c r="M341" t="s">
        <v>232</v>
      </c>
      <c r="N341" t="s">
        <v>233</v>
      </c>
    </row>
    <row r="342" spans="1:14" x14ac:dyDescent="0.2">
      <c r="A342">
        <v>341</v>
      </c>
      <c r="B342">
        <v>7</v>
      </c>
      <c r="C342">
        <v>53</v>
      </c>
      <c r="D342" t="s">
        <v>302</v>
      </c>
      <c r="F342" t="s">
        <v>303</v>
      </c>
      <c r="H342" t="s">
        <v>304</v>
      </c>
      <c r="I342" t="s">
        <v>305</v>
      </c>
      <c r="J342">
        <v>2.8</v>
      </c>
      <c r="K342" t="s">
        <v>133</v>
      </c>
      <c r="L342" t="s">
        <v>25</v>
      </c>
      <c r="M342" t="s">
        <v>26</v>
      </c>
      <c r="N342" t="s">
        <v>306</v>
      </c>
    </row>
    <row r="343" spans="1:14" x14ac:dyDescent="0.2">
      <c r="A343">
        <v>342</v>
      </c>
      <c r="B343">
        <v>7</v>
      </c>
      <c r="C343">
        <v>54</v>
      </c>
      <c r="D343" t="s">
        <v>455</v>
      </c>
      <c r="F343" t="s">
        <v>456</v>
      </c>
      <c r="H343" t="s">
        <v>457</v>
      </c>
      <c r="I343" t="s">
        <v>458</v>
      </c>
      <c r="J343">
        <v>2300</v>
      </c>
      <c r="K343" t="s">
        <v>46</v>
      </c>
      <c r="L343" t="s">
        <v>25</v>
      </c>
      <c r="M343" t="s">
        <v>26</v>
      </c>
      <c r="N343" t="s">
        <v>306</v>
      </c>
    </row>
    <row r="344" spans="1:14" x14ac:dyDescent="0.2">
      <c r="A344">
        <v>343</v>
      </c>
      <c r="B344">
        <v>7</v>
      </c>
      <c r="C344">
        <v>55</v>
      </c>
      <c r="D344">
        <v>312300</v>
      </c>
      <c r="F344" t="s">
        <v>311</v>
      </c>
      <c r="H344" t="s">
        <v>312</v>
      </c>
      <c r="I344" t="s">
        <v>313</v>
      </c>
      <c r="J344">
        <v>1</v>
      </c>
      <c r="K344" t="s">
        <v>17</v>
      </c>
      <c r="L344" t="s">
        <v>57</v>
      </c>
      <c r="M344" t="s">
        <v>232</v>
      </c>
      <c r="N344" t="s">
        <v>233</v>
      </c>
    </row>
    <row r="345" spans="1:14" x14ac:dyDescent="0.2">
      <c r="A345">
        <v>344</v>
      </c>
      <c r="B345">
        <v>7</v>
      </c>
      <c r="C345">
        <v>56</v>
      </c>
      <c r="D345">
        <v>312300</v>
      </c>
      <c r="F345" t="s">
        <v>314</v>
      </c>
      <c r="H345" t="s">
        <v>315</v>
      </c>
      <c r="I345" t="s">
        <v>316</v>
      </c>
      <c r="J345">
        <v>18</v>
      </c>
      <c r="K345" t="s">
        <v>72</v>
      </c>
      <c r="L345" t="s">
        <v>57</v>
      </c>
      <c r="M345" t="s">
        <v>232</v>
      </c>
      <c r="N345" t="s">
        <v>233</v>
      </c>
    </row>
    <row r="346" spans="1:14" x14ac:dyDescent="0.2">
      <c r="A346">
        <v>345</v>
      </c>
      <c r="B346">
        <v>7</v>
      </c>
      <c r="C346">
        <v>57</v>
      </c>
      <c r="D346">
        <v>312300</v>
      </c>
      <c r="F346" t="s">
        <v>320</v>
      </c>
      <c r="H346" t="s">
        <v>321</v>
      </c>
      <c r="I346" t="s">
        <v>322</v>
      </c>
      <c r="J346">
        <v>3</v>
      </c>
      <c r="K346" t="s">
        <v>72</v>
      </c>
      <c r="L346" t="s">
        <v>57</v>
      </c>
      <c r="M346" t="s">
        <v>232</v>
      </c>
      <c r="N346" t="s">
        <v>233</v>
      </c>
    </row>
    <row r="347" spans="1:14" x14ac:dyDescent="0.2">
      <c r="A347">
        <v>346</v>
      </c>
      <c r="B347">
        <v>7</v>
      </c>
      <c r="C347">
        <v>58</v>
      </c>
      <c r="D347">
        <v>312300</v>
      </c>
      <c r="F347" t="s">
        <v>626</v>
      </c>
      <c r="H347" t="s">
        <v>627</v>
      </c>
      <c r="I347" t="s">
        <v>628</v>
      </c>
      <c r="J347">
        <v>2</v>
      </c>
      <c r="K347" t="s">
        <v>72</v>
      </c>
      <c r="L347" t="s">
        <v>57</v>
      </c>
      <c r="M347" t="s">
        <v>232</v>
      </c>
      <c r="N347" t="s">
        <v>233</v>
      </c>
    </row>
    <row r="348" spans="1:14" x14ac:dyDescent="0.2">
      <c r="A348">
        <v>347</v>
      </c>
      <c r="B348">
        <v>7</v>
      </c>
      <c r="C348">
        <v>59</v>
      </c>
      <c r="D348">
        <v>312300</v>
      </c>
      <c r="F348" t="s">
        <v>629</v>
      </c>
      <c r="H348" t="s">
        <v>630</v>
      </c>
      <c r="I348" t="s">
        <v>631</v>
      </c>
      <c r="J348">
        <v>1</v>
      </c>
      <c r="K348" t="s">
        <v>72</v>
      </c>
      <c r="L348" t="s">
        <v>57</v>
      </c>
      <c r="M348" t="s">
        <v>232</v>
      </c>
      <c r="N348" t="s">
        <v>233</v>
      </c>
    </row>
    <row r="349" spans="1:14" x14ac:dyDescent="0.2">
      <c r="A349">
        <v>348</v>
      </c>
      <c r="B349">
        <v>7</v>
      </c>
      <c r="C349">
        <v>60</v>
      </c>
      <c r="D349" t="s">
        <v>240</v>
      </c>
      <c r="F349" t="s">
        <v>632</v>
      </c>
      <c r="H349" t="s">
        <v>633</v>
      </c>
      <c r="I349" t="s">
        <v>634</v>
      </c>
      <c r="J349">
        <v>14265</v>
      </c>
      <c r="K349" t="s">
        <v>36</v>
      </c>
      <c r="L349" t="s">
        <v>244</v>
      </c>
      <c r="M349" t="s">
        <v>245</v>
      </c>
      <c r="N349" t="s">
        <v>246</v>
      </c>
    </row>
    <row r="350" spans="1:14" x14ac:dyDescent="0.2">
      <c r="A350">
        <v>349</v>
      </c>
      <c r="B350">
        <v>7</v>
      </c>
      <c r="C350">
        <v>61</v>
      </c>
      <c r="D350" t="s">
        <v>240</v>
      </c>
      <c r="F350" t="s">
        <v>635</v>
      </c>
      <c r="H350" t="s">
        <v>636</v>
      </c>
      <c r="I350" t="s">
        <v>637</v>
      </c>
      <c r="J350">
        <v>4000</v>
      </c>
      <c r="K350" t="s">
        <v>36</v>
      </c>
      <c r="L350" t="s">
        <v>244</v>
      </c>
      <c r="M350" t="s">
        <v>245</v>
      </c>
      <c r="N350" t="s">
        <v>246</v>
      </c>
    </row>
    <row r="351" spans="1:14" x14ac:dyDescent="0.2">
      <c r="A351">
        <v>350</v>
      </c>
      <c r="B351">
        <v>7</v>
      </c>
      <c r="C351">
        <v>62</v>
      </c>
      <c r="D351" t="s">
        <v>240</v>
      </c>
      <c r="F351" t="s">
        <v>638</v>
      </c>
      <c r="G351" t="s">
        <v>639</v>
      </c>
      <c r="H351" t="s">
        <v>640</v>
      </c>
      <c r="I351" t="s">
        <v>641</v>
      </c>
      <c r="J351">
        <v>13</v>
      </c>
      <c r="K351" t="s">
        <v>72</v>
      </c>
      <c r="L351" t="s">
        <v>244</v>
      </c>
      <c r="M351" t="s">
        <v>245</v>
      </c>
      <c r="N351" t="s">
        <v>246</v>
      </c>
    </row>
    <row r="352" spans="1:14" x14ac:dyDescent="0.2">
      <c r="A352">
        <v>351</v>
      </c>
      <c r="B352">
        <v>7</v>
      </c>
      <c r="C352">
        <v>63</v>
      </c>
      <c r="D352" t="s">
        <v>267</v>
      </c>
      <c r="F352" t="s">
        <v>642</v>
      </c>
      <c r="G352" t="s">
        <v>276</v>
      </c>
      <c r="H352" t="s">
        <v>643</v>
      </c>
      <c r="I352" t="s">
        <v>644</v>
      </c>
      <c r="J352">
        <v>3680</v>
      </c>
      <c r="K352" t="s">
        <v>36</v>
      </c>
      <c r="L352" t="s">
        <v>244</v>
      </c>
      <c r="M352" t="s">
        <v>245</v>
      </c>
      <c r="N352" t="s">
        <v>246</v>
      </c>
    </row>
    <row r="353" spans="1:14" x14ac:dyDescent="0.2">
      <c r="A353">
        <v>352</v>
      </c>
      <c r="B353">
        <v>7</v>
      </c>
      <c r="C353">
        <v>64</v>
      </c>
      <c r="D353" t="s">
        <v>267</v>
      </c>
      <c r="F353" t="s">
        <v>645</v>
      </c>
      <c r="G353" t="s">
        <v>276</v>
      </c>
      <c r="H353" t="s">
        <v>646</v>
      </c>
      <c r="I353" t="s">
        <v>647</v>
      </c>
      <c r="J353">
        <v>45</v>
      </c>
      <c r="K353" t="s">
        <v>36</v>
      </c>
      <c r="L353" t="s">
        <v>244</v>
      </c>
      <c r="M353" t="s">
        <v>245</v>
      </c>
      <c r="N353" t="s">
        <v>246</v>
      </c>
    </row>
    <row r="354" spans="1:14" x14ac:dyDescent="0.2">
      <c r="A354">
        <v>353</v>
      </c>
      <c r="B354">
        <v>7</v>
      </c>
      <c r="C354">
        <v>65</v>
      </c>
      <c r="D354" t="s">
        <v>267</v>
      </c>
      <c r="F354" t="s">
        <v>648</v>
      </c>
      <c r="H354" t="s">
        <v>649</v>
      </c>
      <c r="I354" t="s">
        <v>650</v>
      </c>
      <c r="J354">
        <v>80</v>
      </c>
      <c r="K354" t="s">
        <v>36</v>
      </c>
      <c r="L354" t="s">
        <v>244</v>
      </c>
      <c r="M354" t="s">
        <v>245</v>
      </c>
      <c r="N354" t="s">
        <v>246</v>
      </c>
    </row>
    <row r="355" spans="1:14" x14ac:dyDescent="0.2">
      <c r="A355">
        <v>354</v>
      </c>
      <c r="B355">
        <v>7</v>
      </c>
      <c r="C355">
        <v>66</v>
      </c>
      <c r="D355">
        <v>260500</v>
      </c>
      <c r="F355" t="s">
        <v>291</v>
      </c>
      <c r="H355" t="s">
        <v>292</v>
      </c>
      <c r="I355" t="s">
        <v>293</v>
      </c>
      <c r="J355">
        <v>1</v>
      </c>
      <c r="K355" t="s">
        <v>17</v>
      </c>
      <c r="L355" t="s">
        <v>244</v>
      </c>
      <c r="M355" t="s">
        <v>294</v>
      </c>
      <c r="N355" t="s">
        <v>295</v>
      </c>
    </row>
    <row r="356" spans="1:14" x14ac:dyDescent="0.2">
      <c r="A356">
        <v>355</v>
      </c>
      <c r="B356">
        <v>7</v>
      </c>
      <c r="C356">
        <v>67</v>
      </c>
      <c r="D356">
        <v>260500</v>
      </c>
      <c r="F356" t="s">
        <v>299</v>
      </c>
      <c r="H356" t="s">
        <v>300</v>
      </c>
      <c r="I356" t="s">
        <v>301</v>
      </c>
      <c r="J356">
        <v>1</v>
      </c>
      <c r="K356" t="s">
        <v>17</v>
      </c>
      <c r="L356" t="s">
        <v>244</v>
      </c>
      <c r="M356" t="s">
        <v>294</v>
      </c>
      <c r="N356" t="s">
        <v>295</v>
      </c>
    </row>
    <row r="357" spans="1:14" x14ac:dyDescent="0.2">
      <c r="A357">
        <v>356</v>
      </c>
      <c r="B357">
        <v>7</v>
      </c>
      <c r="C357">
        <v>68</v>
      </c>
      <c r="D357">
        <v>344300</v>
      </c>
      <c r="F357" t="s">
        <v>651</v>
      </c>
      <c r="H357" t="s">
        <v>652</v>
      </c>
      <c r="I357" t="s">
        <v>653</v>
      </c>
      <c r="J357">
        <v>43</v>
      </c>
      <c r="K357" t="s">
        <v>72</v>
      </c>
      <c r="L357" t="s">
        <v>244</v>
      </c>
      <c r="M357" t="s">
        <v>245</v>
      </c>
      <c r="N357" t="s">
        <v>246</v>
      </c>
    </row>
    <row r="358" spans="1:14" x14ac:dyDescent="0.2">
      <c r="A358">
        <v>357</v>
      </c>
      <c r="B358">
        <v>7</v>
      </c>
      <c r="C358">
        <v>69</v>
      </c>
      <c r="D358">
        <v>344300</v>
      </c>
      <c r="F358" t="s">
        <v>654</v>
      </c>
      <c r="H358" t="s">
        <v>655</v>
      </c>
      <c r="I358" t="s">
        <v>656</v>
      </c>
      <c r="J358">
        <v>6</v>
      </c>
      <c r="K358" t="s">
        <v>72</v>
      </c>
      <c r="L358" t="s">
        <v>244</v>
      </c>
      <c r="M358" t="s">
        <v>245</v>
      </c>
      <c r="N358" t="s">
        <v>246</v>
      </c>
    </row>
    <row r="359" spans="1:14" x14ac:dyDescent="0.2">
      <c r="A359">
        <v>358</v>
      </c>
      <c r="B359">
        <v>7</v>
      </c>
      <c r="C359">
        <v>70</v>
      </c>
      <c r="D359">
        <v>344300</v>
      </c>
      <c r="F359" t="s">
        <v>657</v>
      </c>
      <c r="H359" t="s">
        <v>658</v>
      </c>
      <c r="I359" t="s">
        <v>659</v>
      </c>
      <c r="J359">
        <v>13</v>
      </c>
      <c r="K359" t="s">
        <v>72</v>
      </c>
      <c r="L359" t="s">
        <v>244</v>
      </c>
      <c r="M359" t="s">
        <v>245</v>
      </c>
      <c r="N359" t="s">
        <v>246</v>
      </c>
    </row>
    <row r="360" spans="1:14" x14ac:dyDescent="0.2">
      <c r="A360">
        <v>359</v>
      </c>
      <c r="B360">
        <v>7</v>
      </c>
      <c r="C360">
        <v>71</v>
      </c>
      <c r="D360">
        <v>344300</v>
      </c>
      <c r="F360" t="s">
        <v>660</v>
      </c>
      <c r="H360" t="s">
        <v>661</v>
      </c>
      <c r="I360" t="s">
        <v>662</v>
      </c>
      <c r="J360">
        <v>3</v>
      </c>
      <c r="K360" t="s">
        <v>72</v>
      </c>
      <c r="L360" t="s">
        <v>244</v>
      </c>
      <c r="M360" t="s">
        <v>245</v>
      </c>
      <c r="N360" t="s">
        <v>246</v>
      </c>
    </row>
    <row r="361" spans="1:14" x14ac:dyDescent="0.2">
      <c r="A361">
        <v>360</v>
      </c>
      <c r="B361">
        <v>7</v>
      </c>
      <c r="C361">
        <v>72</v>
      </c>
      <c r="D361">
        <v>344300</v>
      </c>
      <c r="F361" t="s">
        <v>663</v>
      </c>
      <c r="H361" t="s">
        <v>664</v>
      </c>
      <c r="I361" t="s">
        <v>665</v>
      </c>
      <c r="J361">
        <v>28</v>
      </c>
      <c r="K361" t="s">
        <v>72</v>
      </c>
      <c r="L361" t="s">
        <v>244</v>
      </c>
      <c r="M361" t="s">
        <v>245</v>
      </c>
      <c r="N361" t="s">
        <v>246</v>
      </c>
    </row>
    <row r="362" spans="1:14" x14ac:dyDescent="0.2">
      <c r="A362">
        <v>361</v>
      </c>
      <c r="B362">
        <v>7</v>
      </c>
      <c r="C362">
        <v>73</v>
      </c>
      <c r="D362">
        <v>344300</v>
      </c>
      <c r="F362" t="s">
        <v>666</v>
      </c>
      <c r="H362" t="s">
        <v>667</v>
      </c>
      <c r="I362" t="s">
        <v>668</v>
      </c>
      <c r="J362">
        <v>1</v>
      </c>
      <c r="K362" t="s">
        <v>72</v>
      </c>
      <c r="L362" t="s">
        <v>244</v>
      </c>
      <c r="M362" t="s">
        <v>245</v>
      </c>
      <c r="N362" t="s">
        <v>246</v>
      </c>
    </row>
    <row r="363" spans="1:14" x14ac:dyDescent="0.2">
      <c r="A363">
        <v>362</v>
      </c>
      <c r="B363">
        <v>7</v>
      </c>
      <c r="C363">
        <v>74</v>
      </c>
      <c r="D363">
        <v>344300</v>
      </c>
      <c r="F363" t="s">
        <v>669</v>
      </c>
      <c r="H363" t="s">
        <v>670</v>
      </c>
      <c r="I363" t="s">
        <v>671</v>
      </c>
      <c r="J363">
        <v>45</v>
      </c>
      <c r="K363" t="s">
        <v>72</v>
      </c>
      <c r="L363" t="s">
        <v>244</v>
      </c>
      <c r="M363" t="s">
        <v>245</v>
      </c>
      <c r="N363" t="s">
        <v>246</v>
      </c>
    </row>
    <row r="364" spans="1:14" x14ac:dyDescent="0.2">
      <c r="A364">
        <v>363</v>
      </c>
      <c r="B364">
        <v>7</v>
      </c>
      <c r="C364">
        <v>75</v>
      </c>
      <c r="D364">
        <v>344302</v>
      </c>
      <c r="F364" t="s">
        <v>672</v>
      </c>
      <c r="H364" t="s">
        <v>673</v>
      </c>
      <c r="I364" t="s">
        <v>674</v>
      </c>
      <c r="J364">
        <v>1</v>
      </c>
      <c r="K364" t="s">
        <v>17</v>
      </c>
      <c r="L364" t="s">
        <v>244</v>
      </c>
      <c r="M364" t="s">
        <v>362</v>
      </c>
      <c r="N364" t="s">
        <v>363</v>
      </c>
    </row>
    <row r="365" spans="1:14" x14ac:dyDescent="0.2">
      <c r="A365">
        <v>364</v>
      </c>
      <c r="B365">
        <v>7</v>
      </c>
      <c r="C365">
        <v>76</v>
      </c>
      <c r="D365">
        <v>344302</v>
      </c>
      <c r="F365" t="s">
        <v>675</v>
      </c>
      <c r="H365" t="s">
        <v>676</v>
      </c>
      <c r="I365" t="s">
        <v>677</v>
      </c>
      <c r="J365">
        <v>1</v>
      </c>
      <c r="K365" t="s">
        <v>17</v>
      </c>
      <c r="L365" t="s">
        <v>244</v>
      </c>
      <c r="M365" t="s">
        <v>362</v>
      </c>
      <c r="N365" t="s">
        <v>363</v>
      </c>
    </row>
    <row r="366" spans="1:14" x14ac:dyDescent="0.2">
      <c r="A366">
        <v>365</v>
      </c>
      <c r="B366">
        <v>7</v>
      </c>
      <c r="C366">
        <v>77</v>
      </c>
      <c r="D366">
        <v>344302</v>
      </c>
      <c r="F366" t="s">
        <v>678</v>
      </c>
      <c r="H366" t="s">
        <v>679</v>
      </c>
      <c r="I366" t="s">
        <v>680</v>
      </c>
      <c r="J366">
        <v>1</v>
      </c>
      <c r="K366" t="s">
        <v>17</v>
      </c>
      <c r="L366" t="s">
        <v>244</v>
      </c>
      <c r="M366" t="s">
        <v>362</v>
      </c>
      <c r="N366" t="s">
        <v>363</v>
      </c>
    </row>
    <row r="367" spans="1:14" x14ac:dyDescent="0.2">
      <c r="A367">
        <v>366</v>
      </c>
      <c r="B367">
        <v>7</v>
      </c>
      <c r="C367">
        <v>78</v>
      </c>
      <c r="D367">
        <v>344302</v>
      </c>
      <c r="F367" t="s">
        <v>681</v>
      </c>
      <c r="H367" t="s">
        <v>682</v>
      </c>
      <c r="I367" t="s">
        <v>683</v>
      </c>
      <c r="J367">
        <v>1</v>
      </c>
      <c r="K367" t="s">
        <v>17</v>
      </c>
      <c r="L367" t="s">
        <v>244</v>
      </c>
      <c r="M367" t="s">
        <v>362</v>
      </c>
      <c r="N367" t="s">
        <v>363</v>
      </c>
    </row>
    <row r="368" spans="1:14" x14ac:dyDescent="0.2">
      <c r="A368">
        <v>367</v>
      </c>
      <c r="B368">
        <v>7</v>
      </c>
      <c r="C368">
        <v>79</v>
      </c>
      <c r="D368">
        <v>344302</v>
      </c>
      <c r="F368" t="s">
        <v>684</v>
      </c>
      <c r="H368" t="s">
        <v>685</v>
      </c>
      <c r="I368" t="s">
        <v>686</v>
      </c>
      <c r="J368">
        <v>1</v>
      </c>
      <c r="K368" t="s">
        <v>17</v>
      </c>
      <c r="L368" t="s">
        <v>244</v>
      </c>
      <c r="M368" t="s">
        <v>362</v>
      </c>
      <c r="N368" t="s">
        <v>363</v>
      </c>
    </row>
    <row r="369" spans="1:14" x14ac:dyDescent="0.2">
      <c r="A369">
        <v>368</v>
      </c>
      <c r="B369">
        <v>7</v>
      </c>
      <c r="C369">
        <v>80</v>
      </c>
      <c r="D369">
        <v>344302</v>
      </c>
      <c r="F369" t="s">
        <v>687</v>
      </c>
      <c r="H369" t="s">
        <v>688</v>
      </c>
      <c r="I369" t="s">
        <v>689</v>
      </c>
      <c r="J369">
        <v>1</v>
      </c>
      <c r="K369" t="s">
        <v>17</v>
      </c>
      <c r="L369" t="s">
        <v>244</v>
      </c>
      <c r="M369" t="s">
        <v>362</v>
      </c>
      <c r="N369" t="s">
        <v>363</v>
      </c>
    </row>
    <row r="370" spans="1:14" x14ac:dyDescent="0.2">
      <c r="A370">
        <v>369</v>
      </c>
      <c r="B370">
        <v>7</v>
      </c>
      <c r="C370">
        <v>81</v>
      </c>
      <c r="D370">
        <v>344302</v>
      </c>
      <c r="F370" t="s">
        <v>690</v>
      </c>
      <c r="H370" t="s">
        <v>691</v>
      </c>
      <c r="I370" t="s">
        <v>692</v>
      </c>
      <c r="J370">
        <v>1</v>
      </c>
      <c r="K370" t="s">
        <v>17</v>
      </c>
      <c r="L370" t="s">
        <v>244</v>
      </c>
      <c r="M370" t="s">
        <v>362</v>
      </c>
      <c r="N370" t="s">
        <v>363</v>
      </c>
    </row>
    <row r="371" spans="1:14" x14ac:dyDescent="0.2">
      <c r="A371">
        <v>370</v>
      </c>
      <c r="B371">
        <v>7</v>
      </c>
      <c r="C371">
        <v>82</v>
      </c>
      <c r="D371">
        <v>344302</v>
      </c>
      <c r="F371" t="s">
        <v>693</v>
      </c>
      <c r="H371" t="s">
        <v>694</v>
      </c>
      <c r="I371" t="s">
        <v>695</v>
      </c>
      <c r="J371">
        <v>1</v>
      </c>
      <c r="K371" t="s">
        <v>17</v>
      </c>
      <c r="L371" t="s">
        <v>244</v>
      </c>
      <c r="M371" t="s">
        <v>362</v>
      </c>
      <c r="N371" t="s">
        <v>363</v>
      </c>
    </row>
    <row r="372" spans="1:14" x14ac:dyDescent="0.2">
      <c r="A372">
        <v>371</v>
      </c>
      <c r="B372">
        <v>7</v>
      </c>
      <c r="C372">
        <v>83</v>
      </c>
      <c r="D372">
        <v>344302</v>
      </c>
      <c r="F372" t="s">
        <v>696</v>
      </c>
      <c r="H372" t="s">
        <v>697</v>
      </c>
      <c r="I372" t="s">
        <v>698</v>
      </c>
      <c r="J372">
        <v>1</v>
      </c>
      <c r="K372" t="s">
        <v>17</v>
      </c>
      <c r="L372" t="s">
        <v>244</v>
      </c>
      <c r="M372" t="s">
        <v>362</v>
      </c>
      <c r="N372" t="s">
        <v>363</v>
      </c>
    </row>
    <row r="373" spans="1:14" x14ac:dyDescent="0.2">
      <c r="A373">
        <v>372</v>
      </c>
      <c r="B373">
        <v>7</v>
      </c>
      <c r="C373">
        <v>84</v>
      </c>
      <c r="D373">
        <v>344302</v>
      </c>
      <c r="F373" t="s">
        <v>699</v>
      </c>
      <c r="H373" t="s">
        <v>700</v>
      </c>
      <c r="I373" t="s">
        <v>701</v>
      </c>
      <c r="J373">
        <v>1</v>
      </c>
      <c r="K373" t="s">
        <v>17</v>
      </c>
      <c r="L373" t="s">
        <v>244</v>
      </c>
      <c r="M373" t="s">
        <v>362</v>
      </c>
      <c r="N373" t="s">
        <v>363</v>
      </c>
    </row>
    <row r="374" spans="1:14" x14ac:dyDescent="0.2">
      <c r="A374">
        <v>373</v>
      </c>
      <c r="B374">
        <v>8</v>
      </c>
      <c r="C374">
        <v>1</v>
      </c>
      <c r="D374">
        <v>12200</v>
      </c>
      <c r="F374" t="s">
        <v>15</v>
      </c>
      <c r="H374" t="s">
        <v>702</v>
      </c>
      <c r="I374" t="s">
        <v>703</v>
      </c>
      <c r="J374">
        <v>1</v>
      </c>
      <c r="K374" t="s">
        <v>17</v>
      </c>
      <c r="L374" t="s">
        <v>18</v>
      </c>
      <c r="M374" t="s">
        <v>19</v>
      </c>
      <c r="N374" t="s">
        <v>108</v>
      </c>
    </row>
    <row r="375" spans="1:14" x14ac:dyDescent="0.2">
      <c r="A375">
        <v>374</v>
      </c>
      <c r="B375">
        <v>8</v>
      </c>
      <c r="C375">
        <v>2</v>
      </c>
      <c r="D375">
        <v>12200</v>
      </c>
      <c r="F375" t="s">
        <v>109</v>
      </c>
      <c r="H375" t="s">
        <v>110</v>
      </c>
      <c r="I375" t="s">
        <v>111</v>
      </c>
      <c r="J375">
        <v>1</v>
      </c>
      <c r="K375" t="s">
        <v>17</v>
      </c>
      <c r="L375" t="s">
        <v>18</v>
      </c>
      <c r="M375" t="s">
        <v>19</v>
      </c>
      <c r="N375" t="s">
        <v>108</v>
      </c>
    </row>
    <row r="376" spans="1:14" x14ac:dyDescent="0.2">
      <c r="A376">
        <v>375</v>
      </c>
      <c r="B376">
        <v>8</v>
      </c>
      <c r="C376">
        <v>3</v>
      </c>
      <c r="D376">
        <v>12200</v>
      </c>
      <c r="F376" t="s">
        <v>112</v>
      </c>
      <c r="H376" t="s">
        <v>113</v>
      </c>
      <c r="I376" t="s">
        <v>114</v>
      </c>
      <c r="J376">
        <v>1</v>
      </c>
      <c r="K376" t="s">
        <v>17</v>
      </c>
      <c r="L376" t="s">
        <v>18</v>
      </c>
      <c r="M376" t="s">
        <v>19</v>
      </c>
      <c r="N376" t="s">
        <v>108</v>
      </c>
    </row>
    <row r="377" spans="1:14" x14ac:dyDescent="0.2">
      <c r="A377">
        <v>376</v>
      </c>
      <c r="B377">
        <v>8</v>
      </c>
      <c r="C377">
        <v>4</v>
      </c>
      <c r="D377">
        <v>12200</v>
      </c>
      <c r="F377" t="s">
        <v>115</v>
      </c>
      <c r="H377" t="s">
        <v>116</v>
      </c>
      <c r="I377" t="s">
        <v>117</v>
      </c>
      <c r="J377">
        <v>1</v>
      </c>
      <c r="K377" t="s">
        <v>17</v>
      </c>
      <c r="L377" t="s">
        <v>18</v>
      </c>
      <c r="M377" t="s">
        <v>19</v>
      </c>
      <c r="N377" t="s">
        <v>108</v>
      </c>
    </row>
    <row r="378" spans="1:14" x14ac:dyDescent="0.2">
      <c r="A378">
        <v>377</v>
      </c>
      <c r="B378">
        <v>8</v>
      </c>
      <c r="C378">
        <v>5</v>
      </c>
      <c r="D378">
        <v>12200</v>
      </c>
      <c r="F378" t="s">
        <v>118</v>
      </c>
      <c r="H378" t="s">
        <v>119</v>
      </c>
      <c r="I378" t="s">
        <v>120</v>
      </c>
      <c r="J378">
        <v>1</v>
      </c>
      <c r="K378" t="s">
        <v>17</v>
      </c>
      <c r="L378" t="s">
        <v>18</v>
      </c>
      <c r="M378" t="s">
        <v>19</v>
      </c>
      <c r="N378" t="s">
        <v>108</v>
      </c>
    </row>
    <row r="379" spans="1:14" x14ac:dyDescent="0.2">
      <c r="A379">
        <v>378</v>
      </c>
      <c r="B379">
        <v>8</v>
      </c>
      <c r="C379">
        <v>6</v>
      </c>
      <c r="D379">
        <v>260500</v>
      </c>
      <c r="F379" t="s">
        <v>291</v>
      </c>
      <c r="H379" t="s">
        <v>292</v>
      </c>
      <c r="I379" t="s">
        <v>293</v>
      </c>
      <c r="J379">
        <v>1</v>
      </c>
      <c r="K379" t="s">
        <v>17</v>
      </c>
      <c r="L379" t="s">
        <v>244</v>
      </c>
      <c r="M379" t="s">
        <v>294</v>
      </c>
      <c r="N379" t="s">
        <v>295</v>
      </c>
    </row>
    <row r="380" spans="1:14" x14ac:dyDescent="0.2">
      <c r="A380">
        <v>379</v>
      </c>
      <c r="B380">
        <v>8</v>
      </c>
      <c r="C380">
        <v>7</v>
      </c>
      <c r="D380">
        <v>260500</v>
      </c>
      <c r="F380" t="s">
        <v>299</v>
      </c>
      <c r="H380" t="s">
        <v>300</v>
      </c>
      <c r="I380" t="s">
        <v>301</v>
      </c>
      <c r="J380">
        <v>1</v>
      </c>
      <c r="K380" t="s">
        <v>17</v>
      </c>
      <c r="L380" t="s">
        <v>244</v>
      </c>
      <c r="M380" t="s">
        <v>294</v>
      </c>
      <c r="N380" t="s">
        <v>295</v>
      </c>
    </row>
    <row r="381" spans="1:14" x14ac:dyDescent="0.2">
      <c r="A381">
        <v>380</v>
      </c>
      <c r="B381">
        <v>8</v>
      </c>
      <c r="C381">
        <v>8</v>
      </c>
      <c r="D381">
        <v>260526</v>
      </c>
      <c r="F381" t="s">
        <v>260</v>
      </c>
      <c r="H381" t="s">
        <v>704</v>
      </c>
      <c r="I381" t="s">
        <v>705</v>
      </c>
      <c r="J381">
        <v>2</v>
      </c>
      <c r="K381" t="s">
        <v>72</v>
      </c>
      <c r="L381" t="s">
        <v>244</v>
      </c>
      <c r="M381" t="s">
        <v>294</v>
      </c>
      <c r="N381" t="s">
        <v>295</v>
      </c>
    </row>
    <row r="382" spans="1:14" x14ac:dyDescent="0.2">
      <c r="A382">
        <v>381</v>
      </c>
      <c r="B382">
        <v>8</v>
      </c>
      <c r="C382">
        <v>9</v>
      </c>
      <c r="D382">
        <v>260553</v>
      </c>
      <c r="F382" t="s">
        <v>307</v>
      </c>
      <c r="G382" t="s">
        <v>308</v>
      </c>
      <c r="H382" t="s">
        <v>309</v>
      </c>
      <c r="I382" t="s">
        <v>310</v>
      </c>
      <c r="J382">
        <v>1</v>
      </c>
      <c r="K382" t="s">
        <v>72</v>
      </c>
      <c r="L382" t="s">
        <v>244</v>
      </c>
      <c r="M382" t="s">
        <v>294</v>
      </c>
      <c r="N382" t="s">
        <v>295</v>
      </c>
    </row>
    <row r="383" spans="1:14" x14ac:dyDescent="0.2">
      <c r="A383">
        <v>382</v>
      </c>
      <c r="B383">
        <v>8</v>
      </c>
      <c r="C383">
        <v>10</v>
      </c>
      <c r="D383">
        <v>344300</v>
      </c>
      <c r="F383" t="s">
        <v>706</v>
      </c>
      <c r="H383" t="s">
        <v>707</v>
      </c>
      <c r="I383" t="s">
        <v>708</v>
      </c>
      <c r="J383">
        <v>16</v>
      </c>
      <c r="K383" t="s">
        <v>72</v>
      </c>
      <c r="L383" t="s">
        <v>244</v>
      </c>
      <c r="M383" t="s">
        <v>245</v>
      </c>
      <c r="N383" t="s">
        <v>246</v>
      </c>
    </row>
    <row r="384" spans="1:14" x14ac:dyDescent="0.2">
      <c r="A384">
        <v>383</v>
      </c>
      <c r="B384">
        <v>8</v>
      </c>
      <c r="C384">
        <v>11</v>
      </c>
      <c r="D384">
        <v>344300</v>
      </c>
      <c r="F384" t="s">
        <v>709</v>
      </c>
      <c r="H384" t="s">
        <v>710</v>
      </c>
      <c r="I384" t="s">
        <v>711</v>
      </c>
      <c r="J384">
        <v>79</v>
      </c>
      <c r="K384" t="s">
        <v>72</v>
      </c>
      <c r="L384" t="s">
        <v>244</v>
      </c>
      <c r="M384" t="s">
        <v>245</v>
      </c>
      <c r="N384" t="s">
        <v>246</v>
      </c>
    </row>
    <row r="385" spans="1:14" x14ac:dyDescent="0.2">
      <c r="A385">
        <v>384</v>
      </c>
      <c r="B385">
        <v>8</v>
      </c>
      <c r="C385">
        <v>12</v>
      </c>
      <c r="D385">
        <v>344300</v>
      </c>
      <c r="F385" t="s">
        <v>712</v>
      </c>
      <c r="H385" t="s">
        <v>713</v>
      </c>
      <c r="I385" t="s">
        <v>714</v>
      </c>
      <c r="J385">
        <v>17</v>
      </c>
      <c r="K385" t="s">
        <v>72</v>
      </c>
      <c r="L385" t="s">
        <v>244</v>
      </c>
      <c r="M385" t="s">
        <v>245</v>
      </c>
      <c r="N385" t="s">
        <v>246</v>
      </c>
    </row>
    <row r="386" spans="1:14" x14ac:dyDescent="0.2">
      <c r="A386">
        <v>385</v>
      </c>
      <c r="B386">
        <v>8</v>
      </c>
      <c r="C386">
        <v>13</v>
      </c>
      <c r="D386">
        <v>344300</v>
      </c>
      <c r="F386" t="s">
        <v>715</v>
      </c>
      <c r="H386" t="s">
        <v>716</v>
      </c>
      <c r="I386" t="s">
        <v>717</v>
      </c>
      <c r="J386">
        <v>195</v>
      </c>
      <c r="K386" t="s">
        <v>72</v>
      </c>
      <c r="L386" t="s">
        <v>244</v>
      </c>
      <c r="M386" t="s">
        <v>245</v>
      </c>
      <c r="N386" t="s">
        <v>246</v>
      </c>
    </row>
    <row r="387" spans="1:14" x14ac:dyDescent="0.2">
      <c r="A387">
        <v>386</v>
      </c>
      <c r="B387">
        <v>8</v>
      </c>
      <c r="C387">
        <v>14</v>
      </c>
      <c r="D387">
        <v>344300</v>
      </c>
      <c r="F387" t="s">
        <v>718</v>
      </c>
      <c r="H387" t="s">
        <v>719</v>
      </c>
      <c r="I387" t="s">
        <v>720</v>
      </c>
      <c r="J387">
        <v>16</v>
      </c>
      <c r="K387" t="s">
        <v>72</v>
      </c>
      <c r="L387" t="s">
        <v>244</v>
      </c>
      <c r="M387" t="s">
        <v>245</v>
      </c>
      <c r="N387" t="s">
        <v>246</v>
      </c>
    </row>
    <row r="388" spans="1:14" x14ac:dyDescent="0.2">
      <c r="A388">
        <v>387</v>
      </c>
      <c r="B388">
        <v>8</v>
      </c>
      <c r="C388">
        <v>15</v>
      </c>
      <c r="D388">
        <v>344300</v>
      </c>
      <c r="F388" t="s">
        <v>721</v>
      </c>
      <c r="H388" t="s">
        <v>722</v>
      </c>
      <c r="I388" t="s">
        <v>723</v>
      </c>
      <c r="J388">
        <v>143</v>
      </c>
      <c r="K388" t="s">
        <v>72</v>
      </c>
      <c r="L388" t="s">
        <v>244</v>
      </c>
      <c r="M388" t="s">
        <v>245</v>
      </c>
      <c r="N388" t="s">
        <v>246</v>
      </c>
    </row>
    <row r="389" spans="1:14" x14ac:dyDescent="0.2">
      <c r="A389">
        <v>388</v>
      </c>
      <c r="B389">
        <v>8</v>
      </c>
      <c r="C389">
        <v>16</v>
      </c>
      <c r="D389">
        <v>344300</v>
      </c>
      <c r="F389" t="s">
        <v>724</v>
      </c>
      <c r="H389" t="s">
        <v>725</v>
      </c>
      <c r="I389" t="s">
        <v>726</v>
      </c>
      <c r="J389">
        <v>14</v>
      </c>
      <c r="K389" t="s">
        <v>72</v>
      </c>
      <c r="L389" t="s">
        <v>244</v>
      </c>
      <c r="M389" t="s">
        <v>245</v>
      </c>
      <c r="N389" t="s">
        <v>246</v>
      </c>
    </row>
    <row r="390" spans="1:14" x14ac:dyDescent="0.2">
      <c r="A390">
        <v>389</v>
      </c>
      <c r="B390">
        <v>8</v>
      </c>
      <c r="C390">
        <v>17</v>
      </c>
      <c r="D390">
        <v>344300</v>
      </c>
      <c r="F390" t="s">
        <v>727</v>
      </c>
      <c r="H390" t="s">
        <v>728</v>
      </c>
      <c r="I390" t="s">
        <v>729</v>
      </c>
      <c r="J390">
        <v>93</v>
      </c>
      <c r="K390" t="s">
        <v>72</v>
      </c>
      <c r="L390" t="s">
        <v>244</v>
      </c>
      <c r="M390" t="s">
        <v>245</v>
      </c>
      <c r="N390" t="s">
        <v>246</v>
      </c>
    </row>
    <row r="391" spans="1:14" x14ac:dyDescent="0.2">
      <c r="A391">
        <v>390</v>
      </c>
      <c r="B391">
        <v>8</v>
      </c>
      <c r="C391">
        <v>18</v>
      </c>
      <c r="D391">
        <v>344300</v>
      </c>
      <c r="F391" t="s">
        <v>730</v>
      </c>
      <c r="H391" t="s">
        <v>731</v>
      </c>
      <c r="I391" t="s">
        <v>732</v>
      </c>
      <c r="J391">
        <v>39</v>
      </c>
      <c r="K391" t="s">
        <v>72</v>
      </c>
      <c r="L391" t="s">
        <v>244</v>
      </c>
      <c r="M391" t="s">
        <v>245</v>
      </c>
      <c r="N391" t="s">
        <v>246</v>
      </c>
    </row>
    <row r="392" spans="1:14" x14ac:dyDescent="0.2">
      <c r="A392">
        <v>391</v>
      </c>
      <c r="B392">
        <v>8</v>
      </c>
      <c r="C392">
        <v>19</v>
      </c>
      <c r="D392">
        <v>344300</v>
      </c>
      <c r="F392" t="s">
        <v>733</v>
      </c>
      <c r="H392" t="s">
        <v>734</v>
      </c>
      <c r="I392" t="s">
        <v>735</v>
      </c>
      <c r="J392">
        <v>40</v>
      </c>
      <c r="K392" t="s">
        <v>72</v>
      </c>
      <c r="L392" t="s">
        <v>244</v>
      </c>
      <c r="M392" t="s">
        <v>245</v>
      </c>
      <c r="N392" t="s">
        <v>246</v>
      </c>
    </row>
    <row r="393" spans="1:14" x14ac:dyDescent="0.2">
      <c r="A393">
        <v>392</v>
      </c>
      <c r="B393">
        <v>8</v>
      </c>
      <c r="C393">
        <v>20</v>
      </c>
      <c r="D393">
        <v>344300</v>
      </c>
      <c r="F393" t="s">
        <v>736</v>
      </c>
      <c r="H393" t="s">
        <v>737</v>
      </c>
      <c r="I393" t="s">
        <v>738</v>
      </c>
      <c r="J393">
        <v>34</v>
      </c>
      <c r="K393" t="s">
        <v>72</v>
      </c>
      <c r="L393" t="s">
        <v>244</v>
      </c>
      <c r="M393" t="s">
        <v>245</v>
      </c>
      <c r="N393" t="s">
        <v>246</v>
      </c>
    </row>
    <row r="394" spans="1:14" x14ac:dyDescent="0.2">
      <c r="A394">
        <v>393</v>
      </c>
      <c r="B394">
        <v>8</v>
      </c>
      <c r="C394">
        <v>21</v>
      </c>
      <c r="D394">
        <v>344300</v>
      </c>
      <c r="F394" t="s">
        <v>739</v>
      </c>
      <c r="H394" t="s">
        <v>740</v>
      </c>
      <c r="I394" t="s">
        <v>741</v>
      </c>
      <c r="J394">
        <v>108</v>
      </c>
      <c r="K394" t="s">
        <v>72</v>
      </c>
      <c r="L394" t="s">
        <v>244</v>
      </c>
      <c r="M394" t="s">
        <v>245</v>
      </c>
      <c r="N394" t="s">
        <v>246</v>
      </c>
    </row>
    <row r="395" spans="1:14" x14ac:dyDescent="0.2">
      <c r="A395">
        <v>394</v>
      </c>
      <c r="B395">
        <v>8</v>
      </c>
      <c r="C395">
        <v>22</v>
      </c>
      <c r="D395">
        <v>344300</v>
      </c>
      <c r="F395" t="s">
        <v>742</v>
      </c>
      <c r="H395" t="s">
        <v>743</v>
      </c>
      <c r="I395" t="s">
        <v>744</v>
      </c>
      <c r="J395">
        <v>258</v>
      </c>
      <c r="K395" t="s">
        <v>72</v>
      </c>
      <c r="L395" t="s">
        <v>244</v>
      </c>
      <c r="M395" t="s">
        <v>245</v>
      </c>
      <c r="N395" t="s">
        <v>246</v>
      </c>
    </row>
    <row r="396" spans="1:14" x14ac:dyDescent="0.2">
      <c r="A396">
        <v>395</v>
      </c>
      <c r="B396">
        <v>8</v>
      </c>
      <c r="C396">
        <v>23</v>
      </c>
      <c r="D396">
        <v>344300</v>
      </c>
      <c r="F396" t="s">
        <v>745</v>
      </c>
      <c r="H396" t="s">
        <v>746</v>
      </c>
      <c r="I396" t="s">
        <v>747</v>
      </c>
      <c r="J396">
        <v>599</v>
      </c>
      <c r="K396" t="s">
        <v>72</v>
      </c>
      <c r="L396" t="s">
        <v>244</v>
      </c>
      <c r="M396" t="s">
        <v>245</v>
      </c>
      <c r="N396" t="s">
        <v>246</v>
      </c>
    </row>
    <row r="397" spans="1:14" x14ac:dyDescent="0.2">
      <c r="A397">
        <v>396</v>
      </c>
      <c r="B397">
        <v>8</v>
      </c>
      <c r="C397">
        <v>24</v>
      </c>
      <c r="D397">
        <v>344300</v>
      </c>
      <c r="F397" t="s">
        <v>748</v>
      </c>
      <c r="H397" t="s">
        <v>749</v>
      </c>
      <c r="I397" t="s">
        <v>750</v>
      </c>
      <c r="J397">
        <v>80</v>
      </c>
      <c r="K397" t="s">
        <v>72</v>
      </c>
      <c r="L397" t="s">
        <v>244</v>
      </c>
      <c r="M397" t="s">
        <v>245</v>
      </c>
      <c r="N397" t="s">
        <v>246</v>
      </c>
    </row>
    <row r="398" spans="1:14" x14ac:dyDescent="0.2">
      <c r="A398">
        <v>397</v>
      </c>
      <c r="B398">
        <v>8</v>
      </c>
      <c r="C398">
        <v>25</v>
      </c>
      <c r="D398">
        <v>344300</v>
      </c>
      <c r="F398" t="s">
        <v>751</v>
      </c>
      <c r="H398" t="s">
        <v>752</v>
      </c>
      <c r="I398" t="s">
        <v>753</v>
      </c>
      <c r="J398">
        <v>91</v>
      </c>
      <c r="K398" t="s">
        <v>72</v>
      </c>
      <c r="L398" t="s">
        <v>244</v>
      </c>
      <c r="M398" t="s">
        <v>245</v>
      </c>
      <c r="N398" t="s">
        <v>246</v>
      </c>
    </row>
    <row r="399" spans="1:14" x14ac:dyDescent="0.2">
      <c r="A399">
        <v>398</v>
      </c>
      <c r="B399">
        <v>8</v>
      </c>
      <c r="C399">
        <v>26</v>
      </c>
      <c r="D399">
        <v>344300</v>
      </c>
      <c r="F399" t="s">
        <v>754</v>
      </c>
      <c r="H399" t="s">
        <v>755</v>
      </c>
      <c r="I399" t="s">
        <v>756</v>
      </c>
      <c r="J399">
        <v>14</v>
      </c>
      <c r="K399" t="s">
        <v>72</v>
      </c>
      <c r="L399" t="s">
        <v>244</v>
      </c>
      <c r="M399" t="s">
        <v>245</v>
      </c>
      <c r="N399" t="s">
        <v>246</v>
      </c>
    </row>
    <row r="400" spans="1:14" x14ac:dyDescent="0.2">
      <c r="A400">
        <v>399</v>
      </c>
      <c r="B400">
        <v>8</v>
      </c>
      <c r="C400">
        <v>27</v>
      </c>
      <c r="D400">
        <v>344300</v>
      </c>
      <c r="F400" t="s">
        <v>757</v>
      </c>
      <c r="H400" t="s">
        <v>758</v>
      </c>
      <c r="I400" t="s">
        <v>759</v>
      </c>
      <c r="J400">
        <v>10</v>
      </c>
      <c r="K400" t="s">
        <v>72</v>
      </c>
      <c r="L400" t="s">
        <v>244</v>
      </c>
      <c r="M400" t="s">
        <v>245</v>
      </c>
      <c r="N400" t="s">
        <v>246</v>
      </c>
    </row>
    <row r="401" spans="1:14" x14ac:dyDescent="0.2">
      <c r="A401">
        <v>400</v>
      </c>
      <c r="B401">
        <v>8</v>
      </c>
      <c r="C401">
        <v>28</v>
      </c>
      <c r="D401">
        <v>344300</v>
      </c>
      <c r="F401" t="s">
        <v>760</v>
      </c>
      <c r="G401" t="s">
        <v>761</v>
      </c>
      <c r="H401" t="s">
        <v>762</v>
      </c>
      <c r="I401" t="s">
        <v>763</v>
      </c>
      <c r="J401">
        <v>91</v>
      </c>
      <c r="K401" t="s">
        <v>72</v>
      </c>
      <c r="L401" t="s">
        <v>244</v>
      </c>
      <c r="M401" t="s">
        <v>245</v>
      </c>
      <c r="N401" t="s">
        <v>246</v>
      </c>
    </row>
    <row r="402" spans="1:14" x14ac:dyDescent="0.2">
      <c r="A402">
        <v>401</v>
      </c>
      <c r="B402">
        <v>8</v>
      </c>
      <c r="C402">
        <v>29</v>
      </c>
      <c r="D402">
        <v>344300</v>
      </c>
      <c r="F402" t="s">
        <v>764</v>
      </c>
      <c r="H402" t="s">
        <v>765</v>
      </c>
      <c r="I402" t="s">
        <v>766</v>
      </c>
      <c r="J402">
        <v>14</v>
      </c>
      <c r="K402" t="s">
        <v>72</v>
      </c>
      <c r="L402" t="s">
        <v>244</v>
      </c>
      <c r="M402" t="s">
        <v>245</v>
      </c>
      <c r="N402" t="s">
        <v>246</v>
      </c>
    </row>
    <row r="403" spans="1:14" x14ac:dyDescent="0.2">
      <c r="A403">
        <v>402</v>
      </c>
      <c r="B403">
        <v>8</v>
      </c>
      <c r="C403">
        <v>30</v>
      </c>
      <c r="D403">
        <v>344300</v>
      </c>
      <c r="F403" t="s">
        <v>767</v>
      </c>
      <c r="H403" t="s">
        <v>768</v>
      </c>
      <c r="I403" t="s">
        <v>769</v>
      </c>
      <c r="J403">
        <v>1</v>
      </c>
      <c r="K403" t="s">
        <v>72</v>
      </c>
      <c r="L403" t="s">
        <v>244</v>
      </c>
      <c r="M403" t="s">
        <v>245</v>
      </c>
      <c r="N403" t="s">
        <v>246</v>
      </c>
    </row>
    <row r="404" spans="1:14" x14ac:dyDescent="0.2">
      <c r="A404">
        <v>403</v>
      </c>
      <c r="B404">
        <v>8</v>
      </c>
      <c r="C404">
        <v>31</v>
      </c>
      <c r="D404" t="s">
        <v>240</v>
      </c>
      <c r="F404" t="s">
        <v>770</v>
      </c>
      <c r="H404" t="s">
        <v>771</v>
      </c>
      <c r="I404" t="s">
        <v>772</v>
      </c>
      <c r="J404">
        <v>55000</v>
      </c>
      <c r="K404" t="s">
        <v>36</v>
      </c>
      <c r="L404" t="s">
        <v>244</v>
      </c>
      <c r="M404" t="s">
        <v>245</v>
      </c>
      <c r="N404" t="s">
        <v>246</v>
      </c>
    </row>
    <row r="405" spans="1:14" x14ac:dyDescent="0.2">
      <c r="A405">
        <v>404</v>
      </c>
      <c r="B405">
        <v>8</v>
      </c>
      <c r="C405">
        <v>32</v>
      </c>
      <c r="D405" t="s">
        <v>267</v>
      </c>
      <c r="F405" t="s">
        <v>773</v>
      </c>
      <c r="G405" t="s">
        <v>774</v>
      </c>
      <c r="H405" t="s">
        <v>775</v>
      </c>
      <c r="I405" t="s">
        <v>776</v>
      </c>
      <c r="J405">
        <v>150</v>
      </c>
      <c r="K405" t="s">
        <v>36</v>
      </c>
      <c r="L405" t="s">
        <v>244</v>
      </c>
      <c r="M405" t="s">
        <v>245</v>
      </c>
      <c r="N405" t="s">
        <v>246</v>
      </c>
    </row>
    <row r="406" spans="1:14" x14ac:dyDescent="0.2">
      <c r="A406">
        <v>405</v>
      </c>
      <c r="B406">
        <v>8</v>
      </c>
      <c r="C406">
        <v>33</v>
      </c>
      <c r="D406" t="s">
        <v>267</v>
      </c>
      <c r="F406" t="s">
        <v>777</v>
      </c>
      <c r="G406" t="s">
        <v>774</v>
      </c>
      <c r="H406" t="s">
        <v>778</v>
      </c>
      <c r="I406" t="s">
        <v>779</v>
      </c>
      <c r="J406">
        <v>10</v>
      </c>
      <c r="K406" t="s">
        <v>36</v>
      </c>
      <c r="L406" t="s">
        <v>244</v>
      </c>
      <c r="M406" t="s">
        <v>245</v>
      </c>
      <c r="N406" t="s">
        <v>246</v>
      </c>
    </row>
    <row r="407" spans="1:14" x14ac:dyDescent="0.2">
      <c r="A407">
        <v>406</v>
      </c>
      <c r="B407">
        <v>9</v>
      </c>
      <c r="C407">
        <v>1</v>
      </c>
      <c r="D407" t="s">
        <v>14</v>
      </c>
      <c r="F407" t="s">
        <v>15</v>
      </c>
      <c r="H407" t="s">
        <v>15</v>
      </c>
      <c r="I407" t="s">
        <v>16</v>
      </c>
      <c r="J407">
        <v>1</v>
      </c>
      <c r="K407" t="s">
        <v>17</v>
      </c>
      <c r="L407" t="s">
        <v>18</v>
      </c>
      <c r="M407" t="s">
        <v>19</v>
      </c>
      <c r="N407" t="s">
        <v>20</v>
      </c>
    </row>
    <row r="408" spans="1:14" x14ac:dyDescent="0.2">
      <c r="A408">
        <v>407</v>
      </c>
      <c r="B408">
        <v>9</v>
      </c>
      <c r="C408">
        <v>2</v>
      </c>
      <c r="D408" t="s">
        <v>14</v>
      </c>
      <c r="F408" t="s">
        <v>23</v>
      </c>
      <c r="H408" t="s">
        <v>23</v>
      </c>
      <c r="I408" t="s">
        <v>24</v>
      </c>
      <c r="J408">
        <v>1</v>
      </c>
      <c r="K408" t="s">
        <v>17</v>
      </c>
      <c r="L408" t="s">
        <v>25</v>
      </c>
      <c r="M408" t="s">
        <v>26</v>
      </c>
      <c r="N408" t="s">
        <v>27</v>
      </c>
    </row>
    <row r="409" spans="1:14" x14ac:dyDescent="0.2">
      <c r="A409">
        <v>408</v>
      </c>
      <c r="B409">
        <v>9</v>
      </c>
      <c r="C409">
        <v>3</v>
      </c>
      <c r="D409" t="s">
        <v>14</v>
      </c>
      <c r="F409" t="s">
        <v>780</v>
      </c>
      <c r="H409" t="s">
        <v>780</v>
      </c>
      <c r="I409" t="s">
        <v>781</v>
      </c>
      <c r="J409">
        <v>1</v>
      </c>
      <c r="K409" t="s">
        <v>17</v>
      </c>
      <c r="L409" t="s">
        <v>18</v>
      </c>
      <c r="M409" t="s">
        <v>19</v>
      </c>
      <c r="N409" t="s">
        <v>20</v>
      </c>
    </row>
    <row r="410" spans="1:14" x14ac:dyDescent="0.2">
      <c r="A410">
        <v>409</v>
      </c>
      <c r="B410">
        <v>9</v>
      </c>
      <c r="C410">
        <v>4</v>
      </c>
      <c r="D410" t="s">
        <v>14</v>
      </c>
      <c r="F410" t="s">
        <v>28</v>
      </c>
      <c r="H410" t="s">
        <v>28</v>
      </c>
      <c r="I410" t="s">
        <v>29</v>
      </c>
      <c r="J410">
        <v>1</v>
      </c>
      <c r="K410" t="s">
        <v>17</v>
      </c>
      <c r="L410" t="s">
        <v>30</v>
      </c>
      <c r="M410" t="s">
        <v>30</v>
      </c>
      <c r="N410" t="s">
        <v>31</v>
      </c>
    </row>
    <row r="411" spans="1:14" x14ac:dyDescent="0.2">
      <c r="A411">
        <v>410</v>
      </c>
      <c r="B411">
        <v>9</v>
      </c>
      <c r="C411">
        <v>5</v>
      </c>
      <c r="D411" t="s">
        <v>14</v>
      </c>
      <c r="F411" t="s">
        <v>782</v>
      </c>
      <c r="H411" t="s">
        <v>782</v>
      </c>
      <c r="I411" t="s">
        <v>783</v>
      </c>
      <c r="J411">
        <v>26</v>
      </c>
      <c r="K411" t="s">
        <v>46</v>
      </c>
      <c r="L411" t="s">
        <v>37</v>
      </c>
      <c r="M411" t="s">
        <v>38</v>
      </c>
      <c r="N411" t="s">
        <v>39</v>
      </c>
    </row>
    <row r="412" spans="1:14" x14ac:dyDescent="0.2">
      <c r="A412">
        <v>411</v>
      </c>
      <c r="B412">
        <v>9</v>
      </c>
      <c r="C412">
        <v>6</v>
      </c>
      <c r="D412" t="s">
        <v>14</v>
      </c>
      <c r="F412" t="s">
        <v>784</v>
      </c>
      <c r="H412" t="s">
        <v>784</v>
      </c>
      <c r="I412" t="s">
        <v>785</v>
      </c>
      <c r="J412">
        <v>105</v>
      </c>
      <c r="K412" t="s">
        <v>46</v>
      </c>
      <c r="L412" t="s">
        <v>25</v>
      </c>
      <c r="M412" t="s">
        <v>26</v>
      </c>
      <c r="N412" t="s">
        <v>27</v>
      </c>
    </row>
    <row r="413" spans="1:14" x14ac:dyDescent="0.2">
      <c r="A413">
        <v>412</v>
      </c>
      <c r="B413">
        <v>9</v>
      </c>
      <c r="C413">
        <v>7</v>
      </c>
      <c r="D413" t="s">
        <v>14</v>
      </c>
      <c r="F413" t="s">
        <v>786</v>
      </c>
      <c r="H413" t="s">
        <v>786</v>
      </c>
      <c r="I413" t="s">
        <v>787</v>
      </c>
      <c r="J413">
        <v>181</v>
      </c>
      <c r="K413" t="s">
        <v>46</v>
      </c>
      <c r="L413" t="s">
        <v>47</v>
      </c>
      <c r="M413" t="s">
        <v>48</v>
      </c>
      <c r="N413" t="s">
        <v>49</v>
      </c>
    </row>
    <row r="414" spans="1:14" x14ac:dyDescent="0.2">
      <c r="A414">
        <v>413</v>
      </c>
      <c r="B414">
        <v>9</v>
      </c>
      <c r="C414">
        <v>8</v>
      </c>
      <c r="D414" t="s">
        <v>14</v>
      </c>
      <c r="F414" t="s">
        <v>788</v>
      </c>
      <c r="G414" t="s">
        <v>276</v>
      </c>
      <c r="H414" t="s">
        <v>789</v>
      </c>
      <c r="I414" t="s">
        <v>790</v>
      </c>
      <c r="J414">
        <v>111</v>
      </c>
      <c r="K414" t="s">
        <v>36</v>
      </c>
      <c r="L414" t="s">
        <v>57</v>
      </c>
      <c r="M414" t="s">
        <v>58</v>
      </c>
      <c r="N414" t="s">
        <v>59</v>
      </c>
    </row>
    <row r="415" spans="1:14" x14ac:dyDescent="0.2">
      <c r="A415">
        <v>414</v>
      </c>
      <c r="B415">
        <v>9</v>
      </c>
      <c r="C415">
        <v>9</v>
      </c>
      <c r="D415" t="s">
        <v>14</v>
      </c>
      <c r="F415" t="s">
        <v>788</v>
      </c>
      <c r="G415" t="s">
        <v>439</v>
      </c>
      <c r="H415" t="s">
        <v>791</v>
      </c>
      <c r="I415" t="s">
        <v>790</v>
      </c>
      <c r="J415">
        <v>1277</v>
      </c>
      <c r="K415" t="s">
        <v>36</v>
      </c>
      <c r="L415" t="s">
        <v>57</v>
      </c>
      <c r="M415" t="s">
        <v>58</v>
      </c>
      <c r="N415" t="s">
        <v>59</v>
      </c>
    </row>
    <row r="416" spans="1:14" x14ac:dyDescent="0.2">
      <c r="A416">
        <v>415</v>
      </c>
      <c r="B416">
        <v>9</v>
      </c>
      <c r="C416">
        <v>10</v>
      </c>
      <c r="D416" t="s">
        <v>14</v>
      </c>
      <c r="F416" t="s">
        <v>788</v>
      </c>
      <c r="G416" t="s">
        <v>441</v>
      </c>
      <c r="H416" t="s">
        <v>792</v>
      </c>
      <c r="I416" t="s">
        <v>790</v>
      </c>
      <c r="J416">
        <v>6077</v>
      </c>
      <c r="K416" t="s">
        <v>36</v>
      </c>
      <c r="L416" t="s">
        <v>57</v>
      </c>
      <c r="M416" t="s">
        <v>58</v>
      </c>
      <c r="N416" t="s">
        <v>59</v>
      </c>
    </row>
    <row r="417" spans="1:14" x14ac:dyDescent="0.2">
      <c r="A417">
        <v>416</v>
      </c>
      <c r="B417">
        <v>9</v>
      </c>
      <c r="C417">
        <v>11</v>
      </c>
      <c r="D417" t="s">
        <v>14</v>
      </c>
      <c r="F417" t="s">
        <v>793</v>
      </c>
      <c r="G417" t="s">
        <v>276</v>
      </c>
      <c r="H417" t="s">
        <v>794</v>
      </c>
      <c r="I417" t="s">
        <v>795</v>
      </c>
      <c r="J417">
        <v>1</v>
      </c>
      <c r="K417" t="s">
        <v>72</v>
      </c>
      <c r="L417" t="s">
        <v>57</v>
      </c>
      <c r="M417" t="s">
        <v>58</v>
      </c>
      <c r="N417" t="s">
        <v>59</v>
      </c>
    </row>
    <row r="418" spans="1:14" x14ac:dyDescent="0.2">
      <c r="A418">
        <v>417</v>
      </c>
      <c r="B418">
        <v>9</v>
      </c>
      <c r="C418">
        <v>12</v>
      </c>
      <c r="D418" t="s">
        <v>14</v>
      </c>
      <c r="F418" t="s">
        <v>793</v>
      </c>
      <c r="G418" t="s">
        <v>439</v>
      </c>
      <c r="H418" t="s">
        <v>796</v>
      </c>
      <c r="I418" t="s">
        <v>795</v>
      </c>
      <c r="J418">
        <v>2</v>
      </c>
      <c r="K418" t="s">
        <v>72</v>
      </c>
      <c r="L418" t="s">
        <v>57</v>
      </c>
      <c r="M418" t="s">
        <v>58</v>
      </c>
      <c r="N418" t="s">
        <v>59</v>
      </c>
    </row>
    <row r="419" spans="1:14" x14ac:dyDescent="0.2">
      <c r="A419">
        <v>418</v>
      </c>
      <c r="B419">
        <v>9</v>
      </c>
      <c r="C419">
        <v>13</v>
      </c>
      <c r="D419" t="s">
        <v>14</v>
      </c>
      <c r="F419" t="s">
        <v>793</v>
      </c>
      <c r="G419" t="s">
        <v>441</v>
      </c>
      <c r="H419" t="s">
        <v>797</v>
      </c>
      <c r="I419" t="s">
        <v>795</v>
      </c>
      <c r="J419">
        <v>5</v>
      </c>
      <c r="K419" t="s">
        <v>72</v>
      </c>
      <c r="L419" t="s">
        <v>57</v>
      </c>
      <c r="M419" t="s">
        <v>58</v>
      </c>
      <c r="N419" t="s">
        <v>59</v>
      </c>
    </row>
    <row r="420" spans="1:14" x14ac:dyDescent="0.2">
      <c r="A420">
        <v>419</v>
      </c>
      <c r="B420">
        <v>9</v>
      </c>
      <c r="C420">
        <v>14</v>
      </c>
      <c r="D420" t="s">
        <v>14</v>
      </c>
      <c r="F420" t="s">
        <v>798</v>
      </c>
      <c r="H420" t="s">
        <v>798</v>
      </c>
      <c r="I420" t="s">
        <v>799</v>
      </c>
      <c r="J420">
        <v>1</v>
      </c>
      <c r="K420" t="s">
        <v>72</v>
      </c>
      <c r="L420" t="s">
        <v>57</v>
      </c>
      <c r="M420" t="s">
        <v>58</v>
      </c>
      <c r="N420" t="s">
        <v>59</v>
      </c>
    </row>
    <row r="421" spans="1:14" x14ac:dyDescent="0.2">
      <c r="A421">
        <v>420</v>
      </c>
      <c r="B421">
        <v>9</v>
      </c>
      <c r="C421">
        <v>15</v>
      </c>
      <c r="D421" t="s">
        <v>14</v>
      </c>
      <c r="F421" t="s">
        <v>88</v>
      </c>
      <c r="H421" t="s">
        <v>88</v>
      </c>
      <c r="I421" t="s">
        <v>89</v>
      </c>
      <c r="J421">
        <v>608</v>
      </c>
      <c r="K421" t="s">
        <v>52</v>
      </c>
      <c r="L421" t="s">
        <v>37</v>
      </c>
      <c r="M421" t="s">
        <v>38</v>
      </c>
      <c r="N421" t="s">
        <v>39</v>
      </c>
    </row>
    <row r="422" spans="1:14" x14ac:dyDescent="0.2">
      <c r="A422">
        <v>421</v>
      </c>
      <c r="B422">
        <v>9</v>
      </c>
      <c r="C422">
        <v>16</v>
      </c>
      <c r="D422" t="s">
        <v>14</v>
      </c>
      <c r="F422" t="s">
        <v>800</v>
      </c>
      <c r="H422" t="s">
        <v>800</v>
      </c>
      <c r="I422" t="s">
        <v>801</v>
      </c>
      <c r="J422">
        <v>1</v>
      </c>
      <c r="K422" t="s">
        <v>17</v>
      </c>
      <c r="L422" t="s">
        <v>37</v>
      </c>
      <c r="M422" t="s">
        <v>38</v>
      </c>
      <c r="N422" t="s">
        <v>39</v>
      </c>
    </row>
    <row r="423" spans="1:14" x14ac:dyDescent="0.2">
      <c r="A423">
        <v>422</v>
      </c>
      <c r="B423">
        <v>9</v>
      </c>
      <c r="C423">
        <v>17</v>
      </c>
      <c r="D423" t="s">
        <v>14</v>
      </c>
      <c r="F423" t="s">
        <v>802</v>
      </c>
      <c r="H423" t="s">
        <v>802</v>
      </c>
      <c r="I423" t="s">
        <v>803</v>
      </c>
      <c r="J423">
        <v>81</v>
      </c>
      <c r="K423" t="s">
        <v>36</v>
      </c>
      <c r="L423" t="s">
        <v>30</v>
      </c>
      <c r="M423" t="s">
        <v>30</v>
      </c>
      <c r="N423" t="s">
        <v>31</v>
      </c>
    </row>
    <row r="424" spans="1:14" x14ac:dyDescent="0.2">
      <c r="A424">
        <v>423</v>
      </c>
      <c r="B424">
        <v>9</v>
      </c>
      <c r="C424">
        <v>18</v>
      </c>
      <c r="D424" t="s">
        <v>14</v>
      </c>
      <c r="F424" t="s">
        <v>99</v>
      </c>
      <c r="H424" t="s">
        <v>99</v>
      </c>
      <c r="I424" t="s">
        <v>100</v>
      </c>
      <c r="J424">
        <v>6</v>
      </c>
      <c r="K424" t="s">
        <v>133</v>
      </c>
      <c r="L424" t="s">
        <v>25</v>
      </c>
      <c r="M424" t="s">
        <v>26</v>
      </c>
      <c r="N424" t="s">
        <v>27</v>
      </c>
    </row>
    <row r="425" spans="1:14" x14ac:dyDescent="0.2">
      <c r="A425">
        <v>424</v>
      </c>
      <c r="B425">
        <v>9</v>
      </c>
      <c r="C425">
        <v>19</v>
      </c>
      <c r="D425" t="s">
        <v>14</v>
      </c>
      <c r="F425" t="s">
        <v>804</v>
      </c>
      <c r="H425" t="s">
        <v>804</v>
      </c>
      <c r="I425" t="s">
        <v>805</v>
      </c>
      <c r="J425">
        <v>45</v>
      </c>
      <c r="K425" t="s">
        <v>52</v>
      </c>
      <c r="L425" t="s">
        <v>37</v>
      </c>
      <c r="M425" t="s">
        <v>38</v>
      </c>
      <c r="N425" t="s">
        <v>39</v>
      </c>
    </row>
    <row r="426" spans="1:14" x14ac:dyDescent="0.2">
      <c r="A426">
        <v>425</v>
      </c>
      <c r="B426">
        <v>10</v>
      </c>
      <c r="C426">
        <v>1</v>
      </c>
      <c r="D426">
        <v>12200</v>
      </c>
      <c r="F426" t="s">
        <v>109</v>
      </c>
      <c r="H426" t="s">
        <v>110</v>
      </c>
      <c r="I426" t="s">
        <v>111</v>
      </c>
      <c r="J426">
        <v>1</v>
      </c>
      <c r="K426" t="s">
        <v>17</v>
      </c>
      <c r="L426" t="s">
        <v>18</v>
      </c>
      <c r="M426" t="s">
        <v>19</v>
      </c>
      <c r="N426" t="s">
        <v>108</v>
      </c>
    </row>
    <row r="427" spans="1:14" x14ac:dyDescent="0.2">
      <c r="A427">
        <v>426</v>
      </c>
      <c r="B427">
        <v>10</v>
      </c>
      <c r="C427">
        <v>2</v>
      </c>
      <c r="D427">
        <v>12200</v>
      </c>
      <c r="F427" t="s">
        <v>112</v>
      </c>
      <c r="H427" t="s">
        <v>113</v>
      </c>
      <c r="I427" t="s">
        <v>114</v>
      </c>
      <c r="J427">
        <v>1</v>
      </c>
      <c r="K427" t="s">
        <v>17</v>
      </c>
      <c r="L427" t="s">
        <v>18</v>
      </c>
      <c r="M427" t="s">
        <v>19</v>
      </c>
      <c r="N427" t="s">
        <v>108</v>
      </c>
    </row>
    <row r="428" spans="1:14" x14ac:dyDescent="0.2">
      <c r="A428">
        <v>427</v>
      </c>
      <c r="B428">
        <v>10</v>
      </c>
      <c r="C428">
        <v>3</v>
      </c>
      <c r="D428">
        <v>12200</v>
      </c>
      <c r="F428" t="s">
        <v>380</v>
      </c>
      <c r="H428" t="s">
        <v>381</v>
      </c>
      <c r="I428" t="s">
        <v>382</v>
      </c>
      <c r="J428">
        <v>1</v>
      </c>
      <c r="K428" t="s">
        <v>17</v>
      </c>
      <c r="L428" t="s">
        <v>18</v>
      </c>
      <c r="M428" t="s">
        <v>19</v>
      </c>
      <c r="N428" t="s">
        <v>108</v>
      </c>
    </row>
    <row r="429" spans="1:14" x14ac:dyDescent="0.2">
      <c r="A429">
        <v>428</v>
      </c>
      <c r="B429">
        <v>10</v>
      </c>
      <c r="C429">
        <v>4</v>
      </c>
      <c r="D429">
        <v>12200</v>
      </c>
      <c r="F429" t="s">
        <v>118</v>
      </c>
      <c r="H429" t="s">
        <v>119</v>
      </c>
      <c r="I429" t="s">
        <v>120</v>
      </c>
      <c r="J429">
        <v>1</v>
      </c>
      <c r="K429" t="s">
        <v>17</v>
      </c>
      <c r="L429" t="s">
        <v>18</v>
      </c>
      <c r="M429" t="s">
        <v>19</v>
      </c>
      <c r="N429" t="s">
        <v>108</v>
      </c>
    </row>
    <row r="430" spans="1:14" x14ac:dyDescent="0.2">
      <c r="A430">
        <v>429</v>
      </c>
      <c r="B430">
        <v>10</v>
      </c>
      <c r="C430">
        <v>5</v>
      </c>
      <c r="D430">
        <v>15713</v>
      </c>
      <c r="F430" t="s">
        <v>127</v>
      </c>
      <c r="H430" t="s">
        <v>128</v>
      </c>
      <c r="I430" t="s">
        <v>129</v>
      </c>
      <c r="J430">
        <v>6</v>
      </c>
      <c r="K430" t="s">
        <v>72</v>
      </c>
      <c r="L430" t="s">
        <v>18</v>
      </c>
      <c r="M430" t="s">
        <v>19</v>
      </c>
      <c r="N430" t="s">
        <v>108</v>
      </c>
    </row>
    <row r="431" spans="1:14" x14ac:dyDescent="0.2">
      <c r="A431">
        <v>430</v>
      </c>
      <c r="B431">
        <v>10</v>
      </c>
      <c r="C431">
        <v>5</v>
      </c>
      <c r="D431">
        <v>15713</v>
      </c>
      <c r="F431" t="s">
        <v>130</v>
      </c>
      <c r="H431" t="s">
        <v>131</v>
      </c>
      <c r="I431" t="s">
        <v>132</v>
      </c>
      <c r="J431">
        <v>3</v>
      </c>
      <c r="K431" t="s">
        <v>133</v>
      </c>
      <c r="L431" t="s">
        <v>18</v>
      </c>
      <c r="M431" t="s">
        <v>19</v>
      </c>
      <c r="N431" t="s">
        <v>108</v>
      </c>
    </row>
    <row r="432" spans="1:14" x14ac:dyDescent="0.2">
      <c r="A432">
        <v>431</v>
      </c>
      <c r="B432">
        <v>10</v>
      </c>
      <c r="C432">
        <v>6</v>
      </c>
      <c r="D432">
        <v>15713</v>
      </c>
      <c r="F432" t="s">
        <v>127</v>
      </c>
      <c r="H432" t="s">
        <v>128</v>
      </c>
      <c r="I432" t="s">
        <v>129</v>
      </c>
      <c r="J432">
        <v>60</v>
      </c>
      <c r="K432" t="s">
        <v>72</v>
      </c>
      <c r="L432" t="s">
        <v>18</v>
      </c>
      <c r="M432" t="s">
        <v>19</v>
      </c>
      <c r="N432" t="s">
        <v>108</v>
      </c>
    </row>
    <row r="433" spans="1:14" x14ac:dyDescent="0.2">
      <c r="A433">
        <v>432</v>
      </c>
      <c r="B433">
        <v>10</v>
      </c>
      <c r="C433">
        <v>6</v>
      </c>
      <c r="D433" t="s">
        <v>806</v>
      </c>
      <c r="F433" t="s">
        <v>807</v>
      </c>
      <c r="H433" t="s">
        <v>808</v>
      </c>
      <c r="I433" t="s">
        <v>809</v>
      </c>
      <c r="J433">
        <v>1</v>
      </c>
      <c r="K433" t="s">
        <v>17</v>
      </c>
      <c r="L433" t="s">
        <v>18</v>
      </c>
      <c r="M433" t="s">
        <v>19</v>
      </c>
      <c r="N433" t="s">
        <v>108</v>
      </c>
    </row>
    <row r="434" spans="1:14" x14ac:dyDescent="0.2">
      <c r="A434">
        <v>433</v>
      </c>
      <c r="B434">
        <v>10</v>
      </c>
      <c r="C434">
        <v>7</v>
      </c>
      <c r="D434">
        <v>15713</v>
      </c>
      <c r="F434" t="s">
        <v>383</v>
      </c>
      <c r="H434" t="s">
        <v>384</v>
      </c>
      <c r="I434" t="s">
        <v>385</v>
      </c>
      <c r="J434">
        <v>4</v>
      </c>
      <c r="K434" t="s">
        <v>72</v>
      </c>
      <c r="L434" t="s">
        <v>18</v>
      </c>
      <c r="M434" t="s">
        <v>19</v>
      </c>
      <c r="N434" t="s">
        <v>108</v>
      </c>
    </row>
    <row r="435" spans="1:14" x14ac:dyDescent="0.2">
      <c r="A435">
        <v>434</v>
      </c>
      <c r="B435">
        <v>10</v>
      </c>
      <c r="C435">
        <v>7</v>
      </c>
      <c r="D435" t="s">
        <v>136</v>
      </c>
      <c r="F435" t="s">
        <v>389</v>
      </c>
      <c r="G435" t="s">
        <v>590</v>
      </c>
      <c r="H435" t="s">
        <v>810</v>
      </c>
      <c r="I435" t="s">
        <v>392</v>
      </c>
      <c r="J435">
        <v>450</v>
      </c>
      <c r="K435" t="s">
        <v>94</v>
      </c>
      <c r="L435" t="s">
        <v>37</v>
      </c>
      <c r="M435" t="s">
        <v>38</v>
      </c>
      <c r="N435" t="s">
        <v>140</v>
      </c>
    </row>
    <row r="436" spans="1:14" x14ac:dyDescent="0.2">
      <c r="A436">
        <v>435</v>
      </c>
      <c r="B436">
        <v>10</v>
      </c>
      <c r="C436">
        <v>8</v>
      </c>
      <c r="D436" t="s">
        <v>811</v>
      </c>
      <c r="F436" t="s">
        <v>598</v>
      </c>
      <c r="H436" t="s">
        <v>812</v>
      </c>
      <c r="I436" t="s">
        <v>813</v>
      </c>
      <c r="J436">
        <v>4650</v>
      </c>
      <c r="K436" t="s">
        <v>36</v>
      </c>
      <c r="L436" t="s">
        <v>18</v>
      </c>
      <c r="M436" t="s">
        <v>19</v>
      </c>
      <c r="N436" t="s">
        <v>108</v>
      </c>
    </row>
    <row r="437" spans="1:14" x14ac:dyDescent="0.2">
      <c r="A437">
        <v>436</v>
      </c>
      <c r="B437">
        <v>10</v>
      </c>
      <c r="C437">
        <v>8</v>
      </c>
      <c r="D437" t="s">
        <v>136</v>
      </c>
      <c r="F437" t="s">
        <v>389</v>
      </c>
      <c r="G437" t="s">
        <v>814</v>
      </c>
      <c r="H437" t="s">
        <v>815</v>
      </c>
      <c r="I437" t="s">
        <v>392</v>
      </c>
      <c r="J437">
        <v>150</v>
      </c>
      <c r="K437" t="s">
        <v>94</v>
      </c>
      <c r="L437" t="s">
        <v>37</v>
      </c>
      <c r="M437" t="s">
        <v>38</v>
      </c>
      <c r="N437" t="s">
        <v>140</v>
      </c>
    </row>
    <row r="438" spans="1:14" x14ac:dyDescent="0.2">
      <c r="A438">
        <v>437</v>
      </c>
      <c r="B438">
        <v>10</v>
      </c>
      <c r="C438">
        <v>9</v>
      </c>
      <c r="D438" t="s">
        <v>806</v>
      </c>
      <c r="F438" t="s">
        <v>807</v>
      </c>
      <c r="H438" t="s">
        <v>808</v>
      </c>
      <c r="I438" t="s">
        <v>809</v>
      </c>
      <c r="J438">
        <v>1</v>
      </c>
      <c r="K438" t="s">
        <v>17</v>
      </c>
      <c r="L438" t="s">
        <v>18</v>
      </c>
      <c r="M438" t="s">
        <v>19</v>
      </c>
      <c r="N438" t="s">
        <v>108</v>
      </c>
    </row>
    <row r="439" spans="1:14" x14ac:dyDescent="0.2">
      <c r="A439">
        <v>438</v>
      </c>
      <c r="B439">
        <v>10</v>
      </c>
      <c r="C439">
        <v>9</v>
      </c>
      <c r="D439" t="s">
        <v>136</v>
      </c>
      <c r="F439" t="s">
        <v>141</v>
      </c>
      <c r="G439" t="s">
        <v>816</v>
      </c>
      <c r="H439" t="s">
        <v>817</v>
      </c>
      <c r="I439" t="s">
        <v>144</v>
      </c>
      <c r="J439">
        <v>5900</v>
      </c>
      <c r="K439" t="s">
        <v>94</v>
      </c>
      <c r="L439" t="s">
        <v>37</v>
      </c>
      <c r="M439" t="s">
        <v>38</v>
      </c>
      <c r="N439" t="s">
        <v>140</v>
      </c>
    </row>
    <row r="440" spans="1:14" x14ac:dyDescent="0.2">
      <c r="A440">
        <v>439</v>
      </c>
      <c r="B440">
        <v>10</v>
      </c>
      <c r="C440">
        <v>10</v>
      </c>
      <c r="D440" t="s">
        <v>136</v>
      </c>
      <c r="F440" t="s">
        <v>141</v>
      </c>
      <c r="G440" t="s">
        <v>818</v>
      </c>
      <c r="H440" t="s">
        <v>819</v>
      </c>
      <c r="I440" t="s">
        <v>144</v>
      </c>
      <c r="J440">
        <v>3600</v>
      </c>
      <c r="K440" t="s">
        <v>94</v>
      </c>
      <c r="L440" t="s">
        <v>37</v>
      </c>
      <c r="M440" t="s">
        <v>38</v>
      </c>
      <c r="N440" t="s">
        <v>140</v>
      </c>
    </row>
    <row r="441" spans="1:14" x14ac:dyDescent="0.2">
      <c r="A441">
        <v>440</v>
      </c>
      <c r="B441">
        <v>10</v>
      </c>
      <c r="C441">
        <v>10</v>
      </c>
      <c r="D441" t="s">
        <v>136</v>
      </c>
      <c r="F441" t="s">
        <v>141</v>
      </c>
      <c r="G441" t="s">
        <v>580</v>
      </c>
      <c r="H441" t="s">
        <v>820</v>
      </c>
      <c r="I441" t="s">
        <v>144</v>
      </c>
      <c r="J441">
        <v>2700</v>
      </c>
      <c r="K441" t="s">
        <v>94</v>
      </c>
      <c r="L441" t="s">
        <v>37</v>
      </c>
      <c r="M441" t="s">
        <v>38</v>
      </c>
      <c r="N441" t="s">
        <v>140</v>
      </c>
    </row>
    <row r="442" spans="1:14" x14ac:dyDescent="0.2">
      <c r="A442">
        <v>441</v>
      </c>
      <c r="B442">
        <v>10</v>
      </c>
      <c r="C442">
        <v>11</v>
      </c>
      <c r="D442" t="s">
        <v>136</v>
      </c>
      <c r="F442" t="s">
        <v>141</v>
      </c>
      <c r="G442" t="s">
        <v>584</v>
      </c>
      <c r="H442" t="s">
        <v>585</v>
      </c>
      <c r="I442" t="s">
        <v>144</v>
      </c>
      <c r="J442">
        <v>625</v>
      </c>
      <c r="K442" t="s">
        <v>94</v>
      </c>
      <c r="L442" t="s">
        <v>37</v>
      </c>
      <c r="M442" t="s">
        <v>38</v>
      </c>
      <c r="N442" t="s">
        <v>140</v>
      </c>
    </row>
    <row r="443" spans="1:14" x14ac:dyDescent="0.2">
      <c r="A443">
        <v>442</v>
      </c>
      <c r="B443">
        <v>10</v>
      </c>
      <c r="C443">
        <v>11</v>
      </c>
      <c r="D443" t="s">
        <v>136</v>
      </c>
      <c r="F443" t="s">
        <v>145</v>
      </c>
      <c r="G443" t="s">
        <v>142</v>
      </c>
      <c r="H443" t="s">
        <v>821</v>
      </c>
      <c r="I443" t="s">
        <v>148</v>
      </c>
      <c r="J443">
        <v>150</v>
      </c>
      <c r="K443" t="s">
        <v>94</v>
      </c>
      <c r="L443" t="s">
        <v>37</v>
      </c>
      <c r="M443" t="s">
        <v>38</v>
      </c>
      <c r="N443" t="s">
        <v>140</v>
      </c>
    </row>
    <row r="444" spans="1:14" x14ac:dyDescent="0.2">
      <c r="A444">
        <v>443</v>
      </c>
      <c r="B444">
        <v>10</v>
      </c>
      <c r="C444">
        <v>12</v>
      </c>
      <c r="D444" t="s">
        <v>136</v>
      </c>
      <c r="F444" t="s">
        <v>141</v>
      </c>
      <c r="G444" t="s">
        <v>822</v>
      </c>
      <c r="H444" t="s">
        <v>823</v>
      </c>
      <c r="I444" t="s">
        <v>144</v>
      </c>
      <c r="J444">
        <v>1000</v>
      </c>
      <c r="K444" t="s">
        <v>94</v>
      </c>
      <c r="L444" t="s">
        <v>37</v>
      </c>
      <c r="M444" t="s">
        <v>38</v>
      </c>
      <c r="N444" t="s">
        <v>140</v>
      </c>
    </row>
    <row r="445" spans="1:14" x14ac:dyDescent="0.2">
      <c r="A445">
        <v>444</v>
      </c>
      <c r="B445">
        <v>10</v>
      </c>
      <c r="C445">
        <v>12</v>
      </c>
      <c r="D445" t="s">
        <v>136</v>
      </c>
      <c r="F445" t="s">
        <v>824</v>
      </c>
      <c r="H445" t="s">
        <v>825</v>
      </c>
      <c r="I445" t="s">
        <v>826</v>
      </c>
      <c r="J445">
        <v>1</v>
      </c>
      <c r="K445" t="s">
        <v>17</v>
      </c>
      <c r="L445" t="s">
        <v>37</v>
      </c>
      <c r="M445" t="s">
        <v>38</v>
      </c>
      <c r="N445" t="s">
        <v>140</v>
      </c>
    </row>
    <row r="446" spans="1:14" x14ac:dyDescent="0.2">
      <c r="A446">
        <v>445</v>
      </c>
      <c r="B446">
        <v>10</v>
      </c>
      <c r="C446">
        <v>13</v>
      </c>
      <c r="D446" t="s">
        <v>136</v>
      </c>
      <c r="F446" t="s">
        <v>389</v>
      </c>
      <c r="G446" t="s">
        <v>584</v>
      </c>
      <c r="H446" t="s">
        <v>827</v>
      </c>
      <c r="I446" t="s">
        <v>392</v>
      </c>
      <c r="J446">
        <v>25</v>
      </c>
      <c r="K446" t="s">
        <v>94</v>
      </c>
      <c r="L446" t="s">
        <v>37</v>
      </c>
      <c r="M446" t="s">
        <v>38</v>
      </c>
      <c r="N446" t="s">
        <v>140</v>
      </c>
    </row>
    <row r="447" spans="1:14" x14ac:dyDescent="0.2">
      <c r="A447">
        <v>446</v>
      </c>
      <c r="B447">
        <v>10</v>
      </c>
      <c r="C447">
        <v>13</v>
      </c>
      <c r="D447" t="s">
        <v>163</v>
      </c>
      <c r="F447" t="s">
        <v>592</v>
      </c>
      <c r="H447" t="s">
        <v>593</v>
      </c>
      <c r="I447" t="s">
        <v>594</v>
      </c>
      <c r="J447">
        <v>13025</v>
      </c>
      <c r="K447" t="s">
        <v>46</v>
      </c>
      <c r="L447" t="s">
        <v>37</v>
      </c>
      <c r="M447" t="s">
        <v>38</v>
      </c>
      <c r="N447" t="s">
        <v>140</v>
      </c>
    </row>
    <row r="448" spans="1:14" x14ac:dyDescent="0.2">
      <c r="A448">
        <v>447</v>
      </c>
      <c r="B448">
        <v>10</v>
      </c>
      <c r="C448">
        <v>14</v>
      </c>
      <c r="D448" t="s">
        <v>136</v>
      </c>
      <c r="F448" t="s">
        <v>145</v>
      </c>
      <c r="G448" t="s">
        <v>142</v>
      </c>
      <c r="H448" t="s">
        <v>821</v>
      </c>
      <c r="I448" t="s">
        <v>148</v>
      </c>
      <c r="J448">
        <v>3400</v>
      </c>
      <c r="K448" t="s">
        <v>94</v>
      </c>
      <c r="L448" t="s">
        <v>37</v>
      </c>
      <c r="M448" t="s">
        <v>38</v>
      </c>
      <c r="N448" t="s">
        <v>140</v>
      </c>
    </row>
    <row r="449" spans="1:14" x14ac:dyDescent="0.2">
      <c r="A449">
        <v>448</v>
      </c>
      <c r="B449">
        <v>10</v>
      </c>
      <c r="C449">
        <v>14</v>
      </c>
      <c r="D449" t="s">
        <v>163</v>
      </c>
      <c r="F449" t="s">
        <v>164</v>
      </c>
      <c r="H449" t="s">
        <v>165</v>
      </c>
      <c r="I449" t="s">
        <v>166</v>
      </c>
      <c r="J449">
        <v>850</v>
      </c>
      <c r="K449" t="s">
        <v>46</v>
      </c>
      <c r="L449" t="s">
        <v>37</v>
      </c>
      <c r="M449" t="s">
        <v>38</v>
      </c>
      <c r="N449" t="s">
        <v>140</v>
      </c>
    </row>
    <row r="450" spans="1:14" x14ac:dyDescent="0.2">
      <c r="A450">
        <v>449</v>
      </c>
      <c r="B450">
        <v>10</v>
      </c>
      <c r="C450">
        <v>15</v>
      </c>
      <c r="D450" t="s">
        <v>136</v>
      </c>
      <c r="F450" t="s">
        <v>145</v>
      </c>
      <c r="G450" t="s">
        <v>580</v>
      </c>
      <c r="H450" t="s">
        <v>828</v>
      </c>
      <c r="I450" t="s">
        <v>148</v>
      </c>
      <c r="J450">
        <v>22300</v>
      </c>
      <c r="K450" t="s">
        <v>94</v>
      </c>
      <c r="L450" t="s">
        <v>37</v>
      </c>
      <c r="M450" t="s">
        <v>38</v>
      </c>
      <c r="N450" t="s">
        <v>140</v>
      </c>
    </row>
    <row r="451" spans="1:14" x14ac:dyDescent="0.2">
      <c r="A451">
        <v>450</v>
      </c>
      <c r="B451">
        <v>10</v>
      </c>
      <c r="C451">
        <v>15</v>
      </c>
      <c r="D451" t="s">
        <v>179</v>
      </c>
      <c r="F451" t="s">
        <v>595</v>
      </c>
      <c r="H451" t="s">
        <v>596</v>
      </c>
      <c r="I451" t="s">
        <v>597</v>
      </c>
      <c r="J451">
        <v>1100</v>
      </c>
      <c r="K451" t="s">
        <v>46</v>
      </c>
      <c r="L451" t="s">
        <v>37</v>
      </c>
      <c r="M451" t="s">
        <v>38</v>
      </c>
      <c r="N451" t="s">
        <v>140</v>
      </c>
    </row>
    <row r="452" spans="1:14" x14ac:dyDescent="0.2">
      <c r="A452">
        <v>451</v>
      </c>
      <c r="B452">
        <v>10</v>
      </c>
      <c r="C452">
        <v>16</v>
      </c>
      <c r="D452" t="s">
        <v>136</v>
      </c>
      <c r="F452" t="s">
        <v>145</v>
      </c>
      <c r="G452" t="s">
        <v>588</v>
      </c>
      <c r="H452" t="s">
        <v>829</v>
      </c>
      <c r="I452" t="s">
        <v>148</v>
      </c>
      <c r="J452">
        <v>2400</v>
      </c>
      <c r="K452" t="s">
        <v>94</v>
      </c>
      <c r="L452" t="s">
        <v>37</v>
      </c>
      <c r="M452" t="s">
        <v>38</v>
      </c>
      <c r="N452" t="s">
        <v>140</v>
      </c>
    </row>
    <row r="453" spans="1:14" x14ac:dyDescent="0.2">
      <c r="A453">
        <v>452</v>
      </c>
      <c r="B453">
        <v>10</v>
      </c>
      <c r="C453">
        <v>16</v>
      </c>
      <c r="D453" t="s">
        <v>187</v>
      </c>
      <c r="F453" t="s">
        <v>188</v>
      </c>
      <c r="H453" t="s">
        <v>189</v>
      </c>
      <c r="I453" t="s">
        <v>190</v>
      </c>
      <c r="J453">
        <v>9100</v>
      </c>
      <c r="K453" t="s">
        <v>46</v>
      </c>
      <c r="L453" t="s">
        <v>37</v>
      </c>
      <c r="M453" t="s">
        <v>38</v>
      </c>
      <c r="N453" t="s">
        <v>140</v>
      </c>
    </row>
    <row r="454" spans="1:14" x14ac:dyDescent="0.2">
      <c r="A454">
        <v>453</v>
      </c>
      <c r="B454">
        <v>10</v>
      </c>
      <c r="C454">
        <v>17</v>
      </c>
      <c r="D454" t="s">
        <v>136</v>
      </c>
      <c r="F454" t="s">
        <v>824</v>
      </c>
      <c r="H454" t="s">
        <v>825</v>
      </c>
      <c r="I454" t="s">
        <v>826</v>
      </c>
      <c r="J454">
        <v>1</v>
      </c>
      <c r="K454" t="s">
        <v>17</v>
      </c>
      <c r="L454" t="s">
        <v>37</v>
      </c>
      <c r="M454" t="s">
        <v>38</v>
      </c>
      <c r="N454" t="s">
        <v>140</v>
      </c>
    </row>
    <row r="455" spans="1:14" x14ac:dyDescent="0.2">
      <c r="A455">
        <v>454</v>
      </c>
      <c r="B455">
        <v>10</v>
      </c>
      <c r="C455">
        <v>17</v>
      </c>
      <c r="D455" t="s">
        <v>187</v>
      </c>
      <c r="F455" t="s">
        <v>830</v>
      </c>
      <c r="H455" t="s">
        <v>831</v>
      </c>
      <c r="I455" t="s">
        <v>832</v>
      </c>
      <c r="J455">
        <v>12900</v>
      </c>
      <c r="K455" t="s">
        <v>94</v>
      </c>
      <c r="L455" t="s">
        <v>37</v>
      </c>
      <c r="M455" t="s">
        <v>38</v>
      </c>
      <c r="N455" t="s">
        <v>140</v>
      </c>
    </row>
    <row r="456" spans="1:14" x14ac:dyDescent="0.2">
      <c r="A456">
        <v>455</v>
      </c>
      <c r="B456">
        <v>10</v>
      </c>
      <c r="C456">
        <v>18</v>
      </c>
      <c r="D456" t="s">
        <v>163</v>
      </c>
      <c r="F456" t="s">
        <v>592</v>
      </c>
      <c r="H456" t="s">
        <v>593</v>
      </c>
      <c r="I456" t="s">
        <v>594</v>
      </c>
      <c r="J456">
        <v>10650</v>
      </c>
      <c r="K456" t="s">
        <v>46</v>
      </c>
      <c r="L456" t="s">
        <v>37</v>
      </c>
      <c r="M456" t="s">
        <v>38</v>
      </c>
      <c r="N456" t="s">
        <v>140</v>
      </c>
    </row>
    <row r="457" spans="1:14" x14ac:dyDescent="0.2">
      <c r="A457">
        <v>456</v>
      </c>
      <c r="B457">
        <v>10</v>
      </c>
      <c r="C457">
        <v>18</v>
      </c>
      <c r="D457" t="s">
        <v>199</v>
      </c>
      <c r="F457" t="s">
        <v>200</v>
      </c>
      <c r="H457" t="s">
        <v>201</v>
      </c>
      <c r="I457" t="s">
        <v>202</v>
      </c>
      <c r="J457">
        <v>2500</v>
      </c>
      <c r="K457" t="s">
        <v>46</v>
      </c>
      <c r="L457" t="s">
        <v>37</v>
      </c>
      <c r="M457" t="s">
        <v>38</v>
      </c>
      <c r="N457" t="s">
        <v>140</v>
      </c>
    </row>
    <row r="458" spans="1:14" x14ac:dyDescent="0.2">
      <c r="A458">
        <v>457</v>
      </c>
      <c r="B458">
        <v>10</v>
      </c>
      <c r="C458">
        <v>19</v>
      </c>
      <c r="D458" t="s">
        <v>163</v>
      </c>
      <c r="F458" t="s">
        <v>164</v>
      </c>
      <c r="H458" t="s">
        <v>165</v>
      </c>
      <c r="I458" t="s">
        <v>166</v>
      </c>
      <c r="J458">
        <v>1000</v>
      </c>
      <c r="K458" t="s">
        <v>46</v>
      </c>
      <c r="L458" t="s">
        <v>37</v>
      </c>
      <c r="M458" t="s">
        <v>38</v>
      </c>
      <c r="N458" t="s">
        <v>140</v>
      </c>
    </row>
    <row r="459" spans="1:14" x14ac:dyDescent="0.2">
      <c r="A459">
        <v>458</v>
      </c>
      <c r="B459">
        <v>10</v>
      </c>
      <c r="C459">
        <v>19</v>
      </c>
      <c r="D459" t="s">
        <v>157</v>
      </c>
      <c r="F459" t="s">
        <v>833</v>
      </c>
      <c r="H459" t="s">
        <v>834</v>
      </c>
      <c r="I459" t="s">
        <v>835</v>
      </c>
      <c r="J459">
        <v>1800</v>
      </c>
      <c r="K459" t="s">
        <v>52</v>
      </c>
      <c r="L459" t="s">
        <v>37</v>
      </c>
      <c r="M459" t="s">
        <v>38</v>
      </c>
      <c r="N459" t="s">
        <v>140</v>
      </c>
    </row>
    <row r="460" spans="1:14" x14ac:dyDescent="0.2">
      <c r="A460">
        <v>459</v>
      </c>
      <c r="B460">
        <v>10</v>
      </c>
      <c r="C460">
        <v>20</v>
      </c>
      <c r="D460" t="s">
        <v>179</v>
      </c>
      <c r="F460" t="s">
        <v>595</v>
      </c>
      <c r="H460" t="s">
        <v>596</v>
      </c>
      <c r="I460" t="s">
        <v>597</v>
      </c>
      <c r="J460">
        <v>1750</v>
      </c>
      <c r="K460" t="s">
        <v>46</v>
      </c>
      <c r="L460" t="s">
        <v>37</v>
      </c>
      <c r="M460" t="s">
        <v>38</v>
      </c>
      <c r="N460" t="s">
        <v>140</v>
      </c>
    </row>
    <row r="461" spans="1:14" x14ac:dyDescent="0.2">
      <c r="A461">
        <v>460</v>
      </c>
      <c r="B461">
        <v>10</v>
      </c>
      <c r="C461">
        <v>20</v>
      </c>
      <c r="D461" t="s">
        <v>167</v>
      </c>
      <c r="F461" t="s">
        <v>836</v>
      </c>
      <c r="H461" t="s">
        <v>837</v>
      </c>
      <c r="I461" t="s">
        <v>838</v>
      </c>
      <c r="J461">
        <v>4600</v>
      </c>
      <c r="K461" t="s">
        <v>52</v>
      </c>
      <c r="L461" t="s">
        <v>37</v>
      </c>
      <c r="M461" t="s">
        <v>38</v>
      </c>
      <c r="N461" t="s">
        <v>140</v>
      </c>
    </row>
    <row r="462" spans="1:14" x14ac:dyDescent="0.2">
      <c r="A462">
        <v>461</v>
      </c>
      <c r="B462">
        <v>10</v>
      </c>
      <c r="C462">
        <v>21</v>
      </c>
      <c r="D462" t="s">
        <v>187</v>
      </c>
      <c r="F462" t="s">
        <v>188</v>
      </c>
      <c r="H462" t="s">
        <v>189</v>
      </c>
      <c r="I462" t="s">
        <v>190</v>
      </c>
      <c r="J462">
        <v>5700</v>
      </c>
      <c r="K462" t="s">
        <v>46</v>
      </c>
      <c r="L462" t="s">
        <v>37</v>
      </c>
      <c r="M462" t="s">
        <v>38</v>
      </c>
      <c r="N462" t="s">
        <v>140</v>
      </c>
    </row>
    <row r="463" spans="1:14" x14ac:dyDescent="0.2">
      <c r="A463">
        <v>462</v>
      </c>
      <c r="B463">
        <v>10</v>
      </c>
      <c r="C463">
        <v>21</v>
      </c>
      <c r="D463" t="s">
        <v>419</v>
      </c>
      <c r="F463" t="s">
        <v>839</v>
      </c>
      <c r="G463" t="s">
        <v>840</v>
      </c>
      <c r="H463" t="s">
        <v>841</v>
      </c>
      <c r="I463" t="s">
        <v>842</v>
      </c>
      <c r="J463">
        <v>1511</v>
      </c>
      <c r="K463" t="s">
        <v>94</v>
      </c>
      <c r="L463" t="s">
        <v>37</v>
      </c>
      <c r="M463" t="s">
        <v>38</v>
      </c>
      <c r="N463" t="s">
        <v>140</v>
      </c>
    </row>
    <row r="464" spans="1:14" x14ac:dyDescent="0.2">
      <c r="A464">
        <v>463</v>
      </c>
      <c r="B464">
        <v>10</v>
      </c>
      <c r="C464">
        <v>22</v>
      </c>
      <c r="D464" t="s">
        <v>187</v>
      </c>
      <c r="F464" t="s">
        <v>830</v>
      </c>
      <c r="H464" t="s">
        <v>831</v>
      </c>
      <c r="I464" t="s">
        <v>832</v>
      </c>
      <c r="J464">
        <v>14400</v>
      </c>
      <c r="K464" t="s">
        <v>94</v>
      </c>
      <c r="L464" t="s">
        <v>37</v>
      </c>
      <c r="M464" t="s">
        <v>38</v>
      </c>
      <c r="N464" t="s">
        <v>140</v>
      </c>
    </row>
    <row r="465" spans="1:14" x14ac:dyDescent="0.2">
      <c r="A465">
        <v>464</v>
      </c>
      <c r="B465">
        <v>10</v>
      </c>
      <c r="C465">
        <v>22</v>
      </c>
      <c r="D465" t="s">
        <v>419</v>
      </c>
      <c r="F465" t="s">
        <v>839</v>
      </c>
      <c r="G465" t="s">
        <v>512</v>
      </c>
      <c r="H465" t="s">
        <v>843</v>
      </c>
      <c r="I465" t="s">
        <v>842</v>
      </c>
      <c r="J465">
        <v>6259</v>
      </c>
      <c r="K465" t="s">
        <v>94</v>
      </c>
      <c r="L465" t="s">
        <v>37</v>
      </c>
      <c r="M465" t="s">
        <v>38</v>
      </c>
      <c r="N465" t="s">
        <v>140</v>
      </c>
    </row>
    <row r="466" spans="1:14" x14ac:dyDescent="0.2">
      <c r="A466">
        <v>465</v>
      </c>
      <c r="B466">
        <v>10</v>
      </c>
      <c r="C466">
        <v>23</v>
      </c>
      <c r="D466" t="s">
        <v>199</v>
      </c>
      <c r="F466" t="s">
        <v>200</v>
      </c>
      <c r="H466" t="s">
        <v>201</v>
      </c>
      <c r="I466" t="s">
        <v>202</v>
      </c>
      <c r="J466">
        <v>2600</v>
      </c>
      <c r="K466" t="s">
        <v>46</v>
      </c>
      <c r="L466" t="s">
        <v>37</v>
      </c>
      <c r="M466" t="s">
        <v>38</v>
      </c>
      <c r="N466" t="s">
        <v>140</v>
      </c>
    </row>
    <row r="467" spans="1:14" x14ac:dyDescent="0.2">
      <c r="A467">
        <v>466</v>
      </c>
      <c r="B467">
        <v>10</v>
      </c>
      <c r="C467">
        <v>23</v>
      </c>
      <c r="D467" t="s">
        <v>419</v>
      </c>
      <c r="F467" t="s">
        <v>839</v>
      </c>
      <c r="G467" t="s">
        <v>443</v>
      </c>
      <c r="H467" t="s">
        <v>844</v>
      </c>
      <c r="I467" t="s">
        <v>842</v>
      </c>
      <c r="J467">
        <v>139</v>
      </c>
      <c r="K467" t="s">
        <v>94</v>
      </c>
      <c r="L467" t="s">
        <v>37</v>
      </c>
      <c r="M467" t="s">
        <v>38</v>
      </c>
      <c r="N467" t="s">
        <v>140</v>
      </c>
    </row>
    <row r="468" spans="1:14" x14ac:dyDescent="0.2">
      <c r="A468">
        <v>467</v>
      </c>
      <c r="B468">
        <v>10</v>
      </c>
      <c r="C468">
        <v>24</v>
      </c>
      <c r="D468" t="s">
        <v>157</v>
      </c>
      <c r="F468" t="s">
        <v>833</v>
      </c>
      <c r="H468" t="s">
        <v>834</v>
      </c>
      <c r="I468" t="s">
        <v>835</v>
      </c>
      <c r="J468">
        <v>7500</v>
      </c>
      <c r="K468" t="s">
        <v>52</v>
      </c>
      <c r="L468" t="s">
        <v>37</v>
      </c>
      <c r="M468" t="s">
        <v>38</v>
      </c>
      <c r="N468" t="s">
        <v>140</v>
      </c>
    </row>
    <row r="469" spans="1:14" x14ac:dyDescent="0.2">
      <c r="A469">
        <v>468</v>
      </c>
      <c r="B469">
        <v>10</v>
      </c>
      <c r="C469">
        <v>24</v>
      </c>
      <c r="D469" t="s">
        <v>174</v>
      </c>
      <c r="F469" t="s">
        <v>845</v>
      </c>
      <c r="H469" t="s">
        <v>846</v>
      </c>
      <c r="I469" t="s">
        <v>847</v>
      </c>
      <c r="J469">
        <v>1800</v>
      </c>
      <c r="K469" t="s">
        <v>178</v>
      </c>
      <c r="L469" t="s">
        <v>37</v>
      </c>
      <c r="M469" t="s">
        <v>38</v>
      </c>
      <c r="N469" t="s">
        <v>140</v>
      </c>
    </row>
    <row r="470" spans="1:14" x14ac:dyDescent="0.2">
      <c r="A470">
        <v>469</v>
      </c>
      <c r="B470">
        <v>10</v>
      </c>
      <c r="C470">
        <v>25</v>
      </c>
      <c r="D470" t="s">
        <v>167</v>
      </c>
      <c r="F470" t="s">
        <v>836</v>
      </c>
      <c r="H470" t="s">
        <v>837</v>
      </c>
      <c r="I470" t="s">
        <v>838</v>
      </c>
      <c r="J470">
        <v>6100</v>
      </c>
      <c r="K470" t="s">
        <v>52</v>
      </c>
      <c r="L470" t="s">
        <v>37</v>
      </c>
      <c r="M470" t="s">
        <v>38</v>
      </c>
      <c r="N470" t="s">
        <v>140</v>
      </c>
    </row>
    <row r="471" spans="1:14" x14ac:dyDescent="0.2">
      <c r="A471">
        <v>470</v>
      </c>
      <c r="B471">
        <v>10</v>
      </c>
      <c r="C471">
        <v>25</v>
      </c>
      <c r="D471" t="s">
        <v>427</v>
      </c>
      <c r="F471" t="s">
        <v>848</v>
      </c>
      <c r="H471" t="s">
        <v>849</v>
      </c>
      <c r="I471" t="s">
        <v>850</v>
      </c>
      <c r="J471">
        <v>6000</v>
      </c>
      <c r="K471" t="s">
        <v>36</v>
      </c>
      <c r="L471" t="s">
        <v>37</v>
      </c>
      <c r="M471" t="s">
        <v>38</v>
      </c>
      <c r="N471" t="s">
        <v>140</v>
      </c>
    </row>
    <row r="472" spans="1:14" x14ac:dyDescent="0.2">
      <c r="A472">
        <v>471</v>
      </c>
      <c r="B472">
        <v>10</v>
      </c>
      <c r="C472">
        <v>26</v>
      </c>
      <c r="D472" t="s">
        <v>423</v>
      </c>
      <c r="F472" t="s">
        <v>851</v>
      </c>
      <c r="H472" t="s">
        <v>852</v>
      </c>
      <c r="I472" t="s">
        <v>853</v>
      </c>
      <c r="J472">
        <v>3600</v>
      </c>
      <c r="K472" t="s">
        <v>178</v>
      </c>
      <c r="L472" t="s">
        <v>37</v>
      </c>
      <c r="M472" t="s">
        <v>38</v>
      </c>
      <c r="N472" t="s">
        <v>140</v>
      </c>
    </row>
    <row r="473" spans="1:14" x14ac:dyDescent="0.2">
      <c r="A473">
        <v>472</v>
      </c>
      <c r="B473">
        <v>10</v>
      </c>
      <c r="C473">
        <v>26</v>
      </c>
      <c r="D473" t="s">
        <v>183</v>
      </c>
      <c r="F473" t="s">
        <v>184</v>
      </c>
      <c r="H473" t="s">
        <v>185</v>
      </c>
      <c r="I473" t="s">
        <v>186</v>
      </c>
      <c r="J473">
        <v>100</v>
      </c>
      <c r="K473" t="s">
        <v>178</v>
      </c>
      <c r="L473" t="s">
        <v>37</v>
      </c>
      <c r="M473" t="s">
        <v>38</v>
      </c>
      <c r="N473" t="s">
        <v>140</v>
      </c>
    </row>
    <row r="474" spans="1:14" x14ac:dyDescent="0.2">
      <c r="A474">
        <v>473</v>
      </c>
      <c r="B474">
        <v>10</v>
      </c>
      <c r="C474">
        <v>27</v>
      </c>
      <c r="D474" t="s">
        <v>174</v>
      </c>
      <c r="F474" t="s">
        <v>845</v>
      </c>
      <c r="H474" t="s">
        <v>846</v>
      </c>
      <c r="I474" t="s">
        <v>847</v>
      </c>
      <c r="J474">
        <v>6750</v>
      </c>
      <c r="K474" t="s">
        <v>178</v>
      </c>
      <c r="L474" t="s">
        <v>37</v>
      </c>
      <c r="M474" t="s">
        <v>38</v>
      </c>
      <c r="N474" t="s">
        <v>140</v>
      </c>
    </row>
    <row r="475" spans="1:14" x14ac:dyDescent="0.2">
      <c r="A475">
        <v>474</v>
      </c>
      <c r="B475">
        <v>10</v>
      </c>
      <c r="C475">
        <v>27</v>
      </c>
      <c r="D475" t="s">
        <v>195</v>
      </c>
      <c r="F475" t="s">
        <v>196</v>
      </c>
      <c r="H475" t="s">
        <v>197</v>
      </c>
      <c r="I475" t="s">
        <v>198</v>
      </c>
      <c r="J475">
        <v>1900</v>
      </c>
      <c r="K475" t="s">
        <v>94</v>
      </c>
      <c r="L475" t="s">
        <v>37</v>
      </c>
      <c r="M475" t="s">
        <v>38</v>
      </c>
      <c r="N475" t="s">
        <v>140</v>
      </c>
    </row>
    <row r="476" spans="1:14" x14ac:dyDescent="0.2">
      <c r="A476">
        <v>475</v>
      </c>
      <c r="B476">
        <v>10</v>
      </c>
      <c r="C476">
        <v>28</v>
      </c>
      <c r="D476" t="s">
        <v>183</v>
      </c>
      <c r="F476" t="s">
        <v>184</v>
      </c>
      <c r="H476" t="s">
        <v>185</v>
      </c>
      <c r="I476" t="s">
        <v>186</v>
      </c>
      <c r="J476">
        <v>82</v>
      </c>
      <c r="K476" t="s">
        <v>178</v>
      </c>
      <c r="L476" t="s">
        <v>37</v>
      </c>
      <c r="M476" t="s">
        <v>38</v>
      </c>
      <c r="N476" t="s">
        <v>140</v>
      </c>
    </row>
    <row r="477" spans="1:14" x14ac:dyDescent="0.2">
      <c r="A477">
        <v>476</v>
      </c>
      <c r="B477">
        <v>10</v>
      </c>
      <c r="C477">
        <v>28</v>
      </c>
      <c r="D477" t="s">
        <v>217</v>
      </c>
      <c r="F477" t="s">
        <v>854</v>
      </c>
      <c r="H477" t="s">
        <v>855</v>
      </c>
      <c r="I477" t="s">
        <v>856</v>
      </c>
      <c r="J477">
        <v>5725</v>
      </c>
      <c r="K477" t="s">
        <v>87</v>
      </c>
      <c r="L477" t="s">
        <v>37</v>
      </c>
      <c r="M477" t="s">
        <v>38</v>
      </c>
      <c r="N477" t="s">
        <v>140</v>
      </c>
    </row>
    <row r="478" spans="1:14" x14ac:dyDescent="0.2">
      <c r="A478">
        <v>477</v>
      </c>
      <c r="B478">
        <v>10</v>
      </c>
      <c r="C478">
        <v>29</v>
      </c>
      <c r="D478" t="s">
        <v>191</v>
      </c>
      <c r="F478" t="s">
        <v>192</v>
      </c>
      <c r="H478" t="s">
        <v>193</v>
      </c>
      <c r="I478" t="s">
        <v>194</v>
      </c>
      <c r="J478">
        <v>45</v>
      </c>
      <c r="K478" t="s">
        <v>178</v>
      </c>
      <c r="L478" t="s">
        <v>37</v>
      </c>
      <c r="M478" t="s">
        <v>38</v>
      </c>
      <c r="N478" t="s">
        <v>140</v>
      </c>
    </row>
    <row r="479" spans="1:14" x14ac:dyDescent="0.2">
      <c r="A479">
        <v>478</v>
      </c>
      <c r="B479">
        <v>10</v>
      </c>
      <c r="C479">
        <v>29</v>
      </c>
      <c r="D479" t="s">
        <v>217</v>
      </c>
      <c r="F479" t="s">
        <v>857</v>
      </c>
      <c r="H479" t="s">
        <v>858</v>
      </c>
      <c r="I479" t="s">
        <v>859</v>
      </c>
      <c r="J479">
        <v>3200</v>
      </c>
      <c r="K479" t="s">
        <v>87</v>
      </c>
      <c r="L479" t="s">
        <v>37</v>
      </c>
      <c r="M479" t="s">
        <v>38</v>
      </c>
      <c r="N479" t="s">
        <v>140</v>
      </c>
    </row>
    <row r="480" spans="1:14" x14ac:dyDescent="0.2">
      <c r="A480">
        <v>479</v>
      </c>
      <c r="B480">
        <v>10</v>
      </c>
      <c r="C480">
        <v>30</v>
      </c>
      <c r="D480" t="s">
        <v>195</v>
      </c>
      <c r="F480" t="s">
        <v>196</v>
      </c>
      <c r="H480" t="s">
        <v>197</v>
      </c>
      <c r="I480" t="s">
        <v>198</v>
      </c>
      <c r="J480">
        <v>2800</v>
      </c>
      <c r="K480" t="s">
        <v>94</v>
      </c>
      <c r="L480" t="s">
        <v>37</v>
      </c>
      <c r="M480" t="s">
        <v>38</v>
      </c>
      <c r="N480" t="s">
        <v>140</v>
      </c>
    </row>
    <row r="481" spans="1:14" x14ac:dyDescent="0.2">
      <c r="A481">
        <v>480</v>
      </c>
      <c r="B481">
        <v>10</v>
      </c>
      <c r="C481">
        <v>30</v>
      </c>
      <c r="D481" t="s">
        <v>217</v>
      </c>
      <c r="F481" t="s">
        <v>860</v>
      </c>
      <c r="H481" t="s">
        <v>861</v>
      </c>
      <c r="I481" t="s">
        <v>862</v>
      </c>
      <c r="J481">
        <v>5725</v>
      </c>
      <c r="K481" t="s">
        <v>87</v>
      </c>
      <c r="L481" t="s">
        <v>37</v>
      </c>
      <c r="M481" t="s">
        <v>38</v>
      </c>
      <c r="N481" t="s">
        <v>140</v>
      </c>
    </row>
    <row r="482" spans="1:14" x14ac:dyDescent="0.2">
      <c r="A482">
        <v>481</v>
      </c>
      <c r="B482">
        <v>10</v>
      </c>
      <c r="C482">
        <v>31</v>
      </c>
      <c r="D482" t="s">
        <v>209</v>
      </c>
      <c r="F482" t="s">
        <v>863</v>
      </c>
      <c r="H482" t="s">
        <v>864</v>
      </c>
      <c r="I482" t="s">
        <v>865</v>
      </c>
      <c r="J482">
        <v>8</v>
      </c>
      <c r="K482" t="s">
        <v>46</v>
      </c>
      <c r="L482" t="s">
        <v>37</v>
      </c>
      <c r="M482" t="s">
        <v>38</v>
      </c>
      <c r="N482" t="s">
        <v>140</v>
      </c>
    </row>
    <row r="483" spans="1:14" x14ac:dyDescent="0.2">
      <c r="A483">
        <v>482</v>
      </c>
      <c r="B483">
        <v>10</v>
      </c>
      <c r="C483">
        <v>31</v>
      </c>
      <c r="D483" t="s">
        <v>217</v>
      </c>
      <c r="F483" t="s">
        <v>221</v>
      </c>
      <c r="H483" t="s">
        <v>222</v>
      </c>
      <c r="I483" t="s">
        <v>223</v>
      </c>
      <c r="J483">
        <v>250</v>
      </c>
      <c r="K483" t="s">
        <v>216</v>
      </c>
      <c r="L483" t="s">
        <v>37</v>
      </c>
      <c r="M483" t="s">
        <v>38</v>
      </c>
      <c r="N483" t="s">
        <v>140</v>
      </c>
    </row>
    <row r="484" spans="1:14" x14ac:dyDescent="0.2">
      <c r="A484">
        <v>483</v>
      </c>
      <c r="B484">
        <v>10</v>
      </c>
      <c r="C484">
        <v>32</v>
      </c>
      <c r="D484" t="s">
        <v>217</v>
      </c>
      <c r="F484" t="s">
        <v>854</v>
      </c>
      <c r="H484" t="s">
        <v>855</v>
      </c>
      <c r="I484" t="s">
        <v>856</v>
      </c>
      <c r="J484">
        <v>5300</v>
      </c>
      <c r="K484" t="s">
        <v>87</v>
      </c>
      <c r="L484" t="s">
        <v>37</v>
      </c>
      <c r="M484" t="s">
        <v>38</v>
      </c>
      <c r="N484" t="s">
        <v>140</v>
      </c>
    </row>
    <row r="485" spans="1:14" x14ac:dyDescent="0.2">
      <c r="A485">
        <v>484</v>
      </c>
      <c r="B485">
        <v>10</v>
      </c>
      <c r="C485">
        <v>32</v>
      </c>
      <c r="D485" t="s">
        <v>217</v>
      </c>
      <c r="F485" t="s">
        <v>866</v>
      </c>
      <c r="H485" t="s">
        <v>867</v>
      </c>
      <c r="I485" t="s">
        <v>868</v>
      </c>
      <c r="J485">
        <v>15725</v>
      </c>
      <c r="K485" t="s">
        <v>87</v>
      </c>
      <c r="L485" t="s">
        <v>37</v>
      </c>
      <c r="M485" t="s">
        <v>38</v>
      </c>
      <c r="N485" t="s">
        <v>140</v>
      </c>
    </row>
    <row r="486" spans="1:14" x14ac:dyDescent="0.2">
      <c r="A486">
        <v>485</v>
      </c>
      <c r="B486">
        <v>10</v>
      </c>
      <c r="C486">
        <v>33</v>
      </c>
      <c r="D486" t="s">
        <v>227</v>
      </c>
      <c r="F486" t="s">
        <v>869</v>
      </c>
      <c r="G486" t="s">
        <v>238</v>
      </c>
      <c r="H486" t="s">
        <v>870</v>
      </c>
      <c r="I486" t="s">
        <v>871</v>
      </c>
      <c r="J486">
        <v>160</v>
      </c>
      <c r="K486" t="s">
        <v>36</v>
      </c>
      <c r="L486" t="s">
        <v>57</v>
      </c>
      <c r="M486" t="s">
        <v>232</v>
      </c>
      <c r="N486" t="s">
        <v>233</v>
      </c>
    </row>
    <row r="487" spans="1:14" x14ac:dyDescent="0.2">
      <c r="A487">
        <v>486</v>
      </c>
      <c r="B487">
        <v>10</v>
      </c>
      <c r="C487">
        <v>33</v>
      </c>
      <c r="D487" t="s">
        <v>217</v>
      </c>
      <c r="F487" t="s">
        <v>860</v>
      </c>
      <c r="H487" t="s">
        <v>861</v>
      </c>
      <c r="I487" t="s">
        <v>862</v>
      </c>
      <c r="J487">
        <v>5300</v>
      </c>
      <c r="K487" t="s">
        <v>87</v>
      </c>
      <c r="L487" t="s">
        <v>37</v>
      </c>
      <c r="M487" t="s">
        <v>38</v>
      </c>
      <c r="N487" t="s">
        <v>140</v>
      </c>
    </row>
    <row r="488" spans="1:14" x14ac:dyDescent="0.2">
      <c r="A488">
        <v>487</v>
      </c>
      <c r="B488">
        <v>10</v>
      </c>
      <c r="C488">
        <v>34</v>
      </c>
      <c r="D488" t="s">
        <v>227</v>
      </c>
      <c r="F488" t="s">
        <v>869</v>
      </c>
      <c r="G488" t="s">
        <v>512</v>
      </c>
      <c r="H488" t="s">
        <v>872</v>
      </c>
      <c r="I488" t="s">
        <v>871</v>
      </c>
      <c r="J488">
        <v>102</v>
      </c>
      <c r="K488" t="s">
        <v>36</v>
      </c>
      <c r="L488" t="s">
        <v>57</v>
      </c>
      <c r="M488" t="s">
        <v>232</v>
      </c>
      <c r="N488" t="s">
        <v>233</v>
      </c>
    </row>
    <row r="489" spans="1:14" x14ac:dyDescent="0.2">
      <c r="A489">
        <v>488</v>
      </c>
      <c r="B489">
        <v>10</v>
      </c>
      <c r="C489">
        <v>34</v>
      </c>
      <c r="D489" t="s">
        <v>217</v>
      </c>
      <c r="F489" t="s">
        <v>221</v>
      </c>
      <c r="H489" t="s">
        <v>222</v>
      </c>
      <c r="I489" t="s">
        <v>223</v>
      </c>
      <c r="J489">
        <v>263</v>
      </c>
      <c r="K489" t="s">
        <v>216</v>
      </c>
      <c r="L489" t="s">
        <v>37</v>
      </c>
      <c r="M489" t="s">
        <v>38</v>
      </c>
      <c r="N489" t="s">
        <v>140</v>
      </c>
    </row>
    <row r="490" spans="1:14" x14ac:dyDescent="0.2">
      <c r="A490">
        <v>489</v>
      </c>
      <c r="B490">
        <v>10</v>
      </c>
      <c r="C490">
        <v>35</v>
      </c>
      <c r="D490" t="s">
        <v>227</v>
      </c>
      <c r="F490" t="s">
        <v>869</v>
      </c>
      <c r="G490" t="s">
        <v>873</v>
      </c>
      <c r="H490" t="s">
        <v>874</v>
      </c>
      <c r="I490" t="s">
        <v>871</v>
      </c>
      <c r="J490">
        <v>925</v>
      </c>
      <c r="K490" t="s">
        <v>36</v>
      </c>
      <c r="L490" t="s">
        <v>57</v>
      </c>
      <c r="M490" t="s">
        <v>232</v>
      </c>
      <c r="N490" t="s">
        <v>233</v>
      </c>
    </row>
    <row r="491" spans="1:14" x14ac:dyDescent="0.2">
      <c r="A491">
        <v>490</v>
      </c>
      <c r="B491">
        <v>10</v>
      </c>
      <c r="C491">
        <v>35</v>
      </c>
      <c r="D491" t="s">
        <v>217</v>
      </c>
      <c r="F491" t="s">
        <v>866</v>
      </c>
      <c r="H491" t="s">
        <v>867</v>
      </c>
      <c r="I491" t="s">
        <v>868</v>
      </c>
      <c r="J491">
        <v>25300</v>
      </c>
      <c r="K491" t="s">
        <v>87</v>
      </c>
      <c r="L491" t="s">
        <v>37</v>
      </c>
      <c r="M491" t="s">
        <v>38</v>
      </c>
      <c r="N491" t="s">
        <v>140</v>
      </c>
    </row>
    <row r="492" spans="1:14" x14ac:dyDescent="0.2">
      <c r="A492">
        <v>491</v>
      </c>
      <c r="B492">
        <v>10</v>
      </c>
      <c r="C492">
        <v>36</v>
      </c>
      <c r="D492" t="s">
        <v>227</v>
      </c>
      <c r="F492" t="s">
        <v>869</v>
      </c>
      <c r="G492" t="s">
        <v>229</v>
      </c>
      <c r="H492" t="s">
        <v>875</v>
      </c>
      <c r="I492" t="s">
        <v>871</v>
      </c>
      <c r="J492">
        <v>46</v>
      </c>
      <c r="K492" t="s">
        <v>36</v>
      </c>
      <c r="L492" t="s">
        <v>57</v>
      </c>
      <c r="M492" t="s">
        <v>232</v>
      </c>
      <c r="N492" t="s">
        <v>233</v>
      </c>
    </row>
    <row r="493" spans="1:14" x14ac:dyDescent="0.2">
      <c r="A493">
        <v>492</v>
      </c>
      <c r="B493">
        <v>10</v>
      </c>
      <c r="C493">
        <v>36</v>
      </c>
      <c r="D493" t="s">
        <v>263</v>
      </c>
      <c r="F493" t="s">
        <v>68</v>
      </c>
      <c r="G493" t="s">
        <v>451</v>
      </c>
      <c r="H493" t="s">
        <v>876</v>
      </c>
      <c r="I493" t="s">
        <v>877</v>
      </c>
      <c r="J493">
        <v>4</v>
      </c>
      <c r="K493" t="s">
        <v>72</v>
      </c>
      <c r="L493" t="s">
        <v>57</v>
      </c>
      <c r="M493" t="s">
        <v>232</v>
      </c>
      <c r="N493" t="s">
        <v>233</v>
      </c>
    </row>
    <row r="494" spans="1:14" x14ac:dyDescent="0.2">
      <c r="A494">
        <v>493</v>
      </c>
      <c r="B494">
        <v>10</v>
      </c>
      <c r="C494">
        <v>37</v>
      </c>
      <c r="D494" t="s">
        <v>227</v>
      </c>
      <c r="F494" t="s">
        <v>869</v>
      </c>
      <c r="G494" t="s">
        <v>238</v>
      </c>
      <c r="H494" t="s">
        <v>870</v>
      </c>
      <c r="I494" t="s">
        <v>871</v>
      </c>
      <c r="J494">
        <v>1328</v>
      </c>
      <c r="K494" t="s">
        <v>36</v>
      </c>
      <c r="L494" t="s">
        <v>57</v>
      </c>
      <c r="M494" t="s">
        <v>232</v>
      </c>
      <c r="N494" t="s">
        <v>233</v>
      </c>
    </row>
    <row r="495" spans="1:14" x14ac:dyDescent="0.2">
      <c r="A495">
        <v>494</v>
      </c>
      <c r="B495">
        <v>10</v>
      </c>
      <c r="C495">
        <v>37</v>
      </c>
      <c r="D495" t="s">
        <v>263</v>
      </c>
      <c r="F495" t="s">
        <v>68</v>
      </c>
      <c r="G495" t="s">
        <v>65</v>
      </c>
      <c r="H495" t="s">
        <v>878</v>
      </c>
      <c r="I495" t="s">
        <v>877</v>
      </c>
      <c r="J495">
        <v>1</v>
      </c>
      <c r="K495" t="s">
        <v>72</v>
      </c>
      <c r="L495" t="s">
        <v>57</v>
      </c>
      <c r="M495" t="s">
        <v>232</v>
      </c>
      <c r="N495" t="s">
        <v>233</v>
      </c>
    </row>
    <row r="496" spans="1:14" x14ac:dyDescent="0.2">
      <c r="A496">
        <v>495</v>
      </c>
      <c r="B496">
        <v>10</v>
      </c>
      <c r="C496">
        <v>38</v>
      </c>
      <c r="D496" t="s">
        <v>227</v>
      </c>
      <c r="F496" t="s">
        <v>869</v>
      </c>
      <c r="G496" t="s">
        <v>512</v>
      </c>
      <c r="H496" t="s">
        <v>872</v>
      </c>
      <c r="I496" t="s">
        <v>871</v>
      </c>
      <c r="J496">
        <v>251</v>
      </c>
      <c r="K496" t="s">
        <v>36</v>
      </c>
      <c r="L496" t="s">
        <v>57</v>
      </c>
      <c r="M496" t="s">
        <v>232</v>
      </c>
      <c r="N496" t="s">
        <v>233</v>
      </c>
    </row>
    <row r="497" spans="1:14" x14ac:dyDescent="0.2">
      <c r="A497">
        <v>496</v>
      </c>
      <c r="B497">
        <v>10</v>
      </c>
      <c r="C497">
        <v>38</v>
      </c>
      <c r="D497" t="s">
        <v>263</v>
      </c>
      <c r="F497" t="s">
        <v>623</v>
      </c>
      <c r="H497" t="s">
        <v>624</v>
      </c>
      <c r="I497" t="s">
        <v>625</v>
      </c>
      <c r="J497">
        <v>2</v>
      </c>
      <c r="K497" t="s">
        <v>72</v>
      </c>
      <c r="L497" t="s">
        <v>57</v>
      </c>
      <c r="M497" t="s">
        <v>232</v>
      </c>
      <c r="N497" t="s">
        <v>233</v>
      </c>
    </row>
    <row r="498" spans="1:14" x14ac:dyDescent="0.2">
      <c r="A498">
        <v>497</v>
      </c>
      <c r="B498">
        <v>10</v>
      </c>
      <c r="C498">
        <v>39</v>
      </c>
      <c r="D498">
        <v>312300</v>
      </c>
      <c r="F498" t="s">
        <v>314</v>
      </c>
      <c r="H498" t="s">
        <v>315</v>
      </c>
      <c r="I498" t="s">
        <v>316</v>
      </c>
      <c r="J498">
        <v>4</v>
      </c>
      <c r="K498" t="s">
        <v>72</v>
      </c>
      <c r="L498" t="s">
        <v>57</v>
      </c>
      <c r="M498" t="s">
        <v>232</v>
      </c>
      <c r="N498" t="s">
        <v>233</v>
      </c>
    </row>
    <row r="499" spans="1:14" x14ac:dyDescent="0.2">
      <c r="A499">
        <v>498</v>
      </c>
      <c r="B499">
        <v>10</v>
      </c>
      <c r="C499">
        <v>39</v>
      </c>
      <c r="D499" t="s">
        <v>227</v>
      </c>
      <c r="F499" t="s">
        <v>869</v>
      </c>
      <c r="G499" t="s">
        <v>443</v>
      </c>
      <c r="H499" t="s">
        <v>879</v>
      </c>
      <c r="I499" t="s">
        <v>871</v>
      </c>
      <c r="J499">
        <v>36</v>
      </c>
      <c r="K499" t="s">
        <v>36</v>
      </c>
      <c r="L499" t="s">
        <v>57</v>
      </c>
      <c r="M499" t="s">
        <v>232</v>
      </c>
      <c r="N499" t="s">
        <v>233</v>
      </c>
    </row>
    <row r="500" spans="1:14" x14ac:dyDescent="0.2">
      <c r="A500">
        <v>499</v>
      </c>
      <c r="B500">
        <v>10</v>
      </c>
      <c r="C500">
        <v>40</v>
      </c>
      <c r="D500">
        <v>312300</v>
      </c>
      <c r="F500" t="s">
        <v>459</v>
      </c>
      <c r="H500" t="s">
        <v>460</v>
      </c>
      <c r="I500" t="s">
        <v>461</v>
      </c>
      <c r="J500">
        <v>2</v>
      </c>
      <c r="K500" t="s">
        <v>72</v>
      </c>
      <c r="L500" t="s">
        <v>57</v>
      </c>
      <c r="M500" t="s">
        <v>232</v>
      </c>
      <c r="N500" t="s">
        <v>233</v>
      </c>
    </row>
    <row r="501" spans="1:14" x14ac:dyDescent="0.2">
      <c r="A501">
        <v>500</v>
      </c>
      <c r="B501">
        <v>10</v>
      </c>
      <c r="C501">
        <v>40</v>
      </c>
      <c r="D501" t="s">
        <v>227</v>
      </c>
      <c r="F501" t="s">
        <v>869</v>
      </c>
      <c r="G501" t="s">
        <v>258</v>
      </c>
      <c r="H501" t="s">
        <v>880</v>
      </c>
      <c r="I501" t="s">
        <v>871</v>
      </c>
      <c r="J501">
        <v>2286</v>
      </c>
      <c r="K501" t="s">
        <v>36</v>
      </c>
      <c r="L501" t="s">
        <v>57</v>
      </c>
      <c r="M501" t="s">
        <v>232</v>
      </c>
      <c r="N501" t="s">
        <v>233</v>
      </c>
    </row>
    <row r="502" spans="1:14" x14ac:dyDescent="0.2">
      <c r="A502">
        <v>501</v>
      </c>
      <c r="B502">
        <v>10</v>
      </c>
      <c r="C502">
        <v>41</v>
      </c>
      <c r="D502">
        <v>312300</v>
      </c>
      <c r="F502" t="s">
        <v>881</v>
      </c>
      <c r="H502" t="s">
        <v>882</v>
      </c>
      <c r="I502" t="s">
        <v>883</v>
      </c>
      <c r="J502">
        <v>1</v>
      </c>
      <c r="K502" t="s">
        <v>72</v>
      </c>
      <c r="L502" t="s">
        <v>57</v>
      </c>
      <c r="M502" t="s">
        <v>232</v>
      </c>
      <c r="N502" t="s">
        <v>233</v>
      </c>
    </row>
    <row r="503" spans="1:14" x14ac:dyDescent="0.2">
      <c r="A503">
        <v>502</v>
      </c>
      <c r="B503">
        <v>10</v>
      </c>
      <c r="C503">
        <v>41</v>
      </c>
      <c r="D503" t="s">
        <v>227</v>
      </c>
      <c r="F503" t="s">
        <v>869</v>
      </c>
      <c r="G503" t="s">
        <v>351</v>
      </c>
      <c r="H503" t="s">
        <v>884</v>
      </c>
      <c r="I503" t="s">
        <v>871</v>
      </c>
      <c r="J503">
        <v>299</v>
      </c>
      <c r="K503" t="s">
        <v>36</v>
      </c>
      <c r="L503" t="s">
        <v>57</v>
      </c>
      <c r="M503" t="s">
        <v>232</v>
      </c>
      <c r="N503" t="s">
        <v>233</v>
      </c>
    </row>
    <row r="504" spans="1:14" x14ac:dyDescent="0.2">
      <c r="A504">
        <v>503</v>
      </c>
      <c r="B504">
        <v>10</v>
      </c>
      <c r="C504">
        <v>42</v>
      </c>
      <c r="D504">
        <v>260500</v>
      </c>
      <c r="F504" t="s">
        <v>291</v>
      </c>
      <c r="H504" t="s">
        <v>292</v>
      </c>
      <c r="I504" t="s">
        <v>293</v>
      </c>
      <c r="J504">
        <v>1</v>
      </c>
      <c r="K504" t="s">
        <v>17</v>
      </c>
      <c r="L504" t="s">
        <v>244</v>
      </c>
      <c r="M504" t="s">
        <v>294</v>
      </c>
      <c r="N504" t="s">
        <v>295</v>
      </c>
    </row>
    <row r="505" spans="1:14" x14ac:dyDescent="0.2">
      <c r="A505">
        <v>504</v>
      </c>
      <c r="B505">
        <v>10</v>
      </c>
      <c r="C505">
        <v>42</v>
      </c>
      <c r="D505" t="s">
        <v>263</v>
      </c>
      <c r="F505" t="s">
        <v>68</v>
      </c>
      <c r="G505" t="s">
        <v>247</v>
      </c>
      <c r="H505" t="s">
        <v>885</v>
      </c>
      <c r="I505" t="s">
        <v>877</v>
      </c>
      <c r="J505">
        <v>7</v>
      </c>
      <c r="K505" t="s">
        <v>72</v>
      </c>
      <c r="L505" t="s">
        <v>57</v>
      </c>
      <c r="M505" t="s">
        <v>232</v>
      </c>
      <c r="N505" t="s">
        <v>233</v>
      </c>
    </row>
    <row r="506" spans="1:14" x14ac:dyDescent="0.2">
      <c r="A506">
        <v>505</v>
      </c>
      <c r="B506">
        <v>10</v>
      </c>
      <c r="C506">
        <v>43</v>
      </c>
      <c r="D506" t="s">
        <v>263</v>
      </c>
      <c r="F506" t="s">
        <v>68</v>
      </c>
      <c r="G506" t="s">
        <v>451</v>
      </c>
      <c r="H506" t="s">
        <v>876</v>
      </c>
      <c r="I506" t="s">
        <v>877</v>
      </c>
      <c r="J506">
        <v>2</v>
      </c>
      <c r="K506" t="s">
        <v>72</v>
      </c>
      <c r="L506" t="s">
        <v>57</v>
      </c>
      <c r="M506" t="s">
        <v>232</v>
      </c>
      <c r="N506" t="s">
        <v>233</v>
      </c>
    </row>
    <row r="507" spans="1:14" x14ac:dyDescent="0.2">
      <c r="A507">
        <v>506</v>
      </c>
      <c r="B507">
        <v>10</v>
      </c>
      <c r="C507">
        <v>43</v>
      </c>
      <c r="D507" t="s">
        <v>136</v>
      </c>
      <c r="F507" t="s">
        <v>141</v>
      </c>
      <c r="G507" t="s">
        <v>582</v>
      </c>
      <c r="H507" t="s">
        <v>886</v>
      </c>
      <c r="I507" t="s">
        <v>144</v>
      </c>
      <c r="J507">
        <v>1350</v>
      </c>
      <c r="K507" t="s">
        <v>94</v>
      </c>
      <c r="L507" t="s">
        <v>37</v>
      </c>
      <c r="M507" t="s">
        <v>38</v>
      </c>
      <c r="N507" t="s">
        <v>140</v>
      </c>
    </row>
    <row r="508" spans="1:14" x14ac:dyDescent="0.2">
      <c r="A508">
        <v>507</v>
      </c>
      <c r="B508">
        <v>10</v>
      </c>
      <c r="C508">
        <v>44</v>
      </c>
      <c r="D508" t="s">
        <v>263</v>
      </c>
      <c r="F508" t="s">
        <v>623</v>
      </c>
      <c r="H508" t="s">
        <v>624</v>
      </c>
      <c r="I508" t="s">
        <v>625</v>
      </c>
      <c r="J508">
        <v>12</v>
      </c>
      <c r="K508" t="s">
        <v>72</v>
      </c>
      <c r="L508" t="s">
        <v>57</v>
      </c>
      <c r="M508" t="s">
        <v>232</v>
      </c>
      <c r="N508" t="s">
        <v>233</v>
      </c>
    </row>
    <row r="509" spans="1:14" x14ac:dyDescent="0.2">
      <c r="A509">
        <v>508</v>
      </c>
      <c r="B509">
        <v>10</v>
      </c>
      <c r="C509">
        <v>45</v>
      </c>
      <c r="D509" t="s">
        <v>302</v>
      </c>
      <c r="F509" t="s">
        <v>303</v>
      </c>
      <c r="H509" t="s">
        <v>304</v>
      </c>
      <c r="I509" t="s">
        <v>305</v>
      </c>
      <c r="J509">
        <v>6</v>
      </c>
      <c r="K509" t="s">
        <v>133</v>
      </c>
      <c r="L509" t="s">
        <v>25</v>
      </c>
      <c r="M509" t="s">
        <v>26</v>
      </c>
      <c r="N509" t="s">
        <v>306</v>
      </c>
    </row>
    <row r="510" spans="1:14" x14ac:dyDescent="0.2">
      <c r="A510">
        <v>509</v>
      </c>
      <c r="B510">
        <v>10</v>
      </c>
      <c r="C510">
        <v>46</v>
      </c>
      <c r="D510" t="s">
        <v>455</v>
      </c>
      <c r="F510" t="s">
        <v>887</v>
      </c>
      <c r="H510" t="s">
        <v>888</v>
      </c>
      <c r="I510" t="s">
        <v>889</v>
      </c>
      <c r="J510">
        <v>1700</v>
      </c>
      <c r="K510" t="s">
        <v>46</v>
      </c>
      <c r="L510" t="s">
        <v>25</v>
      </c>
      <c r="M510" t="s">
        <v>26</v>
      </c>
      <c r="N510" t="s">
        <v>306</v>
      </c>
    </row>
    <row r="511" spans="1:14" x14ac:dyDescent="0.2">
      <c r="A511">
        <v>510</v>
      </c>
      <c r="B511">
        <v>10</v>
      </c>
      <c r="C511">
        <v>47</v>
      </c>
      <c r="D511">
        <v>312300</v>
      </c>
      <c r="F511" t="s">
        <v>314</v>
      </c>
      <c r="H511" t="s">
        <v>315</v>
      </c>
      <c r="I511" t="s">
        <v>316</v>
      </c>
      <c r="J511">
        <v>6</v>
      </c>
      <c r="K511" t="s">
        <v>72</v>
      </c>
      <c r="L511" t="s">
        <v>57</v>
      </c>
      <c r="M511" t="s">
        <v>232</v>
      </c>
      <c r="N511" t="s">
        <v>233</v>
      </c>
    </row>
    <row r="512" spans="1:14" x14ac:dyDescent="0.2">
      <c r="A512">
        <v>511</v>
      </c>
      <c r="B512">
        <v>10</v>
      </c>
      <c r="C512">
        <v>48</v>
      </c>
      <c r="D512">
        <v>312300</v>
      </c>
      <c r="F512" t="s">
        <v>890</v>
      </c>
      <c r="H512" t="s">
        <v>891</v>
      </c>
      <c r="I512" t="s">
        <v>892</v>
      </c>
      <c r="J512">
        <v>9</v>
      </c>
      <c r="K512" t="s">
        <v>72</v>
      </c>
      <c r="L512" t="s">
        <v>57</v>
      </c>
      <c r="M512" t="s">
        <v>232</v>
      </c>
      <c r="N512" t="s">
        <v>233</v>
      </c>
    </row>
    <row r="513" spans="1:14" x14ac:dyDescent="0.2">
      <c r="A513">
        <v>512</v>
      </c>
      <c r="B513">
        <v>10</v>
      </c>
      <c r="C513">
        <v>49</v>
      </c>
      <c r="D513">
        <v>312300</v>
      </c>
      <c r="F513" t="s">
        <v>459</v>
      </c>
      <c r="H513" t="s">
        <v>460</v>
      </c>
      <c r="I513" t="s">
        <v>461</v>
      </c>
      <c r="J513">
        <v>2</v>
      </c>
      <c r="K513" t="s">
        <v>72</v>
      </c>
      <c r="L513" t="s">
        <v>57</v>
      </c>
      <c r="M513" t="s">
        <v>232</v>
      </c>
      <c r="N513" t="s">
        <v>233</v>
      </c>
    </row>
    <row r="514" spans="1:14" x14ac:dyDescent="0.2">
      <c r="A514">
        <v>513</v>
      </c>
      <c r="B514">
        <v>10</v>
      </c>
      <c r="C514">
        <v>50</v>
      </c>
      <c r="D514">
        <v>312300</v>
      </c>
      <c r="F514" t="s">
        <v>893</v>
      </c>
      <c r="H514" t="s">
        <v>894</v>
      </c>
      <c r="I514" t="s">
        <v>895</v>
      </c>
      <c r="J514">
        <v>2</v>
      </c>
      <c r="K514" t="s">
        <v>72</v>
      </c>
      <c r="L514" t="s">
        <v>57</v>
      </c>
      <c r="M514" t="s">
        <v>232</v>
      </c>
      <c r="N514" t="s">
        <v>233</v>
      </c>
    </row>
    <row r="515" spans="1:14" x14ac:dyDescent="0.2">
      <c r="A515">
        <v>514</v>
      </c>
      <c r="B515">
        <v>10</v>
      </c>
      <c r="C515">
        <v>51</v>
      </c>
      <c r="D515" t="s">
        <v>240</v>
      </c>
      <c r="F515" t="s">
        <v>896</v>
      </c>
      <c r="H515" t="s">
        <v>897</v>
      </c>
      <c r="I515" t="s">
        <v>898</v>
      </c>
      <c r="J515">
        <v>450</v>
      </c>
      <c r="K515" t="s">
        <v>36</v>
      </c>
      <c r="L515" t="s">
        <v>244</v>
      </c>
      <c r="M515" t="s">
        <v>245</v>
      </c>
      <c r="N515" t="s">
        <v>246</v>
      </c>
    </row>
    <row r="516" spans="1:14" x14ac:dyDescent="0.2">
      <c r="A516">
        <v>515</v>
      </c>
      <c r="B516">
        <v>10</v>
      </c>
      <c r="C516">
        <v>52</v>
      </c>
      <c r="D516" t="s">
        <v>240</v>
      </c>
      <c r="F516" t="s">
        <v>899</v>
      </c>
      <c r="G516" t="s">
        <v>900</v>
      </c>
      <c r="H516" t="s">
        <v>901</v>
      </c>
      <c r="I516" t="s">
        <v>902</v>
      </c>
      <c r="J516">
        <v>1350</v>
      </c>
      <c r="K516" t="s">
        <v>36</v>
      </c>
      <c r="L516" t="s">
        <v>244</v>
      </c>
      <c r="M516" t="s">
        <v>245</v>
      </c>
      <c r="N516" t="s">
        <v>246</v>
      </c>
    </row>
    <row r="517" spans="1:14" x14ac:dyDescent="0.2">
      <c r="A517">
        <v>516</v>
      </c>
      <c r="B517">
        <v>10</v>
      </c>
      <c r="C517">
        <v>53</v>
      </c>
      <c r="D517" t="s">
        <v>240</v>
      </c>
      <c r="F517" t="s">
        <v>632</v>
      </c>
      <c r="H517" t="s">
        <v>633</v>
      </c>
      <c r="I517" t="s">
        <v>634</v>
      </c>
      <c r="J517">
        <v>8000</v>
      </c>
      <c r="K517" t="s">
        <v>36</v>
      </c>
      <c r="L517" t="s">
        <v>244</v>
      </c>
      <c r="M517" t="s">
        <v>245</v>
      </c>
      <c r="N517" t="s">
        <v>246</v>
      </c>
    </row>
    <row r="518" spans="1:14" x14ac:dyDescent="0.2">
      <c r="A518">
        <v>517</v>
      </c>
      <c r="B518">
        <v>10</v>
      </c>
      <c r="C518">
        <v>54</v>
      </c>
      <c r="D518" t="s">
        <v>240</v>
      </c>
      <c r="F518" t="s">
        <v>635</v>
      </c>
      <c r="H518" t="s">
        <v>636</v>
      </c>
      <c r="I518" t="s">
        <v>637</v>
      </c>
      <c r="J518">
        <v>2000</v>
      </c>
      <c r="K518" t="s">
        <v>36</v>
      </c>
      <c r="L518" t="s">
        <v>244</v>
      </c>
      <c r="M518" t="s">
        <v>245</v>
      </c>
      <c r="N518" t="s">
        <v>246</v>
      </c>
    </row>
    <row r="519" spans="1:14" x14ac:dyDescent="0.2">
      <c r="A519">
        <v>518</v>
      </c>
      <c r="B519">
        <v>10</v>
      </c>
      <c r="C519">
        <v>55</v>
      </c>
      <c r="D519" t="s">
        <v>240</v>
      </c>
      <c r="F519" t="s">
        <v>638</v>
      </c>
      <c r="G519" t="s">
        <v>639</v>
      </c>
      <c r="H519" t="s">
        <v>640</v>
      </c>
      <c r="I519" t="s">
        <v>641</v>
      </c>
      <c r="J519">
        <v>8</v>
      </c>
      <c r="K519" t="s">
        <v>72</v>
      </c>
      <c r="L519" t="s">
        <v>244</v>
      </c>
      <c r="M519" t="s">
        <v>245</v>
      </c>
      <c r="N519" t="s">
        <v>246</v>
      </c>
    </row>
    <row r="520" spans="1:14" x14ac:dyDescent="0.2">
      <c r="A520">
        <v>519</v>
      </c>
      <c r="B520">
        <v>10</v>
      </c>
      <c r="C520">
        <v>56</v>
      </c>
      <c r="D520" t="s">
        <v>267</v>
      </c>
      <c r="F520" t="s">
        <v>903</v>
      </c>
      <c r="G520" t="s">
        <v>276</v>
      </c>
      <c r="H520" t="s">
        <v>904</v>
      </c>
      <c r="I520" t="s">
        <v>905</v>
      </c>
      <c r="J520">
        <v>1700</v>
      </c>
      <c r="K520" t="s">
        <v>36</v>
      </c>
      <c r="L520" t="s">
        <v>244</v>
      </c>
      <c r="M520" t="s">
        <v>245</v>
      </c>
      <c r="N520" t="s">
        <v>246</v>
      </c>
    </row>
    <row r="521" spans="1:14" x14ac:dyDescent="0.2">
      <c r="A521">
        <v>520</v>
      </c>
      <c r="B521">
        <v>10</v>
      </c>
      <c r="C521">
        <v>57</v>
      </c>
      <c r="D521" t="s">
        <v>267</v>
      </c>
      <c r="F521" t="s">
        <v>906</v>
      </c>
      <c r="G521" t="s">
        <v>276</v>
      </c>
      <c r="H521" t="s">
        <v>907</v>
      </c>
      <c r="I521" t="s">
        <v>908</v>
      </c>
      <c r="J521">
        <v>230</v>
      </c>
      <c r="K521" t="s">
        <v>36</v>
      </c>
      <c r="L521" t="s">
        <v>244</v>
      </c>
      <c r="M521" t="s">
        <v>245</v>
      </c>
      <c r="N521" t="s">
        <v>246</v>
      </c>
    </row>
    <row r="522" spans="1:14" x14ac:dyDescent="0.2">
      <c r="A522">
        <v>521</v>
      </c>
      <c r="B522">
        <v>10</v>
      </c>
      <c r="C522">
        <v>58</v>
      </c>
      <c r="D522" t="s">
        <v>267</v>
      </c>
      <c r="F522" t="s">
        <v>645</v>
      </c>
      <c r="G522" t="s">
        <v>269</v>
      </c>
      <c r="H522" t="s">
        <v>909</v>
      </c>
      <c r="I522" t="s">
        <v>647</v>
      </c>
      <c r="J522">
        <v>75</v>
      </c>
      <c r="K522" t="s">
        <v>36</v>
      </c>
      <c r="L522" t="s">
        <v>244</v>
      </c>
      <c r="M522" t="s">
        <v>245</v>
      </c>
      <c r="N522" t="s">
        <v>246</v>
      </c>
    </row>
    <row r="523" spans="1:14" x14ac:dyDescent="0.2">
      <c r="A523">
        <v>522</v>
      </c>
      <c r="B523">
        <v>10</v>
      </c>
      <c r="C523">
        <v>59</v>
      </c>
      <c r="D523">
        <v>260500</v>
      </c>
      <c r="F523" t="s">
        <v>291</v>
      </c>
      <c r="H523" t="s">
        <v>292</v>
      </c>
      <c r="I523" t="s">
        <v>293</v>
      </c>
      <c r="J523">
        <v>1</v>
      </c>
      <c r="K523" t="s">
        <v>17</v>
      </c>
      <c r="L523" t="s">
        <v>244</v>
      </c>
      <c r="M523" t="s">
        <v>294</v>
      </c>
      <c r="N523" t="s">
        <v>295</v>
      </c>
    </row>
    <row r="524" spans="1:14" x14ac:dyDescent="0.2">
      <c r="A524">
        <v>523</v>
      </c>
      <c r="B524">
        <v>10</v>
      </c>
      <c r="C524">
        <v>60</v>
      </c>
      <c r="D524">
        <v>260500</v>
      </c>
      <c r="F524" t="s">
        <v>299</v>
      </c>
      <c r="H524" t="s">
        <v>300</v>
      </c>
      <c r="I524" t="s">
        <v>301</v>
      </c>
      <c r="J524">
        <v>1</v>
      </c>
      <c r="K524" t="s">
        <v>17</v>
      </c>
      <c r="L524" t="s">
        <v>244</v>
      </c>
      <c r="M524" t="s">
        <v>294</v>
      </c>
      <c r="N524" t="s">
        <v>295</v>
      </c>
    </row>
    <row r="525" spans="1:14" x14ac:dyDescent="0.2">
      <c r="A525">
        <v>524</v>
      </c>
      <c r="B525">
        <v>10</v>
      </c>
      <c r="C525">
        <v>61</v>
      </c>
      <c r="D525">
        <v>344300</v>
      </c>
      <c r="F525" t="s">
        <v>910</v>
      </c>
      <c r="H525" t="s">
        <v>911</v>
      </c>
      <c r="I525" t="s">
        <v>912</v>
      </c>
      <c r="J525">
        <v>22</v>
      </c>
      <c r="K525" t="s">
        <v>72</v>
      </c>
      <c r="L525" t="s">
        <v>244</v>
      </c>
      <c r="M525" t="s">
        <v>245</v>
      </c>
      <c r="N525" t="s">
        <v>246</v>
      </c>
    </row>
    <row r="526" spans="1:14" x14ac:dyDescent="0.2">
      <c r="A526">
        <v>525</v>
      </c>
      <c r="B526">
        <v>10</v>
      </c>
      <c r="C526">
        <v>62</v>
      </c>
      <c r="D526">
        <v>344300</v>
      </c>
      <c r="F526" t="s">
        <v>913</v>
      </c>
      <c r="H526" t="s">
        <v>914</v>
      </c>
      <c r="I526" t="s">
        <v>915</v>
      </c>
      <c r="J526">
        <v>6</v>
      </c>
      <c r="K526" t="s">
        <v>72</v>
      </c>
      <c r="L526" t="s">
        <v>244</v>
      </c>
      <c r="M526" t="s">
        <v>245</v>
      </c>
      <c r="N526" t="s">
        <v>246</v>
      </c>
    </row>
    <row r="527" spans="1:14" x14ac:dyDescent="0.2">
      <c r="A527">
        <v>526</v>
      </c>
      <c r="B527">
        <v>10</v>
      </c>
      <c r="C527">
        <v>63</v>
      </c>
      <c r="D527">
        <v>344300</v>
      </c>
      <c r="F527" t="s">
        <v>916</v>
      </c>
      <c r="H527" t="s">
        <v>917</v>
      </c>
      <c r="I527" t="s">
        <v>918</v>
      </c>
      <c r="J527">
        <v>3</v>
      </c>
      <c r="K527" t="s">
        <v>72</v>
      </c>
      <c r="L527" t="s">
        <v>244</v>
      </c>
      <c r="M527" t="s">
        <v>245</v>
      </c>
      <c r="N527" t="s">
        <v>246</v>
      </c>
    </row>
    <row r="528" spans="1:14" x14ac:dyDescent="0.2">
      <c r="A528">
        <v>527</v>
      </c>
      <c r="B528">
        <v>10</v>
      </c>
      <c r="C528">
        <v>64</v>
      </c>
      <c r="D528">
        <v>344300</v>
      </c>
      <c r="F528" t="s">
        <v>341</v>
      </c>
      <c r="H528" t="s">
        <v>342</v>
      </c>
      <c r="I528" t="s">
        <v>343</v>
      </c>
      <c r="J528">
        <v>2</v>
      </c>
      <c r="K528" t="s">
        <v>72</v>
      </c>
      <c r="L528" t="s">
        <v>244</v>
      </c>
      <c r="M528" t="s">
        <v>245</v>
      </c>
      <c r="N528" t="s">
        <v>246</v>
      </c>
    </row>
    <row r="529" spans="1:14" x14ac:dyDescent="0.2">
      <c r="A529">
        <v>528</v>
      </c>
      <c r="B529">
        <v>10</v>
      </c>
      <c r="C529">
        <v>65</v>
      </c>
      <c r="D529">
        <v>344301</v>
      </c>
      <c r="F529" t="s">
        <v>919</v>
      </c>
      <c r="H529" t="s">
        <v>920</v>
      </c>
      <c r="I529" t="s">
        <v>921</v>
      </c>
      <c r="J529">
        <v>24</v>
      </c>
      <c r="K529" t="s">
        <v>72</v>
      </c>
      <c r="L529" t="s">
        <v>244</v>
      </c>
      <c r="M529" t="s">
        <v>245</v>
      </c>
      <c r="N529" t="s">
        <v>246</v>
      </c>
    </row>
    <row r="530" spans="1:14" x14ac:dyDescent="0.2">
      <c r="A530">
        <v>529</v>
      </c>
      <c r="B530">
        <v>10</v>
      </c>
      <c r="C530">
        <v>66</v>
      </c>
      <c r="D530">
        <v>344302</v>
      </c>
      <c r="F530" t="s">
        <v>922</v>
      </c>
      <c r="H530" t="s">
        <v>923</v>
      </c>
      <c r="I530" t="s">
        <v>924</v>
      </c>
      <c r="J530">
        <v>1</v>
      </c>
      <c r="K530" t="s">
        <v>17</v>
      </c>
      <c r="L530" t="s">
        <v>244</v>
      </c>
      <c r="M530" t="s">
        <v>362</v>
      </c>
      <c r="N530" t="s">
        <v>363</v>
      </c>
    </row>
    <row r="531" spans="1:14" x14ac:dyDescent="0.2">
      <c r="A531">
        <v>530</v>
      </c>
      <c r="B531">
        <v>11</v>
      </c>
      <c r="C531">
        <v>1</v>
      </c>
      <c r="D531">
        <v>12200</v>
      </c>
      <c r="F531" t="s">
        <v>105</v>
      </c>
      <c r="H531" t="s">
        <v>106</v>
      </c>
      <c r="I531" t="s">
        <v>107</v>
      </c>
      <c r="J531">
        <v>1</v>
      </c>
      <c r="K531" t="s">
        <v>17</v>
      </c>
      <c r="L531" t="s">
        <v>18</v>
      </c>
      <c r="M531" t="s">
        <v>19</v>
      </c>
      <c r="N531" t="s">
        <v>108</v>
      </c>
    </row>
    <row r="532" spans="1:14" x14ac:dyDescent="0.2">
      <c r="A532">
        <v>531</v>
      </c>
      <c r="B532">
        <v>11</v>
      </c>
      <c r="C532">
        <v>2</v>
      </c>
      <c r="D532">
        <v>12200</v>
      </c>
      <c r="F532" t="s">
        <v>109</v>
      </c>
      <c r="H532" t="s">
        <v>110</v>
      </c>
      <c r="I532" t="s">
        <v>111</v>
      </c>
      <c r="J532">
        <v>1</v>
      </c>
      <c r="K532" t="s">
        <v>17</v>
      </c>
      <c r="L532" t="s">
        <v>18</v>
      </c>
      <c r="M532" t="s">
        <v>19</v>
      </c>
      <c r="N532" t="s">
        <v>108</v>
      </c>
    </row>
    <row r="533" spans="1:14" x14ac:dyDescent="0.2">
      <c r="A533">
        <v>532</v>
      </c>
      <c r="B533">
        <v>11</v>
      </c>
      <c r="C533">
        <v>3</v>
      </c>
      <c r="D533">
        <v>12200</v>
      </c>
      <c r="F533" t="s">
        <v>112</v>
      </c>
      <c r="H533" t="s">
        <v>113</v>
      </c>
      <c r="I533" t="s">
        <v>114</v>
      </c>
      <c r="J533">
        <v>1</v>
      </c>
      <c r="K533" t="s">
        <v>17</v>
      </c>
      <c r="L533" t="s">
        <v>18</v>
      </c>
      <c r="M533" t="s">
        <v>19</v>
      </c>
      <c r="N533" t="s">
        <v>108</v>
      </c>
    </row>
    <row r="534" spans="1:14" x14ac:dyDescent="0.2">
      <c r="A534">
        <v>533</v>
      </c>
      <c r="B534">
        <v>11</v>
      </c>
      <c r="C534">
        <v>4</v>
      </c>
      <c r="D534">
        <v>12200</v>
      </c>
      <c r="F534" t="s">
        <v>115</v>
      </c>
      <c r="H534" t="s">
        <v>116</v>
      </c>
      <c r="I534" t="s">
        <v>117</v>
      </c>
      <c r="J534">
        <v>1</v>
      </c>
      <c r="K534" t="s">
        <v>17</v>
      </c>
      <c r="L534" t="s">
        <v>18</v>
      </c>
      <c r="M534" t="s">
        <v>19</v>
      </c>
      <c r="N534" t="s">
        <v>108</v>
      </c>
    </row>
    <row r="535" spans="1:14" x14ac:dyDescent="0.2">
      <c r="A535">
        <v>534</v>
      </c>
      <c r="B535">
        <v>11</v>
      </c>
      <c r="C535">
        <v>5</v>
      </c>
      <c r="D535">
        <v>12200</v>
      </c>
      <c r="F535" t="s">
        <v>118</v>
      </c>
      <c r="H535" t="s">
        <v>119</v>
      </c>
      <c r="I535" t="s">
        <v>120</v>
      </c>
      <c r="J535">
        <v>1</v>
      </c>
      <c r="K535" t="s">
        <v>17</v>
      </c>
      <c r="L535" t="s">
        <v>18</v>
      </c>
      <c r="M535" t="s">
        <v>19</v>
      </c>
      <c r="N535" t="s">
        <v>108</v>
      </c>
    </row>
    <row r="536" spans="1:14" x14ac:dyDescent="0.2">
      <c r="A536">
        <v>535</v>
      </c>
      <c r="B536">
        <v>11</v>
      </c>
      <c r="C536">
        <v>6</v>
      </c>
      <c r="D536">
        <v>12200</v>
      </c>
      <c r="F536" t="s">
        <v>483</v>
      </c>
      <c r="H536" t="s">
        <v>925</v>
      </c>
      <c r="I536" t="s">
        <v>926</v>
      </c>
      <c r="J536">
        <v>1</v>
      </c>
      <c r="K536" t="s">
        <v>17</v>
      </c>
      <c r="L536" t="s">
        <v>18</v>
      </c>
      <c r="M536" t="s">
        <v>19</v>
      </c>
      <c r="N536" t="s">
        <v>108</v>
      </c>
    </row>
    <row r="537" spans="1:14" x14ac:dyDescent="0.2">
      <c r="A537">
        <v>536</v>
      </c>
      <c r="B537">
        <v>11</v>
      </c>
      <c r="C537">
        <v>7</v>
      </c>
      <c r="D537">
        <v>12200</v>
      </c>
      <c r="F537" t="s">
        <v>927</v>
      </c>
      <c r="H537" t="s">
        <v>928</v>
      </c>
      <c r="I537" t="s">
        <v>929</v>
      </c>
      <c r="J537">
        <v>1</v>
      </c>
      <c r="K537" t="s">
        <v>72</v>
      </c>
      <c r="L537" t="s">
        <v>18</v>
      </c>
      <c r="M537" t="s">
        <v>19</v>
      </c>
      <c r="N537" t="s">
        <v>108</v>
      </c>
    </row>
    <row r="538" spans="1:14" x14ac:dyDescent="0.2">
      <c r="A538">
        <v>537</v>
      </c>
      <c r="B538">
        <v>11</v>
      </c>
      <c r="C538">
        <v>8</v>
      </c>
      <c r="D538">
        <v>15713</v>
      </c>
      <c r="F538" t="s">
        <v>127</v>
      </c>
      <c r="H538" t="s">
        <v>128</v>
      </c>
      <c r="I538" t="s">
        <v>129</v>
      </c>
      <c r="J538">
        <v>36</v>
      </c>
      <c r="K538" t="s">
        <v>72</v>
      </c>
      <c r="L538" t="s">
        <v>18</v>
      </c>
      <c r="M538" t="s">
        <v>19</v>
      </c>
      <c r="N538" t="s">
        <v>108</v>
      </c>
    </row>
    <row r="539" spans="1:14" x14ac:dyDescent="0.2">
      <c r="A539">
        <v>538</v>
      </c>
      <c r="B539">
        <v>11</v>
      </c>
      <c r="C539">
        <v>9</v>
      </c>
      <c r="D539">
        <v>15713</v>
      </c>
      <c r="F539" t="s">
        <v>930</v>
      </c>
      <c r="H539" t="s">
        <v>931</v>
      </c>
      <c r="I539" t="s">
        <v>932</v>
      </c>
      <c r="J539">
        <v>975</v>
      </c>
      <c r="K539" t="s">
        <v>36</v>
      </c>
      <c r="L539" t="s">
        <v>18</v>
      </c>
      <c r="M539" t="s">
        <v>19</v>
      </c>
      <c r="N539" t="s">
        <v>108</v>
      </c>
    </row>
    <row r="540" spans="1:14" x14ac:dyDescent="0.2">
      <c r="A540">
        <v>539</v>
      </c>
      <c r="B540">
        <v>11</v>
      </c>
      <c r="C540">
        <v>10</v>
      </c>
      <c r="D540">
        <v>15713</v>
      </c>
      <c r="F540" t="s">
        <v>485</v>
      </c>
      <c r="H540" t="s">
        <v>933</v>
      </c>
      <c r="I540" t="s">
        <v>934</v>
      </c>
      <c r="J540">
        <v>4655</v>
      </c>
      <c r="K540" t="s">
        <v>36</v>
      </c>
      <c r="L540" t="s">
        <v>18</v>
      </c>
      <c r="M540" t="s">
        <v>19</v>
      </c>
      <c r="N540" t="s">
        <v>108</v>
      </c>
    </row>
    <row r="541" spans="1:14" x14ac:dyDescent="0.2">
      <c r="A541">
        <v>540</v>
      </c>
      <c r="B541">
        <v>11</v>
      </c>
      <c r="C541">
        <v>11</v>
      </c>
      <c r="D541">
        <v>24113</v>
      </c>
      <c r="F541" t="s">
        <v>935</v>
      </c>
      <c r="H541" t="s">
        <v>936</v>
      </c>
      <c r="I541" t="s">
        <v>937</v>
      </c>
      <c r="J541">
        <v>1</v>
      </c>
      <c r="K541" t="s">
        <v>17</v>
      </c>
      <c r="L541" t="s">
        <v>30</v>
      </c>
      <c r="M541" t="s">
        <v>30</v>
      </c>
      <c r="N541" t="s">
        <v>288</v>
      </c>
    </row>
    <row r="542" spans="1:14" x14ac:dyDescent="0.2">
      <c r="A542">
        <v>541</v>
      </c>
      <c r="B542">
        <v>11</v>
      </c>
      <c r="C542">
        <v>12</v>
      </c>
      <c r="D542">
        <v>24113</v>
      </c>
      <c r="F542" t="s">
        <v>938</v>
      </c>
      <c r="H542" t="s">
        <v>939</v>
      </c>
      <c r="I542" t="s">
        <v>940</v>
      </c>
      <c r="J542">
        <v>1</v>
      </c>
      <c r="K542" t="s">
        <v>17</v>
      </c>
      <c r="L542" t="s">
        <v>30</v>
      </c>
      <c r="M542" t="s">
        <v>30</v>
      </c>
      <c r="N542" t="s">
        <v>288</v>
      </c>
    </row>
    <row r="543" spans="1:14" x14ac:dyDescent="0.2">
      <c r="A543">
        <v>542</v>
      </c>
      <c r="B543">
        <v>11</v>
      </c>
      <c r="C543">
        <v>13</v>
      </c>
      <c r="D543">
        <v>24113</v>
      </c>
      <c r="F543" t="s">
        <v>941</v>
      </c>
      <c r="H543" t="s">
        <v>942</v>
      </c>
      <c r="I543" t="s">
        <v>943</v>
      </c>
      <c r="J543">
        <v>1</v>
      </c>
      <c r="K543" t="s">
        <v>17</v>
      </c>
      <c r="L543" t="s">
        <v>30</v>
      </c>
      <c r="M543" t="s">
        <v>30</v>
      </c>
      <c r="N543" t="s">
        <v>288</v>
      </c>
    </row>
    <row r="544" spans="1:14" x14ac:dyDescent="0.2">
      <c r="A544">
        <v>543</v>
      </c>
      <c r="B544">
        <v>11</v>
      </c>
      <c r="C544">
        <v>14</v>
      </c>
      <c r="D544">
        <v>24113</v>
      </c>
      <c r="F544" t="s">
        <v>944</v>
      </c>
      <c r="H544" t="s">
        <v>945</v>
      </c>
      <c r="I544" t="s">
        <v>946</v>
      </c>
      <c r="J544">
        <v>1</v>
      </c>
      <c r="K544" t="s">
        <v>17</v>
      </c>
      <c r="L544" t="s">
        <v>30</v>
      </c>
      <c r="M544" t="s">
        <v>30</v>
      </c>
      <c r="N544" t="s">
        <v>288</v>
      </c>
    </row>
    <row r="545" spans="1:14" x14ac:dyDescent="0.2">
      <c r="A545">
        <v>544</v>
      </c>
      <c r="B545">
        <v>11</v>
      </c>
      <c r="C545">
        <v>15</v>
      </c>
      <c r="D545">
        <v>24113</v>
      </c>
      <c r="F545" t="s">
        <v>947</v>
      </c>
      <c r="H545" t="s">
        <v>948</v>
      </c>
      <c r="I545" t="s">
        <v>949</v>
      </c>
      <c r="J545">
        <v>4290</v>
      </c>
      <c r="K545" t="s">
        <v>36</v>
      </c>
      <c r="L545" t="s">
        <v>30</v>
      </c>
      <c r="M545" t="s">
        <v>30</v>
      </c>
      <c r="N545" t="s">
        <v>288</v>
      </c>
    </row>
    <row r="546" spans="1:14" x14ac:dyDescent="0.2">
      <c r="A546">
        <v>545</v>
      </c>
      <c r="B546">
        <v>11</v>
      </c>
      <c r="C546">
        <v>16</v>
      </c>
      <c r="D546">
        <v>26100</v>
      </c>
      <c r="F546" t="s">
        <v>285</v>
      </c>
      <c r="H546" t="s">
        <v>286</v>
      </c>
      <c r="I546" t="s">
        <v>287</v>
      </c>
      <c r="J546">
        <v>250</v>
      </c>
      <c r="K546" t="s">
        <v>52</v>
      </c>
      <c r="L546" t="s">
        <v>30</v>
      </c>
      <c r="M546" t="s">
        <v>30</v>
      </c>
      <c r="N546" t="s">
        <v>288</v>
      </c>
    </row>
    <row r="547" spans="1:14" x14ac:dyDescent="0.2">
      <c r="A547">
        <v>546</v>
      </c>
      <c r="B547">
        <v>11</v>
      </c>
      <c r="C547">
        <v>17</v>
      </c>
      <c r="D547" t="s">
        <v>136</v>
      </c>
      <c r="F547" t="s">
        <v>389</v>
      </c>
      <c r="G547" t="s">
        <v>590</v>
      </c>
      <c r="H547" t="s">
        <v>810</v>
      </c>
      <c r="I547" t="s">
        <v>392</v>
      </c>
      <c r="J547">
        <v>440</v>
      </c>
      <c r="K547" t="s">
        <v>94</v>
      </c>
      <c r="L547" t="s">
        <v>37</v>
      </c>
      <c r="M547" t="s">
        <v>38</v>
      </c>
      <c r="N547" t="s">
        <v>140</v>
      </c>
    </row>
    <row r="548" spans="1:14" x14ac:dyDescent="0.2">
      <c r="A548">
        <v>547</v>
      </c>
      <c r="B548">
        <v>11</v>
      </c>
      <c r="C548">
        <v>18</v>
      </c>
      <c r="D548" t="s">
        <v>136</v>
      </c>
      <c r="F548" t="s">
        <v>141</v>
      </c>
      <c r="G548" t="s">
        <v>142</v>
      </c>
      <c r="H548" t="s">
        <v>143</v>
      </c>
      <c r="I548" t="s">
        <v>144</v>
      </c>
      <c r="J548">
        <v>8177</v>
      </c>
      <c r="K548" t="s">
        <v>94</v>
      </c>
      <c r="L548" t="s">
        <v>37</v>
      </c>
      <c r="M548" t="s">
        <v>38</v>
      </c>
      <c r="N548" t="s">
        <v>140</v>
      </c>
    </row>
    <row r="549" spans="1:14" x14ac:dyDescent="0.2">
      <c r="A549">
        <v>548</v>
      </c>
      <c r="B549">
        <v>11</v>
      </c>
      <c r="C549">
        <v>19</v>
      </c>
      <c r="D549" t="s">
        <v>136</v>
      </c>
      <c r="F549" t="s">
        <v>141</v>
      </c>
      <c r="G549" t="s">
        <v>580</v>
      </c>
      <c r="H549" t="s">
        <v>820</v>
      </c>
      <c r="I549" t="s">
        <v>144</v>
      </c>
      <c r="J549">
        <v>11899</v>
      </c>
      <c r="K549" t="s">
        <v>94</v>
      </c>
      <c r="L549" t="s">
        <v>37</v>
      </c>
      <c r="M549" t="s">
        <v>38</v>
      </c>
      <c r="N549" t="s">
        <v>140</v>
      </c>
    </row>
    <row r="550" spans="1:14" x14ac:dyDescent="0.2">
      <c r="A550">
        <v>549</v>
      </c>
      <c r="B550">
        <v>11</v>
      </c>
      <c r="C550">
        <v>20</v>
      </c>
      <c r="D550" t="s">
        <v>136</v>
      </c>
      <c r="F550" t="s">
        <v>141</v>
      </c>
      <c r="G550" t="s">
        <v>950</v>
      </c>
      <c r="H550" t="s">
        <v>951</v>
      </c>
      <c r="I550" t="s">
        <v>144</v>
      </c>
      <c r="J550">
        <v>3087</v>
      </c>
      <c r="K550" t="s">
        <v>94</v>
      </c>
      <c r="L550" t="s">
        <v>37</v>
      </c>
      <c r="M550" t="s">
        <v>38</v>
      </c>
      <c r="N550" t="s">
        <v>140</v>
      </c>
    </row>
    <row r="551" spans="1:14" x14ac:dyDescent="0.2">
      <c r="A551">
        <v>550</v>
      </c>
      <c r="B551">
        <v>11</v>
      </c>
      <c r="C551">
        <v>21</v>
      </c>
      <c r="D551" t="s">
        <v>136</v>
      </c>
      <c r="F551" t="s">
        <v>141</v>
      </c>
      <c r="G551" t="s">
        <v>149</v>
      </c>
      <c r="H551" t="s">
        <v>150</v>
      </c>
      <c r="I551" t="s">
        <v>144</v>
      </c>
      <c r="J551">
        <v>203</v>
      </c>
      <c r="K551" t="s">
        <v>94</v>
      </c>
      <c r="L551" t="s">
        <v>37</v>
      </c>
      <c r="M551" t="s">
        <v>38</v>
      </c>
      <c r="N551" t="s">
        <v>140</v>
      </c>
    </row>
    <row r="552" spans="1:14" x14ac:dyDescent="0.2">
      <c r="A552">
        <v>551</v>
      </c>
      <c r="B552">
        <v>11</v>
      </c>
      <c r="C552">
        <v>22</v>
      </c>
      <c r="D552" t="s">
        <v>136</v>
      </c>
      <c r="F552" t="s">
        <v>952</v>
      </c>
      <c r="H552" t="s">
        <v>953</v>
      </c>
      <c r="I552" t="s">
        <v>954</v>
      </c>
      <c r="J552">
        <v>1</v>
      </c>
      <c r="K552" t="s">
        <v>17</v>
      </c>
      <c r="L552" t="s">
        <v>37</v>
      </c>
      <c r="M552" t="s">
        <v>38</v>
      </c>
      <c r="N552" t="s">
        <v>140</v>
      </c>
    </row>
    <row r="553" spans="1:14" x14ac:dyDescent="0.2">
      <c r="A553">
        <v>552</v>
      </c>
      <c r="B553">
        <v>11</v>
      </c>
      <c r="C553">
        <v>23</v>
      </c>
      <c r="D553" t="s">
        <v>163</v>
      </c>
      <c r="F553" t="s">
        <v>592</v>
      </c>
      <c r="H553" t="s">
        <v>593</v>
      </c>
      <c r="I553" t="s">
        <v>594</v>
      </c>
      <c r="J553">
        <v>36522</v>
      </c>
      <c r="K553" t="s">
        <v>46</v>
      </c>
      <c r="L553" t="s">
        <v>37</v>
      </c>
      <c r="M553" t="s">
        <v>38</v>
      </c>
      <c r="N553" t="s">
        <v>140</v>
      </c>
    </row>
    <row r="554" spans="1:14" x14ac:dyDescent="0.2">
      <c r="A554">
        <v>553</v>
      </c>
      <c r="B554">
        <v>11</v>
      </c>
      <c r="C554">
        <v>24</v>
      </c>
      <c r="D554" t="s">
        <v>163</v>
      </c>
      <c r="F554" t="s">
        <v>164</v>
      </c>
      <c r="H554" t="s">
        <v>165</v>
      </c>
      <c r="I554" t="s">
        <v>166</v>
      </c>
      <c r="J554">
        <v>1157</v>
      </c>
      <c r="K554" t="s">
        <v>46</v>
      </c>
      <c r="L554" t="s">
        <v>37</v>
      </c>
      <c r="M554" t="s">
        <v>38</v>
      </c>
      <c r="N554" t="s">
        <v>140</v>
      </c>
    </row>
    <row r="555" spans="1:14" x14ac:dyDescent="0.2">
      <c r="A555">
        <v>554</v>
      </c>
      <c r="B555">
        <v>11</v>
      </c>
      <c r="C555">
        <v>25</v>
      </c>
      <c r="D555" t="s">
        <v>163</v>
      </c>
      <c r="F555" t="s">
        <v>830</v>
      </c>
      <c r="H555" t="s">
        <v>955</v>
      </c>
      <c r="I555" t="s">
        <v>956</v>
      </c>
      <c r="J555">
        <v>34818</v>
      </c>
      <c r="K555" t="s">
        <v>94</v>
      </c>
      <c r="L555" t="s">
        <v>37</v>
      </c>
      <c r="M555" t="s">
        <v>38</v>
      </c>
      <c r="N555" t="s">
        <v>140</v>
      </c>
    </row>
    <row r="556" spans="1:14" x14ac:dyDescent="0.2">
      <c r="A556">
        <v>555</v>
      </c>
      <c r="B556">
        <v>11</v>
      </c>
      <c r="C556">
        <v>26</v>
      </c>
      <c r="D556" t="s">
        <v>179</v>
      </c>
      <c r="F556" t="s">
        <v>957</v>
      </c>
      <c r="H556" t="s">
        <v>958</v>
      </c>
      <c r="I556" t="s">
        <v>959</v>
      </c>
      <c r="J556">
        <v>200</v>
      </c>
      <c r="K556" t="s">
        <v>46</v>
      </c>
      <c r="L556" t="s">
        <v>37</v>
      </c>
      <c r="M556" t="s">
        <v>38</v>
      </c>
      <c r="N556" t="s">
        <v>140</v>
      </c>
    </row>
    <row r="557" spans="1:14" x14ac:dyDescent="0.2">
      <c r="A557">
        <v>556</v>
      </c>
      <c r="B557">
        <v>11</v>
      </c>
      <c r="C557">
        <v>27</v>
      </c>
      <c r="D557" t="s">
        <v>199</v>
      </c>
      <c r="F557" t="s">
        <v>200</v>
      </c>
      <c r="H557" t="s">
        <v>201</v>
      </c>
      <c r="I557" t="s">
        <v>202</v>
      </c>
      <c r="J557">
        <v>6395</v>
      </c>
      <c r="K557" t="s">
        <v>46</v>
      </c>
      <c r="L557" t="s">
        <v>37</v>
      </c>
      <c r="M557" t="s">
        <v>38</v>
      </c>
      <c r="N557" t="s">
        <v>140</v>
      </c>
    </row>
    <row r="558" spans="1:14" x14ac:dyDescent="0.2">
      <c r="A558">
        <v>557</v>
      </c>
      <c r="B558">
        <v>11</v>
      </c>
      <c r="C558">
        <v>28</v>
      </c>
      <c r="D558" t="s">
        <v>157</v>
      </c>
      <c r="F558" t="s">
        <v>833</v>
      </c>
      <c r="H558" t="s">
        <v>834</v>
      </c>
      <c r="I558" t="s">
        <v>835</v>
      </c>
      <c r="J558">
        <v>877</v>
      </c>
      <c r="K558" t="s">
        <v>52</v>
      </c>
      <c r="L558" t="s">
        <v>37</v>
      </c>
      <c r="M558" t="s">
        <v>38</v>
      </c>
      <c r="N558" t="s">
        <v>140</v>
      </c>
    </row>
    <row r="559" spans="1:14" x14ac:dyDescent="0.2">
      <c r="A559">
        <v>558</v>
      </c>
      <c r="B559">
        <v>11</v>
      </c>
      <c r="C559">
        <v>29</v>
      </c>
      <c r="D559" t="s">
        <v>167</v>
      </c>
      <c r="F559" t="s">
        <v>960</v>
      </c>
      <c r="H559" t="s">
        <v>961</v>
      </c>
      <c r="I559" t="s">
        <v>962</v>
      </c>
      <c r="J559">
        <v>9975</v>
      </c>
      <c r="K559" t="s">
        <v>52</v>
      </c>
      <c r="L559" t="s">
        <v>37</v>
      </c>
      <c r="M559" t="s">
        <v>38</v>
      </c>
      <c r="N559" t="s">
        <v>140</v>
      </c>
    </row>
    <row r="560" spans="1:14" x14ac:dyDescent="0.2">
      <c r="A560">
        <v>559</v>
      </c>
      <c r="B560">
        <v>11</v>
      </c>
      <c r="C560">
        <v>30</v>
      </c>
      <c r="D560" t="s">
        <v>419</v>
      </c>
      <c r="F560" t="s">
        <v>839</v>
      </c>
      <c r="G560" t="s">
        <v>512</v>
      </c>
      <c r="H560" t="s">
        <v>843</v>
      </c>
      <c r="I560" t="s">
        <v>842</v>
      </c>
      <c r="J560">
        <v>440</v>
      </c>
      <c r="K560" t="s">
        <v>94</v>
      </c>
      <c r="L560" t="s">
        <v>37</v>
      </c>
      <c r="M560" t="s">
        <v>38</v>
      </c>
      <c r="N560" t="s">
        <v>140</v>
      </c>
    </row>
    <row r="561" spans="1:14" x14ac:dyDescent="0.2">
      <c r="A561">
        <v>560</v>
      </c>
      <c r="B561">
        <v>11</v>
      </c>
      <c r="C561">
        <v>31</v>
      </c>
      <c r="D561" t="s">
        <v>419</v>
      </c>
      <c r="F561" t="s">
        <v>839</v>
      </c>
      <c r="G561" t="s">
        <v>963</v>
      </c>
      <c r="H561" t="s">
        <v>964</v>
      </c>
      <c r="I561" t="s">
        <v>842</v>
      </c>
      <c r="J561">
        <v>30790</v>
      </c>
      <c r="K561" t="s">
        <v>94</v>
      </c>
      <c r="L561" t="s">
        <v>37</v>
      </c>
      <c r="M561" t="s">
        <v>38</v>
      </c>
      <c r="N561" t="s">
        <v>140</v>
      </c>
    </row>
    <row r="562" spans="1:14" x14ac:dyDescent="0.2">
      <c r="A562">
        <v>561</v>
      </c>
      <c r="B562">
        <v>11</v>
      </c>
      <c r="C562">
        <v>32</v>
      </c>
      <c r="D562" t="s">
        <v>174</v>
      </c>
      <c r="F562" t="s">
        <v>845</v>
      </c>
      <c r="H562" t="s">
        <v>846</v>
      </c>
      <c r="I562" t="s">
        <v>847</v>
      </c>
      <c r="J562">
        <v>2794</v>
      </c>
      <c r="K562" t="s">
        <v>178</v>
      </c>
      <c r="L562" t="s">
        <v>37</v>
      </c>
      <c r="M562" t="s">
        <v>38</v>
      </c>
      <c r="N562" t="s">
        <v>140</v>
      </c>
    </row>
    <row r="563" spans="1:14" x14ac:dyDescent="0.2">
      <c r="A563">
        <v>562</v>
      </c>
      <c r="B563">
        <v>11</v>
      </c>
      <c r="C563">
        <v>33</v>
      </c>
      <c r="D563" t="s">
        <v>427</v>
      </c>
      <c r="F563" t="s">
        <v>848</v>
      </c>
      <c r="H563" t="s">
        <v>849</v>
      </c>
      <c r="I563" t="s">
        <v>850</v>
      </c>
      <c r="J563">
        <v>28932</v>
      </c>
      <c r="K563" t="s">
        <v>36</v>
      </c>
      <c r="L563" t="s">
        <v>37</v>
      </c>
      <c r="M563" t="s">
        <v>38</v>
      </c>
      <c r="N563" t="s">
        <v>140</v>
      </c>
    </row>
    <row r="564" spans="1:14" x14ac:dyDescent="0.2">
      <c r="A564">
        <v>563</v>
      </c>
      <c r="B564">
        <v>11</v>
      </c>
      <c r="C564">
        <v>34</v>
      </c>
      <c r="D564" t="s">
        <v>183</v>
      </c>
      <c r="F564" t="s">
        <v>184</v>
      </c>
      <c r="H564" t="s">
        <v>185</v>
      </c>
      <c r="I564" t="s">
        <v>186</v>
      </c>
      <c r="J564">
        <v>12</v>
      </c>
      <c r="K564" t="s">
        <v>178</v>
      </c>
      <c r="L564" t="s">
        <v>37</v>
      </c>
      <c r="M564" t="s">
        <v>38</v>
      </c>
      <c r="N564" t="s">
        <v>140</v>
      </c>
    </row>
    <row r="565" spans="1:14" x14ac:dyDescent="0.2">
      <c r="A565">
        <v>564</v>
      </c>
      <c r="B565">
        <v>11</v>
      </c>
      <c r="C565">
        <v>35</v>
      </c>
      <c r="D565" t="s">
        <v>195</v>
      </c>
      <c r="F565" t="s">
        <v>196</v>
      </c>
      <c r="H565" t="s">
        <v>197</v>
      </c>
      <c r="I565" t="s">
        <v>198</v>
      </c>
      <c r="J565">
        <v>106</v>
      </c>
      <c r="K565" t="s">
        <v>94</v>
      </c>
      <c r="L565" t="s">
        <v>37</v>
      </c>
      <c r="M565" t="s">
        <v>38</v>
      </c>
      <c r="N565" t="s">
        <v>140</v>
      </c>
    </row>
    <row r="566" spans="1:14" x14ac:dyDescent="0.2">
      <c r="A566">
        <v>565</v>
      </c>
      <c r="B566">
        <v>11</v>
      </c>
      <c r="C566">
        <v>36</v>
      </c>
      <c r="D566" t="s">
        <v>217</v>
      </c>
      <c r="F566" t="s">
        <v>965</v>
      </c>
      <c r="H566" t="s">
        <v>966</v>
      </c>
      <c r="I566" t="s">
        <v>967</v>
      </c>
      <c r="J566">
        <v>14035</v>
      </c>
      <c r="K566" t="s">
        <v>87</v>
      </c>
      <c r="L566" t="s">
        <v>37</v>
      </c>
      <c r="M566" t="s">
        <v>38</v>
      </c>
      <c r="N566" t="s">
        <v>140</v>
      </c>
    </row>
    <row r="567" spans="1:14" x14ac:dyDescent="0.2">
      <c r="A567">
        <v>566</v>
      </c>
      <c r="B567">
        <v>11</v>
      </c>
      <c r="C567">
        <v>37</v>
      </c>
      <c r="D567" t="s">
        <v>217</v>
      </c>
      <c r="F567" t="s">
        <v>857</v>
      </c>
      <c r="H567" t="s">
        <v>858</v>
      </c>
      <c r="I567" t="s">
        <v>859</v>
      </c>
      <c r="J567">
        <v>5702</v>
      </c>
      <c r="K567" t="s">
        <v>87</v>
      </c>
      <c r="L567" t="s">
        <v>37</v>
      </c>
      <c r="M567" t="s">
        <v>38</v>
      </c>
      <c r="N567" t="s">
        <v>140</v>
      </c>
    </row>
    <row r="568" spans="1:14" x14ac:dyDescent="0.2">
      <c r="A568">
        <v>567</v>
      </c>
      <c r="B568">
        <v>11</v>
      </c>
      <c r="C568">
        <v>38</v>
      </c>
      <c r="D568" t="s">
        <v>217</v>
      </c>
      <c r="F568" t="s">
        <v>860</v>
      </c>
      <c r="H568" t="s">
        <v>861</v>
      </c>
      <c r="I568" t="s">
        <v>862</v>
      </c>
      <c r="J568">
        <v>14035</v>
      </c>
      <c r="K568" t="s">
        <v>87</v>
      </c>
      <c r="L568" t="s">
        <v>37</v>
      </c>
      <c r="M568" t="s">
        <v>38</v>
      </c>
      <c r="N568" t="s">
        <v>140</v>
      </c>
    </row>
    <row r="569" spans="1:14" x14ac:dyDescent="0.2">
      <c r="A569">
        <v>568</v>
      </c>
      <c r="B569">
        <v>11</v>
      </c>
      <c r="C569">
        <v>39</v>
      </c>
      <c r="D569" t="s">
        <v>217</v>
      </c>
      <c r="F569" t="s">
        <v>221</v>
      </c>
      <c r="H569" t="s">
        <v>222</v>
      </c>
      <c r="I569" t="s">
        <v>223</v>
      </c>
      <c r="J569">
        <v>347</v>
      </c>
      <c r="K569" t="s">
        <v>216</v>
      </c>
      <c r="L569" t="s">
        <v>37</v>
      </c>
      <c r="M569" t="s">
        <v>38</v>
      </c>
      <c r="N569" t="s">
        <v>140</v>
      </c>
    </row>
    <row r="570" spans="1:14" x14ac:dyDescent="0.2">
      <c r="A570">
        <v>569</v>
      </c>
      <c r="B570">
        <v>11</v>
      </c>
      <c r="C570">
        <v>40</v>
      </c>
      <c r="D570" t="s">
        <v>217</v>
      </c>
      <c r="F570" t="s">
        <v>968</v>
      </c>
      <c r="H570" t="s">
        <v>969</v>
      </c>
      <c r="I570" t="s">
        <v>970</v>
      </c>
      <c r="J570">
        <v>14830</v>
      </c>
      <c r="K570" t="s">
        <v>87</v>
      </c>
      <c r="L570" t="s">
        <v>37</v>
      </c>
      <c r="M570" t="s">
        <v>38</v>
      </c>
      <c r="N570" t="s">
        <v>140</v>
      </c>
    </row>
    <row r="571" spans="1:14" x14ac:dyDescent="0.2">
      <c r="A571">
        <v>570</v>
      </c>
      <c r="B571">
        <v>11</v>
      </c>
      <c r="C571">
        <v>41</v>
      </c>
      <c r="D571" t="s">
        <v>227</v>
      </c>
      <c r="F571" t="s">
        <v>869</v>
      </c>
      <c r="G571" t="s">
        <v>229</v>
      </c>
      <c r="H571" t="s">
        <v>875</v>
      </c>
      <c r="I571" t="s">
        <v>871</v>
      </c>
      <c r="J571">
        <v>132</v>
      </c>
      <c r="K571" t="s">
        <v>36</v>
      </c>
      <c r="L571" t="s">
        <v>57</v>
      </c>
      <c r="M571" t="s">
        <v>232</v>
      </c>
      <c r="N571" t="s">
        <v>233</v>
      </c>
    </row>
    <row r="572" spans="1:14" x14ac:dyDescent="0.2">
      <c r="A572">
        <v>571</v>
      </c>
      <c r="B572">
        <v>11</v>
      </c>
      <c r="C572">
        <v>42</v>
      </c>
      <c r="D572" t="s">
        <v>227</v>
      </c>
      <c r="F572" t="s">
        <v>869</v>
      </c>
      <c r="G572" t="s">
        <v>238</v>
      </c>
      <c r="H572" t="s">
        <v>870</v>
      </c>
      <c r="I572" t="s">
        <v>871</v>
      </c>
      <c r="J572">
        <v>224</v>
      </c>
      <c r="K572" t="s">
        <v>36</v>
      </c>
      <c r="L572" t="s">
        <v>57</v>
      </c>
      <c r="M572" t="s">
        <v>232</v>
      </c>
      <c r="N572" t="s">
        <v>233</v>
      </c>
    </row>
    <row r="573" spans="1:14" x14ac:dyDescent="0.2">
      <c r="A573">
        <v>572</v>
      </c>
      <c r="B573">
        <v>11</v>
      </c>
      <c r="C573">
        <v>43</v>
      </c>
      <c r="D573" t="s">
        <v>227</v>
      </c>
      <c r="F573" t="s">
        <v>869</v>
      </c>
      <c r="G573" t="s">
        <v>512</v>
      </c>
      <c r="H573" t="s">
        <v>872</v>
      </c>
      <c r="I573" t="s">
        <v>871</v>
      </c>
      <c r="J573">
        <v>300</v>
      </c>
      <c r="K573" t="s">
        <v>36</v>
      </c>
      <c r="L573" t="s">
        <v>57</v>
      </c>
      <c r="M573" t="s">
        <v>232</v>
      </c>
      <c r="N573" t="s">
        <v>233</v>
      </c>
    </row>
    <row r="574" spans="1:14" x14ac:dyDescent="0.2">
      <c r="A574">
        <v>573</v>
      </c>
      <c r="B574">
        <v>11</v>
      </c>
      <c r="C574">
        <v>44</v>
      </c>
      <c r="D574" t="s">
        <v>227</v>
      </c>
      <c r="F574" t="s">
        <v>869</v>
      </c>
      <c r="G574" t="s">
        <v>443</v>
      </c>
      <c r="H574" t="s">
        <v>879</v>
      </c>
      <c r="I574" t="s">
        <v>871</v>
      </c>
      <c r="J574">
        <v>340</v>
      </c>
      <c r="K574" t="s">
        <v>36</v>
      </c>
      <c r="L574" t="s">
        <v>57</v>
      </c>
      <c r="M574" t="s">
        <v>232</v>
      </c>
      <c r="N574" t="s">
        <v>233</v>
      </c>
    </row>
    <row r="575" spans="1:14" x14ac:dyDescent="0.2">
      <c r="A575">
        <v>574</v>
      </c>
      <c r="B575">
        <v>11</v>
      </c>
      <c r="C575">
        <v>45</v>
      </c>
      <c r="D575" t="s">
        <v>227</v>
      </c>
      <c r="F575" t="s">
        <v>869</v>
      </c>
      <c r="G575" t="s">
        <v>258</v>
      </c>
      <c r="H575" t="s">
        <v>880</v>
      </c>
      <c r="I575" t="s">
        <v>871</v>
      </c>
      <c r="J575">
        <v>225</v>
      </c>
      <c r="K575" t="s">
        <v>36</v>
      </c>
      <c r="L575" t="s">
        <v>57</v>
      </c>
      <c r="M575" t="s">
        <v>232</v>
      </c>
      <c r="N575" t="s">
        <v>233</v>
      </c>
    </row>
    <row r="576" spans="1:14" x14ac:dyDescent="0.2">
      <c r="A576">
        <v>575</v>
      </c>
      <c r="B576">
        <v>11</v>
      </c>
      <c r="C576">
        <v>46</v>
      </c>
      <c r="D576" t="s">
        <v>227</v>
      </c>
      <c r="F576" t="s">
        <v>971</v>
      </c>
      <c r="G576" t="s">
        <v>238</v>
      </c>
      <c r="H576" t="s">
        <v>972</v>
      </c>
      <c r="I576" t="s">
        <v>973</v>
      </c>
      <c r="J576">
        <v>1</v>
      </c>
      <c r="K576" t="s">
        <v>72</v>
      </c>
      <c r="L576" t="s">
        <v>57</v>
      </c>
      <c r="M576" t="s">
        <v>232</v>
      </c>
      <c r="N576" t="s">
        <v>233</v>
      </c>
    </row>
    <row r="577" spans="1:14" x14ac:dyDescent="0.2">
      <c r="A577">
        <v>576</v>
      </c>
      <c r="B577">
        <v>11</v>
      </c>
      <c r="C577">
        <v>47</v>
      </c>
      <c r="D577" t="s">
        <v>227</v>
      </c>
      <c r="F577" t="s">
        <v>971</v>
      </c>
      <c r="G577" t="s">
        <v>512</v>
      </c>
      <c r="H577" t="s">
        <v>974</v>
      </c>
      <c r="I577" t="s">
        <v>973</v>
      </c>
      <c r="J577">
        <v>1</v>
      </c>
      <c r="K577" t="s">
        <v>72</v>
      </c>
      <c r="L577" t="s">
        <v>57</v>
      </c>
      <c r="M577" t="s">
        <v>232</v>
      </c>
      <c r="N577" t="s">
        <v>233</v>
      </c>
    </row>
    <row r="578" spans="1:14" x14ac:dyDescent="0.2">
      <c r="A578">
        <v>577</v>
      </c>
      <c r="B578">
        <v>11</v>
      </c>
      <c r="C578">
        <v>48</v>
      </c>
      <c r="D578" t="s">
        <v>227</v>
      </c>
      <c r="F578" t="s">
        <v>971</v>
      </c>
      <c r="G578" t="s">
        <v>351</v>
      </c>
      <c r="H578" t="s">
        <v>975</v>
      </c>
      <c r="I578" t="s">
        <v>973</v>
      </c>
      <c r="J578">
        <v>1</v>
      </c>
      <c r="K578" t="s">
        <v>72</v>
      </c>
      <c r="L578" t="s">
        <v>57</v>
      </c>
      <c r="M578" t="s">
        <v>232</v>
      </c>
      <c r="N578" t="s">
        <v>233</v>
      </c>
    </row>
    <row r="579" spans="1:14" x14ac:dyDescent="0.2">
      <c r="A579">
        <v>578</v>
      </c>
      <c r="B579">
        <v>11</v>
      </c>
      <c r="C579">
        <v>49</v>
      </c>
      <c r="D579" t="s">
        <v>263</v>
      </c>
      <c r="F579" t="s">
        <v>976</v>
      </c>
      <c r="G579" t="s">
        <v>247</v>
      </c>
      <c r="H579" t="s">
        <v>977</v>
      </c>
      <c r="I579" t="s">
        <v>978</v>
      </c>
      <c r="J579">
        <v>3</v>
      </c>
      <c r="K579" t="s">
        <v>72</v>
      </c>
      <c r="L579" t="s">
        <v>57</v>
      </c>
      <c r="M579" t="s">
        <v>232</v>
      </c>
      <c r="N579" t="s">
        <v>233</v>
      </c>
    </row>
    <row r="580" spans="1:14" x14ac:dyDescent="0.2">
      <c r="A580">
        <v>579</v>
      </c>
      <c r="B580">
        <v>11</v>
      </c>
      <c r="C580">
        <v>50</v>
      </c>
      <c r="D580" t="s">
        <v>263</v>
      </c>
      <c r="F580" t="s">
        <v>976</v>
      </c>
      <c r="G580" t="s">
        <v>289</v>
      </c>
      <c r="H580" t="s">
        <v>979</v>
      </c>
      <c r="I580" t="s">
        <v>978</v>
      </c>
      <c r="J580">
        <v>2</v>
      </c>
      <c r="K580" t="s">
        <v>72</v>
      </c>
      <c r="L580" t="s">
        <v>57</v>
      </c>
      <c r="M580" t="s">
        <v>232</v>
      </c>
      <c r="N580" t="s">
        <v>233</v>
      </c>
    </row>
    <row r="581" spans="1:14" x14ac:dyDescent="0.2">
      <c r="A581">
        <v>580</v>
      </c>
      <c r="B581">
        <v>11</v>
      </c>
      <c r="C581">
        <v>51</v>
      </c>
      <c r="D581" t="s">
        <v>263</v>
      </c>
      <c r="F581" t="s">
        <v>623</v>
      </c>
      <c r="H581" t="s">
        <v>624</v>
      </c>
      <c r="I581" t="s">
        <v>625</v>
      </c>
      <c r="J581">
        <v>7</v>
      </c>
      <c r="K581" t="s">
        <v>72</v>
      </c>
      <c r="L581" t="s">
        <v>57</v>
      </c>
      <c r="M581" t="s">
        <v>232</v>
      </c>
      <c r="N581" t="s">
        <v>233</v>
      </c>
    </row>
    <row r="582" spans="1:14" x14ac:dyDescent="0.2">
      <c r="A582">
        <v>581</v>
      </c>
      <c r="B582">
        <v>11</v>
      </c>
      <c r="C582">
        <v>52</v>
      </c>
      <c r="D582" t="s">
        <v>263</v>
      </c>
      <c r="F582" t="s">
        <v>980</v>
      </c>
      <c r="H582" t="s">
        <v>981</v>
      </c>
      <c r="I582" t="s">
        <v>982</v>
      </c>
      <c r="J582">
        <v>885</v>
      </c>
      <c r="K582" t="s">
        <v>36</v>
      </c>
      <c r="L582" t="s">
        <v>57</v>
      </c>
      <c r="M582" t="s">
        <v>232</v>
      </c>
      <c r="N582" t="s">
        <v>233</v>
      </c>
    </row>
    <row r="583" spans="1:14" x14ac:dyDescent="0.2">
      <c r="A583">
        <v>582</v>
      </c>
      <c r="B583">
        <v>11</v>
      </c>
      <c r="C583">
        <v>53</v>
      </c>
      <c r="D583">
        <v>260500</v>
      </c>
      <c r="F583" t="s">
        <v>983</v>
      </c>
      <c r="H583" t="s">
        <v>984</v>
      </c>
      <c r="I583" t="s">
        <v>985</v>
      </c>
      <c r="J583">
        <v>1</v>
      </c>
      <c r="K583" t="s">
        <v>17</v>
      </c>
      <c r="L583" t="s">
        <v>244</v>
      </c>
      <c r="M583" t="s">
        <v>294</v>
      </c>
      <c r="N583" t="s">
        <v>295</v>
      </c>
    </row>
    <row r="584" spans="1:14" x14ac:dyDescent="0.2">
      <c r="A584">
        <v>583</v>
      </c>
      <c r="B584">
        <v>11</v>
      </c>
      <c r="C584">
        <v>54</v>
      </c>
      <c r="D584">
        <v>260500</v>
      </c>
      <c r="F584" t="s">
        <v>986</v>
      </c>
      <c r="H584" t="s">
        <v>987</v>
      </c>
      <c r="I584" t="s">
        <v>988</v>
      </c>
      <c r="J584">
        <v>1</v>
      </c>
      <c r="K584" t="s">
        <v>17</v>
      </c>
      <c r="L584" t="s">
        <v>244</v>
      </c>
      <c r="M584" t="s">
        <v>294</v>
      </c>
      <c r="N584" t="s">
        <v>295</v>
      </c>
    </row>
    <row r="585" spans="1:14" x14ac:dyDescent="0.2">
      <c r="A585">
        <v>584</v>
      </c>
      <c r="B585">
        <v>11</v>
      </c>
      <c r="C585">
        <v>55</v>
      </c>
      <c r="D585">
        <v>260500</v>
      </c>
      <c r="F585" t="s">
        <v>989</v>
      </c>
      <c r="H585" t="s">
        <v>990</v>
      </c>
      <c r="I585" t="s">
        <v>991</v>
      </c>
      <c r="J585">
        <v>1</v>
      </c>
      <c r="K585" t="s">
        <v>17</v>
      </c>
      <c r="L585" t="s">
        <v>244</v>
      </c>
      <c r="M585" t="s">
        <v>294</v>
      </c>
      <c r="N585" t="s">
        <v>295</v>
      </c>
    </row>
    <row r="586" spans="1:14" x14ac:dyDescent="0.2">
      <c r="A586">
        <v>585</v>
      </c>
      <c r="B586">
        <v>11</v>
      </c>
      <c r="C586">
        <v>56</v>
      </c>
      <c r="D586">
        <v>260500</v>
      </c>
      <c r="F586" t="s">
        <v>992</v>
      </c>
      <c r="H586" t="s">
        <v>993</v>
      </c>
      <c r="I586" t="s">
        <v>994</v>
      </c>
      <c r="J586">
        <v>1</v>
      </c>
      <c r="K586" t="s">
        <v>17</v>
      </c>
      <c r="L586" t="s">
        <v>244</v>
      </c>
      <c r="M586" t="s">
        <v>294</v>
      </c>
      <c r="N586" t="s">
        <v>295</v>
      </c>
    </row>
    <row r="587" spans="1:14" x14ac:dyDescent="0.2">
      <c r="A587">
        <v>586</v>
      </c>
      <c r="B587">
        <v>11</v>
      </c>
      <c r="C587">
        <v>57</v>
      </c>
      <c r="D587">
        <v>260500</v>
      </c>
      <c r="F587" t="s">
        <v>995</v>
      </c>
      <c r="H587" t="s">
        <v>996</v>
      </c>
      <c r="I587" t="s">
        <v>997</v>
      </c>
      <c r="J587">
        <v>1</v>
      </c>
      <c r="K587" t="s">
        <v>17</v>
      </c>
      <c r="L587" t="s">
        <v>244</v>
      </c>
      <c r="M587" t="s">
        <v>294</v>
      </c>
      <c r="N587" t="s">
        <v>295</v>
      </c>
    </row>
    <row r="588" spans="1:14" x14ac:dyDescent="0.2">
      <c r="A588">
        <v>587</v>
      </c>
      <c r="B588">
        <v>11</v>
      </c>
      <c r="C588">
        <v>58</v>
      </c>
      <c r="D588">
        <v>260500</v>
      </c>
      <c r="F588" t="s">
        <v>998</v>
      </c>
      <c r="H588" t="s">
        <v>999</v>
      </c>
      <c r="I588" t="s">
        <v>1000</v>
      </c>
      <c r="J588">
        <v>1</v>
      </c>
      <c r="K588" t="s">
        <v>17</v>
      </c>
      <c r="L588" t="s">
        <v>244</v>
      </c>
      <c r="M588" t="s">
        <v>294</v>
      </c>
      <c r="N588" t="s">
        <v>295</v>
      </c>
    </row>
    <row r="589" spans="1:14" x14ac:dyDescent="0.2">
      <c r="A589">
        <v>588</v>
      </c>
      <c r="B589">
        <v>11</v>
      </c>
      <c r="C589">
        <v>59</v>
      </c>
      <c r="D589">
        <v>260526</v>
      </c>
      <c r="F589" t="s">
        <v>1001</v>
      </c>
      <c r="H589" t="s">
        <v>1002</v>
      </c>
      <c r="I589" t="s">
        <v>1003</v>
      </c>
      <c r="J589">
        <v>1</v>
      </c>
      <c r="K589" t="s">
        <v>17</v>
      </c>
      <c r="L589" t="s">
        <v>244</v>
      </c>
      <c r="M589" t="s">
        <v>294</v>
      </c>
      <c r="N589" t="s">
        <v>295</v>
      </c>
    </row>
    <row r="590" spans="1:14" x14ac:dyDescent="0.2">
      <c r="A590">
        <v>589</v>
      </c>
      <c r="B590">
        <v>11</v>
      </c>
      <c r="C590">
        <v>60</v>
      </c>
      <c r="D590">
        <v>260543</v>
      </c>
      <c r="F590" t="s">
        <v>1004</v>
      </c>
      <c r="H590" t="s">
        <v>1005</v>
      </c>
      <c r="I590" t="s">
        <v>1006</v>
      </c>
      <c r="J590">
        <v>1</v>
      </c>
      <c r="K590" t="s">
        <v>17</v>
      </c>
      <c r="L590" t="s">
        <v>244</v>
      </c>
      <c r="M590" t="s">
        <v>294</v>
      </c>
      <c r="N590" t="s">
        <v>295</v>
      </c>
    </row>
    <row r="591" spans="1:14" x14ac:dyDescent="0.2">
      <c r="A591">
        <v>590</v>
      </c>
      <c r="B591">
        <v>11</v>
      </c>
      <c r="C591">
        <v>61</v>
      </c>
      <c r="D591">
        <v>262200</v>
      </c>
      <c r="F591" t="s">
        <v>1007</v>
      </c>
      <c r="H591" t="s">
        <v>1008</v>
      </c>
      <c r="I591" t="s">
        <v>1009</v>
      </c>
      <c r="J591">
        <v>1</v>
      </c>
      <c r="K591" t="s">
        <v>17</v>
      </c>
      <c r="L591" t="s">
        <v>244</v>
      </c>
      <c r="M591" t="s">
        <v>294</v>
      </c>
      <c r="N591" t="s">
        <v>295</v>
      </c>
    </row>
    <row r="592" spans="1:14" x14ac:dyDescent="0.2">
      <c r="A592">
        <v>591</v>
      </c>
      <c r="B592">
        <v>11</v>
      </c>
      <c r="C592">
        <v>62</v>
      </c>
      <c r="D592">
        <v>262400</v>
      </c>
      <c r="F592" t="s">
        <v>1010</v>
      </c>
      <c r="H592" t="s">
        <v>1011</v>
      </c>
      <c r="I592" t="s">
        <v>1012</v>
      </c>
      <c r="J592">
        <v>1</v>
      </c>
      <c r="K592" t="s">
        <v>17</v>
      </c>
      <c r="L592" t="s">
        <v>244</v>
      </c>
      <c r="M592" t="s">
        <v>294</v>
      </c>
      <c r="N592" t="s">
        <v>295</v>
      </c>
    </row>
    <row r="593" spans="1:14" x14ac:dyDescent="0.2">
      <c r="A593">
        <v>592</v>
      </c>
      <c r="B593">
        <v>11</v>
      </c>
      <c r="C593">
        <v>63</v>
      </c>
      <c r="D593">
        <v>265623</v>
      </c>
      <c r="F593" t="s">
        <v>1013</v>
      </c>
      <c r="H593" t="s">
        <v>1014</v>
      </c>
      <c r="I593" t="s">
        <v>1015</v>
      </c>
      <c r="J593">
        <v>1</v>
      </c>
      <c r="K593" t="s">
        <v>17</v>
      </c>
      <c r="L593" t="s">
        <v>244</v>
      </c>
      <c r="M593" t="s">
        <v>294</v>
      </c>
      <c r="N593" t="s">
        <v>295</v>
      </c>
    </row>
    <row r="594" spans="1:14" x14ac:dyDescent="0.2">
      <c r="A594">
        <v>593</v>
      </c>
      <c r="B594">
        <v>11</v>
      </c>
      <c r="C594">
        <v>64</v>
      </c>
      <c r="D594">
        <v>270553</v>
      </c>
      <c r="F594" t="s">
        <v>1016</v>
      </c>
      <c r="H594" t="s">
        <v>1017</v>
      </c>
      <c r="I594" t="s">
        <v>1018</v>
      </c>
      <c r="J594">
        <v>1</v>
      </c>
      <c r="K594" t="s">
        <v>17</v>
      </c>
      <c r="L594" t="s">
        <v>244</v>
      </c>
      <c r="M594" t="s">
        <v>1019</v>
      </c>
      <c r="N594" t="s">
        <v>1020</v>
      </c>
    </row>
    <row r="595" spans="1:14" x14ac:dyDescent="0.2">
      <c r="A595">
        <v>594</v>
      </c>
      <c r="B595">
        <v>11</v>
      </c>
      <c r="C595">
        <v>65</v>
      </c>
      <c r="D595">
        <v>271000</v>
      </c>
      <c r="F595" t="s">
        <v>1021</v>
      </c>
      <c r="H595" t="s">
        <v>1022</v>
      </c>
      <c r="I595" t="s">
        <v>1023</v>
      </c>
      <c r="J595">
        <v>1</v>
      </c>
      <c r="K595" t="s">
        <v>17</v>
      </c>
      <c r="L595" t="s">
        <v>244</v>
      </c>
      <c r="M595" t="s">
        <v>1019</v>
      </c>
      <c r="N595" t="s">
        <v>1020</v>
      </c>
    </row>
    <row r="596" spans="1:14" x14ac:dyDescent="0.2">
      <c r="A596">
        <v>595</v>
      </c>
      <c r="B596">
        <v>11</v>
      </c>
      <c r="C596">
        <v>66</v>
      </c>
      <c r="D596">
        <v>282300</v>
      </c>
      <c r="F596" t="s">
        <v>1024</v>
      </c>
      <c r="H596" t="s">
        <v>1025</v>
      </c>
      <c r="I596" t="s">
        <v>1026</v>
      </c>
      <c r="J596">
        <v>1</v>
      </c>
      <c r="K596" t="s">
        <v>17</v>
      </c>
      <c r="L596" t="s">
        <v>244</v>
      </c>
      <c r="M596" t="s">
        <v>1019</v>
      </c>
      <c r="N596" t="s">
        <v>1020</v>
      </c>
    </row>
    <row r="597" spans="1:14" x14ac:dyDescent="0.2">
      <c r="A597">
        <v>596</v>
      </c>
      <c r="B597">
        <v>11</v>
      </c>
      <c r="C597">
        <v>67</v>
      </c>
      <c r="D597">
        <v>312300</v>
      </c>
      <c r="F597" t="s">
        <v>314</v>
      </c>
      <c r="H597" t="s">
        <v>315</v>
      </c>
      <c r="I597" t="s">
        <v>316</v>
      </c>
      <c r="J597">
        <v>7</v>
      </c>
      <c r="K597" t="s">
        <v>72</v>
      </c>
      <c r="L597" t="s">
        <v>57</v>
      </c>
      <c r="M597" t="s">
        <v>232</v>
      </c>
      <c r="N597" t="s">
        <v>233</v>
      </c>
    </row>
    <row r="598" spans="1:14" x14ac:dyDescent="0.2">
      <c r="A598">
        <v>597</v>
      </c>
      <c r="B598">
        <v>11</v>
      </c>
      <c r="C598">
        <v>68</v>
      </c>
      <c r="D598">
        <v>312300</v>
      </c>
      <c r="F598" t="s">
        <v>890</v>
      </c>
      <c r="H598" t="s">
        <v>891</v>
      </c>
      <c r="I598" t="s">
        <v>892</v>
      </c>
      <c r="J598">
        <v>1</v>
      </c>
      <c r="K598" t="s">
        <v>72</v>
      </c>
      <c r="L598" t="s">
        <v>57</v>
      </c>
      <c r="M598" t="s">
        <v>232</v>
      </c>
      <c r="N598" t="s">
        <v>233</v>
      </c>
    </row>
    <row r="599" spans="1:14" x14ac:dyDescent="0.2">
      <c r="A599">
        <v>598</v>
      </c>
      <c r="B599">
        <v>11</v>
      </c>
      <c r="C599">
        <v>69</v>
      </c>
      <c r="D599">
        <v>312300</v>
      </c>
      <c r="F599" t="s">
        <v>1027</v>
      </c>
      <c r="H599" t="s">
        <v>1028</v>
      </c>
      <c r="I599" t="s">
        <v>1029</v>
      </c>
      <c r="J599">
        <v>1</v>
      </c>
      <c r="K599" t="s">
        <v>17</v>
      </c>
      <c r="L599" t="s">
        <v>57</v>
      </c>
      <c r="M599" t="s">
        <v>232</v>
      </c>
      <c r="N599" t="s">
        <v>233</v>
      </c>
    </row>
    <row r="600" spans="1:14" x14ac:dyDescent="0.2">
      <c r="A600">
        <v>599</v>
      </c>
      <c r="B600">
        <v>11</v>
      </c>
      <c r="C600">
        <v>70</v>
      </c>
      <c r="D600">
        <v>321613</v>
      </c>
      <c r="F600" t="s">
        <v>1030</v>
      </c>
      <c r="H600" t="s">
        <v>1031</v>
      </c>
      <c r="I600" t="s">
        <v>1032</v>
      </c>
      <c r="J600">
        <v>1011</v>
      </c>
      <c r="K600" t="s">
        <v>36</v>
      </c>
      <c r="L600" t="s">
        <v>37</v>
      </c>
      <c r="M600" t="s">
        <v>38</v>
      </c>
      <c r="N600" t="s">
        <v>140</v>
      </c>
    </row>
    <row r="601" spans="1:14" x14ac:dyDescent="0.2">
      <c r="A601">
        <v>600</v>
      </c>
      <c r="B601">
        <v>11</v>
      </c>
      <c r="C601">
        <v>71</v>
      </c>
      <c r="D601">
        <v>321613</v>
      </c>
      <c r="F601" t="s">
        <v>1033</v>
      </c>
      <c r="G601" t="s">
        <v>439</v>
      </c>
      <c r="H601" t="s">
        <v>1034</v>
      </c>
      <c r="I601" t="s">
        <v>1035</v>
      </c>
      <c r="J601">
        <v>131</v>
      </c>
      <c r="K601" t="s">
        <v>94</v>
      </c>
      <c r="L601" t="s">
        <v>37</v>
      </c>
      <c r="M601" t="s">
        <v>38</v>
      </c>
      <c r="N601" t="s">
        <v>140</v>
      </c>
    </row>
    <row r="602" spans="1:14" x14ac:dyDescent="0.2">
      <c r="A602">
        <v>601</v>
      </c>
      <c r="B602">
        <v>11</v>
      </c>
      <c r="C602">
        <v>72</v>
      </c>
      <c r="D602">
        <v>323113</v>
      </c>
      <c r="F602" t="s">
        <v>1036</v>
      </c>
      <c r="G602" t="s">
        <v>1037</v>
      </c>
      <c r="H602" t="s">
        <v>1038</v>
      </c>
      <c r="I602" t="s">
        <v>1039</v>
      </c>
      <c r="J602">
        <v>402</v>
      </c>
      <c r="K602" t="s">
        <v>36</v>
      </c>
      <c r="L602" t="s">
        <v>1040</v>
      </c>
      <c r="M602" t="s">
        <v>1041</v>
      </c>
      <c r="N602" t="s">
        <v>1042</v>
      </c>
    </row>
    <row r="603" spans="1:14" x14ac:dyDescent="0.2">
      <c r="A603">
        <v>602</v>
      </c>
      <c r="B603">
        <v>11</v>
      </c>
      <c r="C603">
        <v>73</v>
      </c>
      <c r="D603">
        <v>323113</v>
      </c>
      <c r="F603" t="s">
        <v>1043</v>
      </c>
      <c r="G603" t="s">
        <v>1044</v>
      </c>
      <c r="H603" t="s">
        <v>1045</v>
      </c>
      <c r="I603" t="s">
        <v>1046</v>
      </c>
      <c r="J603">
        <v>1230</v>
      </c>
      <c r="K603" t="s">
        <v>36</v>
      </c>
      <c r="L603" t="s">
        <v>1040</v>
      </c>
      <c r="M603" t="s">
        <v>1041</v>
      </c>
      <c r="N603" t="s">
        <v>1042</v>
      </c>
    </row>
    <row r="604" spans="1:14" x14ac:dyDescent="0.2">
      <c r="A604">
        <v>603</v>
      </c>
      <c r="B604">
        <v>11</v>
      </c>
      <c r="C604">
        <v>74</v>
      </c>
      <c r="D604">
        <v>328400</v>
      </c>
      <c r="F604" t="s">
        <v>1047</v>
      </c>
      <c r="H604" t="s">
        <v>1048</v>
      </c>
      <c r="I604" t="s">
        <v>1049</v>
      </c>
      <c r="J604">
        <v>1</v>
      </c>
      <c r="K604" t="s">
        <v>17</v>
      </c>
      <c r="L604" t="s">
        <v>25</v>
      </c>
      <c r="M604" t="s">
        <v>26</v>
      </c>
      <c r="N604" t="s">
        <v>306</v>
      </c>
    </row>
    <row r="605" spans="1:14" x14ac:dyDescent="0.2">
      <c r="A605">
        <v>604</v>
      </c>
      <c r="B605">
        <v>11</v>
      </c>
      <c r="C605">
        <v>75</v>
      </c>
      <c r="D605">
        <v>329300</v>
      </c>
      <c r="F605" t="s">
        <v>1050</v>
      </c>
      <c r="H605" t="s">
        <v>1051</v>
      </c>
      <c r="I605" t="s">
        <v>1052</v>
      </c>
      <c r="J605">
        <v>1</v>
      </c>
      <c r="K605" t="s">
        <v>17</v>
      </c>
      <c r="L605" t="s">
        <v>25</v>
      </c>
      <c r="M605" t="s">
        <v>26</v>
      </c>
      <c r="N605" t="s">
        <v>306</v>
      </c>
    </row>
    <row r="606" spans="1:14" x14ac:dyDescent="0.2">
      <c r="A606">
        <v>605</v>
      </c>
      <c r="B606">
        <v>11</v>
      </c>
      <c r="C606">
        <v>76</v>
      </c>
      <c r="D606">
        <v>331116</v>
      </c>
      <c r="F606" t="s">
        <v>1053</v>
      </c>
      <c r="G606" t="s">
        <v>229</v>
      </c>
      <c r="H606" t="s">
        <v>1054</v>
      </c>
      <c r="I606" t="s">
        <v>1055</v>
      </c>
      <c r="J606">
        <v>830</v>
      </c>
      <c r="K606" t="s">
        <v>36</v>
      </c>
      <c r="L606" t="s">
        <v>57</v>
      </c>
      <c r="M606" t="s">
        <v>58</v>
      </c>
      <c r="N606" t="s">
        <v>347</v>
      </c>
    </row>
    <row r="607" spans="1:14" x14ac:dyDescent="0.2">
      <c r="A607">
        <v>606</v>
      </c>
      <c r="B607">
        <v>11</v>
      </c>
      <c r="C607">
        <v>77</v>
      </c>
      <c r="D607">
        <v>331116</v>
      </c>
      <c r="F607" t="s">
        <v>793</v>
      </c>
      <c r="G607" t="s">
        <v>229</v>
      </c>
      <c r="H607" t="s">
        <v>1056</v>
      </c>
      <c r="I607" t="s">
        <v>1057</v>
      </c>
      <c r="J607">
        <v>5</v>
      </c>
      <c r="K607" t="s">
        <v>72</v>
      </c>
      <c r="L607" t="s">
        <v>57</v>
      </c>
      <c r="M607" t="s">
        <v>58</v>
      </c>
      <c r="N607" t="s">
        <v>347</v>
      </c>
    </row>
    <row r="608" spans="1:14" x14ac:dyDescent="0.2">
      <c r="A608">
        <v>607</v>
      </c>
      <c r="B608">
        <v>11</v>
      </c>
      <c r="C608">
        <v>78</v>
      </c>
      <c r="D608">
        <v>331116</v>
      </c>
      <c r="F608" t="s">
        <v>1058</v>
      </c>
      <c r="H608" t="s">
        <v>1059</v>
      </c>
      <c r="I608" t="s">
        <v>1060</v>
      </c>
      <c r="J608">
        <v>2</v>
      </c>
      <c r="K608" t="s">
        <v>72</v>
      </c>
      <c r="L608" t="s">
        <v>57</v>
      </c>
      <c r="M608" t="s">
        <v>58</v>
      </c>
      <c r="N608" t="s">
        <v>347</v>
      </c>
    </row>
    <row r="609" spans="1:14" x14ac:dyDescent="0.2">
      <c r="A609">
        <v>608</v>
      </c>
      <c r="B609">
        <v>11</v>
      </c>
      <c r="C609">
        <v>79</v>
      </c>
      <c r="D609">
        <v>347113</v>
      </c>
      <c r="F609" t="s">
        <v>1061</v>
      </c>
      <c r="H609" t="s">
        <v>1062</v>
      </c>
      <c r="I609" t="s">
        <v>1063</v>
      </c>
      <c r="J609">
        <v>19</v>
      </c>
      <c r="K609" t="s">
        <v>72</v>
      </c>
      <c r="L609" t="s">
        <v>1040</v>
      </c>
      <c r="M609" t="s">
        <v>1041</v>
      </c>
      <c r="N609" t="s">
        <v>1042</v>
      </c>
    </row>
    <row r="610" spans="1:14" x14ac:dyDescent="0.2">
      <c r="A610">
        <v>609</v>
      </c>
      <c r="B610">
        <v>11</v>
      </c>
      <c r="C610">
        <v>80</v>
      </c>
      <c r="D610">
        <v>15713</v>
      </c>
      <c r="F610" t="s">
        <v>383</v>
      </c>
      <c r="H610" t="s">
        <v>384</v>
      </c>
      <c r="I610" t="s">
        <v>385</v>
      </c>
      <c r="J610">
        <v>5</v>
      </c>
      <c r="K610" t="s">
        <v>72</v>
      </c>
      <c r="L610" t="s">
        <v>18</v>
      </c>
      <c r="M610" t="s">
        <v>19</v>
      </c>
      <c r="N610" t="s">
        <v>108</v>
      </c>
    </row>
    <row r="611" spans="1:14" x14ac:dyDescent="0.2">
      <c r="A611">
        <v>610</v>
      </c>
      <c r="B611">
        <v>12</v>
      </c>
      <c r="C611">
        <v>1</v>
      </c>
      <c r="D611">
        <v>12200</v>
      </c>
      <c r="F611" t="s">
        <v>109</v>
      </c>
      <c r="H611" t="s">
        <v>1064</v>
      </c>
      <c r="I611" t="s">
        <v>111</v>
      </c>
      <c r="J611">
        <v>1</v>
      </c>
      <c r="K611" t="s">
        <v>17</v>
      </c>
      <c r="L611" t="s">
        <v>18</v>
      </c>
      <c r="M611" t="s">
        <v>19</v>
      </c>
      <c r="N611" t="s">
        <v>108</v>
      </c>
    </row>
    <row r="612" spans="1:14" x14ac:dyDescent="0.2">
      <c r="A612">
        <v>611</v>
      </c>
      <c r="B612">
        <v>12</v>
      </c>
      <c r="C612">
        <v>2</v>
      </c>
      <c r="D612">
        <v>12200</v>
      </c>
      <c r="F612" t="s">
        <v>1065</v>
      </c>
      <c r="H612" t="s">
        <v>1066</v>
      </c>
      <c r="I612" t="s">
        <v>1067</v>
      </c>
      <c r="J612">
        <v>1</v>
      </c>
      <c r="K612" t="s">
        <v>17</v>
      </c>
      <c r="L612" t="s">
        <v>18</v>
      </c>
      <c r="M612" t="s">
        <v>19</v>
      </c>
      <c r="N612" t="s">
        <v>108</v>
      </c>
    </row>
    <row r="613" spans="1:14" x14ac:dyDescent="0.2">
      <c r="A613">
        <v>612</v>
      </c>
      <c r="B613">
        <v>12</v>
      </c>
      <c r="C613">
        <v>3</v>
      </c>
      <c r="D613">
        <v>12200</v>
      </c>
      <c r="F613" t="s">
        <v>118</v>
      </c>
      <c r="H613" t="s">
        <v>1068</v>
      </c>
      <c r="I613" t="s">
        <v>120</v>
      </c>
      <c r="J613">
        <v>1</v>
      </c>
      <c r="K613" t="s">
        <v>17</v>
      </c>
      <c r="L613" t="s">
        <v>18</v>
      </c>
      <c r="M613" t="s">
        <v>19</v>
      </c>
      <c r="N613" t="s">
        <v>108</v>
      </c>
    </row>
    <row r="614" spans="1:14" x14ac:dyDescent="0.2">
      <c r="A614">
        <v>613</v>
      </c>
      <c r="B614">
        <v>12</v>
      </c>
      <c r="C614">
        <v>4</v>
      </c>
      <c r="D614">
        <v>12200</v>
      </c>
      <c r="F614" t="s">
        <v>1069</v>
      </c>
      <c r="G614" t="s">
        <v>1070</v>
      </c>
      <c r="H614" t="s">
        <v>1071</v>
      </c>
      <c r="I614" t="s">
        <v>1072</v>
      </c>
      <c r="J614">
        <v>12</v>
      </c>
      <c r="K614" t="s">
        <v>72</v>
      </c>
      <c r="L614" t="s">
        <v>18</v>
      </c>
      <c r="M614" t="s">
        <v>19</v>
      </c>
      <c r="N614" t="s">
        <v>108</v>
      </c>
    </row>
    <row r="615" spans="1:14" x14ac:dyDescent="0.2">
      <c r="A615">
        <v>614</v>
      </c>
      <c r="B615">
        <v>12</v>
      </c>
      <c r="C615">
        <v>5</v>
      </c>
      <c r="D615">
        <v>12200</v>
      </c>
      <c r="F615" t="s">
        <v>1073</v>
      </c>
      <c r="H615" t="s">
        <v>1074</v>
      </c>
      <c r="I615" t="s">
        <v>1075</v>
      </c>
      <c r="J615">
        <v>1</v>
      </c>
      <c r="K615" t="s">
        <v>17</v>
      </c>
      <c r="L615" t="s">
        <v>18</v>
      </c>
      <c r="M615" t="s">
        <v>19</v>
      </c>
      <c r="N615" t="s">
        <v>108</v>
      </c>
    </row>
    <row r="616" spans="1:14" x14ac:dyDescent="0.2">
      <c r="A616">
        <v>615</v>
      </c>
      <c r="B616">
        <v>12</v>
      </c>
      <c r="C616">
        <v>6</v>
      </c>
      <c r="D616">
        <v>12200</v>
      </c>
      <c r="F616" t="s">
        <v>1076</v>
      </c>
      <c r="H616" t="s">
        <v>1077</v>
      </c>
      <c r="I616" t="s">
        <v>1078</v>
      </c>
      <c r="J616">
        <v>6</v>
      </c>
      <c r="K616" t="s">
        <v>72</v>
      </c>
      <c r="L616" t="s">
        <v>18</v>
      </c>
      <c r="M616" t="s">
        <v>19</v>
      </c>
      <c r="N616" t="s">
        <v>108</v>
      </c>
    </row>
    <row r="617" spans="1:14" x14ac:dyDescent="0.2">
      <c r="A617">
        <v>616</v>
      </c>
      <c r="B617">
        <v>12</v>
      </c>
      <c r="C617">
        <v>7</v>
      </c>
      <c r="D617">
        <v>15713</v>
      </c>
      <c r="F617" t="s">
        <v>1079</v>
      </c>
      <c r="H617" t="s">
        <v>1080</v>
      </c>
      <c r="I617" t="s">
        <v>1081</v>
      </c>
      <c r="J617">
        <v>100</v>
      </c>
      <c r="K617" t="s">
        <v>36</v>
      </c>
      <c r="L617" t="s">
        <v>18</v>
      </c>
      <c r="M617" t="s">
        <v>19</v>
      </c>
      <c r="N617" t="s">
        <v>108</v>
      </c>
    </row>
    <row r="618" spans="1:14" x14ac:dyDescent="0.2">
      <c r="A618">
        <v>617</v>
      </c>
      <c r="B618">
        <v>12</v>
      </c>
      <c r="C618">
        <v>8</v>
      </c>
      <c r="D618">
        <v>15713</v>
      </c>
      <c r="F618" t="s">
        <v>1082</v>
      </c>
      <c r="H618" t="s">
        <v>1083</v>
      </c>
      <c r="I618" t="s">
        <v>1084</v>
      </c>
      <c r="J618">
        <v>14</v>
      </c>
      <c r="K618" t="s">
        <v>72</v>
      </c>
      <c r="L618" t="s">
        <v>18</v>
      </c>
      <c r="M618" t="s">
        <v>19</v>
      </c>
      <c r="N618" t="s">
        <v>108</v>
      </c>
    </row>
    <row r="619" spans="1:14" x14ac:dyDescent="0.2">
      <c r="A619">
        <v>618</v>
      </c>
      <c r="B619">
        <v>12</v>
      </c>
      <c r="C619">
        <v>9</v>
      </c>
      <c r="D619">
        <v>15713</v>
      </c>
      <c r="F619" t="s">
        <v>386</v>
      </c>
      <c r="H619" t="s">
        <v>1085</v>
      </c>
      <c r="I619" t="s">
        <v>388</v>
      </c>
      <c r="J619">
        <v>5000</v>
      </c>
      <c r="K619" t="s">
        <v>36</v>
      </c>
      <c r="L619" t="s">
        <v>18</v>
      </c>
      <c r="M619" t="s">
        <v>19</v>
      </c>
      <c r="N619" t="s">
        <v>108</v>
      </c>
    </row>
    <row r="620" spans="1:14" x14ac:dyDescent="0.2">
      <c r="A620">
        <v>619</v>
      </c>
      <c r="B620">
        <v>12</v>
      </c>
      <c r="C620">
        <v>10</v>
      </c>
      <c r="D620">
        <v>15713</v>
      </c>
      <c r="F620" t="s">
        <v>130</v>
      </c>
      <c r="H620" t="s">
        <v>1086</v>
      </c>
      <c r="I620" t="s">
        <v>132</v>
      </c>
      <c r="J620">
        <v>1</v>
      </c>
      <c r="K620" t="s">
        <v>133</v>
      </c>
      <c r="L620" t="s">
        <v>18</v>
      </c>
      <c r="M620" t="s">
        <v>19</v>
      </c>
      <c r="N620" t="s">
        <v>108</v>
      </c>
    </row>
    <row r="621" spans="1:14" x14ac:dyDescent="0.2">
      <c r="A621">
        <v>620</v>
      </c>
      <c r="B621">
        <v>12</v>
      </c>
      <c r="C621">
        <v>11</v>
      </c>
      <c r="D621">
        <v>15713</v>
      </c>
      <c r="F621" t="s">
        <v>383</v>
      </c>
      <c r="H621" t="s">
        <v>1087</v>
      </c>
      <c r="I621" t="s">
        <v>385</v>
      </c>
      <c r="J621">
        <v>13</v>
      </c>
      <c r="K621" t="s">
        <v>72</v>
      </c>
      <c r="L621" t="s">
        <v>18</v>
      </c>
      <c r="M621" t="s">
        <v>19</v>
      </c>
      <c r="N621" t="s">
        <v>108</v>
      </c>
    </row>
    <row r="622" spans="1:14" x14ac:dyDescent="0.2">
      <c r="A622">
        <v>621</v>
      </c>
      <c r="B622">
        <v>12</v>
      </c>
      <c r="C622">
        <v>12</v>
      </c>
      <c r="D622">
        <v>15713</v>
      </c>
      <c r="F622" t="s">
        <v>1088</v>
      </c>
      <c r="H622" t="s">
        <v>1089</v>
      </c>
      <c r="I622" t="s">
        <v>1090</v>
      </c>
      <c r="J622">
        <v>3</v>
      </c>
      <c r="K622" t="s">
        <v>72</v>
      </c>
      <c r="L622" t="s">
        <v>18</v>
      </c>
      <c r="M622" t="s">
        <v>19</v>
      </c>
      <c r="N622" t="s">
        <v>108</v>
      </c>
    </row>
    <row r="623" spans="1:14" x14ac:dyDescent="0.2">
      <c r="A623">
        <v>622</v>
      </c>
      <c r="B623">
        <v>12</v>
      </c>
      <c r="C623">
        <v>13</v>
      </c>
      <c r="D623">
        <v>15713</v>
      </c>
      <c r="F623" t="s">
        <v>1091</v>
      </c>
      <c r="H623" t="s">
        <v>1092</v>
      </c>
      <c r="I623" t="s">
        <v>1093</v>
      </c>
      <c r="J623">
        <v>300</v>
      </c>
      <c r="K623" t="s">
        <v>94</v>
      </c>
      <c r="L623" t="s">
        <v>18</v>
      </c>
      <c r="M623" t="s">
        <v>19</v>
      </c>
      <c r="N623" t="s">
        <v>108</v>
      </c>
    </row>
    <row r="624" spans="1:14" x14ac:dyDescent="0.2">
      <c r="A624">
        <v>623</v>
      </c>
      <c r="B624">
        <v>12</v>
      </c>
      <c r="C624">
        <v>14</v>
      </c>
      <c r="D624" t="s">
        <v>811</v>
      </c>
      <c r="F624" t="s">
        <v>1094</v>
      </c>
      <c r="H624" t="s">
        <v>1095</v>
      </c>
      <c r="I624" t="s">
        <v>1096</v>
      </c>
      <c r="J624">
        <v>7800</v>
      </c>
      <c r="K624" t="s">
        <v>36</v>
      </c>
      <c r="L624" t="s">
        <v>18</v>
      </c>
      <c r="M624" t="s">
        <v>19</v>
      </c>
      <c r="N624" t="s">
        <v>108</v>
      </c>
    </row>
    <row r="625" spans="1:14" x14ac:dyDescent="0.2">
      <c r="A625">
        <v>624</v>
      </c>
      <c r="B625">
        <v>12</v>
      </c>
      <c r="C625">
        <v>15</v>
      </c>
      <c r="D625" t="s">
        <v>806</v>
      </c>
      <c r="F625" t="s">
        <v>807</v>
      </c>
      <c r="H625" t="s">
        <v>1097</v>
      </c>
      <c r="I625" t="s">
        <v>809</v>
      </c>
      <c r="J625">
        <v>1</v>
      </c>
      <c r="K625" t="s">
        <v>17</v>
      </c>
      <c r="L625" t="s">
        <v>18</v>
      </c>
      <c r="M625" t="s">
        <v>19</v>
      </c>
      <c r="N625" t="s">
        <v>108</v>
      </c>
    </row>
    <row r="626" spans="1:14" x14ac:dyDescent="0.2">
      <c r="A626">
        <v>625</v>
      </c>
      <c r="B626">
        <v>12</v>
      </c>
      <c r="C626">
        <v>16</v>
      </c>
      <c r="D626" t="s">
        <v>136</v>
      </c>
      <c r="F626" t="s">
        <v>1098</v>
      </c>
      <c r="H626" t="s">
        <v>1099</v>
      </c>
      <c r="I626" t="s">
        <v>1100</v>
      </c>
      <c r="J626">
        <v>7900</v>
      </c>
      <c r="K626" t="s">
        <v>94</v>
      </c>
      <c r="L626" t="s">
        <v>37</v>
      </c>
      <c r="M626" t="s">
        <v>38</v>
      </c>
      <c r="N626" t="s">
        <v>140</v>
      </c>
    </row>
    <row r="627" spans="1:14" x14ac:dyDescent="0.2">
      <c r="A627">
        <v>626</v>
      </c>
      <c r="B627">
        <v>12</v>
      </c>
      <c r="C627">
        <v>17</v>
      </c>
      <c r="D627" t="s">
        <v>136</v>
      </c>
      <c r="F627" t="s">
        <v>141</v>
      </c>
      <c r="G627" t="s">
        <v>1101</v>
      </c>
      <c r="H627" t="s">
        <v>1102</v>
      </c>
      <c r="I627" t="s">
        <v>144</v>
      </c>
      <c r="J627">
        <v>4100</v>
      </c>
      <c r="K627" t="s">
        <v>94</v>
      </c>
      <c r="L627" t="s">
        <v>37</v>
      </c>
      <c r="M627" t="s">
        <v>38</v>
      </c>
      <c r="N627" t="s">
        <v>140</v>
      </c>
    </row>
    <row r="628" spans="1:14" x14ac:dyDescent="0.2">
      <c r="A628">
        <v>627</v>
      </c>
      <c r="B628">
        <v>12</v>
      </c>
      <c r="C628">
        <v>18</v>
      </c>
      <c r="D628" t="s">
        <v>136</v>
      </c>
      <c r="F628" t="s">
        <v>141</v>
      </c>
      <c r="G628" t="s">
        <v>1103</v>
      </c>
      <c r="H628" t="s">
        <v>1104</v>
      </c>
      <c r="I628" t="s">
        <v>144</v>
      </c>
      <c r="J628">
        <v>4200</v>
      </c>
      <c r="K628" t="s">
        <v>94</v>
      </c>
      <c r="L628" t="s">
        <v>37</v>
      </c>
      <c r="M628" t="s">
        <v>38</v>
      </c>
      <c r="N628" t="s">
        <v>140</v>
      </c>
    </row>
    <row r="629" spans="1:14" x14ac:dyDescent="0.2">
      <c r="A629">
        <v>628</v>
      </c>
      <c r="B629">
        <v>12</v>
      </c>
      <c r="C629">
        <v>19</v>
      </c>
      <c r="D629" t="s">
        <v>136</v>
      </c>
      <c r="F629" t="s">
        <v>1105</v>
      </c>
      <c r="H629" t="s">
        <v>1106</v>
      </c>
      <c r="I629" t="s">
        <v>1107</v>
      </c>
      <c r="J629">
        <v>4900</v>
      </c>
      <c r="K629" t="s">
        <v>94</v>
      </c>
      <c r="L629" t="s">
        <v>37</v>
      </c>
      <c r="M629" t="s">
        <v>38</v>
      </c>
      <c r="N629" t="s">
        <v>140</v>
      </c>
    </row>
    <row r="630" spans="1:14" x14ac:dyDescent="0.2">
      <c r="A630">
        <v>629</v>
      </c>
      <c r="B630">
        <v>12</v>
      </c>
      <c r="C630">
        <v>20</v>
      </c>
      <c r="D630" t="s">
        <v>136</v>
      </c>
      <c r="F630" t="s">
        <v>1108</v>
      </c>
      <c r="H630" t="s">
        <v>1109</v>
      </c>
      <c r="I630" t="s">
        <v>1110</v>
      </c>
      <c r="J630">
        <v>4000</v>
      </c>
      <c r="K630" t="s">
        <v>94</v>
      </c>
      <c r="L630" t="s">
        <v>37</v>
      </c>
      <c r="M630" t="s">
        <v>38</v>
      </c>
      <c r="N630" t="s">
        <v>140</v>
      </c>
    </row>
    <row r="631" spans="1:14" x14ac:dyDescent="0.2">
      <c r="A631">
        <v>630</v>
      </c>
      <c r="B631">
        <v>12</v>
      </c>
      <c r="C631">
        <v>21</v>
      </c>
      <c r="D631" t="s">
        <v>136</v>
      </c>
      <c r="F631" t="s">
        <v>1111</v>
      </c>
      <c r="H631" t="s">
        <v>1112</v>
      </c>
      <c r="I631" t="s">
        <v>1113</v>
      </c>
      <c r="J631">
        <v>1</v>
      </c>
      <c r="K631" t="s">
        <v>17</v>
      </c>
      <c r="L631" t="s">
        <v>37</v>
      </c>
      <c r="M631" t="s">
        <v>38</v>
      </c>
      <c r="N631" t="s">
        <v>140</v>
      </c>
    </row>
    <row r="632" spans="1:14" x14ac:dyDescent="0.2">
      <c r="A632">
        <v>631</v>
      </c>
      <c r="B632">
        <v>12</v>
      </c>
      <c r="C632">
        <v>22</v>
      </c>
      <c r="D632" t="s">
        <v>163</v>
      </c>
      <c r="F632" t="s">
        <v>1114</v>
      </c>
      <c r="H632" t="s">
        <v>1115</v>
      </c>
      <c r="I632" t="s">
        <v>1116</v>
      </c>
      <c r="J632">
        <v>38600</v>
      </c>
      <c r="K632" t="s">
        <v>46</v>
      </c>
      <c r="L632" t="s">
        <v>37</v>
      </c>
      <c r="M632" t="s">
        <v>38</v>
      </c>
      <c r="N632" t="s">
        <v>140</v>
      </c>
    </row>
    <row r="633" spans="1:14" x14ac:dyDescent="0.2">
      <c r="A633">
        <v>632</v>
      </c>
      <c r="B633">
        <v>12</v>
      </c>
      <c r="C633">
        <v>23</v>
      </c>
      <c r="D633" t="s">
        <v>163</v>
      </c>
      <c r="F633" t="s">
        <v>1117</v>
      </c>
      <c r="H633" t="s">
        <v>1118</v>
      </c>
      <c r="I633" t="s">
        <v>1119</v>
      </c>
      <c r="J633">
        <v>2500</v>
      </c>
      <c r="K633" t="s">
        <v>46</v>
      </c>
      <c r="L633" t="s">
        <v>37</v>
      </c>
      <c r="M633" t="s">
        <v>38</v>
      </c>
      <c r="N633" t="s">
        <v>140</v>
      </c>
    </row>
    <row r="634" spans="1:14" x14ac:dyDescent="0.2">
      <c r="A634">
        <v>633</v>
      </c>
      <c r="B634">
        <v>12</v>
      </c>
      <c r="C634">
        <v>24</v>
      </c>
      <c r="D634" t="s">
        <v>163</v>
      </c>
      <c r="F634" t="s">
        <v>1120</v>
      </c>
      <c r="H634" t="s">
        <v>1121</v>
      </c>
      <c r="I634" t="s">
        <v>1122</v>
      </c>
      <c r="J634">
        <v>1000</v>
      </c>
      <c r="K634" t="s">
        <v>46</v>
      </c>
      <c r="L634" t="s">
        <v>37</v>
      </c>
      <c r="M634" t="s">
        <v>38</v>
      </c>
      <c r="N634" t="s">
        <v>140</v>
      </c>
    </row>
    <row r="635" spans="1:14" x14ac:dyDescent="0.2">
      <c r="A635">
        <v>634</v>
      </c>
      <c r="B635">
        <v>12</v>
      </c>
      <c r="C635">
        <v>25</v>
      </c>
      <c r="D635" t="s">
        <v>163</v>
      </c>
      <c r="F635" t="s">
        <v>1123</v>
      </c>
      <c r="H635" t="s">
        <v>1124</v>
      </c>
      <c r="I635" t="s">
        <v>1125</v>
      </c>
      <c r="J635">
        <v>11000</v>
      </c>
      <c r="K635" t="s">
        <v>46</v>
      </c>
      <c r="L635" t="s">
        <v>37</v>
      </c>
      <c r="M635" t="s">
        <v>38</v>
      </c>
      <c r="N635" t="s">
        <v>140</v>
      </c>
    </row>
    <row r="636" spans="1:14" x14ac:dyDescent="0.2">
      <c r="A636">
        <v>635</v>
      </c>
      <c r="B636">
        <v>12</v>
      </c>
      <c r="C636">
        <v>26</v>
      </c>
      <c r="D636" t="s">
        <v>179</v>
      </c>
      <c r="F636" t="s">
        <v>1126</v>
      </c>
      <c r="H636" t="s">
        <v>1127</v>
      </c>
      <c r="I636" t="s">
        <v>1128</v>
      </c>
      <c r="J636">
        <v>228</v>
      </c>
      <c r="K636" t="s">
        <v>46</v>
      </c>
      <c r="L636" t="s">
        <v>37</v>
      </c>
      <c r="M636" t="s">
        <v>38</v>
      </c>
      <c r="N636" t="s">
        <v>140</v>
      </c>
    </row>
    <row r="637" spans="1:14" x14ac:dyDescent="0.2">
      <c r="A637">
        <v>636</v>
      </c>
      <c r="B637">
        <v>12</v>
      </c>
      <c r="C637">
        <v>27</v>
      </c>
      <c r="D637" t="s">
        <v>187</v>
      </c>
      <c r="F637" t="s">
        <v>1129</v>
      </c>
      <c r="H637" t="s">
        <v>1130</v>
      </c>
      <c r="I637" t="s">
        <v>1131</v>
      </c>
      <c r="J637">
        <v>1000</v>
      </c>
      <c r="K637" t="s">
        <v>46</v>
      </c>
      <c r="L637" t="s">
        <v>37</v>
      </c>
      <c r="M637" t="s">
        <v>38</v>
      </c>
      <c r="N637" t="s">
        <v>140</v>
      </c>
    </row>
    <row r="638" spans="1:14" x14ac:dyDescent="0.2">
      <c r="A638">
        <v>637</v>
      </c>
      <c r="B638">
        <v>12</v>
      </c>
      <c r="C638">
        <v>28</v>
      </c>
      <c r="D638" t="s">
        <v>199</v>
      </c>
      <c r="F638" t="s">
        <v>200</v>
      </c>
      <c r="H638" t="s">
        <v>1132</v>
      </c>
      <c r="I638" t="s">
        <v>202</v>
      </c>
      <c r="J638">
        <v>9700</v>
      </c>
      <c r="K638" t="s">
        <v>46</v>
      </c>
      <c r="L638" t="s">
        <v>37</v>
      </c>
      <c r="M638" t="s">
        <v>38</v>
      </c>
      <c r="N638" t="s">
        <v>140</v>
      </c>
    </row>
    <row r="639" spans="1:14" x14ac:dyDescent="0.2">
      <c r="A639">
        <v>638</v>
      </c>
      <c r="B639">
        <v>12</v>
      </c>
      <c r="C639">
        <v>29</v>
      </c>
      <c r="D639" t="s">
        <v>199</v>
      </c>
      <c r="F639" t="s">
        <v>1133</v>
      </c>
      <c r="H639" t="s">
        <v>1134</v>
      </c>
      <c r="I639" t="s">
        <v>1135</v>
      </c>
      <c r="J639">
        <v>12800</v>
      </c>
      <c r="K639" t="s">
        <v>94</v>
      </c>
      <c r="L639" t="s">
        <v>37</v>
      </c>
      <c r="M639" t="s">
        <v>38</v>
      </c>
      <c r="N639" t="s">
        <v>140</v>
      </c>
    </row>
    <row r="640" spans="1:14" x14ac:dyDescent="0.2">
      <c r="A640">
        <v>639</v>
      </c>
      <c r="B640">
        <v>12</v>
      </c>
      <c r="C640">
        <v>30</v>
      </c>
      <c r="D640" t="s">
        <v>157</v>
      </c>
      <c r="F640" t="s">
        <v>833</v>
      </c>
      <c r="H640" t="s">
        <v>1136</v>
      </c>
      <c r="I640" t="s">
        <v>835</v>
      </c>
      <c r="J640">
        <v>2900</v>
      </c>
      <c r="K640" t="s">
        <v>52</v>
      </c>
      <c r="L640" t="s">
        <v>37</v>
      </c>
      <c r="M640" t="s">
        <v>38</v>
      </c>
      <c r="N640" t="s">
        <v>140</v>
      </c>
    </row>
    <row r="641" spans="1:14" x14ac:dyDescent="0.2">
      <c r="A641">
        <v>640</v>
      </c>
      <c r="B641">
        <v>12</v>
      </c>
      <c r="C641">
        <v>31</v>
      </c>
      <c r="D641" t="s">
        <v>167</v>
      </c>
      <c r="F641" t="s">
        <v>1137</v>
      </c>
      <c r="H641" t="s">
        <v>1138</v>
      </c>
      <c r="I641" t="s">
        <v>1139</v>
      </c>
      <c r="J641">
        <v>3600</v>
      </c>
      <c r="K641" t="s">
        <v>52</v>
      </c>
      <c r="L641" t="s">
        <v>37</v>
      </c>
      <c r="M641" t="s">
        <v>38</v>
      </c>
      <c r="N641" t="s">
        <v>140</v>
      </c>
    </row>
    <row r="642" spans="1:14" x14ac:dyDescent="0.2">
      <c r="A642">
        <v>641</v>
      </c>
      <c r="B642">
        <v>12</v>
      </c>
      <c r="C642">
        <v>32</v>
      </c>
      <c r="D642" t="s">
        <v>174</v>
      </c>
      <c r="F642" t="s">
        <v>845</v>
      </c>
      <c r="H642" t="s">
        <v>1140</v>
      </c>
      <c r="I642" t="s">
        <v>847</v>
      </c>
      <c r="J642">
        <v>2200</v>
      </c>
      <c r="K642" t="s">
        <v>178</v>
      </c>
      <c r="L642" t="s">
        <v>37</v>
      </c>
      <c r="M642" t="s">
        <v>38</v>
      </c>
      <c r="N642" t="s">
        <v>140</v>
      </c>
    </row>
    <row r="643" spans="1:14" x14ac:dyDescent="0.2">
      <c r="A643">
        <v>642</v>
      </c>
      <c r="B643">
        <v>12</v>
      </c>
      <c r="C643">
        <v>33</v>
      </c>
      <c r="D643" t="s">
        <v>183</v>
      </c>
      <c r="F643" t="s">
        <v>184</v>
      </c>
      <c r="H643" t="s">
        <v>1141</v>
      </c>
      <c r="I643" t="s">
        <v>186</v>
      </c>
      <c r="J643">
        <v>20</v>
      </c>
      <c r="K643" t="s">
        <v>178</v>
      </c>
      <c r="L643" t="s">
        <v>37</v>
      </c>
      <c r="M643" t="s">
        <v>38</v>
      </c>
      <c r="N643" t="s">
        <v>140</v>
      </c>
    </row>
    <row r="644" spans="1:14" x14ac:dyDescent="0.2">
      <c r="A644">
        <v>643</v>
      </c>
      <c r="B644">
        <v>12</v>
      </c>
      <c r="C644">
        <v>34</v>
      </c>
      <c r="D644" t="s">
        <v>191</v>
      </c>
      <c r="F644" t="s">
        <v>1142</v>
      </c>
      <c r="H644" t="s">
        <v>1143</v>
      </c>
      <c r="I644" t="s">
        <v>1144</v>
      </c>
      <c r="J644">
        <v>40</v>
      </c>
      <c r="K644" t="s">
        <v>178</v>
      </c>
      <c r="L644" t="s">
        <v>37</v>
      </c>
      <c r="M644" t="s">
        <v>38</v>
      </c>
      <c r="N644" t="s">
        <v>140</v>
      </c>
    </row>
    <row r="645" spans="1:14" x14ac:dyDescent="0.2">
      <c r="A645">
        <v>644</v>
      </c>
      <c r="B645">
        <v>12</v>
      </c>
      <c r="C645">
        <v>35</v>
      </c>
      <c r="D645" t="s">
        <v>209</v>
      </c>
      <c r="F645" t="s">
        <v>863</v>
      </c>
      <c r="H645" t="s">
        <v>1145</v>
      </c>
      <c r="I645" t="s">
        <v>865</v>
      </c>
      <c r="J645">
        <v>40</v>
      </c>
      <c r="K645" t="s">
        <v>46</v>
      </c>
      <c r="L645" t="s">
        <v>37</v>
      </c>
      <c r="M645" t="s">
        <v>38</v>
      </c>
      <c r="N645" t="s">
        <v>140</v>
      </c>
    </row>
    <row r="646" spans="1:14" x14ac:dyDescent="0.2">
      <c r="A646">
        <v>645</v>
      </c>
      <c r="B646">
        <v>12</v>
      </c>
      <c r="C646">
        <v>36</v>
      </c>
      <c r="D646" t="s">
        <v>217</v>
      </c>
      <c r="F646" t="s">
        <v>1146</v>
      </c>
      <c r="G646" t="s">
        <v>1147</v>
      </c>
      <c r="H646" t="s">
        <v>1148</v>
      </c>
      <c r="I646" t="s">
        <v>1149</v>
      </c>
      <c r="J646">
        <v>40800</v>
      </c>
      <c r="K646" t="s">
        <v>87</v>
      </c>
      <c r="L646" t="s">
        <v>37</v>
      </c>
      <c r="M646" t="s">
        <v>38</v>
      </c>
      <c r="N646" t="s">
        <v>140</v>
      </c>
    </row>
    <row r="647" spans="1:14" x14ac:dyDescent="0.2">
      <c r="A647">
        <v>646</v>
      </c>
      <c r="B647">
        <v>12</v>
      </c>
      <c r="C647">
        <v>37</v>
      </c>
      <c r="D647" t="s">
        <v>217</v>
      </c>
      <c r="F647" t="s">
        <v>1146</v>
      </c>
      <c r="G647" t="s">
        <v>1150</v>
      </c>
      <c r="H647" t="s">
        <v>1151</v>
      </c>
      <c r="I647" t="s">
        <v>1149</v>
      </c>
      <c r="J647">
        <v>38500</v>
      </c>
      <c r="K647" t="s">
        <v>87</v>
      </c>
      <c r="L647" t="s">
        <v>37</v>
      </c>
      <c r="M647" t="s">
        <v>38</v>
      </c>
      <c r="N647" t="s">
        <v>140</v>
      </c>
    </row>
    <row r="648" spans="1:14" x14ac:dyDescent="0.2">
      <c r="A648">
        <v>647</v>
      </c>
      <c r="B648">
        <v>12</v>
      </c>
      <c r="C648">
        <v>38</v>
      </c>
      <c r="D648" t="s">
        <v>217</v>
      </c>
      <c r="F648" t="s">
        <v>860</v>
      </c>
      <c r="H648" t="s">
        <v>1152</v>
      </c>
      <c r="I648" t="s">
        <v>862</v>
      </c>
      <c r="J648">
        <v>40800</v>
      </c>
      <c r="K648" t="s">
        <v>87</v>
      </c>
      <c r="L648" t="s">
        <v>37</v>
      </c>
      <c r="M648" t="s">
        <v>38</v>
      </c>
      <c r="N648" t="s">
        <v>140</v>
      </c>
    </row>
    <row r="649" spans="1:14" x14ac:dyDescent="0.2">
      <c r="A649">
        <v>648</v>
      </c>
      <c r="B649">
        <v>12</v>
      </c>
      <c r="C649">
        <v>39</v>
      </c>
      <c r="D649" t="s">
        <v>217</v>
      </c>
      <c r="F649" t="s">
        <v>1153</v>
      </c>
      <c r="H649" t="s">
        <v>1154</v>
      </c>
      <c r="I649" t="s">
        <v>1155</v>
      </c>
      <c r="J649">
        <v>2500</v>
      </c>
      <c r="K649" t="s">
        <v>216</v>
      </c>
      <c r="L649" t="s">
        <v>37</v>
      </c>
      <c r="M649" t="s">
        <v>38</v>
      </c>
      <c r="N649" t="s">
        <v>140</v>
      </c>
    </row>
    <row r="650" spans="1:14" x14ac:dyDescent="0.2">
      <c r="A650">
        <v>649</v>
      </c>
      <c r="B650">
        <v>12</v>
      </c>
      <c r="C650">
        <v>40</v>
      </c>
      <c r="D650" t="s">
        <v>217</v>
      </c>
      <c r="F650" t="s">
        <v>1156</v>
      </c>
      <c r="H650" t="s">
        <v>1157</v>
      </c>
      <c r="I650" t="s">
        <v>1158</v>
      </c>
      <c r="J650">
        <v>21800</v>
      </c>
      <c r="K650" t="s">
        <v>87</v>
      </c>
      <c r="L650" t="s">
        <v>37</v>
      </c>
      <c r="M650" t="s">
        <v>38</v>
      </c>
      <c r="N650" t="s">
        <v>140</v>
      </c>
    </row>
    <row r="651" spans="1:14" x14ac:dyDescent="0.2">
      <c r="A651">
        <v>650</v>
      </c>
      <c r="B651">
        <v>12</v>
      </c>
      <c r="C651">
        <v>41</v>
      </c>
      <c r="D651" t="s">
        <v>227</v>
      </c>
      <c r="F651" t="s">
        <v>1159</v>
      </c>
      <c r="H651" t="s">
        <v>1160</v>
      </c>
      <c r="I651" t="s">
        <v>1161</v>
      </c>
      <c r="J651">
        <v>137</v>
      </c>
      <c r="K651" t="s">
        <v>36</v>
      </c>
      <c r="L651" t="s">
        <v>57</v>
      </c>
      <c r="M651" t="s">
        <v>232</v>
      </c>
      <c r="N651" t="s">
        <v>233</v>
      </c>
    </row>
    <row r="652" spans="1:14" x14ac:dyDescent="0.2">
      <c r="A652">
        <v>651</v>
      </c>
      <c r="B652">
        <v>12</v>
      </c>
      <c r="C652">
        <v>42</v>
      </c>
      <c r="D652" t="s">
        <v>227</v>
      </c>
      <c r="F652" t="s">
        <v>1162</v>
      </c>
      <c r="H652" t="s">
        <v>1163</v>
      </c>
      <c r="I652" t="s">
        <v>1164</v>
      </c>
      <c r="J652">
        <v>77</v>
      </c>
      <c r="K652" t="s">
        <v>36</v>
      </c>
      <c r="L652" t="s">
        <v>57</v>
      </c>
      <c r="M652" t="s">
        <v>232</v>
      </c>
      <c r="N652" t="s">
        <v>233</v>
      </c>
    </row>
    <row r="653" spans="1:14" x14ac:dyDescent="0.2">
      <c r="A653">
        <v>652</v>
      </c>
      <c r="B653">
        <v>12</v>
      </c>
      <c r="C653">
        <v>43</v>
      </c>
      <c r="D653" t="s">
        <v>227</v>
      </c>
      <c r="F653" t="s">
        <v>1165</v>
      </c>
      <c r="H653" t="s">
        <v>1166</v>
      </c>
      <c r="I653" t="s">
        <v>1167</v>
      </c>
      <c r="J653">
        <v>1080</v>
      </c>
      <c r="K653" t="s">
        <v>36</v>
      </c>
      <c r="L653" t="s">
        <v>57</v>
      </c>
      <c r="M653" t="s">
        <v>232</v>
      </c>
      <c r="N653" t="s">
        <v>233</v>
      </c>
    </row>
    <row r="654" spans="1:14" x14ac:dyDescent="0.2">
      <c r="A654">
        <v>653</v>
      </c>
      <c r="B654">
        <v>12</v>
      </c>
      <c r="C654">
        <v>44</v>
      </c>
      <c r="D654" t="s">
        <v>227</v>
      </c>
      <c r="F654" t="s">
        <v>1168</v>
      </c>
      <c r="H654" t="s">
        <v>1169</v>
      </c>
      <c r="I654" t="s">
        <v>1170</v>
      </c>
      <c r="J654">
        <v>69</v>
      </c>
      <c r="K654" t="s">
        <v>36</v>
      </c>
      <c r="L654" t="s">
        <v>57</v>
      </c>
      <c r="M654" t="s">
        <v>232</v>
      </c>
      <c r="N654" t="s">
        <v>233</v>
      </c>
    </row>
    <row r="655" spans="1:14" x14ac:dyDescent="0.2">
      <c r="A655">
        <v>654</v>
      </c>
      <c r="B655">
        <v>12</v>
      </c>
      <c r="C655">
        <v>45</v>
      </c>
      <c r="D655" t="s">
        <v>227</v>
      </c>
      <c r="F655" t="s">
        <v>1171</v>
      </c>
      <c r="H655" t="s">
        <v>1172</v>
      </c>
      <c r="I655" t="s">
        <v>1173</v>
      </c>
      <c r="J655">
        <v>151</v>
      </c>
      <c r="K655" t="s">
        <v>36</v>
      </c>
      <c r="L655" t="s">
        <v>57</v>
      </c>
      <c r="M655" t="s">
        <v>232</v>
      </c>
      <c r="N655" t="s">
        <v>233</v>
      </c>
    </row>
    <row r="656" spans="1:14" x14ac:dyDescent="0.2">
      <c r="A656">
        <v>655</v>
      </c>
      <c r="B656">
        <v>12</v>
      </c>
      <c r="C656">
        <v>46</v>
      </c>
      <c r="D656" t="s">
        <v>227</v>
      </c>
      <c r="F656" t="s">
        <v>1174</v>
      </c>
      <c r="G656" t="s">
        <v>1175</v>
      </c>
      <c r="H656" t="s">
        <v>1176</v>
      </c>
      <c r="I656" t="s">
        <v>1177</v>
      </c>
      <c r="J656">
        <v>1</v>
      </c>
      <c r="K656" t="s">
        <v>17</v>
      </c>
      <c r="L656" t="s">
        <v>57</v>
      </c>
      <c r="M656" t="s">
        <v>232</v>
      </c>
      <c r="N656" t="s">
        <v>233</v>
      </c>
    </row>
    <row r="657" spans="1:14" x14ac:dyDescent="0.2">
      <c r="A657">
        <v>656</v>
      </c>
      <c r="B657">
        <v>12</v>
      </c>
      <c r="C657">
        <v>47</v>
      </c>
      <c r="D657" t="s">
        <v>446</v>
      </c>
      <c r="F657" t="s">
        <v>1178</v>
      </c>
      <c r="G657" t="s">
        <v>1179</v>
      </c>
      <c r="H657" t="s">
        <v>1180</v>
      </c>
      <c r="I657" t="s">
        <v>1181</v>
      </c>
      <c r="J657">
        <v>1309</v>
      </c>
      <c r="K657" t="s">
        <v>36</v>
      </c>
      <c r="L657" t="s">
        <v>57</v>
      </c>
      <c r="M657" t="s">
        <v>232</v>
      </c>
      <c r="N657" t="s">
        <v>233</v>
      </c>
    </row>
    <row r="658" spans="1:14" x14ac:dyDescent="0.2">
      <c r="A658">
        <v>657</v>
      </c>
      <c r="B658">
        <v>12</v>
      </c>
      <c r="C658">
        <v>48</v>
      </c>
      <c r="D658" t="s">
        <v>263</v>
      </c>
      <c r="F658" t="s">
        <v>1182</v>
      </c>
      <c r="H658" t="s">
        <v>1183</v>
      </c>
      <c r="I658" t="s">
        <v>1184</v>
      </c>
      <c r="J658">
        <v>2</v>
      </c>
      <c r="K658" t="s">
        <v>72</v>
      </c>
      <c r="L658" t="s">
        <v>57</v>
      </c>
      <c r="M658" t="s">
        <v>232</v>
      </c>
      <c r="N658" t="s">
        <v>233</v>
      </c>
    </row>
    <row r="659" spans="1:14" x14ac:dyDescent="0.2">
      <c r="A659">
        <v>658</v>
      </c>
      <c r="B659">
        <v>12</v>
      </c>
      <c r="C659">
        <v>49</v>
      </c>
      <c r="D659" t="s">
        <v>263</v>
      </c>
      <c r="F659" t="s">
        <v>1185</v>
      </c>
      <c r="H659" t="s">
        <v>1186</v>
      </c>
      <c r="I659" t="s">
        <v>1187</v>
      </c>
      <c r="J659">
        <v>2</v>
      </c>
      <c r="K659" t="s">
        <v>72</v>
      </c>
      <c r="L659" t="s">
        <v>57</v>
      </c>
      <c r="M659" t="s">
        <v>232</v>
      </c>
      <c r="N659" t="s">
        <v>233</v>
      </c>
    </row>
    <row r="660" spans="1:14" x14ac:dyDescent="0.2">
      <c r="A660">
        <v>659</v>
      </c>
      <c r="B660">
        <v>12</v>
      </c>
      <c r="C660">
        <v>50</v>
      </c>
      <c r="D660" t="s">
        <v>1188</v>
      </c>
      <c r="F660" t="s">
        <v>1189</v>
      </c>
      <c r="H660" t="s">
        <v>1190</v>
      </c>
      <c r="I660" t="s">
        <v>1191</v>
      </c>
      <c r="J660">
        <v>1100</v>
      </c>
      <c r="K660" t="s">
        <v>46</v>
      </c>
      <c r="L660" t="s">
        <v>57</v>
      </c>
      <c r="M660" t="s">
        <v>232</v>
      </c>
      <c r="N660" t="s">
        <v>233</v>
      </c>
    </row>
    <row r="661" spans="1:14" x14ac:dyDescent="0.2">
      <c r="A661">
        <v>660</v>
      </c>
      <c r="B661">
        <v>12</v>
      </c>
      <c r="C661">
        <v>51</v>
      </c>
      <c r="D661" t="s">
        <v>1188</v>
      </c>
      <c r="F661" t="s">
        <v>1192</v>
      </c>
      <c r="H661" t="s">
        <v>1193</v>
      </c>
      <c r="I661" t="s">
        <v>1194</v>
      </c>
      <c r="J661">
        <v>310</v>
      </c>
      <c r="K661" t="s">
        <v>46</v>
      </c>
      <c r="L661" t="s">
        <v>57</v>
      </c>
      <c r="M661" t="s">
        <v>232</v>
      </c>
      <c r="N661" t="s">
        <v>233</v>
      </c>
    </row>
    <row r="662" spans="1:14" x14ac:dyDescent="0.2">
      <c r="A662">
        <v>661</v>
      </c>
      <c r="B662">
        <v>12</v>
      </c>
      <c r="C662">
        <v>52</v>
      </c>
      <c r="D662" t="s">
        <v>1188</v>
      </c>
      <c r="F662" t="s">
        <v>1195</v>
      </c>
      <c r="H662" t="s">
        <v>1196</v>
      </c>
      <c r="I662" t="s">
        <v>1197</v>
      </c>
      <c r="J662">
        <v>29300</v>
      </c>
      <c r="K662" t="s">
        <v>216</v>
      </c>
      <c r="L662" t="s">
        <v>57</v>
      </c>
      <c r="M662" t="s">
        <v>232</v>
      </c>
      <c r="N662" t="s">
        <v>233</v>
      </c>
    </row>
    <row r="663" spans="1:14" x14ac:dyDescent="0.2">
      <c r="A663">
        <v>662</v>
      </c>
      <c r="B663">
        <v>12</v>
      </c>
      <c r="C663">
        <v>53</v>
      </c>
      <c r="D663" t="s">
        <v>302</v>
      </c>
      <c r="F663" t="s">
        <v>303</v>
      </c>
      <c r="H663" t="s">
        <v>1198</v>
      </c>
      <c r="I663" t="s">
        <v>305</v>
      </c>
      <c r="J663">
        <v>17</v>
      </c>
      <c r="K663" t="s">
        <v>133</v>
      </c>
      <c r="L663" t="s">
        <v>25</v>
      </c>
      <c r="M663" t="s">
        <v>26</v>
      </c>
      <c r="N663" t="s">
        <v>306</v>
      </c>
    </row>
    <row r="664" spans="1:14" x14ac:dyDescent="0.2">
      <c r="A664">
        <v>663</v>
      </c>
      <c r="B664">
        <v>12</v>
      </c>
      <c r="C664">
        <v>54</v>
      </c>
      <c r="D664" t="s">
        <v>455</v>
      </c>
      <c r="F664" t="s">
        <v>1199</v>
      </c>
      <c r="G664" t="s">
        <v>1200</v>
      </c>
      <c r="H664" t="s">
        <v>1201</v>
      </c>
      <c r="I664" t="s">
        <v>1202</v>
      </c>
      <c r="J664">
        <v>5000</v>
      </c>
      <c r="K664" t="s">
        <v>46</v>
      </c>
      <c r="L664" t="s">
        <v>25</v>
      </c>
      <c r="M664" t="s">
        <v>26</v>
      </c>
      <c r="N664" t="s">
        <v>306</v>
      </c>
    </row>
    <row r="665" spans="1:14" x14ac:dyDescent="0.2">
      <c r="A665">
        <v>664</v>
      </c>
      <c r="B665">
        <v>12</v>
      </c>
      <c r="C665">
        <v>55</v>
      </c>
      <c r="D665" t="s">
        <v>455</v>
      </c>
      <c r="F665" t="s">
        <v>1199</v>
      </c>
      <c r="G665" t="s">
        <v>1203</v>
      </c>
      <c r="H665" t="s">
        <v>1204</v>
      </c>
      <c r="I665" t="s">
        <v>1202</v>
      </c>
      <c r="J665">
        <v>4800</v>
      </c>
      <c r="K665" t="s">
        <v>46</v>
      </c>
      <c r="L665" t="s">
        <v>25</v>
      </c>
      <c r="M665" t="s">
        <v>26</v>
      </c>
      <c r="N665" t="s">
        <v>306</v>
      </c>
    </row>
    <row r="666" spans="1:14" x14ac:dyDescent="0.2">
      <c r="A666">
        <v>665</v>
      </c>
      <c r="B666">
        <v>12</v>
      </c>
      <c r="C666">
        <v>56</v>
      </c>
      <c r="D666">
        <v>26100</v>
      </c>
      <c r="F666" t="s">
        <v>1205</v>
      </c>
      <c r="H666" t="s">
        <v>1206</v>
      </c>
      <c r="I666" t="s">
        <v>1207</v>
      </c>
      <c r="J666">
        <v>1000</v>
      </c>
      <c r="K666" t="s">
        <v>52</v>
      </c>
      <c r="L666" t="s">
        <v>30</v>
      </c>
      <c r="M666" t="s">
        <v>30</v>
      </c>
      <c r="N666" t="s">
        <v>288</v>
      </c>
    </row>
    <row r="667" spans="1:14" x14ac:dyDescent="0.2">
      <c r="A667">
        <v>666</v>
      </c>
      <c r="B667">
        <v>12</v>
      </c>
      <c r="C667">
        <v>57</v>
      </c>
      <c r="D667">
        <v>312300</v>
      </c>
      <c r="F667" t="s">
        <v>320</v>
      </c>
      <c r="G667" t="s">
        <v>1208</v>
      </c>
      <c r="H667" t="s">
        <v>1209</v>
      </c>
      <c r="I667" t="s">
        <v>322</v>
      </c>
      <c r="J667">
        <v>2</v>
      </c>
      <c r="K667" t="s">
        <v>72</v>
      </c>
      <c r="L667" t="s">
        <v>57</v>
      </c>
      <c r="M667" t="s">
        <v>232</v>
      </c>
      <c r="N667" t="s">
        <v>233</v>
      </c>
    </row>
    <row r="668" spans="1:14" x14ac:dyDescent="0.2">
      <c r="A668">
        <v>667</v>
      </c>
      <c r="B668">
        <v>12</v>
      </c>
      <c r="C668">
        <v>58</v>
      </c>
      <c r="D668">
        <v>312300</v>
      </c>
      <c r="F668" t="s">
        <v>320</v>
      </c>
      <c r="G668" t="s">
        <v>1210</v>
      </c>
      <c r="H668" t="s">
        <v>1211</v>
      </c>
      <c r="I668" t="s">
        <v>322</v>
      </c>
      <c r="J668">
        <v>2</v>
      </c>
      <c r="K668" t="s">
        <v>72</v>
      </c>
      <c r="L668" t="s">
        <v>57</v>
      </c>
      <c r="M668" t="s">
        <v>232</v>
      </c>
      <c r="N668" t="s">
        <v>233</v>
      </c>
    </row>
    <row r="669" spans="1:14" x14ac:dyDescent="0.2">
      <c r="A669">
        <v>668</v>
      </c>
      <c r="B669">
        <v>12</v>
      </c>
      <c r="C669">
        <v>59</v>
      </c>
      <c r="D669">
        <v>312300</v>
      </c>
      <c r="F669" t="s">
        <v>320</v>
      </c>
      <c r="G669" t="s">
        <v>1212</v>
      </c>
      <c r="H669" t="s">
        <v>1213</v>
      </c>
      <c r="I669" t="s">
        <v>322</v>
      </c>
      <c r="J669">
        <v>3</v>
      </c>
      <c r="K669" t="s">
        <v>72</v>
      </c>
      <c r="L669" t="s">
        <v>57</v>
      </c>
      <c r="M669" t="s">
        <v>232</v>
      </c>
      <c r="N669" t="s">
        <v>233</v>
      </c>
    </row>
    <row r="670" spans="1:14" x14ac:dyDescent="0.2">
      <c r="A670">
        <v>669</v>
      </c>
      <c r="B670">
        <v>12</v>
      </c>
      <c r="C670">
        <v>60</v>
      </c>
      <c r="D670">
        <v>312300</v>
      </c>
      <c r="F670" t="s">
        <v>459</v>
      </c>
      <c r="H670" t="s">
        <v>1214</v>
      </c>
      <c r="I670" t="s">
        <v>461</v>
      </c>
      <c r="J670">
        <v>1</v>
      </c>
      <c r="K670" t="s">
        <v>72</v>
      </c>
      <c r="L670" t="s">
        <v>57</v>
      </c>
      <c r="M670" t="s">
        <v>232</v>
      </c>
      <c r="N670" t="s">
        <v>233</v>
      </c>
    </row>
    <row r="671" spans="1:14" x14ac:dyDescent="0.2">
      <c r="A671">
        <v>670</v>
      </c>
      <c r="B671">
        <v>12</v>
      </c>
      <c r="C671">
        <v>61</v>
      </c>
      <c r="D671">
        <v>330516</v>
      </c>
      <c r="F671" t="s">
        <v>1215</v>
      </c>
      <c r="H671" t="s">
        <v>1216</v>
      </c>
      <c r="I671" t="s">
        <v>1217</v>
      </c>
      <c r="J671">
        <v>10</v>
      </c>
      <c r="K671" t="s">
        <v>72</v>
      </c>
      <c r="L671" t="s">
        <v>57</v>
      </c>
      <c r="M671" t="s">
        <v>58</v>
      </c>
      <c r="N671" t="s">
        <v>347</v>
      </c>
    </row>
    <row r="672" spans="1:14" x14ac:dyDescent="0.2">
      <c r="A672">
        <v>671</v>
      </c>
      <c r="B672">
        <v>12</v>
      </c>
      <c r="C672">
        <v>62</v>
      </c>
      <c r="D672">
        <v>354000</v>
      </c>
      <c r="F672" t="s">
        <v>1218</v>
      </c>
      <c r="H672" t="s">
        <v>1219</v>
      </c>
      <c r="I672" t="s">
        <v>1220</v>
      </c>
      <c r="J672">
        <v>120</v>
      </c>
      <c r="K672" t="s">
        <v>72</v>
      </c>
      <c r="L672" t="s">
        <v>25</v>
      </c>
      <c r="M672" t="s">
        <v>26</v>
      </c>
      <c r="N672" t="s">
        <v>306</v>
      </c>
    </row>
    <row r="673" spans="1:14" x14ac:dyDescent="0.2">
      <c r="A673">
        <v>672</v>
      </c>
      <c r="B673">
        <v>12</v>
      </c>
      <c r="C673">
        <v>63</v>
      </c>
      <c r="D673">
        <v>354000</v>
      </c>
      <c r="F673" t="s">
        <v>1221</v>
      </c>
      <c r="H673" t="s">
        <v>1222</v>
      </c>
      <c r="I673" t="s">
        <v>1223</v>
      </c>
      <c r="J673">
        <v>750</v>
      </c>
      <c r="K673" t="s">
        <v>46</v>
      </c>
      <c r="L673" t="s">
        <v>25</v>
      </c>
      <c r="M673" t="s">
        <v>26</v>
      </c>
      <c r="N673" t="s">
        <v>306</v>
      </c>
    </row>
    <row r="674" spans="1:14" x14ac:dyDescent="0.2">
      <c r="A674">
        <v>673</v>
      </c>
      <c r="B674">
        <v>12</v>
      </c>
      <c r="C674">
        <v>64</v>
      </c>
      <c r="D674">
        <v>354000</v>
      </c>
      <c r="F674" t="s">
        <v>1224</v>
      </c>
      <c r="H674" t="s">
        <v>1225</v>
      </c>
      <c r="I674" t="s">
        <v>1226</v>
      </c>
      <c r="J674">
        <v>150</v>
      </c>
      <c r="K674" t="s">
        <v>46</v>
      </c>
      <c r="L674" t="s">
        <v>25</v>
      </c>
      <c r="M674" t="s">
        <v>26</v>
      </c>
      <c r="N674" t="s">
        <v>306</v>
      </c>
    </row>
    <row r="675" spans="1:14" x14ac:dyDescent="0.2">
      <c r="A675">
        <v>674</v>
      </c>
      <c r="B675">
        <v>12</v>
      </c>
      <c r="C675">
        <v>65</v>
      </c>
      <c r="D675">
        <v>354000</v>
      </c>
      <c r="F675" t="s">
        <v>1227</v>
      </c>
      <c r="H675" t="s">
        <v>1228</v>
      </c>
      <c r="I675" t="s">
        <v>1229</v>
      </c>
      <c r="J675">
        <v>4</v>
      </c>
      <c r="K675" t="s">
        <v>72</v>
      </c>
      <c r="L675" t="s">
        <v>25</v>
      </c>
      <c r="M675" t="s">
        <v>26</v>
      </c>
      <c r="N675" t="s">
        <v>306</v>
      </c>
    </row>
    <row r="676" spans="1:14" x14ac:dyDescent="0.2">
      <c r="A676">
        <v>675</v>
      </c>
      <c r="B676">
        <v>12</v>
      </c>
      <c r="C676">
        <v>66</v>
      </c>
      <c r="D676">
        <v>354000</v>
      </c>
      <c r="F676" t="s">
        <v>1230</v>
      </c>
      <c r="H676" t="s">
        <v>1231</v>
      </c>
      <c r="I676" t="s">
        <v>1232</v>
      </c>
      <c r="J676">
        <v>40</v>
      </c>
      <c r="K676" t="s">
        <v>46</v>
      </c>
      <c r="L676" t="s">
        <v>25</v>
      </c>
      <c r="M676" t="s">
        <v>26</v>
      </c>
      <c r="N676" t="s">
        <v>306</v>
      </c>
    </row>
    <row r="677" spans="1:14" x14ac:dyDescent="0.2">
      <c r="A677">
        <v>676</v>
      </c>
      <c r="B677">
        <v>12</v>
      </c>
      <c r="C677">
        <v>67</v>
      </c>
      <c r="D677" t="s">
        <v>240</v>
      </c>
      <c r="F677" t="s">
        <v>1233</v>
      </c>
      <c r="G677" t="s">
        <v>1234</v>
      </c>
      <c r="H677" t="s">
        <v>1235</v>
      </c>
      <c r="I677" t="s">
        <v>1236</v>
      </c>
      <c r="J677">
        <v>16000</v>
      </c>
      <c r="K677" t="s">
        <v>36</v>
      </c>
      <c r="L677" t="s">
        <v>244</v>
      </c>
      <c r="M677" t="s">
        <v>245</v>
      </c>
      <c r="N677" t="s">
        <v>246</v>
      </c>
    </row>
    <row r="678" spans="1:14" x14ac:dyDescent="0.2">
      <c r="A678">
        <v>677</v>
      </c>
      <c r="B678">
        <v>12</v>
      </c>
      <c r="C678">
        <v>68</v>
      </c>
      <c r="D678" t="s">
        <v>240</v>
      </c>
      <c r="F678" t="s">
        <v>1237</v>
      </c>
      <c r="G678" t="s">
        <v>1238</v>
      </c>
      <c r="H678" t="s">
        <v>1239</v>
      </c>
      <c r="I678" t="s">
        <v>1240</v>
      </c>
      <c r="J678">
        <v>1911</v>
      </c>
      <c r="K678" t="s">
        <v>36</v>
      </c>
      <c r="L678" t="s">
        <v>244</v>
      </c>
      <c r="M678" t="s">
        <v>245</v>
      </c>
      <c r="N678" t="s">
        <v>246</v>
      </c>
    </row>
    <row r="679" spans="1:14" x14ac:dyDescent="0.2">
      <c r="A679">
        <v>678</v>
      </c>
      <c r="B679">
        <v>12</v>
      </c>
      <c r="C679">
        <v>69</v>
      </c>
      <c r="D679" t="s">
        <v>240</v>
      </c>
      <c r="F679" t="s">
        <v>1241</v>
      </c>
      <c r="H679" t="s">
        <v>1242</v>
      </c>
      <c r="I679" t="s">
        <v>1243</v>
      </c>
      <c r="J679">
        <v>10</v>
      </c>
      <c r="K679" t="s">
        <v>72</v>
      </c>
      <c r="L679" t="s">
        <v>244</v>
      </c>
      <c r="M679" t="s">
        <v>245</v>
      </c>
      <c r="N679" t="s">
        <v>246</v>
      </c>
    </row>
    <row r="680" spans="1:14" x14ac:dyDescent="0.2">
      <c r="A680">
        <v>679</v>
      </c>
      <c r="B680">
        <v>12</v>
      </c>
      <c r="C680">
        <v>70</v>
      </c>
      <c r="D680" t="s">
        <v>267</v>
      </c>
      <c r="F680" t="s">
        <v>1244</v>
      </c>
      <c r="G680" t="s">
        <v>1245</v>
      </c>
      <c r="H680" t="s">
        <v>1246</v>
      </c>
      <c r="I680" t="s">
        <v>1247</v>
      </c>
      <c r="J680">
        <v>1948</v>
      </c>
      <c r="K680" t="s">
        <v>36</v>
      </c>
      <c r="L680" t="s">
        <v>244</v>
      </c>
      <c r="M680" t="s">
        <v>245</v>
      </c>
      <c r="N680" t="s">
        <v>246</v>
      </c>
    </row>
    <row r="681" spans="1:14" x14ac:dyDescent="0.2">
      <c r="A681">
        <v>680</v>
      </c>
      <c r="B681">
        <v>12</v>
      </c>
      <c r="C681">
        <v>71</v>
      </c>
      <c r="D681" t="s">
        <v>267</v>
      </c>
      <c r="F681" t="s">
        <v>1248</v>
      </c>
      <c r="G681" t="s">
        <v>1245</v>
      </c>
      <c r="H681" t="s">
        <v>1249</v>
      </c>
      <c r="I681" t="s">
        <v>1250</v>
      </c>
      <c r="J681">
        <v>160</v>
      </c>
      <c r="K681" t="s">
        <v>36</v>
      </c>
      <c r="L681" t="s">
        <v>244</v>
      </c>
      <c r="M681" t="s">
        <v>245</v>
      </c>
      <c r="N681" t="s">
        <v>246</v>
      </c>
    </row>
    <row r="682" spans="1:14" x14ac:dyDescent="0.2">
      <c r="A682">
        <v>681</v>
      </c>
      <c r="B682">
        <v>12</v>
      </c>
      <c r="C682">
        <v>72</v>
      </c>
      <c r="D682">
        <v>260500</v>
      </c>
      <c r="F682" t="s">
        <v>291</v>
      </c>
      <c r="H682" t="s">
        <v>1251</v>
      </c>
      <c r="I682" t="s">
        <v>293</v>
      </c>
      <c r="J682">
        <v>1</v>
      </c>
      <c r="K682" t="s">
        <v>17</v>
      </c>
      <c r="L682" t="s">
        <v>244</v>
      </c>
      <c r="M682" t="s">
        <v>294</v>
      </c>
      <c r="N682" t="s">
        <v>295</v>
      </c>
    </row>
    <row r="683" spans="1:14" x14ac:dyDescent="0.2">
      <c r="A683">
        <v>682</v>
      </c>
      <c r="B683">
        <v>12</v>
      </c>
      <c r="C683">
        <v>73</v>
      </c>
      <c r="D683">
        <v>260500</v>
      </c>
      <c r="F683" t="s">
        <v>299</v>
      </c>
      <c r="H683" t="s">
        <v>1252</v>
      </c>
      <c r="I683" t="s">
        <v>301</v>
      </c>
      <c r="J683">
        <v>1</v>
      </c>
      <c r="K683" t="s">
        <v>17</v>
      </c>
      <c r="L683" t="s">
        <v>244</v>
      </c>
      <c r="M683" t="s">
        <v>294</v>
      </c>
      <c r="N683" t="s">
        <v>295</v>
      </c>
    </row>
    <row r="684" spans="1:14" x14ac:dyDescent="0.2">
      <c r="A684">
        <v>683</v>
      </c>
      <c r="B684">
        <v>12</v>
      </c>
      <c r="C684">
        <v>74</v>
      </c>
      <c r="D684">
        <v>260500</v>
      </c>
      <c r="F684" t="s">
        <v>1253</v>
      </c>
      <c r="H684" t="s">
        <v>1254</v>
      </c>
      <c r="I684" t="s">
        <v>1255</v>
      </c>
      <c r="J684">
        <v>1</v>
      </c>
      <c r="K684" t="s">
        <v>17</v>
      </c>
      <c r="L684" t="s">
        <v>244</v>
      </c>
      <c r="M684" t="s">
        <v>294</v>
      </c>
      <c r="N684" t="s">
        <v>295</v>
      </c>
    </row>
    <row r="685" spans="1:14" x14ac:dyDescent="0.2">
      <c r="A685">
        <v>684</v>
      </c>
      <c r="B685">
        <v>12</v>
      </c>
      <c r="C685">
        <v>75</v>
      </c>
      <c r="D685">
        <v>260500</v>
      </c>
      <c r="F685" t="s">
        <v>1256</v>
      </c>
      <c r="H685" t="s">
        <v>1257</v>
      </c>
      <c r="I685" t="s">
        <v>1258</v>
      </c>
      <c r="J685">
        <v>1</v>
      </c>
      <c r="K685" t="s">
        <v>17</v>
      </c>
      <c r="L685" t="s">
        <v>244</v>
      </c>
      <c r="M685" t="s">
        <v>294</v>
      </c>
      <c r="N685" t="s">
        <v>295</v>
      </c>
    </row>
    <row r="686" spans="1:14" x14ac:dyDescent="0.2">
      <c r="A686">
        <v>685</v>
      </c>
      <c r="B686">
        <v>12</v>
      </c>
      <c r="C686">
        <v>76</v>
      </c>
      <c r="D686">
        <v>260500</v>
      </c>
      <c r="F686" t="s">
        <v>1259</v>
      </c>
      <c r="H686" t="s">
        <v>1260</v>
      </c>
      <c r="I686" t="s">
        <v>1261</v>
      </c>
      <c r="J686">
        <v>1</v>
      </c>
      <c r="K686" t="s">
        <v>17</v>
      </c>
      <c r="L686" t="s">
        <v>244</v>
      </c>
      <c r="M686" t="s">
        <v>294</v>
      </c>
      <c r="N686" t="s">
        <v>295</v>
      </c>
    </row>
    <row r="687" spans="1:14" x14ac:dyDescent="0.2">
      <c r="A687">
        <v>686</v>
      </c>
      <c r="B687">
        <v>12</v>
      </c>
      <c r="C687">
        <v>77</v>
      </c>
      <c r="D687">
        <v>344300</v>
      </c>
      <c r="F687" t="s">
        <v>1262</v>
      </c>
      <c r="G687" t="s">
        <v>1263</v>
      </c>
      <c r="H687" t="s">
        <v>1264</v>
      </c>
      <c r="I687" t="s">
        <v>1265</v>
      </c>
      <c r="J687">
        <v>1</v>
      </c>
      <c r="K687" t="s">
        <v>72</v>
      </c>
      <c r="L687" t="s">
        <v>244</v>
      </c>
      <c r="M687" t="s">
        <v>245</v>
      </c>
      <c r="N687" t="s">
        <v>246</v>
      </c>
    </row>
    <row r="688" spans="1:14" x14ac:dyDescent="0.2">
      <c r="A688">
        <v>687</v>
      </c>
      <c r="B688">
        <v>12</v>
      </c>
      <c r="C688">
        <v>78</v>
      </c>
      <c r="D688">
        <v>344300</v>
      </c>
      <c r="F688" t="s">
        <v>1266</v>
      </c>
      <c r="G688" t="s">
        <v>1263</v>
      </c>
      <c r="H688" t="s">
        <v>1267</v>
      </c>
      <c r="I688" t="s">
        <v>1268</v>
      </c>
      <c r="J688">
        <v>8</v>
      </c>
      <c r="K688" t="s">
        <v>72</v>
      </c>
      <c r="L688" t="s">
        <v>244</v>
      </c>
      <c r="M688" t="s">
        <v>245</v>
      </c>
      <c r="N688" t="s">
        <v>246</v>
      </c>
    </row>
    <row r="689" spans="1:14" x14ac:dyDescent="0.2">
      <c r="A689">
        <v>688</v>
      </c>
      <c r="B689">
        <v>12</v>
      </c>
      <c r="C689">
        <v>79</v>
      </c>
      <c r="D689">
        <v>344300</v>
      </c>
      <c r="F689" t="s">
        <v>1269</v>
      </c>
      <c r="G689" t="s">
        <v>1263</v>
      </c>
      <c r="H689" t="s">
        <v>1270</v>
      </c>
      <c r="I689" t="s">
        <v>1271</v>
      </c>
      <c r="J689">
        <v>2</v>
      </c>
      <c r="K689" t="s">
        <v>72</v>
      </c>
      <c r="L689" t="s">
        <v>244</v>
      </c>
      <c r="M689" t="s">
        <v>245</v>
      </c>
      <c r="N689" t="s">
        <v>246</v>
      </c>
    </row>
    <row r="690" spans="1:14" x14ac:dyDescent="0.2">
      <c r="A690">
        <v>689</v>
      </c>
      <c r="B690">
        <v>12</v>
      </c>
      <c r="C690">
        <v>80</v>
      </c>
      <c r="D690">
        <v>344300</v>
      </c>
      <c r="F690" t="s">
        <v>1272</v>
      </c>
      <c r="G690" t="s">
        <v>1263</v>
      </c>
      <c r="H690" t="s">
        <v>1273</v>
      </c>
      <c r="I690" t="s">
        <v>1274</v>
      </c>
      <c r="J690">
        <v>38</v>
      </c>
      <c r="K690" t="s">
        <v>72</v>
      </c>
      <c r="L690" t="s">
        <v>244</v>
      </c>
      <c r="M690" t="s">
        <v>245</v>
      </c>
      <c r="N690" t="s">
        <v>246</v>
      </c>
    </row>
    <row r="691" spans="1:14" x14ac:dyDescent="0.2">
      <c r="A691">
        <v>690</v>
      </c>
      <c r="B691">
        <v>12</v>
      </c>
      <c r="C691">
        <v>81</v>
      </c>
      <c r="D691">
        <v>344300</v>
      </c>
      <c r="F691" t="s">
        <v>1275</v>
      </c>
      <c r="G691" t="s">
        <v>1276</v>
      </c>
      <c r="H691" t="s">
        <v>1277</v>
      </c>
      <c r="I691" t="s">
        <v>1278</v>
      </c>
      <c r="J691">
        <v>1</v>
      </c>
      <c r="K691" t="s">
        <v>72</v>
      </c>
      <c r="L691" t="s">
        <v>244</v>
      </c>
      <c r="M691" t="s">
        <v>245</v>
      </c>
      <c r="N691" t="s">
        <v>246</v>
      </c>
    </row>
    <row r="692" spans="1:14" x14ac:dyDescent="0.2">
      <c r="A692">
        <v>691</v>
      </c>
      <c r="B692">
        <v>12</v>
      </c>
      <c r="C692">
        <v>82</v>
      </c>
      <c r="D692">
        <v>344300</v>
      </c>
      <c r="F692" t="s">
        <v>1279</v>
      </c>
      <c r="H692" t="s">
        <v>1280</v>
      </c>
      <c r="I692" t="s">
        <v>1281</v>
      </c>
      <c r="J692">
        <v>13</v>
      </c>
      <c r="K692" t="s">
        <v>72</v>
      </c>
      <c r="L692" t="s">
        <v>244</v>
      </c>
      <c r="M692" t="s">
        <v>245</v>
      </c>
      <c r="N692" t="s">
        <v>246</v>
      </c>
    </row>
    <row r="693" spans="1:14" x14ac:dyDescent="0.2">
      <c r="A693">
        <v>692</v>
      </c>
      <c r="B693">
        <v>12</v>
      </c>
      <c r="C693">
        <v>83</v>
      </c>
      <c r="D693">
        <v>344301</v>
      </c>
      <c r="F693" t="s">
        <v>1282</v>
      </c>
      <c r="H693" t="s">
        <v>1283</v>
      </c>
      <c r="I693" t="s">
        <v>1284</v>
      </c>
      <c r="J693">
        <v>3</v>
      </c>
      <c r="K693" t="s">
        <v>72</v>
      </c>
      <c r="L693" t="s">
        <v>244</v>
      </c>
      <c r="M693" t="s">
        <v>245</v>
      </c>
      <c r="N693" t="s">
        <v>246</v>
      </c>
    </row>
    <row r="694" spans="1:14" x14ac:dyDescent="0.2">
      <c r="A694">
        <v>693</v>
      </c>
      <c r="B694">
        <v>12</v>
      </c>
      <c r="C694">
        <v>84</v>
      </c>
      <c r="D694">
        <v>344302</v>
      </c>
      <c r="F694" t="s">
        <v>1285</v>
      </c>
      <c r="G694" t="s">
        <v>1286</v>
      </c>
      <c r="H694" t="s">
        <v>1287</v>
      </c>
      <c r="I694" t="s">
        <v>1288</v>
      </c>
      <c r="J694">
        <v>1</v>
      </c>
      <c r="K694" t="s">
        <v>17</v>
      </c>
      <c r="L694" t="s">
        <v>244</v>
      </c>
      <c r="M694" t="s">
        <v>362</v>
      </c>
      <c r="N694" t="s">
        <v>363</v>
      </c>
    </row>
    <row r="695" spans="1:14" x14ac:dyDescent="0.2">
      <c r="A695">
        <v>694</v>
      </c>
      <c r="B695">
        <v>12</v>
      </c>
      <c r="C695">
        <v>85</v>
      </c>
      <c r="D695">
        <v>344302</v>
      </c>
      <c r="F695" t="s">
        <v>1289</v>
      </c>
      <c r="G695">
        <v>1</v>
      </c>
      <c r="H695" t="s">
        <v>1290</v>
      </c>
      <c r="I695" t="s">
        <v>1291</v>
      </c>
      <c r="J695">
        <v>1</v>
      </c>
      <c r="K695" t="s">
        <v>17</v>
      </c>
      <c r="L695" t="s">
        <v>244</v>
      </c>
      <c r="M695" t="s">
        <v>362</v>
      </c>
      <c r="N695" t="s">
        <v>363</v>
      </c>
    </row>
    <row r="696" spans="1:14" x14ac:dyDescent="0.2">
      <c r="A696">
        <v>695</v>
      </c>
      <c r="B696">
        <v>13</v>
      </c>
      <c r="C696">
        <v>1</v>
      </c>
      <c r="D696" t="s">
        <v>14</v>
      </c>
      <c r="F696" t="s">
        <v>15</v>
      </c>
      <c r="H696" t="s">
        <v>15</v>
      </c>
      <c r="I696" t="s">
        <v>16</v>
      </c>
      <c r="J696">
        <v>1</v>
      </c>
      <c r="K696" t="s">
        <v>17</v>
      </c>
      <c r="L696" t="s">
        <v>18</v>
      </c>
      <c r="M696" t="s">
        <v>19</v>
      </c>
      <c r="N696" t="s">
        <v>20</v>
      </c>
    </row>
    <row r="697" spans="1:14" x14ac:dyDescent="0.2">
      <c r="A697">
        <v>696</v>
      </c>
      <c r="B697">
        <v>13</v>
      </c>
      <c r="C697">
        <v>2</v>
      </c>
      <c r="D697" t="s">
        <v>14</v>
      </c>
      <c r="F697" t="s">
        <v>109</v>
      </c>
      <c r="H697" t="s">
        <v>109</v>
      </c>
      <c r="I697" t="s">
        <v>480</v>
      </c>
      <c r="J697">
        <v>1</v>
      </c>
      <c r="K697" t="s">
        <v>17</v>
      </c>
      <c r="L697" t="s">
        <v>18</v>
      </c>
      <c r="M697" t="s">
        <v>19</v>
      </c>
      <c r="N697" t="s">
        <v>20</v>
      </c>
    </row>
    <row r="698" spans="1:14" x14ac:dyDescent="0.2">
      <c r="A698">
        <v>697</v>
      </c>
      <c r="B698">
        <v>13</v>
      </c>
      <c r="C698">
        <v>3</v>
      </c>
      <c r="D698" t="s">
        <v>14</v>
      </c>
      <c r="F698" t="s">
        <v>1292</v>
      </c>
      <c r="H698" t="s">
        <v>1292</v>
      </c>
      <c r="I698" t="s">
        <v>1293</v>
      </c>
      <c r="J698">
        <v>1</v>
      </c>
      <c r="K698" t="s">
        <v>17</v>
      </c>
      <c r="L698" t="s">
        <v>25</v>
      </c>
      <c r="M698" t="s">
        <v>26</v>
      </c>
      <c r="N698" t="s">
        <v>27</v>
      </c>
    </row>
    <row r="699" spans="1:14" x14ac:dyDescent="0.2">
      <c r="A699">
        <v>698</v>
      </c>
      <c r="B699">
        <v>13</v>
      </c>
      <c r="C699">
        <v>4</v>
      </c>
      <c r="D699" t="s">
        <v>14</v>
      </c>
      <c r="F699" t="s">
        <v>496</v>
      </c>
      <c r="H699" t="s">
        <v>496</v>
      </c>
      <c r="I699" t="s">
        <v>497</v>
      </c>
      <c r="J699">
        <v>300</v>
      </c>
      <c r="K699" t="s">
        <v>46</v>
      </c>
      <c r="L699" t="s">
        <v>37</v>
      </c>
      <c r="M699" t="s">
        <v>38</v>
      </c>
      <c r="N699" t="s">
        <v>39</v>
      </c>
    </row>
    <row r="700" spans="1:14" x14ac:dyDescent="0.2">
      <c r="A700">
        <v>699</v>
      </c>
      <c r="B700">
        <v>13</v>
      </c>
      <c r="C700">
        <v>5</v>
      </c>
      <c r="D700" t="s">
        <v>14</v>
      </c>
      <c r="F700" t="s">
        <v>62</v>
      </c>
      <c r="H700" t="s">
        <v>62</v>
      </c>
      <c r="I700" t="s">
        <v>63</v>
      </c>
      <c r="J700">
        <v>9</v>
      </c>
      <c r="K700" t="s">
        <v>72</v>
      </c>
      <c r="L700" t="s">
        <v>25</v>
      </c>
      <c r="M700" t="s">
        <v>26</v>
      </c>
      <c r="N700" t="s">
        <v>27</v>
      </c>
    </row>
    <row r="701" spans="1:14" x14ac:dyDescent="0.2">
      <c r="A701">
        <v>700</v>
      </c>
      <c r="B701">
        <v>13</v>
      </c>
      <c r="C701">
        <v>6</v>
      </c>
      <c r="D701" t="s">
        <v>14</v>
      </c>
      <c r="F701" t="s">
        <v>1294</v>
      </c>
      <c r="H701" t="s">
        <v>1294</v>
      </c>
      <c r="I701" t="s">
        <v>1295</v>
      </c>
      <c r="J701">
        <v>1</v>
      </c>
      <c r="K701" t="s">
        <v>17</v>
      </c>
      <c r="L701" t="s">
        <v>47</v>
      </c>
      <c r="M701" t="s">
        <v>48</v>
      </c>
      <c r="N701" t="s">
        <v>49</v>
      </c>
    </row>
    <row r="702" spans="1:14" x14ac:dyDescent="0.2">
      <c r="A702">
        <v>701</v>
      </c>
      <c r="B702">
        <v>13</v>
      </c>
      <c r="C702">
        <v>7</v>
      </c>
      <c r="D702" t="s">
        <v>14</v>
      </c>
      <c r="F702" t="s">
        <v>1296</v>
      </c>
      <c r="H702" t="s">
        <v>1297</v>
      </c>
      <c r="I702" t="s">
        <v>1298</v>
      </c>
      <c r="J702">
        <v>1</v>
      </c>
      <c r="K702" t="s">
        <v>17</v>
      </c>
      <c r="L702" t="s">
        <v>47</v>
      </c>
      <c r="M702" t="s">
        <v>48</v>
      </c>
      <c r="N702" t="s">
        <v>49</v>
      </c>
    </row>
    <row r="703" spans="1:14" x14ac:dyDescent="0.2">
      <c r="A703">
        <v>702</v>
      </c>
      <c r="B703">
        <v>13</v>
      </c>
      <c r="C703">
        <v>8</v>
      </c>
      <c r="D703" t="s">
        <v>14</v>
      </c>
      <c r="F703" t="s">
        <v>1299</v>
      </c>
      <c r="H703" t="s">
        <v>1300</v>
      </c>
      <c r="I703" t="s">
        <v>1301</v>
      </c>
      <c r="J703">
        <v>4</v>
      </c>
      <c r="K703" t="s">
        <v>72</v>
      </c>
      <c r="L703" t="s">
        <v>47</v>
      </c>
      <c r="M703" t="s">
        <v>48</v>
      </c>
      <c r="N703" t="s">
        <v>49</v>
      </c>
    </row>
    <row r="704" spans="1:14" x14ac:dyDescent="0.2">
      <c r="A704">
        <v>703</v>
      </c>
      <c r="B704">
        <v>13</v>
      </c>
      <c r="C704">
        <v>9</v>
      </c>
      <c r="D704" t="s">
        <v>14</v>
      </c>
      <c r="F704" t="s">
        <v>1302</v>
      </c>
      <c r="H704" t="s">
        <v>1303</v>
      </c>
      <c r="I704" t="s">
        <v>1304</v>
      </c>
      <c r="J704">
        <v>4</v>
      </c>
      <c r="K704" t="s">
        <v>72</v>
      </c>
      <c r="L704" t="s">
        <v>47</v>
      </c>
      <c r="M704" t="s">
        <v>48</v>
      </c>
      <c r="N704" t="s">
        <v>49</v>
      </c>
    </row>
    <row r="705" spans="1:14" x14ac:dyDescent="0.2">
      <c r="A705">
        <v>704</v>
      </c>
      <c r="B705">
        <v>13</v>
      </c>
      <c r="C705">
        <v>10</v>
      </c>
      <c r="D705" t="s">
        <v>14</v>
      </c>
      <c r="F705" t="s">
        <v>1305</v>
      </c>
      <c r="H705" t="s">
        <v>1305</v>
      </c>
      <c r="I705" t="s">
        <v>1306</v>
      </c>
      <c r="J705">
        <v>5360</v>
      </c>
      <c r="K705" t="s">
        <v>36</v>
      </c>
      <c r="L705" t="s">
        <v>47</v>
      </c>
      <c r="M705" t="s">
        <v>48</v>
      </c>
      <c r="N705" t="s">
        <v>49</v>
      </c>
    </row>
    <row r="706" spans="1:14" x14ac:dyDescent="0.2">
      <c r="A706">
        <v>705</v>
      </c>
      <c r="B706">
        <v>13</v>
      </c>
      <c r="C706">
        <v>11</v>
      </c>
      <c r="D706" t="s">
        <v>14</v>
      </c>
      <c r="F706" t="s">
        <v>1307</v>
      </c>
      <c r="H706" t="s">
        <v>1307</v>
      </c>
      <c r="I706" t="s">
        <v>1308</v>
      </c>
      <c r="J706">
        <v>12397</v>
      </c>
      <c r="K706" t="s">
        <v>36</v>
      </c>
      <c r="L706" t="s">
        <v>47</v>
      </c>
      <c r="M706" t="s">
        <v>48</v>
      </c>
      <c r="N706" t="s">
        <v>49</v>
      </c>
    </row>
    <row r="707" spans="1:14" x14ac:dyDescent="0.2">
      <c r="A707">
        <v>706</v>
      </c>
      <c r="B707">
        <v>13</v>
      </c>
      <c r="C707">
        <v>12</v>
      </c>
      <c r="D707" t="s">
        <v>14</v>
      </c>
      <c r="F707" t="s">
        <v>1309</v>
      </c>
      <c r="H707" t="s">
        <v>1309</v>
      </c>
      <c r="I707" t="s">
        <v>1310</v>
      </c>
      <c r="J707">
        <v>17</v>
      </c>
      <c r="K707" t="s">
        <v>72</v>
      </c>
      <c r="L707" t="s">
        <v>47</v>
      </c>
      <c r="M707" t="s">
        <v>48</v>
      </c>
      <c r="N707" t="s">
        <v>49</v>
      </c>
    </row>
    <row r="708" spans="1:14" x14ac:dyDescent="0.2">
      <c r="A708">
        <v>707</v>
      </c>
      <c r="B708">
        <v>13</v>
      </c>
      <c r="C708">
        <v>13</v>
      </c>
      <c r="D708" t="s">
        <v>14</v>
      </c>
      <c r="F708" t="s">
        <v>1311</v>
      </c>
      <c r="H708" t="s">
        <v>1311</v>
      </c>
      <c r="I708" t="s">
        <v>1312</v>
      </c>
      <c r="J708">
        <v>1</v>
      </c>
      <c r="K708" t="s">
        <v>17</v>
      </c>
      <c r="L708" t="s">
        <v>47</v>
      </c>
      <c r="M708" t="s">
        <v>48</v>
      </c>
      <c r="N708" t="s">
        <v>49</v>
      </c>
    </row>
    <row r="709" spans="1:14" x14ac:dyDescent="0.2">
      <c r="A709">
        <v>708</v>
      </c>
      <c r="B709">
        <v>14</v>
      </c>
      <c r="C709">
        <v>1</v>
      </c>
      <c r="D709" t="s">
        <v>14</v>
      </c>
      <c r="F709" t="s">
        <v>15</v>
      </c>
      <c r="H709" t="s">
        <v>15</v>
      </c>
      <c r="I709" t="s">
        <v>16</v>
      </c>
      <c r="J709">
        <v>1</v>
      </c>
      <c r="K709" t="s">
        <v>17</v>
      </c>
      <c r="L709" t="s">
        <v>18</v>
      </c>
      <c r="M709" t="s">
        <v>19</v>
      </c>
      <c r="N709" t="s">
        <v>20</v>
      </c>
    </row>
    <row r="710" spans="1:14" x14ac:dyDescent="0.2">
      <c r="A710">
        <v>709</v>
      </c>
      <c r="B710">
        <v>14</v>
      </c>
      <c r="C710">
        <v>2</v>
      </c>
      <c r="D710" t="s">
        <v>14</v>
      </c>
      <c r="F710" t="s">
        <v>1313</v>
      </c>
      <c r="H710" t="s">
        <v>1313</v>
      </c>
      <c r="I710" t="s">
        <v>1314</v>
      </c>
      <c r="J710">
        <v>1</v>
      </c>
      <c r="K710" t="s">
        <v>17</v>
      </c>
      <c r="L710" t="s">
        <v>18</v>
      </c>
      <c r="M710" t="s">
        <v>19</v>
      </c>
      <c r="N710" t="s">
        <v>20</v>
      </c>
    </row>
    <row r="711" spans="1:14" x14ac:dyDescent="0.2">
      <c r="A711">
        <v>710</v>
      </c>
      <c r="B711">
        <v>14</v>
      </c>
      <c r="C711">
        <v>3</v>
      </c>
      <c r="D711" t="s">
        <v>14</v>
      </c>
      <c r="F711" t="s">
        <v>127</v>
      </c>
      <c r="H711" t="s">
        <v>127</v>
      </c>
      <c r="I711" t="s">
        <v>487</v>
      </c>
      <c r="J711">
        <v>6</v>
      </c>
      <c r="K711" t="s">
        <v>72</v>
      </c>
      <c r="L711" t="s">
        <v>25</v>
      </c>
      <c r="M711" t="s">
        <v>26</v>
      </c>
      <c r="N711" t="s">
        <v>27</v>
      </c>
    </row>
    <row r="712" spans="1:14" x14ac:dyDescent="0.2">
      <c r="A712">
        <v>711</v>
      </c>
      <c r="B712">
        <v>14</v>
      </c>
      <c r="C712">
        <v>4</v>
      </c>
      <c r="D712" t="s">
        <v>14</v>
      </c>
      <c r="F712" t="s">
        <v>1315</v>
      </c>
      <c r="H712" t="s">
        <v>1315</v>
      </c>
      <c r="I712" t="s">
        <v>1316</v>
      </c>
      <c r="J712">
        <v>9</v>
      </c>
      <c r="K712" t="s">
        <v>72</v>
      </c>
      <c r="L712" t="s">
        <v>25</v>
      </c>
      <c r="M712" t="s">
        <v>26</v>
      </c>
      <c r="N712" t="s">
        <v>27</v>
      </c>
    </row>
    <row r="713" spans="1:14" x14ac:dyDescent="0.2">
      <c r="A713">
        <v>712</v>
      </c>
      <c r="B713">
        <v>14</v>
      </c>
      <c r="C713">
        <v>5</v>
      </c>
      <c r="D713" t="s">
        <v>14</v>
      </c>
      <c r="F713" t="s">
        <v>32</v>
      </c>
      <c r="H713" t="s">
        <v>32</v>
      </c>
      <c r="I713" t="s">
        <v>33</v>
      </c>
      <c r="J713">
        <v>1</v>
      </c>
      <c r="K713" t="s">
        <v>17</v>
      </c>
      <c r="L713" t="s">
        <v>25</v>
      </c>
      <c r="M713" t="s">
        <v>26</v>
      </c>
      <c r="N713" t="s">
        <v>27</v>
      </c>
    </row>
    <row r="714" spans="1:14" x14ac:dyDescent="0.2">
      <c r="A714">
        <v>713</v>
      </c>
      <c r="B714">
        <v>14</v>
      </c>
      <c r="C714">
        <v>6</v>
      </c>
      <c r="D714" t="s">
        <v>14</v>
      </c>
      <c r="F714" t="s">
        <v>490</v>
      </c>
      <c r="H714" t="s">
        <v>490</v>
      </c>
      <c r="I714" t="s">
        <v>491</v>
      </c>
      <c r="J714">
        <v>110</v>
      </c>
      <c r="K714" t="s">
        <v>46</v>
      </c>
      <c r="L714" t="s">
        <v>37</v>
      </c>
      <c r="M714" t="s">
        <v>38</v>
      </c>
      <c r="N714" t="s">
        <v>39</v>
      </c>
    </row>
    <row r="715" spans="1:14" x14ac:dyDescent="0.2">
      <c r="A715">
        <v>714</v>
      </c>
      <c r="B715">
        <v>14</v>
      </c>
      <c r="C715">
        <v>7</v>
      </c>
      <c r="D715" t="s">
        <v>14</v>
      </c>
      <c r="F715" t="s">
        <v>1317</v>
      </c>
      <c r="H715" t="s">
        <v>1317</v>
      </c>
      <c r="I715" t="s">
        <v>1318</v>
      </c>
      <c r="J715">
        <v>1127</v>
      </c>
      <c r="K715" t="s">
        <v>36</v>
      </c>
      <c r="L715" t="s">
        <v>37</v>
      </c>
      <c r="M715" t="s">
        <v>38</v>
      </c>
      <c r="N715" t="s">
        <v>39</v>
      </c>
    </row>
    <row r="716" spans="1:14" x14ac:dyDescent="0.2">
      <c r="A716">
        <v>715</v>
      </c>
      <c r="B716">
        <v>14</v>
      </c>
      <c r="C716">
        <v>8</v>
      </c>
      <c r="D716" t="s">
        <v>14</v>
      </c>
      <c r="F716" t="s">
        <v>1319</v>
      </c>
      <c r="H716" t="s">
        <v>1319</v>
      </c>
      <c r="I716" t="s">
        <v>1320</v>
      </c>
      <c r="J716">
        <v>85</v>
      </c>
      <c r="K716" t="s">
        <v>36</v>
      </c>
      <c r="L716" t="s">
        <v>37</v>
      </c>
      <c r="M716" t="s">
        <v>38</v>
      </c>
      <c r="N716" t="s">
        <v>39</v>
      </c>
    </row>
    <row r="717" spans="1:14" x14ac:dyDescent="0.2">
      <c r="A717">
        <v>716</v>
      </c>
      <c r="B717">
        <v>14</v>
      </c>
      <c r="C717">
        <v>9</v>
      </c>
      <c r="D717" t="s">
        <v>14</v>
      </c>
      <c r="F717" t="s">
        <v>1321</v>
      </c>
      <c r="H717" t="s">
        <v>1321</v>
      </c>
      <c r="I717" t="s">
        <v>1322</v>
      </c>
      <c r="J717">
        <v>138</v>
      </c>
      <c r="K717" t="s">
        <v>46</v>
      </c>
      <c r="L717" t="s">
        <v>37</v>
      </c>
      <c r="M717" t="s">
        <v>38</v>
      </c>
      <c r="N717" t="s">
        <v>39</v>
      </c>
    </row>
    <row r="718" spans="1:14" x14ac:dyDescent="0.2">
      <c r="A718">
        <v>717</v>
      </c>
      <c r="B718">
        <v>14</v>
      </c>
      <c r="C718">
        <v>10</v>
      </c>
      <c r="D718" t="s">
        <v>14</v>
      </c>
      <c r="F718" t="s">
        <v>492</v>
      </c>
      <c r="H718" t="s">
        <v>492</v>
      </c>
      <c r="I718" t="s">
        <v>493</v>
      </c>
      <c r="J718">
        <v>2571</v>
      </c>
      <c r="K718" t="s">
        <v>46</v>
      </c>
      <c r="L718" t="s">
        <v>37</v>
      </c>
      <c r="M718" t="s">
        <v>38</v>
      </c>
      <c r="N718" t="s">
        <v>39</v>
      </c>
    </row>
    <row r="719" spans="1:14" x14ac:dyDescent="0.2">
      <c r="A719">
        <v>718</v>
      </c>
      <c r="B719">
        <v>14</v>
      </c>
      <c r="C719">
        <v>11</v>
      </c>
      <c r="D719" t="s">
        <v>14</v>
      </c>
      <c r="F719" t="s">
        <v>1323</v>
      </c>
      <c r="H719" t="s">
        <v>1323</v>
      </c>
      <c r="I719" t="s">
        <v>1324</v>
      </c>
      <c r="J719">
        <v>183</v>
      </c>
      <c r="K719" t="s">
        <v>46</v>
      </c>
      <c r="L719" t="s">
        <v>47</v>
      </c>
      <c r="M719" t="s">
        <v>48</v>
      </c>
      <c r="N719" t="s">
        <v>49</v>
      </c>
    </row>
    <row r="720" spans="1:14" x14ac:dyDescent="0.2">
      <c r="A720">
        <v>719</v>
      </c>
      <c r="B720">
        <v>14</v>
      </c>
      <c r="C720">
        <v>12</v>
      </c>
      <c r="D720" t="s">
        <v>14</v>
      </c>
      <c r="F720" t="s">
        <v>494</v>
      </c>
      <c r="H720" t="s">
        <v>494</v>
      </c>
      <c r="I720" t="s">
        <v>495</v>
      </c>
      <c r="J720">
        <v>100</v>
      </c>
      <c r="K720" t="s">
        <v>46</v>
      </c>
      <c r="L720" t="s">
        <v>37</v>
      </c>
      <c r="M720" t="s">
        <v>38</v>
      </c>
      <c r="N720" t="s">
        <v>39</v>
      </c>
    </row>
    <row r="721" spans="1:14" x14ac:dyDescent="0.2">
      <c r="A721">
        <v>720</v>
      </c>
      <c r="B721">
        <v>14</v>
      </c>
      <c r="C721">
        <v>13</v>
      </c>
      <c r="D721" t="s">
        <v>14</v>
      </c>
      <c r="F721" t="s">
        <v>1325</v>
      </c>
      <c r="H721" t="s">
        <v>1325</v>
      </c>
      <c r="I721" t="s">
        <v>1326</v>
      </c>
      <c r="J721">
        <v>359</v>
      </c>
      <c r="K721" t="s">
        <v>36</v>
      </c>
      <c r="L721" t="s">
        <v>47</v>
      </c>
      <c r="M721" t="s">
        <v>48</v>
      </c>
      <c r="N721" t="s">
        <v>49</v>
      </c>
    </row>
    <row r="722" spans="1:14" x14ac:dyDescent="0.2">
      <c r="A722">
        <v>721</v>
      </c>
      <c r="B722">
        <v>14</v>
      </c>
      <c r="C722">
        <v>14</v>
      </c>
      <c r="D722" t="s">
        <v>14</v>
      </c>
      <c r="F722" t="s">
        <v>1327</v>
      </c>
      <c r="H722" t="s">
        <v>1327</v>
      </c>
      <c r="I722" t="s">
        <v>1328</v>
      </c>
      <c r="J722">
        <v>38</v>
      </c>
      <c r="K722" t="s">
        <v>36</v>
      </c>
      <c r="L722" t="s">
        <v>57</v>
      </c>
      <c r="M722" t="s">
        <v>58</v>
      </c>
      <c r="N722" t="s">
        <v>59</v>
      </c>
    </row>
    <row r="723" spans="1:14" x14ac:dyDescent="0.2">
      <c r="A723">
        <v>722</v>
      </c>
      <c r="B723">
        <v>14</v>
      </c>
      <c r="C723">
        <v>15</v>
      </c>
      <c r="D723" t="s">
        <v>14</v>
      </c>
      <c r="F723" t="s">
        <v>1329</v>
      </c>
      <c r="H723" t="s">
        <v>1329</v>
      </c>
      <c r="I723" t="s">
        <v>1330</v>
      </c>
      <c r="J723">
        <v>466</v>
      </c>
      <c r="K723" t="s">
        <v>36</v>
      </c>
      <c r="L723" t="s">
        <v>47</v>
      </c>
      <c r="M723" t="s">
        <v>48</v>
      </c>
      <c r="N723" t="s">
        <v>49</v>
      </c>
    </row>
    <row r="724" spans="1:14" x14ac:dyDescent="0.2">
      <c r="A724">
        <v>723</v>
      </c>
      <c r="B724">
        <v>14</v>
      </c>
      <c r="C724">
        <v>16</v>
      </c>
      <c r="D724" t="s">
        <v>14</v>
      </c>
      <c r="F724" t="s">
        <v>60</v>
      </c>
      <c r="H724" t="s">
        <v>60</v>
      </c>
      <c r="I724" t="s">
        <v>61</v>
      </c>
      <c r="J724">
        <v>100</v>
      </c>
      <c r="K724" t="s">
        <v>46</v>
      </c>
      <c r="L724" t="s">
        <v>37</v>
      </c>
      <c r="M724" t="s">
        <v>38</v>
      </c>
      <c r="N724" t="s">
        <v>39</v>
      </c>
    </row>
    <row r="725" spans="1:14" x14ac:dyDescent="0.2">
      <c r="A725">
        <v>724</v>
      </c>
      <c r="B725">
        <v>14</v>
      </c>
      <c r="C725">
        <v>17</v>
      </c>
      <c r="D725" t="s">
        <v>14</v>
      </c>
      <c r="F725" t="s">
        <v>1331</v>
      </c>
      <c r="G725" t="s">
        <v>238</v>
      </c>
      <c r="H725" t="s">
        <v>1332</v>
      </c>
      <c r="I725" t="s">
        <v>1333</v>
      </c>
      <c r="J725">
        <v>20</v>
      </c>
      <c r="K725" t="s">
        <v>36</v>
      </c>
      <c r="L725" t="s">
        <v>57</v>
      </c>
      <c r="M725" t="s">
        <v>58</v>
      </c>
      <c r="N725" t="s">
        <v>59</v>
      </c>
    </row>
    <row r="726" spans="1:14" x14ac:dyDescent="0.2">
      <c r="A726">
        <v>725</v>
      </c>
      <c r="B726">
        <v>14</v>
      </c>
      <c r="C726">
        <v>18</v>
      </c>
      <c r="D726" t="s">
        <v>14</v>
      </c>
      <c r="F726" t="s">
        <v>1334</v>
      </c>
      <c r="H726" t="s">
        <v>1334</v>
      </c>
      <c r="I726" t="s">
        <v>1335</v>
      </c>
      <c r="J726">
        <v>2</v>
      </c>
      <c r="K726" t="s">
        <v>72</v>
      </c>
      <c r="L726" t="s">
        <v>47</v>
      </c>
      <c r="M726" t="s">
        <v>48</v>
      </c>
      <c r="N726" t="s">
        <v>49</v>
      </c>
    </row>
    <row r="727" spans="1:14" x14ac:dyDescent="0.2">
      <c r="A727">
        <v>726</v>
      </c>
      <c r="B727">
        <v>14</v>
      </c>
      <c r="C727">
        <v>19</v>
      </c>
      <c r="D727" t="s">
        <v>14</v>
      </c>
      <c r="F727" t="s">
        <v>296</v>
      </c>
      <c r="H727" t="s">
        <v>296</v>
      </c>
      <c r="I727" t="s">
        <v>1336</v>
      </c>
      <c r="J727">
        <v>2</v>
      </c>
      <c r="K727" t="s">
        <v>72</v>
      </c>
      <c r="L727" t="s">
        <v>57</v>
      </c>
      <c r="M727" t="s">
        <v>58</v>
      </c>
      <c r="N727" t="s">
        <v>59</v>
      </c>
    </row>
    <row r="728" spans="1:14" x14ac:dyDescent="0.2">
      <c r="A728">
        <v>727</v>
      </c>
      <c r="B728">
        <v>14</v>
      </c>
      <c r="C728">
        <v>20</v>
      </c>
      <c r="D728" t="s">
        <v>14</v>
      </c>
      <c r="F728" t="s">
        <v>1337</v>
      </c>
      <c r="H728" t="s">
        <v>1337</v>
      </c>
      <c r="I728" t="s">
        <v>1338</v>
      </c>
      <c r="J728">
        <v>798</v>
      </c>
      <c r="K728" t="s">
        <v>36</v>
      </c>
      <c r="L728" t="s">
        <v>37</v>
      </c>
      <c r="M728" t="s">
        <v>38</v>
      </c>
      <c r="N728" t="s">
        <v>39</v>
      </c>
    </row>
    <row r="729" spans="1:14" x14ac:dyDescent="0.2">
      <c r="A729">
        <v>728</v>
      </c>
      <c r="B729">
        <v>14</v>
      </c>
      <c r="C729">
        <v>21</v>
      </c>
      <c r="D729" t="s">
        <v>14</v>
      </c>
      <c r="F729" t="s">
        <v>1339</v>
      </c>
      <c r="H729" t="s">
        <v>1339</v>
      </c>
      <c r="I729" t="s">
        <v>1340</v>
      </c>
      <c r="J729">
        <v>360</v>
      </c>
      <c r="K729" t="s">
        <v>87</v>
      </c>
      <c r="L729" t="s">
        <v>37</v>
      </c>
      <c r="M729" t="s">
        <v>38</v>
      </c>
      <c r="N729" t="s">
        <v>39</v>
      </c>
    </row>
    <row r="730" spans="1:14" x14ac:dyDescent="0.2">
      <c r="A730">
        <v>729</v>
      </c>
      <c r="B730">
        <v>14</v>
      </c>
      <c r="C730">
        <v>22</v>
      </c>
      <c r="D730" t="s">
        <v>14</v>
      </c>
      <c r="F730" t="s">
        <v>171</v>
      </c>
      <c r="H730" t="s">
        <v>171</v>
      </c>
      <c r="I730" t="s">
        <v>498</v>
      </c>
      <c r="J730">
        <v>2327</v>
      </c>
      <c r="K730" t="s">
        <v>94</v>
      </c>
      <c r="L730" t="s">
        <v>37</v>
      </c>
      <c r="M730" t="s">
        <v>38</v>
      </c>
      <c r="N730" t="s">
        <v>39</v>
      </c>
    </row>
    <row r="731" spans="1:14" x14ac:dyDescent="0.2">
      <c r="A731">
        <v>730</v>
      </c>
      <c r="B731">
        <v>14</v>
      </c>
      <c r="C731">
        <v>23</v>
      </c>
      <c r="D731" t="s">
        <v>14</v>
      </c>
      <c r="F731" t="s">
        <v>88</v>
      </c>
      <c r="H731" t="s">
        <v>88</v>
      </c>
      <c r="I731" t="s">
        <v>89</v>
      </c>
      <c r="J731">
        <v>391</v>
      </c>
      <c r="K731" t="s">
        <v>46</v>
      </c>
      <c r="L731" t="s">
        <v>37</v>
      </c>
      <c r="M731" t="s">
        <v>38</v>
      </c>
      <c r="N731" t="s">
        <v>39</v>
      </c>
    </row>
    <row r="732" spans="1:14" x14ac:dyDescent="0.2">
      <c r="A732">
        <v>731</v>
      </c>
      <c r="B732">
        <v>14</v>
      </c>
      <c r="C732">
        <v>24</v>
      </c>
      <c r="D732" t="s">
        <v>14</v>
      </c>
      <c r="F732" t="s">
        <v>95</v>
      </c>
      <c r="H732" t="s">
        <v>95</v>
      </c>
      <c r="I732" t="s">
        <v>96</v>
      </c>
      <c r="J732">
        <v>925</v>
      </c>
      <c r="K732" t="s">
        <v>87</v>
      </c>
      <c r="L732" t="s">
        <v>37</v>
      </c>
      <c r="M732" t="s">
        <v>38</v>
      </c>
      <c r="N732" t="s">
        <v>39</v>
      </c>
    </row>
    <row r="733" spans="1:14" x14ac:dyDescent="0.2">
      <c r="A733">
        <v>732</v>
      </c>
      <c r="B733">
        <v>14</v>
      </c>
      <c r="C733">
        <v>25</v>
      </c>
      <c r="D733" t="s">
        <v>14</v>
      </c>
      <c r="F733" t="s">
        <v>1341</v>
      </c>
      <c r="H733" t="s">
        <v>1341</v>
      </c>
      <c r="I733" t="s">
        <v>1342</v>
      </c>
      <c r="J733">
        <v>1983</v>
      </c>
      <c r="K733" t="s">
        <v>87</v>
      </c>
      <c r="L733" t="s">
        <v>37</v>
      </c>
      <c r="M733" t="s">
        <v>38</v>
      </c>
      <c r="N733" t="s">
        <v>39</v>
      </c>
    </row>
    <row r="734" spans="1:14" x14ac:dyDescent="0.2">
      <c r="A734">
        <v>733</v>
      </c>
      <c r="B734">
        <v>14</v>
      </c>
      <c r="C734">
        <v>26</v>
      </c>
      <c r="D734" t="s">
        <v>14</v>
      </c>
      <c r="F734" t="s">
        <v>1343</v>
      </c>
      <c r="H734" t="s">
        <v>1343</v>
      </c>
      <c r="I734" t="s">
        <v>1344</v>
      </c>
      <c r="J734">
        <v>1</v>
      </c>
      <c r="K734" t="s">
        <v>17</v>
      </c>
      <c r="L734" t="s">
        <v>244</v>
      </c>
      <c r="M734" t="s">
        <v>362</v>
      </c>
      <c r="N734" t="s">
        <v>1345</v>
      </c>
    </row>
    <row r="735" spans="1:14" x14ac:dyDescent="0.2">
      <c r="A735">
        <v>734</v>
      </c>
      <c r="B735">
        <v>14</v>
      </c>
      <c r="C735">
        <v>27</v>
      </c>
      <c r="D735" t="s">
        <v>14</v>
      </c>
      <c r="F735" t="s">
        <v>1346</v>
      </c>
      <c r="H735" t="s">
        <v>1346</v>
      </c>
      <c r="I735" t="s">
        <v>1347</v>
      </c>
      <c r="J735">
        <v>1024</v>
      </c>
      <c r="K735" t="s">
        <v>36</v>
      </c>
      <c r="L735" t="s">
        <v>30</v>
      </c>
      <c r="M735" t="s">
        <v>30</v>
      </c>
      <c r="N735" t="s">
        <v>31</v>
      </c>
    </row>
    <row r="736" spans="1:14" x14ac:dyDescent="0.2">
      <c r="A736">
        <v>735</v>
      </c>
      <c r="B736">
        <v>14</v>
      </c>
      <c r="C736">
        <v>28</v>
      </c>
      <c r="D736" t="s">
        <v>14</v>
      </c>
      <c r="F736" t="s">
        <v>1348</v>
      </c>
      <c r="G736" t="s">
        <v>1349</v>
      </c>
      <c r="H736" t="s">
        <v>1350</v>
      </c>
      <c r="I736" t="s">
        <v>1351</v>
      </c>
      <c r="J736">
        <v>1024</v>
      </c>
      <c r="K736" t="s">
        <v>36</v>
      </c>
      <c r="L736" t="s">
        <v>47</v>
      </c>
      <c r="M736" t="s">
        <v>48</v>
      </c>
      <c r="N736" t="s">
        <v>49</v>
      </c>
    </row>
    <row r="737" spans="1:14" x14ac:dyDescent="0.2">
      <c r="A737">
        <v>736</v>
      </c>
      <c r="B737">
        <v>14</v>
      </c>
      <c r="C737">
        <v>29</v>
      </c>
      <c r="D737" t="s">
        <v>14</v>
      </c>
      <c r="F737" t="s">
        <v>99</v>
      </c>
      <c r="H737" t="s">
        <v>99</v>
      </c>
      <c r="I737" t="s">
        <v>100</v>
      </c>
      <c r="J737">
        <v>1.08</v>
      </c>
      <c r="K737" t="s">
        <v>133</v>
      </c>
      <c r="L737" t="s">
        <v>25</v>
      </c>
      <c r="M737" t="s">
        <v>26</v>
      </c>
      <c r="N737" t="s">
        <v>27</v>
      </c>
    </row>
    <row r="738" spans="1:14" x14ac:dyDescent="0.2">
      <c r="A738">
        <v>737</v>
      </c>
      <c r="B738">
        <v>14</v>
      </c>
      <c r="C738">
        <v>30</v>
      </c>
      <c r="D738" t="s">
        <v>14</v>
      </c>
      <c r="F738" t="s">
        <v>1352</v>
      </c>
      <c r="H738" t="s">
        <v>1352</v>
      </c>
      <c r="I738" t="s">
        <v>1353</v>
      </c>
      <c r="J738">
        <v>1</v>
      </c>
      <c r="K738" t="s">
        <v>17</v>
      </c>
      <c r="L738" t="s">
        <v>47</v>
      </c>
      <c r="M738" t="s">
        <v>48</v>
      </c>
      <c r="N738" t="s">
        <v>49</v>
      </c>
    </row>
    <row r="739" spans="1:14" x14ac:dyDescent="0.2">
      <c r="A739">
        <v>738</v>
      </c>
      <c r="B739">
        <v>14</v>
      </c>
      <c r="C739">
        <v>31</v>
      </c>
      <c r="D739" t="s">
        <v>14</v>
      </c>
      <c r="F739" t="s">
        <v>558</v>
      </c>
      <c r="G739" t="s">
        <v>1354</v>
      </c>
      <c r="H739" t="s">
        <v>1355</v>
      </c>
      <c r="I739" t="s">
        <v>561</v>
      </c>
      <c r="J739">
        <v>540</v>
      </c>
      <c r="K739" t="s">
        <v>52</v>
      </c>
      <c r="L739" t="s">
        <v>37</v>
      </c>
      <c r="M739" t="s">
        <v>38</v>
      </c>
      <c r="N739" t="s">
        <v>39</v>
      </c>
    </row>
    <row r="740" spans="1:14" x14ac:dyDescent="0.2">
      <c r="A740">
        <v>739</v>
      </c>
      <c r="B740">
        <v>14</v>
      </c>
      <c r="C740">
        <v>32</v>
      </c>
      <c r="D740" t="s">
        <v>14</v>
      </c>
      <c r="F740" t="s">
        <v>1356</v>
      </c>
      <c r="H740" t="s">
        <v>1356</v>
      </c>
      <c r="I740" t="s">
        <v>1357</v>
      </c>
      <c r="J740">
        <v>8</v>
      </c>
      <c r="K740" t="s">
        <v>72</v>
      </c>
      <c r="L740" t="s">
        <v>47</v>
      </c>
      <c r="M740" t="s">
        <v>48</v>
      </c>
      <c r="N740" t="s">
        <v>49</v>
      </c>
    </row>
    <row r="741" spans="1:14" x14ac:dyDescent="0.2">
      <c r="A741">
        <v>740</v>
      </c>
      <c r="B741">
        <v>15</v>
      </c>
      <c r="C741">
        <v>1</v>
      </c>
      <c r="D741">
        <v>12200</v>
      </c>
      <c r="F741" t="s">
        <v>112</v>
      </c>
      <c r="H741" t="s">
        <v>113</v>
      </c>
      <c r="I741" t="s">
        <v>114</v>
      </c>
      <c r="J741">
        <v>1</v>
      </c>
      <c r="K741" t="s">
        <v>17</v>
      </c>
      <c r="L741" t="s">
        <v>18</v>
      </c>
      <c r="M741" t="s">
        <v>19</v>
      </c>
      <c r="N741" t="s">
        <v>108</v>
      </c>
    </row>
    <row r="742" spans="1:14" x14ac:dyDescent="0.2">
      <c r="A742">
        <v>741</v>
      </c>
      <c r="B742">
        <v>15</v>
      </c>
      <c r="C742">
        <v>2</v>
      </c>
      <c r="D742">
        <v>12200</v>
      </c>
      <c r="F742" t="s">
        <v>380</v>
      </c>
      <c r="H742" t="s">
        <v>381</v>
      </c>
      <c r="I742" t="s">
        <v>382</v>
      </c>
      <c r="J742">
        <v>1</v>
      </c>
      <c r="K742" t="s">
        <v>17</v>
      </c>
      <c r="L742" t="s">
        <v>18</v>
      </c>
      <c r="M742" t="s">
        <v>19</v>
      </c>
      <c r="N742" t="s">
        <v>108</v>
      </c>
    </row>
    <row r="743" spans="1:14" x14ac:dyDescent="0.2">
      <c r="A743">
        <v>742</v>
      </c>
      <c r="B743">
        <v>15</v>
      </c>
      <c r="C743">
        <v>3</v>
      </c>
      <c r="D743">
        <v>12200</v>
      </c>
      <c r="F743" t="s">
        <v>109</v>
      </c>
      <c r="H743" t="s">
        <v>110</v>
      </c>
      <c r="I743" t="s">
        <v>111</v>
      </c>
      <c r="J743">
        <v>1</v>
      </c>
      <c r="K743" t="s">
        <v>17</v>
      </c>
      <c r="L743" t="s">
        <v>18</v>
      </c>
      <c r="M743" t="s">
        <v>19</v>
      </c>
      <c r="N743" t="s">
        <v>108</v>
      </c>
    </row>
    <row r="744" spans="1:14" x14ac:dyDescent="0.2">
      <c r="A744">
        <v>743</v>
      </c>
      <c r="B744">
        <v>15</v>
      </c>
      <c r="C744">
        <v>4</v>
      </c>
      <c r="D744">
        <v>12200</v>
      </c>
      <c r="F744" t="s">
        <v>118</v>
      </c>
      <c r="H744" t="s">
        <v>119</v>
      </c>
      <c r="I744" t="s">
        <v>120</v>
      </c>
      <c r="J744">
        <v>1</v>
      </c>
      <c r="K744" t="s">
        <v>17</v>
      </c>
      <c r="L744" t="s">
        <v>18</v>
      </c>
      <c r="M744" t="s">
        <v>19</v>
      </c>
      <c r="N744" t="s">
        <v>108</v>
      </c>
    </row>
    <row r="745" spans="1:14" x14ac:dyDescent="0.2">
      <c r="A745">
        <v>744</v>
      </c>
      <c r="B745">
        <v>15</v>
      </c>
      <c r="C745">
        <v>5</v>
      </c>
      <c r="D745">
        <v>15713</v>
      </c>
      <c r="F745" t="s">
        <v>127</v>
      </c>
      <c r="H745" t="s">
        <v>128</v>
      </c>
      <c r="I745" t="s">
        <v>129</v>
      </c>
      <c r="J745">
        <v>7</v>
      </c>
      <c r="K745" t="s">
        <v>72</v>
      </c>
      <c r="L745" t="s">
        <v>18</v>
      </c>
      <c r="M745" t="s">
        <v>19</v>
      </c>
      <c r="N745" t="s">
        <v>108</v>
      </c>
    </row>
    <row r="746" spans="1:14" x14ac:dyDescent="0.2">
      <c r="A746">
        <v>745</v>
      </c>
      <c r="B746">
        <v>15</v>
      </c>
      <c r="C746">
        <v>6</v>
      </c>
      <c r="D746" t="s">
        <v>806</v>
      </c>
      <c r="F746" t="s">
        <v>807</v>
      </c>
      <c r="H746" t="s">
        <v>808</v>
      </c>
      <c r="I746" t="s">
        <v>809</v>
      </c>
      <c r="J746">
        <v>1</v>
      </c>
      <c r="K746" t="s">
        <v>17</v>
      </c>
      <c r="L746" t="s">
        <v>18</v>
      </c>
      <c r="M746" t="s">
        <v>19</v>
      </c>
      <c r="N746" t="s">
        <v>108</v>
      </c>
    </row>
    <row r="747" spans="1:14" x14ac:dyDescent="0.2">
      <c r="A747">
        <v>746</v>
      </c>
      <c r="B747">
        <v>15</v>
      </c>
      <c r="C747">
        <v>7</v>
      </c>
      <c r="D747" t="s">
        <v>136</v>
      </c>
      <c r="F747" t="s">
        <v>1358</v>
      </c>
      <c r="G747" t="s">
        <v>142</v>
      </c>
      <c r="H747" t="s">
        <v>1359</v>
      </c>
      <c r="I747" t="s">
        <v>1360</v>
      </c>
      <c r="J747">
        <v>11580</v>
      </c>
      <c r="K747" t="s">
        <v>94</v>
      </c>
      <c r="L747" t="s">
        <v>37</v>
      </c>
      <c r="M747" t="s">
        <v>38</v>
      </c>
      <c r="N747" t="s">
        <v>140</v>
      </c>
    </row>
    <row r="748" spans="1:14" x14ac:dyDescent="0.2">
      <c r="A748">
        <v>747</v>
      </c>
      <c r="B748">
        <v>15</v>
      </c>
      <c r="C748">
        <v>8</v>
      </c>
      <c r="D748" t="s">
        <v>136</v>
      </c>
      <c r="F748" t="s">
        <v>145</v>
      </c>
      <c r="G748" t="s">
        <v>584</v>
      </c>
      <c r="H748" t="s">
        <v>1361</v>
      </c>
      <c r="I748" t="s">
        <v>148</v>
      </c>
      <c r="J748">
        <v>2680</v>
      </c>
      <c r="K748" t="s">
        <v>94</v>
      </c>
      <c r="L748" t="s">
        <v>37</v>
      </c>
      <c r="M748" t="s">
        <v>38</v>
      </c>
      <c r="N748" t="s">
        <v>140</v>
      </c>
    </row>
    <row r="749" spans="1:14" x14ac:dyDescent="0.2">
      <c r="A749">
        <v>748</v>
      </c>
      <c r="B749">
        <v>15</v>
      </c>
      <c r="C749">
        <v>9</v>
      </c>
      <c r="D749" t="s">
        <v>157</v>
      </c>
      <c r="F749" t="s">
        <v>833</v>
      </c>
      <c r="H749" t="s">
        <v>834</v>
      </c>
      <c r="I749" t="s">
        <v>835</v>
      </c>
      <c r="J749">
        <v>3180</v>
      </c>
      <c r="K749" t="s">
        <v>52</v>
      </c>
      <c r="L749" t="s">
        <v>37</v>
      </c>
      <c r="M749" t="s">
        <v>38</v>
      </c>
      <c r="N749" t="s">
        <v>140</v>
      </c>
    </row>
    <row r="750" spans="1:14" x14ac:dyDescent="0.2">
      <c r="A750">
        <v>749</v>
      </c>
      <c r="B750">
        <v>15</v>
      </c>
      <c r="C750">
        <v>10</v>
      </c>
      <c r="D750" t="s">
        <v>174</v>
      </c>
      <c r="F750" t="s">
        <v>845</v>
      </c>
      <c r="H750" t="s">
        <v>846</v>
      </c>
      <c r="I750" t="s">
        <v>847</v>
      </c>
      <c r="J750">
        <v>1900</v>
      </c>
      <c r="K750" t="s">
        <v>178</v>
      </c>
      <c r="L750" t="s">
        <v>37</v>
      </c>
      <c r="M750" t="s">
        <v>38</v>
      </c>
      <c r="N750" t="s">
        <v>140</v>
      </c>
    </row>
    <row r="751" spans="1:14" x14ac:dyDescent="0.2">
      <c r="A751">
        <v>750</v>
      </c>
      <c r="B751">
        <v>15</v>
      </c>
      <c r="C751">
        <v>11</v>
      </c>
      <c r="D751" t="s">
        <v>183</v>
      </c>
      <c r="F751" t="s">
        <v>184</v>
      </c>
      <c r="H751" t="s">
        <v>185</v>
      </c>
      <c r="I751" t="s">
        <v>186</v>
      </c>
      <c r="J751">
        <v>16</v>
      </c>
      <c r="K751" t="s">
        <v>178</v>
      </c>
      <c r="L751" t="s">
        <v>37</v>
      </c>
      <c r="M751" t="s">
        <v>38</v>
      </c>
      <c r="N751" t="s">
        <v>140</v>
      </c>
    </row>
    <row r="752" spans="1:14" x14ac:dyDescent="0.2">
      <c r="A752">
        <v>751</v>
      </c>
      <c r="B752">
        <v>15</v>
      </c>
      <c r="C752">
        <v>12</v>
      </c>
      <c r="D752" t="s">
        <v>191</v>
      </c>
      <c r="F752" t="s">
        <v>192</v>
      </c>
      <c r="H752" t="s">
        <v>193</v>
      </c>
      <c r="I752" t="s">
        <v>194</v>
      </c>
      <c r="J752">
        <v>26</v>
      </c>
      <c r="K752" t="s">
        <v>178</v>
      </c>
      <c r="L752" t="s">
        <v>37</v>
      </c>
      <c r="M752" t="s">
        <v>38</v>
      </c>
      <c r="N752" t="s">
        <v>140</v>
      </c>
    </row>
    <row r="753" spans="1:14" x14ac:dyDescent="0.2">
      <c r="A753">
        <v>752</v>
      </c>
      <c r="B753">
        <v>15</v>
      </c>
      <c r="C753">
        <v>13</v>
      </c>
      <c r="D753" t="s">
        <v>209</v>
      </c>
      <c r="F753" t="s">
        <v>863</v>
      </c>
      <c r="H753" t="s">
        <v>864</v>
      </c>
      <c r="I753" t="s">
        <v>865</v>
      </c>
      <c r="J753">
        <v>23</v>
      </c>
      <c r="K753" t="s">
        <v>46</v>
      </c>
      <c r="L753" t="s">
        <v>37</v>
      </c>
      <c r="M753" t="s">
        <v>38</v>
      </c>
      <c r="N753" t="s">
        <v>140</v>
      </c>
    </row>
    <row r="754" spans="1:14" x14ac:dyDescent="0.2">
      <c r="A754">
        <v>753</v>
      </c>
      <c r="B754">
        <v>15</v>
      </c>
      <c r="C754">
        <v>14</v>
      </c>
      <c r="D754" t="s">
        <v>217</v>
      </c>
      <c r="F754" t="s">
        <v>1362</v>
      </c>
      <c r="H754" t="s">
        <v>1363</v>
      </c>
      <c r="I754" t="s">
        <v>1364</v>
      </c>
      <c r="J754">
        <v>470</v>
      </c>
      <c r="K754" t="s">
        <v>87</v>
      </c>
      <c r="L754" t="s">
        <v>37</v>
      </c>
      <c r="M754" t="s">
        <v>38</v>
      </c>
      <c r="N754" t="s">
        <v>140</v>
      </c>
    </row>
    <row r="755" spans="1:14" x14ac:dyDescent="0.2">
      <c r="A755">
        <v>754</v>
      </c>
      <c r="B755">
        <v>15</v>
      </c>
      <c r="C755">
        <v>15</v>
      </c>
      <c r="D755" t="s">
        <v>217</v>
      </c>
      <c r="F755" t="s">
        <v>1365</v>
      </c>
      <c r="H755" t="s">
        <v>1366</v>
      </c>
      <c r="I755" t="s">
        <v>1367</v>
      </c>
      <c r="J755">
        <v>200</v>
      </c>
      <c r="K755" t="s">
        <v>87</v>
      </c>
      <c r="L755" t="s">
        <v>37</v>
      </c>
      <c r="M755" t="s">
        <v>38</v>
      </c>
      <c r="N755" t="s">
        <v>140</v>
      </c>
    </row>
    <row r="756" spans="1:14" x14ac:dyDescent="0.2">
      <c r="A756">
        <v>755</v>
      </c>
      <c r="B756">
        <v>15</v>
      </c>
      <c r="C756">
        <v>16</v>
      </c>
      <c r="D756" t="s">
        <v>217</v>
      </c>
      <c r="F756" t="s">
        <v>860</v>
      </c>
      <c r="H756" t="s">
        <v>861</v>
      </c>
      <c r="I756" t="s">
        <v>862</v>
      </c>
      <c r="J756">
        <v>8100</v>
      </c>
      <c r="K756" t="s">
        <v>87</v>
      </c>
      <c r="L756" t="s">
        <v>37</v>
      </c>
      <c r="M756" t="s">
        <v>38</v>
      </c>
      <c r="N756" t="s">
        <v>140</v>
      </c>
    </row>
    <row r="757" spans="1:14" x14ac:dyDescent="0.2">
      <c r="A757">
        <v>756</v>
      </c>
      <c r="B757">
        <v>15</v>
      </c>
      <c r="C757">
        <v>17</v>
      </c>
      <c r="D757" t="s">
        <v>217</v>
      </c>
      <c r="F757" t="s">
        <v>221</v>
      </c>
      <c r="H757" t="s">
        <v>222</v>
      </c>
      <c r="I757" t="s">
        <v>223</v>
      </c>
      <c r="J757">
        <v>300</v>
      </c>
      <c r="K757" t="s">
        <v>216</v>
      </c>
      <c r="L757" t="s">
        <v>37</v>
      </c>
      <c r="M757" t="s">
        <v>38</v>
      </c>
      <c r="N757" t="s">
        <v>140</v>
      </c>
    </row>
    <row r="758" spans="1:14" x14ac:dyDescent="0.2">
      <c r="A758">
        <v>757</v>
      </c>
      <c r="B758">
        <v>15</v>
      </c>
      <c r="C758">
        <v>18</v>
      </c>
      <c r="D758" t="s">
        <v>217</v>
      </c>
      <c r="F758" t="s">
        <v>1368</v>
      </c>
      <c r="H758" t="s">
        <v>1369</v>
      </c>
      <c r="I758" t="s">
        <v>1370</v>
      </c>
      <c r="J758">
        <v>4200</v>
      </c>
      <c r="K758" t="s">
        <v>87</v>
      </c>
      <c r="L758" t="s">
        <v>37</v>
      </c>
      <c r="M758" t="s">
        <v>38</v>
      </c>
      <c r="N758" t="s">
        <v>140</v>
      </c>
    </row>
    <row r="759" spans="1:14" x14ac:dyDescent="0.2">
      <c r="A759">
        <v>758</v>
      </c>
      <c r="B759">
        <v>15</v>
      </c>
      <c r="C759">
        <v>19</v>
      </c>
      <c r="D759" t="s">
        <v>240</v>
      </c>
      <c r="F759" t="s">
        <v>1371</v>
      </c>
      <c r="H759" t="s">
        <v>1372</v>
      </c>
      <c r="I759" t="s">
        <v>1373</v>
      </c>
      <c r="J759">
        <v>3300</v>
      </c>
      <c r="K759" t="s">
        <v>36</v>
      </c>
      <c r="L759" t="s">
        <v>244</v>
      </c>
      <c r="M759" t="s">
        <v>245</v>
      </c>
      <c r="N759" t="s">
        <v>246</v>
      </c>
    </row>
    <row r="760" spans="1:14" x14ac:dyDescent="0.2">
      <c r="A760">
        <v>759</v>
      </c>
      <c r="B760">
        <v>15</v>
      </c>
      <c r="C760">
        <v>20</v>
      </c>
      <c r="D760" t="s">
        <v>240</v>
      </c>
      <c r="F760" t="s">
        <v>635</v>
      </c>
      <c r="H760" t="s">
        <v>636</v>
      </c>
      <c r="I760" t="s">
        <v>637</v>
      </c>
      <c r="J760">
        <v>1460</v>
      </c>
      <c r="K760" t="s">
        <v>36</v>
      </c>
      <c r="L760" t="s">
        <v>244</v>
      </c>
      <c r="M760" t="s">
        <v>245</v>
      </c>
      <c r="N760" t="s">
        <v>246</v>
      </c>
    </row>
    <row r="761" spans="1:14" x14ac:dyDescent="0.2">
      <c r="A761">
        <v>760</v>
      </c>
      <c r="B761">
        <v>15</v>
      </c>
      <c r="C761">
        <v>21</v>
      </c>
      <c r="D761" t="s">
        <v>240</v>
      </c>
      <c r="F761" t="s">
        <v>638</v>
      </c>
      <c r="H761" t="s">
        <v>1374</v>
      </c>
      <c r="I761" t="s">
        <v>641</v>
      </c>
      <c r="J761">
        <v>5</v>
      </c>
      <c r="K761" t="s">
        <v>72</v>
      </c>
      <c r="L761" t="s">
        <v>244</v>
      </c>
      <c r="M761" t="s">
        <v>245</v>
      </c>
      <c r="N761" t="s">
        <v>246</v>
      </c>
    </row>
    <row r="762" spans="1:14" x14ac:dyDescent="0.2">
      <c r="A762">
        <v>761</v>
      </c>
      <c r="B762">
        <v>15</v>
      </c>
      <c r="C762">
        <v>22</v>
      </c>
      <c r="D762" t="s">
        <v>267</v>
      </c>
      <c r="F762" t="s">
        <v>1375</v>
      </c>
      <c r="G762" t="s">
        <v>276</v>
      </c>
      <c r="H762" t="s">
        <v>1376</v>
      </c>
      <c r="I762" t="s">
        <v>1377</v>
      </c>
      <c r="J762">
        <v>1350</v>
      </c>
      <c r="K762" t="s">
        <v>36</v>
      </c>
      <c r="L762" t="s">
        <v>244</v>
      </c>
      <c r="M762" t="s">
        <v>245</v>
      </c>
      <c r="N762" t="s">
        <v>246</v>
      </c>
    </row>
    <row r="763" spans="1:14" x14ac:dyDescent="0.2">
      <c r="A763">
        <v>762</v>
      </c>
      <c r="B763">
        <v>15</v>
      </c>
      <c r="C763">
        <v>23</v>
      </c>
      <c r="D763">
        <v>260500</v>
      </c>
      <c r="F763" t="s">
        <v>291</v>
      </c>
      <c r="H763" t="s">
        <v>292</v>
      </c>
      <c r="I763" t="s">
        <v>293</v>
      </c>
      <c r="J763">
        <v>1</v>
      </c>
      <c r="K763" t="s">
        <v>17</v>
      </c>
      <c r="L763" t="s">
        <v>244</v>
      </c>
      <c r="M763" t="s">
        <v>294</v>
      </c>
      <c r="N763" t="s">
        <v>295</v>
      </c>
    </row>
    <row r="764" spans="1:14" x14ac:dyDescent="0.2">
      <c r="A764">
        <v>763</v>
      </c>
      <c r="B764">
        <v>15</v>
      </c>
      <c r="C764">
        <v>24</v>
      </c>
      <c r="D764">
        <v>260500</v>
      </c>
      <c r="F764" t="s">
        <v>299</v>
      </c>
      <c r="H764" t="s">
        <v>300</v>
      </c>
      <c r="I764" t="s">
        <v>301</v>
      </c>
      <c r="J764">
        <v>1</v>
      </c>
      <c r="K764" t="s">
        <v>17</v>
      </c>
      <c r="L764" t="s">
        <v>244</v>
      </c>
      <c r="M764" t="s">
        <v>294</v>
      </c>
      <c r="N764" t="s">
        <v>295</v>
      </c>
    </row>
    <row r="765" spans="1:14" x14ac:dyDescent="0.2">
      <c r="A765">
        <v>764</v>
      </c>
      <c r="B765">
        <v>15</v>
      </c>
      <c r="C765">
        <v>25</v>
      </c>
      <c r="D765">
        <v>344300</v>
      </c>
      <c r="F765" t="s">
        <v>1378</v>
      </c>
      <c r="H765" t="s">
        <v>1379</v>
      </c>
      <c r="I765" t="s">
        <v>1380</v>
      </c>
      <c r="J765">
        <v>49</v>
      </c>
      <c r="K765" t="s">
        <v>72</v>
      </c>
      <c r="L765" t="s">
        <v>244</v>
      </c>
      <c r="M765" t="s">
        <v>245</v>
      </c>
      <c r="N765" t="s">
        <v>246</v>
      </c>
    </row>
    <row r="766" spans="1:14" x14ac:dyDescent="0.2">
      <c r="A766">
        <v>765</v>
      </c>
      <c r="B766">
        <v>15</v>
      </c>
      <c r="C766">
        <v>26</v>
      </c>
      <c r="D766">
        <v>344300</v>
      </c>
      <c r="F766" t="s">
        <v>1381</v>
      </c>
      <c r="H766" t="s">
        <v>1382</v>
      </c>
      <c r="I766" t="s">
        <v>1383</v>
      </c>
      <c r="J766">
        <v>1</v>
      </c>
      <c r="K766" t="s">
        <v>72</v>
      </c>
      <c r="L766" t="s">
        <v>244</v>
      </c>
      <c r="M766" t="s">
        <v>245</v>
      </c>
      <c r="N766" t="s">
        <v>246</v>
      </c>
    </row>
    <row r="767" spans="1:14" x14ac:dyDescent="0.2">
      <c r="A767">
        <v>766</v>
      </c>
      <c r="B767">
        <v>15</v>
      </c>
      <c r="C767">
        <v>27</v>
      </c>
      <c r="D767">
        <v>344300</v>
      </c>
      <c r="F767" t="s">
        <v>1384</v>
      </c>
      <c r="H767" t="s">
        <v>1385</v>
      </c>
      <c r="I767" t="s">
        <v>1386</v>
      </c>
      <c r="J767">
        <v>11</v>
      </c>
      <c r="K767" t="s">
        <v>72</v>
      </c>
      <c r="L767" t="s">
        <v>244</v>
      </c>
      <c r="M767" t="s">
        <v>245</v>
      </c>
      <c r="N767" t="s">
        <v>246</v>
      </c>
    </row>
    <row r="768" spans="1:14" x14ac:dyDescent="0.2">
      <c r="A768">
        <v>767</v>
      </c>
      <c r="B768">
        <v>16</v>
      </c>
      <c r="C768">
        <v>1</v>
      </c>
      <c r="D768" t="s">
        <v>14</v>
      </c>
      <c r="F768" t="s">
        <v>15</v>
      </c>
      <c r="H768" t="s">
        <v>15</v>
      </c>
      <c r="I768" t="s">
        <v>16</v>
      </c>
      <c r="J768">
        <v>1</v>
      </c>
      <c r="K768" t="s">
        <v>17</v>
      </c>
      <c r="L768" t="s">
        <v>18</v>
      </c>
      <c r="M768" t="s">
        <v>19</v>
      </c>
      <c r="N768" t="s">
        <v>20</v>
      </c>
    </row>
    <row r="769" spans="1:14" x14ac:dyDescent="0.2">
      <c r="A769">
        <v>768</v>
      </c>
      <c r="B769">
        <v>16</v>
      </c>
      <c r="C769">
        <v>2</v>
      </c>
      <c r="D769" t="s">
        <v>14</v>
      </c>
      <c r="F769" t="s">
        <v>380</v>
      </c>
      <c r="H769" t="s">
        <v>380</v>
      </c>
      <c r="I769" t="s">
        <v>1387</v>
      </c>
      <c r="J769">
        <v>1</v>
      </c>
      <c r="K769" t="s">
        <v>17</v>
      </c>
      <c r="L769" t="s">
        <v>18</v>
      </c>
      <c r="M769" t="s">
        <v>19</v>
      </c>
      <c r="N769" t="s">
        <v>20</v>
      </c>
    </row>
    <row r="770" spans="1:14" x14ac:dyDescent="0.2">
      <c r="A770">
        <v>769</v>
      </c>
      <c r="B770">
        <v>16</v>
      </c>
      <c r="C770">
        <v>3</v>
      </c>
      <c r="D770" t="s">
        <v>14</v>
      </c>
      <c r="F770" t="s">
        <v>109</v>
      </c>
      <c r="H770" t="s">
        <v>109</v>
      </c>
      <c r="I770" t="s">
        <v>480</v>
      </c>
      <c r="J770">
        <v>1</v>
      </c>
      <c r="K770" t="s">
        <v>17</v>
      </c>
      <c r="L770" t="s">
        <v>18</v>
      </c>
      <c r="M770" t="s">
        <v>19</v>
      </c>
      <c r="N770" t="s">
        <v>20</v>
      </c>
    </row>
    <row r="771" spans="1:14" x14ac:dyDescent="0.2">
      <c r="A771">
        <v>770</v>
      </c>
      <c r="B771">
        <v>16</v>
      </c>
      <c r="C771">
        <v>4</v>
      </c>
      <c r="D771" t="s">
        <v>14</v>
      </c>
      <c r="F771" t="s">
        <v>1388</v>
      </c>
      <c r="H771" t="s">
        <v>1388</v>
      </c>
      <c r="I771" t="s">
        <v>1389</v>
      </c>
      <c r="J771">
        <v>1</v>
      </c>
      <c r="K771" t="s">
        <v>17</v>
      </c>
      <c r="L771" t="s">
        <v>25</v>
      </c>
      <c r="M771" t="s">
        <v>26</v>
      </c>
      <c r="N771" t="s">
        <v>27</v>
      </c>
    </row>
    <row r="772" spans="1:14" x14ac:dyDescent="0.2">
      <c r="A772">
        <v>771</v>
      </c>
      <c r="B772">
        <v>16</v>
      </c>
      <c r="C772">
        <v>5</v>
      </c>
      <c r="D772" t="s">
        <v>14</v>
      </c>
      <c r="F772" t="s">
        <v>23</v>
      </c>
      <c r="H772" t="s">
        <v>23</v>
      </c>
      <c r="I772" t="s">
        <v>24</v>
      </c>
      <c r="J772">
        <v>1</v>
      </c>
      <c r="K772" t="s">
        <v>17</v>
      </c>
      <c r="L772" t="s">
        <v>25</v>
      </c>
      <c r="M772" t="s">
        <v>26</v>
      </c>
      <c r="N772" t="s">
        <v>27</v>
      </c>
    </row>
    <row r="773" spans="1:14" x14ac:dyDescent="0.2">
      <c r="A773">
        <v>772</v>
      </c>
      <c r="B773">
        <v>16</v>
      </c>
      <c r="C773">
        <v>6</v>
      </c>
      <c r="D773" t="s">
        <v>14</v>
      </c>
      <c r="F773" t="s">
        <v>1390</v>
      </c>
      <c r="H773" t="s">
        <v>1390</v>
      </c>
      <c r="I773" t="s">
        <v>1391</v>
      </c>
      <c r="J773">
        <v>1700</v>
      </c>
      <c r="K773" t="s">
        <v>94</v>
      </c>
      <c r="L773" t="s">
        <v>30</v>
      </c>
      <c r="M773" t="s">
        <v>30</v>
      </c>
      <c r="N773" t="s">
        <v>31</v>
      </c>
    </row>
    <row r="774" spans="1:14" x14ac:dyDescent="0.2">
      <c r="A774">
        <v>773</v>
      </c>
      <c r="B774">
        <v>16</v>
      </c>
      <c r="C774">
        <v>7</v>
      </c>
      <c r="D774" t="s">
        <v>14</v>
      </c>
      <c r="F774" t="s">
        <v>1343</v>
      </c>
      <c r="H774" t="s">
        <v>1343</v>
      </c>
      <c r="I774" t="s">
        <v>1344</v>
      </c>
      <c r="J774">
        <v>1</v>
      </c>
      <c r="K774" t="s">
        <v>17</v>
      </c>
      <c r="L774" t="s">
        <v>244</v>
      </c>
      <c r="M774" t="s">
        <v>362</v>
      </c>
      <c r="N774" t="s">
        <v>1345</v>
      </c>
    </row>
    <row r="775" spans="1:14" x14ac:dyDescent="0.2">
      <c r="A775">
        <v>774</v>
      </c>
      <c r="B775">
        <v>16</v>
      </c>
      <c r="C775">
        <v>8</v>
      </c>
      <c r="D775" t="s">
        <v>14</v>
      </c>
      <c r="F775" t="s">
        <v>1392</v>
      </c>
      <c r="G775" t="s">
        <v>1393</v>
      </c>
      <c r="H775" t="s">
        <v>1394</v>
      </c>
      <c r="I775" t="s">
        <v>1395</v>
      </c>
      <c r="J775">
        <v>6500</v>
      </c>
      <c r="K775" t="s">
        <v>36</v>
      </c>
      <c r="L775" t="s">
        <v>244</v>
      </c>
      <c r="M775" t="s">
        <v>245</v>
      </c>
      <c r="N775" t="s">
        <v>1396</v>
      </c>
    </row>
    <row r="776" spans="1:14" x14ac:dyDescent="0.2">
      <c r="A776">
        <v>775</v>
      </c>
      <c r="B776">
        <v>16</v>
      </c>
      <c r="C776">
        <v>9</v>
      </c>
      <c r="D776" t="s">
        <v>14</v>
      </c>
      <c r="F776" t="s">
        <v>1392</v>
      </c>
      <c r="G776" t="s">
        <v>1397</v>
      </c>
      <c r="H776" t="s">
        <v>1398</v>
      </c>
      <c r="I776" t="s">
        <v>1395</v>
      </c>
      <c r="J776">
        <v>1050</v>
      </c>
      <c r="K776" t="s">
        <v>36</v>
      </c>
      <c r="L776" t="s">
        <v>244</v>
      </c>
      <c r="M776" t="s">
        <v>245</v>
      </c>
      <c r="N776" t="s">
        <v>1396</v>
      </c>
    </row>
    <row r="777" spans="1:14" x14ac:dyDescent="0.2">
      <c r="A777">
        <v>776</v>
      </c>
      <c r="B777">
        <v>16</v>
      </c>
      <c r="C777">
        <v>10</v>
      </c>
      <c r="D777" t="s">
        <v>14</v>
      </c>
      <c r="F777" t="s">
        <v>1392</v>
      </c>
      <c r="G777" t="s">
        <v>1399</v>
      </c>
      <c r="H777" t="s">
        <v>1400</v>
      </c>
      <c r="I777" t="s">
        <v>1395</v>
      </c>
      <c r="J777">
        <v>350</v>
      </c>
      <c r="K777" t="s">
        <v>36</v>
      </c>
      <c r="L777" t="s">
        <v>244</v>
      </c>
      <c r="M777" t="s">
        <v>245</v>
      </c>
      <c r="N777" t="s">
        <v>1396</v>
      </c>
    </row>
    <row r="778" spans="1:14" x14ac:dyDescent="0.2">
      <c r="A778">
        <v>777</v>
      </c>
      <c r="B778">
        <v>16</v>
      </c>
      <c r="C778">
        <v>11</v>
      </c>
      <c r="D778" t="s">
        <v>14</v>
      </c>
      <c r="F778" t="s">
        <v>1392</v>
      </c>
      <c r="G778" t="s">
        <v>1401</v>
      </c>
      <c r="H778" t="s">
        <v>1402</v>
      </c>
      <c r="I778" t="s">
        <v>1395</v>
      </c>
      <c r="J778">
        <v>200</v>
      </c>
      <c r="K778" t="s">
        <v>36</v>
      </c>
      <c r="L778" t="s">
        <v>244</v>
      </c>
      <c r="M778" t="s">
        <v>245</v>
      </c>
      <c r="N778" t="s">
        <v>1396</v>
      </c>
    </row>
    <row r="779" spans="1:14" x14ac:dyDescent="0.2">
      <c r="A779">
        <v>778</v>
      </c>
      <c r="B779">
        <v>16</v>
      </c>
      <c r="C779">
        <v>12</v>
      </c>
      <c r="D779" t="s">
        <v>14</v>
      </c>
      <c r="F779" t="s">
        <v>1403</v>
      </c>
      <c r="H779" t="s">
        <v>1403</v>
      </c>
      <c r="I779" t="s">
        <v>1404</v>
      </c>
      <c r="J779">
        <v>450</v>
      </c>
      <c r="K779" t="s">
        <v>36</v>
      </c>
      <c r="L779" t="s">
        <v>47</v>
      </c>
      <c r="M779" t="s">
        <v>48</v>
      </c>
      <c r="N779" t="s">
        <v>49</v>
      </c>
    </row>
    <row r="780" spans="1:14" x14ac:dyDescent="0.2">
      <c r="A780">
        <v>779</v>
      </c>
      <c r="B780">
        <v>16</v>
      </c>
      <c r="C780">
        <v>13</v>
      </c>
      <c r="D780" t="s">
        <v>14</v>
      </c>
      <c r="F780" t="s">
        <v>1405</v>
      </c>
      <c r="H780" t="s">
        <v>1405</v>
      </c>
      <c r="I780" t="s">
        <v>1406</v>
      </c>
      <c r="J780">
        <v>200</v>
      </c>
      <c r="K780" t="s">
        <v>36</v>
      </c>
      <c r="L780" t="s">
        <v>47</v>
      </c>
      <c r="M780" t="s">
        <v>48</v>
      </c>
      <c r="N780" t="s">
        <v>49</v>
      </c>
    </row>
    <row r="781" spans="1:14" x14ac:dyDescent="0.2">
      <c r="A781">
        <v>780</v>
      </c>
      <c r="B781">
        <v>16</v>
      </c>
      <c r="C781">
        <v>14</v>
      </c>
      <c r="D781" t="s">
        <v>14</v>
      </c>
      <c r="F781" t="s">
        <v>1407</v>
      </c>
      <c r="H781" t="s">
        <v>1407</v>
      </c>
      <c r="I781" t="s">
        <v>1408</v>
      </c>
      <c r="J781">
        <v>200</v>
      </c>
      <c r="K781" t="s">
        <v>36</v>
      </c>
      <c r="L781" t="s">
        <v>47</v>
      </c>
      <c r="M781" t="s">
        <v>48</v>
      </c>
      <c r="N781" t="s">
        <v>49</v>
      </c>
    </row>
    <row r="782" spans="1:14" x14ac:dyDescent="0.2">
      <c r="A782">
        <v>781</v>
      </c>
      <c r="B782">
        <v>16</v>
      </c>
      <c r="C782">
        <v>15</v>
      </c>
      <c r="D782" t="s">
        <v>14</v>
      </c>
      <c r="F782" t="s">
        <v>1409</v>
      </c>
      <c r="H782" t="s">
        <v>1409</v>
      </c>
      <c r="I782" t="s">
        <v>1410</v>
      </c>
      <c r="J782">
        <v>200</v>
      </c>
      <c r="K782" t="s">
        <v>36</v>
      </c>
      <c r="L782" t="s">
        <v>47</v>
      </c>
      <c r="M782" t="s">
        <v>48</v>
      </c>
      <c r="N782" t="s">
        <v>49</v>
      </c>
    </row>
    <row r="783" spans="1:14" x14ac:dyDescent="0.2">
      <c r="A783">
        <v>782</v>
      </c>
      <c r="B783">
        <v>16</v>
      </c>
      <c r="C783">
        <v>16</v>
      </c>
      <c r="D783" t="s">
        <v>14</v>
      </c>
      <c r="F783" t="s">
        <v>1411</v>
      </c>
      <c r="H783" t="s">
        <v>1411</v>
      </c>
      <c r="I783" t="s">
        <v>1412</v>
      </c>
      <c r="J783">
        <v>1250</v>
      </c>
      <c r="K783" t="s">
        <v>36</v>
      </c>
      <c r="L783" t="s">
        <v>47</v>
      </c>
      <c r="M783" t="s">
        <v>48</v>
      </c>
      <c r="N783" t="s">
        <v>49</v>
      </c>
    </row>
    <row r="784" spans="1:14" x14ac:dyDescent="0.2">
      <c r="A784">
        <v>783</v>
      </c>
      <c r="B784">
        <v>16</v>
      </c>
      <c r="C784">
        <v>17</v>
      </c>
      <c r="D784" t="s">
        <v>14</v>
      </c>
      <c r="F784" t="s">
        <v>1413</v>
      </c>
      <c r="H784" t="s">
        <v>1413</v>
      </c>
      <c r="I784" t="s">
        <v>1414</v>
      </c>
      <c r="J784">
        <v>3</v>
      </c>
      <c r="K784" t="s">
        <v>72</v>
      </c>
      <c r="L784" t="s">
        <v>47</v>
      </c>
      <c r="M784" t="s">
        <v>48</v>
      </c>
      <c r="N784" t="s">
        <v>49</v>
      </c>
    </row>
    <row r="785" spans="1:14" x14ac:dyDescent="0.2">
      <c r="A785">
        <v>784</v>
      </c>
      <c r="B785">
        <v>16</v>
      </c>
      <c r="C785">
        <v>18</v>
      </c>
      <c r="D785" t="s">
        <v>14</v>
      </c>
      <c r="F785" t="s">
        <v>1415</v>
      </c>
      <c r="H785" t="s">
        <v>1415</v>
      </c>
      <c r="I785" t="s">
        <v>1416</v>
      </c>
      <c r="J785">
        <v>1</v>
      </c>
      <c r="K785" t="s">
        <v>72</v>
      </c>
      <c r="L785" t="s">
        <v>47</v>
      </c>
      <c r="M785" t="s">
        <v>48</v>
      </c>
      <c r="N785" t="s">
        <v>49</v>
      </c>
    </row>
    <row r="786" spans="1:14" x14ac:dyDescent="0.2">
      <c r="A786">
        <v>785</v>
      </c>
      <c r="B786">
        <v>16</v>
      </c>
      <c r="C786">
        <v>19</v>
      </c>
      <c r="D786" t="s">
        <v>14</v>
      </c>
      <c r="F786" t="s">
        <v>1417</v>
      </c>
      <c r="H786" t="s">
        <v>1418</v>
      </c>
      <c r="I786" t="s">
        <v>1419</v>
      </c>
      <c r="J786">
        <v>1</v>
      </c>
      <c r="K786" t="s">
        <v>72</v>
      </c>
      <c r="L786" t="s">
        <v>47</v>
      </c>
      <c r="M786" t="s">
        <v>48</v>
      </c>
      <c r="N786" t="s">
        <v>49</v>
      </c>
    </row>
    <row r="787" spans="1:14" x14ac:dyDescent="0.2">
      <c r="A787">
        <v>786</v>
      </c>
      <c r="B787">
        <v>16</v>
      </c>
      <c r="C787">
        <v>20</v>
      </c>
      <c r="D787" t="s">
        <v>14</v>
      </c>
      <c r="F787" t="s">
        <v>1420</v>
      </c>
      <c r="H787" t="s">
        <v>1421</v>
      </c>
      <c r="I787" t="s">
        <v>1422</v>
      </c>
      <c r="J787">
        <v>4</v>
      </c>
      <c r="K787" t="s">
        <v>72</v>
      </c>
      <c r="L787" t="s">
        <v>47</v>
      </c>
      <c r="M787" t="s">
        <v>48</v>
      </c>
      <c r="N787" t="s">
        <v>49</v>
      </c>
    </row>
    <row r="788" spans="1:14" x14ac:dyDescent="0.2">
      <c r="A788">
        <v>787</v>
      </c>
      <c r="B788">
        <v>16</v>
      </c>
      <c r="C788">
        <v>21</v>
      </c>
      <c r="D788" t="s">
        <v>14</v>
      </c>
      <c r="F788" t="s">
        <v>1423</v>
      </c>
      <c r="G788" t="s">
        <v>1424</v>
      </c>
      <c r="H788" t="s">
        <v>1425</v>
      </c>
      <c r="I788" t="s">
        <v>1426</v>
      </c>
      <c r="J788">
        <v>2</v>
      </c>
      <c r="K788" t="s">
        <v>72</v>
      </c>
      <c r="L788" t="s">
        <v>47</v>
      </c>
      <c r="M788" t="s">
        <v>48</v>
      </c>
      <c r="N788" t="s">
        <v>49</v>
      </c>
    </row>
    <row r="789" spans="1:14" x14ac:dyDescent="0.2">
      <c r="A789">
        <v>788</v>
      </c>
      <c r="B789">
        <v>16</v>
      </c>
      <c r="C789">
        <v>22</v>
      </c>
      <c r="D789" t="s">
        <v>14</v>
      </c>
      <c r="F789" t="s">
        <v>1427</v>
      </c>
      <c r="H789" t="s">
        <v>1428</v>
      </c>
      <c r="I789" t="s">
        <v>1429</v>
      </c>
      <c r="J789">
        <v>2</v>
      </c>
      <c r="K789" t="s">
        <v>72</v>
      </c>
      <c r="L789" t="s">
        <v>47</v>
      </c>
      <c r="M789" t="s">
        <v>48</v>
      </c>
      <c r="N789" t="s">
        <v>49</v>
      </c>
    </row>
    <row r="790" spans="1:14" x14ac:dyDescent="0.2">
      <c r="A790">
        <v>789</v>
      </c>
      <c r="B790">
        <v>16</v>
      </c>
      <c r="C790">
        <v>23</v>
      </c>
      <c r="D790" t="s">
        <v>14</v>
      </c>
      <c r="F790" t="s">
        <v>1430</v>
      </c>
      <c r="H790" t="s">
        <v>1431</v>
      </c>
      <c r="I790" t="s">
        <v>1432</v>
      </c>
      <c r="J790">
        <v>1</v>
      </c>
      <c r="K790" t="s">
        <v>72</v>
      </c>
      <c r="L790" t="s">
        <v>47</v>
      </c>
      <c r="M790" t="s">
        <v>48</v>
      </c>
      <c r="N790" t="s">
        <v>49</v>
      </c>
    </row>
    <row r="791" spans="1:14" x14ac:dyDescent="0.2">
      <c r="A791">
        <v>790</v>
      </c>
      <c r="B791">
        <v>16</v>
      </c>
      <c r="C791">
        <v>24</v>
      </c>
      <c r="D791" t="s">
        <v>14</v>
      </c>
      <c r="F791" t="s">
        <v>1433</v>
      </c>
      <c r="G791" t="s">
        <v>1397</v>
      </c>
      <c r="H791" t="s">
        <v>1434</v>
      </c>
      <c r="I791" t="s">
        <v>1435</v>
      </c>
      <c r="J791">
        <v>12250</v>
      </c>
      <c r="K791" t="s">
        <v>36</v>
      </c>
      <c r="L791" t="s">
        <v>244</v>
      </c>
      <c r="M791" t="s">
        <v>245</v>
      </c>
      <c r="N791" t="s">
        <v>1396</v>
      </c>
    </row>
    <row r="792" spans="1:14" x14ac:dyDescent="0.2">
      <c r="A792">
        <v>791</v>
      </c>
      <c r="B792">
        <v>16</v>
      </c>
      <c r="C792">
        <v>25</v>
      </c>
      <c r="D792" t="s">
        <v>14</v>
      </c>
      <c r="F792" t="s">
        <v>1436</v>
      </c>
      <c r="H792" t="s">
        <v>1436</v>
      </c>
      <c r="I792" t="s">
        <v>1437</v>
      </c>
      <c r="J792">
        <v>9300</v>
      </c>
      <c r="K792" t="s">
        <v>36</v>
      </c>
      <c r="L792" t="s">
        <v>47</v>
      </c>
      <c r="M792" t="s">
        <v>48</v>
      </c>
      <c r="N792" t="s">
        <v>49</v>
      </c>
    </row>
    <row r="793" spans="1:14" x14ac:dyDescent="0.2">
      <c r="A793">
        <v>792</v>
      </c>
      <c r="B793">
        <v>16</v>
      </c>
      <c r="C793">
        <v>26</v>
      </c>
      <c r="D793" t="s">
        <v>14</v>
      </c>
      <c r="F793" t="s">
        <v>1438</v>
      </c>
      <c r="G793" t="s">
        <v>1439</v>
      </c>
      <c r="H793" t="s">
        <v>1440</v>
      </c>
      <c r="I793" t="s">
        <v>1441</v>
      </c>
      <c r="J793">
        <v>8</v>
      </c>
      <c r="K793" t="s">
        <v>72</v>
      </c>
      <c r="L793" t="s">
        <v>47</v>
      </c>
      <c r="M793" t="s">
        <v>48</v>
      </c>
      <c r="N793" t="s">
        <v>49</v>
      </c>
    </row>
    <row r="794" spans="1:14" x14ac:dyDescent="0.2">
      <c r="A794">
        <v>793</v>
      </c>
      <c r="B794">
        <v>16</v>
      </c>
      <c r="C794">
        <v>27</v>
      </c>
      <c r="D794" t="s">
        <v>14</v>
      </c>
      <c r="F794" t="s">
        <v>1442</v>
      </c>
      <c r="H794" t="s">
        <v>1442</v>
      </c>
      <c r="I794" t="s">
        <v>1443</v>
      </c>
      <c r="J794">
        <v>1</v>
      </c>
      <c r="K794" t="s">
        <v>72</v>
      </c>
      <c r="L794" t="s">
        <v>47</v>
      </c>
      <c r="M794" t="s">
        <v>48</v>
      </c>
      <c r="N794" t="s">
        <v>49</v>
      </c>
    </row>
    <row r="795" spans="1:14" x14ac:dyDescent="0.2">
      <c r="A795">
        <v>794</v>
      </c>
      <c r="B795">
        <v>16</v>
      </c>
      <c r="C795">
        <v>28</v>
      </c>
      <c r="D795" t="s">
        <v>14</v>
      </c>
      <c r="F795" t="s">
        <v>1444</v>
      </c>
      <c r="H795" t="s">
        <v>1444</v>
      </c>
      <c r="I795" t="s">
        <v>1445</v>
      </c>
      <c r="J795">
        <v>1</v>
      </c>
      <c r="K795" t="s">
        <v>72</v>
      </c>
      <c r="L795" t="s">
        <v>244</v>
      </c>
      <c r="M795" t="s">
        <v>245</v>
      </c>
      <c r="N795" t="s">
        <v>1396</v>
      </c>
    </row>
    <row r="796" spans="1:14" x14ac:dyDescent="0.2">
      <c r="A796">
        <v>795</v>
      </c>
      <c r="B796">
        <v>16</v>
      </c>
      <c r="C796">
        <v>29</v>
      </c>
      <c r="D796" t="s">
        <v>14</v>
      </c>
      <c r="F796" t="s">
        <v>1446</v>
      </c>
      <c r="H796" t="s">
        <v>1446</v>
      </c>
      <c r="I796" t="s">
        <v>1447</v>
      </c>
      <c r="J796">
        <v>2</v>
      </c>
      <c r="K796" t="s">
        <v>72</v>
      </c>
      <c r="L796" t="s">
        <v>47</v>
      </c>
      <c r="M796" t="s">
        <v>48</v>
      </c>
      <c r="N796" t="s">
        <v>49</v>
      </c>
    </row>
    <row r="797" spans="1:14" x14ac:dyDescent="0.2">
      <c r="A797">
        <v>796</v>
      </c>
      <c r="B797">
        <v>16</v>
      </c>
      <c r="C797">
        <v>30</v>
      </c>
      <c r="D797" t="s">
        <v>14</v>
      </c>
      <c r="F797" t="s">
        <v>1448</v>
      </c>
      <c r="G797" t="s">
        <v>1449</v>
      </c>
      <c r="H797" t="s">
        <v>1450</v>
      </c>
      <c r="I797" t="s">
        <v>1451</v>
      </c>
      <c r="J797">
        <v>1</v>
      </c>
      <c r="K797" t="s">
        <v>72</v>
      </c>
      <c r="L797" t="s">
        <v>47</v>
      </c>
      <c r="M797" t="s">
        <v>48</v>
      </c>
      <c r="N797" t="s">
        <v>49</v>
      </c>
    </row>
    <row r="798" spans="1:14" x14ac:dyDescent="0.2">
      <c r="A798">
        <v>797</v>
      </c>
      <c r="B798">
        <v>16</v>
      </c>
      <c r="C798">
        <v>31</v>
      </c>
      <c r="D798" t="s">
        <v>14</v>
      </c>
      <c r="F798" t="s">
        <v>1452</v>
      </c>
      <c r="H798" t="s">
        <v>1452</v>
      </c>
      <c r="I798" t="s">
        <v>1453</v>
      </c>
      <c r="J798">
        <v>1</v>
      </c>
      <c r="K798" t="s">
        <v>72</v>
      </c>
      <c r="L798" t="s">
        <v>47</v>
      </c>
      <c r="M798" t="s">
        <v>48</v>
      </c>
      <c r="N798" t="s">
        <v>49</v>
      </c>
    </row>
    <row r="799" spans="1:14" x14ac:dyDescent="0.2">
      <c r="A799">
        <v>798</v>
      </c>
      <c r="B799">
        <v>16</v>
      </c>
      <c r="C799">
        <v>32</v>
      </c>
      <c r="D799" t="s">
        <v>14</v>
      </c>
      <c r="F799" t="s">
        <v>1454</v>
      </c>
      <c r="H799" t="s">
        <v>1454</v>
      </c>
      <c r="I799" t="s">
        <v>1455</v>
      </c>
      <c r="J799">
        <v>1</v>
      </c>
      <c r="K799" t="s">
        <v>72</v>
      </c>
      <c r="L799" t="s">
        <v>47</v>
      </c>
      <c r="M799" t="s">
        <v>48</v>
      </c>
      <c r="N799" t="s">
        <v>49</v>
      </c>
    </row>
    <row r="800" spans="1:14" x14ac:dyDescent="0.2">
      <c r="A800">
        <v>799</v>
      </c>
      <c r="B800">
        <v>16</v>
      </c>
      <c r="C800">
        <v>33</v>
      </c>
      <c r="D800" t="s">
        <v>14</v>
      </c>
      <c r="F800" t="s">
        <v>1456</v>
      </c>
      <c r="H800" t="s">
        <v>1456</v>
      </c>
      <c r="I800" t="s">
        <v>1457</v>
      </c>
      <c r="J800">
        <v>1</v>
      </c>
      <c r="K800" t="s">
        <v>17</v>
      </c>
      <c r="L800" t="s">
        <v>47</v>
      </c>
      <c r="M800" t="s">
        <v>48</v>
      </c>
      <c r="N800" t="s">
        <v>49</v>
      </c>
    </row>
    <row r="801" spans="1:14" x14ac:dyDescent="0.2">
      <c r="A801">
        <v>800</v>
      </c>
      <c r="B801">
        <v>16</v>
      </c>
      <c r="C801">
        <v>34</v>
      </c>
      <c r="D801" t="s">
        <v>14</v>
      </c>
      <c r="F801" t="s">
        <v>32</v>
      </c>
      <c r="H801" t="s">
        <v>32</v>
      </c>
      <c r="I801" t="s">
        <v>33</v>
      </c>
      <c r="J801">
        <v>1</v>
      </c>
      <c r="K801" t="s">
        <v>17</v>
      </c>
      <c r="L801" t="s">
        <v>25</v>
      </c>
      <c r="M801" t="s">
        <v>26</v>
      </c>
      <c r="N801" t="s">
        <v>27</v>
      </c>
    </row>
    <row r="802" spans="1:14" x14ac:dyDescent="0.2">
      <c r="A802">
        <v>801</v>
      </c>
      <c r="B802">
        <v>16</v>
      </c>
      <c r="C802">
        <v>35</v>
      </c>
      <c r="D802" t="s">
        <v>14</v>
      </c>
      <c r="F802" t="s">
        <v>496</v>
      </c>
      <c r="H802" t="s">
        <v>496</v>
      </c>
      <c r="I802" t="s">
        <v>497</v>
      </c>
      <c r="J802">
        <v>2900</v>
      </c>
      <c r="K802" t="s">
        <v>46</v>
      </c>
      <c r="L802" t="s">
        <v>37</v>
      </c>
      <c r="M802" t="s">
        <v>38</v>
      </c>
      <c r="N802" t="s">
        <v>39</v>
      </c>
    </row>
    <row r="803" spans="1:14" x14ac:dyDescent="0.2">
      <c r="A803">
        <v>802</v>
      </c>
      <c r="B803">
        <v>16</v>
      </c>
      <c r="C803">
        <v>36</v>
      </c>
      <c r="D803" t="s">
        <v>14</v>
      </c>
      <c r="F803" t="s">
        <v>1458</v>
      </c>
      <c r="H803" t="s">
        <v>1458</v>
      </c>
      <c r="I803" t="s">
        <v>1459</v>
      </c>
      <c r="J803">
        <v>4800</v>
      </c>
      <c r="K803" t="s">
        <v>46</v>
      </c>
      <c r="L803" t="s">
        <v>37</v>
      </c>
      <c r="M803" t="s">
        <v>38</v>
      </c>
      <c r="N803" t="s">
        <v>39</v>
      </c>
    </row>
    <row r="804" spans="1:14" x14ac:dyDescent="0.2">
      <c r="A804">
        <v>803</v>
      </c>
      <c r="B804">
        <v>16</v>
      </c>
      <c r="C804">
        <v>37</v>
      </c>
      <c r="D804" t="s">
        <v>14</v>
      </c>
      <c r="F804" t="s">
        <v>1460</v>
      </c>
      <c r="H804" t="s">
        <v>1460</v>
      </c>
      <c r="I804" t="s">
        <v>1461</v>
      </c>
      <c r="J804">
        <v>330</v>
      </c>
      <c r="K804" t="s">
        <v>36</v>
      </c>
      <c r="L804" t="s">
        <v>47</v>
      </c>
      <c r="M804" t="s">
        <v>48</v>
      </c>
      <c r="N804" t="s">
        <v>49</v>
      </c>
    </row>
    <row r="805" spans="1:14" x14ac:dyDescent="0.2">
      <c r="A805">
        <v>804</v>
      </c>
      <c r="B805">
        <v>16</v>
      </c>
      <c r="C805">
        <v>38</v>
      </c>
      <c r="D805" t="s">
        <v>14</v>
      </c>
      <c r="F805" t="s">
        <v>1462</v>
      </c>
      <c r="H805" t="s">
        <v>1462</v>
      </c>
      <c r="I805" t="s">
        <v>1463</v>
      </c>
      <c r="J805">
        <v>2300</v>
      </c>
      <c r="K805" t="s">
        <v>46</v>
      </c>
      <c r="L805" t="s">
        <v>57</v>
      </c>
      <c r="M805" t="s">
        <v>58</v>
      </c>
      <c r="N805" t="s">
        <v>59</v>
      </c>
    </row>
    <row r="806" spans="1:14" x14ac:dyDescent="0.2">
      <c r="A806">
        <v>805</v>
      </c>
      <c r="B806">
        <v>16</v>
      </c>
      <c r="C806">
        <v>39</v>
      </c>
      <c r="D806" t="s">
        <v>14</v>
      </c>
      <c r="F806" t="s">
        <v>60</v>
      </c>
      <c r="H806" t="s">
        <v>60</v>
      </c>
      <c r="I806" t="s">
        <v>61</v>
      </c>
      <c r="J806">
        <v>250</v>
      </c>
      <c r="K806" t="s">
        <v>46</v>
      </c>
      <c r="L806" t="s">
        <v>37</v>
      </c>
      <c r="M806" t="s">
        <v>38</v>
      </c>
      <c r="N806" t="s">
        <v>39</v>
      </c>
    </row>
    <row r="807" spans="1:14" x14ac:dyDescent="0.2">
      <c r="A807">
        <v>806</v>
      </c>
      <c r="B807">
        <v>16</v>
      </c>
      <c r="C807">
        <v>40</v>
      </c>
      <c r="D807" t="s">
        <v>14</v>
      </c>
      <c r="F807" t="s">
        <v>558</v>
      </c>
      <c r="G807" t="s">
        <v>559</v>
      </c>
      <c r="H807" t="s">
        <v>560</v>
      </c>
      <c r="I807" t="s">
        <v>561</v>
      </c>
      <c r="J807">
        <v>400</v>
      </c>
      <c r="K807" t="s">
        <v>52</v>
      </c>
      <c r="L807" t="s">
        <v>37</v>
      </c>
      <c r="M807" t="s">
        <v>38</v>
      </c>
      <c r="N807" t="s">
        <v>39</v>
      </c>
    </row>
    <row r="808" spans="1:14" x14ac:dyDescent="0.2">
      <c r="A808">
        <v>807</v>
      </c>
      <c r="B808">
        <v>16</v>
      </c>
      <c r="C808">
        <v>41</v>
      </c>
      <c r="D808" t="s">
        <v>14</v>
      </c>
      <c r="F808" t="s">
        <v>1464</v>
      </c>
      <c r="H808" t="s">
        <v>1464</v>
      </c>
      <c r="I808" t="s">
        <v>1465</v>
      </c>
      <c r="J808">
        <v>7950</v>
      </c>
      <c r="K808" t="s">
        <v>36</v>
      </c>
      <c r="L808" t="s">
        <v>47</v>
      </c>
      <c r="M808" t="s">
        <v>48</v>
      </c>
      <c r="N808" t="s">
        <v>49</v>
      </c>
    </row>
    <row r="809" spans="1:14" x14ac:dyDescent="0.2">
      <c r="A809">
        <v>808</v>
      </c>
      <c r="B809">
        <v>16</v>
      </c>
      <c r="C809">
        <v>42</v>
      </c>
      <c r="D809" t="s">
        <v>14</v>
      </c>
      <c r="F809" t="s">
        <v>88</v>
      </c>
      <c r="H809" t="s">
        <v>88</v>
      </c>
      <c r="I809" t="s">
        <v>89</v>
      </c>
      <c r="J809">
        <v>550</v>
      </c>
      <c r="K809" t="s">
        <v>46</v>
      </c>
      <c r="L809" t="s">
        <v>37</v>
      </c>
      <c r="M809" t="s">
        <v>38</v>
      </c>
      <c r="N809" t="s">
        <v>39</v>
      </c>
    </row>
    <row r="810" spans="1:14" x14ac:dyDescent="0.2">
      <c r="A810">
        <v>809</v>
      </c>
      <c r="B810">
        <v>16</v>
      </c>
      <c r="C810">
        <v>43</v>
      </c>
      <c r="D810" t="s">
        <v>14</v>
      </c>
      <c r="F810" t="s">
        <v>1466</v>
      </c>
      <c r="H810" t="s">
        <v>1466</v>
      </c>
      <c r="I810" t="s">
        <v>1467</v>
      </c>
      <c r="J810">
        <v>840</v>
      </c>
      <c r="K810" t="s">
        <v>87</v>
      </c>
      <c r="L810" t="s">
        <v>47</v>
      </c>
      <c r="M810" t="s">
        <v>48</v>
      </c>
      <c r="N810" t="s">
        <v>49</v>
      </c>
    </row>
    <row r="811" spans="1:14" x14ac:dyDescent="0.2">
      <c r="A811">
        <v>810</v>
      </c>
      <c r="B811">
        <v>16</v>
      </c>
      <c r="C811">
        <v>44</v>
      </c>
      <c r="D811" t="s">
        <v>14</v>
      </c>
      <c r="F811" t="s">
        <v>1468</v>
      </c>
      <c r="H811" t="s">
        <v>1469</v>
      </c>
      <c r="I811" t="s">
        <v>1470</v>
      </c>
      <c r="J811">
        <v>220</v>
      </c>
      <c r="K811" t="s">
        <v>36</v>
      </c>
      <c r="L811" t="s">
        <v>37</v>
      </c>
      <c r="M811" t="s">
        <v>38</v>
      </c>
      <c r="N811" t="s">
        <v>39</v>
      </c>
    </row>
    <row r="812" spans="1:14" x14ac:dyDescent="0.2">
      <c r="A812">
        <v>811</v>
      </c>
      <c r="B812">
        <v>16</v>
      </c>
      <c r="C812">
        <v>45</v>
      </c>
      <c r="D812" t="s">
        <v>14</v>
      </c>
      <c r="F812" t="s">
        <v>1471</v>
      </c>
      <c r="H812" t="s">
        <v>1471</v>
      </c>
      <c r="I812" t="s">
        <v>1472</v>
      </c>
      <c r="J812">
        <v>500</v>
      </c>
      <c r="K812" t="s">
        <v>87</v>
      </c>
      <c r="L812" t="s">
        <v>37</v>
      </c>
      <c r="M812" t="s">
        <v>38</v>
      </c>
      <c r="N812" t="s">
        <v>39</v>
      </c>
    </row>
    <row r="813" spans="1:14" x14ac:dyDescent="0.2">
      <c r="A813">
        <v>812</v>
      </c>
      <c r="B813">
        <v>16</v>
      </c>
      <c r="C813">
        <v>46</v>
      </c>
      <c r="D813" t="s">
        <v>14</v>
      </c>
      <c r="F813" t="s">
        <v>95</v>
      </c>
      <c r="H813" t="s">
        <v>95</v>
      </c>
      <c r="I813" t="s">
        <v>96</v>
      </c>
      <c r="J813">
        <v>2000</v>
      </c>
      <c r="K813" t="s">
        <v>87</v>
      </c>
      <c r="L813" t="s">
        <v>37</v>
      </c>
      <c r="M813" t="s">
        <v>38</v>
      </c>
      <c r="N813" t="s">
        <v>39</v>
      </c>
    </row>
    <row r="814" spans="1:14" x14ac:dyDescent="0.2">
      <c r="A814">
        <v>813</v>
      </c>
      <c r="B814">
        <v>16</v>
      </c>
      <c r="C814">
        <v>47</v>
      </c>
      <c r="D814" t="s">
        <v>14</v>
      </c>
      <c r="F814" t="s">
        <v>1473</v>
      </c>
      <c r="H814" t="s">
        <v>1474</v>
      </c>
      <c r="I814" t="s">
        <v>1475</v>
      </c>
      <c r="J814">
        <v>1</v>
      </c>
      <c r="K814" t="s">
        <v>17</v>
      </c>
      <c r="L814" t="s">
        <v>25</v>
      </c>
      <c r="M814" t="s">
        <v>26</v>
      </c>
      <c r="N814" t="s">
        <v>27</v>
      </c>
    </row>
    <row r="815" spans="1:14" x14ac:dyDescent="0.2">
      <c r="A815">
        <v>814</v>
      </c>
      <c r="B815">
        <v>16</v>
      </c>
      <c r="C815">
        <v>48</v>
      </c>
      <c r="D815" t="s">
        <v>14</v>
      </c>
      <c r="F815" t="s">
        <v>99</v>
      </c>
      <c r="H815" t="s">
        <v>99</v>
      </c>
      <c r="I815" t="s">
        <v>100</v>
      </c>
      <c r="J815">
        <v>0.5</v>
      </c>
      <c r="K815" t="s">
        <v>133</v>
      </c>
      <c r="L815" t="s">
        <v>25</v>
      </c>
      <c r="M815" t="s">
        <v>26</v>
      </c>
      <c r="N815" t="s">
        <v>27</v>
      </c>
    </row>
    <row r="816" spans="1:14" x14ac:dyDescent="0.2">
      <c r="A816">
        <v>815</v>
      </c>
      <c r="B816">
        <v>16</v>
      </c>
      <c r="C816">
        <v>49</v>
      </c>
      <c r="D816" t="s">
        <v>14</v>
      </c>
      <c r="F816" t="s">
        <v>1476</v>
      </c>
      <c r="H816" t="s">
        <v>1476</v>
      </c>
      <c r="I816" t="s">
        <v>1477</v>
      </c>
      <c r="J816">
        <v>220</v>
      </c>
      <c r="K816" t="s">
        <v>94</v>
      </c>
      <c r="L816" t="s">
        <v>47</v>
      </c>
      <c r="M816" t="s">
        <v>48</v>
      </c>
      <c r="N816" t="s">
        <v>49</v>
      </c>
    </row>
    <row r="817" spans="1:14" x14ac:dyDescent="0.2">
      <c r="A817">
        <v>816</v>
      </c>
      <c r="B817">
        <v>16</v>
      </c>
      <c r="C817">
        <v>50</v>
      </c>
      <c r="D817" t="s">
        <v>14</v>
      </c>
      <c r="F817" t="s">
        <v>1047</v>
      </c>
      <c r="H817" t="s">
        <v>1047</v>
      </c>
      <c r="I817" t="s">
        <v>1478</v>
      </c>
      <c r="J817">
        <v>1</v>
      </c>
      <c r="K817" t="s">
        <v>17</v>
      </c>
      <c r="L817" t="s">
        <v>25</v>
      </c>
      <c r="M817" t="s">
        <v>26</v>
      </c>
      <c r="N817" t="s">
        <v>27</v>
      </c>
    </row>
    <row r="818" spans="1:14" x14ac:dyDescent="0.2">
      <c r="A818">
        <v>817</v>
      </c>
      <c r="B818">
        <v>16</v>
      </c>
      <c r="C818">
        <v>51</v>
      </c>
      <c r="D818" t="s">
        <v>14</v>
      </c>
      <c r="F818" t="s">
        <v>1479</v>
      </c>
      <c r="G818" t="s">
        <v>308</v>
      </c>
      <c r="H818" t="s">
        <v>1480</v>
      </c>
      <c r="I818" t="s">
        <v>1481</v>
      </c>
      <c r="J818">
        <v>860</v>
      </c>
      <c r="K818" t="s">
        <v>36</v>
      </c>
      <c r="L818" t="s">
        <v>57</v>
      </c>
      <c r="M818" t="s">
        <v>58</v>
      </c>
      <c r="N818" t="s">
        <v>59</v>
      </c>
    </row>
    <row r="819" spans="1:14" x14ac:dyDescent="0.2">
      <c r="A819">
        <v>818</v>
      </c>
      <c r="B819">
        <v>16</v>
      </c>
      <c r="C819">
        <v>52</v>
      </c>
      <c r="D819" t="s">
        <v>14</v>
      </c>
      <c r="F819" t="s">
        <v>1482</v>
      </c>
      <c r="G819" t="s">
        <v>439</v>
      </c>
      <c r="H819" t="s">
        <v>1483</v>
      </c>
      <c r="I819" t="s">
        <v>1484</v>
      </c>
      <c r="J819">
        <v>1260</v>
      </c>
      <c r="K819" t="s">
        <v>36</v>
      </c>
      <c r="L819" t="s">
        <v>57</v>
      </c>
      <c r="M819" t="s">
        <v>58</v>
      </c>
      <c r="N819" t="s">
        <v>59</v>
      </c>
    </row>
    <row r="820" spans="1:14" x14ac:dyDescent="0.2">
      <c r="A820">
        <v>819</v>
      </c>
      <c r="B820">
        <v>16</v>
      </c>
      <c r="C820">
        <v>53</v>
      </c>
      <c r="D820" t="s">
        <v>14</v>
      </c>
      <c r="F820" t="s">
        <v>1482</v>
      </c>
      <c r="G820" t="s">
        <v>238</v>
      </c>
      <c r="H820" t="s">
        <v>1485</v>
      </c>
      <c r="I820" t="s">
        <v>1484</v>
      </c>
      <c r="J820">
        <v>110</v>
      </c>
      <c r="K820" t="s">
        <v>36</v>
      </c>
      <c r="L820" t="s">
        <v>57</v>
      </c>
      <c r="M820" t="s">
        <v>58</v>
      </c>
      <c r="N820" t="s">
        <v>59</v>
      </c>
    </row>
    <row r="821" spans="1:14" x14ac:dyDescent="0.2">
      <c r="A821">
        <v>820</v>
      </c>
      <c r="B821">
        <v>16</v>
      </c>
      <c r="C821">
        <v>54</v>
      </c>
      <c r="D821" t="s">
        <v>14</v>
      </c>
      <c r="F821" t="s">
        <v>1482</v>
      </c>
      <c r="G821" t="s">
        <v>1486</v>
      </c>
      <c r="H821" t="s">
        <v>1487</v>
      </c>
      <c r="I821" t="s">
        <v>1484</v>
      </c>
      <c r="J821">
        <v>1800</v>
      </c>
      <c r="K821" t="s">
        <v>36</v>
      </c>
      <c r="L821" t="s">
        <v>57</v>
      </c>
      <c r="M821" t="s">
        <v>58</v>
      </c>
      <c r="N821" t="s">
        <v>59</v>
      </c>
    </row>
    <row r="822" spans="1:14" x14ac:dyDescent="0.2">
      <c r="A822">
        <v>821</v>
      </c>
      <c r="B822">
        <v>16</v>
      </c>
      <c r="C822">
        <v>55</v>
      </c>
      <c r="D822" t="s">
        <v>14</v>
      </c>
      <c r="F822" t="s">
        <v>1488</v>
      </c>
      <c r="G822" t="s">
        <v>439</v>
      </c>
      <c r="H822" t="s">
        <v>1489</v>
      </c>
      <c r="I822" t="s">
        <v>1490</v>
      </c>
      <c r="J822">
        <v>1</v>
      </c>
      <c r="K822" t="s">
        <v>17</v>
      </c>
      <c r="L822" t="s">
        <v>47</v>
      </c>
      <c r="M822" t="s">
        <v>48</v>
      </c>
      <c r="N822" t="s">
        <v>49</v>
      </c>
    </row>
    <row r="823" spans="1:14" x14ac:dyDescent="0.2">
      <c r="A823">
        <v>822</v>
      </c>
      <c r="B823">
        <v>16</v>
      </c>
      <c r="C823">
        <v>56</v>
      </c>
      <c r="D823" t="s">
        <v>14</v>
      </c>
      <c r="F823" t="s">
        <v>1491</v>
      </c>
      <c r="G823" t="s">
        <v>1486</v>
      </c>
      <c r="H823" t="s">
        <v>1492</v>
      </c>
      <c r="I823" t="s">
        <v>1493</v>
      </c>
      <c r="J823">
        <v>1</v>
      </c>
      <c r="K823" t="s">
        <v>17</v>
      </c>
      <c r="L823" t="s">
        <v>47</v>
      </c>
      <c r="M823" t="s">
        <v>48</v>
      </c>
      <c r="N823" t="s">
        <v>49</v>
      </c>
    </row>
    <row r="824" spans="1:14" x14ac:dyDescent="0.2">
      <c r="A824">
        <v>823</v>
      </c>
      <c r="B824">
        <v>16</v>
      </c>
      <c r="C824">
        <v>57</v>
      </c>
      <c r="D824" t="s">
        <v>14</v>
      </c>
      <c r="F824" t="s">
        <v>793</v>
      </c>
      <c r="G824" t="s">
        <v>308</v>
      </c>
      <c r="H824" t="s">
        <v>1494</v>
      </c>
      <c r="I824" t="s">
        <v>795</v>
      </c>
      <c r="J824">
        <v>4</v>
      </c>
      <c r="K824" t="s">
        <v>72</v>
      </c>
      <c r="L824" t="s">
        <v>57</v>
      </c>
      <c r="M824" t="s">
        <v>58</v>
      </c>
      <c r="N824" t="s">
        <v>59</v>
      </c>
    </row>
    <row r="825" spans="1:14" x14ac:dyDescent="0.2">
      <c r="A825">
        <v>824</v>
      </c>
      <c r="B825">
        <v>16</v>
      </c>
      <c r="C825">
        <v>58</v>
      </c>
      <c r="D825" t="s">
        <v>14</v>
      </c>
      <c r="F825" t="s">
        <v>793</v>
      </c>
      <c r="G825" t="s">
        <v>439</v>
      </c>
      <c r="H825" t="s">
        <v>796</v>
      </c>
      <c r="I825" t="s">
        <v>795</v>
      </c>
      <c r="J825">
        <v>1</v>
      </c>
      <c r="K825" t="s">
        <v>72</v>
      </c>
      <c r="L825" t="s">
        <v>57</v>
      </c>
      <c r="M825" t="s">
        <v>58</v>
      </c>
      <c r="N825" t="s">
        <v>59</v>
      </c>
    </row>
    <row r="826" spans="1:14" x14ac:dyDescent="0.2">
      <c r="A826">
        <v>825</v>
      </c>
      <c r="B826">
        <v>16</v>
      </c>
      <c r="C826">
        <v>59</v>
      </c>
      <c r="D826" t="s">
        <v>14</v>
      </c>
      <c r="F826" t="s">
        <v>793</v>
      </c>
      <c r="G826" t="s">
        <v>229</v>
      </c>
      <c r="H826" t="s">
        <v>1495</v>
      </c>
      <c r="I826" t="s">
        <v>795</v>
      </c>
      <c r="J826">
        <v>1</v>
      </c>
      <c r="K826" t="s">
        <v>72</v>
      </c>
      <c r="L826" t="s">
        <v>57</v>
      </c>
      <c r="M826" t="s">
        <v>58</v>
      </c>
      <c r="N826" t="s">
        <v>59</v>
      </c>
    </row>
    <row r="827" spans="1:14" x14ac:dyDescent="0.2">
      <c r="A827">
        <v>826</v>
      </c>
      <c r="B827">
        <v>16</v>
      </c>
      <c r="C827">
        <v>60</v>
      </c>
      <c r="D827" t="s">
        <v>14</v>
      </c>
      <c r="F827" t="s">
        <v>1496</v>
      </c>
      <c r="G827" t="s">
        <v>1486</v>
      </c>
      <c r="H827" t="s">
        <v>1497</v>
      </c>
      <c r="I827" t="s">
        <v>1498</v>
      </c>
      <c r="J827">
        <v>2</v>
      </c>
      <c r="K827" t="s">
        <v>72</v>
      </c>
      <c r="L827" t="s">
        <v>57</v>
      </c>
      <c r="M827" t="s">
        <v>58</v>
      </c>
      <c r="N827" t="s">
        <v>59</v>
      </c>
    </row>
    <row r="828" spans="1:14" x14ac:dyDescent="0.2">
      <c r="A828">
        <v>827</v>
      </c>
      <c r="B828">
        <v>16</v>
      </c>
      <c r="C828">
        <v>61</v>
      </c>
      <c r="D828" t="s">
        <v>14</v>
      </c>
      <c r="F828" t="s">
        <v>1499</v>
      </c>
      <c r="G828" t="s">
        <v>276</v>
      </c>
      <c r="H828" t="s">
        <v>1500</v>
      </c>
      <c r="I828" t="s">
        <v>1501</v>
      </c>
      <c r="J828">
        <v>2</v>
      </c>
      <c r="K828" t="s">
        <v>72</v>
      </c>
      <c r="L828" t="s">
        <v>47</v>
      </c>
      <c r="M828" t="s">
        <v>48</v>
      </c>
      <c r="N828" t="s">
        <v>49</v>
      </c>
    </row>
    <row r="829" spans="1:14" x14ac:dyDescent="0.2">
      <c r="A829">
        <v>828</v>
      </c>
      <c r="B829">
        <v>16</v>
      </c>
      <c r="C829">
        <v>62</v>
      </c>
      <c r="D829" t="s">
        <v>14</v>
      </c>
      <c r="F829" t="s">
        <v>1502</v>
      </c>
      <c r="G829" t="s">
        <v>276</v>
      </c>
      <c r="H829" t="s">
        <v>1503</v>
      </c>
      <c r="I829" t="s">
        <v>1504</v>
      </c>
      <c r="J829">
        <v>4</v>
      </c>
      <c r="K829" t="s">
        <v>72</v>
      </c>
      <c r="L829" t="s">
        <v>57</v>
      </c>
      <c r="M829" t="s">
        <v>58</v>
      </c>
      <c r="N829" t="s">
        <v>59</v>
      </c>
    </row>
    <row r="830" spans="1:14" x14ac:dyDescent="0.2">
      <c r="A830">
        <v>829</v>
      </c>
      <c r="B830">
        <v>16</v>
      </c>
      <c r="C830">
        <v>63</v>
      </c>
      <c r="D830" t="s">
        <v>14</v>
      </c>
      <c r="F830" t="s">
        <v>1505</v>
      </c>
      <c r="H830" t="s">
        <v>1505</v>
      </c>
      <c r="I830" t="s">
        <v>1506</v>
      </c>
      <c r="J830">
        <v>1</v>
      </c>
      <c r="K830" t="s">
        <v>17</v>
      </c>
      <c r="L830" t="s">
        <v>47</v>
      </c>
      <c r="M830" t="s">
        <v>48</v>
      </c>
      <c r="N830" t="s">
        <v>49</v>
      </c>
    </row>
    <row r="831" spans="1:14" x14ac:dyDescent="0.2">
      <c r="A831">
        <v>830</v>
      </c>
      <c r="B831">
        <v>16</v>
      </c>
      <c r="C831">
        <v>64</v>
      </c>
      <c r="D831" t="s">
        <v>14</v>
      </c>
      <c r="F831" t="s">
        <v>1507</v>
      </c>
      <c r="H831" t="s">
        <v>1507</v>
      </c>
      <c r="I831" t="s">
        <v>1508</v>
      </c>
      <c r="J831">
        <v>7</v>
      </c>
      <c r="K831" t="s">
        <v>72</v>
      </c>
      <c r="L831" t="s">
        <v>47</v>
      </c>
      <c r="M831" t="s">
        <v>48</v>
      </c>
      <c r="N831" t="s">
        <v>49</v>
      </c>
    </row>
    <row r="832" spans="1:14" x14ac:dyDescent="0.2">
      <c r="A832">
        <v>831</v>
      </c>
      <c r="B832">
        <v>16</v>
      </c>
      <c r="C832">
        <v>65</v>
      </c>
      <c r="D832" t="s">
        <v>14</v>
      </c>
      <c r="F832" t="s">
        <v>1509</v>
      </c>
      <c r="H832" t="s">
        <v>1509</v>
      </c>
      <c r="I832" t="s">
        <v>1510</v>
      </c>
      <c r="J832">
        <v>1</v>
      </c>
      <c r="K832" t="s">
        <v>17</v>
      </c>
      <c r="L832" t="s">
        <v>47</v>
      </c>
      <c r="M832" t="s">
        <v>48</v>
      </c>
      <c r="N832" t="s">
        <v>49</v>
      </c>
    </row>
    <row r="833" spans="1:14" x14ac:dyDescent="0.2">
      <c r="A833">
        <v>832</v>
      </c>
      <c r="B833">
        <v>16</v>
      </c>
      <c r="C833">
        <v>66</v>
      </c>
      <c r="D833" t="s">
        <v>14</v>
      </c>
      <c r="F833" t="s">
        <v>1511</v>
      </c>
      <c r="H833" t="s">
        <v>1511</v>
      </c>
      <c r="I833" t="s">
        <v>1512</v>
      </c>
      <c r="J833">
        <v>6</v>
      </c>
      <c r="K833" t="s">
        <v>72</v>
      </c>
      <c r="L833" t="s">
        <v>57</v>
      </c>
      <c r="M833" t="s">
        <v>58</v>
      </c>
      <c r="N833" t="s">
        <v>59</v>
      </c>
    </row>
    <row r="834" spans="1:14" x14ac:dyDescent="0.2">
      <c r="A834">
        <v>833</v>
      </c>
      <c r="B834">
        <v>16</v>
      </c>
      <c r="C834">
        <v>67</v>
      </c>
      <c r="D834" t="s">
        <v>14</v>
      </c>
      <c r="F834" t="s">
        <v>1513</v>
      </c>
      <c r="H834" t="s">
        <v>1513</v>
      </c>
      <c r="I834" t="s">
        <v>1514</v>
      </c>
      <c r="J834">
        <v>5</v>
      </c>
      <c r="K834" t="s">
        <v>72</v>
      </c>
      <c r="L834" t="s">
        <v>57</v>
      </c>
      <c r="M834" t="s">
        <v>58</v>
      </c>
      <c r="N834" t="s">
        <v>59</v>
      </c>
    </row>
    <row r="835" spans="1:14" x14ac:dyDescent="0.2">
      <c r="A835">
        <v>834</v>
      </c>
      <c r="B835">
        <v>17</v>
      </c>
      <c r="C835" t="s">
        <v>1515</v>
      </c>
      <c r="D835" t="s">
        <v>14</v>
      </c>
      <c r="F835" t="s">
        <v>15</v>
      </c>
      <c r="H835" t="s">
        <v>15</v>
      </c>
      <c r="I835" t="s">
        <v>16</v>
      </c>
      <c r="J835">
        <v>1</v>
      </c>
      <c r="K835" t="s">
        <v>17</v>
      </c>
      <c r="L835" t="s">
        <v>18</v>
      </c>
      <c r="M835" t="s">
        <v>19</v>
      </c>
      <c r="N835" t="s">
        <v>20</v>
      </c>
    </row>
    <row r="836" spans="1:14" x14ac:dyDescent="0.2">
      <c r="A836">
        <v>835</v>
      </c>
      <c r="B836">
        <v>17</v>
      </c>
      <c r="C836" t="s">
        <v>1516</v>
      </c>
      <c r="D836" t="s">
        <v>14</v>
      </c>
      <c r="F836" t="s">
        <v>109</v>
      </c>
      <c r="H836" t="s">
        <v>109</v>
      </c>
      <c r="I836" t="s">
        <v>480</v>
      </c>
      <c r="J836">
        <v>1</v>
      </c>
      <c r="K836" t="s">
        <v>17</v>
      </c>
      <c r="L836" t="s">
        <v>18</v>
      </c>
      <c r="M836" t="s">
        <v>19</v>
      </c>
      <c r="N836" t="s">
        <v>20</v>
      </c>
    </row>
    <row r="837" spans="1:14" x14ac:dyDescent="0.2">
      <c r="A837">
        <v>836</v>
      </c>
      <c r="B837">
        <v>17</v>
      </c>
      <c r="C837" t="s">
        <v>1517</v>
      </c>
      <c r="D837" t="s">
        <v>14</v>
      </c>
      <c r="F837" t="s">
        <v>21</v>
      </c>
      <c r="H837" t="s">
        <v>21</v>
      </c>
      <c r="I837" t="s">
        <v>22</v>
      </c>
      <c r="J837">
        <v>1</v>
      </c>
      <c r="K837" t="s">
        <v>17</v>
      </c>
      <c r="L837" t="s">
        <v>18</v>
      </c>
      <c r="M837" t="s">
        <v>19</v>
      </c>
      <c r="N837" t="s">
        <v>20</v>
      </c>
    </row>
    <row r="838" spans="1:14" x14ac:dyDescent="0.2">
      <c r="A838">
        <v>837</v>
      </c>
      <c r="B838">
        <v>17</v>
      </c>
      <c r="C838" t="s">
        <v>1518</v>
      </c>
      <c r="D838" t="s">
        <v>14</v>
      </c>
      <c r="F838" t="s">
        <v>23</v>
      </c>
      <c r="H838" t="s">
        <v>23</v>
      </c>
      <c r="I838" t="s">
        <v>24</v>
      </c>
      <c r="J838">
        <v>1</v>
      </c>
      <c r="K838" t="s">
        <v>17</v>
      </c>
      <c r="L838" t="s">
        <v>25</v>
      </c>
      <c r="M838" t="s">
        <v>26</v>
      </c>
      <c r="N838" t="s">
        <v>27</v>
      </c>
    </row>
    <row r="839" spans="1:14" x14ac:dyDescent="0.2">
      <c r="A839">
        <v>838</v>
      </c>
      <c r="B839">
        <v>17</v>
      </c>
      <c r="C839" t="s">
        <v>1519</v>
      </c>
      <c r="D839" t="s">
        <v>14</v>
      </c>
      <c r="F839" t="s">
        <v>1520</v>
      </c>
      <c r="H839" t="s">
        <v>1520</v>
      </c>
      <c r="I839" t="s">
        <v>1521</v>
      </c>
      <c r="J839">
        <v>1</v>
      </c>
      <c r="K839" t="s">
        <v>17</v>
      </c>
      <c r="L839" t="s">
        <v>30</v>
      </c>
      <c r="M839" t="s">
        <v>30</v>
      </c>
      <c r="N839" t="s">
        <v>31</v>
      </c>
    </row>
    <row r="840" spans="1:14" x14ac:dyDescent="0.2">
      <c r="A840">
        <v>839</v>
      </c>
      <c r="B840">
        <v>17</v>
      </c>
      <c r="C840" t="s">
        <v>1522</v>
      </c>
      <c r="D840" t="s">
        <v>14</v>
      </c>
      <c r="F840" t="s">
        <v>1523</v>
      </c>
      <c r="H840" t="s">
        <v>1523</v>
      </c>
      <c r="I840" t="s">
        <v>1524</v>
      </c>
      <c r="J840">
        <v>1</v>
      </c>
      <c r="K840" t="s">
        <v>17</v>
      </c>
      <c r="L840" t="s">
        <v>30</v>
      </c>
      <c r="M840" t="s">
        <v>30</v>
      </c>
      <c r="N840" t="s">
        <v>31</v>
      </c>
    </row>
    <row r="841" spans="1:14" x14ac:dyDescent="0.2">
      <c r="A841">
        <v>840</v>
      </c>
      <c r="B841">
        <v>17</v>
      </c>
      <c r="C841" t="s">
        <v>1525</v>
      </c>
      <c r="D841" t="s">
        <v>14</v>
      </c>
      <c r="F841" t="s">
        <v>1526</v>
      </c>
      <c r="H841" t="s">
        <v>1526</v>
      </c>
      <c r="I841" t="s">
        <v>1527</v>
      </c>
      <c r="J841">
        <v>1</v>
      </c>
      <c r="K841" t="s">
        <v>17</v>
      </c>
      <c r="L841" t="s">
        <v>47</v>
      </c>
      <c r="M841" t="s">
        <v>48</v>
      </c>
      <c r="N841" t="s">
        <v>49</v>
      </c>
    </row>
    <row r="842" spans="1:14" x14ac:dyDescent="0.2">
      <c r="A842">
        <v>841</v>
      </c>
      <c r="B842">
        <v>17</v>
      </c>
      <c r="C842" t="s">
        <v>1528</v>
      </c>
      <c r="D842" t="s">
        <v>14</v>
      </c>
      <c r="F842" t="s">
        <v>1529</v>
      </c>
      <c r="H842" t="s">
        <v>1529</v>
      </c>
      <c r="I842" t="s">
        <v>1530</v>
      </c>
      <c r="J842">
        <v>1</v>
      </c>
      <c r="K842" t="s">
        <v>17</v>
      </c>
      <c r="L842" t="s">
        <v>30</v>
      </c>
      <c r="M842" t="s">
        <v>30</v>
      </c>
      <c r="N842" t="s">
        <v>31</v>
      </c>
    </row>
    <row r="843" spans="1:14" x14ac:dyDescent="0.2">
      <c r="A843">
        <v>842</v>
      </c>
      <c r="B843">
        <v>17</v>
      </c>
      <c r="C843" t="s">
        <v>1531</v>
      </c>
      <c r="D843" t="s">
        <v>14</v>
      </c>
      <c r="F843" t="s">
        <v>490</v>
      </c>
      <c r="H843" t="s">
        <v>490</v>
      </c>
      <c r="I843" t="s">
        <v>491</v>
      </c>
      <c r="J843">
        <v>207</v>
      </c>
      <c r="K843" t="s">
        <v>1532</v>
      </c>
      <c r="L843" t="s">
        <v>37</v>
      </c>
      <c r="M843" t="s">
        <v>38</v>
      </c>
      <c r="N843" t="s">
        <v>39</v>
      </c>
    </row>
    <row r="844" spans="1:14" x14ac:dyDescent="0.2">
      <c r="A844">
        <v>843</v>
      </c>
      <c r="B844">
        <v>17</v>
      </c>
      <c r="C844" t="s">
        <v>1533</v>
      </c>
      <c r="D844" t="s">
        <v>14</v>
      </c>
      <c r="F844" t="s">
        <v>1534</v>
      </c>
      <c r="H844" t="s">
        <v>1534</v>
      </c>
      <c r="I844" t="s">
        <v>1535</v>
      </c>
      <c r="J844">
        <v>335</v>
      </c>
      <c r="K844" t="s">
        <v>1536</v>
      </c>
      <c r="L844" t="s">
        <v>30</v>
      </c>
      <c r="M844" t="s">
        <v>30</v>
      </c>
      <c r="N844" t="s">
        <v>31</v>
      </c>
    </row>
    <row r="845" spans="1:14" x14ac:dyDescent="0.2">
      <c r="A845">
        <v>844</v>
      </c>
      <c r="B845">
        <v>17</v>
      </c>
      <c r="C845" t="s">
        <v>1537</v>
      </c>
      <c r="D845" t="s">
        <v>14</v>
      </c>
      <c r="F845" t="s">
        <v>1538</v>
      </c>
      <c r="H845" t="s">
        <v>1538</v>
      </c>
      <c r="I845" t="s">
        <v>1539</v>
      </c>
      <c r="J845">
        <v>1</v>
      </c>
      <c r="K845" t="s">
        <v>17</v>
      </c>
      <c r="L845" t="s">
        <v>57</v>
      </c>
      <c r="M845" t="s">
        <v>58</v>
      </c>
      <c r="N845" t="s">
        <v>59</v>
      </c>
    </row>
    <row r="846" spans="1:14" x14ac:dyDescent="0.2">
      <c r="A846">
        <v>845</v>
      </c>
      <c r="B846">
        <v>17</v>
      </c>
      <c r="C846" t="s">
        <v>1540</v>
      </c>
      <c r="D846" t="s">
        <v>14</v>
      </c>
      <c r="F846" t="s">
        <v>1541</v>
      </c>
      <c r="H846" t="s">
        <v>1541</v>
      </c>
      <c r="I846" t="s">
        <v>1542</v>
      </c>
      <c r="J846">
        <v>1</v>
      </c>
      <c r="K846" t="s">
        <v>17</v>
      </c>
      <c r="L846" t="s">
        <v>30</v>
      </c>
      <c r="M846" t="s">
        <v>30</v>
      </c>
      <c r="N846" t="s">
        <v>31</v>
      </c>
    </row>
    <row r="847" spans="1:14" x14ac:dyDescent="0.2">
      <c r="A847">
        <v>846</v>
      </c>
      <c r="B847">
        <v>17</v>
      </c>
      <c r="C847" t="s">
        <v>1543</v>
      </c>
      <c r="D847" t="s">
        <v>14</v>
      </c>
      <c r="F847" t="s">
        <v>492</v>
      </c>
      <c r="H847" t="s">
        <v>492</v>
      </c>
      <c r="I847" t="s">
        <v>493</v>
      </c>
      <c r="J847">
        <v>411</v>
      </c>
      <c r="K847" t="s">
        <v>1536</v>
      </c>
      <c r="L847" t="s">
        <v>37</v>
      </c>
      <c r="M847" t="s">
        <v>38</v>
      </c>
      <c r="N847" t="s">
        <v>39</v>
      </c>
    </row>
    <row r="848" spans="1:14" x14ac:dyDescent="0.2">
      <c r="A848">
        <v>847</v>
      </c>
      <c r="B848">
        <v>17</v>
      </c>
      <c r="C848" t="s">
        <v>1544</v>
      </c>
      <c r="D848" t="s">
        <v>14</v>
      </c>
      <c r="F848" t="s">
        <v>1545</v>
      </c>
      <c r="H848" t="s">
        <v>1545</v>
      </c>
      <c r="I848" t="s">
        <v>1546</v>
      </c>
      <c r="J848">
        <v>1</v>
      </c>
      <c r="K848" t="s">
        <v>17</v>
      </c>
      <c r="L848" t="s">
        <v>47</v>
      </c>
      <c r="M848" t="s">
        <v>48</v>
      </c>
      <c r="N848" t="s">
        <v>49</v>
      </c>
    </row>
    <row r="849" spans="1:14" x14ac:dyDescent="0.2">
      <c r="A849">
        <v>848</v>
      </c>
      <c r="B849">
        <v>17</v>
      </c>
      <c r="C849" t="s">
        <v>1547</v>
      </c>
      <c r="D849" t="s">
        <v>14</v>
      </c>
      <c r="F849" t="s">
        <v>99</v>
      </c>
      <c r="H849" t="s">
        <v>99</v>
      </c>
      <c r="I849" t="s">
        <v>100</v>
      </c>
      <c r="J849">
        <v>0.84</v>
      </c>
      <c r="K849" t="s">
        <v>133</v>
      </c>
      <c r="L849" t="s">
        <v>25</v>
      </c>
      <c r="M849" t="s">
        <v>26</v>
      </c>
      <c r="N849" t="s">
        <v>27</v>
      </c>
    </row>
    <row r="850" spans="1:14" x14ac:dyDescent="0.2">
      <c r="A850">
        <v>849</v>
      </c>
      <c r="B850">
        <v>17</v>
      </c>
      <c r="C850" t="s">
        <v>1548</v>
      </c>
      <c r="D850" t="s">
        <v>14</v>
      </c>
      <c r="F850" t="s">
        <v>1549</v>
      </c>
      <c r="H850" t="s">
        <v>1549</v>
      </c>
      <c r="I850" t="s">
        <v>1550</v>
      </c>
      <c r="J850">
        <v>675</v>
      </c>
      <c r="K850" t="s">
        <v>1536</v>
      </c>
      <c r="L850" t="s">
        <v>47</v>
      </c>
      <c r="M850" t="s">
        <v>48</v>
      </c>
      <c r="N850" t="s">
        <v>49</v>
      </c>
    </row>
    <row r="851" spans="1:14" x14ac:dyDescent="0.2">
      <c r="A851">
        <v>850</v>
      </c>
      <c r="B851">
        <v>17</v>
      </c>
      <c r="C851" t="s">
        <v>1551</v>
      </c>
      <c r="D851" t="s">
        <v>14</v>
      </c>
      <c r="F851" t="s">
        <v>1552</v>
      </c>
      <c r="H851" t="s">
        <v>1552</v>
      </c>
      <c r="I851" t="s">
        <v>1553</v>
      </c>
      <c r="J851">
        <v>2.04</v>
      </c>
      <c r="K851" t="s">
        <v>1536</v>
      </c>
      <c r="L851" t="s">
        <v>25</v>
      </c>
      <c r="M851" t="s">
        <v>26</v>
      </c>
      <c r="N851" t="s">
        <v>27</v>
      </c>
    </row>
    <row r="852" spans="1:14" x14ac:dyDescent="0.2">
      <c r="A852">
        <v>851</v>
      </c>
      <c r="B852">
        <v>17</v>
      </c>
      <c r="C852" t="s">
        <v>1554</v>
      </c>
      <c r="D852" t="s">
        <v>14</v>
      </c>
      <c r="F852" t="s">
        <v>1555</v>
      </c>
      <c r="H852" t="s">
        <v>1555</v>
      </c>
      <c r="I852" t="s">
        <v>1556</v>
      </c>
      <c r="J852">
        <v>1</v>
      </c>
      <c r="K852" t="s">
        <v>17</v>
      </c>
      <c r="L852" t="s">
        <v>30</v>
      </c>
      <c r="M852" t="s">
        <v>30</v>
      </c>
      <c r="N852" t="s">
        <v>31</v>
      </c>
    </row>
    <row r="853" spans="1:14" x14ac:dyDescent="0.2">
      <c r="A853">
        <v>852</v>
      </c>
      <c r="B853">
        <v>17</v>
      </c>
      <c r="C853" t="s">
        <v>1557</v>
      </c>
      <c r="D853" t="s">
        <v>14</v>
      </c>
      <c r="F853" t="s">
        <v>1473</v>
      </c>
      <c r="H853" t="s">
        <v>1474</v>
      </c>
      <c r="I853" t="s">
        <v>1475</v>
      </c>
      <c r="J853">
        <v>1</v>
      </c>
      <c r="K853" t="s">
        <v>1558</v>
      </c>
      <c r="L853" t="s">
        <v>25</v>
      </c>
      <c r="M853" t="s">
        <v>26</v>
      </c>
      <c r="N853" t="s">
        <v>27</v>
      </c>
    </row>
    <row r="854" spans="1:14" x14ac:dyDescent="0.2">
      <c r="A854">
        <v>853</v>
      </c>
      <c r="B854">
        <v>18</v>
      </c>
      <c r="C854">
        <v>1</v>
      </c>
      <c r="D854">
        <v>12200</v>
      </c>
      <c r="F854" t="s">
        <v>15</v>
      </c>
      <c r="H854" t="s">
        <v>702</v>
      </c>
      <c r="I854" t="s">
        <v>703</v>
      </c>
      <c r="J854">
        <v>1</v>
      </c>
      <c r="K854" t="s">
        <v>17</v>
      </c>
      <c r="L854" t="s">
        <v>18</v>
      </c>
      <c r="M854" t="s">
        <v>19</v>
      </c>
      <c r="N854" t="s">
        <v>108</v>
      </c>
    </row>
    <row r="855" spans="1:14" x14ac:dyDescent="0.2">
      <c r="A855">
        <v>854</v>
      </c>
      <c r="B855">
        <v>18</v>
      </c>
      <c r="C855">
        <v>2</v>
      </c>
      <c r="D855">
        <v>12200</v>
      </c>
      <c r="F855" t="s">
        <v>115</v>
      </c>
      <c r="H855" t="s">
        <v>116</v>
      </c>
      <c r="I855" t="s">
        <v>117</v>
      </c>
      <c r="J855">
        <v>1</v>
      </c>
      <c r="K855" t="s">
        <v>17</v>
      </c>
      <c r="L855" t="s">
        <v>18</v>
      </c>
      <c r="M855" t="s">
        <v>19</v>
      </c>
      <c r="N855" t="s">
        <v>108</v>
      </c>
    </row>
    <row r="856" spans="1:14" x14ac:dyDescent="0.2">
      <c r="A856">
        <v>855</v>
      </c>
      <c r="B856">
        <v>18</v>
      </c>
      <c r="C856">
        <v>3</v>
      </c>
      <c r="D856">
        <v>12200</v>
      </c>
      <c r="F856" t="s">
        <v>109</v>
      </c>
      <c r="H856" t="s">
        <v>110</v>
      </c>
      <c r="I856" t="s">
        <v>111</v>
      </c>
      <c r="J856">
        <v>1</v>
      </c>
      <c r="K856" t="s">
        <v>17</v>
      </c>
      <c r="L856" t="s">
        <v>18</v>
      </c>
      <c r="M856" t="s">
        <v>19</v>
      </c>
      <c r="N856" t="s">
        <v>108</v>
      </c>
    </row>
    <row r="857" spans="1:14" x14ac:dyDescent="0.2">
      <c r="A857">
        <v>856</v>
      </c>
      <c r="B857">
        <v>18</v>
      </c>
      <c r="C857">
        <v>4</v>
      </c>
      <c r="D857">
        <v>15713</v>
      </c>
      <c r="F857" t="s">
        <v>127</v>
      </c>
      <c r="H857" t="s">
        <v>128</v>
      </c>
      <c r="I857" t="s">
        <v>129</v>
      </c>
      <c r="J857">
        <v>13</v>
      </c>
      <c r="K857" t="s">
        <v>72</v>
      </c>
      <c r="L857" t="s">
        <v>18</v>
      </c>
      <c r="M857" t="s">
        <v>19</v>
      </c>
      <c r="N857" t="s">
        <v>108</v>
      </c>
    </row>
    <row r="858" spans="1:14" x14ac:dyDescent="0.2">
      <c r="A858">
        <v>857</v>
      </c>
      <c r="B858">
        <v>18</v>
      </c>
      <c r="C858">
        <v>5</v>
      </c>
      <c r="D858" t="s">
        <v>217</v>
      </c>
      <c r="F858" t="s">
        <v>857</v>
      </c>
      <c r="H858" t="s">
        <v>858</v>
      </c>
      <c r="I858" t="s">
        <v>859</v>
      </c>
      <c r="J858">
        <v>59920</v>
      </c>
      <c r="K858" t="s">
        <v>87</v>
      </c>
      <c r="L858" t="s">
        <v>37</v>
      </c>
      <c r="M858" t="s">
        <v>38</v>
      </c>
      <c r="N858" t="s">
        <v>140</v>
      </c>
    </row>
    <row r="859" spans="1:14" x14ac:dyDescent="0.2">
      <c r="A859">
        <v>858</v>
      </c>
      <c r="B859">
        <v>18</v>
      </c>
      <c r="C859">
        <v>6</v>
      </c>
      <c r="D859" t="s">
        <v>217</v>
      </c>
      <c r="F859" t="s">
        <v>800</v>
      </c>
      <c r="H859" t="s">
        <v>1559</v>
      </c>
      <c r="I859" t="s">
        <v>1560</v>
      </c>
      <c r="J859">
        <v>56090</v>
      </c>
      <c r="K859" t="s">
        <v>87</v>
      </c>
      <c r="L859" t="s">
        <v>37</v>
      </c>
      <c r="M859" t="s">
        <v>38</v>
      </c>
      <c r="N859" t="s">
        <v>140</v>
      </c>
    </row>
    <row r="860" spans="1:14" x14ac:dyDescent="0.2">
      <c r="A860">
        <v>859</v>
      </c>
      <c r="B860">
        <v>18</v>
      </c>
      <c r="C860">
        <v>7</v>
      </c>
      <c r="D860" t="s">
        <v>217</v>
      </c>
      <c r="F860" t="s">
        <v>221</v>
      </c>
      <c r="H860" t="s">
        <v>222</v>
      </c>
      <c r="I860" t="s">
        <v>223</v>
      </c>
      <c r="J860">
        <v>3420</v>
      </c>
      <c r="K860" t="s">
        <v>216</v>
      </c>
      <c r="L860" t="s">
        <v>37</v>
      </c>
      <c r="M860" t="s">
        <v>38</v>
      </c>
      <c r="N860" t="s">
        <v>140</v>
      </c>
    </row>
    <row r="861" spans="1:14" x14ac:dyDescent="0.2">
      <c r="A861">
        <v>860</v>
      </c>
      <c r="B861">
        <v>18</v>
      </c>
      <c r="C861">
        <v>8</v>
      </c>
      <c r="D861" t="s">
        <v>217</v>
      </c>
      <c r="F861" t="s">
        <v>1561</v>
      </c>
      <c r="H861" t="s">
        <v>1562</v>
      </c>
      <c r="I861" t="s">
        <v>1563</v>
      </c>
      <c r="J861">
        <v>56090</v>
      </c>
      <c r="K861" t="s">
        <v>87</v>
      </c>
      <c r="L861" t="s">
        <v>37</v>
      </c>
      <c r="M861" t="s">
        <v>38</v>
      </c>
      <c r="N861" t="s">
        <v>140</v>
      </c>
    </row>
    <row r="862" spans="1:14" x14ac:dyDescent="0.2">
      <c r="A862">
        <v>861</v>
      </c>
      <c r="B862">
        <v>18</v>
      </c>
      <c r="C862">
        <v>9</v>
      </c>
      <c r="D862" t="s">
        <v>1564</v>
      </c>
      <c r="F862" t="s">
        <v>1565</v>
      </c>
      <c r="H862" t="s">
        <v>1566</v>
      </c>
      <c r="I862" t="s">
        <v>1567</v>
      </c>
      <c r="J862">
        <v>83900</v>
      </c>
      <c r="K862" t="s">
        <v>94</v>
      </c>
      <c r="L862" t="s">
        <v>37</v>
      </c>
      <c r="M862" t="s">
        <v>38</v>
      </c>
      <c r="N862" t="s">
        <v>140</v>
      </c>
    </row>
    <row r="863" spans="1:14" x14ac:dyDescent="0.2">
      <c r="A863">
        <v>862</v>
      </c>
      <c r="B863">
        <v>18</v>
      </c>
      <c r="C863">
        <v>10</v>
      </c>
      <c r="D863">
        <v>320117</v>
      </c>
      <c r="F863" t="s">
        <v>141</v>
      </c>
      <c r="G863" t="s">
        <v>1568</v>
      </c>
      <c r="H863" t="s">
        <v>1569</v>
      </c>
      <c r="I863" t="s">
        <v>1570</v>
      </c>
      <c r="J863">
        <v>160</v>
      </c>
      <c r="K863" t="s">
        <v>94</v>
      </c>
      <c r="L863" t="s">
        <v>37</v>
      </c>
      <c r="M863" t="s">
        <v>38</v>
      </c>
      <c r="N863" t="s">
        <v>140</v>
      </c>
    </row>
    <row r="864" spans="1:14" x14ac:dyDescent="0.2">
      <c r="A864">
        <v>863</v>
      </c>
      <c r="B864">
        <v>18</v>
      </c>
      <c r="C864">
        <v>11</v>
      </c>
      <c r="D864">
        <v>320117</v>
      </c>
      <c r="F864" t="s">
        <v>1571</v>
      </c>
      <c r="H864" t="s">
        <v>1572</v>
      </c>
      <c r="I864" t="s">
        <v>1573</v>
      </c>
      <c r="J864">
        <v>30</v>
      </c>
      <c r="K864" t="s">
        <v>52</v>
      </c>
      <c r="L864" t="s">
        <v>37</v>
      </c>
      <c r="M864" t="s">
        <v>38</v>
      </c>
      <c r="N864" t="s">
        <v>140</v>
      </c>
    </row>
    <row r="865" spans="1:14" x14ac:dyDescent="0.2">
      <c r="A865">
        <v>864</v>
      </c>
      <c r="B865">
        <v>18</v>
      </c>
      <c r="C865">
        <v>12</v>
      </c>
      <c r="D865">
        <v>320118</v>
      </c>
      <c r="F865" t="s">
        <v>1574</v>
      </c>
      <c r="H865" t="s">
        <v>1575</v>
      </c>
      <c r="I865" t="s">
        <v>1576</v>
      </c>
      <c r="J865">
        <v>4500</v>
      </c>
      <c r="K865" t="s">
        <v>36</v>
      </c>
      <c r="L865" t="s">
        <v>37</v>
      </c>
      <c r="M865" t="s">
        <v>38</v>
      </c>
      <c r="N865" t="s">
        <v>140</v>
      </c>
    </row>
    <row r="866" spans="1:14" x14ac:dyDescent="0.2">
      <c r="A866">
        <v>865</v>
      </c>
      <c r="B866">
        <v>18</v>
      </c>
      <c r="C866">
        <v>13</v>
      </c>
      <c r="D866">
        <v>260500</v>
      </c>
      <c r="F866" t="s">
        <v>291</v>
      </c>
      <c r="H866" t="s">
        <v>292</v>
      </c>
      <c r="I866" t="s">
        <v>293</v>
      </c>
      <c r="J866">
        <v>1</v>
      </c>
      <c r="K866" t="s">
        <v>17</v>
      </c>
      <c r="L866" t="s">
        <v>244</v>
      </c>
      <c r="M866" t="s">
        <v>294</v>
      </c>
      <c r="N866" t="s">
        <v>295</v>
      </c>
    </row>
    <row r="867" spans="1:14" x14ac:dyDescent="0.2">
      <c r="A867">
        <v>866</v>
      </c>
      <c r="B867">
        <v>18</v>
      </c>
      <c r="C867">
        <v>14</v>
      </c>
      <c r="D867">
        <v>260500</v>
      </c>
      <c r="F867" t="s">
        <v>299</v>
      </c>
      <c r="H867" t="s">
        <v>300</v>
      </c>
      <c r="I867" t="s">
        <v>301</v>
      </c>
      <c r="J867">
        <v>1</v>
      </c>
      <c r="K867" t="s">
        <v>17</v>
      </c>
      <c r="L867" t="s">
        <v>244</v>
      </c>
      <c r="M867" t="s">
        <v>294</v>
      </c>
      <c r="N867" t="s">
        <v>295</v>
      </c>
    </row>
    <row r="868" spans="1:14" x14ac:dyDescent="0.2">
      <c r="A868">
        <v>867</v>
      </c>
      <c r="B868">
        <v>18</v>
      </c>
      <c r="C868">
        <v>15</v>
      </c>
      <c r="D868">
        <v>344300</v>
      </c>
      <c r="F868" t="s">
        <v>1577</v>
      </c>
      <c r="H868" t="s">
        <v>1578</v>
      </c>
      <c r="I868" t="s">
        <v>1579</v>
      </c>
      <c r="J868">
        <v>14</v>
      </c>
      <c r="K868" t="s">
        <v>72</v>
      </c>
      <c r="L868" t="s">
        <v>244</v>
      </c>
      <c r="M868" t="s">
        <v>245</v>
      </c>
      <c r="N868" t="s">
        <v>246</v>
      </c>
    </row>
    <row r="869" spans="1:14" x14ac:dyDescent="0.2">
      <c r="A869">
        <v>868</v>
      </c>
      <c r="B869">
        <v>18</v>
      </c>
      <c r="C869">
        <v>16</v>
      </c>
      <c r="D869">
        <v>344300</v>
      </c>
      <c r="F869" t="s">
        <v>1580</v>
      </c>
      <c r="H869" t="s">
        <v>1581</v>
      </c>
      <c r="I869" t="s">
        <v>1582</v>
      </c>
      <c r="J869">
        <v>43</v>
      </c>
      <c r="K869" t="s">
        <v>72</v>
      </c>
      <c r="L869" t="s">
        <v>244</v>
      </c>
      <c r="M869" t="s">
        <v>245</v>
      </c>
      <c r="N869" t="s">
        <v>246</v>
      </c>
    </row>
    <row r="870" spans="1:14" x14ac:dyDescent="0.2">
      <c r="A870">
        <v>869</v>
      </c>
      <c r="B870">
        <v>18</v>
      </c>
      <c r="C870">
        <v>17</v>
      </c>
      <c r="D870">
        <v>344300</v>
      </c>
      <c r="F870" t="s">
        <v>1583</v>
      </c>
      <c r="H870" t="s">
        <v>1584</v>
      </c>
      <c r="I870" t="s">
        <v>1585</v>
      </c>
      <c r="J870">
        <v>1</v>
      </c>
      <c r="K870" t="s">
        <v>72</v>
      </c>
      <c r="L870" t="s">
        <v>244</v>
      </c>
      <c r="M870" t="s">
        <v>245</v>
      </c>
      <c r="N870" t="s">
        <v>246</v>
      </c>
    </row>
    <row r="871" spans="1:14" x14ac:dyDescent="0.2">
      <c r="A871">
        <v>870</v>
      </c>
      <c r="B871">
        <v>18</v>
      </c>
      <c r="C871">
        <v>18</v>
      </c>
      <c r="D871">
        <v>344300</v>
      </c>
      <c r="F871" t="s">
        <v>1586</v>
      </c>
      <c r="H871" t="s">
        <v>1587</v>
      </c>
      <c r="I871" t="s">
        <v>1588</v>
      </c>
      <c r="J871">
        <v>50</v>
      </c>
      <c r="K871" t="s">
        <v>72</v>
      </c>
      <c r="L871" t="s">
        <v>244</v>
      </c>
      <c r="M871" t="s">
        <v>245</v>
      </c>
      <c r="N871" t="s">
        <v>246</v>
      </c>
    </row>
    <row r="872" spans="1:14" x14ac:dyDescent="0.2">
      <c r="A872">
        <v>871</v>
      </c>
      <c r="B872">
        <v>18</v>
      </c>
      <c r="C872">
        <v>19</v>
      </c>
      <c r="D872">
        <v>344300</v>
      </c>
      <c r="F872" t="s">
        <v>1589</v>
      </c>
      <c r="H872" t="s">
        <v>1590</v>
      </c>
      <c r="I872" t="s">
        <v>1591</v>
      </c>
      <c r="J872">
        <v>7</v>
      </c>
      <c r="K872" t="s">
        <v>72</v>
      </c>
      <c r="L872" t="s">
        <v>244</v>
      </c>
      <c r="M872" t="s">
        <v>245</v>
      </c>
      <c r="N872" t="s">
        <v>246</v>
      </c>
    </row>
    <row r="873" spans="1:14" x14ac:dyDescent="0.2">
      <c r="A873">
        <v>872</v>
      </c>
      <c r="B873">
        <v>18</v>
      </c>
      <c r="C873">
        <v>20</v>
      </c>
      <c r="D873">
        <v>344302</v>
      </c>
      <c r="F873" t="s">
        <v>1592</v>
      </c>
      <c r="H873" t="s">
        <v>1593</v>
      </c>
      <c r="I873" t="s">
        <v>1594</v>
      </c>
      <c r="J873">
        <v>1</v>
      </c>
      <c r="K873" t="s">
        <v>17</v>
      </c>
      <c r="L873" t="s">
        <v>244</v>
      </c>
      <c r="M873" t="s">
        <v>362</v>
      </c>
      <c r="N873" t="s">
        <v>363</v>
      </c>
    </row>
    <row r="874" spans="1:14" x14ac:dyDescent="0.2">
      <c r="A874">
        <v>873</v>
      </c>
      <c r="B874">
        <v>18</v>
      </c>
      <c r="C874">
        <v>21</v>
      </c>
      <c r="D874">
        <v>344302</v>
      </c>
      <c r="F874" t="s">
        <v>1595</v>
      </c>
      <c r="H874" t="s">
        <v>1596</v>
      </c>
      <c r="I874" t="s">
        <v>1597</v>
      </c>
      <c r="J874">
        <v>1</v>
      </c>
      <c r="K874" t="s">
        <v>17</v>
      </c>
      <c r="L874" t="s">
        <v>244</v>
      </c>
      <c r="M874" t="s">
        <v>362</v>
      </c>
      <c r="N874" t="s">
        <v>363</v>
      </c>
    </row>
    <row r="875" spans="1:14" x14ac:dyDescent="0.2">
      <c r="A875">
        <v>874</v>
      </c>
      <c r="B875">
        <v>18</v>
      </c>
      <c r="C875">
        <v>22</v>
      </c>
      <c r="D875">
        <v>344302</v>
      </c>
      <c r="F875" t="s">
        <v>1598</v>
      </c>
      <c r="H875" t="s">
        <v>1599</v>
      </c>
      <c r="I875" t="s">
        <v>1600</v>
      </c>
      <c r="J875">
        <v>1</v>
      </c>
      <c r="K875" t="s">
        <v>17</v>
      </c>
      <c r="L875" t="s">
        <v>244</v>
      </c>
      <c r="M875" t="s">
        <v>362</v>
      </c>
      <c r="N875" t="s">
        <v>363</v>
      </c>
    </row>
    <row r="876" spans="1:14" x14ac:dyDescent="0.2">
      <c r="A876">
        <v>875</v>
      </c>
      <c r="B876">
        <v>18</v>
      </c>
      <c r="C876">
        <v>23</v>
      </c>
      <c r="D876">
        <v>344302</v>
      </c>
      <c r="F876" t="s">
        <v>1601</v>
      </c>
      <c r="H876" t="s">
        <v>1602</v>
      </c>
      <c r="I876" t="s">
        <v>1603</v>
      </c>
      <c r="J876">
        <v>1</v>
      </c>
      <c r="K876" t="s">
        <v>17</v>
      </c>
      <c r="L876" t="s">
        <v>244</v>
      </c>
      <c r="M876" t="s">
        <v>362</v>
      </c>
      <c r="N876" t="s">
        <v>363</v>
      </c>
    </row>
    <row r="877" spans="1:14" x14ac:dyDescent="0.2">
      <c r="A877">
        <v>876</v>
      </c>
      <c r="B877">
        <v>18</v>
      </c>
      <c r="C877">
        <v>24</v>
      </c>
      <c r="D877">
        <v>344302</v>
      </c>
      <c r="F877" t="s">
        <v>1604</v>
      </c>
      <c r="H877" t="s">
        <v>1605</v>
      </c>
      <c r="I877" t="s">
        <v>1606</v>
      </c>
      <c r="J877">
        <v>1</v>
      </c>
      <c r="K877" t="s">
        <v>17</v>
      </c>
      <c r="L877" t="s">
        <v>244</v>
      </c>
      <c r="M877" t="s">
        <v>362</v>
      </c>
      <c r="N877" t="s">
        <v>363</v>
      </c>
    </row>
    <row r="878" spans="1:14" x14ac:dyDescent="0.2">
      <c r="A878">
        <v>877</v>
      </c>
      <c r="B878">
        <v>18</v>
      </c>
      <c r="C878">
        <v>25</v>
      </c>
      <c r="D878">
        <v>344302</v>
      </c>
      <c r="F878" t="s">
        <v>1607</v>
      </c>
      <c r="H878" t="s">
        <v>1608</v>
      </c>
      <c r="I878" t="s">
        <v>1609</v>
      </c>
      <c r="J878">
        <v>1</v>
      </c>
      <c r="K878" t="s">
        <v>17</v>
      </c>
      <c r="L878" t="s">
        <v>244</v>
      </c>
      <c r="M878" t="s">
        <v>362</v>
      </c>
      <c r="N878" t="s">
        <v>363</v>
      </c>
    </row>
    <row r="879" spans="1:14" x14ac:dyDescent="0.2">
      <c r="A879">
        <v>878</v>
      </c>
      <c r="B879">
        <v>18</v>
      </c>
      <c r="C879">
        <v>26</v>
      </c>
      <c r="D879">
        <v>344302</v>
      </c>
      <c r="F879" t="s">
        <v>1610</v>
      </c>
      <c r="H879" t="s">
        <v>1611</v>
      </c>
      <c r="I879" t="s">
        <v>1612</v>
      </c>
      <c r="J879">
        <v>1</v>
      </c>
      <c r="K879" t="s">
        <v>17</v>
      </c>
      <c r="L879" t="s">
        <v>244</v>
      </c>
      <c r="M879" t="s">
        <v>362</v>
      </c>
      <c r="N879" t="s">
        <v>363</v>
      </c>
    </row>
    <row r="880" spans="1:14" x14ac:dyDescent="0.2">
      <c r="A880">
        <v>879</v>
      </c>
      <c r="B880">
        <v>18</v>
      </c>
      <c r="C880">
        <v>27</v>
      </c>
      <c r="D880" t="s">
        <v>14</v>
      </c>
      <c r="F880" t="s">
        <v>1613</v>
      </c>
      <c r="H880" t="s">
        <v>1613</v>
      </c>
      <c r="I880" t="s">
        <v>1614</v>
      </c>
      <c r="J880">
        <v>1</v>
      </c>
      <c r="K880" t="s">
        <v>17</v>
      </c>
      <c r="L880" t="s">
        <v>244</v>
      </c>
      <c r="M880" t="s">
        <v>362</v>
      </c>
      <c r="N880" t="s">
        <v>1345</v>
      </c>
    </row>
    <row r="881" spans="1:14" x14ac:dyDescent="0.2">
      <c r="A881">
        <v>880</v>
      </c>
      <c r="B881">
        <v>18</v>
      </c>
      <c r="C881">
        <v>28</v>
      </c>
      <c r="D881">
        <v>344302</v>
      </c>
      <c r="F881" t="s">
        <v>1615</v>
      </c>
      <c r="H881" t="s">
        <v>1616</v>
      </c>
      <c r="I881" t="s">
        <v>1617</v>
      </c>
      <c r="J881">
        <v>1</v>
      </c>
      <c r="K881" t="s">
        <v>17</v>
      </c>
      <c r="L881" t="s">
        <v>244</v>
      </c>
      <c r="M881" t="s">
        <v>362</v>
      </c>
      <c r="N881" t="s">
        <v>363</v>
      </c>
    </row>
    <row r="882" spans="1:14" x14ac:dyDescent="0.2">
      <c r="A882">
        <v>881</v>
      </c>
      <c r="B882">
        <v>19</v>
      </c>
      <c r="C882">
        <v>1</v>
      </c>
      <c r="D882" t="s">
        <v>14</v>
      </c>
      <c r="F882" t="s">
        <v>15</v>
      </c>
      <c r="H882" t="s">
        <v>15</v>
      </c>
      <c r="I882" t="s">
        <v>16</v>
      </c>
      <c r="J882">
        <v>1</v>
      </c>
      <c r="K882" t="s">
        <v>17</v>
      </c>
      <c r="L882" t="s">
        <v>18</v>
      </c>
      <c r="M882" t="s">
        <v>19</v>
      </c>
      <c r="N882" t="s">
        <v>20</v>
      </c>
    </row>
    <row r="883" spans="1:14" x14ac:dyDescent="0.2">
      <c r="A883">
        <v>882</v>
      </c>
      <c r="B883">
        <v>19</v>
      </c>
      <c r="C883">
        <v>2</v>
      </c>
      <c r="D883" t="s">
        <v>14</v>
      </c>
      <c r="F883" t="s">
        <v>1618</v>
      </c>
      <c r="H883" t="s">
        <v>1618</v>
      </c>
      <c r="I883" t="s">
        <v>1619</v>
      </c>
      <c r="J883">
        <v>1</v>
      </c>
      <c r="K883" t="s">
        <v>17</v>
      </c>
      <c r="L883" t="s">
        <v>47</v>
      </c>
      <c r="M883" t="s">
        <v>48</v>
      </c>
      <c r="N883" t="s">
        <v>49</v>
      </c>
    </row>
    <row r="884" spans="1:14" x14ac:dyDescent="0.2">
      <c r="A884">
        <v>883</v>
      </c>
      <c r="B884">
        <v>19</v>
      </c>
      <c r="C884">
        <v>3</v>
      </c>
      <c r="D884" t="s">
        <v>14</v>
      </c>
      <c r="F884" t="s">
        <v>1620</v>
      </c>
      <c r="H884" t="s">
        <v>1620</v>
      </c>
      <c r="I884" t="s">
        <v>1621</v>
      </c>
      <c r="J884">
        <v>1</v>
      </c>
      <c r="K884" t="s">
        <v>17</v>
      </c>
      <c r="L884" t="s">
        <v>47</v>
      </c>
      <c r="M884" t="s">
        <v>48</v>
      </c>
      <c r="N884" t="s">
        <v>49</v>
      </c>
    </row>
    <row r="885" spans="1:14" x14ac:dyDescent="0.2">
      <c r="A885">
        <v>884</v>
      </c>
      <c r="B885">
        <v>19</v>
      </c>
      <c r="C885">
        <v>4</v>
      </c>
      <c r="D885" t="s">
        <v>14</v>
      </c>
      <c r="F885" t="s">
        <v>1622</v>
      </c>
      <c r="H885" t="s">
        <v>1622</v>
      </c>
      <c r="I885" t="s">
        <v>1623</v>
      </c>
      <c r="J885">
        <v>2</v>
      </c>
      <c r="K885" t="s">
        <v>72</v>
      </c>
      <c r="L885" t="s">
        <v>244</v>
      </c>
      <c r="M885" t="s">
        <v>245</v>
      </c>
      <c r="N885" t="s">
        <v>1396</v>
      </c>
    </row>
    <row r="886" spans="1:14" x14ac:dyDescent="0.2">
      <c r="A886">
        <v>885</v>
      </c>
      <c r="B886">
        <v>19</v>
      </c>
      <c r="C886">
        <v>5</v>
      </c>
      <c r="D886" t="s">
        <v>14</v>
      </c>
      <c r="F886" t="s">
        <v>1624</v>
      </c>
      <c r="H886" t="s">
        <v>1624</v>
      </c>
      <c r="I886" t="s">
        <v>1625</v>
      </c>
      <c r="J886">
        <v>1386</v>
      </c>
      <c r="K886" t="s">
        <v>36</v>
      </c>
      <c r="L886" t="s">
        <v>47</v>
      </c>
      <c r="M886" t="s">
        <v>48</v>
      </c>
      <c r="N886" t="s">
        <v>49</v>
      </c>
    </row>
    <row r="887" spans="1:14" x14ac:dyDescent="0.2">
      <c r="A887">
        <v>886</v>
      </c>
      <c r="B887">
        <v>19</v>
      </c>
      <c r="C887">
        <v>6</v>
      </c>
      <c r="D887" t="s">
        <v>14</v>
      </c>
      <c r="F887" t="s">
        <v>1626</v>
      </c>
      <c r="H887" t="s">
        <v>1626</v>
      </c>
      <c r="I887" t="s">
        <v>1627</v>
      </c>
      <c r="J887">
        <v>639</v>
      </c>
      <c r="K887" t="s">
        <v>36</v>
      </c>
      <c r="L887" t="s">
        <v>47</v>
      </c>
      <c r="M887" t="s">
        <v>48</v>
      </c>
      <c r="N887" t="s">
        <v>49</v>
      </c>
    </row>
    <row r="888" spans="1:14" x14ac:dyDescent="0.2">
      <c r="A888">
        <v>887</v>
      </c>
      <c r="B888">
        <v>19</v>
      </c>
      <c r="C888">
        <v>7</v>
      </c>
      <c r="D888" t="s">
        <v>14</v>
      </c>
      <c r="F888" t="s">
        <v>1628</v>
      </c>
      <c r="H888" t="s">
        <v>1628</v>
      </c>
      <c r="I888" t="s">
        <v>1629</v>
      </c>
      <c r="J888">
        <v>176</v>
      </c>
      <c r="K888" t="s">
        <v>87</v>
      </c>
      <c r="L888" t="s">
        <v>47</v>
      </c>
      <c r="M888" t="s">
        <v>48</v>
      </c>
      <c r="N888" t="s">
        <v>49</v>
      </c>
    </row>
    <row r="889" spans="1:14" x14ac:dyDescent="0.2">
      <c r="A889">
        <v>888</v>
      </c>
      <c r="B889">
        <v>19</v>
      </c>
      <c r="C889">
        <v>8</v>
      </c>
      <c r="D889" t="s">
        <v>14</v>
      </c>
      <c r="F889" t="s">
        <v>1630</v>
      </c>
      <c r="H889" t="s">
        <v>1630</v>
      </c>
      <c r="I889" t="s">
        <v>1631</v>
      </c>
      <c r="J889">
        <v>21</v>
      </c>
      <c r="K889" t="s">
        <v>87</v>
      </c>
      <c r="L889" t="s">
        <v>47</v>
      </c>
      <c r="M889" t="s">
        <v>48</v>
      </c>
      <c r="N889" t="s">
        <v>49</v>
      </c>
    </row>
    <row r="890" spans="1:14" x14ac:dyDescent="0.2">
      <c r="A890">
        <v>889</v>
      </c>
      <c r="B890">
        <v>19</v>
      </c>
      <c r="C890">
        <v>9</v>
      </c>
      <c r="D890" t="s">
        <v>14</v>
      </c>
      <c r="F890" t="s">
        <v>1632</v>
      </c>
      <c r="H890" t="s">
        <v>1632</v>
      </c>
      <c r="I890" t="s">
        <v>1633</v>
      </c>
      <c r="J890">
        <v>342</v>
      </c>
      <c r="K890" t="s">
        <v>87</v>
      </c>
      <c r="L890" t="s">
        <v>47</v>
      </c>
      <c r="M890" t="s">
        <v>48</v>
      </c>
      <c r="N890" t="s">
        <v>49</v>
      </c>
    </row>
    <row r="891" spans="1:14" x14ac:dyDescent="0.2">
      <c r="A891">
        <v>890</v>
      </c>
      <c r="B891">
        <v>19</v>
      </c>
      <c r="C891">
        <v>10</v>
      </c>
      <c r="D891" t="s">
        <v>14</v>
      </c>
      <c r="F891" t="s">
        <v>1634</v>
      </c>
      <c r="H891" t="s">
        <v>1634</v>
      </c>
      <c r="I891" t="s">
        <v>1635</v>
      </c>
      <c r="J891">
        <v>80</v>
      </c>
      <c r="K891" t="s">
        <v>87</v>
      </c>
      <c r="L891" t="s">
        <v>47</v>
      </c>
      <c r="M891" t="s">
        <v>48</v>
      </c>
      <c r="N891" t="s">
        <v>49</v>
      </c>
    </row>
    <row r="892" spans="1:14" x14ac:dyDescent="0.2">
      <c r="A892">
        <v>891</v>
      </c>
      <c r="B892">
        <v>19</v>
      </c>
      <c r="C892">
        <v>11</v>
      </c>
      <c r="D892" t="s">
        <v>14</v>
      </c>
      <c r="F892" t="s">
        <v>1636</v>
      </c>
      <c r="H892" t="s">
        <v>1636</v>
      </c>
      <c r="I892" t="s">
        <v>1637</v>
      </c>
      <c r="J892">
        <v>15</v>
      </c>
      <c r="K892" t="s">
        <v>87</v>
      </c>
      <c r="L892" t="s">
        <v>47</v>
      </c>
      <c r="M892" t="s">
        <v>48</v>
      </c>
      <c r="N892" t="s">
        <v>49</v>
      </c>
    </row>
    <row r="893" spans="1:14" x14ac:dyDescent="0.2">
      <c r="A893">
        <v>892</v>
      </c>
      <c r="B893">
        <v>19</v>
      </c>
      <c r="C893">
        <v>12</v>
      </c>
      <c r="D893" t="s">
        <v>14</v>
      </c>
      <c r="F893" t="s">
        <v>1638</v>
      </c>
      <c r="H893" t="s">
        <v>1638</v>
      </c>
      <c r="I893" t="s">
        <v>1639</v>
      </c>
      <c r="J893">
        <v>66</v>
      </c>
      <c r="K893" t="s">
        <v>36</v>
      </c>
      <c r="L893" t="s">
        <v>47</v>
      </c>
      <c r="M893" t="s">
        <v>48</v>
      </c>
      <c r="N893" t="s">
        <v>49</v>
      </c>
    </row>
    <row r="894" spans="1:14" x14ac:dyDescent="0.2">
      <c r="A894">
        <v>893</v>
      </c>
      <c r="B894">
        <v>19</v>
      </c>
      <c r="C894">
        <v>13</v>
      </c>
      <c r="D894" t="s">
        <v>14</v>
      </c>
      <c r="F894" t="s">
        <v>1640</v>
      </c>
      <c r="H894" t="s">
        <v>1640</v>
      </c>
      <c r="I894" t="s">
        <v>1641</v>
      </c>
      <c r="J894">
        <v>2650</v>
      </c>
      <c r="K894" t="s">
        <v>36</v>
      </c>
      <c r="L894" t="s">
        <v>37</v>
      </c>
      <c r="M894" t="s">
        <v>38</v>
      </c>
      <c r="N894" t="s">
        <v>39</v>
      </c>
    </row>
    <row r="895" spans="1:14" x14ac:dyDescent="0.2">
      <c r="A895">
        <v>894</v>
      </c>
      <c r="B895">
        <v>19</v>
      </c>
      <c r="C895">
        <v>14</v>
      </c>
      <c r="D895" t="s">
        <v>14</v>
      </c>
      <c r="F895" t="s">
        <v>1642</v>
      </c>
      <c r="H895" t="s">
        <v>1642</v>
      </c>
      <c r="I895" t="s">
        <v>1643</v>
      </c>
      <c r="J895">
        <v>44</v>
      </c>
      <c r="K895" t="s">
        <v>36</v>
      </c>
      <c r="L895" t="s">
        <v>244</v>
      </c>
      <c r="M895" t="s">
        <v>245</v>
      </c>
      <c r="N895" t="s">
        <v>1396</v>
      </c>
    </row>
    <row r="896" spans="1:14" x14ac:dyDescent="0.2">
      <c r="A896">
        <v>895</v>
      </c>
      <c r="B896">
        <v>19</v>
      </c>
      <c r="C896">
        <v>15</v>
      </c>
      <c r="D896" t="s">
        <v>14</v>
      </c>
      <c r="F896" t="s">
        <v>1644</v>
      </c>
      <c r="H896" t="s">
        <v>1644</v>
      </c>
      <c r="I896" t="s">
        <v>1645</v>
      </c>
      <c r="J896">
        <v>8100</v>
      </c>
      <c r="K896" t="s">
        <v>87</v>
      </c>
      <c r="L896" t="s">
        <v>47</v>
      </c>
      <c r="M896" t="s">
        <v>48</v>
      </c>
      <c r="N896" t="s">
        <v>49</v>
      </c>
    </row>
    <row r="897" spans="1:14" x14ac:dyDescent="0.2">
      <c r="A897">
        <v>896</v>
      </c>
      <c r="B897">
        <v>19</v>
      </c>
      <c r="C897">
        <v>16</v>
      </c>
      <c r="D897" t="s">
        <v>14</v>
      </c>
      <c r="F897" t="s">
        <v>1646</v>
      </c>
      <c r="H897" t="s">
        <v>1646</v>
      </c>
      <c r="I897" t="s">
        <v>1647</v>
      </c>
      <c r="J897">
        <v>4420</v>
      </c>
      <c r="K897" t="s">
        <v>87</v>
      </c>
      <c r="L897" t="s">
        <v>47</v>
      </c>
      <c r="M897" t="s">
        <v>48</v>
      </c>
      <c r="N897" t="s">
        <v>49</v>
      </c>
    </row>
    <row r="898" spans="1:14" x14ac:dyDescent="0.2">
      <c r="A898">
        <v>897</v>
      </c>
      <c r="B898">
        <v>19</v>
      </c>
      <c r="C898">
        <v>17</v>
      </c>
      <c r="D898" t="s">
        <v>14</v>
      </c>
      <c r="F898" t="s">
        <v>1648</v>
      </c>
      <c r="H898" t="s">
        <v>1648</v>
      </c>
      <c r="I898" t="s">
        <v>1649</v>
      </c>
      <c r="J898">
        <v>4460</v>
      </c>
      <c r="K898" t="s">
        <v>87</v>
      </c>
      <c r="L898" t="s">
        <v>47</v>
      </c>
      <c r="M898" t="s">
        <v>48</v>
      </c>
      <c r="N898" t="s">
        <v>49</v>
      </c>
    </row>
    <row r="899" spans="1:14" x14ac:dyDescent="0.2">
      <c r="A899">
        <v>898</v>
      </c>
      <c r="B899">
        <v>19</v>
      </c>
      <c r="C899">
        <v>18</v>
      </c>
      <c r="D899" t="s">
        <v>14</v>
      </c>
      <c r="F899" t="s">
        <v>1650</v>
      </c>
      <c r="H899" t="s">
        <v>1650</v>
      </c>
      <c r="I899" t="s">
        <v>1651</v>
      </c>
      <c r="J899">
        <v>1210</v>
      </c>
      <c r="K899" t="s">
        <v>87</v>
      </c>
      <c r="L899" t="s">
        <v>47</v>
      </c>
      <c r="M899" t="s">
        <v>48</v>
      </c>
      <c r="N899" t="s">
        <v>49</v>
      </c>
    </row>
    <row r="900" spans="1:14" x14ac:dyDescent="0.2">
      <c r="A900">
        <v>899</v>
      </c>
      <c r="B900">
        <v>19</v>
      </c>
      <c r="C900">
        <v>19</v>
      </c>
      <c r="D900" t="s">
        <v>14</v>
      </c>
      <c r="F900" t="s">
        <v>1652</v>
      </c>
      <c r="H900" t="s">
        <v>1652</v>
      </c>
      <c r="I900" t="s">
        <v>1653</v>
      </c>
      <c r="J900">
        <v>1</v>
      </c>
      <c r="K900" t="s">
        <v>17</v>
      </c>
      <c r="L900" t="s">
        <v>244</v>
      </c>
      <c r="M900" t="s">
        <v>245</v>
      </c>
      <c r="N900" t="s">
        <v>1396</v>
      </c>
    </row>
    <row r="901" spans="1:14" x14ac:dyDescent="0.2">
      <c r="A901">
        <v>900</v>
      </c>
      <c r="B901">
        <v>19</v>
      </c>
      <c r="C901">
        <v>20</v>
      </c>
      <c r="D901" t="s">
        <v>14</v>
      </c>
      <c r="F901" t="s">
        <v>1654</v>
      </c>
      <c r="H901" t="s">
        <v>1655</v>
      </c>
      <c r="I901" t="s">
        <v>1656</v>
      </c>
      <c r="J901">
        <v>1</v>
      </c>
      <c r="K901" t="s">
        <v>17</v>
      </c>
      <c r="L901" t="s">
        <v>47</v>
      </c>
      <c r="M901" t="s">
        <v>48</v>
      </c>
      <c r="N901" t="s">
        <v>49</v>
      </c>
    </row>
    <row r="902" spans="1:14" x14ac:dyDescent="0.2">
      <c r="A902">
        <v>901</v>
      </c>
      <c r="B902">
        <v>19</v>
      </c>
      <c r="C902">
        <v>21</v>
      </c>
      <c r="D902" t="s">
        <v>14</v>
      </c>
      <c r="F902" t="s">
        <v>1657</v>
      </c>
      <c r="H902" t="s">
        <v>1657</v>
      </c>
      <c r="I902" t="s">
        <v>1658</v>
      </c>
      <c r="J902">
        <v>566</v>
      </c>
      <c r="K902" t="s">
        <v>72</v>
      </c>
      <c r="L902" t="s">
        <v>30</v>
      </c>
      <c r="M902" t="s">
        <v>30</v>
      </c>
      <c r="N902" t="s">
        <v>31</v>
      </c>
    </row>
    <row r="903" spans="1:14" x14ac:dyDescent="0.2">
      <c r="A903">
        <v>902</v>
      </c>
      <c r="B903">
        <v>19</v>
      </c>
      <c r="C903">
        <v>22</v>
      </c>
      <c r="D903" t="s">
        <v>14</v>
      </c>
      <c r="F903" t="s">
        <v>1659</v>
      </c>
      <c r="H903" t="s">
        <v>1659</v>
      </c>
      <c r="I903" t="s">
        <v>1660</v>
      </c>
      <c r="J903">
        <v>3000</v>
      </c>
      <c r="K903" t="s">
        <v>87</v>
      </c>
      <c r="L903" t="s">
        <v>47</v>
      </c>
      <c r="M903" t="s">
        <v>48</v>
      </c>
      <c r="N903" t="s">
        <v>49</v>
      </c>
    </row>
    <row r="904" spans="1:14" x14ac:dyDescent="0.2">
      <c r="A904">
        <v>903</v>
      </c>
      <c r="B904">
        <v>19</v>
      </c>
      <c r="C904">
        <v>23</v>
      </c>
      <c r="D904" t="s">
        <v>14</v>
      </c>
      <c r="F904" t="s">
        <v>1661</v>
      </c>
      <c r="H904" t="s">
        <v>1661</v>
      </c>
      <c r="I904" t="s">
        <v>1662</v>
      </c>
      <c r="J904">
        <v>3300</v>
      </c>
      <c r="K904" t="s">
        <v>87</v>
      </c>
      <c r="L904" t="s">
        <v>47</v>
      </c>
      <c r="M904" t="s">
        <v>48</v>
      </c>
      <c r="N904" t="s">
        <v>49</v>
      </c>
    </row>
    <row r="905" spans="1:14" x14ac:dyDescent="0.2">
      <c r="A905">
        <v>904</v>
      </c>
      <c r="B905">
        <v>19</v>
      </c>
      <c r="C905">
        <v>24</v>
      </c>
      <c r="D905" t="s">
        <v>14</v>
      </c>
      <c r="F905" t="s">
        <v>1663</v>
      </c>
      <c r="H905" t="s">
        <v>1663</v>
      </c>
      <c r="I905" t="s">
        <v>1664</v>
      </c>
      <c r="J905">
        <v>17</v>
      </c>
      <c r="K905" t="s">
        <v>36</v>
      </c>
      <c r="L905" t="s">
        <v>30</v>
      </c>
      <c r="M905" t="s">
        <v>30</v>
      </c>
      <c r="N905" t="s">
        <v>31</v>
      </c>
    </row>
    <row r="906" spans="1:14" x14ac:dyDescent="0.2">
      <c r="A906">
        <v>905</v>
      </c>
      <c r="B906">
        <v>19</v>
      </c>
      <c r="C906">
        <v>25</v>
      </c>
      <c r="D906" t="s">
        <v>14</v>
      </c>
      <c r="F906" t="s">
        <v>1665</v>
      </c>
      <c r="H906" t="s">
        <v>1665</v>
      </c>
      <c r="I906" t="s">
        <v>1666</v>
      </c>
      <c r="J906">
        <v>125</v>
      </c>
      <c r="K906" t="s">
        <v>87</v>
      </c>
      <c r="L906" t="s">
        <v>30</v>
      </c>
      <c r="M906" t="s">
        <v>30</v>
      </c>
      <c r="N906" t="s">
        <v>31</v>
      </c>
    </row>
    <row r="907" spans="1:14" x14ac:dyDescent="0.2">
      <c r="A907">
        <v>906</v>
      </c>
      <c r="B907">
        <v>20</v>
      </c>
      <c r="C907">
        <v>1</v>
      </c>
      <c r="D907">
        <v>12200</v>
      </c>
      <c r="F907" t="s">
        <v>105</v>
      </c>
      <c r="H907" t="s">
        <v>106</v>
      </c>
      <c r="I907" t="s">
        <v>107</v>
      </c>
      <c r="J907">
        <v>1</v>
      </c>
      <c r="K907" t="s">
        <v>17</v>
      </c>
      <c r="L907" t="s">
        <v>18</v>
      </c>
      <c r="M907" t="s">
        <v>19</v>
      </c>
      <c r="N907" t="s">
        <v>108</v>
      </c>
    </row>
    <row r="908" spans="1:14" x14ac:dyDescent="0.2">
      <c r="A908">
        <v>907</v>
      </c>
      <c r="B908">
        <v>20</v>
      </c>
      <c r="C908">
        <v>2</v>
      </c>
      <c r="D908">
        <v>12200</v>
      </c>
      <c r="F908" t="s">
        <v>109</v>
      </c>
      <c r="H908" t="s">
        <v>110</v>
      </c>
      <c r="I908" t="s">
        <v>111</v>
      </c>
      <c r="J908">
        <v>1</v>
      </c>
      <c r="K908" t="s">
        <v>17</v>
      </c>
      <c r="L908" t="s">
        <v>18</v>
      </c>
      <c r="M908" t="s">
        <v>19</v>
      </c>
      <c r="N908" t="s">
        <v>108</v>
      </c>
    </row>
    <row r="909" spans="1:14" x14ac:dyDescent="0.2">
      <c r="A909">
        <v>908</v>
      </c>
      <c r="B909">
        <v>20</v>
      </c>
      <c r="C909">
        <v>3</v>
      </c>
      <c r="D909">
        <v>12200</v>
      </c>
      <c r="F909" t="s">
        <v>112</v>
      </c>
      <c r="H909" t="s">
        <v>113</v>
      </c>
      <c r="I909" t="s">
        <v>114</v>
      </c>
      <c r="J909">
        <v>1</v>
      </c>
      <c r="K909" t="s">
        <v>17</v>
      </c>
      <c r="L909" t="s">
        <v>18</v>
      </c>
      <c r="M909" t="s">
        <v>19</v>
      </c>
      <c r="N909" t="s">
        <v>108</v>
      </c>
    </row>
    <row r="910" spans="1:14" x14ac:dyDescent="0.2">
      <c r="A910">
        <v>909</v>
      </c>
      <c r="B910">
        <v>20</v>
      </c>
      <c r="C910">
        <v>4</v>
      </c>
      <c r="D910">
        <v>12200</v>
      </c>
      <c r="F910" t="s">
        <v>115</v>
      </c>
      <c r="H910" t="s">
        <v>116</v>
      </c>
      <c r="I910" t="s">
        <v>117</v>
      </c>
      <c r="J910">
        <v>1</v>
      </c>
      <c r="K910" t="s">
        <v>17</v>
      </c>
      <c r="L910" t="s">
        <v>18</v>
      </c>
      <c r="M910" t="s">
        <v>19</v>
      </c>
      <c r="N910" t="s">
        <v>108</v>
      </c>
    </row>
    <row r="911" spans="1:14" x14ac:dyDescent="0.2">
      <c r="A911">
        <v>910</v>
      </c>
      <c r="B911">
        <v>20</v>
      </c>
      <c r="C911">
        <v>5</v>
      </c>
      <c r="D911">
        <v>12200</v>
      </c>
      <c r="F911" t="s">
        <v>118</v>
      </c>
      <c r="H911" t="s">
        <v>119</v>
      </c>
      <c r="I911" t="s">
        <v>120</v>
      </c>
      <c r="J911">
        <v>1</v>
      </c>
      <c r="K911" t="s">
        <v>17</v>
      </c>
      <c r="L911" t="s">
        <v>18</v>
      </c>
      <c r="M911" t="s">
        <v>19</v>
      </c>
      <c r="N911" t="s">
        <v>108</v>
      </c>
    </row>
    <row r="912" spans="1:14" x14ac:dyDescent="0.2">
      <c r="A912">
        <v>911</v>
      </c>
      <c r="B912">
        <v>20</v>
      </c>
      <c r="C912">
        <v>6</v>
      </c>
      <c r="D912">
        <v>12200</v>
      </c>
      <c r="F912" t="s">
        <v>483</v>
      </c>
      <c r="H912" t="s">
        <v>925</v>
      </c>
      <c r="I912" t="s">
        <v>926</v>
      </c>
      <c r="J912">
        <v>1</v>
      </c>
      <c r="K912" t="s">
        <v>17</v>
      </c>
      <c r="L912" t="s">
        <v>18</v>
      </c>
      <c r="M912" t="s">
        <v>19</v>
      </c>
      <c r="N912" t="s">
        <v>108</v>
      </c>
    </row>
    <row r="913" spans="1:14" x14ac:dyDescent="0.2">
      <c r="A913">
        <v>912</v>
      </c>
      <c r="B913">
        <v>20</v>
      </c>
      <c r="C913">
        <v>7</v>
      </c>
      <c r="D913">
        <v>15713</v>
      </c>
      <c r="F913" t="s">
        <v>127</v>
      </c>
      <c r="H913" t="s">
        <v>128</v>
      </c>
      <c r="I913" t="s">
        <v>129</v>
      </c>
      <c r="J913">
        <v>4</v>
      </c>
      <c r="K913" t="s">
        <v>72</v>
      </c>
      <c r="L913" t="s">
        <v>18</v>
      </c>
      <c r="M913" t="s">
        <v>19</v>
      </c>
      <c r="N913" t="s">
        <v>108</v>
      </c>
    </row>
    <row r="914" spans="1:14" x14ac:dyDescent="0.2">
      <c r="A914">
        <v>913</v>
      </c>
      <c r="B914">
        <v>20</v>
      </c>
      <c r="C914">
        <v>8</v>
      </c>
      <c r="D914">
        <v>15713</v>
      </c>
      <c r="F914" t="s">
        <v>930</v>
      </c>
      <c r="H914" t="s">
        <v>931</v>
      </c>
      <c r="I914" t="s">
        <v>932</v>
      </c>
      <c r="J914">
        <v>435</v>
      </c>
      <c r="K914" t="s">
        <v>36</v>
      </c>
      <c r="L914" t="s">
        <v>18</v>
      </c>
      <c r="M914" t="s">
        <v>19</v>
      </c>
      <c r="N914" t="s">
        <v>108</v>
      </c>
    </row>
    <row r="915" spans="1:14" x14ac:dyDescent="0.2">
      <c r="A915">
        <v>914</v>
      </c>
      <c r="B915">
        <v>20</v>
      </c>
      <c r="C915">
        <v>9</v>
      </c>
      <c r="D915">
        <v>24113</v>
      </c>
      <c r="F915" t="s">
        <v>935</v>
      </c>
      <c r="H915" t="s">
        <v>936</v>
      </c>
      <c r="I915" t="s">
        <v>937</v>
      </c>
      <c r="J915">
        <v>1</v>
      </c>
      <c r="K915" t="s">
        <v>17</v>
      </c>
      <c r="L915" t="s">
        <v>30</v>
      </c>
      <c r="M915" t="s">
        <v>30</v>
      </c>
      <c r="N915" t="s">
        <v>288</v>
      </c>
    </row>
    <row r="916" spans="1:14" x14ac:dyDescent="0.2">
      <c r="A916">
        <v>915</v>
      </c>
      <c r="B916">
        <v>20</v>
      </c>
      <c r="C916">
        <v>10</v>
      </c>
      <c r="D916">
        <v>24113</v>
      </c>
      <c r="F916" t="s">
        <v>938</v>
      </c>
      <c r="H916" t="s">
        <v>939</v>
      </c>
      <c r="I916" t="s">
        <v>940</v>
      </c>
      <c r="J916">
        <v>1</v>
      </c>
      <c r="K916" t="s">
        <v>17</v>
      </c>
      <c r="L916" t="s">
        <v>30</v>
      </c>
      <c r="M916" t="s">
        <v>30</v>
      </c>
      <c r="N916" t="s">
        <v>288</v>
      </c>
    </row>
    <row r="917" spans="1:14" x14ac:dyDescent="0.2">
      <c r="A917">
        <v>916</v>
      </c>
      <c r="B917">
        <v>20</v>
      </c>
      <c r="C917">
        <v>11</v>
      </c>
      <c r="D917">
        <v>26100</v>
      </c>
      <c r="F917" t="s">
        <v>285</v>
      </c>
      <c r="H917" t="s">
        <v>286</v>
      </c>
      <c r="I917" t="s">
        <v>287</v>
      </c>
      <c r="J917">
        <v>150</v>
      </c>
      <c r="K917" t="s">
        <v>52</v>
      </c>
      <c r="L917" t="s">
        <v>30</v>
      </c>
      <c r="M917" t="s">
        <v>30</v>
      </c>
      <c r="N917" t="s">
        <v>288</v>
      </c>
    </row>
    <row r="918" spans="1:14" x14ac:dyDescent="0.2">
      <c r="A918">
        <v>917</v>
      </c>
      <c r="B918">
        <v>20</v>
      </c>
      <c r="C918">
        <v>12</v>
      </c>
      <c r="D918">
        <v>260500</v>
      </c>
      <c r="F918" t="s">
        <v>998</v>
      </c>
      <c r="H918" t="s">
        <v>999</v>
      </c>
      <c r="I918" t="s">
        <v>1000</v>
      </c>
      <c r="J918">
        <v>1</v>
      </c>
      <c r="K918" t="s">
        <v>17</v>
      </c>
      <c r="L918" t="s">
        <v>244</v>
      </c>
      <c r="M918" t="s">
        <v>294</v>
      </c>
      <c r="N918" t="s">
        <v>295</v>
      </c>
    </row>
    <row r="919" spans="1:14" x14ac:dyDescent="0.2">
      <c r="A919">
        <v>918</v>
      </c>
      <c r="B919">
        <v>20</v>
      </c>
      <c r="C919">
        <v>13</v>
      </c>
      <c r="D919">
        <v>260500</v>
      </c>
      <c r="F919" t="s">
        <v>1667</v>
      </c>
      <c r="H919" t="s">
        <v>1668</v>
      </c>
      <c r="I919" t="s">
        <v>1669</v>
      </c>
      <c r="J919">
        <v>1</v>
      </c>
      <c r="K919" t="s">
        <v>72</v>
      </c>
      <c r="L919" t="s">
        <v>244</v>
      </c>
      <c r="M919" t="s">
        <v>294</v>
      </c>
      <c r="N919" t="s">
        <v>295</v>
      </c>
    </row>
    <row r="920" spans="1:14" x14ac:dyDescent="0.2">
      <c r="A920">
        <v>919</v>
      </c>
      <c r="B920">
        <v>20</v>
      </c>
      <c r="C920">
        <v>14</v>
      </c>
      <c r="D920">
        <v>312300</v>
      </c>
      <c r="F920" t="s">
        <v>314</v>
      </c>
      <c r="H920" t="s">
        <v>315</v>
      </c>
      <c r="I920" t="s">
        <v>316</v>
      </c>
      <c r="J920">
        <v>2</v>
      </c>
      <c r="K920" t="s">
        <v>72</v>
      </c>
      <c r="L920" t="s">
        <v>57</v>
      </c>
      <c r="M920" t="s">
        <v>232</v>
      </c>
      <c r="N920" t="s">
        <v>233</v>
      </c>
    </row>
    <row r="921" spans="1:14" x14ac:dyDescent="0.2">
      <c r="A921">
        <v>920</v>
      </c>
      <c r="B921">
        <v>20</v>
      </c>
      <c r="C921">
        <v>15</v>
      </c>
      <c r="D921">
        <v>312300</v>
      </c>
      <c r="F921" t="s">
        <v>890</v>
      </c>
      <c r="H921" t="s">
        <v>891</v>
      </c>
      <c r="I921" t="s">
        <v>892</v>
      </c>
      <c r="J921">
        <v>1</v>
      </c>
      <c r="K921" t="s">
        <v>72</v>
      </c>
      <c r="L921" t="s">
        <v>57</v>
      </c>
      <c r="M921" t="s">
        <v>232</v>
      </c>
      <c r="N921" t="s">
        <v>233</v>
      </c>
    </row>
    <row r="922" spans="1:14" x14ac:dyDescent="0.2">
      <c r="A922">
        <v>921</v>
      </c>
      <c r="B922">
        <v>20</v>
      </c>
      <c r="C922">
        <v>16</v>
      </c>
      <c r="D922" t="s">
        <v>136</v>
      </c>
      <c r="F922" t="s">
        <v>389</v>
      </c>
      <c r="G922" t="s">
        <v>590</v>
      </c>
      <c r="H922" t="s">
        <v>810</v>
      </c>
      <c r="I922" t="s">
        <v>392</v>
      </c>
      <c r="J922">
        <v>70</v>
      </c>
      <c r="K922" t="s">
        <v>94</v>
      </c>
      <c r="L922" t="s">
        <v>37</v>
      </c>
      <c r="M922" t="s">
        <v>38</v>
      </c>
      <c r="N922" t="s">
        <v>140</v>
      </c>
    </row>
    <row r="923" spans="1:14" x14ac:dyDescent="0.2">
      <c r="A923">
        <v>922</v>
      </c>
      <c r="B923">
        <v>20</v>
      </c>
      <c r="C923">
        <v>17</v>
      </c>
      <c r="D923" t="s">
        <v>136</v>
      </c>
      <c r="F923" t="s">
        <v>141</v>
      </c>
      <c r="G923" t="s">
        <v>1670</v>
      </c>
      <c r="H923" t="s">
        <v>1671</v>
      </c>
      <c r="I923" t="s">
        <v>144</v>
      </c>
      <c r="J923">
        <v>2705</v>
      </c>
      <c r="K923" t="s">
        <v>94</v>
      </c>
      <c r="L923" t="s">
        <v>37</v>
      </c>
      <c r="M923" t="s">
        <v>38</v>
      </c>
      <c r="N923" t="s">
        <v>140</v>
      </c>
    </row>
    <row r="924" spans="1:14" x14ac:dyDescent="0.2">
      <c r="A924">
        <v>923</v>
      </c>
      <c r="B924">
        <v>20</v>
      </c>
      <c r="C924">
        <v>18</v>
      </c>
      <c r="D924" t="s">
        <v>136</v>
      </c>
      <c r="F924" t="s">
        <v>141</v>
      </c>
      <c r="G924" t="s">
        <v>1672</v>
      </c>
      <c r="H924" t="s">
        <v>1673</v>
      </c>
      <c r="I924" t="s">
        <v>144</v>
      </c>
      <c r="J924">
        <v>205</v>
      </c>
      <c r="K924" t="s">
        <v>94</v>
      </c>
      <c r="L924" t="s">
        <v>37</v>
      </c>
      <c r="M924" t="s">
        <v>38</v>
      </c>
      <c r="N924" t="s">
        <v>140</v>
      </c>
    </row>
    <row r="925" spans="1:14" x14ac:dyDescent="0.2">
      <c r="A925">
        <v>924</v>
      </c>
      <c r="B925">
        <v>20</v>
      </c>
      <c r="C925">
        <v>19</v>
      </c>
      <c r="D925" t="s">
        <v>136</v>
      </c>
      <c r="F925" t="s">
        <v>824</v>
      </c>
      <c r="H925" t="s">
        <v>825</v>
      </c>
      <c r="I925" t="s">
        <v>826</v>
      </c>
      <c r="J925">
        <v>1</v>
      </c>
      <c r="K925" t="s">
        <v>17</v>
      </c>
      <c r="L925" t="s">
        <v>37</v>
      </c>
      <c r="M925" t="s">
        <v>38</v>
      </c>
      <c r="N925" t="s">
        <v>140</v>
      </c>
    </row>
    <row r="926" spans="1:14" x14ac:dyDescent="0.2">
      <c r="A926">
        <v>925</v>
      </c>
      <c r="B926">
        <v>20</v>
      </c>
      <c r="C926">
        <v>20</v>
      </c>
      <c r="D926" t="s">
        <v>163</v>
      </c>
      <c r="F926" t="s">
        <v>592</v>
      </c>
      <c r="H926" t="s">
        <v>593</v>
      </c>
      <c r="I926" t="s">
        <v>594</v>
      </c>
      <c r="J926">
        <v>2700</v>
      </c>
      <c r="K926" t="s">
        <v>46</v>
      </c>
      <c r="L926" t="s">
        <v>37</v>
      </c>
      <c r="M926" t="s">
        <v>38</v>
      </c>
      <c r="N926" t="s">
        <v>140</v>
      </c>
    </row>
    <row r="927" spans="1:14" x14ac:dyDescent="0.2">
      <c r="A927">
        <v>926</v>
      </c>
      <c r="B927">
        <v>20</v>
      </c>
      <c r="C927">
        <v>21</v>
      </c>
      <c r="D927" t="s">
        <v>163</v>
      </c>
      <c r="F927" t="s">
        <v>164</v>
      </c>
      <c r="H927" t="s">
        <v>165</v>
      </c>
      <c r="I927" t="s">
        <v>166</v>
      </c>
      <c r="J927">
        <v>95</v>
      </c>
      <c r="K927" t="s">
        <v>46</v>
      </c>
      <c r="L927" t="s">
        <v>37</v>
      </c>
      <c r="M927" t="s">
        <v>38</v>
      </c>
      <c r="N927" t="s">
        <v>140</v>
      </c>
    </row>
    <row r="928" spans="1:14" x14ac:dyDescent="0.2">
      <c r="A928">
        <v>927</v>
      </c>
      <c r="B928">
        <v>20</v>
      </c>
      <c r="C928">
        <v>22</v>
      </c>
      <c r="D928" t="s">
        <v>163</v>
      </c>
      <c r="F928" t="s">
        <v>830</v>
      </c>
      <c r="H928" t="s">
        <v>955</v>
      </c>
      <c r="I928" t="s">
        <v>956</v>
      </c>
      <c r="J928">
        <v>2750</v>
      </c>
      <c r="K928" t="s">
        <v>94</v>
      </c>
      <c r="L928" t="s">
        <v>37</v>
      </c>
      <c r="M928" t="s">
        <v>38</v>
      </c>
      <c r="N928" t="s">
        <v>140</v>
      </c>
    </row>
    <row r="929" spans="1:14" x14ac:dyDescent="0.2">
      <c r="A929">
        <v>928</v>
      </c>
      <c r="B929">
        <v>20</v>
      </c>
      <c r="C929">
        <v>23</v>
      </c>
      <c r="D929" t="s">
        <v>179</v>
      </c>
      <c r="F929" t="s">
        <v>180</v>
      </c>
      <c r="H929" t="s">
        <v>181</v>
      </c>
      <c r="I929" t="s">
        <v>182</v>
      </c>
      <c r="J929">
        <v>115</v>
      </c>
      <c r="K929" t="s">
        <v>46</v>
      </c>
      <c r="L929" t="s">
        <v>37</v>
      </c>
      <c r="M929" t="s">
        <v>38</v>
      </c>
      <c r="N929" t="s">
        <v>140</v>
      </c>
    </row>
    <row r="930" spans="1:14" x14ac:dyDescent="0.2">
      <c r="A930">
        <v>929</v>
      </c>
      <c r="B930">
        <v>20</v>
      </c>
      <c r="C930">
        <v>24</v>
      </c>
      <c r="D930" t="s">
        <v>199</v>
      </c>
      <c r="F930" t="s">
        <v>200</v>
      </c>
      <c r="H930" t="s">
        <v>201</v>
      </c>
      <c r="I930" t="s">
        <v>202</v>
      </c>
      <c r="J930">
        <v>475</v>
      </c>
      <c r="K930" t="s">
        <v>46</v>
      </c>
      <c r="L930" t="s">
        <v>37</v>
      </c>
      <c r="M930" t="s">
        <v>38</v>
      </c>
      <c r="N930" t="s">
        <v>140</v>
      </c>
    </row>
    <row r="931" spans="1:14" x14ac:dyDescent="0.2">
      <c r="A931">
        <v>930</v>
      </c>
      <c r="B931">
        <v>20</v>
      </c>
      <c r="C931">
        <v>25</v>
      </c>
      <c r="D931" t="s">
        <v>157</v>
      </c>
      <c r="F931" t="s">
        <v>833</v>
      </c>
      <c r="H931" t="s">
        <v>834</v>
      </c>
      <c r="I931" t="s">
        <v>835</v>
      </c>
      <c r="J931">
        <v>85</v>
      </c>
      <c r="K931" t="s">
        <v>52</v>
      </c>
      <c r="L931" t="s">
        <v>37</v>
      </c>
      <c r="M931" t="s">
        <v>38</v>
      </c>
      <c r="N931" t="s">
        <v>140</v>
      </c>
    </row>
    <row r="932" spans="1:14" x14ac:dyDescent="0.2">
      <c r="A932">
        <v>931</v>
      </c>
      <c r="B932">
        <v>20</v>
      </c>
      <c r="C932">
        <v>26</v>
      </c>
      <c r="D932" t="s">
        <v>167</v>
      </c>
      <c r="F932" t="s">
        <v>960</v>
      </c>
      <c r="H932" t="s">
        <v>961</v>
      </c>
      <c r="I932" t="s">
        <v>962</v>
      </c>
      <c r="J932">
        <v>850</v>
      </c>
      <c r="K932" t="s">
        <v>52</v>
      </c>
      <c r="L932" t="s">
        <v>37</v>
      </c>
      <c r="M932" t="s">
        <v>38</v>
      </c>
      <c r="N932" t="s">
        <v>140</v>
      </c>
    </row>
    <row r="933" spans="1:14" x14ac:dyDescent="0.2">
      <c r="A933">
        <v>932</v>
      </c>
      <c r="B933">
        <v>20</v>
      </c>
      <c r="C933">
        <v>27</v>
      </c>
      <c r="D933" t="s">
        <v>419</v>
      </c>
      <c r="F933" t="e">
        <f>- Thick Concrete Pavement</f>
        <v>#NAME?</v>
      </c>
      <c r="G933" t="s">
        <v>963</v>
      </c>
      <c r="H933" t="s">
        <v>1674</v>
      </c>
      <c r="I933" t="s">
        <v>1675</v>
      </c>
      <c r="J933">
        <v>2550</v>
      </c>
      <c r="K933" t="s">
        <v>94</v>
      </c>
      <c r="L933" t="s">
        <v>37</v>
      </c>
      <c r="M933" t="s">
        <v>38</v>
      </c>
      <c r="N933" t="s">
        <v>140</v>
      </c>
    </row>
    <row r="934" spans="1:14" x14ac:dyDescent="0.2">
      <c r="A934">
        <v>933</v>
      </c>
      <c r="B934">
        <v>20</v>
      </c>
      <c r="C934">
        <v>28</v>
      </c>
      <c r="D934" t="s">
        <v>174</v>
      </c>
      <c r="F934" t="s">
        <v>845</v>
      </c>
      <c r="H934" t="s">
        <v>846</v>
      </c>
      <c r="I934" t="s">
        <v>847</v>
      </c>
      <c r="J934">
        <v>240</v>
      </c>
      <c r="K934" t="s">
        <v>178</v>
      </c>
      <c r="L934" t="s">
        <v>37</v>
      </c>
      <c r="M934" t="s">
        <v>38</v>
      </c>
      <c r="N934" t="s">
        <v>140</v>
      </c>
    </row>
    <row r="935" spans="1:14" x14ac:dyDescent="0.2">
      <c r="A935">
        <v>934</v>
      </c>
      <c r="B935">
        <v>20</v>
      </c>
      <c r="C935">
        <v>29</v>
      </c>
      <c r="D935" t="s">
        <v>427</v>
      </c>
      <c r="F935" t="s">
        <v>848</v>
      </c>
      <c r="H935" t="s">
        <v>849</v>
      </c>
      <c r="I935" t="s">
        <v>850</v>
      </c>
      <c r="J935">
        <v>1970</v>
      </c>
      <c r="K935" t="s">
        <v>36</v>
      </c>
      <c r="L935" t="s">
        <v>37</v>
      </c>
      <c r="M935" t="s">
        <v>38</v>
      </c>
      <c r="N935" t="s">
        <v>140</v>
      </c>
    </row>
    <row r="936" spans="1:14" x14ac:dyDescent="0.2">
      <c r="A936">
        <v>935</v>
      </c>
      <c r="B936">
        <v>20</v>
      </c>
      <c r="C936">
        <v>30</v>
      </c>
      <c r="D936" t="s">
        <v>183</v>
      </c>
      <c r="F936" t="s">
        <v>184</v>
      </c>
      <c r="H936" t="s">
        <v>185</v>
      </c>
      <c r="I936" t="s">
        <v>186</v>
      </c>
      <c r="J936">
        <v>13</v>
      </c>
      <c r="K936" t="s">
        <v>178</v>
      </c>
      <c r="L936" t="s">
        <v>37</v>
      </c>
      <c r="M936" t="s">
        <v>38</v>
      </c>
      <c r="N936" t="s">
        <v>140</v>
      </c>
    </row>
    <row r="937" spans="1:14" x14ac:dyDescent="0.2">
      <c r="A937">
        <v>936</v>
      </c>
      <c r="B937">
        <v>20</v>
      </c>
      <c r="C937">
        <v>31</v>
      </c>
      <c r="D937" t="s">
        <v>217</v>
      </c>
      <c r="F937" t="s">
        <v>965</v>
      </c>
      <c r="H937" t="s">
        <v>966</v>
      </c>
      <c r="I937" t="s">
        <v>967</v>
      </c>
      <c r="J937">
        <v>525</v>
      </c>
      <c r="K937" t="s">
        <v>87</v>
      </c>
      <c r="L937" t="s">
        <v>37</v>
      </c>
      <c r="M937" t="s">
        <v>38</v>
      </c>
      <c r="N937" t="s">
        <v>140</v>
      </c>
    </row>
    <row r="938" spans="1:14" x14ac:dyDescent="0.2">
      <c r="A938">
        <v>937</v>
      </c>
      <c r="B938">
        <v>20</v>
      </c>
      <c r="C938">
        <v>32</v>
      </c>
      <c r="D938" t="s">
        <v>217</v>
      </c>
      <c r="F938" t="s">
        <v>857</v>
      </c>
      <c r="H938" t="s">
        <v>858</v>
      </c>
      <c r="I938" t="s">
        <v>859</v>
      </c>
      <c r="J938">
        <v>140</v>
      </c>
      <c r="K938" t="s">
        <v>87</v>
      </c>
      <c r="L938" t="s">
        <v>37</v>
      </c>
      <c r="M938" t="s">
        <v>38</v>
      </c>
      <c r="N938" t="s">
        <v>140</v>
      </c>
    </row>
    <row r="939" spans="1:14" x14ac:dyDescent="0.2">
      <c r="A939">
        <v>938</v>
      </c>
      <c r="B939">
        <v>20</v>
      </c>
      <c r="C939">
        <v>33</v>
      </c>
      <c r="D939" t="s">
        <v>217</v>
      </c>
      <c r="F939" t="s">
        <v>860</v>
      </c>
      <c r="H939" t="s">
        <v>861</v>
      </c>
      <c r="I939" t="s">
        <v>862</v>
      </c>
      <c r="J939">
        <v>860</v>
      </c>
      <c r="K939" t="s">
        <v>87</v>
      </c>
      <c r="L939" t="s">
        <v>37</v>
      </c>
      <c r="M939" t="s">
        <v>38</v>
      </c>
      <c r="N939" t="s">
        <v>140</v>
      </c>
    </row>
    <row r="940" spans="1:14" x14ac:dyDescent="0.2">
      <c r="A940">
        <v>939</v>
      </c>
      <c r="B940">
        <v>20</v>
      </c>
      <c r="C940">
        <v>34</v>
      </c>
      <c r="D940" t="s">
        <v>217</v>
      </c>
      <c r="F940" t="s">
        <v>221</v>
      </c>
      <c r="H940" t="s">
        <v>222</v>
      </c>
      <c r="I940" t="s">
        <v>223</v>
      </c>
      <c r="J940">
        <v>20</v>
      </c>
      <c r="K940" t="s">
        <v>216</v>
      </c>
      <c r="L940" t="s">
        <v>37</v>
      </c>
      <c r="M940" t="s">
        <v>38</v>
      </c>
      <c r="N940" t="s">
        <v>140</v>
      </c>
    </row>
    <row r="941" spans="1:14" x14ac:dyDescent="0.2">
      <c r="A941">
        <v>940</v>
      </c>
      <c r="B941">
        <v>20</v>
      </c>
      <c r="C941">
        <v>35</v>
      </c>
      <c r="D941" t="s">
        <v>227</v>
      </c>
      <c r="F941" t="s">
        <v>869</v>
      </c>
      <c r="G941" t="s">
        <v>229</v>
      </c>
      <c r="H941" t="s">
        <v>875</v>
      </c>
      <c r="I941" t="s">
        <v>871</v>
      </c>
      <c r="J941">
        <v>20</v>
      </c>
      <c r="K941" t="s">
        <v>36</v>
      </c>
      <c r="L941" t="s">
        <v>57</v>
      </c>
      <c r="M941" t="s">
        <v>232</v>
      </c>
      <c r="N941" t="s">
        <v>233</v>
      </c>
    </row>
    <row r="942" spans="1:14" x14ac:dyDescent="0.2">
      <c r="A942">
        <v>941</v>
      </c>
      <c r="B942">
        <v>20</v>
      </c>
      <c r="C942">
        <v>36</v>
      </c>
      <c r="D942" t="s">
        <v>263</v>
      </c>
      <c r="F942" t="s">
        <v>980</v>
      </c>
      <c r="H942" t="s">
        <v>981</v>
      </c>
      <c r="I942" t="s">
        <v>982</v>
      </c>
      <c r="J942">
        <v>130</v>
      </c>
      <c r="K942" t="s">
        <v>36</v>
      </c>
      <c r="L942" t="s">
        <v>57</v>
      </c>
      <c r="M942" t="s">
        <v>232</v>
      </c>
      <c r="N942" t="s">
        <v>233</v>
      </c>
    </row>
    <row r="943" spans="1:14" x14ac:dyDescent="0.2">
      <c r="A943">
        <v>942</v>
      </c>
      <c r="B943">
        <v>21</v>
      </c>
      <c r="C943">
        <v>1</v>
      </c>
      <c r="D943">
        <v>12200</v>
      </c>
      <c r="F943" t="s">
        <v>109</v>
      </c>
      <c r="H943" t="s">
        <v>110</v>
      </c>
      <c r="I943" t="s">
        <v>111</v>
      </c>
      <c r="J943">
        <v>1</v>
      </c>
      <c r="K943" t="s">
        <v>17</v>
      </c>
      <c r="L943" t="s">
        <v>18</v>
      </c>
      <c r="M943" t="s">
        <v>19</v>
      </c>
      <c r="N943" t="s">
        <v>108</v>
      </c>
    </row>
    <row r="944" spans="1:14" x14ac:dyDescent="0.2">
      <c r="A944">
        <v>943</v>
      </c>
      <c r="B944">
        <v>21</v>
      </c>
      <c r="C944">
        <v>2</v>
      </c>
      <c r="D944">
        <v>12200</v>
      </c>
      <c r="F944" t="s">
        <v>112</v>
      </c>
      <c r="H944" t="s">
        <v>113</v>
      </c>
      <c r="I944" t="s">
        <v>114</v>
      </c>
      <c r="J944">
        <v>1</v>
      </c>
      <c r="K944" t="s">
        <v>17</v>
      </c>
      <c r="L944" t="s">
        <v>18</v>
      </c>
      <c r="M944" t="s">
        <v>19</v>
      </c>
      <c r="N944" t="s">
        <v>108</v>
      </c>
    </row>
    <row r="945" spans="1:14" x14ac:dyDescent="0.2">
      <c r="A945">
        <v>944</v>
      </c>
      <c r="B945">
        <v>21</v>
      </c>
      <c r="C945">
        <v>3</v>
      </c>
      <c r="D945">
        <v>12200</v>
      </c>
      <c r="F945" t="s">
        <v>115</v>
      </c>
      <c r="H945" t="s">
        <v>116</v>
      </c>
      <c r="I945" t="s">
        <v>117</v>
      </c>
      <c r="J945">
        <v>1</v>
      </c>
      <c r="K945" t="s">
        <v>17</v>
      </c>
      <c r="L945" t="s">
        <v>18</v>
      </c>
      <c r="M945" t="s">
        <v>19</v>
      </c>
      <c r="N945" t="s">
        <v>108</v>
      </c>
    </row>
    <row r="946" spans="1:14" x14ac:dyDescent="0.2">
      <c r="A946">
        <v>945</v>
      </c>
      <c r="B946">
        <v>21</v>
      </c>
      <c r="C946">
        <v>4</v>
      </c>
      <c r="D946">
        <v>12200</v>
      </c>
      <c r="F946" t="s">
        <v>118</v>
      </c>
      <c r="H946" t="s">
        <v>119</v>
      </c>
      <c r="I946" t="s">
        <v>120</v>
      </c>
      <c r="J946">
        <v>1</v>
      </c>
      <c r="K946" t="s">
        <v>17</v>
      </c>
      <c r="L946" t="s">
        <v>18</v>
      </c>
      <c r="M946" t="s">
        <v>19</v>
      </c>
      <c r="N946" t="s">
        <v>108</v>
      </c>
    </row>
    <row r="947" spans="1:14" x14ac:dyDescent="0.2">
      <c r="A947">
        <v>946</v>
      </c>
      <c r="B947">
        <v>21</v>
      </c>
      <c r="C947">
        <v>5</v>
      </c>
      <c r="D947">
        <v>15713</v>
      </c>
      <c r="F947" t="s">
        <v>127</v>
      </c>
      <c r="H947" t="s">
        <v>128</v>
      </c>
      <c r="I947" t="s">
        <v>129</v>
      </c>
      <c r="J947">
        <v>44</v>
      </c>
      <c r="K947" t="s">
        <v>72</v>
      </c>
      <c r="L947" t="s">
        <v>18</v>
      </c>
      <c r="M947" t="s">
        <v>19</v>
      </c>
      <c r="N947" t="s">
        <v>108</v>
      </c>
    </row>
    <row r="948" spans="1:14" x14ac:dyDescent="0.2">
      <c r="A948">
        <v>947</v>
      </c>
      <c r="B948">
        <v>21</v>
      </c>
      <c r="C948">
        <v>5</v>
      </c>
      <c r="D948">
        <v>15713</v>
      </c>
      <c r="F948" t="s">
        <v>127</v>
      </c>
      <c r="H948" t="s">
        <v>128</v>
      </c>
      <c r="I948" t="s">
        <v>129</v>
      </c>
      <c r="J948">
        <v>23</v>
      </c>
      <c r="K948" t="s">
        <v>72</v>
      </c>
      <c r="L948" t="s">
        <v>18</v>
      </c>
      <c r="M948" t="s">
        <v>19</v>
      </c>
      <c r="N948" t="s">
        <v>108</v>
      </c>
    </row>
    <row r="949" spans="1:14" x14ac:dyDescent="0.2">
      <c r="A949">
        <v>948</v>
      </c>
      <c r="B949">
        <v>21</v>
      </c>
      <c r="C949">
        <v>6</v>
      </c>
      <c r="D949" t="s">
        <v>806</v>
      </c>
      <c r="F949" t="s">
        <v>807</v>
      </c>
      <c r="H949" t="s">
        <v>808</v>
      </c>
      <c r="I949" t="s">
        <v>809</v>
      </c>
      <c r="J949">
        <v>1</v>
      </c>
      <c r="K949" t="s">
        <v>17</v>
      </c>
      <c r="L949" t="s">
        <v>18</v>
      </c>
      <c r="M949" t="s">
        <v>19</v>
      </c>
      <c r="N949" t="s">
        <v>108</v>
      </c>
    </row>
    <row r="950" spans="1:14" x14ac:dyDescent="0.2">
      <c r="A950">
        <v>949</v>
      </c>
      <c r="B950">
        <v>21</v>
      </c>
      <c r="C950">
        <v>7</v>
      </c>
      <c r="D950" t="s">
        <v>136</v>
      </c>
      <c r="F950" t="s">
        <v>141</v>
      </c>
      <c r="G950" t="s">
        <v>582</v>
      </c>
      <c r="H950" t="s">
        <v>886</v>
      </c>
      <c r="I950" t="s">
        <v>144</v>
      </c>
      <c r="J950">
        <v>15000</v>
      </c>
      <c r="K950" t="s">
        <v>94</v>
      </c>
      <c r="L950" t="s">
        <v>37</v>
      </c>
      <c r="M950" t="s">
        <v>38</v>
      </c>
      <c r="N950" t="s">
        <v>140</v>
      </c>
    </row>
    <row r="951" spans="1:14" x14ac:dyDescent="0.2">
      <c r="A951">
        <v>950</v>
      </c>
      <c r="B951">
        <v>21</v>
      </c>
      <c r="C951">
        <v>7</v>
      </c>
      <c r="D951" t="s">
        <v>136</v>
      </c>
      <c r="F951" t="s">
        <v>145</v>
      </c>
      <c r="G951" t="s">
        <v>1676</v>
      </c>
      <c r="H951" t="s">
        <v>1677</v>
      </c>
      <c r="I951" t="s">
        <v>148</v>
      </c>
      <c r="J951">
        <v>17700</v>
      </c>
      <c r="K951" t="s">
        <v>94</v>
      </c>
      <c r="L951" t="s">
        <v>37</v>
      </c>
      <c r="M951" t="s">
        <v>38</v>
      </c>
      <c r="N951" t="s">
        <v>140</v>
      </c>
    </row>
    <row r="952" spans="1:14" x14ac:dyDescent="0.2">
      <c r="A952">
        <v>951</v>
      </c>
      <c r="B952">
        <v>21</v>
      </c>
      <c r="C952">
        <v>8</v>
      </c>
      <c r="D952" t="s">
        <v>136</v>
      </c>
      <c r="F952" t="s">
        <v>145</v>
      </c>
      <c r="G952" t="s">
        <v>1676</v>
      </c>
      <c r="H952" t="s">
        <v>1677</v>
      </c>
      <c r="I952" t="s">
        <v>148</v>
      </c>
      <c r="J952">
        <v>74000</v>
      </c>
      <c r="K952" t="s">
        <v>94</v>
      </c>
      <c r="L952" t="s">
        <v>37</v>
      </c>
      <c r="M952" t="s">
        <v>38</v>
      </c>
      <c r="N952" t="s">
        <v>140</v>
      </c>
    </row>
    <row r="953" spans="1:14" x14ac:dyDescent="0.2">
      <c r="A953">
        <v>952</v>
      </c>
      <c r="B953">
        <v>21</v>
      </c>
      <c r="C953">
        <v>8</v>
      </c>
      <c r="D953" t="s">
        <v>157</v>
      </c>
      <c r="F953" t="s">
        <v>833</v>
      </c>
      <c r="H953" t="s">
        <v>834</v>
      </c>
      <c r="I953" t="s">
        <v>835</v>
      </c>
      <c r="J953">
        <v>3000</v>
      </c>
      <c r="K953" t="s">
        <v>52</v>
      </c>
      <c r="L953" t="s">
        <v>37</v>
      </c>
      <c r="M953" t="s">
        <v>38</v>
      </c>
      <c r="N953" t="s">
        <v>140</v>
      </c>
    </row>
    <row r="954" spans="1:14" x14ac:dyDescent="0.2">
      <c r="A954">
        <v>953</v>
      </c>
      <c r="B954">
        <v>21</v>
      </c>
      <c r="C954">
        <v>9</v>
      </c>
      <c r="D954" t="s">
        <v>136</v>
      </c>
      <c r="F954" t="s">
        <v>824</v>
      </c>
      <c r="H954" t="s">
        <v>825</v>
      </c>
      <c r="I954" t="s">
        <v>826</v>
      </c>
      <c r="J954">
        <v>1</v>
      </c>
      <c r="K954" t="s">
        <v>17</v>
      </c>
      <c r="L954" t="s">
        <v>37</v>
      </c>
      <c r="M954" t="s">
        <v>38</v>
      </c>
      <c r="N954" t="s">
        <v>140</v>
      </c>
    </row>
    <row r="955" spans="1:14" x14ac:dyDescent="0.2">
      <c r="A955">
        <v>954</v>
      </c>
      <c r="B955">
        <v>21</v>
      </c>
      <c r="C955">
        <v>9</v>
      </c>
      <c r="D955" t="s">
        <v>174</v>
      </c>
      <c r="F955" t="s">
        <v>845</v>
      </c>
      <c r="H955" t="s">
        <v>846</v>
      </c>
      <c r="I955" t="s">
        <v>847</v>
      </c>
      <c r="J955">
        <v>200</v>
      </c>
      <c r="K955" t="s">
        <v>178</v>
      </c>
      <c r="L955" t="s">
        <v>37</v>
      </c>
      <c r="M955" t="s">
        <v>38</v>
      </c>
      <c r="N955" t="s">
        <v>140</v>
      </c>
    </row>
    <row r="956" spans="1:14" x14ac:dyDescent="0.2">
      <c r="A956">
        <v>955</v>
      </c>
      <c r="B956">
        <v>21</v>
      </c>
      <c r="C956">
        <v>10</v>
      </c>
      <c r="D956" t="s">
        <v>163</v>
      </c>
      <c r="F956" t="s">
        <v>592</v>
      </c>
      <c r="H956" t="s">
        <v>593</v>
      </c>
      <c r="I956" t="s">
        <v>594</v>
      </c>
      <c r="J956">
        <v>4900</v>
      </c>
      <c r="K956" t="s">
        <v>46</v>
      </c>
      <c r="L956" t="s">
        <v>37</v>
      </c>
      <c r="M956" t="s">
        <v>38</v>
      </c>
      <c r="N956" t="s">
        <v>140</v>
      </c>
    </row>
    <row r="957" spans="1:14" x14ac:dyDescent="0.2">
      <c r="A957">
        <v>956</v>
      </c>
      <c r="B957">
        <v>21</v>
      </c>
      <c r="C957">
        <v>10</v>
      </c>
      <c r="D957" t="s">
        <v>183</v>
      </c>
      <c r="F957" t="s">
        <v>184</v>
      </c>
      <c r="H957" t="s">
        <v>185</v>
      </c>
      <c r="I957" t="s">
        <v>186</v>
      </c>
      <c r="J957">
        <v>24</v>
      </c>
      <c r="K957" t="s">
        <v>178</v>
      </c>
      <c r="L957" t="s">
        <v>37</v>
      </c>
      <c r="M957" t="s">
        <v>38</v>
      </c>
      <c r="N957" t="s">
        <v>140</v>
      </c>
    </row>
    <row r="958" spans="1:14" x14ac:dyDescent="0.2">
      <c r="A958">
        <v>957</v>
      </c>
      <c r="B958">
        <v>21</v>
      </c>
      <c r="C958">
        <v>11</v>
      </c>
      <c r="D958" t="s">
        <v>163</v>
      </c>
      <c r="F958" t="s">
        <v>1120</v>
      </c>
      <c r="H958" t="s">
        <v>1678</v>
      </c>
      <c r="I958" t="s">
        <v>1122</v>
      </c>
      <c r="J958">
        <v>500</v>
      </c>
      <c r="K958" t="s">
        <v>46</v>
      </c>
      <c r="L958" t="s">
        <v>37</v>
      </c>
      <c r="M958" t="s">
        <v>38</v>
      </c>
      <c r="N958" t="s">
        <v>140</v>
      </c>
    </row>
    <row r="959" spans="1:14" x14ac:dyDescent="0.2">
      <c r="A959">
        <v>958</v>
      </c>
      <c r="B959">
        <v>21</v>
      </c>
      <c r="C959">
        <v>11</v>
      </c>
      <c r="D959" t="s">
        <v>191</v>
      </c>
      <c r="F959" t="s">
        <v>192</v>
      </c>
      <c r="H959" t="s">
        <v>193</v>
      </c>
      <c r="I959" t="s">
        <v>194</v>
      </c>
      <c r="J959">
        <v>41</v>
      </c>
      <c r="K959" t="s">
        <v>178</v>
      </c>
      <c r="L959" t="s">
        <v>37</v>
      </c>
      <c r="M959" t="s">
        <v>38</v>
      </c>
      <c r="N959" t="s">
        <v>140</v>
      </c>
    </row>
    <row r="960" spans="1:14" x14ac:dyDescent="0.2">
      <c r="A960">
        <v>959</v>
      </c>
      <c r="B960">
        <v>21</v>
      </c>
      <c r="C960">
        <v>12</v>
      </c>
      <c r="D960" t="s">
        <v>179</v>
      </c>
      <c r="F960" t="s">
        <v>180</v>
      </c>
      <c r="H960" t="s">
        <v>181</v>
      </c>
      <c r="I960" t="s">
        <v>182</v>
      </c>
      <c r="J960">
        <v>226</v>
      </c>
      <c r="K960" t="s">
        <v>46</v>
      </c>
      <c r="L960" t="s">
        <v>37</v>
      </c>
      <c r="M960" t="s">
        <v>38</v>
      </c>
      <c r="N960" t="s">
        <v>140</v>
      </c>
    </row>
    <row r="961" spans="1:14" x14ac:dyDescent="0.2">
      <c r="A961">
        <v>960</v>
      </c>
      <c r="B961">
        <v>21</v>
      </c>
      <c r="C961">
        <v>12</v>
      </c>
      <c r="D961" t="s">
        <v>217</v>
      </c>
      <c r="F961" t="s">
        <v>1679</v>
      </c>
      <c r="H961" t="s">
        <v>1680</v>
      </c>
      <c r="I961" t="s">
        <v>1681</v>
      </c>
      <c r="J961">
        <v>14600</v>
      </c>
      <c r="K961" t="s">
        <v>87</v>
      </c>
      <c r="L961" t="s">
        <v>37</v>
      </c>
      <c r="M961" t="s">
        <v>38</v>
      </c>
      <c r="N961" t="s">
        <v>140</v>
      </c>
    </row>
    <row r="962" spans="1:14" x14ac:dyDescent="0.2">
      <c r="A962">
        <v>961</v>
      </c>
      <c r="B962">
        <v>21</v>
      </c>
      <c r="C962">
        <v>13</v>
      </c>
      <c r="D962" t="s">
        <v>199</v>
      </c>
      <c r="F962" t="s">
        <v>200</v>
      </c>
      <c r="H962" t="s">
        <v>201</v>
      </c>
      <c r="I962" t="s">
        <v>202</v>
      </c>
      <c r="J962">
        <v>4500</v>
      </c>
      <c r="K962" t="s">
        <v>46</v>
      </c>
      <c r="L962" t="s">
        <v>37</v>
      </c>
      <c r="M962" t="s">
        <v>38</v>
      </c>
      <c r="N962" t="s">
        <v>140</v>
      </c>
    </row>
    <row r="963" spans="1:14" x14ac:dyDescent="0.2">
      <c r="A963">
        <v>962</v>
      </c>
      <c r="B963">
        <v>21</v>
      </c>
      <c r="C963">
        <v>13</v>
      </c>
      <c r="D963" t="s">
        <v>217</v>
      </c>
      <c r="F963" t="s">
        <v>860</v>
      </c>
      <c r="H963" t="s">
        <v>861</v>
      </c>
      <c r="I963" t="s">
        <v>862</v>
      </c>
      <c r="J963">
        <v>23200</v>
      </c>
      <c r="K963" t="s">
        <v>87</v>
      </c>
      <c r="L963" t="s">
        <v>37</v>
      </c>
      <c r="M963" t="s">
        <v>38</v>
      </c>
      <c r="N963" t="s">
        <v>140</v>
      </c>
    </row>
    <row r="964" spans="1:14" x14ac:dyDescent="0.2">
      <c r="A964">
        <v>963</v>
      </c>
      <c r="B964">
        <v>21</v>
      </c>
      <c r="C964">
        <v>14</v>
      </c>
      <c r="D964" t="s">
        <v>199</v>
      </c>
      <c r="F964" t="s">
        <v>830</v>
      </c>
      <c r="H964" t="s">
        <v>1682</v>
      </c>
      <c r="I964" t="s">
        <v>1683</v>
      </c>
      <c r="J964">
        <v>15000</v>
      </c>
      <c r="K964" t="s">
        <v>94</v>
      </c>
      <c r="L964" t="s">
        <v>37</v>
      </c>
      <c r="M964" t="s">
        <v>38</v>
      </c>
      <c r="N964" t="s">
        <v>140</v>
      </c>
    </row>
    <row r="965" spans="1:14" x14ac:dyDescent="0.2">
      <c r="A965">
        <v>964</v>
      </c>
      <c r="B965">
        <v>21</v>
      </c>
      <c r="C965">
        <v>14</v>
      </c>
      <c r="D965" t="s">
        <v>217</v>
      </c>
      <c r="F965" t="s">
        <v>221</v>
      </c>
      <c r="H965" t="s">
        <v>222</v>
      </c>
      <c r="I965" t="s">
        <v>223</v>
      </c>
      <c r="J965">
        <v>725</v>
      </c>
      <c r="K965" t="s">
        <v>216</v>
      </c>
      <c r="L965" t="s">
        <v>37</v>
      </c>
      <c r="M965" t="s">
        <v>38</v>
      </c>
      <c r="N965" t="s">
        <v>140</v>
      </c>
    </row>
    <row r="966" spans="1:14" x14ac:dyDescent="0.2">
      <c r="A966">
        <v>965</v>
      </c>
      <c r="B966">
        <v>21</v>
      </c>
      <c r="C966">
        <v>15</v>
      </c>
      <c r="D966" t="s">
        <v>157</v>
      </c>
      <c r="F966" t="s">
        <v>833</v>
      </c>
      <c r="H966" t="s">
        <v>834</v>
      </c>
      <c r="I966" t="s">
        <v>835</v>
      </c>
      <c r="J966">
        <v>17100</v>
      </c>
      <c r="K966" t="s">
        <v>52</v>
      </c>
      <c r="L966" t="s">
        <v>37</v>
      </c>
      <c r="M966" t="s">
        <v>38</v>
      </c>
      <c r="N966" t="s">
        <v>140</v>
      </c>
    </row>
    <row r="967" spans="1:14" x14ac:dyDescent="0.2">
      <c r="A967">
        <v>966</v>
      </c>
      <c r="B967">
        <v>21</v>
      </c>
      <c r="C967">
        <v>15</v>
      </c>
      <c r="D967" t="s">
        <v>217</v>
      </c>
      <c r="F967" t="s">
        <v>866</v>
      </c>
      <c r="H967" t="s">
        <v>867</v>
      </c>
      <c r="I967" t="s">
        <v>868</v>
      </c>
      <c r="J967">
        <v>15800</v>
      </c>
      <c r="K967" t="s">
        <v>87</v>
      </c>
      <c r="L967" t="s">
        <v>37</v>
      </c>
      <c r="M967" t="s">
        <v>38</v>
      </c>
      <c r="N967" t="s">
        <v>140</v>
      </c>
    </row>
    <row r="968" spans="1:14" x14ac:dyDescent="0.2">
      <c r="A968">
        <v>967</v>
      </c>
      <c r="B968">
        <v>21</v>
      </c>
      <c r="C968">
        <v>16</v>
      </c>
      <c r="D968">
        <v>26100</v>
      </c>
      <c r="F968" t="s">
        <v>285</v>
      </c>
      <c r="H968" t="s">
        <v>286</v>
      </c>
      <c r="I968" t="s">
        <v>287</v>
      </c>
      <c r="J968">
        <v>300</v>
      </c>
      <c r="K968" t="s">
        <v>52</v>
      </c>
      <c r="L968" t="s">
        <v>30</v>
      </c>
      <c r="M968" t="s">
        <v>30</v>
      </c>
      <c r="N968" t="s">
        <v>288</v>
      </c>
    </row>
    <row r="969" spans="1:14" x14ac:dyDescent="0.2">
      <c r="A969">
        <v>968</v>
      </c>
      <c r="B969">
        <v>21</v>
      </c>
      <c r="C969">
        <v>16</v>
      </c>
      <c r="D969" t="s">
        <v>167</v>
      </c>
      <c r="F969" t="s">
        <v>1684</v>
      </c>
      <c r="H969" t="s">
        <v>1685</v>
      </c>
      <c r="I969" t="s">
        <v>1686</v>
      </c>
      <c r="J969">
        <v>11500</v>
      </c>
      <c r="K969" t="s">
        <v>52</v>
      </c>
      <c r="L969" t="s">
        <v>37</v>
      </c>
      <c r="M969" t="s">
        <v>38</v>
      </c>
      <c r="N969" t="s">
        <v>140</v>
      </c>
    </row>
    <row r="970" spans="1:14" x14ac:dyDescent="0.2">
      <c r="A970">
        <v>969</v>
      </c>
      <c r="B970">
        <v>21</v>
      </c>
      <c r="C970">
        <v>17</v>
      </c>
      <c r="D970">
        <v>260500</v>
      </c>
      <c r="F970" t="s">
        <v>291</v>
      </c>
      <c r="H970" t="s">
        <v>292</v>
      </c>
      <c r="I970" t="s">
        <v>293</v>
      </c>
      <c r="J970">
        <v>1</v>
      </c>
      <c r="K970" t="s">
        <v>17</v>
      </c>
      <c r="L970" t="s">
        <v>244</v>
      </c>
      <c r="M970" t="s">
        <v>294</v>
      </c>
      <c r="N970" t="s">
        <v>295</v>
      </c>
    </row>
    <row r="971" spans="1:14" x14ac:dyDescent="0.2">
      <c r="A971">
        <v>970</v>
      </c>
      <c r="B971">
        <v>21</v>
      </c>
      <c r="C971">
        <v>17</v>
      </c>
      <c r="D971" t="s">
        <v>174</v>
      </c>
      <c r="F971" t="s">
        <v>845</v>
      </c>
      <c r="H971" t="s">
        <v>846</v>
      </c>
      <c r="I971" t="s">
        <v>847</v>
      </c>
      <c r="J971">
        <v>4300</v>
      </c>
      <c r="K971" t="s">
        <v>178</v>
      </c>
      <c r="L971" t="s">
        <v>37</v>
      </c>
      <c r="M971" t="s">
        <v>38</v>
      </c>
      <c r="N971" t="s">
        <v>140</v>
      </c>
    </row>
    <row r="972" spans="1:14" x14ac:dyDescent="0.2">
      <c r="A972">
        <v>971</v>
      </c>
      <c r="B972">
        <v>21</v>
      </c>
      <c r="C972">
        <v>18</v>
      </c>
      <c r="D972">
        <v>260500</v>
      </c>
      <c r="F972" t="s">
        <v>299</v>
      </c>
      <c r="H972" t="s">
        <v>300</v>
      </c>
      <c r="I972" t="s">
        <v>301</v>
      </c>
      <c r="J972">
        <v>1</v>
      </c>
      <c r="K972" t="s">
        <v>17</v>
      </c>
      <c r="L972" t="s">
        <v>244</v>
      </c>
      <c r="M972" t="s">
        <v>294</v>
      </c>
      <c r="N972" t="s">
        <v>295</v>
      </c>
    </row>
    <row r="973" spans="1:14" x14ac:dyDescent="0.2">
      <c r="A973">
        <v>972</v>
      </c>
      <c r="B973">
        <v>21</v>
      </c>
      <c r="C973">
        <v>18</v>
      </c>
      <c r="D973" t="s">
        <v>183</v>
      </c>
      <c r="F973" t="s">
        <v>184</v>
      </c>
      <c r="H973" t="s">
        <v>185</v>
      </c>
      <c r="I973" t="s">
        <v>186</v>
      </c>
      <c r="J973">
        <v>79</v>
      </c>
      <c r="K973" t="s">
        <v>178</v>
      </c>
      <c r="L973" t="s">
        <v>37</v>
      </c>
      <c r="M973" t="s">
        <v>38</v>
      </c>
      <c r="N973" t="s">
        <v>140</v>
      </c>
    </row>
    <row r="974" spans="1:14" x14ac:dyDescent="0.2">
      <c r="A974">
        <v>973</v>
      </c>
      <c r="B974">
        <v>21</v>
      </c>
      <c r="C974">
        <v>19</v>
      </c>
      <c r="D974">
        <v>344300</v>
      </c>
      <c r="F974" t="s">
        <v>1687</v>
      </c>
      <c r="H974" t="s">
        <v>1688</v>
      </c>
      <c r="I974" t="s">
        <v>1689</v>
      </c>
      <c r="J974">
        <v>2</v>
      </c>
      <c r="K974" t="s">
        <v>72</v>
      </c>
      <c r="L974" t="s">
        <v>244</v>
      </c>
      <c r="M974" t="s">
        <v>245</v>
      </c>
      <c r="N974" t="s">
        <v>246</v>
      </c>
    </row>
    <row r="975" spans="1:14" x14ac:dyDescent="0.2">
      <c r="A975">
        <v>974</v>
      </c>
      <c r="B975">
        <v>21</v>
      </c>
      <c r="C975">
        <v>19</v>
      </c>
      <c r="D975" t="s">
        <v>191</v>
      </c>
      <c r="F975" t="s">
        <v>192</v>
      </c>
      <c r="H975" t="s">
        <v>193</v>
      </c>
      <c r="I975" t="s">
        <v>194</v>
      </c>
      <c r="J975">
        <v>160</v>
      </c>
      <c r="K975" t="s">
        <v>178</v>
      </c>
      <c r="L975" t="s">
        <v>37</v>
      </c>
      <c r="M975" t="s">
        <v>38</v>
      </c>
      <c r="N975" t="s">
        <v>140</v>
      </c>
    </row>
    <row r="976" spans="1:14" x14ac:dyDescent="0.2">
      <c r="A976">
        <v>975</v>
      </c>
      <c r="B976">
        <v>21</v>
      </c>
      <c r="C976">
        <v>20</v>
      </c>
      <c r="D976">
        <v>344300</v>
      </c>
      <c r="F976" t="s">
        <v>1690</v>
      </c>
      <c r="H976" t="s">
        <v>1691</v>
      </c>
      <c r="I976" t="s">
        <v>1692</v>
      </c>
      <c r="J976">
        <v>5</v>
      </c>
      <c r="K976" t="s">
        <v>72</v>
      </c>
      <c r="L976" t="s">
        <v>244</v>
      </c>
      <c r="M976" t="s">
        <v>245</v>
      </c>
      <c r="N976" t="s">
        <v>246</v>
      </c>
    </row>
    <row r="977" spans="1:14" x14ac:dyDescent="0.2">
      <c r="A977">
        <v>976</v>
      </c>
      <c r="B977">
        <v>21</v>
      </c>
      <c r="C977">
        <v>20</v>
      </c>
      <c r="D977" t="s">
        <v>209</v>
      </c>
      <c r="F977" t="s">
        <v>863</v>
      </c>
      <c r="H977" t="s">
        <v>864</v>
      </c>
      <c r="I977" t="s">
        <v>865</v>
      </c>
      <c r="J977">
        <v>55</v>
      </c>
      <c r="K977" t="s">
        <v>46</v>
      </c>
      <c r="L977" t="s">
        <v>37</v>
      </c>
      <c r="M977" t="s">
        <v>38</v>
      </c>
      <c r="N977" t="s">
        <v>140</v>
      </c>
    </row>
    <row r="978" spans="1:14" x14ac:dyDescent="0.2">
      <c r="A978">
        <v>977</v>
      </c>
      <c r="B978">
        <v>21</v>
      </c>
      <c r="C978">
        <v>21</v>
      </c>
      <c r="D978">
        <v>344301</v>
      </c>
      <c r="F978" t="s">
        <v>1693</v>
      </c>
      <c r="H978" t="s">
        <v>1694</v>
      </c>
      <c r="I978" t="s">
        <v>1695</v>
      </c>
      <c r="J978">
        <v>77</v>
      </c>
      <c r="K978" t="s">
        <v>72</v>
      </c>
      <c r="L978" t="s">
        <v>244</v>
      </c>
      <c r="M978" t="s">
        <v>245</v>
      </c>
      <c r="N978" t="s">
        <v>246</v>
      </c>
    </row>
    <row r="979" spans="1:14" x14ac:dyDescent="0.2">
      <c r="A979">
        <v>978</v>
      </c>
      <c r="B979">
        <v>21</v>
      </c>
      <c r="C979">
        <v>21</v>
      </c>
      <c r="D979" t="s">
        <v>217</v>
      </c>
      <c r="F979" t="s">
        <v>1696</v>
      </c>
      <c r="H979" t="s">
        <v>1697</v>
      </c>
      <c r="I979" t="s">
        <v>1698</v>
      </c>
      <c r="J979">
        <v>7800</v>
      </c>
      <c r="K979" t="s">
        <v>87</v>
      </c>
      <c r="L979" t="s">
        <v>37</v>
      </c>
      <c r="M979" t="s">
        <v>38</v>
      </c>
      <c r="N979" t="s">
        <v>140</v>
      </c>
    </row>
    <row r="980" spans="1:14" x14ac:dyDescent="0.2">
      <c r="A980">
        <v>979</v>
      </c>
      <c r="B980">
        <v>21</v>
      </c>
      <c r="C980">
        <v>22</v>
      </c>
      <c r="D980" t="s">
        <v>217</v>
      </c>
      <c r="F980" t="s">
        <v>857</v>
      </c>
      <c r="H980" t="s">
        <v>858</v>
      </c>
      <c r="I980" t="s">
        <v>859</v>
      </c>
      <c r="J980">
        <v>62300</v>
      </c>
      <c r="K980" t="s">
        <v>87</v>
      </c>
      <c r="L980" t="s">
        <v>37</v>
      </c>
      <c r="M980" t="s">
        <v>38</v>
      </c>
      <c r="N980" t="s">
        <v>140</v>
      </c>
    </row>
    <row r="981" spans="1:14" x14ac:dyDescent="0.2">
      <c r="A981">
        <v>980</v>
      </c>
      <c r="B981">
        <v>21</v>
      </c>
      <c r="C981">
        <v>23</v>
      </c>
      <c r="D981" t="s">
        <v>217</v>
      </c>
      <c r="F981" t="s">
        <v>860</v>
      </c>
      <c r="H981" t="s">
        <v>861</v>
      </c>
      <c r="I981" t="s">
        <v>862</v>
      </c>
      <c r="J981">
        <v>105800</v>
      </c>
      <c r="K981" t="s">
        <v>87</v>
      </c>
      <c r="L981" t="s">
        <v>37</v>
      </c>
      <c r="M981" t="s">
        <v>38</v>
      </c>
      <c r="N981" t="s">
        <v>140</v>
      </c>
    </row>
    <row r="982" spans="1:14" x14ac:dyDescent="0.2">
      <c r="A982">
        <v>981</v>
      </c>
      <c r="B982">
        <v>21</v>
      </c>
      <c r="C982">
        <v>24</v>
      </c>
      <c r="D982" t="s">
        <v>217</v>
      </c>
      <c r="F982" t="s">
        <v>221</v>
      </c>
      <c r="H982" t="s">
        <v>222</v>
      </c>
      <c r="I982" t="s">
        <v>223</v>
      </c>
      <c r="J982">
        <v>3500</v>
      </c>
      <c r="K982" t="s">
        <v>216</v>
      </c>
      <c r="L982" t="s">
        <v>37</v>
      </c>
      <c r="M982" t="s">
        <v>38</v>
      </c>
      <c r="N982" t="s">
        <v>140</v>
      </c>
    </row>
    <row r="983" spans="1:14" x14ac:dyDescent="0.2">
      <c r="A983">
        <v>982</v>
      </c>
      <c r="B983">
        <v>21</v>
      </c>
      <c r="C983">
        <v>25</v>
      </c>
      <c r="D983" t="s">
        <v>217</v>
      </c>
      <c r="F983" t="s">
        <v>866</v>
      </c>
      <c r="H983" t="s">
        <v>867</v>
      </c>
      <c r="I983" t="s">
        <v>868</v>
      </c>
      <c r="J983">
        <v>67500</v>
      </c>
      <c r="K983" t="s">
        <v>87</v>
      </c>
      <c r="L983" t="s">
        <v>37</v>
      </c>
      <c r="M983" t="s">
        <v>38</v>
      </c>
      <c r="N983" t="s">
        <v>140</v>
      </c>
    </row>
    <row r="984" spans="1:14" x14ac:dyDescent="0.2">
      <c r="A984">
        <v>983</v>
      </c>
      <c r="B984">
        <v>21</v>
      </c>
      <c r="C984">
        <v>26</v>
      </c>
      <c r="D984" t="s">
        <v>217</v>
      </c>
      <c r="F984" t="s">
        <v>570</v>
      </c>
      <c r="H984" t="s">
        <v>571</v>
      </c>
      <c r="I984" t="s">
        <v>572</v>
      </c>
      <c r="J984">
        <v>3950</v>
      </c>
      <c r="K984" t="s">
        <v>87</v>
      </c>
      <c r="L984" t="s">
        <v>37</v>
      </c>
      <c r="M984" t="s">
        <v>38</v>
      </c>
      <c r="N984" t="s">
        <v>140</v>
      </c>
    </row>
    <row r="985" spans="1:14" x14ac:dyDescent="0.2">
      <c r="A985">
        <v>984</v>
      </c>
      <c r="B985">
        <v>21</v>
      </c>
      <c r="C985">
        <v>27</v>
      </c>
      <c r="D985" t="s">
        <v>234</v>
      </c>
      <c r="F985" t="s">
        <v>235</v>
      </c>
      <c r="H985" t="s">
        <v>236</v>
      </c>
      <c r="I985" t="s">
        <v>237</v>
      </c>
      <c r="J985">
        <v>1600</v>
      </c>
      <c r="K985" t="s">
        <v>94</v>
      </c>
      <c r="L985" t="s">
        <v>37</v>
      </c>
      <c r="M985" t="s">
        <v>38</v>
      </c>
      <c r="N985" t="s">
        <v>140</v>
      </c>
    </row>
    <row r="986" spans="1:14" x14ac:dyDescent="0.2">
      <c r="A986">
        <v>985</v>
      </c>
      <c r="B986">
        <v>21</v>
      </c>
      <c r="C986">
        <v>28</v>
      </c>
      <c r="D986" t="s">
        <v>227</v>
      </c>
      <c r="F986" t="s">
        <v>869</v>
      </c>
      <c r="G986" t="s">
        <v>238</v>
      </c>
      <c r="H986" t="s">
        <v>870</v>
      </c>
      <c r="I986" t="s">
        <v>871</v>
      </c>
      <c r="J986">
        <v>189</v>
      </c>
      <c r="K986" t="s">
        <v>36</v>
      </c>
      <c r="L986" t="s">
        <v>57</v>
      </c>
      <c r="M986" t="s">
        <v>232</v>
      </c>
      <c r="N986" t="s">
        <v>233</v>
      </c>
    </row>
    <row r="987" spans="1:14" x14ac:dyDescent="0.2">
      <c r="A987">
        <v>986</v>
      </c>
      <c r="B987">
        <v>21</v>
      </c>
      <c r="C987">
        <v>29</v>
      </c>
      <c r="D987" t="s">
        <v>227</v>
      </c>
      <c r="F987" t="s">
        <v>869</v>
      </c>
      <c r="G987" t="s">
        <v>443</v>
      </c>
      <c r="H987" t="s">
        <v>879</v>
      </c>
      <c r="I987" t="s">
        <v>871</v>
      </c>
      <c r="J987">
        <v>264</v>
      </c>
      <c r="K987" t="s">
        <v>36</v>
      </c>
      <c r="L987" t="s">
        <v>57</v>
      </c>
      <c r="M987" t="s">
        <v>232</v>
      </c>
      <c r="N987" t="s">
        <v>233</v>
      </c>
    </row>
    <row r="988" spans="1:14" x14ac:dyDescent="0.2">
      <c r="A988">
        <v>987</v>
      </c>
      <c r="B988">
        <v>21</v>
      </c>
      <c r="C988">
        <v>30</v>
      </c>
      <c r="D988" t="s">
        <v>263</v>
      </c>
      <c r="F988" t="s">
        <v>1182</v>
      </c>
      <c r="H988" t="s">
        <v>1699</v>
      </c>
      <c r="I988" t="s">
        <v>1184</v>
      </c>
      <c r="J988">
        <v>1</v>
      </c>
      <c r="K988" t="s">
        <v>72</v>
      </c>
      <c r="L988" t="s">
        <v>57</v>
      </c>
      <c r="M988" t="s">
        <v>232</v>
      </c>
      <c r="N988" t="s">
        <v>233</v>
      </c>
    </row>
    <row r="989" spans="1:14" x14ac:dyDescent="0.2">
      <c r="A989">
        <v>988</v>
      </c>
      <c r="B989">
        <v>21</v>
      </c>
      <c r="C989">
        <v>31</v>
      </c>
      <c r="D989" t="s">
        <v>263</v>
      </c>
      <c r="F989" t="s">
        <v>623</v>
      </c>
      <c r="H989" t="s">
        <v>624</v>
      </c>
      <c r="I989" t="s">
        <v>625</v>
      </c>
      <c r="J989">
        <v>2</v>
      </c>
      <c r="K989" t="s">
        <v>72</v>
      </c>
      <c r="L989" t="s">
        <v>57</v>
      </c>
      <c r="M989" t="s">
        <v>232</v>
      </c>
      <c r="N989" t="s">
        <v>233</v>
      </c>
    </row>
    <row r="990" spans="1:14" x14ac:dyDescent="0.2">
      <c r="A990">
        <v>989</v>
      </c>
      <c r="B990">
        <v>21</v>
      </c>
      <c r="C990">
        <v>32</v>
      </c>
      <c r="D990">
        <v>312300</v>
      </c>
      <c r="F990" t="s">
        <v>320</v>
      </c>
      <c r="G990" t="s">
        <v>1700</v>
      </c>
      <c r="H990" t="s">
        <v>1701</v>
      </c>
      <c r="I990" t="s">
        <v>322</v>
      </c>
      <c r="J990">
        <v>5</v>
      </c>
      <c r="K990" t="s">
        <v>72</v>
      </c>
      <c r="L990" t="s">
        <v>57</v>
      </c>
      <c r="M990" t="s">
        <v>232</v>
      </c>
      <c r="N990" t="s">
        <v>233</v>
      </c>
    </row>
    <row r="991" spans="1:14" x14ac:dyDescent="0.2">
      <c r="A991">
        <v>990</v>
      </c>
      <c r="B991">
        <v>21</v>
      </c>
      <c r="C991">
        <v>33</v>
      </c>
      <c r="D991">
        <v>312300</v>
      </c>
      <c r="F991" t="s">
        <v>1702</v>
      </c>
      <c r="G991" t="s">
        <v>1212</v>
      </c>
      <c r="H991" t="s">
        <v>1703</v>
      </c>
      <c r="I991" t="s">
        <v>1704</v>
      </c>
      <c r="J991">
        <v>1</v>
      </c>
      <c r="K991" t="s">
        <v>72</v>
      </c>
      <c r="L991" t="s">
        <v>57</v>
      </c>
      <c r="M991" t="s">
        <v>232</v>
      </c>
      <c r="N991" t="s">
        <v>233</v>
      </c>
    </row>
    <row r="992" spans="1:14" x14ac:dyDescent="0.2">
      <c r="A992">
        <v>991</v>
      </c>
      <c r="B992">
        <v>21</v>
      </c>
      <c r="C992">
        <v>34</v>
      </c>
      <c r="D992" t="s">
        <v>240</v>
      </c>
      <c r="F992" t="s">
        <v>1705</v>
      </c>
      <c r="H992" t="s">
        <v>1706</v>
      </c>
      <c r="I992" t="s">
        <v>1707</v>
      </c>
      <c r="J992">
        <v>9310</v>
      </c>
      <c r="K992" t="s">
        <v>36</v>
      </c>
      <c r="L992" t="s">
        <v>244</v>
      </c>
      <c r="M992" t="s">
        <v>245</v>
      </c>
      <c r="N992" t="s">
        <v>246</v>
      </c>
    </row>
    <row r="993" spans="1:14" x14ac:dyDescent="0.2">
      <c r="A993">
        <v>992</v>
      </c>
      <c r="B993">
        <v>21</v>
      </c>
      <c r="C993">
        <v>35</v>
      </c>
      <c r="D993" t="s">
        <v>240</v>
      </c>
      <c r="F993" t="s">
        <v>1708</v>
      </c>
      <c r="H993" t="s">
        <v>1709</v>
      </c>
      <c r="I993" t="s">
        <v>1710</v>
      </c>
      <c r="J993">
        <v>2080</v>
      </c>
      <c r="K993" t="s">
        <v>36</v>
      </c>
      <c r="L993" t="s">
        <v>244</v>
      </c>
      <c r="M993" t="s">
        <v>245</v>
      </c>
      <c r="N993" t="s">
        <v>246</v>
      </c>
    </row>
    <row r="994" spans="1:14" x14ac:dyDescent="0.2">
      <c r="A994">
        <v>993</v>
      </c>
      <c r="B994">
        <v>21</v>
      </c>
      <c r="C994">
        <v>36</v>
      </c>
      <c r="D994" t="s">
        <v>240</v>
      </c>
      <c r="F994" t="s">
        <v>1711</v>
      </c>
      <c r="H994" t="s">
        <v>1712</v>
      </c>
      <c r="I994" t="s">
        <v>1713</v>
      </c>
      <c r="J994">
        <v>110</v>
      </c>
      <c r="K994" t="s">
        <v>36</v>
      </c>
      <c r="L994" t="s">
        <v>244</v>
      </c>
      <c r="M994" t="s">
        <v>245</v>
      </c>
      <c r="N994" t="s">
        <v>246</v>
      </c>
    </row>
    <row r="995" spans="1:14" x14ac:dyDescent="0.2">
      <c r="A995">
        <v>994</v>
      </c>
      <c r="B995">
        <v>21</v>
      </c>
      <c r="C995">
        <v>37</v>
      </c>
      <c r="D995" t="s">
        <v>240</v>
      </c>
      <c r="F995" t="s">
        <v>638</v>
      </c>
      <c r="H995" t="s">
        <v>1374</v>
      </c>
      <c r="I995" t="s">
        <v>641</v>
      </c>
      <c r="J995">
        <v>9</v>
      </c>
      <c r="K995" t="s">
        <v>72</v>
      </c>
      <c r="L995" t="s">
        <v>244</v>
      </c>
      <c r="M995" t="s">
        <v>245</v>
      </c>
      <c r="N995" t="s">
        <v>246</v>
      </c>
    </row>
    <row r="996" spans="1:14" x14ac:dyDescent="0.2">
      <c r="A996">
        <v>995</v>
      </c>
      <c r="B996">
        <v>21</v>
      </c>
      <c r="C996">
        <v>38</v>
      </c>
      <c r="D996" t="s">
        <v>267</v>
      </c>
      <c r="F996" t="s">
        <v>1714</v>
      </c>
      <c r="G996" t="s">
        <v>276</v>
      </c>
      <c r="H996" t="s">
        <v>1715</v>
      </c>
      <c r="I996" t="s">
        <v>1716</v>
      </c>
      <c r="J996">
        <v>1530</v>
      </c>
      <c r="K996" t="s">
        <v>36</v>
      </c>
      <c r="L996" t="s">
        <v>244</v>
      </c>
      <c r="M996" t="s">
        <v>245</v>
      </c>
      <c r="N996" t="s">
        <v>246</v>
      </c>
    </row>
    <row r="997" spans="1:14" x14ac:dyDescent="0.2">
      <c r="A997">
        <v>996</v>
      </c>
      <c r="B997">
        <v>21</v>
      </c>
      <c r="C997">
        <v>39</v>
      </c>
      <c r="D997" t="s">
        <v>267</v>
      </c>
      <c r="F997" t="s">
        <v>1717</v>
      </c>
      <c r="G997" t="s">
        <v>276</v>
      </c>
      <c r="H997" t="s">
        <v>1718</v>
      </c>
      <c r="I997" t="s">
        <v>1719</v>
      </c>
      <c r="J997">
        <v>535</v>
      </c>
      <c r="K997" t="s">
        <v>36</v>
      </c>
      <c r="L997" t="s">
        <v>244</v>
      </c>
      <c r="M997" t="s">
        <v>245</v>
      </c>
      <c r="N997" t="s">
        <v>246</v>
      </c>
    </row>
    <row r="998" spans="1:14" x14ac:dyDescent="0.2">
      <c r="A998">
        <v>997</v>
      </c>
      <c r="B998">
        <v>21</v>
      </c>
      <c r="C998">
        <v>40</v>
      </c>
      <c r="D998" t="s">
        <v>267</v>
      </c>
      <c r="F998" t="s">
        <v>1720</v>
      </c>
      <c r="G998" t="s">
        <v>1721</v>
      </c>
      <c r="H998" t="s">
        <v>1722</v>
      </c>
      <c r="I998" t="s">
        <v>1723</v>
      </c>
      <c r="J998">
        <v>25</v>
      </c>
      <c r="K998" t="s">
        <v>36</v>
      </c>
      <c r="L998" t="s">
        <v>244</v>
      </c>
      <c r="M998" t="s">
        <v>245</v>
      </c>
      <c r="N998" t="s">
        <v>246</v>
      </c>
    </row>
    <row r="999" spans="1:14" x14ac:dyDescent="0.2">
      <c r="A999">
        <v>998</v>
      </c>
      <c r="B999">
        <v>21</v>
      </c>
      <c r="C999">
        <v>41</v>
      </c>
      <c r="D999" t="s">
        <v>267</v>
      </c>
      <c r="F999" t="s">
        <v>1720</v>
      </c>
      <c r="G999" t="s">
        <v>269</v>
      </c>
      <c r="H999" t="s">
        <v>1724</v>
      </c>
      <c r="I999" t="s">
        <v>1723</v>
      </c>
      <c r="J999">
        <v>145</v>
      </c>
      <c r="K999" t="s">
        <v>36</v>
      </c>
      <c r="L999" t="s">
        <v>244</v>
      </c>
      <c r="M999" t="s">
        <v>245</v>
      </c>
      <c r="N999" t="s">
        <v>246</v>
      </c>
    </row>
    <row r="1000" spans="1:14" x14ac:dyDescent="0.2">
      <c r="A1000">
        <v>999</v>
      </c>
      <c r="B1000">
        <v>21</v>
      </c>
      <c r="C1000">
        <v>42</v>
      </c>
      <c r="D1000">
        <v>260500</v>
      </c>
      <c r="F1000" t="s">
        <v>291</v>
      </c>
      <c r="H1000" t="s">
        <v>292</v>
      </c>
      <c r="I1000" t="s">
        <v>293</v>
      </c>
      <c r="J1000">
        <v>1</v>
      </c>
      <c r="K1000" t="s">
        <v>17</v>
      </c>
      <c r="L1000" t="s">
        <v>244</v>
      </c>
      <c r="M1000" t="s">
        <v>294</v>
      </c>
      <c r="N1000" t="s">
        <v>295</v>
      </c>
    </row>
    <row r="1001" spans="1:14" x14ac:dyDescent="0.2">
      <c r="A1001">
        <v>1000</v>
      </c>
      <c r="B1001">
        <v>21</v>
      </c>
      <c r="C1001">
        <v>43</v>
      </c>
      <c r="D1001">
        <v>260500</v>
      </c>
      <c r="F1001" t="s">
        <v>299</v>
      </c>
      <c r="H1001" t="s">
        <v>300</v>
      </c>
      <c r="I1001" t="s">
        <v>301</v>
      </c>
      <c r="J1001">
        <v>1</v>
      </c>
      <c r="K1001" t="s">
        <v>17</v>
      </c>
      <c r="L1001" t="s">
        <v>244</v>
      </c>
      <c r="M1001" t="s">
        <v>294</v>
      </c>
      <c r="N1001" t="s">
        <v>295</v>
      </c>
    </row>
    <row r="1002" spans="1:14" x14ac:dyDescent="0.2">
      <c r="A1002">
        <v>1001</v>
      </c>
      <c r="B1002">
        <v>21</v>
      </c>
      <c r="C1002">
        <v>44</v>
      </c>
      <c r="D1002">
        <v>344300</v>
      </c>
      <c r="F1002" t="s">
        <v>1725</v>
      </c>
      <c r="H1002" t="s">
        <v>1726</v>
      </c>
      <c r="I1002" t="s">
        <v>1727</v>
      </c>
      <c r="J1002">
        <v>131</v>
      </c>
      <c r="K1002" t="s">
        <v>72</v>
      </c>
      <c r="L1002" t="s">
        <v>244</v>
      </c>
      <c r="M1002" t="s">
        <v>245</v>
      </c>
      <c r="N1002" t="s">
        <v>246</v>
      </c>
    </row>
    <row r="1003" spans="1:14" x14ac:dyDescent="0.2">
      <c r="A1003">
        <v>1002</v>
      </c>
      <c r="B1003">
        <v>21</v>
      </c>
      <c r="C1003">
        <v>45</v>
      </c>
      <c r="D1003">
        <v>344300</v>
      </c>
      <c r="F1003" t="s">
        <v>1728</v>
      </c>
      <c r="H1003" t="s">
        <v>1729</v>
      </c>
      <c r="I1003" t="s">
        <v>1730</v>
      </c>
      <c r="J1003">
        <v>2</v>
      </c>
      <c r="K1003" t="s">
        <v>72</v>
      </c>
      <c r="L1003" t="s">
        <v>244</v>
      </c>
      <c r="M1003" t="s">
        <v>245</v>
      </c>
      <c r="N1003" t="s">
        <v>246</v>
      </c>
    </row>
    <row r="1004" spans="1:14" x14ac:dyDescent="0.2">
      <c r="A1004">
        <v>1003</v>
      </c>
      <c r="B1004">
        <v>21</v>
      </c>
      <c r="C1004">
        <v>46</v>
      </c>
      <c r="D1004">
        <v>344300</v>
      </c>
      <c r="F1004" t="s">
        <v>1731</v>
      </c>
      <c r="H1004" t="s">
        <v>1732</v>
      </c>
      <c r="I1004" t="s">
        <v>1733</v>
      </c>
      <c r="J1004">
        <v>5</v>
      </c>
      <c r="K1004" t="s">
        <v>72</v>
      </c>
      <c r="L1004" t="s">
        <v>244</v>
      </c>
      <c r="M1004" t="s">
        <v>245</v>
      </c>
      <c r="N1004" t="s">
        <v>246</v>
      </c>
    </row>
    <row r="1005" spans="1:14" x14ac:dyDescent="0.2">
      <c r="A1005">
        <v>1004</v>
      </c>
      <c r="B1005">
        <v>21</v>
      </c>
      <c r="C1005">
        <v>47</v>
      </c>
      <c r="D1005">
        <v>344300</v>
      </c>
      <c r="F1005" t="s">
        <v>1734</v>
      </c>
      <c r="H1005" t="s">
        <v>1735</v>
      </c>
      <c r="I1005" t="s">
        <v>1736</v>
      </c>
      <c r="J1005">
        <v>5</v>
      </c>
      <c r="K1005" t="s">
        <v>72</v>
      </c>
      <c r="L1005" t="s">
        <v>244</v>
      </c>
      <c r="M1005" t="s">
        <v>245</v>
      </c>
      <c r="N1005" t="s">
        <v>246</v>
      </c>
    </row>
    <row r="1006" spans="1:14" x14ac:dyDescent="0.2">
      <c r="A1006">
        <v>1005</v>
      </c>
      <c r="B1006">
        <v>21</v>
      </c>
      <c r="C1006">
        <v>48</v>
      </c>
      <c r="D1006">
        <v>344300</v>
      </c>
      <c r="F1006" t="s">
        <v>1737</v>
      </c>
      <c r="H1006" t="s">
        <v>1738</v>
      </c>
      <c r="I1006" t="s">
        <v>1739</v>
      </c>
      <c r="J1006">
        <v>116</v>
      </c>
      <c r="K1006" t="s">
        <v>72</v>
      </c>
      <c r="L1006" t="s">
        <v>244</v>
      </c>
      <c r="M1006" t="s">
        <v>245</v>
      </c>
      <c r="N1006" t="s">
        <v>246</v>
      </c>
    </row>
    <row r="1007" spans="1:14" x14ac:dyDescent="0.2">
      <c r="A1007">
        <v>1006</v>
      </c>
      <c r="B1007">
        <v>21</v>
      </c>
      <c r="C1007">
        <v>49</v>
      </c>
      <c r="D1007">
        <v>344301</v>
      </c>
      <c r="F1007" t="s">
        <v>1693</v>
      </c>
      <c r="H1007" t="s">
        <v>1694</v>
      </c>
      <c r="I1007" t="s">
        <v>1695</v>
      </c>
      <c r="J1007">
        <v>88</v>
      </c>
      <c r="K1007" t="s">
        <v>72</v>
      </c>
      <c r="L1007" t="s">
        <v>244</v>
      </c>
      <c r="M1007" t="s">
        <v>245</v>
      </c>
      <c r="N1007" t="s">
        <v>246</v>
      </c>
    </row>
    <row r="1008" spans="1:14" x14ac:dyDescent="0.2">
      <c r="A1008">
        <v>1007</v>
      </c>
      <c r="B1008">
        <v>21</v>
      </c>
      <c r="C1008">
        <v>50</v>
      </c>
      <c r="D1008">
        <v>344301</v>
      </c>
      <c r="F1008" t="s">
        <v>1740</v>
      </c>
      <c r="H1008" t="s">
        <v>1741</v>
      </c>
      <c r="I1008" t="s">
        <v>1742</v>
      </c>
      <c r="J1008">
        <v>11</v>
      </c>
      <c r="K1008" t="s">
        <v>72</v>
      </c>
      <c r="L1008" t="s">
        <v>244</v>
      </c>
      <c r="M1008" t="s">
        <v>245</v>
      </c>
      <c r="N1008" t="s">
        <v>246</v>
      </c>
    </row>
    <row r="1009" spans="1:14" x14ac:dyDescent="0.2">
      <c r="A1009">
        <v>1008</v>
      </c>
      <c r="B1009">
        <v>21</v>
      </c>
      <c r="C1009">
        <v>51</v>
      </c>
      <c r="D1009">
        <v>344301</v>
      </c>
      <c r="F1009" t="s">
        <v>1743</v>
      </c>
      <c r="H1009" t="s">
        <v>1744</v>
      </c>
      <c r="I1009" t="s">
        <v>1745</v>
      </c>
      <c r="J1009">
        <v>1</v>
      </c>
      <c r="K1009" t="s">
        <v>72</v>
      </c>
      <c r="L1009" t="s">
        <v>244</v>
      </c>
      <c r="M1009" t="s">
        <v>245</v>
      </c>
      <c r="N1009" t="s">
        <v>246</v>
      </c>
    </row>
    <row r="1010" spans="1:14" x14ac:dyDescent="0.2">
      <c r="A1010">
        <v>1009</v>
      </c>
      <c r="B1010">
        <v>21</v>
      </c>
      <c r="C1010">
        <v>52</v>
      </c>
      <c r="D1010">
        <v>344301</v>
      </c>
      <c r="F1010" t="s">
        <v>1746</v>
      </c>
      <c r="H1010" t="s">
        <v>1747</v>
      </c>
      <c r="I1010" t="s">
        <v>1748</v>
      </c>
      <c r="J1010">
        <v>35</v>
      </c>
      <c r="K1010" t="s">
        <v>72</v>
      </c>
      <c r="L1010" t="s">
        <v>244</v>
      </c>
      <c r="M1010" t="s">
        <v>245</v>
      </c>
      <c r="N1010" t="s">
        <v>246</v>
      </c>
    </row>
    <row r="1011" spans="1:14" x14ac:dyDescent="0.2">
      <c r="A1011">
        <v>1010</v>
      </c>
      <c r="B1011">
        <v>21</v>
      </c>
      <c r="C1011">
        <v>53</v>
      </c>
      <c r="D1011">
        <v>344302</v>
      </c>
      <c r="F1011" t="s">
        <v>1749</v>
      </c>
      <c r="H1011" t="s">
        <v>1750</v>
      </c>
      <c r="I1011" t="s">
        <v>1751</v>
      </c>
      <c r="J1011">
        <v>1</v>
      </c>
      <c r="K1011" t="s">
        <v>17</v>
      </c>
      <c r="L1011" t="s">
        <v>244</v>
      </c>
      <c r="M1011" t="s">
        <v>362</v>
      </c>
      <c r="N1011" t="s">
        <v>363</v>
      </c>
    </row>
    <row r="1012" spans="1:14" x14ac:dyDescent="0.2">
      <c r="A1012">
        <v>1011</v>
      </c>
      <c r="B1012">
        <v>22</v>
      </c>
      <c r="C1012">
        <v>1</v>
      </c>
      <c r="D1012">
        <v>12200</v>
      </c>
      <c r="F1012" t="s">
        <v>109</v>
      </c>
      <c r="H1012" t="s">
        <v>110</v>
      </c>
      <c r="I1012" t="s">
        <v>111</v>
      </c>
      <c r="J1012">
        <v>1</v>
      </c>
      <c r="K1012" t="s">
        <v>17</v>
      </c>
      <c r="L1012" t="s">
        <v>18</v>
      </c>
      <c r="M1012" t="s">
        <v>19</v>
      </c>
      <c r="N1012" t="s">
        <v>108</v>
      </c>
    </row>
    <row r="1013" spans="1:14" x14ac:dyDescent="0.2">
      <c r="A1013">
        <v>1012</v>
      </c>
      <c r="B1013">
        <v>22</v>
      </c>
      <c r="C1013">
        <v>1</v>
      </c>
      <c r="D1013" t="s">
        <v>806</v>
      </c>
      <c r="F1013" t="s">
        <v>807</v>
      </c>
      <c r="H1013" t="s">
        <v>808</v>
      </c>
      <c r="I1013" t="s">
        <v>809</v>
      </c>
      <c r="J1013">
        <v>1</v>
      </c>
      <c r="K1013" t="s">
        <v>17</v>
      </c>
      <c r="L1013" t="s">
        <v>18</v>
      </c>
      <c r="M1013" t="s">
        <v>19</v>
      </c>
      <c r="N1013" t="s">
        <v>108</v>
      </c>
    </row>
    <row r="1014" spans="1:14" x14ac:dyDescent="0.2">
      <c r="A1014">
        <v>1013</v>
      </c>
      <c r="B1014">
        <v>22</v>
      </c>
      <c r="C1014">
        <v>1</v>
      </c>
      <c r="D1014" t="s">
        <v>14</v>
      </c>
      <c r="F1014" t="s">
        <v>1752</v>
      </c>
      <c r="G1014">
        <v>12200</v>
      </c>
      <c r="H1014" t="s">
        <v>1753</v>
      </c>
      <c r="I1014" t="s">
        <v>1754</v>
      </c>
      <c r="J1014">
        <v>1</v>
      </c>
      <c r="K1014" t="s">
        <v>17</v>
      </c>
      <c r="L1014" t="s">
        <v>18</v>
      </c>
      <c r="M1014" t="s">
        <v>19</v>
      </c>
      <c r="N1014" t="s">
        <v>20</v>
      </c>
    </row>
    <row r="1015" spans="1:14" x14ac:dyDescent="0.2">
      <c r="A1015">
        <v>1014</v>
      </c>
      <c r="B1015">
        <v>22</v>
      </c>
      <c r="C1015">
        <v>2</v>
      </c>
      <c r="D1015">
        <v>12200</v>
      </c>
      <c r="F1015" t="s">
        <v>118</v>
      </c>
      <c r="H1015" t="s">
        <v>119</v>
      </c>
      <c r="I1015" t="s">
        <v>120</v>
      </c>
      <c r="J1015">
        <v>1</v>
      </c>
      <c r="K1015" t="s">
        <v>17</v>
      </c>
      <c r="L1015" t="s">
        <v>18</v>
      </c>
      <c r="M1015" t="s">
        <v>19</v>
      </c>
      <c r="N1015" t="s">
        <v>108</v>
      </c>
    </row>
    <row r="1016" spans="1:14" x14ac:dyDescent="0.2">
      <c r="A1016">
        <v>1015</v>
      </c>
      <c r="B1016">
        <v>22</v>
      </c>
      <c r="C1016">
        <v>2</v>
      </c>
      <c r="D1016" t="s">
        <v>217</v>
      </c>
      <c r="F1016" t="s">
        <v>1755</v>
      </c>
      <c r="H1016" t="s">
        <v>1756</v>
      </c>
      <c r="I1016" t="s">
        <v>1757</v>
      </c>
      <c r="J1016">
        <v>5407</v>
      </c>
      <c r="K1016" t="s">
        <v>87</v>
      </c>
      <c r="L1016" t="s">
        <v>37</v>
      </c>
      <c r="M1016" t="s">
        <v>38</v>
      </c>
      <c r="N1016" t="s">
        <v>140</v>
      </c>
    </row>
    <row r="1017" spans="1:14" x14ac:dyDescent="0.2">
      <c r="A1017">
        <v>1016</v>
      </c>
      <c r="B1017">
        <v>22</v>
      </c>
      <c r="C1017">
        <v>2</v>
      </c>
      <c r="D1017" t="s">
        <v>217</v>
      </c>
      <c r="F1017" t="s">
        <v>1755</v>
      </c>
      <c r="H1017" t="s">
        <v>1756</v>
      </c>
      <c r="I1017" t="s">
        <v>1757</v>
      </c>
      <c r="J1017">
        <v>2142</v>
      </c>
      <c r="K1017" t="s">
        <v>87</v>
      </c>
      <c r="L1017" t="s">
        <v>37</v>
      </c>
      <c r="M1017" t="s">
        <v>38</v>
      </c>
      <c r="N1017" t="s">
        <v>140</v>
      </c>
    </row>
    <row r="1018" spans="1:14" x14ac:dyDescent="0.2">
      <c r="A1018">
        <v>1017</v>
      </c>
      <c r="B1018">
        <v>22</v>
      </c>
      <c r="C1018">
        <v>3</v>
      </c>
      <c r="D1018" t="s">
        <v>806</v>
      </c>
      <c r="F1018" t="s">
        <v>807</v>
      </c>
      <c r="H1018" t="s">
        <v>808</v>
      </c>
      <c r="I1018" t="s">
        <v>809</v>
      </c>
      <c r="J1018">
        <v>1</v>
      </c>
      <c r="K1018" t="s">
        <v>17</v>
      </c>
      <c r="L1018" t="s">
        <v>18</v>
      </c>
      <c r="M1018" t="s">
        <v>19</v>
      </c>
      <c r="N1018" t="s">
        <v>108</v>
      </c>
    </row>
    <row r="1019" spans="1:14" x14ac:dyDescent="0.2">
      <c r="A1019">
        <v>1018</v>
      </c>
      <c r="B1019">
        <v>22</v>
      </c>
      <c r="C1019">
        <v>3</v>
      </c>
      <c r="D1019" t="s">
        <v>217</v>
      </c>
      <c r="F1019" t="s">
        <v>1758</v>
      </c>
      <c r="H1019" t="s">
        <v>1759</v>
      </c>
      <c r="I1019" t="s">
        <v>1760</v>
      </c>
      <c r="J1019">
        <v>1515</v>
      </c>
      <c r="K1019" t="s">
        <v>87</v>
      </c>
      <c r="L1019" t="s">
        <v>37</v>
      </c>
      <c r="M1019" t="s">
        <v>38</v>
      </c>
      <c r="N1019" t="s">
        <v>140</v>
      </c>
    </row>
    <row r="1020" spans="1:14" x14ac:dyDescent="0.2">
      <c r="A1020">
        <v>1019</v>
      </c>
      <c r="B1020">
        <v>22</v>
      </c>
      <c r="C1020">
        <v>3</v>
      </c>
      <c r="D1020" t="s">
        <v>217</v>
      </c>
      <c r="F1020" t="s">
        <v>1758</v>
      </c>
      <c r="H1020" t="s">
        <v>1759</v>
      </c>
      <c r="I1020" t="s">
        <v>1760</v>
      </c>
      <c r="J1020">
        <v>766</v>
      </c>
      <c r="K1020" t="s">
        <v>87</v>
      </c>
      <c r="L1020" t="s">
        <v>37</v>
      </c>
      <c r="M1020" t="s">
        <v>38</v>
      </c>
      <c r="N1020" t="s">
        <v>140</v>
      </c>
    </row>
    <row r="1021" spans="1:14" x14ac:dyDescent="0.2">
      <c r="A1021">
        <v>1020</v>
      </c>
      <c r="B1021">
        <v>22</v>
      </c>
      <c r="C1021">
        <v>4</v>
      </c>
      <c r="D1021" t="s">
        <v>136</v>
      </c>
      <c r="F1021" t="s">
        <v>141</v>
      </c>
      <c r="H1021" t="s">
        <v>1761</v>
      </c>
      <c r="I1021" t="s">
        <v>144</v>
      </c>
      <c r="J1021">
        <v>145</v>
      </c>
      <c r="K1021" t="s">
        <v>94</v>
      </c>
      <c r="L1021" t="s">
        <v>37</v>
      </c>
      <c r="M1021" t="s">
        <v>38</v>
      </c>
      <c r="N1021" t="s">
        <v>140</v>
      </c>
    </row>
    <row r="1022" spans="1:14" x14ac:dyDescent="0.2">
      <c r="A1022">
        <v>1021</v>
      </c>
      <c r="B1022">
        <v>22</v>
      </c>
      <c r="C1022">
        <v>4</v>
      </c>
      <c r="D1022" t="s">
        <v>136</v>
      </c>
      <c r="F1022" t="s">
        <v>141</v>
      </c>
      <c r="H1022" t="s">
        <v>1761</v>
      </c>
      <c r="I1022" t="s">
        <v>144</v>
      </c>
      <c r="J1022">
        <v>67</v>
      </c>
      <c r="K1022" t="s">
        <v>94</v>
      </c>
      <c r="L1022" t="s">
        <v>37</v>
      </c>
      <c r="M1022" t="s">
        <v>38</v>
      </c>
      <c r="N1022" t="s">
        <v>140</v>
      </c>
    </row>
    <row r="1023" spans="1:14" x14ac:dyDescent="0.2">
      <c r="A1023">
        <v>1022</v>
      </c>
      <c r="B1023">
        <v>22</v>
      </c>
      <c r="C1023">
        <v>4</v>
      </c>
      <c r="D1023" t="s">
        <v>136</v>
      </c>
      <c r="F1023" t="s">
        <v>141</v>
      </c>
      <c r="H1023" t="s">
        <v>1761</v>
      </c>
      <c r="I1023" t="s">
        <v>144</v>
      </c>
      <c r="J1023">
        <v>21</v>
      </c>
      <c r="K1023" t="s">
        <v>94</v>
      </c>
      <c r="L1023" t="s">
        <v>37</v>
      </c>
      <c r="M1023" t="s">
        <v>38</v>
      </c>
      <c r="N1023" t="s">
        <v>140</v>
      </c>
    </row>
    <row r="1024" spans="1:14" x14ac:dyDescent="0.2">
      <c r="A1024">
        <v>1023</v>
      </c>
      <c r="B1024">
        <v>22</v>
      </c>
      <c r="C1024">
        <v>4</v>
      </c>
      <c r="D1024" t="s">
        <v>217</v>
      </c>
      <c r="F1024" t="s">
        <v>1762</v>
      </c>
      <c r="H1024" t="s">
        <v>1763</v>
      </c>
      <c r="I1024" t="s">
        <v>1764</v>
      </c>
      <c r="J1024">
        <v>5407</v>
      </c>
      <c r="K1024" t="s">
        <v>87</v>
      </c>
      <c r="L1024" t="s">
        <v>37</v>
      </c>
      <c r="M1024" t="s">
        <v>38</v>
      </c>
      <c r="N1024" t="s">
        <v>140</v>
      </c>
    </row>
    <row r="1025" spans="1:14" x14ac:dyDescent="0.2">
      <c r="A1025">
        <v>1024</v>
      </c>
      <c r="B1025">
        <v>22</v>
      </c>
      <c r="C1025">
        <v>4</v>
      </c>
      <c r="D1025" t="s">
        <v>217</v>
      </c>
      <c r="F1025" t="s">
        <v>1762</v>
      </c>
      <c r="H1025" t="s">
        <v>1763</v>
      </c>
      <c r="I1025" t="s">
        <v>1764</v>
      </c>
      <c r="J1025">
        <v>2142</v>
      </c>
      <c r="K1025" t="s">
        <v>87</v>
      </c>
      <c r="L1025" t="s">
        <v>37</v>
      </c>
      <c r="M1025" t="s">
        <v>38</v>
      </c>
      <c r="N1025" t="s">
        <v>140</v>
      </c>
    </row>
    <row r="1026" spans="1:14" x14ac:dyDescent="0.2">
      <c r="A1026">
        <v>1025</v>
      </c>
      <c r="B1026">
        <v>22</v>
      </c>
      <c r="C1026">
        <v>5</v>
      </c>
      <c r="D1026" t="s">
        <v>209</v>
      </c>
      <c r="F1026" t="s">
        <v>863</v>
      </c>
      <c r="H1026" t="s">
        <v>864</v>
      </c>
      <c r="I1026" t="s">
        <v>865</v>
      </c>
      <c r="J1026">
        <v>112</v>
      </c>
      <c r="K1026" t="s">
        <v>94</v>
      </c>
      <c r="L1026" t="s">
        <v>37</v>
      </c>
      <c r="M1026" t="s">
        <v>38</v>
      </c>
      <c r="N1026" t="s">
        <v>140</v>
      </c>
    </row>
    <row r="1027" spans="1:14" x14ac:dyDescent="0.2">
      <c r="A1027">
        <v>1026</v>
      </c>
      <c r="B1027">
        <v>22</v>
      </c>
      <c r="C1027">
        <v>5</v>
      </c>
      <c r="D1027" t="s">
        <v>209</v>
      </c>
      <c r="F1027" t="s">
        <v>863</v>
      </c>
      <c r="H1027" t="s">
        <v>864</v>
      </c>
      <c r="I1027" t="s">
        <v>865</v>
      </c>
      <c r="J1027">
        <v>67</v>
      </c>
      <c r="K1027" t="s">
        <v>94</v>
      </c>
      <c r="L1027" t="s">
        <v>37</v>
      </c>
      <c r="M1027" t="s">
        <v>38</v>
      </c>
      <c r="N1027" t="s">
        <v>140</v>
      </c>
    </row>
    <row r="1028" spans="1:14" x14ac:dyDescent="0.2">
      <c r="A1028">
        <v>1027</v>
      </c>
      <c r="B1028">
        <v>22</v>
      </c>
      <c r="C1028">
        <v>5</v>
      </c>
      <c r="D1028" t="s">
        <v>209</v>
      </c>
      <c r="F1028" t="s">
        <v>863</v>
      </c>
      <c r="H1028" t="s">
        <v>864</v>
      </c>
      <c r="I1028" t="s">
        <v>865</v>
      </c>
      <c r="J1028">
        <v>21</v>
      </c>
      <c r="K1028" t="s">
        <v>94</v>
      </c>
      <c r="L1028" t="s">
        <v>37</v>
      </c>
      <c r="M1028" t="s">
        <v>38</v>
      </c>
      <c r="N1028" t="s">
        <v>140</v>
      </c>
    </row>
    <row r="1029" spans="1:14" x14ac:dyDescent="0.2">
      <c r="A1029">
        <v>1028</v>
      </c>
      <c r="B1029">
        <v>22</v>
      </c>
      <c r="C1029">
        <v>5</v>
      </c>
      <c r="D1029" t="s">
        <v>217</v>
      </c>
      <c r="F1029" t="s">
        <v>221</v>
      </c>
      <c r="H1029" t="s">
        <v>222</v>
      </c>
      <c r="I1029" t="s">
        <v>223</v>
      </c>
      <c r="J1029">
        <v>362</v>
      </c>
      <c r="K1029" t="s">
        <v>216</v>
      </c>
      <c r="L1029" t="s">
        <v>37</v>
      </c>
      <c r="M1029" t="s">
        <v>38</v>
      </c>
      <c r="N1029" t="s">
        <v>140</v>
      </c>
    </row>
    <row r="1030" spans="1:14" x14ac:dyDescent="0.2">
      <c r="A1030">
        <v>1029</v>
      </c>
      <c r="B1030">
        <v>22</v>
      </c>
      <c r="C1030">
        <v>5</v>
      </c>
      <c r="D1030" t="s">
        <v>217</v>
      </c>
      <c r="F1030" t="s">
        <v>221</v>
      </c>
      <c r="H1030" t="s">
        <v>222</v>
      </c>
      <c r="I1030" t="s">
        <v>223</v>
      </c>
      <c r="J1030">
        <v>143</v>
      </c>
      <c r="K1030" t="s">
        <v>216</v>
      </c>
      <c r="L1030" t="s">
        <v>37</v>
      </c>
      <c r="M1030" t="s">
        <v>38</v>
      </c>
      <c r="N1030" t="s">
        <v>140</v>
      </c>
    </row>
    <row r="1031" spans="1:14" x14ac:dyDescent="0.2">
      <c r="A1031">
        <v>1030</v>
      </c>
      <c r="B1031">
        <v>22</v>
      </c>
      <c r="C1031">
        <v>6</v>
      </c>
      <c r="D1031">
        <v>24113</v>
      </c>
      <c r="F1031" t="s">
        <v>1765</v>
      </c>
      <c r="H1031" t="s">
        <v>1766</v>
      </c>
      <c r="I1031" t="s">
        <v>1767</v>
      </c>
      <c r="J1031">
        <v>10</v>
      </c>
      <c r="K1031" t="s">
        <v>72</v>
      </c>
      <c r="L1031" t="s">
        <v>30</v>
      </c>
      <c r="M1031" t="s">
        <v>30</v>
      </c>
      <c r="N1031" t="s">
        <v>288</v>
      </c>
    </row>
    <row r="1032" spans="1:14" x14ac:dyDescent="0.2">
      <c r="A1032">
        <v>1031</v>
      </c>
      <c r="B1032">
        <v>22</v>
      </c>
      <c r="C1032">
        <v>6</v>
      </c>
      <c r="D1032">
        <v>24113</v>
      </c>
      <c r="F1032" t="s">
        <v>1765</v>
      </c>
      <c r="H1032" t="s">
        <v>1766</v>
      </c>
      <c r="I1032" t="s">
        <v>1767</v>
      </c>
      <c r="J1032">
        <v>6</v>
      </c>
      <c r="K1032" t="s">
        <v>72</v>
      </c>
      <c r="L1032" t="s">
        <v>30</v>
      </c>
      <c r="M1032" t="s">
        <v>30</v>
      </c>
      <c r="N1032" t="s">
        <v>288</v>
      </c>
    </row>
    <row r="1033" spans="1:14" x14ac:dyDescent="0.2">
      <c r="A1033">
        <v>1032</v>
      </c>
      <c r="B1033">
        <v>22</v>
      </c>
      <c r="C1033">
        <v>6</v>
      </c>
      <c r="D1033" t="s">
        <v>217</v>
      </c>
      <c r="F1033" t="s">
        <v>1755</v>
      </c>
      <c r="H1033" t="s">
        <v>1756</v>
      </c>
      <c r="I1033" t="s">
        <v>1757</v>
      </c>
      <c r="J1033">
        <v>1559</v>
      </c>
      <c r="K1033" t="s">
        <v>87</v>
      </c>
      <c r="L1033" t="s">
        <v>37</v>
      </c>
      <c r="M1033" t="s">
        <v>38</v>
      </c>
      <c r="N1033" t="s">
        <v>140</v>
      </c>
    </row>
    <row r="1034" spans="1:14" x14ac:dyDescent="0.2">
      <c r="A1034">
        <v>1033</v>
      </c>
      <c r="B1034">
        <v>22</v>
      </c>
      <c r="C1034">
        <v>6</v>
      </c>
      <c r="D1034" t="s">
        <v>217</v>
      </c>
      <c r="F1034" t="s">
        <v>1755</v>
      </c>
      <c r="H1034" t="s">
        <v>1756</v>
      </c>
      <c r="I1034" t="s">
        <v>1757</v>
      </c>
      <c r="J1034">
        <v>341</v>
      </c>
      <c r="K1034" t="s">
        <v>87</v>
      </c>
      <c r="L1034" t="s">
        <v>37</v>
      </c>
      <c r="M1034" t="s">
        <v>38</v>
      </c>
      <c r="N1034" t="s">
        <v>140</v>
      </c>
    </row>
    <row r="1035" spans="1:14" x14ac:dyDescent="0.2">
      <c r="A1035">
        <v>1034</v>
      </c>
      <c r="B1035">
        <v>22</v>
      </c>
      <c r="C1035">
        <v>6</v>
      </c>
      <c r="D1035" t="s">
        <v>217</v>
      </c>
      <c r="F1035" t="s">
        <v>1755</v>
      </c>
      <c r="H1035" t="s">
        <v>1756</v>
      </c>
      <c r="I1035" t="s">
        <v>1757</v>
      </c>
      <c r="J1035">
        <v>259</v>
      </c>
      <c r="K1035" t="s">
        <v>87</v>
      </c>
      <c r="L1035" t="s">
        <v>37</v>
      </c>
      <c r="M1035" t="s">
        <v>38</v>
      </c>
      <c r="N1035" t="s">
        <v>140</v>
      </c>
    </row>
    <row r="1036" spans="1:14" x14ac:dyDescent="0.2">
      <c r="A1036">
        <v>1035</v>
      </c>
      <c r="B1036">
        <v>22</v>
      </c>
      <c r="C1036">
        <v>7</v>
      </c>
      <c r="D1036">
        <v>24113</v>
      </c>
      <c r="F1036" t="s">
        <v>1768</v>
      </c>
      <c r="H1036" t="s">
        <v>1769</v>
      </c>
      <c r="I1036" t="s">
        <v>1770</v>
      </c>
      <c r="J1036">
        <v>1</v>
      </c>
      <c r="K1036" t="s">
        <v>17</v>
      </c>
      <c r="L1036" t="s">
        <v>30</v>
      </c>
      <c r="M1036" t="s">
        <v>30</v>
      </c>
      <c r="N1036" t="s">
        <v>288</v>
      </c>
    </row>
    <row r="1037" spans="1:14" x14ac:dyDescent="0.2">
      <c r="A1037">
        <v>1036</v>
      </c>
      <c r="B1037">
        <v>22</v>
      </c>
      <c r="C1037">
        <v>7</v>
      </c>
      <c r="D1037">
        <v>24113</v>
      </c>
      <c r="F1037" t="s">
        <v>1771</v>
      </c>
      <c r="H1037" t="s">
        <v>1772</v>
      </c>
      <c r="I1037" t="s">
        <v>1773</v>
      </c>
      <c r="J1037">
        <v>1</v>
      </c>
      <c r="K1037" t="s">
        <v>72</v>
      </c>
      <c r="L1037" t="s">
        <v>30</v>
      </c>
      <c r="M1037" t="s">
        <v>30</v>
      </c>
      <c r="N1037" t="s">
        <v>288</v>
      </c>
    </row>
    <row r="1038" spans="1:14" x14ac:dyDescent="0.2">
      <c r="A1038">
        <v>1037</v>
      </c>
      <c r="B1038">
        <v>22</v>
      </c>
      <c r="C1038">
        <v>7</v>
      </c>
      <c r="D1038" t="s">
        <v>217</v>
      </c>
      <c r="F1038" t="s">
        <v>1762</v>
      </c>
      <c r="H1038" t="s">
        <v>1763</v>
      </c>
      <c r="I1038" t="s">
        <v>1764</v>
      </c>
      <c r="J1038">
        <v>259</v>
      </c>
      <c r="K1038" t="s">
        <v>87</v>
      </c>
      <c r="L1038" t="s">
        <v>37</v>
      </c>
      <c r="M1038" t="s">
        <v>38</v>
      </c>
      <c r="N1038" t="s">
        <v>140</v>
      </c>
    </row>
    <row r="1039" spans="1:14" x14ac:dyDescent="0.2">
      <c r="A1039">
        <v>1038</v>
      </c>
      <c r="B1039">
        <v>22</v>
      </c>
      <c r="C1039">
        <v>7</v>
      </c>
      <c r="D1039" t="s">
        <v>217</v>
      </c>
      <c r="F1039" t="s">
        <v>1758</v>
      </c>
      <c r="H1039" t="s">
        <v>1759</v>
      </c>
      <c r="I1039" t="s">
        <v>1760</v>
      </c>
      <c r="J1039">
        <v>220</v>
      </c>
      <c r="K1039" t="s">
        <v>87</v>
      </c>
      <c r="L1039" t="s">
        <v>37</v>
      </c>
      <c r="M1039" t="s">
        <v>38</v>
      </c>
      <c r="N1039" t="s">
        <v>140</v>
      </c>
    </row>
    <row r="1040" spans="1:14" x14ac:dyDescent="0.2">
      <c r="A1040">
        <v>1039</v>
      </c>
      <c r="B1040">
        <v>22</v>
      </c>
      <c r="C1040">
        <v>7</v>
      </c>
      <c r="D1040" t="s">
        <v>217</v>
      </c>
      <c r="F1040" t="s">
        <v>1758</v>
      </c>
      <c r="H1040" t="s">
        <v>1759</v>
      </c>
      <c r="I1040" t="s">
        <v>1760</v>
      </c>
      <c r="J1040">
        <v>67</v>
      </c>
      <c r="K1040" t="s">
        <v>87</v>
      </c>
      <c r="L1040" t="s">
        <v>37</v>
      </c>
      <c r="M1040" t="s">
        <v>38</v>
      </c>
      <c r="N1040" t="s">
        <v>140</v>
      </c>
    </row>
    <row r="1041" spans="1:14" x14ac:dyDescent="0.2">
      <c r="A1041">
        <v>1040</v>
      </c>
      <c r="B1041">
        <v>22</v>
      </c>
      <c r="C1041">
        <v>8</v>
      </c>
      <c r="D1041">
        <v>111100</v>
      </c>
      <c r="F1041" t="s">
        <v>1774</v>
      </c>
      <c r="H1041" t="s">
        <v>1775</v>
      </c>
      <c r="I1041" t="s">
        <v>1776</v>
      </c>
      <c r="J1041">
        <v>112</v>
      </c>
      <c r="K1041" t="s">
        <v>72</v>
      </c>
      <c r="L1041" t="s">
        <v>1040</v>
      </c>
      <c r="M1041" t="s">
        <v>1041</v>
      </c>
      <c r="N1041" t="s">
        <v>1042</v>
      </c>
    </row>
    <row r="1042" spans="1:14" x14ac:dyDescent="0.2">
      <c r="A1042">
        <v>1041</v>
      </c>
      <c r="B1042">
        <v>22</v>
      </c>
      <c r="C1042">
        <v>8</v>
      </c>
      <c r="D1042">
        <v>111100</v>
      </c>
      <c r="F1042" t="s">
        <v>1774</v>
      </c>
      <c r="H1042" t="s">
        <v>1775</v>
      </c>
      <c r="I1042" t="s">
        <v>1776</v>
      </c>
      <c r="J1042">
        <v>46</v>
      </c>
      <c r="K1042" t="s">
        <v>72</v>
      </c>
      <c r="L1042" t="s">
        <v>1040</v>
      </c>
      <c r="M1042" t="s">
        <v>1041</v>
      </c>
      <c r="N1042" t="s">
        <v>1042</v>
      </c>
    </row>
    <row r="1043" spans="1:14" x14ac:dyDescent="0.2">
      <c r="A1043">
        <v>1042</v>
      </c>
      <c r="B1043">
        <v>22</v>
      </c>
      <c r="C1043">
        <v>8</v>
      </c>
      <c r="D1043" t="s">
        <v>217</v>
      </c>
      <c r="F1043" t="s">
        <v>1762</v>
      </c>
      <c r="H1043" t="s">
        <v>1763</v>
      </c>
      <c r="I1043" t="s">
        <v>1764</v>
      </c>
      <c r="J1043">
        <v>1559</v>
      </c>
      <c r="K1043" t="s">
        <v>87</v>
      </c>
      <c r="L1043" t="s">
        <v>37</v>
      </c>
      <c r="M1043" t="s">
        <v>38</v>
      </c>
      <c r="N1043" t="s">
        <v>140</v>
      </c>
    </row>
    <row r="1044" spans="1:14" x14ac:dyDescent="0.2">
      <c r="A1044">
        <v>1043</v>
      </c>
      <c r="B1044">
        <v>22</v>
      </c>
      <c r="C1044">
        <v>8</v>
      </c>
      <c r="D1044" t="s">
        <v>217</v>
      </c>
      <c r="F1044" t="s">
        <v>1762</v>
      </c>
      <c r="H1044" t="s">
        <v>1763</v>
      </c>
      <c r="I1044" t="s">
        <v>1764</v>
      </c>
      <c r="J1044">
        <v>341</v>
      </c>
      <c r="K1044" t="s">
        <v>87</v>
      </c>
      <c r="L1044" t="s">
        <v>37</v>
      </c>
      <c r="M1044" t="s">
        <v>38</v>
      </c>
      <c r="N1044" t="s">
        <v>140</v>
      </c>
    </row>
    <row r="1045" spans="1:14" x14ac:dyDescent="0.2">
      <c r="A1045">
        <v>1044</v>
      </c>
      <c r="B1045">
        <v>22</v>
      </c>
      <c r="C1045">
        <v>8</v>
      </c>
      <c r="D1045" t="s">
        <v>217</v>
      </c>
      <c r="F1045" t="s">
        <v>221</v>
      </c>
      <c r="H1045" t="s">
        <v>222</v>
      </c>
      <c r="I1045" t="s">
        <v>223</v>
      </c>
      <c r="J1045">
        <v>17</v>
      </c>
      <c r="K1045" t="s">
        <v>216</v>
      </c>
      <c r="L1045" t="s">
        <v>37</v>
      </c>
      <c r="M1045" t="s">
        <v>38</v>
      </c>
      <c r="N1045" t="s">
        <v>140</v>
      </c>
    </row>
    <row r="1046" spans="1:14" x14ac:dyDescent="0.2">
      <c r="A1046">
        <v>1045</v>
      </c>
      <c r="B1046">
        <v>22</v>
      </c>
      <c r="C1046">
        <v>9</v>
      </c>
      <c r="D1046">
        <v>111100</v>
      </c>
      <c r="F1046" t="s">
        <v>1774</v>
      </c>
      <c r="H1046" t="s">
        <v>1775</v>
      </c>
      <c r="I1046" t="s">
        <v>1776</v>
      </c>
      <c r="J1046">
        <v>6</v>
      </c>
      <c r="K1046" t="s">
        <v>72</v>
      </c>
      <c r="L1046" t="s">
        <v>1040</v>
      </c>
      <c r="M1046" t="s">
        <v>1041</v>
      </c>
      <c r="N1046" t="s">
        <v>1042</v>
      </c>
    </row>
    <row r="1047" spans="1:14" x14ac:dyDescent="0.2">
      <c r="A1047">
        <v>1046</v>
      </c>
      <c r="B1047">
        <v>22</v>
      </c>
      <c r="C1047">
        <v>9</v>
      </c>
      <c r="D1047">
        <v>347115</v>
      </c>
      <c r="F1047" t="s">
        <v>1777</v>
      </c>
      <c r="H1047" t="s">
        <v>1778</v>
      </c>
      <c r="I1047" t="s">
        <v>1779</v>
      </c>
      <c r="J1047">
        <v>74</v>
      </c>
      <c r="K1047" t="s">
        <v>72</v>
      </c>
      <c r="L1047" t="s">
        <v>1040</v>
      </c>
      <c r="M1047" t="s">
        <v>1041</v>
      </c>
      <c r="N1047" t="s">
        <v>1042</v>
      </c>
    </row>
    <row r="1048" spans="1:14" x14ac:dyDescent="0.2">
      <c r="A1048">
        <v>1047</v>
      </c>
      <c r="B1048">
        <v>22</v>
      </c>
      <c r="C1048">
        <v>9</v>
      </c>
      <c r="D1048">
        <v>347115</v>
      </c>
      <c r="F1048" t="s">
        <v>1777</v>
      </c>
      <c r="H1048" t="s">
        <v>1778</v>
      </c>
      <c r="I1048" t="s">
        <v>1779</v>
      </c>
      <c r="J1048">
        <v>33</v>
      </c>
      <c r="K1048" t="s">
        <v>72</v>
      </c>
      <c r="L1048" t="s">
        <v>1040</v>
      </c>
      <c r="M1048" t="s">
        <v>1041</v>
      </c>
      <c r="N1048" t="s">
        <v>1042</v>
      </c>
    </row>
    <row r="1049" spans="1:14" x14ac:dyDescent="0.2">
      <c r="A1049">
        <v>1048</v>
      </c>
      <c r="B1049">
        <v>22</v>
      </c>
      <c r="C1049">
        <v>9</v>
      </c>
      <c r="D1049" t="s">
        <v>217</v>
      </c>
      <c r="F1049" t="s">
        <v>221</v>
      </c>
      <c r="H1049" t="s">
        <v>222</v>
      </c>
      <c r="I1049" t="s">
        <v>223</v>
      </c>
      <c r="J1049">
        <v>106</v>
      </c>
      <c r="K1049" t="s">
        <v>216</v>
      </c>
      <c r="L1049" t="s">
        <v>37</v>
      </c>
      <c r="M1049" t="s">
        <v>38</v>
      </c>
      <c r="N1049" t="s">
        <v>140</v>
      </c>
    </row>
    <row r="1050" spans="1:14" x14ac:dyDescent="0.2">
      <c r="A1050">
        <v>1049</v>
      </c>
      <c r="B1050">
        <v>22</v>
      </c>
      <c r="C1050">
        <v>9</v>
      </c>
      <c r="D1050" t="s">
        <v>217</v>
      </c>
      <c r="F1050" t="s">
        <v>221</v>
      </c>
      <c r="H1050" t="s">
        <v>222</v>
      </c>
      <c r="I1050" t="s">
        <v>223</v>
      </c>
      <c r="J1050">
        <v>23</v>
      </c>
      <c r="K1050" t="s">
        <v>216</v>
      </c>
      <c r="L1050" t="s">
        <v>37</v>
      </c>
      <c r="M1050" t="s">
        <v>38</v>
      </c>
      <c r="N1050" t="s">
        <v>140</v>
      </c>
    </row>
    <row r="1051" spans="1:14" x14ac:dyDescent="0.2">
      <c r="A1051">
        <v>1050</v>
      </c>
      <c r="B1051">
        <v>22</v>
      </c>
      <c r="C1051">
        <v>10</v>
      </c>
      <c r="D1051">
        <v>24113</v>
      </c>
      <c r="F1051" t="s">
        <v>1765</v>
      </c>
      <c r="H1051" t="s">
        <v>1766</v>
      </c>
      <c r="I1051" t="s">
        <v>1767</v>
      </c>
      <c r="J1051">
        <v>9</v>
      </c>
      <c r="K1051" t="s">
        <v>72</v>
      </c>
      <c r="L1051" t="s">
        <v>30</v>
      </c>
      <c r="M1051" t="s">
        <v>30</v>
      </c>
      <c r="N1051" t="s">
        <v>288</v>
      </c>
    </row>
    <row r="1052" spans="1:14" x14ac:dyDescent="0.2">
      <c r="A1052">
        <v>1051</v>
      </c>
      <c r="B1052">
        <v>22</v>
      </c>
      <c r="C1052">
        <v>10</v>
      </c>
      <c r="D1052">
        <v>111100</v>
      </c>
      <c r="F1052" t="s">
        <v>1774</v>
      </c>
      <c r="H1052" t="s">
        <v>1775</v>
      </c>
      <c r="I1052" t="s">
        <v>1776</v>
      </c>
      <c r="J1052">
        <v>8</v>
      </c>
      <c r="K1052" t="s">
        <v>72</v>
      </c>
      <c r="L1052" t="s">
        <v>1040</v>
      </c>
      <c r="M1052" t="s">
        <v>1041</v>
      </c>
      <c r="N1052" t="s">
        <v>1042</v>
      </c>
    </row>
    <row r="1053" spans="1:14" x14ac:dyDescent="0.2">
      <c r="A1053">
        <v>1052</v>
      </c>
      <c r="B1053">
        <v>22</v>
      </c>
      <c r="C1053">
        <v>10</v>
      </c>
      <c r="D1053">
        <v>347115</v>
      </c>
      <c r="F1053" t="s">
        <v>1780</v>
      </c>
      <c r="H1053" t="s">
        <v>1781</v>
      </c>
      <c r="I1053" t="s">
        <v>1782</v>
      </c>
      <c r="J1053">
        <v>35</v>
      </c>
      <c r="K1053" t="s">
        <v>72</v>
      </c>
      <c r="L1053" t="s">
        <v>1040</v>
      </c>
      <c r="M1053" t="s">
        <v>1041</v>
      </c>
      <c r="N1053" t="s">
        <v>1042</v>
      </c>
    </row>
    <row r="1054" spans="1:14" x14ac:dyDescent="0.2">
      <c r="A1054">
        <v>1053</v>
      </c>
      <c r="B1054">
        <v>22</v>
      </c>
      <c r="C1054">
        <v>10</v>
      </c>
      <c r="D1054">
        <v>347115</v>
      </c>
      <c r="F1054" t="s">
        <v>1780</v>
      </c>
      <c r="H1054" t="s">
        <v>1781</v>
      </c>
      <c r="I1054" t="s">
        <v>1782</v>
      </c>
      <c r="J1054">
        <v>19</v>
      </c>
      <c r="K1054" t="s">
        <v>72</v>
      </c>
      <c r="L1054" t="s">
        <v>1040</v>
      </c>
      <c r="M1054" t="s">
        <v>1041</v>
      </c>
      <c r="N1054" t="s">
        <v>1042</v>
      </c>
    </row>
    <row r="1055" spans="1:14" x14ac:dyDescent="0.2">
      <c r="A1055">
        <v>1054</v>
      </c>
      <c r="B1055">
        <v>22</v>
      </c>
      <c r="C1055">
        <v>10</v>
      </c>
      <c r="D1055">
        <v>347115</v>
      </c>
      <c r="F1055" t="s">
        <v>1777</v>
      </c>
      <c r="H1055" t="s">
        <v>1778</v>
      </c>
      <c r="I1055" t="s">
        <v>1779</v>
      </c>
      <c r="J1055">
        <v>5</v>
      </c>
      <c r="K1055" t="s">
        <v>72</v>
      </c>
      <c r="L1055" t="s">
        <v>1040</v>
      </c>
      <c r="M1055" t="s">
        <v>1041</v>
      </c>
      <c r="N1055" t="s">
        <v>1042</v>
      </c>
    </row>
    <row r="1056" spans="1:14" x14ac:dyDescent="0.2">
      <c r="A1056">
        <v>1055</v>
      </c>
      <c r="B1056">
        <v>22</v>
      </c>
      <c r="C1056">
        <v>11</v>
      </c>
      <c r="D1056">
        <v>24113</v>
      </c>
      <c r="F1056" t="s">
        <v>1783</v>
      </c>
      <c r="H1056" t="s">
        <v>1784</v>
      </c>
      <c r="I1056" t="s">
        <v>1785</v>
      </c>
      <c r="J1056">
        <v>1</v>
      </c>
      <c r="K1056" t="s">
        <v>17</v>
      </c>
      <c r="L1056" t="s">
        <v>30</v>
      </c>
      <c r="M1056" t="s">
        <v>30</v>
      </c>
      <c r="N1056" t="s">
        <v>288</v>
      </c>
    </row>
    <row r="1057" spans="1:14" x14ac:dyDescent="0.2">
      <c r="A1057">
        <v>1056</v>
      </c>
      <c r="B1057">
        <v>22</v>
      </c>
      <c r="C1057">
        <v>11</v>
      </c>
      <c r="D1057">
        <v>347115</v>
      </c>
      <c r="F1057" t="s">
        <v>1780</v>
      </c>
      <c r="H1057" t="s">
        <v>1781</v>
      </c>
      <c r="I1057" t="s">
        <v>1782</v>
      </c>
      <c r="J1057">
        <v>2</v>
      </c>
      <c r="K1057" t="s">
        <v>72</v>
      </c>
      <c r="L1057" t="s">
        <v>1040</v>
      </c>
      <c r="M1057" t="s">
        <v>1041</v>
      </c>
      <c r="N1057" t="s">
        <v>1042</v>
      </c>
    </row>
    <row r="1058" spans="1:14" x14ac:dyDescent="0.2">
      <c r="A1058">
        <v>1057</v>
      </c>
      <c r="B1058">
        <v>22</v>
      </c>
      <c r="C1058">
        <v>11</v>
      </c>
      <c r="D1058">
        <v>347115</v>
      </c>
      <c r="F1058" t="s">
        <v>1786</v>
      </c>
      <c r="H1058" t="s">
        <v>1787</v>
      </c>
      <c r="I1058" t="s">
        <v>1788</v>
      </c>
      <c r="J1058">
        <v>430</v>
      </c>
      <c r="K1058" t="s">
        <v>36</v>
      </c>
      <c r="L1058" t="s">
        <v>1040</v>
      </c>
      <c r="M1058" t="s">
        <v>1041</v>
      </c>
      <c r="N1058" t="s">
        <v>1042</v>
      </c>
    </row>
    <row r="1059" spans="1:14" x14ac:dyDescent="0.2">
      <c r="A1059">
        <v>1058</v>
      </c>
      <c r="B1059">
        <v>22</v>
      </c>
      <c r="C1059">
        <v>11</v>
      </c>
      <c r="D1059">
        <v>347115</v>
      </c>
      <c r="F1059" t="s">
        <v>1786</v>
      </c>
      <c r="H1059" t="s">
        <v>1787</v>
      </c>
      <c r="I1059" t="s">
        <v>1788</v>
      </c>
      <c r="J1059">
        <v>161</v>
      </c>
      <c r="K1059" t="s">
        <v>36</v>
      </c>
      <c r="L1059" t="s">
        <v>1040</v>
      </c>
      <c r="M1059" t="s">
        <v>1041</v>
      </c>
      <c r="N1059" t="s">
        <v>1042</v>
      </c>
    </row>
    <row r="1060" spans="1:14" x14ac:dyDescent="0.2">
      <c r="A1060">
        <v>1059</v>
      </c>
      <c r="B1060">
        <v>22</v>
      </c>
      <c r="C1060">
        <v>11</v>
      </c>
      <c r="D1060">
        <v>347115</v>
      </c>
      <c r="F1060" t="s">
        <v>1777</v>
      </c>
      <c r="H1060" t="s">
        <v>1778</v>
      </c>
      <c r="I1060" t="s">
        <v>1779</v>
      </c>
      <c r="J1060">
        <v>8</v>
      </c>
      <c r="K1060" t="s">
        <v>72</v>
      </c>
      <c r="L1060" t="s">
        <v>1040</v>
      </c>
      <c r="M1060" t="s">
        <v>1041</v>
      </c>
      <c r="N1060" t="s">
        <v>1042</v>
      </c>
    </row>
    <row r="1061" spans="1:14" x14ac:dyDescent="0.2">
      <c r="A1061">
        <v>1060</v>
      </c>
      <c r="B1061">
        <v>22</v>
      </c>
      <c r="C1061">
        <v>12</v>
      </c>
      <c r="D1061">
        <v>111100</v>
      </c>
      <c r="F1061" t="s">
        <v>1774</v>
      </c>
      <c r="H1061" t="s">
        <v>1775</v>
      </c>
      <c r="I1061" t="s">
        <v>1776</v>
      </c>
      <c r="J1061">
        <v>38</v>
      </c>
      <c r="K1061" t="s">
        <v>72</v>
      </c>
      <c r="L1061" t="s">
        <v>1040</v>
      </c>
      <c r="M1061" t="s">
        <v>1041</v>
      </c>
      <c r="N1061" t="s">
        <v>1042</v>
      </c>
    </row>
    <row r="1062" spans="1:14" x14ac:dyDescent="0.2">
      <c r="A1062">
        <v>1061</v>
      </c>
      <c r="B1062">
        <v>22</v>
      </c>
      <c r="C1062">
        <v>12</v>
      </c>
      <c r="D1062">
        <v>260500</v>
      </c>
      <c r="F1062" t="s">
        <v>1789</v>
      </c>
      <c r="H1062" t="s">
        <v>1790</v>
      </c>
      <c r="I1062" t="s">
        <v>1791</v>
      </c>
      <c r="J1062">
        <v>2700</v>
      </c>
      <c r="K1062" t="s">
        <v>36</v>
      </c>
      <c r="L1062" t="s">
        <v>244</v>
      </c>
      <c r="M1062" t="s">
        <v>294</v>
      </c>
      <c r="N1062" t="s">
        <v>295</v>
      </c>
    </row>
    <row r="1063" spans="1:14" x14ac:dyDescent="0.2">
      <c r="A1063">
        <v>1062</v>
      </c>
      <c r="B1063">
        <v>22</v>
      </c>
      <c r="C1063">
        <v>12</v>
      </c>
      <c r="D1063">
        <v>260500</v>
      </c>
      <c r="F1063" t="s">
        <v>1789</v>
      </c>
      <c r="H1063" t="s">
        <v>1790</v>
      </c>
      <c r="I1063" t="s">
        <v>1791</v>
      </c>
      <c r="J1063">
        <v>1025</v>
      </c>
      <c r="K1063" t="s">
        <v>36</v>
      </c>
      <c r="L1063" t="s">
        <v>244</v>
      </c>
      <c r="M1063" t="s">
        <v>294</v>
      </c>
      <c r="N1063" t="s">
        <v>295</v>
      </c>
    </row>
    <row r="1064" spans="1:14" x14ac:dyDescent="0.2">
      <c r="A1064">
        <v>1063</v>
      </c>
      <c r="B1064">
        <v>22</v>
      </c>
      <c r="C1064">
        <v>12</v>
      </c>
      <c r="D1064">
        <v>347115</v>
      </c>
      <c r="F1064" t="s">
        <v>1786</v>
      </c>
      <c r="H1064" t="s">
        <v>1787</v>
      </c>
      <c r="I1064" t="s">
        <v>1788</v>
      </c>
      <c r="J1064">
        <v>98</v>
      </c>
      <c r="K1064" t="s">
        <v>36</v>
      </c>
      <c r="L1064" t="s">
        <v>1040</v>
      </c>
      <c r="M1064" t="s">
        <v>1041</v>
      </c>
      <c r="N1064" t="s">
        <v>1042</v>
      </c>
    </row>
    <row r="1065" spans="1:14" x14ac:dyDescent="0.2">
      <c r="A1065">
        <v>1064</v>
      </c>
      <c r="B1065">
        <v>22</v>
      </c>
      <c r="C1065">
        <v>12</v>
      </c>
      <c r="D1065">
        <v>347115</v>
      </c>
      <c r="F1065" t="s">
        <v>1786</v>
      </c>
      <c r="H1065" t="s">
        <v>1787</v>
      </c>
      <c r="I1065" t="s">
        <v>1788</v>
      </c>
      <c r="J1065">
        <v>82</v>
      </c>
      <c r="K1065" t="s">
        <v>36</v>
      </c>
      <c r="L1065" t="s">
        <v>1040</v>
      </c>
      <c r="M1065" t="s">
        <v>1041</v>
      </c>
      <c r="N1065" t="s">
        <v>1042</v>
      </c>
    </row>
    <row r="1066" spans="1:14" x14ac:dyDescent="0.2">
      <c r="A1066">
        <v>1065</v>
      </c>
      <c r="B1066">
        <v>22</v>
      </c>
      <c r="C1066">
        <v>13</v>
      </c>
      <c r="D1066">
        <v>260500</v>
      </c>
      <c r="F1066" t="s">
        <v>1789</v>
      </c>
      <c r="H1066" t="s">
        <v>1790</v>
      </c>
      <c r="I1066" t="s">
        <v>1791</v>
      </c>
      <c r="J1066">
        <v>80</v>
      </c>
      <c r="K1066" t="s">
        <v>36</v>
      </c>
      <c r="L1066" t="s">
        <v>244</v>
      </c>
      <c r="M1066" t="s">
        <v>294</v>
      </c>
      <c r="N1066" t="s">
        <v>295</v>
      </c>
    </row>
    <row r="1067" spans="1:14" x14ac:dyDescent="0.2">
      <c r="A1067">
        <v>1066</v>
      </c>
      <c r="B1067">
        <v>22</v>
      </c>
      <c r="C1067">
        <v>13</v>
      </c>
      <c r="D1067">
        <v>260500</v>
      </c>
      <c r="F1067" t="s">
        <v>1789</v>
      </c>
      <c r="H1067" t="s">
        <v>1790</v>
      </c>
      <c r="I1067" t="s">
        <v>1791</v>
      </c>
      <c r="J1067">
        <v>50</v>
      </c>
      <c r="K1067" t="s">
        <v>36</v>
      </c>
      <c r="L1067" t="s">
        <v>244</v>
      </c>
      <c r="M1067" t="s">
        <v>294</v>
      </c>
      <c r="N1067" t="s">
        <v>295</v>
      </c>
    </row>
    <row r="1068" spans="1:14" x14ac:dyDescent="0.2">
      <c r="A1068">
        <v>1067</v>
      </c>
      <c r="B1068">
        <v>22</v>
      </c>
      <c r="C1068">
        <v>13</v>
      </c>
      <c r="D1068">
        <v>260500</v>
      </c>
      <c r="F1068" t="s">
        <v>1792</v>
      </c>
      <c r="H1068" t="s">
        <v>1793</v>
      </c>
      <c r="I1068" t="s">
        <v>1794</v>
      </c>
      <c r="J1068">
        <v>2660</v>
      </c>
      <c r="K1068" t="s">
        <v>36</v>
      </c>
      <c r="L1068" t="s">
        <v>244</v>
      </c>
      <c r="M1068" t="s">
        <v>294</v>
      </c>
      <c r="N1068" t="s">
        <v>295</v>
      </c>
    </row>
    <row r="1069" spans="1:14" x14ac:dyDescent="0.2">
      <c r="A1069">
        <v>1068</v>
      </c>
      <c r="B1069">
        <v>22</v>
      </c>
      <c r="C1069">
        <v>13</v>
      </c>
      <c r="D1069">
        <v>260500</v>
      </c>
      <c r="F1069" t="s">
        <v>1792</v>
      </c>
      <c r="H1069" t="s">
        <v>1793</v>
      </c>
      <c r="I1069" t="s">
        <v>1794</v>
      </c>
      <c r="J1069">
        <v>1025</v>
      </c>
      <c r="K1069" t="s">
        <v>36</v>
      </c>
      <c r="L1069" t="s">
        <v>244</v>
      </c>
      <c r="M1069" t="s">
        <v>294</v>
      </c>
      <c r="N1069" t="s">
        <v>295</v>
      </c>
    </row>
    <row r="1070" spans="1:14" x14ac:dyDescent="0.2">
      <c r="A1070">
        <v>1069</v>
      </c>
      <c r="B1070">
        <v>22</v>
      </c>
      <c r="C1070">
        <v>13</v>
      </c>
      <c r="D1070">
        <v>347115</v>
      </c>
      <c r="F1070" t="s">
        <v>1777</v>
      </c>
      <c r="H1070" t="s">
        <v>1778</v>
      </c>
      <c r="I1070" t="s">
        <v>1779</v>
      </c>
      <c r="J1070">
        <v>23</v>
      </c>
      <c r="K1070" t="s">
        <v>72</v>
      </c>
      <c r="L1070" t="s">
        <v>1040</v>
      </c>
      <c r="M1070" t="s">
        <v>1041</v>
      </c>
      <c r="N1070" t="s">
        <v>1042</v>
      </c>
    </row>
    <row r="1071" spans="1:14" x14ac:dyDescent="0.2">
      <c r="A1071">
        <v>1070</v>
      </c>
      <c r="B1071">
        <v>22</v>
      </c>
      <c r="C1071">
        <v>14</v>
      </c>
      <c r="D1071">
        <v>260500</v>
      </c>
      <c r="F1071" t="s">
        <v>1795</v>
      </c>
      <c r="H1071" t="s">
        <v>1796</v>
      </c>
      <c r="I1071" t="s">
        <v>1797</v>
      </c>
      <c r="J1071">
        <v>23</v>
      </c>
      <c r="K1071" t="s">
        <v>72</v>
      </c>
      <c r="L1071" t="s">
        <v>244</v>
      </c>
      <c r="M1071" t="s">
        <v>294</v>
      </c>
      <c r="N1071" t="s">
        <v>295</v>
      </c>
    </row>
    <row r="1072" spans="1:14" x14ac:dyDescent="0.2">
      <c r="A1072">
        <v>1071</v>
      </c>
      <c r="B1072">
        <v>22</v>
      </c>
      <c r="C1072">
        <v>14</v>
      </c>
      <c r="D1072">
        <v>260500</v>
      </c>
      <c r="F1072" t="s">
        <v>1795</v>
      </c>
      <c r="H1072" t="s">
        <v>1796</v>
      </c>
      <c r="I1072" t="s">
        <v>1797</v>
      </c>
      <c r="J1072">
        <v>9</v>
      </c>
      <c r="K1072" t="s">
        <v>72</v>
      </c>
      <c r="L1072" t="s">
        <v>244</v>
      </c>
      <c r="M1072" t="s">
        <v>294</v>
      </c>
      <c r="N1072" t="s">
        <v>295</v>
      </c>
    </row>
    <row r="1073" spans="1:14" x14ac:dyDescent="0.2">
      <c r="A1073">
        <v>1072</v>
      </c>
      <c r="B1073">
        <v>22</v>
      </c>
      <c r="C1073">
        <v>14</v>
      </c>
      <c r="D1073">
        <v>260500</v>
      </c>
      <c r="F1073" t="s">
        <v>1792</v>
      </c>
      <c r="H1073" t="s">
        <v>1793</v>
      </c>
      <c r="I1073" t="s">
        <v>1794</v>
      </c>
      <c r="J1073">
        <v>80</v>
      </c>
      <c r="K1073" t="s">
        <v>36</v>
      </c>
      <c r="L1073" t="s">
        <v>244</v>
      </c>
      <c r="M1073" t="s">
        <v>294</v>
      </c>
      <c r="N1073" t="s">
        <v>295</v>
      </c>
    </row>
    <row r="1074" spans="1:14" x14ac:dyDescent="0.2">
      <c r="A1074">
        <v>1073</v>
      </c>
      <c r="B1074">
        <v>22</v>
      </c>
      <c r="C1074">
        <v>14</v>
      </c>
      <c r="D1074">
        <v>260500</v>
      </c>
      <c r="F1074" t="s">
        <v>1792</v>
      </c>
      <c r="H1074" t="s">
        <v>1793</v>
      </c>
      <c r="I1074" t="s">
        <v>1794</v>
      </c>
      <c r="J1074">
        <v>50</v>
      </c>
      <c r="K1074" t="s">
        <v>36</v>
      </c>
      <c r="L1074" t="s">
        <v>244</v>
      </c>
      <c r="M1074" t="s">
        <v>294</v>
      </c>
      <c r="N1074" t="s">
        <v>295</v>
      </c>
    </row>
    <row r="1075" spans="1:14" x14ac:dyDescent="0.2">
      <c r="A1075">
        <v>1074</v>
      </c>
      <c r="B1075">
        <v>22</v>
      </c>
      <c r="C1075">
        <v>14</v>
      </c>
      <c r="D1075">
        <v>347115</v>
      </c>
      <c r="F1075" t="s">
        <v>1780</v>
      </c>
      <c r="H1075" t="s">
        <v>1781</v>
      </c>
      <c r="I1075" t="s">
        <v>1782</v>
      </c>
      <c r="J1075">
        <v>7</v>
      </c>
      <c r="K1075" t="s">
        <v>72</v>
      </c>
      <c r="L1075" t="s">
        <v>1040</v>
      </c>
      <c r="M1075" t="s">
        <v>1041</v>
      </c>
      <c r="N1075" t="s">
        <v>1042</v>
      </c>
    </row>
    <row r="1076" spans="1:14" x14ac:dyDescent="0.2">
      <c r="A1076">
        <v>1075</v>
      </c>
      <c r="B1076">
        <v>22</v>
      </c>
      <c r="C1076">
        <v>15</v>
      </c>
      <c r="D1076">
        <v>260500</v>
      </c>
      <c r="F1076" t="s">
        <v>1798</v>
      </c>
      <c r="H1076" t="s">
        <v>1799</v>
      </c>
      <c r="I1076" t="s">
        <v>1800</v>
      </c>
      <c r="J1076">
        <v>1</v>
      </c>
      <c r="K1076" t="s">
        <v>72</v>
      </c>
      <c r="L1076" t="s">
        <v>244</v>
      </c>
      <c r="M1076" t="s">
        <v>294</v>
      </c>
      <c r="N1076" t="s">
        <v>295</v>
      </c>
    </row>
    <row r="1077" spans="1:14" x14ac:dyDescent="0.2">
      <c r="A1077">
        <v>1076</v>
      </c>
      <c r="B1077">
        <v>22</v>
      </c>
      <c r="C1077">
        <v>15</v>
      </c>
      <c r="D1077">
        <v>260500</v>
      </c>
      <c r="F1077" t="s">
        <v>1801</v>
      </c>
      <c r="H1077" t="s">
        <v>1802</v>
      </c>
      <c r="I1077" t="s">
        <v>1803</v>
      </c>
      <c r="J1077">
        <v>70</v>
      </c>
      <c r="K1077" t="s">
        <v>36</v>
      </c>
      <c r="L1077" t="s">
        <v>244</v>
      </c>
      <c r="M1077" t="s">
        <v>294</v>
      </c>
      <c r="N1077" t="s">
        <v>295</v>
      </c>
    </row>
    <row r="1078" spans="1:14" x14ac:dyDescent="0.2">
      <c r="A1078">
        <v>1077</v>
      </c>
      <c r="B1078">
        <v>22</v>
      </c>
      <c r="C1078">
        <v>15</v>
      </c>
      <c r="D1078">
        <v>263343</v>
      </c>
      <c r="F1078" t="s">
        <v>1804</v>
      </c>
      <c r="H1078" t="s">
        <v>1805</v>
      </c>
      <c r="I1078" t="s">
        <v>1806</v>
      </c>
      <c r="J1078">
        <v>9</v>
      </c>
      <c r="K1078" t="s">
        <v>72</v>
      </c>
      <c r="L1078" t="s">
        <v>244</v>
      </c>
      <c r="M1078" t="s">
        <v>1807</v>
      </c>
      <c r="N1078" t="s">
        <v>1808</v>
      </c>
    </row>
    <row r="1079" spans="1:14" x14ac:dyDescent="0.2">
      <c r="A1079">
        <v>1078</v>
      </c>
      <c r="B1079">
        <v>22</v>
      </c>
      <c r="C1079">
        <v>15</v>
      </c>
      <c r="D1079">
        <v>347115</v>
      </c>
      <c r="F1079" t="s">
        <v>1786</v>
      </c>
      <c r="H1079" t="s">
        <v>1787</v>
      </c>
      <c r="I1079" t="s">
        <v>1788</v>
      </c>
      <c r="J1079">
        <v>105</v>
      </c>
      <c r="K1079" t="s">
        <v>36</v>
      </c>
      <c r="L1079" t="s">
        <v>1040</v>
      </c>
      <c r="M1079" t="s">
        <v>1041</v>
      </c>
      <c r="N1079" t="s">
        <v>1042</v>
      </c>
    </row>
    <row r="1080" spans="1:14" x14ac:dyDescent="0.2">
      <c r="A1080">
        <v>1079</v>
      </c>
      <c r="B1080">
        <v>22</v>
      </c>
      <c r="C1080">
        <v>16</v>
      </c>
      <c r="D1080">
        <v>260500</v>
      </c>
      <c r="F1080" t="s">
        <v>1798</v>
      </c>
      <c r="H1080" t="s">
        <v>1799</v>
      </c>
      <c r="I1080" t="s">
        <v>1800</v>
      </c>
      <c r="J1080">
        <v>1</v>
      </c>
      <c r="K1080" t="s">
        <v>72</v>
      </c>
      <c r="L1080" t="s">
        <v>244</v>
      </c>
      <c r="M1080" t="s">
        <v>294</v>
      </c>
      <c r="N1080" t="s">
        <v>295</v>
      </c>
    </row>
    <row r="1081" spans="1:14" x14ac:dyDescent="0.2">
      <c r="A1081">
        <v>1080</v>
      </c>
      <c r="B1081">
        <v>22</v>
      </c>
      <c r="C1081">
        <v>16</v>
      </c>
      <c r="D1081">
        <v>260500</v>
      </c>
      <c r="F1081" t="s">
        <v>1789</v>
      </c>
      <c r="H1081" t="s">
        <v>1790</v>
      </c>
      <c r="I1081" t="s">
        <v>1791</v>
      </c>
      <c r="J1081">
        <v>858</v>
      </c>
      <c r="K1081" t="s">
        <v>36</v>
      </c>
      <c r="L1081" t="s">
        <v>244</v>
      </c>
      <c r="M1081" t="s">
        <v>294</v>
      </c>
      <c r="N1081" t="s">
        <v>295</v>
      </c>
    </row>
    <row r="1082" spans="1:14" x14ac:dyDescent="0.2">
      <c r="A1082">
        <v>1081</v>
      </c>
      <c r="B1082">
        <v>22</v>
      </c>
      <c r="C1082">
        <v>16</v>
      </c>
      <c r="D1082">
        <v>260500</v>
      </c>
      <c r="F1082" t="s">
        <v>1809</v>
      </c>
      <c r="H1082" t="s">
        <v>1810</v>
      </c>
      <c r="I1082" t="s">
        <v>1811</v>
      </c>
      <c r="J1082">
        <v>1</v>
      </c>
      <c r="K1082" t="s">
        <v>17</v>
      </c>
      <c r="L1082" t="s">
        <v>244</v>
      </c>
      <c r="M1082" t="s">
        <v>294</v>
      </c>
      <c r="N1082" t="s">
        <v>295</v>
      </c>
    </row>
    <row r="1083" spans="1:14" x14ac:dyDescent="0.2">
      <c r="A1083">
        <v>1082</v>
      </c>
      <c r="B1083">
        <v>22</v>
      </c>
      <c r="C1083">
        <v>16</v>
      </c>
      <c r="D1083">
        <v>263343</v>
      </c>
      <c r="F1083" t="s">
        <v>1804</v>
      </c>
      <c r="H1083" t="s">
        <v>1805</v>
      </c>
      <c r="I1083" t="s">
        <v>1806</v>
      </c>
      <c r="J1083">
        <v>1</v>
      </c>
      <c r="K1083" t="s">
        <v>72</v>
      </c>
      <c r="L1083" t="s">
        <v>244</v>
      </c>
      <c r="M1083" t="s">
        <v>1807</v>
      </c>
      <c r="N1083" t="s">
        <v>1808</v>
      </c>
    </row>
    <row r="1084" spans="1:14" x14ac:dyDescent="0.2">
      <c r="A1084">
        <v>1083</v>
      </c>
      <c r="B1084">
        <v>22</v>
      </c>
      <c r="C1084">
        <v>16</v>
      </c>
      <c r="D1084">
        <v>263343</v>
      </c>
      <c r="F1084" t="s">
        <v>1812</v>
      </c>
      <c r="H1084" t="s">
        <v>1813</v>
      </c>
      <c r="I1084" t="s">
        <v>1814</v>
      </c>
      <c r="J1084">
        <v>14</v>
      </c>
      <c r="K1084" t="s">
        <v>72</v>
      </c>
      <c r="L1084" t="s">
        <v>244</v>
      </c>
      <c r="M1084" t="s">
        <v>1807</v>
      </c>
      <c r="N1084" t="s">
        <v>1808</v>
      </c>
    </row>
    <row r="1085" spans="1:14" x14ac:dyDescent="0.2">
      <c r="A1085">
        <v>1084</v>
      </c>
      <c r="B1085">
        <v>22</v>
      </c>
      <c r="C1085">
        <v>17</v>
      </c>
      <c r="D1085">
        <v>260500</v>
      </c>
      <c r="F1085" t="s">
        <v>1792</v>
      </c>
      <c r="H1085" t="s">
        <v>1793</v>
      </c>
      <c r="I1085" t="s">
        <v>1794</v>
      </c>
      <c r="J1085">
        <v>868</v>
      </c>
      <c r="K1085" t="s">
        <v>36</v>
      </c>
      <c r="L1085" t="s">
        <v>244</v>
      </c>
      <c r="M1085" t="s">
        <v>294</v>
      </c>
      <c r="N1085" t="s">
        <v>295</v>
      </c>
    </row>
    <row r="1086" spans="1:14" x14ac:dyDescent="0.2">
      <c r="A1086">
        <v>1085</v>
      </c>
      <c r="B1086">
        <v>22</v>
      </c>
      <c r="C1086">
        <v>17</v>
      </c>
      <c r="D1086">
        <v>260500</v>
      </c>
      <c r="F1086" t="s">
        <v>1815</v>
      </c>
      <c r="G1086" t="s">
        <v>1816</v>
      </c>
      <c r="H1086" t="s">
        <v>1817</v>
      </c>
      <c r="I1086" t="s">
        <v>1818</v>
      </c>
      <c r="J1086">
        <v>2</v>
      </c>
      <c r="K1086" t="s">
        <v>72</v>
      </c>
      <c r="L1086" t="s">
        <v>244</v>
      </c>
      <c r="M1086" t="s">
        <v>294</v>
      </c>
      <c r="N1086" t="s">
        <v>295</v>
      </c>
    </row>
    <row r="1087" spans="1:14" x14ac:dyDescent="0.2">
      <c r="A1087">
        <v>1086</v>
      </c>
      <c r="B1087">
        <v>22</v>
      </c>
      <c r="C1087">
        <v>17</v>
      </c>
      <c r="D1087">
        <v>263343</v>
      </c>
      <c r="F1087" t="s">
        <v>1804</v>
      </c>
      <c r="H1087" t="s">
        <v>1805</v>
      </c>
      <c r="I1087" t="s">
        <v>1806</v>
      </c>
      <c r="J1087">
        <v>24</v>
      </c>
      <c r="K1087" t="s">
        <v>72</v>
      </c>
      <c r="L1087" t="s">
        <v>244</v>
      </c>
      <c r="M1087" t="s">
        <v>1807</v>
      </c>
      <c r="N1087" t="s">
        <v>1808</v>
      </c>
    </row>
    <row r="1088" spans="1:14" x14ac:dyDescent="0.2">
      <c r="A1088">
        <v>1087</v>
      </c>
      <c r="B1088">
        <v>22</v>
      </c>
      <c r="C1088">
        <v>17</v>
      </c>
      <c r="D1088">
        <v>263343</v>
      </c>
      <c r="F1088" t="s">
        <v>1812</v>
      </c>
      <c r="H1088" t="s">
        <v>1813</v>
      </c>
      <c r="I1088" t="s">
        <v>1814</v>
      </c>
      <c r="J1088">
        <v>3</v>
      </c>
      <c r="K1088" t="s">
        <v>72</v>
      </c>
      <c r="L1088" t="s">
        <v>244</v>
      </c>
      <c r="M1088" t="s">
        <v>1807</v>
      </c>
      <c r="N1088" t="s">
        <v>1808</v>
      </c>
    </row>
    <row r="1089" spans="1:14" x14ac:dyDescent="0.2">
      <c r="A1089">
        <v>1088</v>
      </c>
      <c r="B1089">
        <v>22</v>
      </c>
      <c r="C1089">
        <v>17</v>
      </c>
      <c r="D1089">
        <v>271000</v>
      </c>
      <c r="F1089" t="s">
        <v>1819</v>
      </c>
      <c r="H1089" t="s">
        <v>1820</v>
      </c>
      <c r="I1089" t="s">
        <v>1821</v>
      </c>
      <c r="J1089">
        <v>14</v>
      </c>
      <c r="K1089" t="s">
        <v>72</v>
      </c>
      <c r="L1089" t="s">
        <v>244</v>
      </c>
      <c r="M1089" t="s">
        <v>1019</v>
      </c>
      <c r="N1089" t="s">
        <v>1020</v>
      </c>
    </row>
    <row r="1090" spans="1:14" x14ac:dyDescent="0.2">
      <c r="A1090">
        <v>1089</v>
      </c>
      <c r="B1090">
        <v>22</v>
      </c>
      <c r="C1090">
        <v>18</v>
      </c>
      <c r="D1090">
        <v>260500</v>
      </c>
      <c r="F1090" t="s">
        <v>1801</v>
      </c>
      <c r="H1090" t="s">
        <v>1802</v>
      </c>
      <c r="I1090" t="s">
        <v>1803</v>
      </c>
      <c r="J1090">
        <v>1600</v>
      </c>
      <c r="K1090" t="s">
        <v>36</v>
      </c>
      <c r="L1090" t="s">
        <v>244</v>
      </c>
      <c r="M1090" t="s">
        <v>294</v>
      </c>
      <c r="N1090" t="s">
        <v>295</v>
      </c>
    </row>
    <row r="1091" spans="1:14" x14ac:dyDescent="0.2">
      <c r="A1091">
        <v>1090</v>
      </c>
      <c r="B1091">
        <v>22</v>
      </c>
      <c r="C1091">
        <v>18</v>
      </c>
      <c r="D1091">
        <v>263343</v>
      </c>
      <c r="F1091" t="s">
        <v>1804</v>
      </c>
      <c r="H1091" t="s">
        <v>1805</v>
      </c>
      <c r="I1091" t="s">
        <v>1806</v>
      </c>
      <c r="J1091">
        <v>1</v>
      </c>
      <c r="K1091" t="s">
        <v>72</v>
      </c>
      <c r="L1091" t="s">
        <v>244</v>
      </c>
      <c r="M1091" t="s">
        <v>1807</v>
      </c>
      <c r="N1091" t="s">
        <v>1808</v>
      </c>
    </row>
    <row r="1092" spans="1:14" x14ac:dyDescent="0.2">
      <c r="A1092">
        <v>1091</v>
      </c>
      <c r="B1092">
        <v>22</v>
      </c>
      <c r="C1092">
        <v>18</v>
      </c>
      <c r="D1092">
        <v>263343</v>
      </c>
      <c r="F1092" t="s">
        <v>1812</v>
      </c>
      <c r="H1092" t="s">
        <v>1813</v>
      </c>
      <c r="I1092" t="s">
        <v>1814</v>
      </c>
      <c r="J1092">
        <v>36</v>
      </c>
      <c r="K1092" t="s">
        <v>72</v>
      </c>
      <c r="L1092" t="s">
        <v>244</v>
      </c>
      <c r="M1092" t="s">
        <v>1807</v>
      </c>
      <c r="N1092" t="s">
        <v>1808</v>
      </c>
    </row>
    <row r="1093" spans="1:14" x14ac:dyDescent="0.2">
      <c r="A1093">
        <v>1092</v>
      </c>
      <c r="B1093">
        <v>22</v>
      </c>
      <c r="C1093">
        <v>18</v>
      </c>
      <c r="D1093">
        <v>271000</v>
      </c>
      <c r="F1093" t="s">
        <v>1822</v>
      </c>
      <c r="H1093" t="s">
        <v>1823</v>
      </c>
      <c r="I1093" t="s">
        <v>1824</v>
      </c>
      <c r="J1093">
        <v>900</v>
      </c>
      <c r="K1093" t="s">
        <v>36</v>
      </c>
      <c r="L1093" t="s">
        <v>244</v>
      </c>
      <c r="M1093" t="s">
        <v>1019</v>
      </c>
      <c r="N1093" t="s">
        <v>1020</v>
      </c>
    </row>
    <row r="1094" spans="1:14" x14ac:dyDescent="0.2">
      <c r="A1094">
        <v>1093</v>
      </c>
      <c r="B1094">
        <v>22</v>
      </c>
      <c r="C1094">
        <v>18</v>
      </c>
      <c r="D1094">
        <v>271000</v>
      </c>
      <c r="F1094" t="s">
        <v>1819</v>
      </c>
      <c r="H1094" t="s">
        <v>1820</v>
      </c>
      <c r="I1094" t="s">
        <v>1821</v>
      </c>
      <c r="J1094">
        <v>1</v>
      </c>
      <c r="K1094" t="s">
        <v>72</v>
      </c>
      <c r="L1094" t="s">
        <v>244</v>
      </c>
      <c r="M1094" t="s">
        <v>1019</v>
      </c>
      <c r="N1094" t="s">
        <v>1020</v>
      </c>
    </row>
    <row r="1095" spans="1:14" x14ac:dyDescent="0.2">
      <c r="A1095">
        <v>1094</v>
      </c>
      <c r="B1095">
        <v>22</v>
      </c>
      <c r="C1095">
        <v>19</v>
      </c>
      <c r="D1095">
        <v>260500</v>
      </c>
      <c r="F1095" t="s">
        <v>1798</v>
      </c>
      <c r="H1095" t="s">
        <v>1799</v>
      </c>
      <c r="I1095" t="s">
        <v>1800</v>
      </c>
      <c r="J1095">
        <v>6</v>
      </c>
      <c r="K1095" t="s">
        <v>72</v>
      </c>
      <c r="L1095" t="s">
        <v>244</v>
      </c>
      <c r="M1095" t="s">
        <v>294</v>
      </c>
      <c r="N1095" t="s">
        <v>295</v>
      </c>
    </row>
    <row r="1096" spans="1:14" x14ac:dyDescent="0.2">
      <c r="A1096">
        <v>1095</v>
      </c>
      <c r="B1096">
        <v>22</v>
      </c>
      <c r="C1096">
        <v>19</v>
      </c>
      <c r="D1096">
        <v>263343</v>
      </c>
      <c r="F1096" t="s">
        <v>1812</v>
      </c>
      <c r="H1096" t="s">
        <v>1813</v>
      </c>
      <c r="I1096" t="s">
        <v>1814</v>
      </c>
      <c r="J1096">
        <v>2</v>
      </c>
      <c r="K1096" t="s">
        <v>72</v>
      </c>
      <c r="L1096" t="s">
        <v>244</v>
      </c>
      <c r="M1096" t="s">
        <v>1807</v>
      </c>
      <c r="N1096" t="s">
        <v>1808</v>
      </c>
    </row>
    <row r="1097" spans="1:14" x14ac:dyDescent="0.2">
      <c r="A1097">
        <v>1096</v>
      </c>
      <c r="B1097">
        <v>22</v>
      </c>
      <c r="C1097">
        <v>19</v>
      </c>
      <c r="D1097">
        <v>271000</v>
      </c>
      <c r="F1097" t="s">
        <v>1825</v>
      </c>
      <c r="H1097" t="s">
        <v>1826</v>
      </c>
      <c r="I1097" t="s">
        <v>1827</v>
      </c>
      <c r="J1097">
        <v>23</v>
      </c>
      <c r="K1097" t="s">
        <v>72</v>
      </c>
      <c r="L1097" t="s">
        <v>244</v>
      </c>
      <c r="M1097" t="s">
        <v>1019</v>
      </c>
      <c r="N1097" t="s">
        <v>1020</v>
      </c>
    </row>
    <row r="1098" spans="1:14" x14ac:dyDescent="0.2">
      <c r="A1098">
        <v>1097</v>
      </c>
      <c r="B1098">
        <v>22</v>
      </c>
      <c r="C1098">
        <v>19</v>
      </c>
      <c r="D1098">
        <v>271000</v>
      </c>
      <c r="F1098" t="s">
        <v>1822</v>
      </c>
      <c r="H1098" t="s">
        <v>1823</v>
      </c>
      <c r="I1098" t="s">
        <v>1824</v>
      </c>
      <c r="J1098">
        <v>100</v>
      </c>
      <c r="K1098" t="s">
        <v>36</v>
      </c>
      <c r="L1098" t="s">
        <v>244</v>
      </c>
      <c r="M1098" t="s">
        <v>1019</v>
      </c>
      <c r="N1098" t="s">
        <v>1020</v>
      </c>
    </row>
    <row r="1099" spans="1:14" x14ac:dyDescent="0.2">
      <c r="A1099">
        <v>1098</v>
      </c>
      <c r="B1099">
        <v>22</v>
      </c>
      <c r="C1099">
        <v>19</v>
      </c>
      <c r="D1099">
        <v>271000</v>
      </c>
      <c r="F1099" t="s">
        <v>1819</v>
      </c>
      <c r="H1099" t="s">
        <v>1820</v>
      </c>
      <c r="I1099" t="s">
        <v>1821</v>
      </c>
      <c r="J1099">
        <v>30</v>
      </c>
      <c r="K1099" t="s">
        <v>72</v>
      </c>
      <c r="L1099" t="s">
        <v>244</v>
      </c>
      <c r="M1099" t="s">
        <v>1019</v>
      </c>
      <c r="N1099" t="s">
        <v>1020</v>
      </c>
    </row>
    <row r="1100" spans="1:14" x14ac:dyDescent="0.2">
      <c r="A1100">
        <v>1099</v>
      </c>
      <c r="B1100">
        <v>22</v>
      </c>
      <c r="C1100">
        <v>20</v>
      </c>
      <c r="D1100">
        <v>260500</v>
      </c>
      <c r="F1100" t="s">
        <v>1815</v>
      </c>
      <c r="G1100" t="s">
        <v>1816</v>
      </c>
      <c r="H1100" t="s">
        <v>1817</v>
      </c>
      <c r="I1100" t="s">
        <v>1818</v>
      </c>
      <c r="J1100">
        <v>2</v>
      </c>
      <c r="K1100" t="s">
        <v>72</v>
      </c>
      <c r="L1100" t="s">
        <v>244</v>
      </c>
      <c r="M1100" t="s">
        <v>294</v>
      </c>
      <c r="N1100" t="s">
        <v>295</v>
      </c>
    </row>
    <row r="1101" spans="1:14" x14ac:dyDescent="0.2">
      <c r="A1101">
        <v>1100</v>
      </c>
      <c r="B1101">
        <v>22</v>
      </c>
      <c r="C1101">
        <v>20</v>
      </c>
      <c r="D1101">
        <v>271000</v>
      </c>
      <c r="F1101" t="s">
        <v>1825</v>
      </c>
      <c r="H1101" t="s">
        <v>1826</v>
      </c>
      <c r="I1101" t="s">
        <v>1827</v>
      </c>
      <c r="J1101">
        <v>4</v>
      </c>
      <c r="K1101" t="s">
        <v>72</v>
      </c>
      <c r="L1101" t="s">
        <v>244</v>
      </c>
      <c r="M1101" t="s">
        <v>1019</v>
      </c>
      <c r="N1101" t="s">
        <v>1020</v>
      </c>
    </row>
    <row r="1102" spans="1:14" x14ac:dyDescent="0.2">
      <c r="A1102">
        <v>1101</v>
      </c>
      <c r="B1102">
        <v>22</v>
      </c>
      <c r="C1102">
        <v>20</v>
      </c>
      <c r="D1102">
        <v>271000</v>
      </c>
      <c r="F1102" t="s">
        <v>1822</v>
      </c>
      <c r="H1102" t="s">
        <v>1823</v>
      </c>
      <c r="I1102" t="s">
        <v>1824</v>
      </c>
      <c r="J1102">
        <v>2400</v>
      </c>
      <c r="K1102" t="s">
        <v>36</v>
      </c>
      <c r="L1102" t="s">
        <v>244</v>
      </c>
      <c r="M1102" t="s">
        <v>1019</v>
      </c>
      <c r="N1102" t="s">
        <v>1020</v>
      </c>
    </row>
    <row r="1103" spans="1:14" x14ac:dyDescent="0.2">
      <c r="A1103">
        <v>1102</v>
      </c>
      <c r="B1103">
        <v>22</v>
      </c>
      <c r="C1103">
        <v>20</v>
      </c>
      <c r="D1103">
        <v>271000</v>
      </c>
      <c r="F1103" t="s">
        <v>1819</v>
      </c>
      <c r="H1103" t="s">
        <v>1820</v>
      </c>
      <c r="I1103" t="s">
        <v>1821</v>
      </c>
      <c r="J1103">
        <v>1</v>
      </c>
      <c r="K1103" t="s">
        <v>72</v>
      </c>
      <c r="L1103" t="s">
        <v>244</v>
      </c>
      <c r="M1103" t="s">
        <v>1019</v>
      </c>
      <c r="N1103" t="s">
        <v>1020</v>
      </c>
    </row>
    <row r="1104" spans="1:14" x14ac:dyDescent="0.2">
      <c r="A1104">
        <v>1103</v>
      </c>
      <c r="B1104">
        <v>22</v>
      </c>
      <c r="C1104">
        <v>21</v>
      </c>
      <c r="D1104">
        <v>263343</v>
      </c>
      <c r="F1104" t="s">
        <v>1804</v>
      </c>
      <c r="H1104" t="s">
        <v>1805</v>
      </c>
      <c r="I1104" t="s">
        <v>1806</v>
      </c>
      <c r="J1104">
        <v>6</v>
      </c>
      <c r="K1104" t="s">
        <v>72</v>
      </c>
      <c r="L1104" t="s">
        <v>244</v>
      </c>
      <c r="M1104" t="s">
        <v>1807</v>
      </c>
      <c r="N1104" t="s">
        <v>1808</v>
      </c>
    </row>
    <row r="1105" spans="1:14" x14ac:dyDescent="0.2">
      <c r="A1105">
        <v>1104</v>
      </c>
      <c r="B1105">
        <v>22</v>
      </c>
      <c r="C1105">
        <v>21</v>
      </c>
      <c r="D1105">
        <v>271000</v>
      </c>
      <c r="F1105" t="s">
        <v>1825</v>
      </c>
      <c r="H1105" t="s">
        <v>1826</v>
      </c>
      <c r="I1105" t="s">
        <v>1827</v>
      </c>
      <c r="J1105">
        <v>61</v>
      </c>
      <c r="K1105" t="s">
        <v>72</v>
      </c>
      <c r="L1105" t="s">
        <v>244</v>
      </c>
      <c r="M1105" t="s">
        <v>1019</v>
      </c>
      <c r="N1105" t="s">
        <v>1020</v>
      </c>
    </row>
    <row r="1106" spans="1:14" x14ac:dyDescent="0.2">
      <c r="A1106">
        <v>1105</v>
      </c>
      <c r="B1106">
        <v>22</v>
      </c>
      <c r="C1106">
        <v>21</v>
      </c>
      <c r="D1106">
        <v>271000</v>
      </c>
      <c r="F1106" t="s">
        <v>1822</v>
      </c>
      <c r="H1106" t="s">
        <v>1823</v>
      </c>
      <c r="I1106" t="s">
        <v>1824</v>
      </c>
      <c r="J1106">
        <v>100</v>
      </c>
      <c r="K1106" t="s">
        <v>36</v>
      </c>
      <c r="L1106" t="s">
        <v>244</v>
      </c>
      <c r="M1106" t="s">
        <v>1019</v>
      </c>
      <c r="N1106" t="s">
        <v>1020</v>
      </c>
    </row>
    <row r="1107" spans="1:14" x14ac:dyDescent="0.2">
      <c r="A1107">
        <v>1106</v>
      </c>
      <c r="B1107">
        <v>22</v>
      </c>
      <c r="C1107">
        <v>22</v>
      </c>
      <c r="D1107">
        <v>263343</v>
      </c>
      <c r="F1107" t="s">
        <v>1812</v>
      </c>
      <c r="H1107" t="s">
        <v>1813</v>
      </c>
      <c r="I1107" t="s">
        <v>1814</v>
      </c>
      <c r="J1107">
        <v>13</v>
      </c>
      <c r="K1107" t="s">
        <v>72</v>
      </c>
      <c r="L1107" t="s">
        <v>244</v>
      </c>
      <c r="M1107" t="s">
        <v>1807</v>
      </c>
      <c r="N1107" t="s">
        <v>1808</v>
      </c>
    </row>
    <row r="1108" spans="1:14" x14ac:dyDescent="0.2">
      <c r="A1108">
        <v>1107</v>
      </c>
      <c r="B1108">
        <v>22</v>
      </c>
      <c r="C1108">
        <v>22</v>
      </c>
      <c r="D1108">
        <v>271000</v>
      </c>
      <c r="F1108" t="s">
        <v>1825</v>
      </c>
      <c r="H1108" t="s">
        <v>1826</v>
      </c>
      <c r="I1108" t="s">
        <v>1827</v>
      </c>
      <c r="J1108">
        <v>3</v>
      </c>
      <c r="K1108" t="s">
        <v>72</v>
      </c>
      <c r="L1108" t="s">
        <v>244</v>
      </c>
      <c r="M1108" t="s">
        <v>1019</v>
      </c>
      <c r="N1108" t="s">
        <v>1020</v>
      </c>
    </row>
    <row r="1109" spans="1:14" x14ac:dyDescent="0.2">
      <c r="A1109">
        <v>1108</v>
      </c>
      <c r="B1109">
        <v>22</v>
      </c>
      <c r="C1109">
        <v>23</v>
      </c>
      <c r="D1109">
        <v>271000</v>
      </c>
      <c r="F1109" t="s">
        <v>1819</v>
      </c>
      <c r="H1109" t="s">
        <v>1820</v>
      </c>
      <c r="I1109" t="s">
        <v>1821</v>
      </c>
      <c r="J1109">
        <v>6</v>
      </c>
      <c r="K1109" t="s">
        <v>72</v>
      </c>
      <c r="L1109" t="s">
        <v>244</v>
      </c>
      <c r="M1109" t="s">
        <v>1019</v>
      </c>
      <c r="N1109" t="s">
        <v>1020</v>
      </c>
    </row>
    <row r="1110" spans="1:14" x14ac:dyDescent="0.2">
      <c r="A1110">
        <v>1109</v>
      </c>
      <c r="B1110">
        <v>22</v>
      </c>
      <c r="C1110">
        <v>24</v>
      </c>
      <c r="D1110">
        <v>271000</v>
      </c>
      <c r="F1110" t="s">
        <v>1822</v>
      </c>
      <c r="H1110" t="s">
        <v>1823</v>
      </c>
      <c r="I1110" t="s">
        <v>1824</v>
      </c>
      <c r="J1110">
        <v>878</v>
      </c>
      <c r="K1110" t="s">
        <v>36</v>
      </c>
      <c r="L1110" t="s">
        <v>244</v>
      </c>
      <c r="M1110" t="s">
        <v>1019</v>
      </c>
      <c r="N1110" t="s">
        <v>1020</v>
      </c>
    </row>
    <row r="1111" spans="1:14" x14ac:dyDescent="0.2">
      <c r="A1111">
        <v>1110</v>
      </c>
      <c r="B1111">
        <v>22</v>
      </c>
      <c r="C1111">
        <v>25</v>
      </c>
      <c r="D1111">
        <v>271000</v>
      </c>
      <c r="F1111" t="s">
        <v>1825</v>
      </c>
      <c r="H1111" t="s">
        <v>1826</v>
      </c>
      <c r="I1111" t="s">
        <v>1827</v>
      </c>
      <c r="J1111">
        <v>19</v>
      </c>
      <c r="K1111" t="s">
        <v>72</v>
      </c>
      <c r="L1111" t="s">
        <v>244</v>
      </c>
      <c r="M1111" t="s">
        <v>1019</v>
      </c>
      <c r="N1111" t="s">
        <v>1020</v>
      </c>
    </row>
    <row r="1112" spans="1:14" x14ac:dyDescent="0.2">
      <c r="A1112">
        <v>1111</v>
      </c>
      <c r="B1112">
        <v>23</v>
      </c>
      <c r="C1112">
        <v>1</v>
      </c>
      <c r="D1112">
        <v>12200</v>
      </c>
      <c r="F1112" t="s">
        <v>109</v>
      </c>
      <c r="H1112" t="s">
        <v>110</v>
      </c>
      <c r="I1112" t="s">
        <v>111</v>
      </c>
      <c r="J1112">
        <v>1</v>
      </c>
      <c r="K1112" t="s">
        <v>17</v>
      </c>
      <c r="L1112" t="s">
        <v>18</v>
      </c>
      <c r="M1112" t="s">
        <v>19</v>
      </c>
      <c r="N1112" t="s">
        <v>108</v>
      </c>
    </row>
    <row r="1113" spans="1:14" x14ac:dyDescent="0.2">
      <c r="A1113">
        <v>1112</v>
      </c>
      <c r="B1113">
        <v>23</v>
      </c>
      <c r="C1113">
        <v>1</v>
      </c>
      <c r="D1113" t="s">
        <v>806</v>
      </c>
      <c r="F1113" t="s">
        <v>807</v>
      </c>
      <c r="H1113" t="s">
        <v>808</v>
      </c>
      <c r="I1113" t="s">
        <v>809</v>
      </c>
      <c r="J1113">
        <v>1</v>
      </c>
      <c r="K1113" t="s">
        <v>17</v>
      </c>
      <c r="L1113" t="s">
        <v>18</v>
      </c>
      <c r="M1113" t="s">
        <v>19</v>
      </c>
      <c r="N1113" t="s">
        <v>108</v>
      </c>
    </row>
    <row r="1114" spans="1:14" x14ac:dyDescent="0.2">
      <c r="A1114">
        <v>1113</v>
      </c>
      <c r="B1114">
        <v>23</v>
      </c>
      <c r="C1114">
        <v>2</v>
      </c>
      <c r="D1114">
        <v>12200</v>
      </c>
      <c r="F1114" t="s">
        <v>112</v>
      </c>
      <c r="H1114" t="s">
        <v>113</v>
      </c>
      <c r="I1114" t="s">
        <v>114</v>
      </c>
      <c r="J1114">
        <v>1</v>
      </c>
      <c r="K1114" t="s">
        <v>17</v>
      </c>
      <c r="L1114" t="s">
        <v>18</v>
      </c>
      <c r="M1114" t="s">
        <v>19</v>
      </c>
      <c r="N1114" t="s">
        <v>108</v>
      </c>
    </row>
    <row r="1115" spans="1:14" x14ac:dyDescent="0.2">
      <c r="A1115">
        <v>1114</v>
      </c>
      <c r="B1115">
        <v>23</v>
      </c>
      <c r="C1115">
        <v>2</v>
      </c>
      <c r="D1115" t="s">
        <v>136</v>
      </c>
      <c r="F1115" t="s">
        <v>145</v>
      </c>
      <c r="G1115" t="s">
        <v>1828</v>
      </c>
      <c r="H1115" t="s">
        <v>1829</v>
      </c>
      <c r="I1115" t="s">
        <v>148</v>
      </c>
      <c r="J1115">
        <v>7200</v>
      </c>
      <c r="K1115" t="s">
        <v>94</v>
      </c>
      <c r="L1115" t="s">
        <v>37</v>
      </c>
      <c r="M1115" t="s">
        <v>38</v>
      </c>
      <c r="N1115" t="s">
        <v>140</v>
      </c>
    </row>
    <row r="1116" spans="1:14" x14ac:dyDescent="0.2">
      <c r="A1116">
        <v>1115</v>
      </c>
      <c r="B1116">
        <v>23</v>
      </c>
      <c r="C1116">
        <v>3</v>
      </c>
      <c r="D1116">
        <v>12200</v>
      </c>
      <c r="F1116" t="s">
        <v>21</v>
      </c>
      <c r="H1116" t="s">
        <v>1830</v>
      </c>
      <c r="I1116" t="s">
        <v>1831</v>
      </c>
      <c r="J1116">
        <v>1</v>
      </c>
      <c r="K1116" t="s">
        <v>17</v>
      </c>
      <c r="L1116" t="s">
        <v>18</v>
      </c>
      <c r="M1116" t="s">
        <v>19</v>
      </c>
      <c r="N1116" t="s">
        <v>108</v>
      </c>
    </row>
    <row r="1117" spans="1:14" x14ac:dyDescent="0.2">
      <c r="A1117">
        <v>1116</v>
      </c>
      <c r="B1117">
        <v>23</v>
      </c>
      <c r="C1117">
        <v>3</v>
      </c>
      <c r="D1117" t="s">
        <v>157</v>
      </c>
      <c r="F1117" t="s">
        <v>833</v>
      </c>
      <c r="H1117" t="s">
        <v>834</v>
      </c>
      <c r="I1117" t="s">
        <v>835</v>
      </c>
      <c r="J1117">
        <v>1420</v>
      </c>
      <c r="K1117" t="s">
        <v>52</v>
      </c>
      <c r="L1117" t="s">
        <v>37</v>
      </c>
      <c r="M1117" t="s">
        <v>38</v>
      </c>
      <c r="N1117" t="s">
        <v>140</v>
      </c>
    </row>
    <row r="1118" spans="1:14" x14ac:dyDescent="0.2">
      <c r="A1118">
        <v>1117</v>
      </c>
      <c r="B1118">
        <v>23</v>
      </c>
      <c r="C1118">
        <v>4</v>
      </c>
      <c r="D1118">
        <v>12200</v>
      </c>
      <c r="F1118" t="s">
        <v>118</v>
      </c>
      <c r="H1118" t="s">
        <v>119</v>
      </c>
      <c r="I1118" t="s">
        <v>120</v>
      </c>
      <c r="J1118">
        <v>1</v>
      </c>
      <c r="K1118" t="s">
        <v>17</v>
      </c>
      <c r="L1118" t="s">
        <v>18</v>
      </c>
      <c r="M1118" t="s">
        <v>19</v>
      </c>
      <c r="N1118" t="s">
        <v>108</v>
      </c>
    </row>
    <row r="1119" spans="1:14" x14ac:dyDescent="0.2">
      <c r="A1119">
        <v>1118</v>
      </c>
      <c r="B1119">
        <v>23</v>
      </c>
      <c r="C1119">
        <v>4</v>
      </c>
      <c r="D1119" t="s">
        <v>174</v>
      </c>
      <c r="F1119" t="s">
        <v>845</v>
      </c>
      <c r="H1119" t="s">
        <v>846</v>
      </c>
      <c r="I1119" t="s">
        <v>847</v>
      </c>
      <c r="J1119">
        <v>1520</v>
      </c>
      <c r="K1119" t="s">
        <v>178</v>
      </c>
      <c r="L1119" t="s">
        <v>37</v>
      </c>
      <c r="M1119" t="s">
        <v>38</v>
      </c>
      <c r="N1119" t="s">
        <v>140</v>
      </c>
    </row>
    <row r="1120" spans="1:14" x14ac:dyDescent="0.2">
      <c r="A1120">
        <v>1119</v>
      </c>
      <c r="B1120">
        <v>23</v>
      </c>
      <c r="C1120">
        <v>5</v>
      </c>
      <c r="D1120" t="s">
        <v>811</v>
      </c>
      <c r="F1120" t="s">
        <v>127</v>
      </c>
      <c r="H1120" t="s">
        <v>1832</v>
      </c>
      <c r="I1120" t="s">
        <v>1833</v>
      </c>
      <c r="J1120">
        <v>21</v>
      </c>
      <c r="K1120" t="s">
        <v>72</v>
      </c>
      <c r="L1120" t="s">
        <v>18</v>
      </c>
      <c r="M1120" t="s">
        <v>19</v>
      </c>
      <c r="N1120" t="s">
        <v>108</v>
      </c>
    </row>
    <row r="1121" spans="1:14" x14ac:dyDescent="0.2">
      <c r="A1121">
        <v>1120</v>
      </c>
      <c r="B1121">
        <v>23</v>
      </c>
      <c r="C1121">
        <v>5</v>
      </c>
      <c r="D1121" t="s">
        <v>217</v>
      </c>
      <c r="F1121" t="s">
        <v>1834</v>
      </c>
      <c r="H1121" t="s">
        <v>1835</v>
      </c>
      <c r="I1121" t="s">
        <v>1836</v>
      </c>
      <c r="J1121">
        <v>3111</v>
      </c>
      <c r="K1121" t="s">
        <v>87</v>
      </c>
      <c r="L1121" t="s">
        <v>37</v>
      </c>
      <c r="M1121" t="s">
        <v>38</v>
      </c>
      <c r="N1121" t="s">
        <v>140</v>
      </c>
    </row>
    <row r="1122" spans="1:14" x14ac:dyDescent="0.2">
      <c r="A1122">
        <v>1121</v>
      </c>
      <c r="B1122">
        <v>23</v>
      </c>
      <c r="C1122">
        <v>6</v>
      </c>
      <c r="D1122" t="s">
        <v>806</v>
      </c>
      <c r="F1122" t="s">
        <v>807</v>
      </c>
      <c r="H1122" t="s">
        <v>808</v>
      </c>
      <c r="I1122" t="s">
        <v>809</v>
      </c>
      <c r="J1122">
        <v>1</v>
      </c>
      <c r="K1122" t="s">
        <v>17</v>
      </c>
      <c r="L1122" t="s">
        <v>18</v>
      </c>
      <c r="M1122" t="s">
        <v>19</v>
      </c>
      <c r="N1122" t="s">
        <v>108</v>
      </c>
    </row>
    <row r="1123" spans="1:14" x14ac:dyDescent="0.2">
      <c r="A1123">
        <v>1122</v>
      </c>
      <c r="B1123">
        <v>23</v>
      </c>
      <c r="C1123">
        <v>6</v>
      </c>
      <c r="D1123" t="s">
        <v>217</v>
      </c>
      <c r="F1123" t="s">
        <v>221</v>
      </c>
      <c r="H1123" t="s">
        <v>222</v>
      </c>
      <c r="I1123" t="s">
        <v>223</v>
      </c>
      <c r="J1123">
        <v>86</v>
      </c>
      <c r="K1123" t="s">
        <v>216</v>
      </c>
      <c r="L1123" t="s">
        <v>37</v>
      </c>
      <c r="M1123" t="s">
        <v>38</v>
      </c>
      <c r="N1123" t="s">
        <v>140</v>
      </c>
    </row>
    <row r="1124" spans="1:14" x14ac:dyDescent="0.2">
      <c r="A1124">
        <v>1123</v>
      </c>
      <c r="B1124">
        <v>23</v>
      </c>
      <c r="C1124">
        <v>7</v>
      </c>
      <c r="D1124" t="s">
        <v>136</v>
      </c>
      <c r="F1124" t="s">
        <v>490</v>
      </c>
      <c r="G1124" t="s">
        <v>1837</v>
      </c>
      <c r="H1124" t="s">
        <v>1838</v>
      </c>
      <c r="I1124" t="s">
        <v>1839</v>
      </c>
      <c r="J1124">
        <v>18390</v>
      </c>
      <c r="K1124" t="s">
        <v>94</v>
      </c>
      <c r="L1124" t="s">
        <v>37</v>
      </c>
      <c r="M1124" t="s">
        <v>38</v>
      </c>
      <c r="N1124" t="s">
        <v>140</v>
      </c>
    </row>
    <row r="1125" spans="1:14" x14ac:dyDescent="0.2">
      <c r="A1125">
        <v>1124</v>
      </c>
      <c r="B1125">
        <v>23</v>
      </c>
      <c r="C1125">
        <v>7</v>
      </c>
      <c r="D1125" t="s">
        <v>217</v>
      </c>
      <c r="F1125" t="s">
        <v>1840</v>
      </c>
      <c r="H1125" t="s">
        <v>1841</v>
      </c>
      <c r="I1125" t="s">
        <v>1842</v>
      </c>
      <c r="J1125">
        <v>482</v>
      </c>
      <c r="K1125" t="s">
        <v>87</v>
      </c>
      <c r="L1125" t="s">
        <v>37</v>
      </c>
      <c r="M1125" t="s">
        <v>38</v>
      </c>
      <c r="N1125" t="s">
        <v>140</v>
      </c>
    </row>
    <row r="1126" spans="1:14" x14ac:dyDescent="0.2">
      <c r="A1126">
        <v>1125</v>
      </c>
      <c r="B1126">
        <v>23</v>
      </c>
      <c r="C1126">
        <v>8</v>
      </c>
      <c r="D1126">
        <v>26100</v>
      </c>
      <c r="F1126" t="s">
        <v>285</v>
      </c>
      <c r="H1126" t="s">
        <v>286</v>
      </c>
      <c r="I1126" t="s">
        <v>287</v>
      </c>
      <c r="J1126">
        <v>50</v>
      </c>
      <c r="K1126" t="s">
        <v>52</v>
      </c>
      <c r="L1126" t="s">
        <v>30</v>
      </c>
      <c r="M1126" t="s">
        <v>30</v>
      </c>
      <c r="N1126" t="s">
        <v>288</v>
      </c>
    </row>
    <row r="1127" spans="1:14" x14ac:dyDescent="0.2">
      <c r="A1127">
        <v>1126</v>
      </c>
      <c r="B1127">
        <v>23</v>
      </c>
      <c r="C1127">
        <v>8</v>
      </c>
      <c r="D1127" t="s">
        <v>136</v>
      </c>
      <c r="F1127" t="s">
        <v>137</v>
      </c>
      <c r="H1127" t="s">
        <v>138</v>
      </c>
      <c r="I1127" t="s">
        <v>139</v>
      </c>
      <c r="J1127">
        <v>1000</v>
      </c>
      <c r="K1127" t="s">
        <v>36</v>
      </c>
      <c r="L1127" t="s">
        <v>37</v>
      </c>
      <c r="M1127" t="s">
        <v>38</v>
      </c>
      <c r="N1127" t="s">
        <v>140</v>
      </c>
    </row>
    <row r="1128" spans="1:14" x14ac:dyDescent="0.2">
      <c r="A1128">
        <v>1127</v>
      </c>
      <c r="B1128">
        <v>23</v>
      </c>
      <c r="C1128">
        <v>9</v>
      </c>
      <c r="D1128" t="s">
        <v>240</v>
      </c>
      <c r="F1128" t="s">
        <v>1843</v>
      </c>
      <c r="H1128" t="s">
        <v>1844</v>
      </c>
      <c r="I1128" t="s">
        <v>1845</v>
      </c>
      <c r="J1128">
        <v>960</v>
      </c>
      <c r="K1128" t="s">
        <v>36</v>
      </c>
      <c r="L1128" t="s">
        <v>244</v>
      </c>
      <c r="M1128" t="s">
        <v>245</v>
      </c>
      <c r="N1128" t="s">
        <v>246</v>
      </c>
    </row>
    <row r="1129" spans="1:14" x14ac:dyDescent="0.2">
      <c r="A1129">
        <v>1128</v>
      </c>
      <c r="B1129">
        <v>23</v>
      </c>
      <c r="C1129">
        <v>9</v>
      </c>
      <c r="D1129" t="s">
        <v>136</v>
      </c>
      <c r="F1129" t="s">
        <v>145</v>
      </c>
      <c r="G1129" t="s">
        <v>1828</v>
      </c>
      <c r="H1129" t="s">
        <v>1829</v>
      </c>
      <c r="I1129" t="s">
        <v>148</v>
      </c>
      <c r="J1129">
        <v>16460</v>
      </c>
      <c r="K1129" t="s">
        <v>94</v>
      </c>
      <c r="L1129" t="s">
        <v>37</v>
      </c>
      <c r="M1129" t="s">
        <v>38</v>
      </c>
      <c r="N1129" t="s">
        <v>140</v>
      </c>
    </row>
    <row r="1130" spans="1:14" x14ac:dyDescent="0.2">
      <c r="A1130">
        <v>1129</v>
      </c>
      <c r="B1130">
        <v>23</v>
      </c>
      <c r="C1130">
        <v>10</v>
      </c>
      <c r="D1130">
        <v>344300</v>
      </c>
      <c r="F1130" t="s">
        <v>1846</v>
      </c>
      <c r="H1130" t="s">
        <v>1847</v>
      </c>
      <c r="I1130" t="s">
        <v>1848</v>
      </c>
      <c r="J1130">
        <v>18</v>
      </c>
      <c r="K1130" t="s">
        <v>72</v>
      </c>
      <c r="L1130" t="s">
        <v>244</v>
      </c>
      <c r="M1130" t="s">
        <v>245</v>
      </c>
      <c r="N1130" t="s">
        <v>246</v>
      </c>
    </row>
    <row r="1131" spans="1:14" x14ac:dyDescent="0.2">
      <c r="A1131">
        <v>1130</v>
      </c>
      <c r="B1131">
        <v>23</v>
      </c>
      <c r="C1131">
        <v>10</v>
      </c>
      <c r="D1131" t="s">
        <v>136</v>
      </c>
      <c r="F1131" t="s">
        <v>952</v>
      </c>
      <c r="H1131" t="s">
        <v>953</v>
      </c>
      <c r="I1131" t="s">
        <v>954</v>
      </c>
      <c r="J1131">
        <v>1</v>
      </c>
      <c r="K1131" t="s">
        <v>17</v>
      </c>
      <c r="L1131" t="s">
        <v>37</v>
      </c>
      <c r="M1131" t="s">
        <v>38</v>
      </c>
      <c r="N1131" t="s">
        <v>140</v>
      </c>
    </row>
    <row r="1132" spans="1:14" x14ac:dyDescent="0.2">
      <c r="A1132">
        <v>1131</v>
      </c>
      <c r="B1132">
        <v>23</v>
      </c>
      <c r="C1132">
        <v>11</v>
      </c>
      <c r="D1132">
        <v>344301</v>
      </c>
      <c r="F1132" t="s">
        <v>1693</v>
      </c>
      <c r="H1132" t="s">
        <v>1694</v>
      </c>
      <c r="I1132" t="s">
        <v>1695</v>
      </c>
      <c r="J1132">
        <v>4</v>
      </c>
      <c r="K1132" t="s">
        <v>72</v>
      </c>
      <c r="L1132" t="s">
        <v>244</v>
      </c>
      <c r="M1132" t="s">
        <v>245</v>
      </c>
      <c r="N1132" t="s">
        <v>246</v>
      </c>
    </row>
    <row r="1133" spans="1:14" x14ac:dyDescent="0.2">
      <c r="A1133">
        <v>1132</v>
      </c>
      <c r="B1133">
        <v>23</v>
      </c>
      <c r="C1133">
        <v>11</v>
      </c>
      <c r="D1133" t="s">
        <v>163</v>
      </c>
      <c r="F1133" t="s">
        <v>592</v>
      </c>
      <c r="H1133" t="s">
        <v>593</v>
      </c>
      <c r="I1133" t="s">
        <v>594</v>
      </c>
      <c r="J1133">
        <v>14988</v>
      </c>
      <c r="K1133" t="s">
        <v>46</v>
      </c>
      <c r="L1133" t="s">
        <v>37</v>
      </c>
      <c r="M1133" t="s">
        <v>38</v>
      </c>
      <c r="N1133" t="s">
        <v>140</v>
      </c>
    </row>
    <row r="1134" spans="1:14" x14ac:dyDescent="0.2">
      <c r="A1134">
        <v>1133</v>
      </c>
      <c r="B1134">
        <v>23</v>
      </c>
      <c r="C1134">
        <v>12</v>
      </c>
      <c r="D1134" t="s">
        <v>163</v>
      </c>
      <c r="F1134" t="s">
        <v>1120</v>
      </c>
      <c r="H1134" t="s">
        <v>1678</v>
      </c>
      <c r="I1134" t="s">
        <v>1122</v>
      </c>
      <c r="J1134">
        <v>744</v>
      </c>
      <c r="K1134" t="s">
        <v>46</v>
      </c>
      <c r="L1134" t="s">
        <v>37</v>
      </c>
      <c r="M1134" t="s">
        <v>38</v>
      </c>
      <c r="N1134" t="s">
        <v>140</v>
      </c>
    </row>
    <row r="1135" spans="1:14" x14ac:dyDescent="0.2">
      <c r="A1135">
        <v>1134</v>
      </c>
      <c r="B1135">
        <v>23</v>
      </c>
      <c r="C1135">
        <v>13</v>
      </c>
      <c r="D1135" t="s">
        <v>187</v>
      </c>
      <c r="F1135" t="s">
        <v>188</v>
      </c>
      <c r="H1135" t="s">
        <v>189</v>
      </c>
      <c r="I1135" t="s">
        <v>190</v>
      </c>
      <c r="J1135">
        <v>4700</v>
      </c>
      <c r="K1135" t="s">
        <v>46</v>
      </c>
      <c r="L1135" t="s">
        <v>37</v>
      </c>
      <c r="M1135" t="s">
        <v>38</v>
      </c>
      <c r="N1135" t="s">
        <v>140</v>
      </c>
    </row>
    <row r="1136" spans="1:14" x14ac:dyDescent="0.2">
      <c r="A1136">
        <v>1135</v>
      </c>
      <c r="B1136">
        <v>23</v>
      </c>
      <c r="C1136">
        <v>14</v>
      </c>
      <c r="D1136" t="s">
        <v>187</v>
      </c>
      <c r="F1136" t="s">
        <v>830</v>
      </c>
      <c r="H1136" t="s">
        <v>831</v>
      </c>
      <c r="I1136" t="s">
        <v>832</v>
      </c>
      <c r="J1136">
        <v>24800</v>
      </c>
      <c r="K1136" t="s">
        <v>94</v>
      </c>
      <c r="L1136" t="s">
        <v>37</v>
      </c>
      <c r="M1136" t="s">
        <v>38</v>
      </c>
      <c r="N1136" t="s">
        <v>140</v>
      </c>
    </row>
    <row r="1137" spans="1:14" x14ac:dyDescent="0.2">
      <c r="A1137">
        <v>1136</v>
      </c>
      <c r="B1137">
        <v>23</v>
      </c>
      <c r="C1137">
        <v>15</v>
      </c>
      <c r="D1137" t="s">
        <v>199</v>
      </c>
      <c r="F1137" t="s">
        <v>200</v>
      </c>
      <c r="H1137" t="s">
        <v>201</v>
      </c>
      <c r="I1137" t="s">
        <v>202</v>
      </c>
      <c r="J1137">
        <v>8150</v>
      </c>
      <c r="K1137" t="s">
        <v>46</v>
      </c>
      <c r="L1137" t="s">
        <v>37</v>
      </c>
      <c r="M1137" t="s">
        <v>38</v>
      </c>
      <c r="N1137" t="s">
        <v>140</v>
      </c>
    </row>
    <row r="1138" spans="1:14" x14ac:dyDescent="0.2">
      <c r="A1138">
        <v>1137</v>
      </c>
      <c r="B1138">
        <v>23</v>
      </c>
      <c r="C1138">
        <v>16</v>
      </c>
      <c r="D1138" t="s">
        <v>157</v>
      </c>
      <c r="F1138" t="s">
        <v>833</v>
      </c>
      <c r="H1138" t="s">
        <v>834</v>
      </c>
      <c r="I1138" t="s">
        <v>835</v>
      </c>
      <c r="J1138">
        <v>8760</v>
      </c>
      <c r="K1138" t="s">
        <v>52</v>
      </c>
      <c r="L1138" t="s">
        <v>37</v>
      </c>
      <c r="M1138" t="s">
        <v>38</v>
      </c>
      <c r="N1138" t="s">
        <v>140</v>
      </c>
    </row>
    <row r="1139" spans="1:14" x14ac:dyDescent="0.2">
      <c r="A1139">
        <v>1138</v>
      </c>
      <c r="B1139">
        <v>23</v>
      </c>
      <c r="C1139">
        <v>17</v>
      </c>
      <c r="D1139" t="s">
        <v>167</v>
      </c>
      <c r="F1139" t="s">
        <v>960</v>
      </c>
      <c r="H1139" t="s">
        <v>961</v>
      </c>
      <c r="I1139" t="s">
        <v>962</v>
      </c>
      <c r="J1139">
        <v>11540</v>
      </c>
      <c r="K1139" t="s">
        <v>52</v>
      </c>
      <c r="L1139" t="s">
        <v>37</v>
      </c>
      <c r="M1139" t="s">
        <v>38</v>
      </c>
      <c r="N1139" t="s">
        <v>140</v>
      </c>
    </row>
    <row r="1140" spans="1:14" x14ac:dyDescent="0.2">
      <c r="A1140">
        <v>1139</v>
      </c>
      <c r="B1140">
        <v>23</v>
      </c>
      <c r="C1140">
        <v>18</v>
      </c>
      <c r="D1140" t="s">
        <v>174</v>
      </c>
      <c r="F1140" t="s">
        <v>845</v>
      </c>
      <c r="H1140" t="s">
        <v>846</v>
      </c>
      <c r="I1140" t="s">
        <v>847</v>
      </c>
      <c r="J1140">
        <v>8710</v>
      </c>
      <c r="K1140" t="s">
        <v>178</v>
      </c>
      <c r="L1140" t="s">
        <v>37</v>
      </c>
      <c r="M1140" t="s">
        <v>38</v>
      </c>
      <c r="N1140" t="s">
        <v>140</v>
      </c>
    </row>
    <row r="1141" spans="1:14" x14ac:dyDescent="0.2">
      <c r="A1141">
        <v>1140</v>
      </c>
      <c r="B1141">
        <v>23</v>
      </c>
      <c r="C1141">
        <v>19</v>
      </c>
      <c r="D1141" t="s">
        <v>183</v>
      </c>
      <c r="F1141" t="s">
        <v>184</v>
      </c>
      <c r="H1141" t="s">
        <v>185</v>
      </c>
      <c r="I1141" t="s">
        <v>186</v>
      </c>
      <c r="J1141">
        <v>122</v>
      </c>
      <c r="K1141" t="s">
        <v>178</v>
      </c>
      <c r="L1141" t="s">
        <v>37</v>
      </c>
      <c r="M1141" t="s">
        <v>38</v>
      </c>
      <c r="N1141" t="s">
        <v>140</v>
      </c>
    </row>
    <row r="1142" spans="1:14" x14ac:dyDescent="0.2">
      <c r="A1142">
        <v>1141</v>
      </c>
      <c r="B1142">
        <v>23</v>
      </c>
      <c r="C1142">
        <v>20</v>
      </c>
      <c r="D1142" t="s">
        <v>191</v>
      </c>
      <c r="F1142" t="s">
        <v>192</v>
      </c>
      <c r="H1142" t="s">
        <v>193</v>
      </c>
      <c r="I1142" t="s">
        <v>194</v>
      </c>
      <c r="J1142">
        <v>88</v>
      </c>
      <c r="K1142" t="s">
        <v>178</v>
      </c>
      <c r="L1142" t="s">
        <v>37</v>
      </c>
      <c r="M1142" t="s">
        <v>38</v>
      </c>
      <c r="N1142" t="s">
        <v>140</v>
      </c>
    </row>
    <row r="1143" spans="1:14" x14ac:dyDescent="0.2">
      <c r="A1143">
        <v>1142</v>
      </c>
      <c r="B1143">
        <v>23</v>
      </c>
      <c r="C1143">
        <v>21</v>
      </c>
      <c r="D1143" t="s">
        <v>209</v>
      </c>
      <c r="F1143" t="s">
        <v>609</v>
      </c>
      <c r="H1143" t="s">
        <v>610</v>
      </c>
      <c r="I1143" t="s">
        <v>611</v>
      </c>
      <c r="J1143">
        <v>89</v>
      </c>
      <c r="K1143" t="s">
        <v>46</v>
      </c>
      <c r="L1143" t="s">
        <v>37</v>
      </c>
      <c r="M1143" t="s">
        <v>38</v>
      </c>
      <c r="N1143" t="s">
        <v>140</v>
      </c>
    </row>
    <row r="1144" spans="1:14" x14ac:dyDescent="0.2">
      <c r="A1144">
        <v>1143</v>
      </c>
      <c r="B1144">
        <v>23</v>
      </c>
      <c r="C1144">
        <v>22</v>
      </c>
      <c r="D1144" t="s">
        <v>217</v>
      </c>
      <c r="F1144" t="s">
        <v>1849</v>
      </c>
      <c r="H1144" t="s">
        <v>1850</v>
      </c>
      <c r="I1144" t="s">
        <v>1851</v>
      </c>
      <c r="J1144">
        <v>1</v>
      </c>
      <c r="K1144" t="s">
        <v>17</v>
      </c>
      <c r="L1144" t="s">
        <v>37</v>
      </c>
      <c r="M1144" t="s">
        <v>38</v>
      </c>
      <c r="N1144" t="s">
        <v>140</v>
      </c>
    </row>
    <row r="1145" spans="1:14" x14ac:dyDescent="0.2">
      <c r="A1145">
        <v>1144</v>
      </c>
      <c r="B1145">
        <v>23</v>
      </c>
      <c r="C1145">
        <v>23</v>
      </c>
      <c r="D1145" t="s">
        <v>217</v>
      </c>
      <c r="F1145" t="s">
        <v>1834</v>
      </c>
      <c r="H1145" t="s">
        <v>1835</v>
      </c>
      <c r="I1145" t="s">
        <v>1836</v>
      </c>
      <c r="J1145">
        <v>29101</v>
      </c>
      <c r="K1145" t="s">
        <v>87</v>
      </c>
      <c r="L1145" t="s">
        <v>37</v>
      </c>
      <c r="M1145" t="s">
        <v>38</v>
      </c>
      <c r="N1145" t="s">
        <v>140</v>
      </c>
    </row>
    <row r="1146" spans="1:14" x14ac:dyDescent="0.2">
      <c r="A1146">
        <v>1145</v>
      </c>
      <c r="B1146">
        <v>23</v>
      </c>
      <c r="C1146">
        <v>24</v>
      </c>
      <c r="D1146" t="s">
        <v>217</v>
      </c>
      <c r="F1146" t="s">
        <v>221</v>
      </c>
      <c r="H1146" t="s">
        <v>222</v>
      </c>
      <c r="I1146" t="s">
        <v>223</v>
      </c>
      <c r="J1146">
        <v>805</v>
      </c>
      <c r="K1146" t="s">
        <v>216</v>
      </c>
      <c r="L1146" t="s">
        <v>37</v>
      </c>
      <c r="M1146" t="s">
        <v>38</v>
      </c>
      <c r="N1146" t="s">
        <v>140</v>
      </c>
    </row>
    <row r="1147" spans="1:14" x14ac:dyDescent="0.2">
      <c r="A1147">
        <v>1146</v>
      </c>
      <c r="B1147">
        <v>23</v>
      </c>
      <c r="C1147">
        <v>25</v>
      </c>
      <c r="D1147" t="s">
        <v>217</v>
      </c>
      <c r="F1147" t="s">
        <v>1840</v>
      </c>
      <c r="H1147" t="s">
        <v>1841</v>
      </c>
      <c r="I1147" t="s">
        <v>1842</v>
      </c>
      <c r="J1147">
        <v>10668</v>
      </c>
      <c r="K1147" t="s">
        <v>87</v>
      </c>
      <c r="L1147" t="s">
        <v>37</v>
      </c>
      <c r="M1147" t="s">
        <v>38</v>
      </c>
      <c r="N1147" t="s">
        <v>140</v>
      </c>
    </row>
    <row r="1148" spans="1:14" x14ac:dyDescent="0.2">
      <c r="A1148">
        <v>1147</v>
      </c>
      <c r="B1148">
        <v>23</v>
      </c>
      <c r="C1148">
        <v>26</v>
      </c>
      <c r="D1148" t="s">
        <v>227</v>
      </c>
      <c r="F1148" t="s">
        <v>1852</v>
      </c>
      <c r="G1148" t="s">
        <v>1853</v>
      </c>
      <c r="H1148" t="s">
        <v>1854</v>
      </c>
      <c r="I1148" t="s">
        <v>1855</v>
      </c>
      <c r="J1148">
        <v>393</v>
      </c>
      <c r="K1148" t="s">
        <v>36</v>
      </c>
      <c r="L1148" t="s">
        <v>57</v>
      </c>
      <c r="M1148" t="s">
        <v>232</v>
      </c>
      <c r="N1148" t="s">
        <v>233</v>
      </c>
    </row>
    <row r="1149" spans="1:14" x14ac:dyDescent="0.2">
      <c r="A1149">
        <v>1148</v>
      </c>
      <c r="B1149">
        <v>23</v>
      </c>
      <c r="C1149">
        <v>27</v>
      </c>
      <c r="D1149" t="s">
        <v>227</v>
      </c>
      <c r="F1149" t="s">
        <v>1852</v>
      </c>
      <c r="G1149" t="s">
        <v>1856</v>
      </c>
      <c r="H1149" t="s">
        <v>1857</v>
      </c>
      <c r="I1149" t="s">
        <v>1855</v>
      </c>
      <c r="J1149">
        <v>1220</v>
      </c>
      <c r="K1149" t="s">
        <v>36</v>
      </c>
      <c r="L1149" t="s">
        <v>57</v>
      </c>
      <c r="M1149" t="s">
        <v>232</v>
      </c>
      <c r="N1149" t="s">
        <v>233</v>
      </c>
    </row>
    <row r="1150" spans="1:14" x14ac:dyDescent="0.2">
      <c r="A1150">
        <v>1149</v>
      </c>
      <c r="B1150">
        <v>23</v>
      </c>
      <c r="C1150">
        <v>28</v>
      </c>
      <c r="D1150" t="s">
        <v>446</v>
      </c>
      <c r="F1150" t="s">
        <v>1858</v>
      </c>
      <c r="G1150" t="s">
        <v>1859</v>
      </c>
      <c r="H1150" t="s">
        <v>1860</v>
      </c>
      <c r="I1150" t="s">
        <v>1861</v>
      </c>
      <c r="J1150">
        <v>2325</v>
      </c>
      <c r="K1150" t="s">
        <v>36</v>
      </c>
      <c r="L1150" t="s">
        <v>57</v>
      </c>
      <c r="M1150" t="s">
        <v>232</v>
      </c>
      <c r="N1150" t="s">
        <v>233</v>
      </c>
    </row>
    <row r="1151" spans="1:14" x14ac:dyDescent="0.2">
      <c r="A1151">
        <v>1150</v>
      </c>
      <c r="B1151">
        <v>23</v>
      </c>
      <c r="C1151">
        <v>29</v>
      </c>
      <c r="D1151" t="s">
        <v>446</v>
      </c>
      <c r="F1151" t="s">
        <v>1862</v>
      </c>
      <c r="G1151" t="s">
        <v>1859</v>
      </c>
      <c r="H1151" t="s">
        <v>1863</v>
      </c>
      <c r="I1151" t="s">
        <v>1864</v>
      </c>
      <c r="J1151">
        <v>174</v>
      </c>
      <c r="K1151" t="s">
        <v>36</v>
      </c>
      <c r="L1151" t="s">
        <v>57</v>
      </c>
      <c r="M1151" t="s">
        <v>232</v>
      </c>
      <c r="N1151" t="s">
        <v>233</v>
      </c>
    </row>
    <row r="1152" spans="1:14" x14ac:dyDescent="0.2">
      <c r="A1152">
        <v>1151</v>
      </c>
      <c r="B1152">
        <v>23</v>
      </c>
      <c r="C1152">
        <v>30</v>
      </c>
      <c r="D1152" t="s">
        <v>263</v>
      </c>
      <c r="F1152" t="s">
        <v>1182</v>
      </c>
      <c r="G1152" t="s">
        <v>451</v>
      </c>
      <c r="H1152" t="s">
        <v>1865</v>
      </c>
      <c r="I1152" t="s">
        <v>1184</v>
      </c>
      <c r="J1152">
        <v>5</v>
      </c>
      <c r="K1152" t="s">
        <v>72</v>
      </c>
      <c r="L1152" t="s">
        <v>57</v>
      </c>
      <c r="M1152" t="s">
        <v>232</v>
      </c>
      <c r="N1152" t="s">
        <v>233</v>
      </c>
    </row>
    <row r="1153" spans="1:14" x14ac:dyDescent="0.2">
      <c r="A1153">
        <v>1152</v>
      </c>
      <c r="B1153">
        <v>23</v>
      </c>
      <c r="C1153">
        <v>31</v>
      </c>
      <c r="D1153" t="s">
        <v>263</v>
      </c>
      <c r="F1153" t="s">
        <v>623</v>
      </c>
      <c r="H1153" t="s">
        <v>624</v>
      </c>
      <c r="I1153" t="s">
        <v>625</v>
      </c>
      <c r="J1153">
        <v>3</v>
      </c>
      <c r="K1153" t="s">
        <v>72</v>
      </c>
      <c r="L1153" t="s">
        <v>57</v>
      </c>
      <c r="M1153" t="s">
        <v>232</v>
      </c>
      <c r="N1153" t="s">
        <v>233</v>
      </c>
    </row>
    <row r="1154" spans="1:14" x14ac:dyDescent="0.2">
      <c r="A1154">
        <v>1153</v>
      </c>
      <c r="B1154">
        <v>23</v>
      </c>
      <c r="C1154">
        <v>32</v>
      </c>
      <c r="D1154" t="s">
        <v>263</v>
      </c>
      <c r="F1154" t="s">
        <v>1866</v>
      </c>
      <c r="H1154" t="s">
        <v>1867</v>
      </c>
      <c r="I1154" t="s">
        <v>1868</v>
      </c>
      <c r="J1154">
        <v>12</v>
      </c>
      <c r="K1154" t="s">
        <v>72</v>
      </c>
      <c r="L1154" t="s">
        <v>57</v>
      </c>
      <c r="M1154" t="s">
        <v>232</v>
      </c>
      <c r="N1154" t="s">
        <v>233</v>
      </c>
    </row>
    <row r="1155" spans="1:14" x14ac:dyDescent="0.2">
      <c r="A1155">
        <v>1154</v>
      </c>
      <c r="B1155">
        <v>23</v>
      </c>
      <c r="C1155">
        <v>33</v>
      </c>
      <c r="D1155" t="s">
        <v>263</v>
      </c>
      <c r="F1155" t="s">
        <v>1869</v>
      </c>
      <c r="H1155" t="s">
        <v>1870</v>
      </c>
      <c r="I1155" t="s">
        <v>1871</v>
      </c>
      <c r="J1155">
        <v>5</v>
      </c>
      <c r="K1155" t="s">
        <v>72</v>
      </c>
      <c r="L1155" t="s">
        <v>57</v>
      </c>
      <c r="M1155" t="s">
        <v>232</v>
      </c>
      <c r="N1155" t="s">
        <v>233</v>
      </c>
    </row>
    <row r="1156" spans="1:14" x14ac:dyDescent="0.2">
      <c r="A1156">
        <v>1155</v>
      </c>
      <c r="B1156">
        <v>23</v>
      </c>
      <c r="C1156">
        <v>34</v>
      </c>
      <c r="D1156" t="s">
        <v>263</v>
      </c>
      <c r="F1156" t="s">
        <v>1872</v>
      </c>
      <c r="G1156" t="s">
        <v>451</v>
      </c>
      <c r="H1156" t="s">
        <v>1873</v>
      </c>
      <c r="I1156" t="s">
        <v>1874</v>
      </c>
      <c r="J1156">
        <v>1</v>
      </c>
      <c r="K1156" t="s">
        <v>72</v>
      </c>
      <c r="L1156" t="s">
        <v>57</v>
      </c>
      <c r="M1156" t="s">
        <v>232</v>
      </c>
      <c r="N1156" t="s">
        <v>233</v>
      </c>
    </row>
    <row r="1157" spans="1:14" x14ac:dyDescent="0.2">
      <c r="A1157">
        <v>1156</v>
      </c>
      <c r="B1157">
        <v>23</v>
      </c>
      <c r="C1157">
        <v>35</v>
      </c>
      <c r="D1157" t="s">
        <v>302</v>
      </c>
      <c r="F1157" t="s">
        <v>303</v>
      </c>
      <c r="H1157" t="s">
        <v>304</v>
      </c>
      <c r="I1157" t="s">
        <v>305</v>
      </c>
      <c r="J1157">
        <v>3</v>
      </c>
      <c r="K1157" t="s">
        <v>133</v>
      </c>
      <c r="L1157" t="s">
        <v>25</v>
      </c>
      <c r="M1157" t="s">
        <v>26</v>
      </c>
      <c r="N1157" t="s">
        <v>306</v>
      </c>
    </row>
    <row r="1158" spans="1:14" x14ac:dyDescent="0.2">
      <c r="A1158">
        <v>1157</v>
      </c>
      <c r="B1158">
        <v>23</v>
      </c>
      <c r="C1158">
        <v>36</v>
      </c>
      <c r="D1158" t="s">
        <v>455</v>
      </c>
      <c r="F1158" t="s">
        <v>887</v>
      </c>
      <c r="G1158" t="s">
        <v>1875</v>
      </c>
      <c r="H1158" t="s">
        <v>1876</v>
      </c>
      <c r="I1158" t="s">
        <v>889</v>
      </c>
      <c r="J1158">
        <v>1113</v>
      </c>
      <c r="K1158" t="s">
        <v>46</v>
      </c>
      <c r="L1158" t="s">
        <v>25</v>
      </c>
      <c r="M1158" t="s">
        <v>26</v>
      </c>
      <c r="N1158" t="s">
        <v>306</v>
      </c>
    </row>
    <row r="1159" spans="1:14" x14ac:dyDescent="0.2">
      <c r="A1159">
        <v>1158</v>
      </c>
      <c r="B1159">
        <v>23</v>
      </c>
      <c r="C1159">
        <v>37</v>
      </c>
      <c r="D1159" t="s">
        <v>240</v>
      </c>
      <c r="F1159" t="s">
        <v>1843</v>
      </c>
      <c r="H1159" t="s">
        <v>1844</v>
      </c>
      <c r="I1159" t="s">
        <v>1845</v>
      </c>
      <c r="J1159">
        <v>16545</v>
      </c>
      <c r="K1159" t="s">
        <v>36</v>
      </c>
      <c r="L1159" t="s">
        <v>244</v>
      </c>
      <c r="M1159" t="s">
        <v>245</v>
      </c>
      <c r="N1159" t="s">
        <v>246</v>
      </c>
    </row>
    <row r="1160" spans="1:14" x14ac:dyDescent="0.2">
      <c r="A1160">
        <v>1159</v>
      </c>
      <c r="B1160">
        <v>23</v>
      </c>
      <c r="C1160">
        <v>38</v>
      </c>
      <c r="D1160" t="s">
        <v>240</v>
      </c>
      <c r="F1160" t="s">
        <v>1877</v>
      </c>
      <c r="H1160" t="s">
        <v>1878</v>
      </c>
      <c r="I1160" t="s">
        <v>1879</v>
      </c>
      <c r="J1160">
        <v>5720</v>
      </c>
      <c r="K1160" t="s">
        <v>36</v>
      </c>
      <c r="L1160" t="s">
        <v>244</v>
      </c>
      <c r="M1160" t="s">
        <v>245</v>
      </c>
      <c r="N1160" t="s">
        <v>246</v>
      </c>
    </row>
    <row r="1161" spans="1:14" x14ac:dyDescent="0.2">
      <c r="A1161">
        <v>1160</v>
      </c>
      <c r="B1161">
        <v>23</v>
      </c>
      <c r="C1161">
        <v>39</v>
      </c>
      <c r="D1161" t="s">
        <v>240</v>
      </c>
      <c r="F1161" t="s">
        <v>1880</v>
      </c>
      <c r="H1161" t="s">
        <v>1881</v>
      </c>
      <c r="I1161" t="s">
        <v>1882</v>
      </c>
      <c r="J1161">
        <v>3765</v>
      </c>
      <c r="K1161" t="s">
        <v>36</v>
      </c>
      <c r="L1161" t="s">
        <v>244</v>
      </c>
      <c r="M1161" t="s">
        <v>245</v>
      </c>
      <c r="N1161" t="s">
        <v>246</v>
      </c>
    </row>
    <row r="1162" spans="1:14" x14ac:dyDescent="0.2">
      <c r="A1162">
        <v>1161</v>
      </c>
      <c r="B1162">
        <v>23</v>
      </c>
      <c r="C1162">
        <v>40</v>
      </c>
      <c r="D1162" t="s">
        <v>240</v>
      </c>
      <c r="F1162" t="s">
        <v>638</v>
      </c>
      <c r="G1162" t="s">
        <v>1883</v>
      </c>
      <c r="H1162" t="s">
        <v>1884</v>
      </c>
      <c r="I1162" t="s">
        <v>641</v>
      </c>
      <c r="J1162">
        <v>12</v>
      </c>
      <c r="K1162" t="s">
        <v>72</v>
      </c>
      <c r="L1162" t="s">
        <v>244</v>
      </c>
      <c r="M1162" t="s">
        <v>245</v>
      </c>
      <c r="N1162" t="s">
        <v>246</v>
      </c>
    </row>
    <row r="1163" spans="1:14" x14ac:dyDescent="0.2">
      <c r="A1163">
        <v>1162</v>
      </c>
      <c r="B1163">
        <v>23</v>
      </c>
      <c r="C1163">
        <v>41</v>
      </c>
      <c r="D1163" t="s">
        <v>267</v>
      </c>
      <c r="F1163" t="s">
        <v>1885</v>
      </c>
      <c r="G1163" t="s">
        <v>276</v>
      </c>
      <c r="H1163" t="s">
        <v>1886</v>
      </c>
      <c r="I1163" t="s">
        <v>1887</v>
      </c>
      <c r="J1163">
        <v>1410</v>
      </c>
      <c r="K1163" t="s">
        <v>36</v>
      </c>
      <c r="L1163" t="s">
        <v>244</v>
      </c>
      <c r="M1163" t="s">
        <v>245</v>
      </c>
      <c r="N1163" t="s">
        <v>246</v>
      </c>
    </row>
    <row r="1164" spans="1:14" x14ac:dyDescent="0.2">
      <c r="A1164">
        <v>1163</v>
      </c>
      <c r="B1164">
        <v>23</v>
      </c>
      <c r="C1164">
        <v>42</v>
      </c>
      <c r="D1164" t="s">
        <v>267</v>
      </c>
      <c r="F1164" t="s">
        <v>1888</v>
      </c>
      <c r="G1164" t="s">
        <v>276</v>
      </c>
      <c r="H1164" t="s">
        <v>1889</v>
      </c>
      <c r="I1164" t="s">
        <v>1890</v>
      </c>
      <c r="J1164">
        <v>100</v>
      </c>
      <c r="K1164" t="s">
        <v>36</v>
      </c>
      <c r="L1164" t="s">
        <v>244</v>
      </c>
      <c r="M1164" t="s">
        <v>245</v>
      </c>
      <c r="N1164" t="s">
        <v>246</v>
      </c>
    </row>
    <row r="1165" spans="1:14" x14ac:dyDescent="0.2">
      <c r="A1165">
        <v>1164</v>
      </c>
      <c r="B1165">
        <v>23</v>
      </c>
      <c r="C1165">
        <v>43</v>
      </c>
      <c r="D1165" t="s">
        <v>267</v>
      </c>
      <c r="F1165" t="s">
        <v>773</v>
      </c>
      <c r="G1165" t="s">
        <v>276</v>
      </c>
      <c r="H1165" t="s">
        <v>1891</v>
      </c>
      <c r="I1165" t="s">
        <v>776</v>
      </c>
      <c r="J1165">
        <v>155</v>
      </c>
      <c r="K1165" t="s">
        <v>36</v>
      </c>
      <c r="L1165" t="s">
        <v>244</v>
      </c>
      <c r="M1165" t="s">
        <v>245</v>
      </c>
      <c r="N1165" t="s">
        <v>246</v>
      </c>
    </row>
    <row r="1166" spans="1:14" x14ac:dyDescent="0.2">
      <c r="A1166">
        <v>1165</v>
      </c>
      <c r="B1166">
        <v>23</v>
      </c>
      <c r="C1166">
        <v>44</v>
      </c>
      <c r="D1166" t="s">
        <v>267</v>
      </c>
      <c r="F1166" t="s">
        <v>1892</v>
      </c>
      <c r="G1166" t="s">
        <v>276</v>
      </c>
      <c r="H1166" t="s">
        <v>1893</v>
      </c>
      <c r="I1166" t="s">
        <v>1894</v>
      </c>
      <c r="J1166">
        <v>2815</v>
      </c>
      <c r="K1166" t="s">
        <v>36</v>
      </c>
      <c r="L1166" t="s">
        <v>244</v>
      </c>
      <c r="M1166" t="s">
        <v>245</v>
      </c>
      <c r="N1166" t="s">
        <v>246</v>
      </c>
    </row>
    <row r="1167" spans="1:14" x14ac:dyDescent="0.2">
      <c r="A1167">
        <v>1166</v>
      </c>
      <c r="B1167">
        <v>23</v>
      </c>
      <c r="C1167">
        <v>45</v>
      </c>
      <c r="D1167" t="s">
        <v>267</v>
      </c>
      <c r="F1167" t="s">
        <v>1895</v>
      </c>
      <c r="G1167" t="s">
        <v>1721</v>
      </c>
      <c r="H1167" t="s">
        <v>1896</v>
      </c>
      <c r="I1167" t="s">
        <v>1897</v>
      </c>
      <c r="J1167">
        <v>30</v>
      </c>
      <c r="K1167" t="s">
        <v>36</v>
      </c>
      <c r="L1167" t="s">
        <v>244</v>
      </c>
      <c r="M1167" t="s">
        <v>245</v>
      </c>
      <c r="N1167" t="s">
        <v>246</v>
      </c>
    </row>
    <row r="1168" spans="1:14" x14ac:dyDescent="0.2">
      <c r="A1168">
        <v>1167</v>
      </c>
      <c r="B1168">
        <v>23</v>
      </c>
      <c r="C1168">
        <v>46</v>
      </c>
      <c r="D1168">
        <v>265000</v>
      </c>
      <c r="F1168" t="s">
        <v>291</v>
      </c>
      <c r="H1168" t="s">
        <v>1898</v>
      </c>
      <c r="I1168" t="s">
        <v>1899</v>
      </c>
      <c r="J1168">
        <v>1</v>
      </c>
      <c r="K1168" t="s">
        <v>17</v>
      </c>
      <c r="L1168" t="s">
        <v>244</v>
      </c>
      <c r="M1168" t="s">
        <v>294</v>
      </c>
      <c r="N1168" t="s">
        <v>295</v>
      </c>
    </row>
    <row r="1169" spans="1:14" x14ac:dyDescent="0.2">
      <c r="A1169">
        <v>1168</v>
      </c>
      <c r="B1169">
        <v>23</v>
      </c>
      <c r="C1169">
        <v>47</v>
      </c>
      <c r="D1169">
        <v>265000</v>
      </c>
      <c r="F1169" t="s">
        <v>299</v>
      </c>
      <c r="H1169" t="s">
        <v>1900</v>
      </c>
      <c r="I1169" t="s">
        <v>1901</v>
      </c>
      <c r="J1169">
        <v>1</v>
      </c>
      <c r="K1169" t="s">
        <v>17</v>
      </c>
      <c r="L1169" t="s">
        <v>244</v>
      </c>
      <c r="M1169" t="s">
        <v>294</v>
      </c>
      <c r="N1169" t="s">
        <v>295</v>
      </c>
    </row>
    <row r="1170" spans="1:14" x14ac:dyDescent="0.2">
      <c r="A1170">
        <v>1169</v>
      </c>
      <c r="B1170">
        <v>23</v>
      </c>
      <c r="C1170">
        <v>48</v>
      </c>
      <c r="D1170">
        <v>344300</v>
      </c>
      <c r="F1170" t="s">
        <v>1846</v>
      </c>
      <c r="H1170" t="s">
        <v>1847</v>
      </c>
      <c r="I1170" t="s">
        <v>1848</v>
      </c>
      <c r="J1170">
        <v>31</v>
      </c>
      <c r="K1170" t="s">
        <v>72</v>
      </c>
      <c r="L1170" t="s">
        <v>244</v>
      </c>
      <c r="M1170" t="s">
        <v>245</v>
      </c>
      <c r="N1170" t="s">
        <v>246</v>
      </c>
    </row>
    <row r="1171" spans="1:14" x14ac:dyDescent="0.2">
      <c r="A1171">
        <v>1170</v>
      </c>
      <c r="B1171">
        <v>23</v>
      </c>
      <c r="C1171">
        <v>49</v>
      </c>
      <c r="D1171">
        <v>344300</v>
      </c>
      <c r="F1171" t="s">
        <v>1902</v>
      </c>
      <c r="H1171" t="s">
        <v>1903</v>
      </c>
      <c r="I1171" t="s">
        <v>1904</v>
      </c>
      <c r="J1171">
        <v>1</v>
      </c>
      <c r="K1171" t="s">
        <v>72</v>
      </c>
      <c r="L1171" t="s">
        <v>244</v>
      </c>
      <c r="M1171" t="s">
        <v>245</v>
      </c>
      <c r="N1171" t="s">
        <v>246</v>
      </c>
    </row>
    <row r="1172" spans="1:14" x14ac:dyDescent="0.2">
      <c r="A1172">
        <v>1171</v>
      </c>
      <c r="B1172">
        <v>23</v>
      </c>
      <c r="C1172">
        <v>50</v>
      </c>
      <c r="D1172">
        <v>344300</v>
      </c>
      <c r="F1172" t="s">
        <v>1905</v>
      </c>
      <c r="H1172" t="s">
        <v>1906</v>
      </c>
      <c r="I1172" t="s">
        <v>1907</v>
      </c>
      <c r="J1172">
        <v>1</v>
      </c>
      <c r="K1172" t="s">
        <v>72</v>
      </c>
      <c r="L1172" t="s">
        <v>244</v>
      </c>
      <c r="M1172" t="s">
        <v>245</v>
      </c>
      <c r="N1172" t="s">
        <v>246</v>
      </c>
    </row>
    <row r="1173" spans="1:14" x14ac:dyDescent="0.2">
      <c r="A1173">
        <v>1172</v>
      </c>
      <c r="B1173">
        <v>23</v>
      </c>
      <c r="C1173">
        <v>51</v>
      </c>
      <c r="D1173">
        <v>344300</v>
      </c>
      <c r="F1173" t="s">
        <v>1908</v>
      </c>
      <c r="H1173" t="s">
        <v>1909</v>
      </c>
      <c r="I1173" t="s">
        <v>1910</v>
      </c>
      <c r="J1173">
        <v>28</v>
      </c>
      <c r="K1173" t="s">
        <v>72</v>
      </c>
      <c r="L1173" t="s">
        <v>244</v>
      </c>
      <c r="M1173" t="s">
        <v>245</v>
      </c>
      <c r="N1173" t="s">
        <v>246</v>
      </c>
    </row>
    <row r="1174" spans="1:14" x14ac:dyDescent="0.2">
      <c r="A1174">
        <v>1173</v>
      </c>
      <c r="B1174">
        <v>23</v>
      </c>
      <c r="C1174">
        <v>52</v>
      </c>
      <c r="D1174">
        <v>344300</v>
      </c>
      <c r="F1174" t="s">
        <v>1911</v>
      </c>
      <c r="H1174" t="s">
        <v>1912</v>
      </c>
      <c r="I1174" t="s">
        <v>1913</v>
      </c>
      <c r="J1174">
        <v>38</v>
      </c>
      <c r="K1174" t="s">
        <v>72</v>
      </c>
      <c r="L1174" t="s">
        <v>244</v>
      </c>
      <c r="M1174" t="s">
        <v>245</v>
      </c>
      <c r="N1174" t="s">
        <v>246</v>
      </c>
    </row>
    <row r="1175" spans="1:14" x14ac:dyDescent="0.2">
      <c r="A1175">
        <v>1174</v>
      </c>
      <c r="B1175">
        <v>23</v>
      </c>
      <c r="C1175">
        <v>53</v>
      </c>
      <c r="D1175">
        <v>344300</v>
      </c>
      <c r="F1175" t="s">
        <v>1914</v>
      </c>
      <c r="H1175" t="s">
        <v>1915</v>
      </c>
      <c r="I1175" t="s">
        <v>1916</v>
      </c>
      <c r="J1175">
        <v>3</v>
      </c>
      <c r="K1175" t="s">
        <v>72</v>
      </c>
      <c r="L1175" t="s">
        <v>244</v>
      </c>
      <c r="M1175" t="s">
        <v>245</v>
      </c>
      <c r="N1175" t="s">
        <v>246</v>
      </c>
    </row>
    <row r="1176" spans="1:14" x14ac:dyDescent="0.2">
      <c r="A1176">
        <v>1175</v>
      </c>
      <c r="B1176">
        <v>23</v>
      </c>
      <c r="C1176">
        <v>54</v>
      </c>
      <c r="D1176">
        <v>344300</v>
      </c>
      <c r="F1176" t="s">
        <v>1917</v>
      </c>
      <c r="H1176" t="s">
        <v>1918</v>
      </c>
      <c r="I1176" t="s">
        <v>1919</v>
      </c>
      <c r="J1176">
        <v>3</v>
      </c>
      <c r="K1176" t="s">
        <v>72</v>
      </c>
      <c r="L1176" t="s">
        <v>244</v>
      </c>
      <c r="M1176" t="s">
        <v>245</v>
      </c>
      <c r="N1176" t="s">
        <v>246</v>
      </c>
    </row>
    <row r="1177" spans="1:14" x14ac:dyDescent="0.2">
      <c r="A1177">
        <v>1176</v>
      </c>
      <c r="B1177">
        <v>23</v>
      </c>
      <c r="C1177">
        <v>55</v>
      </c>
      <c r="D1177">
        <v>344300</v>
      </c>
      <c r="F1177" t="s">
        <v>1920</v>
      </c>
      <c r="H1177" t="s">
        <v>1921</v>
      </c>
      <c r="I1177" t="s">
        <v>1922</v>
      </c>
      <c r="J1177">
        <v>14</v>
      </c>
      <c r="K1177" t="s">
        <v>72</v>
      </c>
      <c r="L1177" t="s">
        <v>244</v>
      </c>
      <c r="M1177" t="s">
        <v>245</v>
      </c>
      <c r="N1177" t="s">
        <v>246</v>
      </c>
    </row>
    <row r="1178" spans="1:14" x14ac:dyDescent="0.2">
      <c r="A1178">
        <v>1177</v>
      </c>
      <c r="B1178">
        <v>23</v>
      </c>
      <c r="C1178">
        <v>56</v>
      </c>
      <c r="D1178">
        <v>344300</v>
      </c>
      <c r="F1178" t="s">
        <v>1923</v>
      </c>
      <c r="H1178" t="s">
        <v>1924</v>
      </c>
      <c r="I1178" t="s">
        <v>1925</v>
      </c>
      <c r="J1178">
        <v>4</v>
      </c>
      <c r="K1178" t="s">
        <v>72</v>
      </c>
      <c r="L1178" t="s">
        <v>244</v>
      </c>
      <c r="M1178" t="s">
        <v>245</v>
      </c>
      <c r="N1178" t="s">
        <v>246</v>
      </c>
    </row>
    <row r="1179" spans="1:14" x14ac:dyDescent="0.2">
      <c r="A1179">
        <v>1178</v>
      </c>
      <c r="B1179">
        <v>23</v>
      </c>
      <c r="C1179">
        <v>57</v>
      </c>
      <c r="D1179">
        <v>344301</v>
      </c>
      <c r="F1179" t="s">
        <v>1693</v>
      </c>
      <c r="H1179" t="s">
        <v>1694</v>
      </c>
      <c r="I1179" t="s">
        <v>1695</v>
      </c>
      <c r="J1179">
        <v>39</v>
      </c>
      <c r="K1179" t="s">
        <v>72</v>
      </c>
      <c r="L1179" t="s">
        <v>244</v>
      </c>
      <c r="M1179" t="s">
        <v>245</v>
      </c>
      <c r="N1179" t="s">
        <v>246</v>
      </c>
    </row>
    <row r="1180" spans="1:14" x14ac:dyDescent="0.2">
      <c r="A1180">
        <v>1179</v>
      </c>
      <c r="B1180">
        <v>23</v>
      </c>
      <c r="C1180">
        <v>58</v>
      </c>
      <c r="D1180">
        <v>344301</v>
      </c>
      <c r="F1180" t="s">
        <v>1926</v>
      </c>
      <c r="H1180" t="s">
        <v>1927</v>
      </c>
      <c r="I1180" t="s">
        <v>1928</v>
      </c>
      <c r="J1180">
        <v>13</v>
      </c>
      <c r="K1180" t="s">
        <v>72</v>
      </c>
      <c r="L1180" t="s">
        <v>244</v>
      </c>
      <c r="M1180" t="s">
        <v>245</v>
      </c>
      <c r="N1180" t="s">
        <v>246</v>
      </c>
    </row>
    <row r="1181" spans="1:14" x14ac:dyDescent="0.2">
      <c r="A1181">
        <v>1180</v>
      </c>
      <c r="B1181">
        <v>23</v>
      </c>
      <c r="C1181">
        <v>59</v>
      </c>
      <c r="D1181">
        <v>344302</v>
      </c>
      <c r="F1181" t="s">
        <v>1929</v>
      </c>
      <c r="H1181" t="s">
        <v>1930</v>
      </c>
      <c r="I1181" t="s">
        <v>1931</v>
      </c>
      <c r="J1181">
        <v>1</v>
      </c>
      <c r="K1181" t="s">
        <v>17</v>
      </c>
      <c r="L1181" t="s">
        <v>244</v>
      </c>
      <c r="M1181" t="s">
        <v>362</v>
      </c>
      <c r="N1181" t="s">
        <v>363</v>
      </c>
    </row>
    <row r="1182" spans="1:14" x14ac:dyDescent="0.2">
      <c r="A1182">
        <v>1181</v>
      </c>
      <c r="B1182">
        <v>23</v>
      </c>
      <c r="C1182">
        <v>60</v>
      </c>
      <c r="D1182">
        <v>344302</v>
      </c>
      <c r="F1182" t="s">
        <v>1932</v>
      </c>
      <c r="H1182" t="s">
        <v>1933</v>
      </c>
      <c r="I1182" t="s">
        <v>1934</v>
      </c>
      <c r="J1182">
        <v>1</v>
      </c>
      <c r="K1182" t="s">
        <v>17</v>
      </c>
      <c r="L1182" t="s">
        <v>244</v>
      </c>
      <c r="M1182" t="s">
        <v>362</v>
      </c>
      <c r="N1182" t="s">
        <v>363</v>
      </c>
    </row>
    <row r="1183" spans="1:14" x14ac:dyDescent="0.2">
      <c r="A1183">
        <v>1182</v>
      </c>
      <c r="B1183">
        <v>23</v>
      </c>
      <c r="C1183">
        <v>61</v>
      </c>
      <c r="D1183">
        <v>344302</v>
      </c>
      <c r="F1183" t="s">
        <v>1935</v>
      </c>
      <c r="H1183" t="s">
        <v>1936</v>
      </c>
      <c r="I1183" t="s">
        <v>1937</v>
      </c>
      <c r="J1183">
        <v>1</v>
      </c>
      <c r="K1183" t="s">
        <v>17</v>
      </c>
      <c r="L1183" t="s">
        <v>244</v>
      </c>
      <c r="M1183" t="s">
        <v>362</v>
      </c>
      <c r="N1183" t="s">
        <v>363</v>
      </c>
    </row>
    <row r="1184" spans="1:14" x14ac:dyDescent="0.2">
      <c r="A1184">
        <v>1183</v>
      </c>
      <c r="B1184">
        <v>23</v>
      </c>
      <c r="C1184">
        <v>62</v>
      </c>
      <c r="D1184">
        <v>344302</v>
      </c>
      <c r="F1184" t="s">
        <v>1938</v>
      </c>
      <c r="H1184" t="s">
        <v>1939</v>
      </c>
      <c r="I1184" t="s">
        <v>1940</v>
      </c>
      <c r="J1184">
        <v>1</v>
      </c>
      <c r="K1184" t="s">
        <v>17</v>
      </c>
      <c r="L1184" t="s">
        <v>244</v>
      </c>
      <c r="M1184" t="s">
        <v>362</v>
      </c>
      <c r="N1184" t="s">
        <v>363</v>
      </c>
    </row>
    <row r="1185" spans="1:14" x14ac:dyDescent="0.2">
      <c r="A1185">
        <v>1184</v>
      </c>
      <c r="B1185">
        <v>23</v>
      </c>
      <c r="C1185">
        <v>63</v>
      </c>
      <c r="D1185">
        <v>344302</v>
      </c>
      <c r="F1185" t="s">
        <v>1941</v>
      </c>
      <c r="H1185" t="s">
        <v>1942</v>
      </c>
      <c r="I1185" t="s">
        <v>1943</v>
      </c>
      <c r="J1185">
        <v>1</v>
      </c>
      <c r="K1185" t="s">
        <v>17</v>
      </c>
      <c r="L1185" t="s">
        <v>244</v>
      </c>
      <c r="M1185" t="s">
        <v>362</v>
      </c>
      <c r="N1185" t="s">
        <v>363</v>
      </c>
    </row>
    <row r="1186" spans="1:14" x14ac:dyDescent="0.2">
      <c r="A1186">
        <v>1185</v>
      </c>
      <c r="B1186">
        <v>23</v>
      </c>
      <c r="C1186">
        <v>64</v>
      </c>
      <c r="D1186">
        <v>344302</v>
      </c>
      <c r="F1186" t="s">
        <v>1944</v>
      </c>
      <c r="H1186" t="s">
        <v>1945</v>
      </c>
      <c r="I1186" t="s">
        <v>1946</v>
      </c>
      <c r="J1186">
        <v>1</v>
      </c>
      <c r="K1186" t="s">
        <v>17</v>
      </c>
      <c r="L1186" t="s">
        <v>244</v>
      </c>
      <c r="M1186" t="s">
        <v>362</v>
      </c>
      <c r="N1186" t="s">
        <v>363</v>
      </c>
    </row>
    <row r="1187" spans="1:14" x14ac:dyDescent="0.2">
      <c r="A1187">
        <v>1186</v>
      </c>
      <c r="B1187">
        <v>23</v>
      </c>
      <c r="C1187">
        <v>65</v>
      </c>
      <c r="D1187">
        <v>344302</v>
      </c>
      <c r="F1187" t="s">
        <v>1947</v>
      </c>
      <c r="H1187" t="s">
        <v>1948</v>
      </c>
      <c r="I1187" t="s">
        <v>1949</v>
      </c>
      <c r="J1187">
        <v>1</v>
      </c>
      <c r="K1187" t="s">
        <v>17</v>
      </c>
      <c r="L1187" t="s">
        <v>244</v>
      </c>
      <c r="M1187" t="s">
        <v>362</v>
      </c>
      <c r="N1187" t="s">
        <v>363</v>
      </c>
    </row>
    <row r="1188" spans="1:14" x14ac:dyDescent="0.2">
      <c r="A1188">
        <v>1187</v>
      </c>
      <c r="B1188">
        <v>23</v>
      </c>
      <c r="C1188">
        <v>66</v>
      </c>
      <c r="D1188">
        <v>344302</v>
      </c>
      <c r="F1188" t="s">
        <v>1950</v>
      </c>
      <c r="H1188" t="s">
        <v>1951</v>
      </c>
      <c r="I1188" t="s">
        <v>1952</v>
      </c>
      <c r="J1188">
        <v>1</v>
      </c>
      <c r="K1188" t="s">
        <v>17</v>
      </c>
      <c r="L1188" t="s">
        <v>244</v>
      </c>
      <c r="M1188" t="s">
        <v>362</v>
      </c>
      <c r="N1188" t="s">
        <v>363</v>
      </c>
    </row>
    <row r="1189" spans="1:14" x14ac:dyDescent="0.2">
      <c r="A1189">
        <v>1188</v>
      </c>
      <c r="B1189">
        <v>23</v>
      </c>
      <c r="C1189">
        <v>67</v>
      </c>
      <c r="D1189">
        <v>344302</v>
      </c>
      <c r="F1189" t="s">
        <v>1953</v>
      </c>
      <c r="H1189" t="s">
        <v>1954</v>
      </c>
      <c r="I1189" t="s">
        <v>1955</v>
      </c>
      <c r="J1189">
        <v>1</v>
      </c>
      <c r="K1189" t="s">
        <v>17</v>
      </c>
      <c r="L1189" t="s">
        <v>244</v>
      </c>
      <c r="M1189" t="s">
        <v>362</v>
      </c>
      <c r="N1189" t="s">
        <v>363</v>
      </c>
    </row>
    <row r="1190" spans="1:14" x14ac:dyDescent="0.2">
      <c r="A1190">
        <v>1189</v>
      </c>
      <c r="B1190">
        <v>23</v>
      </c>
      <c r="C1190">
        <v>68</v>
      </c>
      <c r="D1190">
        <v>344302</v>
      </c>
      <c r="F1190" t="s">
        <v>1956</v>
      </c>
      <c r="H1190" t="s">
        <v>1957</v>
      </c>
      <c r="I1190" t="s">
        <v>1958</v>
      </c>
      <c r="J1190">
        <v>1</v>
      </c>
      <c r="K1190" t="s">
        <v>17</v>
      </c>
      <c r="L1190" t="s">
        <v>244</v>
      </c>
      <c r="M1190" t="s">
        <v>362</v>
      </c>
      <c r="N1190" t="s">
        <v>363</v>
      </c>
    </row>
    <row r="1191" spans="1:14" x14ac:dyDescent="0.2">
      <c r="A1191">
        <v>1190</v>
      </c>
      <c r="B1191">
        <v>23</v>
      </c>
      <c r="C1191">
        <v>69</v>
      </c>
      <c r="D1191">
        <v>344302</v>
      </c>
      <c r="F1191" t="s">
        <v>1959</v>
      </c>
      <c r="H1191" t="s">
        <v>1960</v>
      </c>
      <c r="I1191" t="s">
        <v>1961</v>
      </c>
      <c r="J1191">
        <v>1</v>
      </c>
      <c r="K1191" t="s">
        <v>17</v>
      </c>
      <c r="L1191" t="s">
        <v>244</v>
      </c>
      <c r="M1191" t="s">
        <v>362</v>
      </c>
      <c r="N1191" t="s">
        <v>363</v>
      </c>
    </row>
    <row r="1192" spans="1:14" x14ac:dyDescent="0.2">
      <c r="A1192">
        <v>1191</v>
      </c>
      <c r="B1192">
        <v>24</v>
      </c>
      <c r="C1192">
        <v>1</v>
      </c>
      <c r="D1192">
        <v>12200</v>
      </c>
      <c r="F1192" t="s">
        <v>109</v>
      </c>
      <c r="H1192" t="s">
        <v>110</v>
      </c>
      <c r="I1192" t="s">
        <v>111</v>
      </c>
      <c r="J1192">
        <v>1</v>
      </c>
      <c r="K1192" t="s">
        <v>17</v>
      </c>
      <c r="L1192" t="s">
        <v>18</v>
      </c>
      <c r="M1192" t="s">
        <v>19</v>
      </c>
      <c r="N1192" t="s">
        <v>108</v>
      </c>
    </row>
    <row r="1193" spans="1:14" x14ac:dyDescent="0.2">
      <c r="A1193">
        <v>1192</v>
      </c>
      <c r="B1193">
        <v>24</v>
      </c>
      <c r="C1193">
        <v>1</v>
      </c>
      <c r="D1193" t="s">
        <v>806</v>
      </c>
      <c r="F1193" t="s">
        <v>807</v>
      </c>
      <c r="H1193" t="s">
        <v>808</v>
      </c>
      <c r="I1193" t="s">
        <v>809</v>
      </c>
      <c r="J1193">
        <v>1</v>
      </c>
      <c r="K1193" t="s">
        <v>17</v>
      </c>
      <c r="L1193" t="s">
        <v>18</v>
      </c>
      <c r="M1193" t="s">
        <v>19</v>
      </c>
      <c r="N1193" t="s">
        <v>108</v>
      </c>
    </row>
    <row r="1194" spans="1:14" x14ac:dyDescent="0.2">
      <c r="A1194">
        <v>1193</v>
      </c>
      <c r="B1194">
        <v>24</v>
      </c>
      <c r="C1194">
        <v>2</v>
      </c>
      <c r="D1194">
        <v>12200</v>
      </c>
      <c r="F1194" t="s">
        <v>112</v>
      </c>
      <c r="H1194" t="s">
        <v>113</v>
      </c>
      <c r="I1194" t="s">
        <v>114</v>
      </c>
      <c r="J1194">
        <v>1</v>
      </c>
      <c r="K1194" t="s">
        <v>17</v>
      </c>
      <c r="L1194" t="s">
        <v>18</v>
      </c>
      <c r="M1194" t="s">
        <v>19</v>
      </c>
      <c r="N1194" t="s">
        <v>108</v>
      </c>
    </row>
    <row r="1195" spans="1:14" x14ac:dyDescent="0.2">
      <c r="A1195">
        <v>1194</v>
      </c>
      <c r="B1195">
        <v>24</v>
      </c>
      <c r="C1195">
        <v>2</v>
      </c>
      <c r="D1195" t="s">
        <v>136</v>
      </c>
      <c r="F1195" t="s">
        <v>1962</v>
      </c>
      <c r="H1195" t="s">
        <v>1963</v>
      </c>
      <c r="I1195" t="s">
        <v>1964</v>
      </c>
      <c r="J1195">
        <v>2389</v>
      </c>
      <c r="K1195" t="s">
        <v>94</v>
      </c>
      <c r="L1195" t="s">
        <v>37</v>
      </c>
      <c r="M1195" t="s">
        <v>38</v>
      </c>
      <c r="N1195" t="s">
        <v>140</v>
      </c>
    </row>
    <row r="1196" spans="1:14" x14ac:dyDescent="0.2">
      <c r="A1196">
        <v>1195</v>
      </c>
      <c r="B1196">
        <v>24</v>
      </c>
      <c r="C1196">
        <v>3</v>
      </c>
      <c r="D1196">
        <v>12200</v>
      </c>
      <c r="F1196" t="s">
        <v>380</v>
      </c>
      <c r="H1196" t="s">
        <v>381</v>
      </c>
      <c r="I1196" t="s">
        <v>382</v>
      </c>
      <c r="J1196">
        <v>1</v>
      </c>
      <c r="K1196" t="s">
        <v>17</v>
      </c>
      <c r="L1196" t="s">
        <v>18</v>
      </c>
      <c r="M1196" t="s">
        <v>19</v>
      </c>
      <c r="N1196" t="s">
        <v>108</v>
      </c>
    </row>
    <row r="1197" spans="1:14" x14ac:dyDescent="0.2">
      <c r="A1197">
        <v>1196</v>
      </c>
      <c r="B1197">
        <v>24</v>
      </c>
      <c r="C1197">
        <v>3</v>
      </c>
      <c r="D1197" t="s">
        <v>174</v>
      </c>
      <c r="F1197" t="s">
        <v>845</v>
      </c>
      <c r="H1197" t="s">
        <v>846</v>
      </c>
      <c r="I1197" t="s">
        <v>847</v>
      </c>
      <c r="J1197">
        <v>170</v>
      </c>
      <c r="K1197" t="s">
        <v>178</v>
      </c>
      <c r="L1197" t="s">
        <v>37</v>
      </c>
      <c r="M1197" t="s">
        <v>38</v>
      </c>
      <c r="N1197" t="s">
        <v>140</v>
      </c>
    </row>
    <row r="1198" spans="1:14" x14ac:dyDescent="0.2">
      <c r="A1198">
        <v>1197</v>
      </c>
      <c r="B1198">
        <v>24</v>
      </c>
      <c r="C1198">
        <v>4</v>
      </c>
      <c r="D1198">
        <v>12200</v>
      </c>
      <c r="F1198" t="s">
        <v>118</v>
      </c>
      <c r="H1198" t="s">
        <v>119</v>
      </c>
      <c r="I1198" t="s">
        <v>120</v>
      </c>
      <c r="J1198">
        <v>1</v>
      </c>
      <c r="K1198" t="s">
        <v>17</v>
      </c>
      <c r="L1198" t="s">
        <v>18</v>
      </c>
      <c r="M1198" t="s">
        <v>19</v>
      </c>
      <c r="N1198" t="s">
        <v>108</v>
      </c>
    </row>
    <row r="1199" spans="1:14" x14ac:dyDescent="0.2">
      <c r="A1199">
        <v>1198</v>
      </c>
      <c r="B1199">
        <v>24</v>
      </c>
      <c r="C1199">
        <v>4</v>
      </c>
      <c r="D1199" t="s">
        <v>157</v>
      </c>
      <c r="F1199" t="s">
        <v>833</v>
      </c>
      <c r="H1199" t="s">
        <v>834</v>
      </c>
      <c r="I1199" t="s">
        <v>835</v>
      </c>
      <c r="J1199">
        <v>429</v>
      </c>
      <c r="K1199" t="s">
        <v>52</v>
      </c>
      <c r="L1199" t="s">
        <v>37</v>
      </c>
      <c r="M1199" t="s">
        <v>38</v>
      </c>
      <c r="N1199" t="s">
        <v>140</v>
      </c>
    </row>
    <row r="1200" spans="1:14" x14ac:dyDescent="0.2">
      <c r="A1200">
        <v>1199</v>
      </c>
      <c r="B1200">
        <v>24</v>
      </c>
      <c r="C1200">
        <v>5</v>
      </c>
      <c r="D1200">
        <v>15713</v>
      </c>
      <c r="F1200" t="s">
        <v>127</v>
      </c>
      <c r="H1200" t="s">
        <v>128</v>
      </c>
      <c r="I1200" t="s">
        <v>129</v>
      </c>
      <c r="J1200">
        <v>18</v>
      </c>
      <c r="K1200" t="s">
        <v>72</v>
      </c>
      <c r="L1200" t="s">
        <v>18</v>
      </c>
      <c r="M1200" t="s">
        <v>19</v>
      </c>
      <c r="N1200" t="s">
        <v>108</v>
      </c>
    </row>
    <row r="1201" spans="1:14" x14ac:dyDescent="0.2">
      <c r="A1201">
        <v>1200</v>
      </c>
      <c r="B1201">
        <v>24</v>
      </c>
      <c r="C1201">
        <v>5</v>
      </c>
      <c r="D1201" t="s">
        <v>217</v>
      </c>
      <c r="F1201" t="s">
        <v>860</v>
      </c>
      <c r="H1201" t="s">
        <v>861</v>
      </c>
      <c r="I1201" t="s">
        <v>862</v>
      </c>
      <c r="J1201">
        <v>1537</v>
      </c>
      <c r="K1201" t="s">
        <v>87</v>
      </c>
      <c r="L1201" t="s">
        <v>37</v>
      </c>
      <c r="M1201" t="s">
        <v>38</v>
      </c>
      <c r="N1201" t="s">
        <v>140</v>
      </c>
    </row>
    <row r="1202" spans="1:14" x14ac:dyDescent="0.2">
      <c r="A1202">
        <v>1201</v>
      </c>
      <c r="B1202">
        <v>24</v>
      </c>
      <c r="C1202">
        <v>6</v>
      </c>
      <c r="D1202">
        <v>15713</v>
      </c>
      <c r="F1202" t="s">
        <v>930</v>
      </c>
      <c r="H1202" t="s">
        <v>931</v>
      </c>
      <c r="I1202" t="s">
        <v>932</v>
      </c>
      <c r="J1202">
        <v>153</v>
      </c>
      <c r="K1202" t="s">
        <v>36</v>
      </c>
      <c r="L1202" t="s">
        <v>18</v>
      </c>
      <c r="M1202" t="s">
        <v>19</v>
      </c>
      <c r="N1202" t="s">
        <v>108</v>
      </c>
    </row>
    <row r="1203" spans="1:14" x14ac:dyDescent="0.2">
      <c r="A1203">
        <v>1202</v>
      </c>
      <c r="B1203">
        <v>24</v>
      </c>
      <c r="C1203">
        <v>6</v>
      </c>
      <c r="D1203" t="s">
        <v>217</v>
      </c>
      <c r="F1203" t="s">
        <v>221</v>
      </c>
      <c r="H1203" t="s">
        <v>222</v>
      </c>
      <c r="I1203" t="s">
        <v>223</v>
      </c>
      <c r="J1203">
        <v>47</v>
      </c>
      <c r="K1203" t="s">
        <v>216</v>
      </c>
      <c r="L1203" t="s">
        <v>37</v>
      </c>
      <c r="M1203" t="s">
        <v>38</v>
      </c>
      <c r="N1203" t="s">
        <v>140</v>
      </c>
    </row>
    <row r="1204" spans="1:14" x14ac:dyDescent="0.2">
      <c r="A1204">
        <v>1203</v>
      </c>
      <c r="B1204">
        <v>24</v>
      </c>
      <c r="C1204">
        <v>7</v>
      </c>
      <c r="D1204">
        <v>15713</v>
      </c>
      <c r="F1204" t="s">
        <v>130</v>
      </c>
      <c r="H1204" t="s">
        <v>131</v>
      </c>
      <c r="I1204" t="s">
        <v>132</v>
      </c>
      <c r="J1204">
        <v>0.3</v>
      </c>
      <c r="K1204" t="s">
        <v>133</v>
      </c>
      <c r="L1204" t="s">
        <v>18</v>
      </c>
      <c r="M1204" t="s">
        <v>19</v>
      </c>
      <c r="N1204" t="s">
        <v>108</v>
      </c>
    </row>
    <row r="1205" spans="1:14" x14ac:dyDescent="0.2">
      <c r="A1205">
        <v>1204</v>
      </c>
      <c r="B1205">
        <v>24</v>
      </c>
      <c r="C1205">
        <v>7</v>
      </c>
      <c r="D1205" t="s">
        <v>217</v>
      </c>
      <c r="F1205" t="s">
        <v>1849</v>
      </c>
      <c r="H1205" t="s">
        <v>1850</v>
      </c>
      <c r="I1205" t="s">
        <v>1851</v>
      </c>
      <c r="J1205">
        <v>768</v>
      </c>
      <c r="K1205" t="s">
        <v>87</v>
      </c>
      <c r="L1205" t="s">
        <v>37</v>
      </c>
      <c r="M1205" t="s">
        <v>38</v>
      </c>
      <c r="N1205" t="s">
        <v>140</v>
      </c>
    </row>
    <row r="1206" spans="1:14" x14ac:dyDescent="0.2">
      <c r="A1206">
        <v>1205</v>
      </c>
      <c r="B1206">
        <v>24</v>
      </c>
      <c r="C1206">
        <v>8</v>
      </c>
      <c r="D1206">
        <v>15713</v>
      </c>
      <c r="F1206" t="s">
        <v>485</v>
      </c>
      <c r="H1206" t="s">
        <v>933</v>
      </c>
      <c r="I1206" t="s">
        <v>934</v>
      </c>
      <c r="J1206">
        <v>1620</v>
      </c>
      <c r="K1206" t="s">
        <v>36</v>
      </c>
      <c r="L1206" t="s">
        <v>18</v>
      </c>
      <c r="M1206" t="s">
        <v>19</v>
      </c>
      <c r="N1206" t="s">
        <v>108</v>
      </c>
    </row>
    <row r="1207" spans="1:14" x14ac:dyDescent="0.2">
      <c r="A1207">
        <v>1206</v>
      </c>
      <c r="B1207">
        <v>24</v>
      </c>
      <c r="C1207">
        <v>8</v>
      </c>
      <c r="D1207">
        <v>26100</v>
      </c>
      <c r="F1207" t="s">
        <v>285</v>
      </c>
      <c r="H1207" t="s">
        <v>286</v>
      </c>
      <c r="I1207" t="s">
        <v>287</v>
      </c>
      <c r="J1207">
        <v>290</v>
      </c>
      <c r="K1207" t="s">
        <v>52</v>
      </c>
      <c r="L1207" t="s">
        <v>30</v>
      </c>
      <c r="M1207" t="s">
        <v>30</v>
      </c>
      <c r="N1207" t="s">
        <v>288</v>
      </c>
    </row>
    <row r="1208" spans="1:14" x14ac:dyDescent="0.2">
      <c r="A1208">
        <v>1207</v>
      </c>
      <c r="B1208">
        <v>24</v>
      </c>
      <c r="C1208">
        <v>9</v>
      </c>
      <c r="D1208">
        <v>26100</v>
      </c>
      <c r="F1208" t="s">
        <v>1965</v>
      </c>
      <c r="H1208" t="s">
        <v>1966</v>
      </c>
      <c r="I1208" t="s">
        <v>1967</v>
      </c>
      <c r="J1208">
        <v>500</v>
      </c>
      <c r="K1208" t="s">
        <v>52</v>
      </c>
      <c r="L1208" t="s">
        <v>30</v>
      </c>
      <c r="M1208" t="s">
        <v>30</v>
      </c>
      <c r="N1208" t="s">
        <v>288</v>
      </c>
    </row>
    <row r="1209" spans="1:14" x14ac:dyDescent="0.2">
      <c r="A1209">
        <v>1208</v>
      </c>
      <c r="B1209">
        <v>24</v>
      </c>
      <c r="C1209">
        <v>9</v>
      </c>
      <c r="D1209" t="s">
        <v>806</v>
      </c>
      <c r="F1209" t="s">
        <v>807</v>
      </c>
      <c r="H1209" t="s">
        <v>808</v>
      </c>
      <c r="I1209" t="s">
        <v>809</v>
      </c>
      <c r="J1209">
        <v>1</v>
      </c>
      <c r="K1209" t="s">
        <v>17</v>
      </c>
      <c r="L1209" t="s">
        <v>18</v>
      </c>
      <c r="M1209" t="s">
        <v>19</v>
      </c>
      <c r="N1209" t="s">
        <v>108</v>
      </c>
    </row>
    <row r="1210" spans="1:14" x14ac:dyDescent="0.2">
      <c r="A1210">
        <v>1209</v>
      </c>
      <c r="B1210">
        <v>24</v>
      </c>
      <c r="C1210">
        <v>10</v>
      </c>
      <c r="D1210" t="s">
        <v>136</v>
      </c>
      <c r="F1210" t="s">
        <v>1968</v>
      </c>
      <c r="G1210" t="s">
        <v>1969</v>
      </c>
      <c r="H1210" t="s">
        <v>1970</v>
      </c>
      <c r="I1210" t="s">
        <v>1971</v>
      </c>
      <c r="J1210">
        <v>16500</v>
      </c>
      <c r="K1210" t="s">
        <v>94</v>
      </c>
      <c r="L1210" t="s">
        <v>37</v>
      </c>
      <c r="M1210" t="s">
        <v>38</v>
      </c>
      <c r="N1210" t="s">
        <v>140</v>
      </c>
    </row>
    <row r="1211" spans="1:14" x14ac:dyDescent="0.2">
      <c r="A1211">
        <v>1210</v>
      </c>
      <c r="B1211">
        <v>24</v>
      </c>
      <c r="C1211">
        <v>11</v>
      </c>
      <c r="D1211" t="s">
        <v>136</v>
      </c>
      <c r="F1211" t="s">
        <v>1962</v>
      </c>
      <c r="H1211" t="s">
        <v>1963</v>
      </c>
      <c r="I1211" t="s">
        <v>1964</v>
      </c>
      <c r="J1211">
        <v>18000</v>
      </c>
      <c r="K1211" t="s">
        <v>94</v>
      </c>
      <c r="L1211" t="s">
        <v>37</v>
      </c>
      <c r="M1211" t="s">
        <v>38</v>
      </c>
      <c r="N1211" t="s">
        <v>140</v>
      </c>
    </row>
    <row r="1212" spans="1:14" x14ac:dyDescent="0.2">
      <c r="A1212">
        <v>1211</v>
      </c>
      <c r="B1212">
        <v>24</v>
      </c>
      <c r="C1212">
        <v>12</v>
      </c>
      <c r="D1212" t="s">
        <v>136</v>
      </c>
      <c r="F1212" t="s">
        <v>1972</v>
      </c>
      <c r="H1212" t="s">
        <v>1973</v>
      </c>
      <c r="I1212" t="s">
        <v>1974</v>
      </c>
      <c r="J1212">
        <v>2300</v>
      </c>
      <c r="K1212" t="s">
        <v>94</v>
      </c>
      <c r="L1212" t="s">
        <v>37</v>
      </c>
      <c r="M1212" t="s">
        <v>38</v>
      </c>
      <c r="N1212" t="s">
        <v>140</v>
      </c>
    </row>
    <row r="1213" spans="1:14" x14ac:dyDescent="0.2">
      <c r="A1213">
        <v>1212</v>
      </c>
      <c r="B1213">
        <v>24</v>
      </c>
      <c r="C1213">
        <v>13</v>
      </c>
      <c r="D1213" t="s">
        <v>136</v>
      </c>
      <c r="F1213" t="s">
        <v>1975</v>
      </c>
      <c r="H1213" t="s">
        <v>1976</v>
      </c>
      <c r="I1213" t="s">
        <v>1977</v>
      </c>
      <c r="J1213">
        <v>822</v>
      </c>
      <c r="K1213" t="s">
        <v>94</v>
      </c>
      <c r="L1213" t="s">
        <v>37</v>
      </c>
      <c r="M1213" t="s">
        <v>38</v>
      </c>
      <c r="N1213" t="s">
        <v>140</v>
      </c>
    </row>
    <row r="1214" spans="1:14" x14ac:dyDescent="0.2">
      <c r="A1214">
        <v>1213</v>
      </c>
      <c r="B1214">
        <v>24</v>
      </c>
      <c r="C1214">
        <v>14</v>
      </c>
      <c r="D1214" t="s">
        <v>136</v>
      </c>
      <c r="F1214" t="s">
        <v>824</v>
      </c>
      <c r="H1214" t="s">
        <v>825</v>
      </c>
      <c r="I1214" t="s">
        <v>826</v>
      </c>
      <c r="J1214">
        <v>1</v>
      </c>
      <c r="K1214" t="s">
        <v>17</v>
      </c>
      <c r="L1214" t="s">
        <v>37</v>
      </c>
      <c r="M1214" t="s">
        <v>38</v>
      </c>
      <c r="N1214" t="s">
        <v>140</v>
      </c>
    </row>
    <row r="1215" spans="1:14" x14ac:dyDescent="0.2">
      <c r="A1215">
        <v>1214</v>
      </c>
      <c r="B1215">
        <v>24</v>
      </c>
      <c r="C1215">
        <v>15</v>
      </c>
      <c r="D1215" t="s">
        <v>163</v>
      </c>
      <c r="F1215" t="s">
        <v>592</v>
      </c>
      <c r="H1215" t="s">
        <v>593</v>
      </c>
      <c r="I1215" t="s">
        <v>594</v>
      </c>
      <c r="J1215">
        <v>5720</v>
      </c>
      <c r="K1215" t="s">
        <v>46</v>
      </c>
      <c r="L1215" t="s">
        <v>37</v>
      </c>
      <c r="M1215" t="s">
        <v>38</v>
      </c>
      <c r="N1215" t="s">
        <v>140</v>
      </c>
    </row>
    <row r="1216" spans="1:14" x14ac:dyDescent="0.2">
      <c r="A1216">
        <v>1215</v>
      </c>
      <c r="B1216">
        <v>24</v>
      </c>
      <c r="C1216">
        <v>16</v>
      </c>
      <c r="D1216" t="s">
        <v>163</v>
      </c>
      <c r="F1216" t="s">
        <v>1120</v>
      </c>
      <c r="H1216" t="s">
        <v>1678</v>
      </c>
      <c r="I1216" t="s">
        <v>1122</v>
      </c>
      <c r="J1216">
        <v>500</v>
      </c>
      <c r="K1216" t="s">
        <v>46</v>
      </c>
      <c r="L1216" t="s">
        <v>37</v>
      </c>
      <c r="M1216" t="s">
        <v>38</v>
      </c>
      <c r="N1216" t="s">
        <v>140</v>
      </c>
    </row>
    <row r="1217" spans="1:14" x14ac:dyDescent="0.2">
      <c r="A1217">
        <v>1216</v>
      </c>
      <c r="B1217">
        <v>24</v>
      </c>
      <c r="C1217">
        <v>17</v>
      </c>
      <c r="D1217" t="s">
        <v>199</v>
      </c>
      <c r="F1217" t="s">
        <v>200</v>
      </c>
      <c r="H1217" t="s">
        <v>201</v>
      </c>
      <c r="I1217" t="s">
        <v>202</v>
      </c>
      <c r="J1217">
        <v>6200</v>
      </c>
      <c r="K1217" t="s">
        <v>46</v>
      </c>
      <c r="L1217" t="s">
        <v>37</v>
      </c>
      <c r="M1217" t="s">
        <v>38</v>
      </c>
      <c r="N1217" t="s">
        <v>140</v>
      </c>
    </row>
    <row r="1218" spans="1:14" x14ac:dyDescent="0.2">
      <c r="A1218">
        <v>1217</v>
      </c>
      <c r="B1218">
        <v>24</v>
      </c>
      <c r="C1218">
        <v>18</v>
      </c>
      <c r="D1218" t="s">
        <v>199</v>
      </c>
      <c r="F1218" t="s">
        <v>830</v>
      </c>
      <c r="H1218" t="s">
        <v>1682</v>
      </c>
      <c r="I1218" t="s">
        <v>1683</v>
      </c>
      <c r="J1218">
        <v>15540</v>
      </c>
      <c r="K1218" t="s">
        <v>94</v>
      </c>
      <c r="L1218" t="s">
        <v>37</v>
      </c>
      <c r="M1218" t="s">
        <v>38</v>
      </c>
      <c r="N1218" t="s">
        <v>140</v>
      </c>
    </row>
    <row r="1219" spans="1:14" x14ac:dyDescent="0.2">
      <c r="A1219">
        <v>1218</v>
      </c>
      <c r="B1219">
        <v>24</v>
      </c>
      <c r="C1219">
        <v>19</v>
      </c>
      <c r="D1219" t="s">
        <v>157</v>
      </c>
      <c r="F1219" t="s">
        <v>833</v>
      </c>
      <c r="H1219" t="s">
        <v>834</v>
      </c>
      <c r="I1219" t="s">
        <v>835</v>
      </c>
      <c r="J1219">
        <v>7300</v>
      </c>
      <c r="K1219" t="s">
        <v>52</v>
      </c>
      <c r="L1219" t="s">
        <v>37</v>
      </c>
      <c r="M1219" t="s">
        <v>38</v>
      </c>
      <c r="N1219" t="s">
        <v>140</v>
      </c>
    </row>
    <row r="1220" spans="1:14" x14ac:dyDescent="0.2">
      <c r="A1220">
        <v>1219</v>
      </c>
      <c r="B1220">
        <v>24</v>
      </c>
      <c r="C1220">
        <v>20</v>
      </c>
      <c r="D1220" t="s">
        <v>167</v>
      </c>
      <c r="F1220" t="s">
        <v>960</v>
      </c>
      <c r="H1220" t="s">
        <v>961</v>
      </c>
      <c r="I1220" t="s">
        <v>962</v>
      </c>
      <c r="J1220">
        <v>12100</v>
      </c>
      <c r="K1220" t="s">
        <v>52</v>
      </c>
      <c r="L1220" t="s">
        <v>37</v>
      </c>
      <c r="M1220" t="s">
        <v>38</v>
      </c>
      <c r="N1220" t="s">
        <v>140</v>
      </c>
    </row>
    <row r="1221" spans="1:14" x14ac:dyDescent="0.2">
      <c r="A1221">
        <v>1220</v>
      </c>
      <c r="B1221">
        <v>24</v>
      </c>
      <c r="C1221">
        <v>21</v>
      </c>
      <c r="D1221" t="s">
        <v>174</v>
      </c>
      <c r="F1221" t="s">
        <v>845</v>
      </c>
      <c r="H1221" t="s">
        <v>846</v>
      </c>
      <c r="I1221" t="s">
        <v>847</v>
      </c>
      <c r="J1221">
        <v>7940</v>
      </c>
      <c r="K1221" t="s">
        <v>178</v>
      </c>
      <c r="L1221" t="s">
        <v>37</v>
      </c>
      <c r="M1221" t="s">
        <v>38</v>
      </c>
      <c r="N1221" t="s">
        <v>140</v>
      </c>
    </row>
    <row r="1222" spans="1:14" x14ac:dyDescent="0.2">
      <c r="A1222">
        <v>1221</v>
      </c>
      <c r="B1222">
        <v>24</v>
      </c>
      <c r="C1222">
        <v>22</v>
      </c>
      <c r="D1222" t="s">
        <v>183</v>
      </c>
      <c r="F1222" t="s">
        <v>184</v>
      </c>
      <c r="H1222" t="s">
        <v>185</v>
      </c>
      <c r="I1222" t="s">
        <v>186</v>
      </c>
      <c r="J1222">
        <v>37</v>
      </c>
      <c r="K1222" t="s">
        <v>178</v>
      </c>
      <c r="L1222" t="s">
        <v>37</v>
      </c>
      <c r="M1222" t="s">
        <v>38</v>
      </c>
      <c r="N1222" t="s">
        <v>140</v>
      </c>
    </row>
    <row r="1223" spans="1:14" x14ac:dyDescent="0.2">
      <c r="A1223">
        <v>1222</v>
      </c>
      <c r="B1223">
        <v>24</v>
      </c>
      <c r="C1223">
        <v>23</v>
      </c>
      <c r="D1223" t="s">
        <v>191</v>
      </c>
      <c r="F1223" t="s">
        <v>192</v>
      </c>
      <c r="H1223" t="s">
        <v>193</v>
      </c>
      <c r="I1223" t="s">
        <v>194</v>
      </c>
      <c r="J1223">
        <v>63</v>
      </c>
      <c r="K1223" t="s">
        <v>178</v>
      </c>
      <c r="L1223" t="s">
        <v>37</v>
      </c>
      <c r="M1223" t="s">
        <v>38</v>
      </c>
      <c r="N1223" t="s">
        <v>140</v>
      </c>
    </row>
    <row r="1224" spans="1:14" x14ac:dyDescent="0.2">
      <c r="A1224">
        <v>1223</v>
      </c>
      <c r="B1224">
        <v>24</v>
      </c>
      <c r="C1224">
        <v>24</v>
      </c>
      <c r="D1224" t="s">
        <v>209</v>
      </c>
      <c r="F1224" t="s">
        <v>863</v>
      </c>
      <c r="H1224" t="s">
        <v>864</v>
      </c>
      <c r="I1224" t="s">
        <v>865</v>
      </c>
      <c r="J1224">
        <v>22</v>
      </c>
      <c r="K1224" t="s">
        <v>46</v>
      </c>
      <c r="L1224" t="s">
        <v>37</v>
      </c>
      <c r="M1224" t="s">
        <v>38</v>
      </c>
      <c r="N1224" t="s">
        <v>140</v>
      </c>
    </row>
    <row r="1225" spans="1:14" x14ac:dyDescent="0.2">
      <c r="A1225">
        <v>1224</v>
      </c>
      <c r="B1225">
        <v>24</v>
      </c>
      <c r="C1225">
        <v>25</v>
      </c>
      <c r="D1225" t="s">
        <v>217</v>
      </c>
      <c r="F1225" t="s">
        <v>1849</v>
      </c>
      <c r="H1225" t="s">
        <v>1850</v>
      </c>
      <c r="I1225" t="s">
        <v>1851</v>
      </c>
      <c r="J1225">
        <v>15260</v>
      </c>
      <c r="K1225" t="s">
        <v>87</v>
      </c>
      <c r="L1225" t="s">
        <v>37</v>
      </c>
      <c r="M1225" t="s">
        <v>38</v>
      </c>
      <c r="N1225" t="s">
        <v>140</v>
      </c>
    </row>
    <row r="1226" spans="1:14" x14ac:dyDescent="0.2">
      <c r="A1226">
        <v>1225</v>
      </c>
      <c r="B1226">
        <v>24</v>
      </c>
      <c r="C1226">
        <v>26</v>
      </c>
      <c r="D1226" t="s">
        <v>217</v>
      </c>
      <c r="F1226" t="s">
        <v>860</v>
      </c>
      <c r="H1226" t="s">
        <v>861</v>
      </c>
      <c r="I1226" t="s">
        <v>862</v>
      </c>
      <c r="J1226">
        <v>38950</v>
      </c>
      <c r="K1226" t="s">
        <v>87</v>
      </c>
      <c r="L1226" t="s">
        <v>37</v>
      </c>
      <c r="M1226" t="s">
        <v>38</v>
      </c>
      <c r="N1226" t="s">
        <v>140</v>
      </c>
    </row>
    <row r="1227" spans="1:14" x14ac:dyDescent="0.2">
      <c r="A1227">
        <v>1226</v>
      </c>
      <c r="B1227">
        <v>24</v>
      </c>
      <c r="C1227">
        <v>27</v>
      </c>
      <c r="D1227" t="s">
        <v>217</v>
      </c>
      <c r="F1227" t="s">
        <v>221</v>
      </c>
      <c r="H1227" t="s">
        <v>222</v>
      </c>
      <c r="I1227" t="s">
        <v>223</v>
      </c>
      <c r="J1227">
        <v>1360</v>
      </c>
      <c r="K1227" t="s">
        <v>216</v>
      </c>
      <c r="L1227" t="s">
        <v>37</v>
      </c>
      <c r="M1227" t="s">
        <v>38</v>
      </c>
      <c r="N1227" t="s">
        <v>140</v>
      </c>
    </row>
    <row r="1228" spans="1:14" x14ac:dyDescent="0.2">
      <c r="A1228">
        <v>1227</v>
      </c>
      <c r="B1228">
        <v>24</v>
      </c>
      <c r="C1228">
        <v>28</v>
      </c>
      <c r="D1228" t="s">
        <v>217</v>
      </c>
      <c r="F1228" t="s">
        <v>866</v>
      </c>
      <c r="H1228" t="s">
        <v>867</v>
      </c>
      <c r="I1228" t="s">
        <v>868</v>
      </c>
      <c r="J1228">
        <v>8250</v>
      </c>
      <c r="K1228" t="s">
        <v>87</v>
      </c>
      <c r="L1228" t="s">
        <v>37</v>
      </c>
      <c r="M1228" t="s">
        <v>38</v>
      </c>
      <c r="N1228" t="s">
        <v>140</v>
      </c>
    </row>
    <row r="1229" spans="1:14" x14ac:dyDescent="0.2">
      <c r="A1229">
        <v>1228</v>
      </c>
      <c r="B1229">
        <v>24</v>
      </c>
      <c r="C1229">
        <v>29</v>
      </c>
      <c r="D1229" t="s">
        <v>227</v>
      </c>
      <c r="F1229" t="s">
        <v>509</v>
      </c>
      <c r="G1229" t="s">
        <v>238</v>
      </c>
      <c r="H1229" t="s">
        <v>1978</v>
      </c>
      <c r="I1229" t="s">
        <v>1979</v>
      </c>
      <c r="J1229">
        <v>413</v>
      </c>
      <c r="K1229" t="s">
        <v>36</v>
      </c>
      <c r="L1229" t="s">
        <v>57</v>
      </c>
      <c r="M1229" t="s">
        <v>232</v>
      </c>
      <c r="N1229" t="s">
        <v>233</v>
      </c>
    </row>
    <row r="1230" spans="1:14" x14ac:dyDescent="0.2">
      <c r="A1230">
        <v>1229</v>
      </c>
      <c r="B1230">
        <v>24</v>
      </c>
      <c r="C1230">
        <v>30</v>
      </c>
      <c r="D1230" t="s">
        <v>227</v>
      </c>
      <c r="F1230" t="s">
        <v>509</v>
      </c>
      <c r="G1230" t="s">
        <v>512</v>
      </c>
      <c r="H1230" t="s">
        <v>1980</v>
      </c>
      <c r="I1230" t="s">
        <v>1979</v>
      </c>
      <c r="J1230">
        <v>265</v>
      </c>
      <c r="K1230" t="s">
        <v>36</v>
      </c>
      <c r="L1230" t="s">
        <v>57</v>
      </c>
      <c r="M1230" t="s">
        <v>232</v>
      </c>
      <c r="N1230" t="s">
        <v>233</v>
      </c>
    </row>
    <row r="1231" spans="1:14" x14ac:dyDescent="0.2">
      <c r="A1231">
        <v>1230</v>
      </c>
      <c r="B1231">
        <v>24</v>
      </c>
      <c r="C1231">
        <v>31</v>
      </c>
      <c r="D1231" t="s">
        <v>227</v>
      </c>
      <c r="F1231" t="s">
        <v>509</v>
      </c>
      <c r="G1231" t="s">
        <v>443</v>
      </c>
      <c r="H1231" t="s">
        <v>1981</v>
      </c>
      <c r="I1231" t="s">
        <v>1979</v>
      </c>
      <c r="J1231">
        <v>162</v>
      </c>
      <c r="K1231" t="s">
        <v>36</v>
      </c>
      <c r="L1231" t="s">
        <v>57</v>
      </c>
      <c r="M1231" t="s">
        <v>232</v>
      </c>
      <c r="N1231" t="s">
        <v>233</v>
      </c>
    </row>
    <row r="1232" spans="1:14" x14ac:dyDescent="0.2">
      <c r="A1232">
        <v>1231</v>
      </c>
      <c r="B1232">
        <v>24</v>
      </c>
      <c r="C1232">
        <v>32</v>
      </c>
      <c r="D1232" t="s">
        <v>446</v>
      </c>
      <c r="F1232" t="s">
        <v>1982</v>
      </c>
      <c r="G1232" t="s">
        <v>441</v>
      </c>
      <c r="H1232" t="s">
        <v>1983</v>
      </c>
      <c r="I1232" t="s">
        <v>1984</v>
      </c>
      <c r="J1232">
        <v>520</v>
      </c>
      <c r="K1232" t="s">
        <v>36</v>
      </c>
      <c r="L1232" t="s">
        <v>57</v>
      </c>
      <c r="M1232" t="s">
        <v>232</v>
      </c>
      <c r="N1232" t="s">
        <v>233</v>
      </c>
    </row>
    <row r="1233" spans="1:14" x14ac:dyDescent="0.2">
      <c r="A1233">
        <v>1232</v>
      </c>
      <c r="B1233">
        <v>24</v>
      </c>
      <c r="C1233">
        <v>33</v>
      </c>
      <c r="D1233" t="s">
        <v>446</v>
      </c>
      <c r="F1233" t="s">
        <v>1985</v>
      </c>
      <c r="G1233" t="s">
        <v>441</v>
      </c>
      <c r="H1233" t="s">
        <v>1986</v>
      </c>
      <c r="I1233" t="s">
        <v>1987</v>
      </c>
      <c r="J1233">
        <v>50</v>
      </c>
      <c r="K1233" t="s">
        <v>36</v>
      </c>
      <c r="L1233" t="s">
        <v>57</v>
      </c>
      <c r="M1233" t="s">
        <v>232</v>
      </c>
      <c r="N1233" t="s">
        <v>233</v>
      </c>
    </row>
    <row r="1234" spans="1:14" x14ac:dyDescent="0.2">
      <c r="A1234">
        <v>1233</v>
      </c>
      <c r="B1234">
        <v>24</v>
      </c>
      <c r="C1234">
        <v>34</v>
      </c>
      <c r="D1234" t="s">
        <v>263</v>
      </c>
      <c r="F1234" t="s">
        <v>1182</v>
      </c>
      <c r="G1234" t="s">
        <v>247</v>
      </c>
      <c r="H1234" t="s">
        <v>1988</v>
      </c>
      <c r="I1234" t="s">
        <v>1184</v>
      </c>
      <c r="J1234">
        <v>3</v>
      </c>
      <c r="K1234" t="s">
        <v>72</v>
      </c>
      <c r="L1234" t="s">
        <v>57</v>
      </c>
      <c r="M1234" t="s">
        <v>232</v>
      </c>
      <c r="N1234" t="s">
        <v>233</v>
      </c>
    </row>
    <row r="1235" spans="1:14" x14ac:dyDescent="0.2">
      <c r="A1235">
        <v>1234</v>
      </c>
      <c r="B1235">
        <v>24</v>
      </c>
      <c r="C1235">
        <v>35</v>
      </c>
      <c r="D1235" t="s">
        <v>263</v>
      </c>
      <c r="F1235" t="s">
        <v>1182</v>
      </c>
      <c r="G1235" t="s">
        <v>451</v>
      </c>
      <c r="H1235" t="s">
        <v>1865</v>
      </c>
      <c r="I1235" t="s">
        <v>1184</v>
      </c>
      <c r="J1235">
        <v>1</v>
      </c>
      <c r="K1235" t="s">
        <v>72</v>
      </c>
      <c r="L1235" t="s">
        <v>57</v>
      </c>
      <c r="M1235" t="s">
        <v>232</v>
      </c>
      <c r="N1235" t="s">
        <v>233</v>
      </c>
    </row>
    <row r="1236" spans="1:14" x14ac:dyDescent="0.2">
      <c r="A1236">
        <v>1235</v>
      </c>
      <c r="B1236">
        <v>24</v>
      </c>
      <c r="C1236">
        <v>36</v>
      </c>
      <c r="D1236" t="s">
        <v>263</v>
      </c>
      <c r="F1236" t="s">
        <v>623</v>
      </c>
      <c r="H1236" t="s">
        <v>624</v>
      </c>
      <c r="I1236" t="s">
        <v>625</v>
      </c>
      <c r="J1236">
        <v>3</v>
      </c>
      <c r="K1236" t="s">
        <v>72</v>
      </c>
      <c r="L1236" t="s">
        <v>57</v>
      </c>
      <c r="M1236" t="s">
        <v>232</v>
      </c>
      <c r="N1236" t="s">
        <v>233</v>
      </c>
    </row>
    <row r="1237" spans="1:14" x14ac:dyDescent="0.2">
      <c r="A1237">
        <v>1236</v>
      </c>
      <c r="B1237">
        <v>24</v>
      </c>
      <c r="C1237">
        <v>37</v>
      </c>
      <c r="D1237" t="s">
        <v>263</v>
      </c>
      <c r="F1237" t="s">
        <v>1866</v>
      </c>
      <c r="H1237" t="s">
        <v>1867</v>
      </c>
      <c r="I1237" t="s">
        <v>1868</v>
      </c>
      <c r="J1237">
        <v>4</v>
      </c>
      <c r="K1237" t="s">
        <v>72</v>
      </c>
      <c r="L1237" t="s">
        <v>57</v>
      </c>
      <c r="M1237" t="s">
        <v>232</v>
      </c>
      <c r="N1237" t="s">
        <v>233</v>
      </c>
    </row>
    <row r="1238" spans="1:14" x14ac:dyDescent="0.2">
      <c r="A1238">
        <v>1237</v>
      </c>
      <c r="B1238">
        <v>24</v>
      </c>
      <c r="C1238">
        <v>38</v>
      </c>
      <c r="D1238" t="s">
        <v>263</v>
      </c>
      <c r="F1238" t="s">
        <v>1869</v>
      </c>
      <c r="H1238" t="s">
        <v>1870</v>
      </c>
      <c r="I1238" t="s">
        <v>1871</v>
      </c>
      <c r="J1238">
        <v>2</v>
      </c>
      <c r="K1238" t="s">
        <v>72</v>
      </c>
      <c r="L1238" t="s">
        <v>57</v>
      </c>
      <c r="M1238" t="s">
        <v>232</v>
      </c>
      <c r="N1238" t="s">
        <v>233</v>
      </c>
    </row>
    <row r="1239" spans="1:14" x14ac:dyDescent="0.2">
      <c r="A1239">
        <v>1238</v>
      </c>
      <c r="B1239">
        <v>24</v>
      </c>
      <c r="C1239">
        <v>39</v>
      </c>
      <c r="D1239" t="s">
        <v>302</v>
      </c>
      <c r="F1239" t="s">
        <v>303</v>
      </c>
      <c r="H1239" t="s">
        <v>304</v>
      </c>
      <c r="I1239" t="s">
        <v>305</v>
      </c>
      <c r="J1239">
        <v>0.7</v>
      </c>
      <c r="K1239" t="s">
        <v>133</v>
      </c>
      <c r="L1239" t="s">
        <v>25</v>
      </c>
      <c r="M1239" t="s">
        <v>26</v>
      </c>
      <c r="N1239" t="s">
        <v>306</v>
      </c>
    </row>
    <row r="1240" spans="1:14" x14ac:dyDescent="0.2">
      <c r="A1240">
        <v>1239</v>
      </c>
      <c r="B1240">
        <v>24</v>
      </c>
      <c r="C1240">
        <v>40</v>
      </c>
      <c r="D1240" t="s">
        <v>455</v>
      </c>
      <c r="F1240" t="s">
        <v>1989</v>
      </c>
      <c r="H1240" t="s">
        <v>1990</v>
      </c>
      <c r="I1240" t="s">
        <v>1991</v>
      </c>
      <c r="J1240">
        <v>550</v>
      </c>
      <c r="K1240" t="s">
        <v>46</v>
      </c>
      <c r="L1240" t="s">
        <v>25</v>
      </c>
      <c r="M1240" t="s">
        <v>26</v>
      </c>
      <c r="N1240" t="s">
        <v>306</v>
      </c>
    </row>
    <row r="1241" spans="1:14" x14ac:dyDescent="0.2">
      <c r="A1241">
        <v>1240</v>
      </c>
      <c r="B1241">
        <v>24</v>
      </c>
      <c r="C1241">
        <v>41</v>
      </c>
      <c r="D1241" t="s">
        <v>240</v>
      </c>
      <c r="F1241" t="s">
        <v>1843</v>
      </c>
      <c r="H1241" t="s">
        <v>1844</v>
      </c>
      <c r="I1241" t="s">
        <v>1845</v>
      </c>
      <c r="J1241">
        <v>7925</v>
      </c>
      <c r="K1241" t="s">
        <v>36</v>
      </c>
      <c r="L1241" t="s">
        <v>244</v>
      </c>
      <c r="M1241" t="s">
        <v>245</v>
      </c>
      <c r="N1241" t="s">
        <v>246</v>
      </c>
    </row>
    <row r="1242" spans="1:14" x14ac:dyDescent="0.2">
      <c r="A1242">
        <v>1241</v>
      </c>
      <c r="B1242">
        <v>24</v>
      </c>
      <c r="C1242">
        <v>42</v>
      </c>
      <c r="D1242" t="s">
        <v>240</v>
      </c>
      <c r="F1242" t="s">
        <v>1880</v>
      </c>
      <c r="H1242" t="s">
        <v>1881</v>
      </c>
      <c r="I1242" t="s">
        <v>1882</v>
      </c>
      <c r="J1242">
        <v>1765</v>
      </c>
      <c r="K1242" t="s">
        <v>36</v>
      </c>
      <c r="L1242" t="s">
        <v>244</v>
      </c>
      <c r="M1242" t="s">
        <v>245</v>
      </c>
      <c r="N1242" t="s">
        <v>246</v>
      </c>
    </row>
    <row r="1243" spans="1:14" x14ac:dyDescent="0.2">
      <c r="A1243">
        <v>1242</v>
      </c>
      <c r="B1243">
        <v>24</v>
      </c>
      <c r="C1243">
        <v>43</v>
      </c>
      <c r="D1243" t="s">
        <v>240</v>
      </c>
      <c r="F1243" t="s">
        <v>638</v>
      </c>
      <c r="G1243" t="s">
        <v>1883</v>
      </c>
      <c r="H1243" t="s">
        <v>1884</v>
      </c>
      <c r="I1243" t="s">
        <v>641</v>
      </c>
      <c r="J1243">
        <v>7</v>
      </c>
      <c r="K1243" t="s">
        <v>72</v>
      </c>
      <c r="L1243" t="s">
        <v>244</v>
      </c>
      <c r="M1243" t="s">
        <v>245</v>
      </c>
      <c r="N1243" t="s">
        <v>246</v>
      </c>
    </row>
    <row r="1244" spans="1:14" x14ac:dyDescent="0.2">
      <c r="A1244">
        <v>1243</v>
      </c>
      <c r="B1244">
        <v>24</v>
      </c>
      <c r="C1244">
        <v>44</v>
      </c>
      <c r="D1244" t="s">
        <v>267</v>
      </c>
      <c r="F1244" t="s">
        <v>1992</v>
      </c>
      <c r="G1244" t="s">
        <v>276</v>
      </c>
      <c r="H1244" t="s">
        <v>1993</v>
      </c>
      <c r="I1244" t="s">
        <v>1994</v>
      </c>
      <c r="J1244">
        <v>640</v>
      </c>
      <c r="K1244" t="s">
        <v>36</v>
      </c>
      <c r="L1244" t="s">
        <v>244</v>
      </c>
      <c r="M1244" t="s">
        <v>245</v>
      </c>
      <c r="N1244" t="s">
        <v>246</v>
      </c>
    </row>
    <row r="1245" spans="1:14" x14ac:dyDescent="0.2">
      <c r="A1245">
        <v>1244</v>
      </c>
      <c r="B1245">
        <v>24</v>
      </c>
      <c r="C1245">
        <v>45</v>
      </c>
      <c r="D1245" t="s">
        <v>267</v>
      </c>
      <c r="F1245" t="s">
        <v>1888</v>
      </c>
      <c r="G1245" t="s">
        <v>276</v>
      </c>
      <c r="H1245" t="s">
        <v>1889</v>
      </c>
      <c r="I1245" t="s">
        <v>1890</v>
      </c>
      <c r="J1245">
        <v>660</v>
      </c>
      <c r="K1245" t="s">
        <v>36</v>
      </c>
      <c r="L1245" t="s">
        <v>244</v>
      </c>
      <c r="M1245" t="s">
        <v>245</v>
      </c>
      <c r="N1245" t="s">
        <v>246</v>
      </c>
    </row>
    <row r="1246" spans="1:14" x14ac:dyDescent="0.2">
      <c r="A1246">
        <v>1245</v>
      </c>
      <c r="B1246">
        <v>24</v>
      </c>
      <c r="C1246">
        <v>46</v>
      </c>
      <c r="D1246" t="s">
        <v>267</v>
      </c>
      <c r="F1246" t="s">
        <v>1995</v>
      </c>
      <c r="G1246" t="s">
        <v>276</v>
      </c>
      <c r="H1246" t="s">
        <v>1996</v>
      </c>
      <c r="I1246" t="s">
        <v>1997</v>
      </c>
      <c r="J1246">
        <v>585</v>
      </c>
      <c r="K1246" t="s">
        <v>36</v>
      </c>
      <c r="L1246" t="s">
        <v>244</v>
      </c>
      <c r="M1246" t="s">
        <v>245</v>
      </c>
      <c r="N1246" t="s">
        <v>246</v>
      </c>
    </row>
    <row r="1247" spans="1:14" x14ac:dyDescent="0.2">
      <c r="A1247">
        <v>1246</v>
      </c>
      <c r="B1247">
        <v>24</v>
      </c>
      <c r="C1247">
        <v>47</v>
      </c>
      <c r="D1247">
        <v>260500</v>
      </c>
      <c r="F1247" t="s">
        <v>291</v>
      </c>
      <c r="H1247" t="s">
        <v>292</v>
      </c>
      <c r="I1247" t="s">
        <v>293</v>
      </c>
      <c r="J1247">
        <v>1</v>
      </c>
      <c r="K1247" t="s">
        <v>17</v>
      </c>
      <c r="L1247" t="s">
        <v>244</v>
      </c>
      <c r="M1247" t="s">
        <v>294</v>
      </c>
      <c r="N1247" t="s">
        <v>295</v>
      </c>
    </row>
    <row r="1248" spans="1:14" x14ac:dyDescent="0.2">
      <c r="A1248">
        <v>1247</v>
      </c>
      <c r="B1248">
        <v>24</v>
      </c>
      <c r="C1248">
        <v>48</v>
      </c>
      <c r="D1248">
        <v>260500</v>
      </c>
      <c r="F1248" t="s">
        <v>299</v>
      </c>
      <c r="H1248" t="s">
        <v>300</v>
      </c>
      <c r="I1248" t="s">
        <v>301</v>
      </c>
      <c r="J1248">
        <v>1</v>
      </c>
      <c r="K1248" t="s">
        <v>17</v>
      </c>
      <c r="L1248" t="s">
        <v>244</v>
      </c>
      <c r="M1248" t="s">
        <v>294</v>
      </c>
      <c r="N1248" t="s">
        <v>295</v>
      </c>
    </row>
    <row r="1249" spans="1:14" x14ac:dyDescent="0.2">
      <c r="A1249">
        <v>1248</v>
      </c>
      <c r="B1249">
        <v>24</v>
      </c>
      <c r="C1249">
        <v>49</v>
      </c>
      <c r="D1249">
        <v>344300</v>
      </c>
      <c r="F1249" t="s">
        <v>1846</v>
      </c>
      <c r="H1249" t="s">
        <v>1847</v>
      </c>
      <c r="I1249" t="s">
        <v>1848</v>
      </c>
      <c r="J1249">
        <v>32</v>
      </c>
      <c r="K1249" t="s">
        <v>72</v>
      </c>
      <c r="L1249" t="s">
        <v>244</v>
      </c>
      <c r="M1249" t="s">
        <v>245</v>
      </c>
      <c r="N1249" t="s">
        <v>246</v>
      </c>
    </row>
    <row r="1250" spans="1:14" x14ac:dyDescent="0.2">
      <c r="A1250">
        <v>1249</v>
      </c>
      <c r="B1250">
        <v>24</v>
      </c>
      <c r="C1250">
        <v>50</v>
      </c>
      <c r="D1250">
        <v>344300</v>
      </c>
      <c r="F1250" t="s">
        <v>1998</v>
      </c>
      <c r="H1250" t="s">
        <v>1999</v>
      </c>
      <c r="I1250" t="s">
        <v>2000</v>
      </c>
      <c r="J1250">
        <v>4</v>
      </c>
      <c r="K1250" t="s">
        <v>72</v>
      </c>
      <c r="L1250" t="s">
        <v>244</v>
      </c>
      <c r="M1250" t="s">
        <v>245</v>
      </c>
      <c r="N1250" t="s">
        <v>246</v>
      </c>
    </row>
    <row r="1251" spans="1:14" x14ac:dyDescent="0.2">
      <c r="A1251">
        <v>1250</v>
      </c>
      <c r="B1251">
        <v>24</v>
      </c>
      <c r="C1251">
        <v>51</v>
      </c>
      <c r="D1251">
        <v>344300</v>
      </c>
      <c r="F1251" t="s">
        <v>2001</v>
      </c>
      <c r="H1251" t="s">
        <v>2002</v>
      </c>
      <c r="I1251" t="s">
        <v>2003</v>
      </c>
      <c r="J1251">
        <v>2</v>
      </c>
      <c r="K1251" t="s">
        <v>72</v>
      </c>
      <c r="L1251" t="s">
        <v>244</v>
      </c>
      <c r="M1251" t="s">
        <v>245</v>
      </c>
      <c r="N1251" t="s">
        <v>246</v>
      </c>
    </row>
    <row r="1252" spans="1:14" x14ac:dyDescent="0.2">
      <c r="A1252">
        <v>1251</v>
      </c>
      <c r="B1252">
        <v>24</v>
      </c>
      <c r="C1252">
        <v>52</v>
      </c>
      <c r="D1252">
        <v>344300</v>
      </c>
      <c r="F1252" t="s">
        <v>2004</v>
      </c>
      <c r="H1252" t="s">
        <v>2005</v>
      </c>
      <c r="I1252" t="s">
        <v>2006</v>
      </c>
      <c r="J1252">
        <v>17</v>
      </c>
      <c r="K1252" t="s">
        <v>72</v>
      </c>
      <c r="L1252" t="s">
        <v>244</v>
      </c>
      <c r="M1252" t="s">
        <v>245</v>
      </c>
      <c r="N1252" t="s">
        <v>246</v>
      </c>
    </row>
    <row r="1253" spans="1:14" x14ac:dyDescent="0.2">
      <c r="A1253">
        <v>1252</v>
      </c>
      <c r="B1253">
        <v>24</v>
      </c>
      <c r="C1253">
        <v>53</v>
      </c>
      <c r="D1253">
        <v>344300</v>
      </c>
      <c r="F1253" t="s">
        <v>2007</v>
      </c>
      <c r="H1253" t="s">
        <v>2008</v>
      </c>
      <c r="I1253" t="s">
        <v>2009</v>
      </c>
      <c r="J1253">
        <v>13</v>
      </c>
      <c r="K1253" t="s">
        <v>72</v>
      </c>
      <c r="L1253" t="s">
        <v>244</v>
      </c>
      <c r="M1253" t="s">
        <v>245</v>
      </c>
      <c r="N1253" t="s">
        <v>246</v>
      </c>
    </row>
    <row r="1254" spans="1:14" x14ac:dyDescent="0.2">
      <c r="A1254">
        <v>1253</v>
      </c>
      <c r="B1254">
        <v>24</v>
      </c>
      <c r="C1254">
        <v>54</v>
      </c>
      <c r="D1254">
        <v>344300</v>
      </c>
      <c r="F1254" t="s">
        <v>2010</v>
      </c>
      <c r="H1254" t="s">
        <v>2011</v>
      </c>
      <c r="I1254" t="s">
        <v>2012</v>
      </c>
      <c r="J1254">
        <v>39</v>
      </c>
      <c r="K1254" t="s">
        <v>72</v>
      </c>
      <c r="L1254" t="s">
        <v>244</v>
      </c>
      <c r="M1254" t="s">
        <v>245</v>
      </c>
      <c r="N1254" t="s">
        <v>246</v>
      </c>
    </row>
    <row r="1255" spans="1:14" x14ac:dyDescent="0.2">
      <c r="A1255">
        <v>1254</v>
      </c>
      <c r="B1255">
        <v>24</v>
      </c>
      <c r="C1255">
        <v>55</v>
      </c>
      <c r="D1255">
        <v>344300</v>
      </c>
      <c r="F1255" t="s">
        <v>2013</v>
      </c>
      <c r="H1255" t="s">
        <v>2014</v>
      </c>
      <c r="I1255" t="s">
        <v>2015</v>
      </c>
      <c r="J1255">
        <v>6</v>
      </c>
      <c r="K1255" t="s">
        <v>72</v>
      </c>
      <c r="L1255" t="s">
        <v>244</v>
      </c>
      <c r="M1255" t="s">
        <v>245</v>
      </c>
      <c r="N1255" t="s">
        <v>246</v>
      </c>
    </row>
    <row r="1256" spans="1:14" x14ac:dyDescent="0.2">
      <c r="A1256">
        <v>1255</v>
      </c>
      <c r="B1256">
        <v>24</v>
      </c>
      <c r="C1256">
        <v>56</v>
      </c>
      <c r="D1256">
        <v>344300</v>
      </c>
      <c r="F1256" t="s">
        <v>2016</v>
      </c>
      <c r="H1256" t="s">
        <v>2017</v>
      </c>
      <c r="I1256" t="s">
        <v>2018</v>
      </c>
      <c r="J1256">
        <v>1</v>
      </c>
      <c r="K1256" t="s">
        <v>72</v>
      </c>
      <c r="L1256" t="s">
        <v>244</v>
      </c>
      <c r="M1256" t="s">
        <v>245</v>
      </c>
      <c r="N1256" t="s">
        <v>246</v>
      </c>
    </row>
    <row r="1257" spans="1:14" x14ac:dyDescent="0.2">
      <c r="A1257">
        <v>1256</v>
      </c>
      <c r="B1257">
        <v>24</v>
      </c>
      <c r="C1257">
        <v>57</v>
      </c>
      <c r="D1257">
        <v>344301</v>
      </c>
      <c r="F1257" t="s">
        <v>1693</v>
      </c>
      <c r="H1257" t="s">
        <v>1694</v>
      </c>
      <c r="I1257" t="s">
        <v>1695</v>
      </c>
      <c r="J1257">
        <v>64</v>
      </c>
      <c r="K1257" t="s">
        <v>72</v>
      </c>
      <c r="L1257" t="s">
        <v>244</v>
      </c>
      <c r="M1257" t="s">
        <v>245</v>
      </c>
      <c r="N1257" t="s">
        <v>246</v>
      </c>
    </row>
    <row r="1258" spans="1:14" x14ac:dyDescent="0.2">
      <c r="A1258">
        <v>1257</v>
      </c>
      <c r="B1258">
        <v>24</v>
      </c>
      <c r="C1258">
        <v>58</v>
      </c>
      <c r="D1258">
        <v>344301</v>
      </c>
      <c r="F1258" t="s">
        <v>1746</v>
      </c>
      <c r="H1258" t="s">
        <v>1747</v>
      </c>
      <c r="I1258" t="s">
        <v>1748</v>
      </c>
      <c r="J1258">
        <v>5</v>
      </c>
      <c r="K1258" t="s">
        <v>72</v>
      </c>
      <c r="L1258" t="s">
        <v>244</v>
      </c>
      <c r="M1258" t="s">
        <v>245</v>
      </c>
      <c r="N1258" t="s">
        <v>246</v>
      </c>
    </row>
    <row r="1259" spans="1:14" x14ac:dyDescent="0.2">
      <c r="A1259">
        <v>1258</v>
      </c>
      <c r="B1259">
        <v>24</v>
      </c>
      <c r="C1259">
        <v>59</v>
      </c>
      <c r="D1259">
        <v>344302</v>
      </c>
      <c r="F1259" t="s">
        <v>2019</v>
      </c>
      <c r="H1259" t="s">
        <v>2020</v>
      </c>
      <c r="I1259" t="s">
        <v>2021</v>
      </c>
      <c r="J1259">
        <v>1</v>
      </c>
      <c r="K1259" t="s">
        <v>72</v>
      </c>
      <c r="L1259" t="s">
        <v>244</v>
      </c>
      <c r="M1259" t="s">
        <v>362</v>
      </c>
      <c r="N1259" t="s">
        <v>363</v>
      </c>
    </row>
    <row r="1260" spans="1:14" x14ac:dyDescent="0.2">
      <c r="A1260">
        <v>1259</v>
      </c>
      <c r="B1260">
        <v>24</v>
      </c>
      <c r="C1260">
        <v>60</v>
      </c>
      <c r="D1260">
        <v>344302</v>
      </c>
      <c r="F1260" t="s">
        <v>2022</v>
      </c>
      <c r="H1260" t="s">
        <v>2023</v>
      </c>
      <c r="I1260" t="s">
        <v>2024</v>
      </c>
      <c r="J1260">
        <v>1</v>
      </c>
      <c r="K1260" t="s">
        <v>72</v>
      </c>
      <c r="L1260" t="s">
        <v>244</v>
      </c>
      <c r="M1260" t="s">
        <v>362</v>
      </c>
      <c r="N1260" t="s">
        <v>363</v>
      </c>
    </row>
    <row r="1261" spans="1:14" x14ac:dyDescent="0.2">
      <c r="A1261">
        <v>1260</v>
      </c>
      <c r="B1261">
        <v>24</v>
      </c>
      <c r="C1261">
        <v>61</v>
      </c>
      <c r="D1261">
        <v>344302</v>
      </c>
      <c r="F1261" t="s">
        <v>2025</v>
      </c>
      <c r="H1261" t="s">
        <v>2026</v>
      </c>
      <c r="I1261" t="s">
        <v>2027</v>
      </c>
      <c r="J1261">
        <v>1</v>
      </c>
      <c r="K1261" t="s">
        <v>72</v>
      </c>
      <c r="L1261" t="s">
        <v>244</v>
      </c>
      <c r="M1261" t="s">
        <v>362</v>
      </c>
      <c r="N1261" t="s">
        <v>363</v>
      </c>
    </row>
    <row r="1262" spans="1:14" x14ac:dyDescent="0.2">
      <c r="A1262">
        <v>1261</v>
      </c>
      <c r="B1262">
        <v>25</v>
      </c>
      <c r="C1262">
        <v>0</v>
      </c>
      <c r="D1262" t="s">
        <v>14</v>
      </c>
      <c r="F1262">
        <v>0</v>
      </c>
      <c r="H1262">
        <v>0</v>
      </c>
      <c r="I1262" t="s">
        <v>2028</v>
      </c>
      <c r="J1262">
        <v>0</v>
      </c>
      <c r="K1262">
        <v>0</v>
      </c>
      <c r="L1262" t="s">
        <v>47</v>
      </c>
      <c r="M1262" t="s">
        <v>48</v>
      </c>
      <c r="N1262" t="s">
        <v>49</v>
      </c>
    </row>
    <row r="1263" spans="1:14" x14ac:dyDescent="0.2">
      <c r="A1263">
        <v>1262</v>
      </c>
      <c r="B1263">
        <v>25</v>
      </c>
      <c r="C1263">
        <v>1</v>
      </c>
      <c r="D1263">
        <v>12200</v>
      </c>
      <c r="F1263" t="s">
        <v>109</v>
      </c>
      <c r="H1263" t="s">
        <v>110</v>
      </c>
      <c r="I1263" t="s">
        <v>111</v>
      </c>
      <c r="J1263">
        <v>1</v>
      </c>
      <c r="K1263" t="s">
        <v>17</v>
      </c>
      <c r="L1263" t="s">
        <v>18</v>
      </c>
      <c r="M1263" t="s">
        <v>19</v>
      </c>
      <c r="N1263" t="s">
        <v>108</v>
      </c>
    </row>
    <row r="1264" spans="1:14" x14ac:dyDescent="0.2">
      <c r="A1264">
        <v>1263</v>
      </c>
      <c r="B1264">
        <v>25</v>
      </c>
      <c r="C1264">
        <v>1</v>
      </c>
      <c r="D1264" t="s">
        <v>806</v>
      </c>
      <c r="F1264" t="s">
        <v>807</v>
      </c>
      <c r="H1264" t="s">
        <v>808</v>
      </c>
      <c r="I1264" t="s">
        <v>809</v>
      </c>
      <c r="J1264">
        <v>1</v>
      </c>
      <c r="K1264" t="s">
        <v>17</v>
      </c>
      <c r="L1264" t="s">
        <v>18</v>
      </c>
      <c r="M1264" t="s">
        <v>19</v>
      </c>
      <c r="N1264" t="s">
        <v>108</v>
      </c>
    </row>
    <row r="1265" spans="1:14" x14ac:dyDescent="0.2">
      <c r="A1265">
        <v>1264</v>
      </c>
      <c r="B1265">
        <v>25</v>
      </c>
      <c r="C1265">
        <v>2</v>
      </c>
      <c r="D1265">
        <v>12200</v>
      </c>
      <c r="F1265" t="s">
        <v>115</v>
      </c>
      <c r="H1265" t="s">
        <v>116</v>
      </c>
      <c r="I1265" t="s">
        <v>117</v>
      </c>
      <c r="J1265">
        <v>1</v>
      </c>
      <c r="K1265" t="s">
        <v>17</v>
      </c>
      <c r="L1265" t="s">
        <v>18</v>
      </c>
      <c r="M1265" t="s">
        <v>19</v>
      </c>
      <c r="N1265" t="s">
        <v>108</v>
      </c>
    </row>
    <row r="1266" spans="1:14" x14ac:dyDescent="0.2">
      <c r="A1266">
        <v>1265</v>
      </c>
      <c r="B1266">
        <v>25</v>
      </c>
      <c r="C1266">
        <v>2</v>
      </c>
      <c r="D1266" t="s">
        <v>195</v>
      </c>
      <c r="F1266" t="s">
        <v>196</v>
      </c>
      <c r="H1266" t="s">
        <v>197</v>
      </c>
      <c r="I1266" t="s">
        <v>198</v>
      </c>
      <c r="J1266">
        <v>8600</v>
      </c>
      <c r="K1266" t="s">
        <v>94</v>
      </c>
      <c r="L1266" t="s">
        <v>37</v>
      </c>
      <c r="M1266" t="s">
        <v>38</v>
      </c>
      <c r="N1266" t="s">
        <v>140</v>
      </c>
    </row>
    <row r="1267" spans="1:14" x14ac:dyDescent="0.2">
      <c r="A1267">
        <v>1266</v>
      </c>
      <c r="B1267">
        <v>25</v>
      </c>
      <c r="C1267">
        <v>3</v>
      </c>
      <c r="D1267" t="s">
        <v>806</v>
      </c>
      <c r="F1267" t="s">
        <v>807</v>
      </c>
      <c r="H1267" t="s">
        <v>808</v>
      </c>
      <c r="I1267" t="s">
        <v>809</v>
      </c>
      <c r="J1267">
        <v>1</v>
      </c>
      <c r="K1267" t="s">
        <v>17</v>
      </c>
      <c r="L1267" t="s">
        <v>18</v>
      </c>
      <c r="M1267" t="s">
        <v>19</v>
      </c>
      <c r="N1267" t="s">
        <v>108</v>
      </c>
    </row>
    <row r="1268" spans="1:14" x14ac:dyDescent="0.2">
      <c r="A1268">
        <v>1267</v>
      </c>
      <c r="B1268">
        <v>25</v>
      </c>
      <c r="C1268">
        <v>3</v>
      </c>
      <c r="D1268" t="s">
        <v>217</v>
      </c>
      <c r="F1268" t="s">
        <v>857</v>
      </c>
      <c r="H1268" t="s">
        <v>858</v>
      </c>
      <c r="I1268" t="s">
        <v>859</v>
      </c>
      <c r="J1268">
        <v>1840</v>
      </c>
      <c r="K1268" t="s">
        <v>87</v>
      </c>
      <c r="L1268" t="s">
        <v>37</v>
      </c>
      <c r="M1268" t="s">
        <v>38</v>
      </c>
      <c r="N1268" t="s">
        <v>140</v>
      </c>
    </row>
    <row r="1269" spans="1:14" x14ac:dyDescent="0.2">
      <c r="A1269">
        <v>1268</v>
      </c>
      <c r="B1269">
        <v>25</v>
      </c>
      <c r="C1269">
        <v>4</v>
      </c>
      <c r="D1269" t="s">
        <v>195</v>
      </c>
      <c r="F1269" t="s">
        <v>2029</v>
      </c>
      <c r="H1269" t="s">
        <v>2030</v>
      </c>
      <c r="I1269" t="s">
        <v>2031</v>
      </c>
      <c r="J1269">
        <v>1</v>
      </c>
      <c r="K1269" t="s">
        <v>17</v>
      </c>
      <c r="L1269" t="s">
        <v>37</v>
      </c>
      <c r="M1269" t="s">
        <v>38</v>
      </c>
      <c r="N1269" t="s">
        <v>140</v>
      </c>
    </row>
    <row r="1270" spans="1:14" x14ac:dyDescent="0.2">
      <c r="A1270">
        <v>1269</v>
      </c>
      <c r="B1270">
        <v>25</v>
      </c>
      <c r="C1270">
        <v>4</v>
      </c>
      <c r="D1270" t="s">
        <v>217</v>
      </c>
      <c r="F1270" t="s">
        <v>860</v>
      </c>
      <c r="H1270" t="s">
        <v>861</v>
      </c>
      <c r="I1270" t="s">
        <v>862</v>
      </c>
      <c r="J1270">
        <v>1840</v>
      </c>
      <c r="K1270" t="s">
        <v>87</v>
      </c>
      <c r="L1270" t="s">
        <v>37</v>
      </c>
      <c r="M1270" t="s">
        <v>38</v>
      </c>
      <c r="N1270" t="s">
        <v>140</v>
      </c>
    </row>
    <row r="1271" spans="1:14" x14ac:dyDescent="0.2">
      <c r="A1271">
        <v>1270</v>
      </c>
      <c r="B1271">
        <v>25</v>
      </c>
      <c r="C1271">
        <v>5</v>
      </c>
      <c r="D1271" t="s">
        <v>195</v>
      </c>
      <c r="F1271" t="s">
        <v>196</v>
      </c>
      <c r="H1271" t="s">
        <v>197</v>
      </c>
      <c r="I1271" t="s">
        <v>198</v>
      </c>
      <c r="J1271">
        <v>163800</v>
      </c>
      <c r="K1271" t="s">
        <v>94</v>
      </c>
      <c r="L1271" t="s">
        <v>37</v>
      </c>
      <c r="M1271" t="s">
        <v>38</v>
      </c>
      <c r="N1271" t="s">
        <v>140</v>
      </c>
    </row>
    <row r="1272" spans="1:14" x14ac:dyDescent="0.2">
      <c r="A1272">
        <v>1271</v>
      </c>
      <c r="B1272">
        <v>25</v>
      </c>
      <c r="C1272">
        <v>5</v>
      </c>
      <c r="D1272" t="s">
        <v>217</v>
      </c>
      <c r="F1272" t="s">
        <v>866</v>
      </c>
      <c r="H1272" t="s">
        <v>867</v>
      </c>
      <c r="I1272" t="s">
        <v>868</v>
      </c>
      <c r="J1272">
        <v>1840</v>
      </c>
      <c r="K1272" t="s">
        <v>87</v>
      </c>
      <c r="L1272" t="s">
        <v>37</v>
      </c>
      <c r="M1272" t="s">
        <v>38</v>
      </c>
      <c r="N1272" t="s">
        <v>140</v>
      </c>
    </row>
    <row r="1273" spans="1:14" x14ac:dyDescent="0.2">
      <c r="A1273">
        <v>1272</v>
      </c>
      <c r="B1273">
        <v>25</v>
      </c>
      <c r="C1273">
        <v>6</v>
      </c>
      <c r="D1273" t="s">
        <v>217</v>
      </c>
      <c r="F1273" t="s">
        <v>221</v>
      </c>
      <c r="H1273" t="s">
        <v>222</v>
      </c>
      <c r="I1273" t="s">
        <v>223</v>
      </c>
      <c r="J1273">
        <v>120</v>
      </c>
      <c r="K1273" t="s">
        <v>216</v>
      </c>
      <c r="L1273" t="s">
        <v>37</v>
      </c>
      <c r="M1273" t="s">
        <v>38</v>
      </c>
      <c r="N1273" t="s">
        <v>140</v>
      </c>
    </row>
    <row r="1274" spans="1:14" x14ac:dyDescent="0.2">
      <c r="A1274">
        <v>1273</v>
      </c>
      <c r="B1274">
        <v>25</v>
      </c>
      <c r="C1274">
        <v>6</v>
      </c>
      <c r="D1274" t="s">
        <v>217</v>
      </c>
      <c r="F1274" t="s">
        <v>857</v>
      </c>
      <c r="H1274" t="s">
        <v>858</v>
      </c>
      <c r="I1274" t="s">
        <v>859</v>
      </c>
      <c r="J1274">
        <v>69500</v>
      </c>
      <c r="K1274" t="s">
        <v>87</v>
      </c>
      <c r="L1274" t="s">
        <v>37</v>
      </c>
      <c r="M1274" t="s">
        <v>38</v>
      </c>
      <c r="N1274" t="s">
        <v>140</v>
      </c>
    </row>
    <row r="1275" spans="1:14" x14ac:dyDescent="0.2">
      <c r="A1275">
        <v>1274</v>
      </c>
      <c r="B1275">
        <v>25</v>
      </c>
      <c r="C1275">
        <v>7</v>
      </c>
      <c r="D1275" t="s">
        <v>217</v>
      </c>
      <c r="F1275" t="s">
        <v>860</v>
      </c>
      <c r="H1275" t="s">
        <v>861</v>
      </c>
      <c r="I1275" t="s">
        <v>862</v>
      </c>
      <c r="J1275">
        <v>69500</v>
      </c>
      <c r="K1275" t="s">
        <v>87</v>
      </c>
      <c r="L1275" t="s">
        <v>37</v>
      </c>
      <c r="M1275" t="s">
        <v>38</v>
      </c>
      <c r="N1275" t="s">
        <v>140</v>
      </c>
    </row>
    <row r="1276" spans="1:14" x14ac:dyDescent="0.2">
      <c r="A1276">
        <v>1275</v>
      </c>
      <c r="B1276">
        <v>25</v>
      </c>
      <c r="C1276">
        <v>8</v>
      </c>
      <c r="D1276" t="s">
        <v>217</v>
      </c>
      <c r="F1276" t="s">
        <v>866</v>
      </c>
      <c r="H1276" t="s">
        <v>867</v>
      </c>
      <c r="I1276" t="s">
        <v>868</v>
      </c>
      <c r="J1276">
        <v>69500</v>
      </c>
      <c r="K1276" t="s">
        <v>87</v>
      </c>
      <c r="L1276" t="s">
        <v>37</v>
      </c>
      <c r="M1276" t="s">
        <v>38</v>
      </c>
      <c r="N1276" t="s">
        <v>140</v>
      </c>
    </row>
    <row r="1277" spans="1:14" x14ac:dyDescent="0.2">
      <c r="A1277">
        <v>1276</v>
      </c>
      <c r="B1277">
        <v>25</v>
      </c>
      <c r="C1277">
        <v>9</v>
      </c>
      <c r="D1277" t="s">
        <v>217</v>
      </c>
      <c r="F1277" t="s">
        <v>221</v>
      </c>
      <c r="H1277" t="s">
        <v>222</v>
      </c>
      <c r="I1277" t="s">
        <v>223</v>
      </c>
      <c r="J1277">
        <v>4300</v>
      </c>
      <c r="K1277" t="s">
        <v>216</v>
      </c>
      <c r="L1277" t="s">
        <v>37</v>
      </c>
      <c r="M1277" t="s">
        <v>38</v>
      </c>
      <c r="N1277" t="s">
        <v>140</v>
      </c>
    </row>
    <row r="1278" spans="1:14" x14ac:dyDescent="0.2">
      <c r="A1278">
        <v>1277</v>
      </c>
      <c r="B1278">
        <v>26</v>
      </c>
      <c r="C1278">
        <v>1</v>
      </c>
      <c r="D1278">
        <v>12200</v>
      </c>
      <c r="F1278" t="s">
        <v>15</v>
      </c>
      <c r="H1278" t="s">
        <v>702</v>
      </c>
      <c r="I1278" t="s">
        <v>703</v>
      </c>
      <c r="J1278">
        <v>1</v>
      </c>
      <c r="K1278" t="s">
        <v>17</v>
      </c>
      <c r="L1278" t="s">
        <v>18</v>
      </c>
      <c r="M1278" t="s">
        <v>19</v>
      </c>
      <c r="N1278" t="s">
        <v>108</v>
      </c>
    </row>
    <row r="1279" spans="1:14" x14ac:dyDescent="0.2">
      <c r="A1279">
        <v>1278</v>
      </c>
      <c r="B1279">
        <v>26</v>
      </c>
      <c r="C1279">
        <v>2</v>
      </c>
      <c r="D1279">
        <v>12200</v>
      </c>
      <c r="F1279" t="s">
        <v>109</v>
      </c>
      <c r="H1279" t="s">
        <v>110</v>
      </c>
      <c r="I1279" t="s">
        <v>111</v>
      </c>
      <c r="J1279">
        <v>1</v>
      </c>
      <c r="K1279" t="s">
        <v>17</v>
      </c>
      <c r="L1279" t="s">
        <v>18</v>
      </c>
      <c r="M1279" t="s">
        <v>19</v>
      </c>
      <c r="N1279" t="s">
        <v>108</v>
      </c>
    </row>
    <row r="1280" spans="1:14" x14ac:dyDescent="0.2">
      <c r="A1280">
        <v>1279</v>
      </c>
      <c r="B1280">
        <v>26</v>
      </c>
      <c r="C1280">
        <v>3</v>
      </c>
      <c r="D1280">
        <v>12200</v>
      </c>
      <c r="F1280" t="s">
        <v>115</v>
      </c>
      <c r="H1280" t="s">
        <v>116</v>
      </c>
      <c r="I1280" t="s">
        <v>117</v>
      </c>
      <c r="J1280">
        <v>1</v>
      </c>
      <c r="K1280" t="s">
        <v>17</v>
      </c>
      <c r="L1280" t="s">
        <v>18</v>
      </c>
      <c r="M1280" t="s">
        <v>19</v>
      </c>
      <c r="N1280" t="s">
        <v>108</v>
      </c>
    </row>
    <row r="1281" spans="1:14" x14ac:dyDescent="0.2">
      <c r="A1281">
        <v>1280</v>
      </c>
      <c r="B1281">
        <v>26</v>
      </c>
      <c r="C1281">
        <v>4</v>
      </c>
      <c r="D1281">
        <v>12200</v>
      </c>
      <c r="F1281" t="s">
        <v>118</v>
      </c>
      <c r="H1281" t="s">
        <v>119</v>
      </c>
      <c r="I1281" t="s">
        <v>120</v>
      </c>
      <c r="J1281">
        <v>1</v>
      </c>
      <c r="K1281" t="s">
        <v>17</v>
      </c>
      <c r="L1281" t="s">
        <v>18</v>
      </c>
      <c r="M1281" t="s">
        <v>19</v>
      </c>
      <c r="N1281" t="s">
        <v>108</v>
      </c>
    </row>
    <row r="1282" spans="1:14" x14ac:dyDescent="0.2">
      <c r="A1282">
        <v>1281</v>
      </c>
      <c r="B1282">
        <v>26</v>
      </c>
      <c r="C1282">
        <v>5</v>
      </c>
      <c r="D1282">
        <v>12200</v>
      </c>
      <c r="F1282" t="s">
        <v>2032</v>
      </c>
      <c r="H1282" t="s">
        <v>2033</v>
      </c>
      <c r="I1282" t="s">
        <v>2034</v>
      </c>
      <c r="J1282">
        <v>1</v>
      </c>
      <c r="K1282" t="s">
        <v>17</v>
      </c>
      <c r="L1282" t="s">
        <v>18</v>
      </c>
      <c r="M1282" t="s">
        <v>19</v>
      </c>
      <c r="N1282" t="s">
        <v>108</v>
      </c>
    </row>
    <row r="1283" spans="1:14" x14ac:dyDescent="0.2">
      <c r="A1283">
        <v>1282</v>
      </c>
      <c r="B1283">
        <v>26</v>
      </c>
      <c r="C1283">
        <v>6</v>
      </c>
      <c r="D1283">
        <v>12200</v>
      </c>
      <c r="F1283" t="s">
        <v>62</v>
      </c>
      <c r="H1283" t="s">
        <v>2035</v>
      </c>
      <c r="I1283" t="s">
        <v>2036</v>
      </c>
      <c r="J1283">
        <v>100</v>
      </c>
      <c r="K1283" t="s">
        <v>178</v>
      </c>
      <c r="L1283" t="s">
        <v>18</v>
      </c>
      <c r="M1283" t="s">
        <v>19</v>
      </c>
      <c r="N1283" t="s">
        <v>108</v>
      </c>
    </row>
    <row r="1284" spans="1:14" x14ac:dyDescent="0.2">
      <c r="A1284">
        <v>1283</v>
      </c>
      <c r="B1284">
        <v>26</v>
      </c>
      <c r="C1284">
        <v>7</v>
      </c>
      <c r="D1284">
        <v>12200</v>
      </c>
      <c r="F1284" t="s">
        <v>2037</v>
      </c>
      <c r="H1284" t="s">
        <v>2038</v>
      </c>
      <c r="I1284" t="s">
        <v>2039</v>
      </c>
      <c r="J1284">
        <v>10</v>
      </c>
      <c r="K1284" t="s">
        <v>46</v>
      </c>
      <c r="L1284" t="s">
        <v>18</v>
      </c>
      <c r="M1284" t="s">
        <v>19</v>
      </c>
      <c r="N1284" t="s">
        <v>108</v>
      </c>
    </row>
    <row r="1285" spans="1:14" x14ac:dyDescent="0.2">
      <c r="A1285">
        <v>1284</v>
      </c>
      <c r="B1285">
        <v>26</v>
      </c>
      <c r="C1285">
        <v>8</v>
      </c>
      <c r="D1285">
        <v>12200</v>
      </c>
      <c r="F1285" t="s">
        <v>2040</v>
      </c>
      <c r="H1285" t="s">
        <v>2041</v>
      </c>
      <c r="I1285" t="s">
        <v>2042</v>
      </c>
      <c r="J1285">
        <v>1</v>
      </c>
      <c r="K1285" t="s">
        <v>17</v>
      </c>
      <c r="L1285" t="s">
        <v>18</v>
      </c>
      <c r="M1285" t="s">
        <v>19</v>
      </c>
      <c r="N1285" t="s">
        <v>108</v>
      </c>
    </row>
    <row r="1286" spans="1:14" x14ac:dyDescent="0.2">
      <c r="A1286">
        <v>1285</v>
      </c>
      <c r="B1286">
        <v>26</v>
      </c>
      <c r="C1286">
        <v>9</v>
      </c>
      <c r="D1286">
        <v>12200</v>
      </c>
      <c r="F1286" t="s">
        <v>2043</v>
      </c>
      <c r="H1286" t="s">
        <v>2044</v>
      </c>
      <c r="I1286" t="s">
        <v>2045</v>
      </c>
      <c r="J1286">
        <v>1</v>
      </c>
      <c r="K1286" t="s">
        <v>17</v>
      </c>
      <c r="L1286" t="s">
        <v>18</v>
      </c>
      <c r="M1286" t="s">
        <v>19</v>
      </c>
      <c r="N1286" t="s">
        <v>108</v>
      </c>
    </row>
    <row r="1287" spans="1:14" x14ac:dyDescent="0.2">
      <c r="A1287">
        <v>1286</v>
      </c>
      <c r="B1287">
        <v>26</v>
      </c>
      <c r="C1287">
        <v>10</v>
      </c>
      <c r="D1287">
        <v>12200</v>
      </c>
      <c r="F1287" t="s">
        <v>2046</v>
      </c>
      <c r="H1287" t="s">
        <v>2047</v>
      </c>
      <c r="I1287" t="s">
        <v>2048</v>
      </c>
      <c r="J1287">
        <v>1</v>
      </c>
      <c r="K1287" t="s">
        <v>17</v>
      </c>
      <c r="L1287" t="s">
        <v>18</v>
      </c>
      <c r="M1287" t="s">
        <v>19</v>
      </c>
      <c r="N1287" t="s">
        <v>108</v>
      </c>
    </row>
    <row r="1288" spans="1:14" x14ac:dyDescent="0.2">
      <c r="A1288">
        <v>1287</v>
      </c>
      <c r="B1288">
        <v>26</v>
      </c>
      <c r="C1288">
        <v>10</v>
      </c>
      <c r="D1288">
        <v>12200</v>
      </c>
      <c r="F1288" t="s">
        <v>2049</v>
      </c>
      <c r="H1288" t="s">
        <v>2050</v>
      </c>
      <c r="I1288" t="s">
        <v>2051</v>
      </c>
      <c r="J1288">
        <v>1</v>
      </c>
      <c r="K1288" t="s">
        <v>17</v>
      </c>
      <c r="L1288" t="s">
        <v>18</v>
      </c>
      <c r="M1288" t="s">
        <v>19</v>
      </c>
      <c r="N1288" t="s">
        <v>108</v>
      </c>
    </row>
    <row r="1289" spans="1:14" x14ac:dyDescent="0.2">
      <c r="A1289">
        <v>1288</v>
      </c>
      <c r="B1289">
        <v>26</v>
      </c>
      <c r="C1289">
        <v>11</v>
      </c>
      <c r="D1289">
        <v>12200</v>
      </c>
      <c r="F1289" t="s">
        <v>2052</v>
      </c>
      <c r="H1289" t="s">
        <v>2053</v>
      </c>
      <c r="I1289" t="s">
        <v>2054</v>
      </c>
      <c r="J1289">
        <v>1</v>
      </c>
      <c r="K1289" t="s">
        <v>17</v>
      </c>
      <c r="L1289" t="s">
        <v>18</v>
      </c>
      <c r="M1289" t="s">
        <v>19</v>
      </c>
      <c r="N1289" t="s">
        <v>108</v>
      </c>
    </row>
    <row r="1290" spans="1:14" x14ac:dyDescent="0.2">
      <c r="A1290">
        <v>1289</v>
      </c>
      <c r="B1290">
        <v>26</v>
      </c>
      <c r="C1290">
        <v>11</v>
      </c>
      <c r="D1290">
        <v>12200</v>
      </c>
      <c r="F1290" t="s">
        <v>2055</v>
      </c>
      <c r="H1290" t="s">
        <v>2056</v>
      </c>
      <c r="I1290" t="s">
        <v>2057</v>
      </c>
      <c r="J1290">
        <v>1</v>
      </c>
      <c r="K1290" t="s">
        <v>17</v>
      </c>
      <c r="L1290" t="s">
        <v>18</v>
      </c>
      <c r="M1290" t="s">
        <v>19</v>
      </c>
      <c r="N1290" t="s">
        <v>108</v>
      </c>
    </row>
    <row r="1291" spans="1:14" x14ac:dyDescent="0.2">
      <c r="A1291">
        <v>1290</v>
      </c>
      <c r="B1291">
        <v>26</v>
      </c>
      <c r="C1291">
        <v>12</v>
      </c>
      <c r="D1291">
        <v>12200</v>
      </c>
      <c r="F1291" t="s">
        <v>2058</v>
      </c>
      <c r="H1291" t="s">
        <v>2059</v>
      </c>
      <c r="I1291" t="s">
        <v>2060</v>
      </c>
      <c r="J1291">
        <v>2</v>
      </c>
      <c r="K1291" t="s">
        <v>72</v>
      </c>
      <c r="L1291" t="s">
        <v>18</v>
      </c>
      <c r="M1291" t="s">
        <v>19</v>
      </c>
      <c r="N1291" t="s">
        <v>108</v>
      </c>
    </row>
    <row r="1292" spans="1:14" x14ac:dyDescent="0.2">
      <c r="A1292">
        <v>1291</v>
      </c>
      <c r="B1292">
        <v>26</v>
      </c>
      <c r="C1292">
        <v>12</v>
      </c>
      <c r="D1292">
        <v>12200</v>
      </c>
      <c r="F1292" t="s">
        <v>2061</v>
      </c>
      <c r="H1292" t="s">
        <v>2062</v>
      </c>
      <c r="I1292" t="s">
        <v>2063</v>
      </c>
      <c r="J1292">
        <v>2</v>
      </c>
      <c r="K1292" t="s">
        <v>72</v>
      </c>
      <c r="L1292" t="s">
        <v>18</v>
      </c>
      <c r="M1292" t="s">
        <v>19</v>
      </c>
      <c r="N1292" t="s">
        <v>108</v>
      </c>
    </row>
    <row r="1293" spans="1:14" x14ac:dyDescent="0.2">
      <c r="A1293">
        <v>1292</v>
      </c>
      <c r="B1293">
        <v>26</v>
      </c>
      <c r="C1293">
        <v>13</v>
      </c>
      <c r="D1293">
        <v>12200</v>
      </c>
      <c r="F1293" t="s">
        <v>2064</v>
      </c>
      <c r="H1293" t="s">
        <v>2065</v>
      </c>
      <c r="I1293" t="s">
        <v>2066</v>
      </c>
      <c r="J1293">
        <v>1</v>
      </c>
      <c r="K1293" t="s">
        <v>17</v>
      </c>
      <c r="L1293" t="s">
        <v>18</v>
      </c>
      <c r="M1293" t="s">
        <v>19</v>
      </c>
      <c r="N1293" t="s">
        <v>108</v>
      </c>
    </row>
    <row r="1294" spans="1:14" x14ac:dyDescent="0.2">
      <c r="A1294">
        <v>1293</v>
      </c>
      <c r="B1294">
        <v>26</v>
      </c>
      <c r="C1294">
        <v>13</v>
      </c>
      <c r="D1294">
        <v>12200</v>
      </c>
      <c r="F1294" t="s">
        <v>2067</v>
      </c>
      <c r="H1294" t="s">
        <v>2068</v>
      </c>
      <c r="I1294" t="s">
        <v>2069</v>
      </c>
      <c r="J1294">
        <v>1</v>
      </c>
      <c r="K1294" t="s">
        <v>17</v>
      </c>
      <c r="L1294" t="s">
        <v>18</v>
      </c>
      <c r="M1294" t="s">
        <v>19</v>
      </c>
      <c r="N1294" t="s">
        <v>108</v>
      </c>
    </row>
    <row r="1295" spans="1:14" x14ac:dyDescent="0.2">
      <c r="A1295">
        <v>1294</v>
      </c>
      <c r="B1295">
        <v>26</v>
      </c>
      <c r="C1295">
        <v>14</v>
      </c>
      <c r="D1295">
        <v>12200</v>
      </c>
      <c r="F1295" t="s">
        <v>2070</v>
      </c>
      <c r="H1295" t="s">
        <v>2071</v>
      </c>
      <c r="I1295" t="s">
        <v>2072</v>
      </c>
      <c r="J1295">
        <v>1</v>
      </c>
      <c r="K1295" t="s">
        <v>17</v>
      </c>
      <c r="L1295" t="s">
        <v>18</v>
      </c>
      <c r="M1295" t="s">
        <v>19</v>
      </c>
      <c r="N1295" t="s">
        <v>108</v>
      </c>
    </row>
    <row r="1296" spans="1:14" x14ac:dyDescent="0.2">
      <c r="A1296">
        <v>1295</v>
      </c>
      <c r="B1296">
        <v>26</v>
      </c>
      <c r="C1296">
        <v>14</v>
      </c>
      <c r="D1296">
        <v>12200</v>
      </c>
      <c r="F1296" t="s">
        <v>2073</v>
      </c>
      <c r="H1296" t="s">
        <v>2074</v>
      </c>
      <c r="I1296" t="s">
        <v>2075</v>
      </c>
      <c r="J1296">
        <v>1</v>
      </c>
      <c r="K1296" t="s">
        <v>17</v>
      </c>
      <c r="L1296" t="s">
        <v>18</v>
      </c>
      <c r="M1296" t="s">
        <v>19</v>
      </c>
      <c r="N1296" t="s">
        <v>108</v>
      </c>
    </row>
    <row r="1297" spans="1:14" x14ac:dyDescent="0.2">
      <c r="A1297">
        <v>1296</v>
      </c>
      <c r="B1297">
        <v>26</v>
      </c>
      <c r="C1297">
        <v>15</v>
      </c>
      <c r="D1297">
        <v>12200</v>
      </c>
      <c r="F1297" t="s">
        <v>2076</v>
      </c>
      <c r="H1297" t="s">
        <v>2077</v>
      </c>
      <c r="I1297" t="s">
        <v>2078</v>
      </c>
      <c r="J1297">
        <v>1</v>
      </c>
      <c r="K1297" t="s">
        <v>17</v>
      </c>
      <c r="L1297" t="s">
        <v>18</v>
      </c>
      <c r="M1297" t="s">
        <v>19</v>
      </c>
      <c r="N1297" t="s">
        <v>108</v>
      </c>
    </row>
    <row r="1298" spans="1:14" x14ac:dyDescent="0.2">
      <c r="A1298">
        <v>1297</v>
      </c>
      <c r="B1298">
        <v>26</v>
      </c>
      <c r="C1298">
        <v>15</v>
      </c>
      <c r="D1298">
        <v>12200</v>
      </c>
      <c r="F1298" t="s">
        <v>2079</v>
      </c>
      <c r="H1298" t="s">
        <v>2080</v>
      </c>
      <c r="I1298" t="s">
        <v>2081</v>
      </c>
      <c r="J1298">
        <v>1</v>
      </c>
      <c r="K1298" t="s">
        <v>17</v>
      </c>
      <c r="L1298" t="s">
        <v>18</v>
      </c>
      <c r="M1298" t="s">
        <v>19</v>
      </c>
      <c r="N1298" t="s">
        <v>108</v>
      </c>
    </row>
    <row r="1299" spans="1:14" x14ac:dyDescent="0.2">
      <c r="A1299">
        <v>1298</v>
      </c>
      <c r="B1299">
        <v>26</v>
      </c>
      <c r="C1299">
        <v>16</v>
      </c>
      <c r="D1299">
        <v>12200</v>
      </c>
      <c r="F1299" t="s">
        <v>2082</v>
      </c>
      <c r="H1299" t="s">
        <v>2083</v>
      </c>
      <c r="I1299" t="s">
        <v>2084</v>
      </c>
      <c r="J1299">
        <v>1</v>
      </c>
      <c r="K1299" t="s">
        <v>17</v>
      </c>
      <c r="L1299" t="s">
        <v>18</v>
      </c>
      <c r="M1299" t="s">
        <v>19</v>
      </c>
      <c r="N1299" t="s">
        <v>108</v>
      </c>
    </row>
    <row r="1300" spans="1:14" x14ac:dyDescent="0.2">
      <c r="A1300">
        <v>1299</v>
      </c>
      <c r="B1300">
        <v>26</v>
      </c>
      <c r="C1300">
        <v>16</v>
      </c>
      <c r="D1300" t="s">
        <v>136</v>
      </c>
      <c r="F1300" t="s">
        <v>389</v>
      </c>
      <c r="G1300" t="s">
        <v>2085</v>
      </c>
      <c r="H1300" t="s">
        <v>2086</v>
      </c>
      <c r="I1300" t="s">
        <v>392</v>
      </c>
      <c r="J1300">
        <v>90</v>
      </c>
      <c r="K1300" t="s">
        <v>94</v>
      </c>
      <c r="L1300" t="s">
        <v>37</v>
      </c>
      <c r="M1300" t="s">
        <v>38</v>
      </c>
      <c r="N1300" t="s">
        <v>140</v>
      </c>
    </row>
    <row r="1301" spans="1:14" x14ac:dyDescent="0.2">
      <c r="A1301">
        <v>1300</v>
      </c>
      <c r="B1301">
        <v>26</v>
      </c>
      <c r="C1301">
        <v>17</v>
      </c>
      <c r="D1301" t="s">
        <v>136</v>
      </c>
      <c r="F1301" t="s">
        <v>141</v>
      </c>
      <c r="G1301" t="s">
        <v>2087</v>
      </c>
      <c r="H1301" t="s">
        <v>2088</v>
      </c>
      <c r="I1301" t="s">
        <v>144</v>
      </c>
      <c r="J1301">
        <v>90</v>
      </c>
      <c r="K1301" t="s">
        <v>94</v>
      </c>
      <c r="L1301" t="s">
        <v>37</v>
      </c>
      <c r="M1301" t="s">
        <v>38</v>
      </c>
      <c r="N1301" t="s">
        <v>140</v>
      </c>
    </row>
    <row r="1302" spans="1:14" x14ac:dyDescent="0.2">
      <c r="A1302">
        <v>1301</v>
      </c>
      <c r="B1302">
        <v>26</v>
      </c>
      <c r="C1302">
        <v>17</v>
      </c>
      <c r="D1302" t="s">
        <v>163</v>
      </c>
      <c r="F1302" t="s">
        <v>592</v>
      </c>
      <c r="H1302" t="s">
        <v>593</v>
      </c>
      <c r="I1302" t="s">
        <v>594</v>
      </c>
      <c r="J1302">
        <v>25</v>
      </c>
      <c r="K1302" t="s">
        <v>46</v>
      </c>
      <c r="L1302" t="s">
        <v>37</v>
      </c>
      <c r="M1302" t="s">
        <v>38</v>
      </c>
      <c r="N1302" t="s">
        <v>140</v>
      </c>
    </row>
    <row r="1303" spans="1:14" x14ac:dyDescent="0.2">
      <c r="A1303">
        <v>1302</v>
      </c>
      <c r="B1303">
        <v>26</v>
      </c>
      <c r="C1303">
        <v>18</v>
      </c>
      <c r="D1303" t="s">
        <v>163</v>
      </c>
      <c r="F1303" t="s">
        <v>2089</v>
      </c>
      <c r="H1303" t="s">
        <v>2090</v>
      </c>
      <c r="I1303" t="s">
        <v>2091</v>
      </c>
      <c r="J1303">
        <v>20</v>
      </c>
      <c r="K1303" t="s">
        <v>46</v>
      </c>
      <c r="L1303" t="s">
        <v>37</v>
      </c>
      <c r="M1303" t="s">
        <v>38</v>
      </c>
      <c r="N1303" t="s">
        <v>140</v>
      </c>
    </row>
    <row r="1304" spans="1:14" x14ac:dyDescent="0.2">
      <c r="A1304">
        <v>1303</v>
      </c>
      <c r="B1304">
        <v>26</v>
      </c>
      <c r="C1304">
        <v>18</v>
      </c>
      <c r="D1304" t="s">
        <v>163</v>
      </c>
      <c r="F1304" t="s">
        <v>592</v>
      </c>
      <c r="H1304" t="s">
        <v>593</v>
      </c>
      <c r="I1304" t="s">
        <v>594</v>
      </c>
      <c r="J1304">
        <v>20</v>
      </c>
      <c r="K1304" t="s">
        <v>46</v>
      </c>
      <c r="L1304" t="s">
        <v>37</v>
      </c>
      <c r="M1304" t="s">
        <v>38</v>
      </c>
      <c r="N1304" t="s">
        <v>140</v>
      </c>
    </row>
    <row r="1305" spans="1:14" x14ac:dyDescent="0.2">
      <c r="A1305">
        <v>1304</v>
      </c>
      <c r="B1305">
        <v>26</v>
      </c>
      <c r="C1305">
        <v>19</v>
      </c>
      <c r="D1305" t="s">
        <v>163</v>
      </c>
      <c r="F1305" t="s">
        <v>2089</v>
      </c>
      <c r="H1305" t="s">
        <v>2090</v>
      </c>
      <c r="I1305" t="s">
        <v>2091</v>
      </c>
      <c r="J1305">
        <v>10</v>
      </c>
      <c r="K1305" t="s">
        <v>46</v>
      </c>
      <c r="L1305" t="s">
        <v>37</v>
      </c>
      <c r="M1305" t="s">
        <v>38</v>
      </c>
      <c r="N1305" t="s">
        <v>140</v>
      </c>
    </row>
    <row r="1306" spans="1:14" x14ac:dyDescent="0.2">
      <c r="A1306">
        <v>1305</v>
      </c>
      <c r="B1306">
        <v>26</v>
      </c>
      <c r="C1306">
        <v>19</v>
      </c>
      <c r="D1306" t="s">
        <v>199</v>
      </c>
      <c r="F1306" t="s">
        <v>200</v>
      </c>
      <c r="H1306" t="s">
        <v>201</v>
      </c>
      <c r="I1306" t="s">
        <v>202</v>
      </c>
      <c r="J1306">
        <v>10</v>
      </c>
      <c r="K1306" t="s">
        <v>46</v>
      </c>
      <c r="L1306" t="s">
        <v>37</v>
      </c>
      <c r="M1306" t="s">
        <v>38</v>
      </c>
      <c r="N1306" t="s">
        <v>140</v>
      </c>
    </row>
    <row r="1307" spans="1:14" x14ac:dyDescent="0.2">
      <c r="A1307">
        <v>1306</v>
      </c>
      <c r="B1307">
        <v>26</v>
      </c>
      <c r="C1307">
        <v>20</v>
      </c>
      <c r="D1307" t="s">
        <v>199</v>
      </c>
      <c r="F1307" t="s">
        <v>200</v>
      </c>
      <c r="H1307" t="s">
        <v>201</v>
      </c>
      <c r="I1307" t="s">
        <v>202</v>
      </c>
      <c r="J1307">
        <v>15</v>
      </c>
      <c r="K1307" t="s">
        <v>46</v>
      </c>
      <c r="L1307" t="s">
        <v>37</v>
      </c>
      <c r="M1307" t="s">
        <v>38</v>
      </c>
      <c r="N1307" t="s">
        <v>140</v>
      </c>
    </row>
    <row r="1308" spans="1:14" x14ac:dyDescent="0.2">
      <c r="A1308">
        <v>1307</v>
      </c>
      <c r="B1308">
        <v>26</v>
      </c>
      <c r="C1308">
        <v>20</v>
      </c>
      <c r="D1308" t="s">
        <v>2092</v>
      </c>
      <c r="F1308" t="s">
        <v>2093</v>
      </c>
      <c r="H1308" t="s">
        <v>2094</v>
      </c>
      <c r="I1308" t="s">
        <v>2095</v>
      </c>
      <c r="J1308">
        <v>80</v>
      </c>
      <c r="K1308" t="s">
        <v>94</v>
      </c>
      <c r="L1308" t="s">
        <v>37</v>
      </c>
      <c r="M1308" t="s">
        <v>38</v>
      </c>
      <c r="N1308" t="s">
        <v>140</v>
      </c>
    </row>
    <row r="1309" spans="1:14" x14ac:dyDescent="0.2">
      <c r="A1309">
        <v>1308</v>
      </c>
      <c r="B1309">
        <v>26</v>
      </c>
      <c r="C1309">
        <v>21</v>
      </c>
      <c r="D1309" t="s">
        <v>167</v>
      </c>
      <c r="F1309" t="s">
        <v>2096</v>
      </c>
      <c r="H1309" t="s">
        <v>2097</v>
      </c>
      <c r="I1309" t="s">
        <v>2098</v>
      </c>
      <c r="J1309">
        <v>25</v>
      </c>
      <c r="K1309" t="s">
        <v>52</v>
      </c>
      <c r="L1309" t="s">
        <v>37</v>
      </c>
      <c r="M1309" t="s">
        <v>38</v>
      </c>
      <c r="N1309" t="s">
        <v>140</v>
      </c>
    </row>
    <row r="1310" spans="1:14" x14ac:dyDescent="0.2">
      <c r="A1310">
        <v>1309</v>
      </c>
      <c r="B1310">
        <v>26</v>
      </c>
      <c r="C1310">
        <v>21</v>
      </c>
      <c r="D1310" t="s">
        <v>419</v>
      </c>
      <c r="F1310" t="s">
        <v>2099</v>
      </c>
      <c r="H1310" t="s">
        <v>2100</v>
      </c>
      <c r="I1310" t="s">
        <v>2101</v>
      </c>
      <c r="J1310">
        <v>35</v>
      </c>
      <c r="K1310" t="s">
        <v>46</v>
      </c>
      <c r="L1310" t="s">
        <v>37</v>
      </c>
      <c r="M1310" t="s">
        <v>38</v>
      </c>
      <c r="N1310" t="s">
        <v>140</v>
      </c>
    </row>
    <row r="1311" spans="1:14" x14ac:dyDescent="0.2">
      <c r="A1311">
        <v>1310</v>
      </c>
      <c r="B1311">
        <v>26</v>
      </c>
      <c r="C1311">
        <v>22</v>
      </c>
      <c r="D1311" t="s">
        <v>174</v>
      </c>
      <c r="F1311" t="s">
        <v>845</v>
      </c>
      <c r="H1311" t="s">
        <v>846</v>
      </c>
      <c r="I1311" t="s">
        <v>847</v>
      </c>
      <c r="J1311">
        <v>10</v>
      </c>
      <c r="K1311" t="s">
        <v>178</v>
      </c>
      <c r="L1311" t="s">
        <v>37</v>
      </c>
      <c r="M1311" t="s">
        <v>38</v>
      </c>
      <c r="N1311" t="s">
        <v>140</v>
      </c>
    </row>
    <row r="1312" spans="1:14" x14ac:dyDescent="0.2">
      <c r="A1312">
        <v>1311</v>
      </c>
      <c r="B1312">
        <v>26</v>
      </c>
      <c r="C1312">
        <v>22</v>
      </c>
      <c r="D1312" t="s">
        <v>183</v>
      </c>
      <c r="F1312" t="s">
        <v>184</v>
      </c>
      <c r="H1312" t="s">
        <v>185</v>
      </c>
      <c r="I1312" t="s">
        <v>186</v>
      </c>
      <c r="J1312">
        <v>245</v>
      </c>
      <c r="K1312" t="s">
        <v>36</v>
      </c>
      <c r="L1312" t="s">
        <v>37</v>
      </c>
      <c r="M1312" t="s">
        <v>38</v>
      </c>
      <c r="N1312" t="s">
        <v>140</v>
      </c>
    </row>
    <row r="1313" spans="1:14" x14ac:dyDescent="0.2">
      <c r="A1313">
        <v>1312</v>
      </c>
      <c r="B1313">
        <v>26</v>
      </c>
      <c r="C1313">
        <v>23</v>
      </c>
      <c r="D1313" t="s">
        <v>217</v>
      </c>
      <c r="F1313" t="s">
        <v>860</v>
      </c>
      <c r="H1313" t="s">
        <v>861</v>
      </c>
      <c r="I1313" t="s">
        <v>862</v>
      </c>
      <c r="J1313">
        <v>295</v>
      </c>
      <c r="K1313" t="s">
        <v>87</v>
      </c>
      <c r="L1313" t="s">
        <v>37</v>
      </c>
      <c r="M1313" t="s">
        <v>38</v>
      </c>
      <c r="N1313" t="s">
        <v>140</v>
      </c>
    </row>
    <row r="1314" spans="1:14" x14ac:dyDescent="0.2">
      <c r="A1314">
        <v>1313</v>
      </c>
      <c r="B1314">
        <v>26</v>
      </c>
      <c r="C1314">
        <v>23</v>
      </c>
      <c r="D1314" t="s">
        <v>217</v>
      </c>
      <c r="F1314" t="s">
        <v>860</v>
      </c>
      <c r="H1314" t="s">
        <v>861</v>
      </c>
      <c r="I1314" t="s">
        <v>862</v>
      </c>
      <c r="J1314">
        <v>3170</v>
      </c>
      <c r="K1314" t="s">
        <v>87</v>
      </c>
      <c r="L1314" t="s">
        <v>37</v>
      </c>
      <c r="M1314" t="s">
        <v>38</v>
      </c>
      <c r="N1314" t="s">
        <v>140</v>
      </c>
    </row>
    <row r="1315" spans="1:14" x14ac:dyDescent="0.2">
      <c r="A1315">
        <v>1314</v>
      </c>
      <c r="B1315">
        <v>26</v>
      </c>
      <c r="C1315">
        <v>24</v>
      </c>
      <c r="D1315" t="s">
        <v>217</v>
      </c>
      <c r="F1315" t="s">
        <v>221</v>
      </c>
      <c r="H1315" t="s">
        <v>222</v>
      </c>
      <c r="I1315" t="s">
        <v>223</v>
      </c>
      <c r="J1315">
        <v>20</v>
      </c>
      <c r="K1315" t="s">
        <v>216</v>
      </c>
      <c r="L1315" t="s">
        <v>37</v>
      </c>
      <c r="M1315" t="s">
        <v>38</v>
      </c>
      <c r="N1315" t="s">
        <v>140</v>
      </c>
    </row>
    <row r="1316" spans="1:14" x14ac:dyDescent="0.2">
      <c r="A1316">
        <v>1315</v>
      </c>
      <c r="B1316">
        <v>26</v>
      </c>
      <c r="C1316">
        <v>24</v>
      </c>
      <c r="D1316" t="s">
        <v>217</v>
      </c>
      <c r="F1316" t="s">
        <v>221</v>
      </c>
      <c r="H1316" t="s">
        <v>222</v>
      </c>
      <c r="I1316" t="s">
        <v>223</v>
      </c>
      <c r="J1316">
        <v>95</v>
      </c>
      <c r="K1316" t="s">
        <v>216</v>
      </c>
      <c r="L1316" t="s">
        <v>37</v>
      </c>
      <c r="M1316" t="s">
        <v>38</v>
      </c>
      <c r="N1316" t="s">
        <v>140</v>
      </c>
    </row>
    <row r="1317" spans="1:14" x14ac:dyDescent="0.2">
      <c r="A1317">
        <v>1316</v>
      </c>
      <c r="B1317">
        <v>26</v>
      </c>
      <c r="C1317">
        <v>25</v>
      </c>
      <c r="D1317" t="s">
        <v>217</v>
      </c>
      <c r="F1317" t="s">
        <v>866</v>
      </c>
      <c r="H1317" t="s">
        <v>867</v>
      </c>
      <c r="I1317" t="s">
        <v>868</v>
      </c>
      <c r="J1317">
        <v>295</v>
      </c>
      <c r="K1317" t="s">
        <v>87</v>
      </c>
      <c r="L1317" t="s">
        <v>37</v>
      </c>
      <c r="M1317" t="s">
        <v>38</v>
      </c>
      <c r="N1317" t="s">
        <v>140</v>
      </c>
    </row>
    <row r="1318" spans="1:14" x14ac:dyDescent="0.2">
      <c r="A1318">
        <v>1317</v>
      </c>
      <c r="B1318">
        <v>26</v>
      </c>
      <c r="C1318">
        <v>25</v>
      </c>
      <c r="D1318" t="s">
        <v>217</v>
      </c>
      <c r="F1318" t="s">
        <v>866</v>
      </c>
      <c r="H1318" t="s">
        <v>867</v>
      </c>
      <c r="I1318" t="s">
        <v>868</v>
      </c>
      <c r="J1318">
        <v>3095</v>
      </c>
      <c r="K1318" t="s">
        <v>87</v>
      </c>
      <c r="L1318" t="s">
        <v>37</v>
      </c>
      <c r="M1318" t="s">
        <v>38</v>
      </c>
      <c r="N1318" t="s">
        <v>140</v>
      </c>
    </row>
    <row r="1319" spans="1:14" x14ac:dyDescent="0.2">
      <c r="A1319">
        <v>1318</v>
      </c>
      <c r="B1319">
        <v>27</v>
      </c>
      <c r="C1319">
        <v>1</v>
      </c>
      <c r="D1319" t="s">
        <v>14</v>
      </c>
      <c r="F1319" t="s">
        <v>15</v>
      </c>
      <c r="H1319" t="s">
        <v>15</v>
      </c>
      <c r="I1319" t="s">
        <v>16</v>
      </c>
      <c r="J1319">
        <v>1</v>
      </c>
      <c r="K1319" t="s">
        <v>17</v>
      </c>
      <c r="L1319" t="s">
        <v>18</v>
      </c>
      <c r="M1319" t="s">
        <v>19</v>
      </c>
      <c r="N1319" t="s">
        <v>20</v>
      </c>
    </row>
    <row r="1320" spans="1:14" x14ac:dyDescent="0.2">
      <c r="A1320">
        <v>1319</v>
      </c>
      <c r="B1320">
        <v>27</v>
      </c>
      <c r="C1320">
        <v>2</v>
      </c>
      <c r="D1320" t="s">
        <v>14</v>
      </c>
      <c r="F1320" t="s">
        <v>380</v>
      </c>
      <c r="H1320" t="s">
        <v>380</v>
      </c>
      <c r="I1320" t="s">
        <v>1387</v>
      </c>
      <c r="J1320">
        <v>1</v>
      </c>
      <c r="K1320" t="s">
        <v>17</v>
      </c>
      <c r="L1320" t="s">
        <v>18</v>
      </c>
      <c r="M1320" t="s">
        <v>19</v>
      </c>
      <c r="N1320" t="s">
        <v>20</v>
      </c>
    </row>
    <row r="1321" spans="1:14" x14ac:dyDescent="0.2">
      <c r="A1321">
        <v>1320</v>
      </c>
      <c r="B1321">
        <v>27</v>
      </c>
      <c r="C1321">
        <v>3</v>
      </c>
      <c r="D1321" t="s">
        <v>14</v>
      </c>
      <c r="F1321" t="s">
        <v>23</v>
      </c>
      <c r="H1321" t="s">
        <v>23</v>
      </c>
      <c r="I1321" t="s">
        <v>24</v>
      </c>
      <c r="J1321">
        <v>1</v>
      </c>
      <c r="K1321" t="s">
        <v>17</v>
      </c>
      <c r="L1321" t="s">
        <v>25</v>
      </c>
      <c r="M1321" t="s">
        <v>26</v>
      </c>
      <c r="N1321" t="s">
        <v>27</v>
      </c>
    </row>
    <row r="1322" spans="1:14" x14ac:dyDescent="0.2">
      <c r="A1322">
        <v>1321</v>
      </c>
      <c r="B1322">
        <v>27</v>
      </c>
      <c r="C1322">
        <v>4</v>
      </c>
      <c r="D1322" t="s">
        <v>14</v>
      </c>
      <c r="F1322" t="s">
        <v>2102</v>
      </c>
      <c r="H1322" t="s">
        <v>2102</v>
      </c>
      <c r="I1322" t="s">
        <v>2103</v>
      </c>
      <c r="J1322">
        <v>1</v>
      </c>
      <c r="K1322" t="s">
        <v>17</v>
      </c>
      <c r="L1322" t="s">
        <v>30</v>
      </c>
      <c r="M1322" t="s">
        <v>30</v>
      </c>
      <c r="N1322" t="s">
        <v>31</v>
      </c>
    </row>
    <row r="1323" spans="1:14" x14ac:dyDescent="0.2">
      <c r="A1323">
        <v>1322</v>
      </c>
      <c r="B1323">
        <v>27</v>
      </c>
      <c r="C1323">
        <v>5</v>
      </c>
      <c r="D1323" t="s">
        <v>14</v>
      </c>
      <c r="F1323" t="s">
        <v>2104</v>
      </c>
      <c r="G1323" t="s">
        <v>586</v>
      </c>
      <c r="H1323" t="s">
        <v>2105</v>
      </c>
      <c r="I1323" t="s">
        <v>2106</v>
      </c>
      <c r="J1323">
        <v>230</v>
      </c>
      <c r="K1323" t="s">
        <v>94</v>
      </c>
      <c r="L1323" t="s">
        <v>37</v>
      </c>
      <c r="M1323" t="s">
        <v>38</v>
      </c>
      <c r="N1323" t="s">
        <v>39</v>
      </c>
    </row>
    <row r="1324" spans="1:14" x14ac:dyDescent="0.2">
      <c r="A1324">
        <v>1323</v>
      </c>
      <c r="B1324">
        <v>27</v>
      </c>
      <c r="C1324">
        <v>6</v>
      </c>
      <c r="D1324" t="s">
        <v>14</v>
      </c>
      <c r="F1324" t="s">
        <v>2107</v>
      </c>
      <c r="G1324" t="s">
        <v>142</v>
      </c>
      <c r="H1324" t="s">
        <v>2108</v>
      </c>
      <c r="I1324" t="s">
        <v>2109</v>
      </c>
      <c r="J1324">
        <v>5000</v>
      </c>
      <c r="K1324" t="s">
        <v>94</v>
      </c>
      <c r="L1324" t="s">
        <v>37</v>
      </c>
      <c r="M1324" t="s">
        <v>38</v>
      </c>
      <c r="N1324" t="s">
        <v>39</v>
      </c>
    </row>
    <row r="1325" spans="1:14" x14ac:dyDescent="0.2">
      <c r="A1325">
        <v>1324</v>
      </c>
      <c r="B1325">
        <v>27</v>
      </c>
      <c r="C1325">
        <v>7</v>
      </c>
      <c r="D1325" t="s">
        <v>14</v>
      </c>
      <c r="F1325" t="s">
        <v>1343</v>
      </c>
      <c r="H1325" t="s">
        <v>1343</v>
      </c>
      <c r="I1325" t="s">
        <v>1344</v>
      </c>
      <c r="J1325">
        <v>1</v>
      </c>
      <c r="K1325" t="s">
        <v>17</v>
      </c>
      <c r="L1325" t="s">
        <v>244</v>
      </c>
      <c r="M1325" t="s">
        <v>362</v>
      </c>
      <c r="N1325" t="s">
        <v>1345</v>
      </c>
    </row>
    <row r="1326" spans="1:14" x14ac:dyDescent="0.2">
      <c r="A1326">
        <v>1325</v>
      </c>
      <c r="B1326">
        <v>27</v>
      </c>
      <c r="C1326">
        <v>8</v>
      </c>
      <c r="D1326" t="s">
        <v>14</v>
      </c>
      <c r="F1326" t="s">
        <v>2110</v>
      </c>
      <c r="H1326" t="s">
        <v>2110</v>
      </c>
      <c r="I1326" t="s">
        <v>2111</v>
      </c>
      <c r="J1326">
        <v>1</v>
      </c>
      <c r="K1326" t="s">
        <v>17</v>
      </c>
      <c r="L1326" t="s">
        <v>47</v>
      </c>
      <c r="M1326" t="s">
        <v>48</v>
      </c>
      <c r="N1326" t="s">
        <v>49</v>
      </c>
    </row>
    <row r="1327" spans="1:14" x14ac:dyDescent="0.2">
      <c r="A1327">
        <v>1326</v>
      </c>
      <c r="B1327">
        <v>27</v>
      </c>
      <c r="C1327">
        <v>9</v>
      </c>
      <c r="D1327" t="s">
        <v>14</v>
      </c>
      <c r="F1327" t="s">
        <v>2112</v>
      </c>
      <c r="H1327" t="s">
        <v>2112</v>
      </c>
      <c r="I1327" t="s">
        <v>2113</v>
      </c>
      <c r="J1327">
        <v>1</v>
      </c>
      <c r="K1327" t="s">
        <v>17</v>
      </c>
      <c r="L1327" t="s">
        <v>244</v>
      </c>
      <c r="M1327" t="s">
        <v>245</v>
      </c>
      <c r="N1327" t="s">
        <v>1396</v>
      </c>
    </row>
    <row r="1328" spans="1:14" x14ac:dyDescent="0.2">
      <c r="A1328">
        <v>1327</v>
      </c>
      <c r="B1328">
        <v>27</v>
      </c>
      <c r="C1328">
        <v>10</v>
      </c>
      <c r="D1328" t="s">
        <v>14</v>
      </c>
      <c r="F1328" t="s">
        <v>492</v>
      </c>
      <c r="H1328" t="s">
        <v>492</v>
      </c>
      <c r="I1328" t="s">
        <v>493</v>
      </c>
      <c r="J1328">
        <v>1030</v>
      </c>
      <c r="K1328" t="s">
        <v>46</v>
      </c>
      <c r="L1328" t="s">
        <v>37</v>
      </c>
      <c r="M1328" t="s">
        <v>38</v>
      </c>
      <c r="N1328" t="s">
        <v>39</v>
      </c>
    </row>
    <row r="1329" spans="1:14" x14ac:dyDescent="0.2">
      <c r="A1329">
        <v>1328</v>
      </c>
      <c r="B1329">
        <v>27</v>
      </c>
      <c r="C1329">
        <v>11</v>
      </c>
      <c r="D1329" t="s">
        <v>14</v>
      </c>
      <c r="F1329" t="s">
        <v>2114</v>
      </c>
      <c r="H1329" t="s">
        <v>2114</v>
      </c>
      <c r="I1329" t="s">
        <v>2115</v>
      </c>
      <c r="J1329">
        <v>1</v>
      </c>
      <c r="K1329" t="s">
        <v>17</v>
      </c>
      <c r="L1329" t="s">
        <v>47</v>
      </c>
      <c r="M1329" t="s">
        <v>48</v>
      </c>
      <c r="N1329" t="s">
        <v>49</v>
      </c>
    </row>
    <row r="1330" spans="1:14" x14ac:dyDescent="0.2">
      <c r="A1330">
        <v>1329</v>
      </c>
      <c r="B1330">
        <v>27</v>
      </c>
      <c r="C1330">
        <v>12</v>
      </c>
      <c r="D1330" t="s">
        <v>14</v>
      </c>
      <c r="F1330" t="s">
        <v>2116</v>
      </c>
      <c r="H1330" t="s">
        <v>2116</v>
      </c>
      <c r="I1330" t="s">
        <v>2117</v>
      </c>
      <c r="J1330">
        <v>670</v>
      </c>
      <c r="K1330" t="s">
        <v>94</v>
      </c>
      <c r="L1330" t="s">
        <v>47</v>
      </c>
      <c r="M1330" t="s">
        <v>48</v>
      </c>
      <c r="N1330" t="s">
        <v>49</v>
      </c>
    </row>
    <row r="1331" spans="1:14" x14ac:dyDescent="0.2">
      <c r="A1331">
        <v>1330</v>
      </c>
      <c r="B1331">
        <v>27</v>
      </c>
      <c r="C1331">
        <v>13</v>
      </c>
      <c r="D1331" t="s">
        <v>14</v>
      </c>
      <c r="F1331" t="s">
        <v>88</v>
      </c>
      <c r="H1331" t="s">
        <v>88</v>
      </c>
      <c r="I1331" t="s">
        <v>89</v>
      </c>
      <c r="J1331">
        <v>250</v>
      </c>
      <c r="K1331" t="s">
        <v>46</v>
      </c>
      <c r="L1331" t="s">
        <v>37</v>
      </c>
      <c r="M1331" t="s">
        <v>38</v>
      </c>
      <c r="N1331" t="s">
        <v>39</v>
      </c>
    </row>
    <row r="1332" spans="1:14" x14ac:dyDescent="0.2">
      <c r="A1332">
        <v>1331</v>
      </c>
      <c r="B1332">
        <v>27</v>
      </c>
      <c r="C1332">
        <v>14</v>
      </c>
      <c r="D1332" t="s">
        <v>14</v>
      </c>
      <c r="F1332" t="s">
        <v>558</v>
      </c>
      <c r="G1332" t="s">
        <v>2118</v>
      </c>
      <c r="H1332" t="s">
        <v>2119</v>
      </c>
      <c r="I1332" t="s">
        <v>561</v>
      </c>
      <c r="J1332">
        <v>1500</v>
      </c>
      <c r="K1332" t="s">
        <v>52</v>
      </c>
      <c r="L1332" t="s">
        <v>37</v>
      </c>
      <c r="M1332" t="s">
        <v>38</v>
      </c>
      <c r="N1332" t="s">
        <v>39</v>
      </c>
    </row>
    <row r="1333" spans="1:14" x14ac:dyDescent="0.2">
      <c r="A1333">
        <v>1332</v>
      </c>
      <c r="B1333">
        <v>27</v>
      </c>
      <c r="C1333">
        <v>15</v>
      </c>
      <c r="D1333" t="s">
        <v>14</v>
      </c>
      <c r="F1333" t="s">
        <v>2120</v>
      </c>
      <c r="H1333" t="s">
        <v>2120</v>
      </c>
      <c r="I1333" t="s">
        <v>2121</v>
      </c>
      <c r="J1333">
        <v>700</v>
      </c>
      <c r="K1333" t="s">
        <v>94</v>
      </c>
      <c r="L1333" t="s">
        <v>37</v>
      </c>
      <c r="M1333" t="s">
        <v>38</v>
      </c>
      <c r="N1333" t="s">
        <v>39</v>
      </c>
    </row>
    <row r="1334" spans="1:14" x14ac:dyDescent="0.2">
      <c r="A1334">
        <v>1333</v>
      </c>
      <c r="B1334">
        <v>27</v>
      </c>
      <c r="C1334">
        <v>16</v>
      </c>
      <c r="D1334" t="s">
        <v>14</v>
      </c>
      <c r="F1334" t="s">
        <v>2122</v>
      </c>
      <c r="H1334" t="s">
        <v>2122</v>
      </c>
      <c r="I1334" t="s">
        <v>2123</v>
      </c>
      <c r="J1334">
        <v>4</v>
      </c>
      <c r="K1334" t="s">
        <v>52</v>
      </c>
      <c r="L1334" t="s">
        <v>47</v>
      </c>
      <c r="M1334" t="s">
        <v>48</v>
      </c>
      <c r="N1334" t="s">
        <v>49</v>
      </c>
    </row>
    <row r="1335" spans="1:14" x14ac:dyDescent="0.2">
      <c r="A1335">
        <v>1334</v>
      </c>
      <c r="B1335">
        <v>27</v>
      </c>
      <c r="C1335">
        <v>17</v>
      </c>
      <c r="D1335" t="s">
        <v>14</v>
      </c>
      <c r="F1335" t="s">
        <v>2124</v>
      </c>
      <c r="H1335" t="s">
        <v>2124</v>
      </c>
      <c r="I1335" t="s">
        <v>2125</v>
      </c>
      <c r="J1335">
        <v>105</v>
      </c>
      <c r="K1335" t="s">
        <v>87</v>
      </c>
      <c r="L1335" t="s">
        <v>47</v>
      </c>
      <c r="M1335" t="s">
        <v>48</v>
      </c>
      <c r="N1335" t="s">
        <v>49</v>
      </c>
    </row>
    <row r="1336" spans="1:14" x14ac:dyDescent="0.2">
      <c r="A1336">
        <v>1335</v>
      </c>
      <c r="B1336">
        <v>27</v>
      </c>
      <c r="C1336">
        <v>18</v>
      </c>
      <c r="D1336" t="s">
        <v>14</v>
      </c>
      <c r="F1336" t="s">
        <v>2126</v>
      </c>
      <c r="H1336" t="s">
        <v>2126</v>
      </c>
      <c r="I1336" t="s">
        <v>2127</v>
      </c>
      <c r="J1336">
        <v>180</v>
      </c>
      <c r="K1336" t="s">
        <v>36</v>
      </c>
      <c r="L1336" t="s">
        <v>37</v>
      </c>
      <c r="M1336" t="s">
        <v>38</v>
      </c>
      <c r="N1336" t="s">
        <v>39</v>
      </c>
    </row>
    <row r="1337" spans="1:14" x14ac:dyDescent="0.2">
      <c r="A1337">
        <v>1336</v>
      </c>
      <c r="B1337">
        <v>27</v>
      </c>
      <c r="C1337">
        <v>19</v>
      </c>
      <c r="D1337" t="s">
        <v>14</v>
      </c>
      <c r="F1337" t="s">
        <v>2128</v>
      </c>
      <c r="H1337" t="s">
        <v>2128</v>
      </c>
      <c r="I1337" t="s">
        <v>2129</v>
      </c>
      <c r="J1337">
        <v>700</v>
      </c>
      <c r="K1337" t="s">
        <v>87</v>
      </c>
      <c r="L1337" t="s">
        <v>47</v>
      </c>
      <c r="M1337" t="s">
        <v>48</v>
      </c>
      <c r="N1337" t="s">
        <v>49</v>
      </c>
    </row>
    <row r="1338" spans="1:14" x14ac:dyDescent="0.2">
      <c r="A1338">
        <v>1337</v>
      </c>
      <c r="B1338">
        <v>27</v>
      </c>
      <c r="C1338">
        <v>20</v>
      </c>
      <c r="D1338" t="s">
        <v>14</v>
      </c>
      <c r="F1338" t="s">
        <v>800</v>
      </c>
      <c r="H1338" t="s">
        <v>800</v>
      </c>
      <c r="I1338" t="s">
        <v>801</v>
      </c>
      <c r="J1338">
        <v>1</v>
      </c>
      <c r="K1338" t="s">
        <v>17</v>
      </c>
      <c r="L1338" t="s">
        <v>37</v>
      </c>
      <c r="M1338" t="s">
        <v>38</v>
      </c>
      <c r="N1338" t="s">
        <v>39</v>
      </c>
    </row>
    <row r="1339" spans="1:14" x14ac:dyDescent="0.2">
      <c r="A1339">
        <v>1338</v>
      </c>
      <c r="B1339">
        <v>27</v>
      </c>
      <c r="C1339">
        <v>21</v>
      </c>
      <c r="D1339" t="s">
        <v>14</v>
      </c>
      <c r="F1339" t="s">
        <v>2130</v>
      </c>
      <c r="H1339" t="s">
        <v>2130</v>
      </c>
      <c r="I1339" t="s">
        <v>2131</v>
      </c>
      <c r="J1339">
        <v>0.3</v>
      </c>
      <c r="K1339" t="s">
        <v>133</v>
      </c>
      <c r="L1339" t="s">
        <v>25</v>
      </c>
      <c r="M1339" t="s">
        <v>26</v>
      </c>
      <c r="N1339" t="s">
        <v>27</v>
      </c>
    </row>
    <row r="1340" spans="1:14" x14ac:dyDescent="0.2">
      <c r="A1340">
        <v>1339</v>
      </c>
      <c r="B1340">
        <v>27</v>
      </c>
      <c r="C1340">
        <v>22</v>
      </c>
      <c r="D1340" t="s">
        <v>14</v>
      </c>
      <c r="F1340" t="s">
        <v>2132</v>
      </c>
      <c r="H1340" t="s">
        <v>2132</v>
      </c>
      <c r="I1340" t="s">
        <v>2133</v>
      </c>
      <c r="J1340">
        <v>55</v>
      </c>
      <c r="K1340" t="s">
        <v>36</v>
      </c>
      <c r="L1340" t="s">
        <v>47</v>
      </c>
      <c r="M1340" t="s">
        <v>48</v>
      </c>
      <c r="N1340" t="s">
        <v>49</v>
      </c>
    </row>
    <row r="1341" spans="1:14" x14ac:dyDescent="0.2">
      <c r="A1341">
        <v>1340</v>
      </c>
      <c r="B1341">
        <v>28</v>
      </c>
      <c r="C1341">
        <v>1</v>
      </c>
      <c r="D1341">
        <v>12200</v>
      </c>
      <c r="F1341" t="s">
        <v>15</v>
      </c>
      <c r="H1341" t="s">
        <v>702</v>
      </c>
      <c r="I1341" t="s">
        <v>703</v>
      </c>
      <c r="J1341">
        <v>1</v>
      </c>
      <c r="K1341" t="s">
        <v>17</v>
      </c>
      <c r="L1341" t="s">
        <v>18</v>
      </c>
      <c r="M1341" t="s">
        <v>19</v>
      </c>
      <c r="N1341" t="s">
        <v>108</v>
      </c>
    </row>
    <row r="1342" spans="1:14" x14ac:dyDescent="0.2">
      <c r="A1342">
        <v>1341</v>
      </c>
      <c r="B1342">
        <v>28</v>
      </c>
      <c r="C1342">
        <v>2</v>
      </c>
      <c r="D1342">
        <v>12200</v>
      </c>
      <c r="F1342" t="s">
        <v>109</v>
      </c>
      <c r="H1342" t="s">
        <v>110</v>
      </c>
      <c r="I1342" t="s">
        <v>111</v>
      </c>
      <c r="J1342">
        <v>1</v>
      </c>
      <c r="K1342" t="s">
        <v>17</v>
      </c>
      <c r="L1342" t="s">
        <v>18</v>
      </c>
      <c r="M1342" t="s">
        <v>19</v>
      </c>
      <c r="N1342" t="s">
        <v>108</v>
      </c>
    </row>
    <row r="1343" spans="1:14" x14ac:dyDescent="0.2">
      <c r="A1343">
        <v>1342</v>
      </c>
      <c r="B1343">
        <v>28</v>
      </c>
      <c r="C1343">
        <v>3</v>
      </c>
      <c r="D1343">
        <v>12200</v>
      </c>
      <c r="F1343" t="s">
        <v>380</v>
      </c>
      <c r="H1343" t="s">
        <v>381</v>
      </c>
      <c r="I1343" t="s">
        <v>382</v>
      </c>
      <c r="J1343">
        <v>1</v>
      </c>
      <c r="K1343" t="s">
        <v>17</v>
      </c>
      <c r="L1343" t="s">
        <v>18</v>
      </c>
      <c r="M1343" t="s">
        <v>19</v>
      </c>
      <c r="N1343" t="s">
        <v>108</v>
      </c>
    </row>
    <row r="1344" spans="1:14" x14ac:dyDescent="0.2">
      <c r="A1344">
        <v>1343</v>
      </c>
      <c r="B1344">
        <v>28</v>
      </c>
      <c r="C1344">
        <v>4</v>
      </c>
      <c r="D1344">
        <v>12200</v>
      </c>
      <c r="F1344" t="s">
        <v>118</v>
      </c>
      <c r="H1344" t="s">
        <v>119</v>
      </c>
      <c r="I1344" t="s">
        <v>120</v>
      </c>
      <c r="J1344">
        <v>1</v>
      </c>
      <c r="K1344" t="s">
        <v>17</v>
      </c>
      <c r="L1344" t="s">
        <v>18</v>
      </c>
      <c r="M1344" t="s">
        <v>19</v>
      </c>
      <c r="N1344" t="s">
        <v>108</v>
      </c>
    </row>
    <row r="1345" spans="1:14" x14ac:dyDescent="0.2">
      <c r="A1345">
        <v>1344</v>
      </c>
      <c r="B1345">
        <v>28</v>
      </c>
      <c r="C1345">
        <v>5</v>
      </c>
      <c r="D1345">
        <v>12200</v>
      </c>
      <c r="E1345">
        <v>312000</v>
      </c>
      <c r="F1345" t="s">
        <v>32</v>
      </c>
      <c r="H1345" t="s">
        <v>2134</v>
      </c>
      <c r="I1345" t="s">
        <v>2135</v>
      </c>
      <c r="J1345">
        <v>1</v>
      </c>
      <c r="K1345" t="s">
        <v>17</v>
      </c>
      <c r="L1345" t="s">
        <v>18</v>
      </c>
      <c r="M1345" t="s">
        <v>19</v>
      </c>
      <c r="N1345" t="s">
        <v>108</v>
      </c>
    </row>
    <row r="1346" spans="1:14" x14ac:dyDescent="0.2">
      <c r="A1346">
        <v>1345</v>
      </c>
      <c r="B1346">
        <v>28</v>
      </c>
      <c r="C1346">
        <v>6</v>
      </c>
      <c r="D1346">
        <v>12200</v>
      </c>
      <c r="E1346">
        <v>15713</v>
      </c>
      <c r="F1346" t="s">
        <v>2136</v>
      </c>
      <c r="H1346" t="s">
        <v>2137</v>
      </c>
      <c r="I1346" t="s">
        <v>2138</v>
      </c>
      <c r="J1346">
        <v>1</v>
      </c>
      <c r="K1346" t="s">
        <v>17</v>
      </c>
      <c r="L1346" t="s">
        <v>18</v>
      </c>
      <c r="M1346" t="s">
        <v>19</v>
      </c>
      <c r="N1346" t="s">
        <v>108</v>
      </c>
    </row>
    <row r="1347" spans="1:14" x14ac:dyDescent="0.2">
      <c r="A1347">
        <v>1346</v>
      </c>
      <c r="B1347">
        <v>28</v>
      </c>
      <c r="C1347">
        <v>7</v>
      </c>
      <c r="D1347">
        <v>12200</v>
      </c>
      <c r="E1347">
        <v>24113</v>
      </c>
      <c r="F1347" t="s">
        <v>2102</v>
      </c>
      <c r="H1347" t="s">
        <v>2139</v>
      </c>
      <c r="I1347" t="s">
        <v>2140</v>
      </c>
      <c r="J1347">
        <v>1</v>
      </c>
      <c r="K1347" t="s">
        <v>17</v>
      </c>
      <c r="L1347" t="s">
        <v>18</v>
      </c>
      <c r="M1347" t="s">
        <v>19</v>
      </c>
      <c r="N1347" t="s">
        <v>108</v>
      </c>
    </row>
    <row r="1348" spans="1:14" x14ac:dyDescent="0.2">
      <c r="A1348">
        <v>1347</v>
      </c>
      <c r="B1348">
        <v>28</v>
      </c>
      <c r="C1348">
        <v>8</v>
      </c>
      <c r="D1348">
        <v>12200</v>
      </c>
      <c r="E1348">
        <v>24113</v>
      </c>
      <c r="F1348" t="s">
        <v>2104</v>
      </c>
      <c r="G1348" t="s">
        <v>2141</v>
      </c>
      <c r="H1348" t="s">
        <v>2142</v>
      </c>
      <c r="I1348" t="s">
        <v>2143</v>
      </c>
      <c r="J1348">
        <v>171</v>
      </c>
      <c r="K1348" t="s">
        <v>46</v>
      </c>
      <c r="L1348" t="s">
        <v>18</v>
      </c>
      <c r="M1348" t="s">
        <v>19</v>
      </c>
      <c r="N1348" t="s">
        <v>108</v>
      </c>
    </row>
    <row r="1349" spans="1:14" x14ac:dyDescent="0.2">
      <c r="A1349">
        <v>1348</v>
      </c>
      <c r="B1349">
        <v>28</v>
      </c>
      <c r="C1349">
        <v>9</v>
      </c>
      <c r="D1349">
        <v>12200</v>
      </c>
      <c r="E1349">
        <v>26100</v>
      </c>
      <c r="F1349" t="s">
        <v>2144</v>
      </c>
      <c r="H1349" t="s">
        <v>2145</v>
      </c>
      <c r="I1349" t="s">
        <v>2146</v>
      </c>
      <c r="J1349">
        <v>3887</v>
      </c>
      <c r="K1349" t="s">
        <v>52</v>
      </c>
      <c r="L1349" t="s">
        <v>18</v>
      </c>
      <c r="M1349" t="s">
        <v>19</v>
      </c>
      <c r="N1349" t="s">
        <v>108</v>
      </c>
    </row>
    <row r="1350" spans="1:14" x14ac:dyDescent="0.2">
      <c r="A1350">
        <v>1349</v>
      </c>
      <c r="B1350">
        <v>28</v>
      </c>
      <c r="C1350">
        <v>10</v>
      </c>
      <c r="D1350">
        <v>12200</v>
      </c>
      <c r="E1350">
        <v>312300</v>
      </c>
      <c r="F1350" t="s">
        <v>494</v>
      </c>
      <c r="H1350" t="s">
        <v>2147</v>
      </c>
      <c r="I1350" t="s">
        <v>2148</v>
      </c>
      <c r="J1350">
        <v>200</v>
      </c>
      <c r="K1350" t="s">
        <v>46</v>
      </c>
      <c r="L1350" t="s">
        <v>18</v>
      </c>
      <c r="M1350" t="s">
        <v>19</v>
      </c>
      <c r="N1350" t="s">
        <v>108</v>
      </c>
    </row>
    <row r="1351" spans="1:14" x14ac:dyDescent="0.2">
      <c r="A1351">
        <v>1350</v>
      </c>
      <c r="B1351">
        <v>28</v>
      </c>
      <c r="C1351">
        <v>11</v>
      </c>
      <c r="D1351">
        <v>12200</v>
      </c>
      <c r="E1351">
        <v>312300</v>
      </c>
      <c r="F1351" t="s">
        <v>60</v>
      </c>
      <c r="H1351" t="s">
        <v>2149</v>
      </c>
      <c r="I1351" t="s">
        <v>2150</v>
      </c>
      <c r="J1351">
        <v>200</v>
      </c>
      <c r="K1351" t="s">
        <v>46</v>
      </c>
      <c r="L1351" t="s">
        <v>18</v>
      </c>
      <c r="M1351" t="s">
        <v>19</v>
      </c>
      <c r="N1351" t="s">
        <v>108</v>
      </c>
    </row>
    <row r="1352" spans="1:14" x14ac:dyDescent="0.2">
      <c r="A1352">
        <v>1351</v>
      </c>
      <c r="B1352">
        <v>28</v>
      </c>
      <c r="C1352">
        <v>12</v>
      </c>
      <c r="D1352">
        <v>12200</v>
      </c>
      <c r="E1352">
        <v>312000</v>
      </c>
      <c r="F1352" t="s">
        <v>2151</v>
      </c>
      <c r="H1352" t="s">
        <v>2152</v>
      </c>
      <c r="I1352" t="s">
        <v>2153</v>
      </c>
      <c r="J1352">
        <v>2446.1</v>
      </c>
      <c r="K1352" t="s">
        <v>46</v>
      </c>
      <c r="L1352" t="s">
        <v>18</v>
      </c>
      <c r="M1352" t="s">
        <v>19</v>
      </c>
      <c r="N1352" t="s">
        <v>108</v>
      </c>
    </row>
    <row r="1353" spans="1:14" x14ac:dyDescent="0.2">
      <c r="A1353">
        <v>1352</v>
      </c>
      <c r="B1353">
        <v>28</v>
      </c>
      <c r="C1353">
        <v>13</v>
      </c>
      <c r="D1353">
        <v>12200</v>
      </c>
      <c r="E1353">
        <v>312300</v>
      </c>
      <c r="F1353" t="s">
        <v>2154</v>
      </c>
      <c r="H1353" t="s">
        <v>2155</v>
      </c>
      <c r="I1353" t="s">
        <v>2156</v>
      </c>
      <c r="J1353">
        <v>342</v>
      </c>
      <c r="K1353" t="s">
        <v>94</v>
      </c>
      <c r="L1353" t="s">
        <v>18</v>
      </c>
      <c r="M1353" t="s">
        <v>19</v>
      </c>
      <c r="N1353" t="s">
        <v>108</v>
      </c>
    </row>
    <row r="1354" spans="1:14" x14ac:dyDescent="0.2">
      <c r="A1354">
        <v>1353</v>
      </c>
      <c r="B1354">
        <v>28</v>
      </c>
      <c r="C1354">
        <v>14</v>
      </c>
      <c r="D1354">
        <v>12200</v>
      </c>
      <c r="E1354">
        <v>320117</v>
      </c>
      <c r="F1354" t="s">
        <v>2114</v>
      </c>
      <c r="H1354" t="s">
        <v>2157</v>
      </c>
      <c r="I1354" t="s">
        <v>2158</v>
      </c>
      <c r="J1354">
        <v>1</v>
      </c>
      <c r="K1354" t="s">
        <v>17</v>
      </c>
      <c r="L1354" t="s">
        <v>18</v>
      </c>
      <c r="M1354" t="s">
        <v>19</v>
      </c>
      <c r="N1354" t="s">
        <v>108</v>
      </c>
    </row>
    <row r="1355" spans="1:14" x14ac:dyDescent="0.2">
      <c r="A1355">
        <v>1354</v>
      </c>
      <c r="B1355">
        <v>28</v>
      </c>
      <c r="C1355">
        <v>15</v>
      </c>
      <c r="D1355">
        <v>12200</v>
      </c>
      <c r="E1355">
        <v>321123</v>
      </c>
      <c r="F1355" t="s">
        <v>88</v>
      </c>
      <c r="H1355" t="s">
        <v>2159</v>
      </c>
      <c r="I1355" t="s">
        <v>2160</v>
      </c>
      <c r="J1355">
        <v>612</v>
      </c>
      <c r="K1355" t="s">
        <v>52</v>
      </c>
      <c r="L1355" t="s">
        <v>18</v>
      </c>
      <c r="M1355" t="s">
        <v>19</v>
      </c>
      <c r="N1355" t="s">
        <v>108</v>
      </c>
    </row>
    <row r="1356" spans="1:14" x14ac:dyDescent="0.2">
      <c r="A1356">
        <v>1355</v>
      </c>
      <c r="B1356">
        <v>28</v>
      </c>
      <c r="C1356">
        <v>16</v>
      </c>
      <c r="D1356">
        <v>12200</v>
      </c>
      <c r="E1356">
        <v>321200</v>
      </c>
      <c r="F1356" t="s">
        <v>2161</v>
      </c>
      <c r="H1356" t="s">
        <v>2162</v>
      </c>
      <c r="I1356" t="s">
        <v>2163</v>
      </c>
      <c r="J1356">
        <v>369</v>
      </c>
      <c r="K1356" t="s">
        <v>52</v>
      </c>
      <c r="L1356" t="s">
        <v>18</v>
      </c>
      <c r="M1356" t="s">
        <v>19</v>
      </c>
      <c r="N1356" t="s">
        <v>108</v>
      </c>
    </row>
    <row r="1357" spans="1:14" x14ac:dyDescent="0.2">
      <c r="A1357">
        <v>1356</v>
      </c>
      <c r="B1357">
        <v>28</v>
      </c>
      <c r="C1357">
        <v>17</v>
      </c>
      <c r="D1357">
        <v>12200</v>
      </c>
      <c r="E1357">
        <v>321300</v>
      </c>
      <c r="F1357" t="s">
        <v>90</v>
      </c>
      <c r="G1357" t="s">
        <v>2164</v>
      </c>
      <c r="H1357" t="s">
        <v>2165</v>
      </c>
      <c r="I1357" t="s">
        <v>2166</v>
      </c>
      <c r="J1357">
        <v>23</v>
      </c>
      <c r="K1357" t="s">
        <v>94</v>
      </c>
      <c r="L1357" t="s">
        <v>18</v>
      </c>
      <c r="M1357" t="s">
        <v>19</v>
      </c>
      <c r="N1357" t="s">
        <v>108</v>
      </c>
    </row>
    <row r="1358" spans="1:14" x14ac:dyDescent="0.2">
      <c r="A1358">
        <v>1357</v>
      </c>
      <c r="B1358">
        <v>28</v>
      </c>
      <c r="C1358">
        <v>18</v>
      </c>
      <c r="D1358">
        <v>12200</v>
      </c>
      <c r="E1358">
        <v>329219</v>
      </c>
      <c r="F1358" t="s">
        <v>303</v>
      </c>
      <c r="H1358" t="s">
        <v>2167</v>
      </c>
      <c r="I1358" t="s">
        <v>2168</v>
      </c>
      <c r="J1358">
        <v>4</v>
      </c>
      <c r="K1358" t="s">
        <v>133</v>
      </c>
      <c r="L1358" t="s">
        <v>18</v>
      </c>
      <c r="M1358" t="s">
        <v>19</v>
      </c>
      <c r="N1358" t="s">
        <v>108</v>
      </c>
    </row>
    <row r="1359" spans="1:14" x14ac:dyDescent="0.2">
      <c r="A1359">
        <v>1358</v>
      </c>
      <c r="B1359">
        <v>28</v>
      </c>
      <c r="C1359">
        <v>19</v>
      </c>
      <c r="D1359">
        <v>12200</v>
      </c>
      <c r="E1359" t="s">
        <v>2169</v>
      </c>
      <c r="F1359" t="s">
        <v>784</v>
      </c>
      <c r="H1359" t="s">
        <v>2170</v>
      </c>
      <c r="I1359" t="s">
        <v>2171</v>
      </c>
      <c r="J1359">
        <v>2487</v>
      </c>
      <c r="K1359" t="s">
        <v>46</v>
      </c>
      <c r="L1359" t="s">
        <v>18</v>
      </c>
      <c r="M1359" t="s">
        <v>19</v>
      </c>
      <c r="N1359" t="s">
        <v>108</v>
      </c>
    </row>
    <row r="1360" spans="1:14" x14ac:dyDescent="0.2">
      <c r="A1360">
        <v>1359</v>
      </c>
      <c r="B1360">
        <v>28</v>
      </c>
      <c r="C1360">
        <v>20</v>
      </c>
      <c r="D1360">
        <v>12200</v>
      </c>
      <c r="E1360">
        <v>334100</v>
      </c>
      <c r="F1360" t="s">
        <v>869</v>
      </c>
      <c r="G1360" t="s">
        <v>229</v>
      </c>
      <c r="H1360" t="s">
        <v>2172</v>
      </c>
      <c r="I1360" t="s">
        <v>2173</v>
      </c>
      <c r="J1360">
        <v>153</v>
      </c>
      <c r="K1360" t="s">
        <v>36</v>
      </c>
      <c r="L1360" t="s">
        <v>18</v>
      </c>
      <c r="M1360" t="s">
        <v>19</v>
      </c>
      <c r="N1360" t="s">
        <v>108</v>
      </c>
    </row>
    <row r="1361" spans="1:14" x14ac:dyDescent="0.2">
      <c r="A1361">
        <v>1360</v>
      </c>
      <c r="B1361">
        <v>28</v>
      </c>
      <c r="C1361">
        <v>21</v>
      </c>
      <c r="D1361">
        <v>12200</v>
      </c>
      <c r="E1361">
        <v>334100</v>
      </c>
      <c r="F1361" t="s">
        <v>869</v>
      </c>
      <c r="G1361" t="s">
        <v>238</v>
      </c>
      <c r="H1361" t="s">
        <v>2174</v>
      </c>
      <c r="I1361" t="s">
        <v>2173</v>
      </c>
      <c r="J1361">
        <v>1426</v>
      </c>
      <c r="K1361" t="s">
        <v>36</v>
      </c>
      <c r="L1361" t="s">
        <v>18</v>
      </c>
      <c r="M1361" t="s">
        <v>19</v>
      </c>
      <c r="N1361" t="s">
        <v>108</v>
      </c>
    </row>
    <row r="1362" spans="1:14" x14ac:dyDescent="0.2">
      <c r="A1362">
        <v>1361</v>
      </c>
      <c r="B1362">
        <v>28</v>
      </c>
      <c r="C1362">
        <v>22</v>
      </c>
      <c r="D1362">
        <v>12200</v>
      </c>
      <c r="E1362">
        <v>334100</v>
      </c>
      <c r="F1362" t="s">
        <v>869</v>
      </c>
      <c r="G1362" t="s">
        <v>443</v>
      </c>
      <c r="H1362" t="s">
        <v>2175</v>
      </c>
      <c r="I1362" t="s">
        <v>2173</v>
      </c>
      <c r="J1362">
        <v>474</v>
      </c>
      <c r="K1362" t="s">
        <v>36</v>
      </c>
      <c r="L1362" t="s">
        <v>18</v>
      </c>
      <c r="M1362" t="s">
        <v>19</v>
      </c>
      <c r="N1362" t="s">
        <v>108</v>
      </c>
    </row>
    <row r="1363" spans="1:14" x14ac:dyDescent="0.2">
      <c r="A1363">
        <v>1362</v>
      </c>
      <c r="B1363">
        <v>28</v>
      </c>
      <c r="C1363">
        <v>23</v>
      </c>
      <c r="D1363">
        <v>12200</v>
      </c>
      <c r="E1363">
        <v>334100</v>
      </c>
      <c r="F1363" t="s">
        <v>869</v>
      </c>
      <c r="G1363" t="s">
        <v>873</v>
      </c>
      <c r="H1363" t="s">
        <v>2176</v>
      </c>
      <c r="I1363" t="s">
        <v>2173</v>
      </c>
      <c r="J1363">
        <v>1695</v>
      </c>
      <c r="K1363" t="s">
        <v>36</v>
      </c>
      <c r="L1363" t="s">
        <v>18</v>
      </c>
      <c r="M1363" t="s">
        <v>19</v>
      </c>
      <c r="N1363" t="s">
        <v>108</v>
      </c>
    </row>
    <row r="1364" spans="1:14" x14ac:dyDescent="0.2">
      <c r="A1364">
        <v>1363</v>
      </c>
      <c r="B1364">
        <v>28</v>
      </c>
      <c r="C1364">
        <v>24</v>
      </c>
      <c r="D1364">
        <v>12200</v>
      </c>
      <c r="E1364">
        <v>334100</v>
      </c>
      <c r="F1364" t="s">
        <v>869</v>
      </c>
      <c r="G1364" t="s">
        <v>247</v>
      </c>
      <c r="H1364" t="s">
        <v>2177</v>
      </c>
      <c r="I1364" t="s">
        <v>2173</v>
      </c>
      <c r="J1364">
        <v>896</v>
      </c>
      <c r="K1364" t="s">
        <v>36</v>
      </c>
      <c r="L1364" t="s">
        <v>18</v>
      </c>
      <c r="M1364" t="s">
        <v>19</v>
      </c>
      <c r="N1364" t="s">
        <v>108</v>
      </c>
    </row>
    <row r="1365" spans="1:14" x14ac:dyDescent="0.2">
      <c r="A1365">
        <v>1364</v>
      </c>
      <c r="B1365">
        <v>28</v>
      </c>
      <c r="C1365">
        <v>25</v>
      </c>
      <c r="D1365">
        <v>12200</v>
      </c>
      <c r="E1365">
        <v>334100</v>
      </c>
      <c r="F1365" t="s">
        <v>2178</v>
      </c>
      <c r="H1365" t="s">
        <v>2179</v>
      </c>
      <c r="I1365" t="s">
        <v>2180</v>
      </c>
      <c r="J1365">
        <v>7</v>
      </c>
      <c r="K1365" t="s">
        <v>72</v>
      </c>
      <c r="L1365" t="s">
        <v>18</v>
      </c>
      <c r="M1365" t="s">
        <v>19</v>
      </c>
      <c r="N1365" t="s">
        <v>108</v>
      </c>
    </row>
    <row r="1366" spans="1:14" x14ac:dyDescent="0.2">
      <c r="A1366">
        <v>1365</v>
      </c>
      <c r="B1366">
        <v>28</v>
      </c>
      <c r="C1366">
        <v>26</v>
      </c>
      <c r="D1366">
        <v>12200</v>
      </c>
      <c r="E1366">
        <v>334100</v>
      </c>
      <c r="F1366" t="s">
        <v>2181</v>
      </c>
      <c r="H1366" t="s">
        <v>2182</v>
      </c>
      <c r="I1366" t="s">
        <v>2183</v>
      </c>
      <c r="J1366">
        <v>4</v>
      </c>
      <c r="K1366" t="s">
        <v>72</v>
      </c>
      <c r="L1366" t="s">
        <v>18</v>
      </c>
      <c r="M1366" t="s">
        <v>19</v>
      </c>
      <c r="N1366" t="s">
        <v>108</v>
      </c>
    </row>
    <row r="1367" spans="1:14" x14ac:dyDescent="0.2">
      <c r="A1367">
        <v>1366</v>
      </c>
      <c r="B1367">
        <v>28</v>
      </c>
      <c r="C1367">
        <v>27</v>
      </c>
      <c r="D1367">
        <v>12200</v>
      </c>
      <c r="E1367">
        <v>334100</v>
      </c>
      <c r="F1367" t="s">
        <v>2184</v>
      </c>
      <c r="H1367" t="s">
        <v>2185</v>
      </c>
      <c r="I1367" t="s">
        <v>2186</v>
      </c>
      <c r="J1367">
        <v>2</v>
      </c>
      <c r="K1367" t="s">
        <v>72</v>
      </c>
      <c r="L1367" t="s">
        <v>18</v>
      </c>
      <c r="M1367" t="s">
        <v>19</v>
      </c>
      <c r="N1367" t="s">
        <v>108</v>
      </c>
    </row>
    <row r="1368" spans="1:14" x14ac:dyDescent="0.2">
      <c r="A1368">
        <v>1367</v>
      </c>
      <c r="B1368">
        <v>28</v>
      </c>
      <c r="C1368">
        <v>28</v>
      </c>
      <c r="D1368">
        <v>12200</v>
      </c>
      <c r="E1368">
        <v>334100</v>
      </c>
      <c r="F1368" t="s">
        <v>2187</v>
      </c>
      <c r="H1368" t="s">
        <v>2188</v>
      </c>
      <c r="I1368" t="s">
        <v>2189</v>
      </c>
      <c r="J1368">
        <v>14</v>
      </c>
      <c r="K1368" t="s">
        <v>72</v>
      </c>
      <c r="L1368" t="s">
        <v>18</v>
      </c>
      <c r="M1368" t="s">
        <v>19</v>
      </c>
      <c r="N1368" t="s">
        <v>108</v>
      </c>
    </row>
    <row r="1369" spans="1:14" x14ac:dyDescent="0.2">
      <c r="A1369">
        <v>1368</v>
      </c>
      <c r="B1369">
        <v>28</v>
      </c>
      <c r="C1369">
        <v>29</v>
      </c>
      <c r="D1369">
        <v>12200</v>
      </c>
      <c r="E1369">
        <v>334100</v>
      </c>
      <c r="F1369" t="s">
        <v>68</v>
      </c>
      <c r="G1369" t="s">
        <v>247</v>
      </c>
      <c r="H1369" t="s">
        <v>2190</v>
      </c>
      <c r="I1369" t="s">
        <v>2191</v>
      </c>
      <c r="J1369">
        <v>9</v>
      </c>
      <c r="K1369" t="s">
        <v>72</v>
      </c>
      <c r="L1369" t="s">
        <v>18</v>
      </c>
      <c r="M1369" t="s">
        <v>19</v>
      </c>
      <c r="N1369" t="s">
        <v>108</v>
      </c>
    </row>
    <row r="1370" spans="1:14" x14ac:dyDescent="0.2">
      <c r="A1370">
        <v>1369</v>
      </c>
      <c r="B1370">
        <v>28</v>
      </c>
      <c r="C1370">
        <v>30</v>
      </c>
      <c r="D1370">
        <v>12200</v>
      </c>
      <c r="E1370">
        <v>334100</v>
      </c>
      <c r="F1370" t="s">
        <v>68</v>
      </c>
      <c r="G1370" t="s">
        <v>65</v>
      </c>
      <c r="H1370" t="s">
        <v>2192</v>
      </c>
      <c r="I1370" t="s">
        <v>2191</v>
      </c>
      <c r="J1370">
        <v>15</v>
      </c>
      <c r="K1370" t="s">
        <v>72</v>
      </c>
      <c r="L1370" t="s">
        <v>18</v>
      </c>
      <c r="M1370" t="s">
        <v>19</v>
      </c>
      <c r="N1370" t="s">
        <v>108</v>
      </c>
    </row>
    <row r="1371" spans="1:14" x14ac:dyDescent="0.2">
      <c r="A1371">
        <v>1370</v>
      </c>
      <c r="B1371">
        <v>28</v>
      </c>
      <c r="C1371">
        <v>31</v>
      </c>
      <c r="D1371">
        <v>12200</v>
      </c>
      <c r="E1371">
        <v>334100</v>
      </c>
      <c r="F1371" t="s">
        <v>68</v>
      </c>
      <c r="G1371" t="s">
        <v>73</v>
      </c>
      <c r="H1371" t="s">
        <v>2193</v>
      </c>
      <c r="I1371" t="s">
        <v>2191</v>
      </c>
      <c r="J1371">
        <v>1</v>
      </c>
      <c r="K1371" t="s">
        <v>72</v>
      </c>
      <c r="L1371" t="s">
        <v>18</v>
      </c>
      <c r="M1371" t="s">
        <v>19</v>
      </c>
      <c r="N1371" t="s">
        <v>108</v>
      </c>
    </row>
    <row r="1372" spans="1:14" x14ac:dyDescent="0.2">
      <c r="A1372">
        <v>1371</v>
      </c>
      <c r="B1372">
        <v>28</v>
      </c>
      <c r="C1372">
        <v>32</v>
      </c>
      <c r="D1372">
        <v>12200</v>
      </c>
      <c r="E1372">
        <v>334100</v>
      </c>
      <c r="F1372" t="s">
        <v>2194</v>
      </c>
      <c r="G1372" t="s">
        <v>247</v>
      </c>
      <c r="H1372" t="s">
        <v>2195</v>
      </c>
      <c r="I1372" t="s">
        <v>2196</v>
      </c>
      <c r="J1372">
        <v>4</v>
      </c>
      <c r="K1372" t="s">
        <v>36</v>
      </c>
      <c r="L1372" t="s">
        <v>18</v>
      </c>
      <c r="M1372" t="s">
        <v>19</v>
      </c>
      <c r="N1372" t="s">
        <v>108</v>
      </c>
    </row>
    <row r="1373" spans="1:14" x14ac:dyDescent="0.2">
      <c r="A1373">
        <v>1372</v>
      </c>
      <c r="B1373">
        <v>28</v>
      </c>
      <c r="C1373">
        <v>33</v>
      </c>
      <c r="D1373">
        <v>12200</v>
      </c>
      <c r="E1373">
        <v>334100</v>
      </c>
      <c r="F1373" t="s">
        <v>2194</v>
      </c>
      <c r="G1373" t="s">
        <v>65</v>
      </c>
      <c r="H1373" t="s">
        <v>2197</v>
      </c>
      <c r="I1373" t="s">
        <v>2196</v>
      </c>
      <c r="J1373">
        <v>35</v>
      </c>
      <c r="K1373" t="s">
        <v>36</v>
      </c>
      <c r="L1373" t="s">
        <v>18</v>
      </c>
      <c r="M1373" t="s">
        <v>19</v>
      </c>
      <c r="N1373" t="s">
        <v>108</v>
      </c>
    </row>
    <row r="1374" spans="1:14" x14ac:dyDescent="0.2">
      <c r="A1374">
        <v>1373</v>
      </c>
      <c r="B1374">
        <v>28</v>
      </c>
      <c r="C1374">
        <v>34</v>
      </c>
      <c r="D1374">
        <v>12200</v>
      </c>
      <c r="E1374">
        <v>334100</v>
      </c>
      <c r="F1374" t="s">
        <v>2194</v>
      </c>
      <c r="G1374" t="s">
        <v>73</v>
      </c>
      <c r="H1374" t="s">
        <v>2198</v>
      </c>
      <c r="I1374" t="s">
        <v>2196</v>
      </c>
      <c r="J1374">
        <v>4</v>
      </c>
      <c r="K1374" t="s">
        <v>36</v>
      </c>
      <c r="L1374" t="s">
        <v>18</v>
      </c>
      <c r="M1374" t="s">
        <v>19</v>
      </c>
      <c r="N1374" t="s">
        <v>108</v>
      </c>
    </row>
    <row r="1375" spans="1:14" x14ac:dyDescent="0.2">
      <c r="A1375">
        <v>1374</v>
      </c>
      <c r="B1375">
        <v>29</v>
      </c>
      <c r="C1375">
        <v>1</v>
      </c>
      <c r="D1375">
        <v>12200</v>
      </c>
      <c r="F1375" t="s">
        <v>15</v>
      </c>
      <c r="H1375" t="s">
        <v>702</v>
      </c>
      <c r="I1375" t="s">
        <v>703</v>
      </c>
      <c r="J1375">
        <v>1</v>
      </c>
      <c r="K1375" t="s">
        <v>17</v>
      </c>
      <c r="L1375" t="s">
        <v>18</v>
      </c>
      <c r="M1375" t="s">
        <v>19</v>
      </c>
      <c r="N1375" t="s">
        <v>108</v>
      </c>
    </row>
    <row r="1376" spans="1:14" x14ac:dyDescent="0.2">
      <c r="A1376">
        <v>1375</v>
      </c>
      <c r="B1376">
        <v>29</v>
      </c>
      <c r="C1376">
        <v>2</v>
      </c>
      <c r="D1376">
        <v>12200</v>
      </c>
      <c r="F1376" t="s">
        <v>109</v>
      </c>
      <c r="H1376" t="s">
        <v>110</v>
      </c>
      <c r="I1376" t="s">
        <v>111</v>
      </c>
      <c r="J1376">
        <v>1</v>
      </c>
      <c r="K1376" t="s">
        <v>17</v>
      </c>
      <c r="L1376" t="s">
        <v>18</v>
      </c>
      <c r="M1376" t="s">
        <v>19</v>
      </c>
      <c r="N1376" t="s">
        <v>108</v>
      </c>
    </row>
    <row r="1377" spans="1:14" x14ac:dyDescent="0.2">
      <c r="A1377">
        <v>1376</v>
      </c>
      <c r="B1377">
        <v>29</v>
      </c>
      <c r="C1377">
        <v>3</v>
      </c>
      <c r="D1377">
        <v>12200</v>
      </c>
      <c r="F1377" t="s">
        <v>112</v>
      </c>
      <c r="H1377" t="s">
        <v>113</v>
      </c>
      <c r="I1377" t="s">
        <v>114</v>
      </c>
      <c r="J1377">
        <v>1</v>
      </c>
      <c r="K1377" t="s">
        <v>17</v>
      </c>
      <c r="L1377" t="s">
        <v>18</v>
      </c>
      <c r="M1377" t="s">
        <v>19</v>
      </c>
      <c r="N1377" t="s">
        <v>108</v>
      </c>
    </row>
    <row r="1378" spans="1:14" x14ac:dyDescent="0.2">
      <c r="A1378">
        <v>1377</v>
      </c>
      <c r="B1378">
        <v>29</v>
      </c>
      <c r="C1378">
        <v>4</v>
      </c>
      <c r="D1378">
        <v>12200</v>
      </c>
      <c r="F1378" t="s">
        <v>115</v>
      </c>
      <c r="H1378" t="s">
        <v>116</v>
      </c>
      <c r="I1378" t="s">
        <v>117</v>
      </c>
      <c r="J1378">
        <v>1</v>
      </c>
      <c r="K1378" t="s">
        <v>17</v>
      </c>
      <c r="L1378" t="s">
        <v>18</v>
      </c>
      <c r="M1378" t="s">
        <v>19</v>
      </c>
      <c r="N1378" t="s">
        <v>108</v>
      </c>
    </row>
    <row r="1379" spans="1:14" x14ac:dyDescent="0.2">
      <c r="A1379">
        <v>1378</v>
      </c>
      <c r="B1379">
        <v>29</v>
      </c>
      <c r="C1379">
        <v>5</v>
      </c>
      <c r="D1379">
        <v>12200</v>
      </c>
      <c r="F1379" t="s">
        <v>118</v>
      </c>
      <c r="H1379" t="s">
        <v>119</v>
      </c>
      <c r="I1379" t="s">
        <v>120</v>
      </c>
      <c r="J1379">
        <v>1</v>
      </c>
      <c r="K1379" t="s">
        <v>17</v>
      </c>
      <c r="L1379" t="s">
        <v>18</v>
      </c>
      <c r="M1379" t="s">
        <v>19</v>
      </c>
      <c r="N1379" t="s">
        <v>108</v>
      </c>
    </row>
    <row r="1380" spans="1:14" x14ac:dyDescent="0.2">
      <c r="A1380">
        <v>1379</v>
      </c>
      <c r="B1380">
        <v>29</v>
      </c>
      <c r="C1380">
        <v>6</v>
      </c>
      <c r="D1380">
        <v>12200</v>
      </c>
      <c r="F1380" t="s">
        <v>2199</v>
      </c>
      <c r="G1380" t="s">
        <v>2200</v>
      </c>
      <c r="H1380" t="s">
        <v>2201</v>
      </c>
      <c r="I1380" t="s">
        <v>2202</v>
      </c>
      <c r="J1380">
        <v>99</v>
      </c>
      <c r="K1380" t="s">
        <v>72</v>
      </c>
      <c r="L1380" t="s">
        <v>18</v>
      </c>
      <c r="M1380" t="s">
        <v>19</v>
      </c>
      <c r="N1380" t="s">
        <v>108</v>
      </c>
    </row>
    <row r="1381" spans="1:14" x14ac:dyDescent="0.2">
      <c r="A1381">
        <v>1380</v>
      </c>
      <c r="B1381">
        <v>29</v>
      </c>
      <c r="C1381">
        <v>7</v>
      </c>
      <c r="D1381">
        <v>12200</v>
      </c>
      <c r="F1381" t="s">
        <v>2199</v>
      </c>
      <c r="G1381" t="s">
        <v>2203</v>
      </c>
      <c r="H1381" t="s">
        <v>2204</v>
      </c>
      <c r="I1381" t="s">
        <v>2202</v>
      </c>
      <c r="J1381">
        <v>53</v>
      </c>
      <c r="K1381" t="s">
        <v>72</v>
      </c>
      <c r="L1381" t="s">
        <v>18</v>
      </c>
      <c r="M1381" t="s">
        <v>19</v>
      </c>
      <c r="N1381" t="s">
        <v>108</v>
      </c>
    </row>
    <row r="1382" spans="1:14" x14ac:dyDescent="0.2">
      <c r="A1382">
        <v>1381</v>
      </c>
      <c r="B1382">
        <v>29</v>
      </c>
      <c r="C1382">
        <v>8</v>
      </c>
      <c r="D1382">
        <v>12200</v>
      </c>
      <c r="F1382" t="s">
        <v>2199</v>
      </c>
      <c r="G1382" t="s">
        <v>2205</v>
      </c>
      <c r="H1382" t="s">
        <v>2206</v>
      </c>
      <c r="I1382" t="s">
        <v>2202</v>
      </c>
      <c r="J1382">
        <v>16</v>
      </c>
      <c r="K1382" t="s">
        <v>72</v>
      </c>
      <c r="L1382" t="s">
        <v>18</v>
      </c>
      <c r="M1382" t="s">
        <v>19</v>
      </c>
      <c r="N1382" t="s">
        <v>108</v>
      </c>
    </row>
    <row r="1383" spans="1:14" x14ac:dyDescent="0.2">
      <c r="A1383">
        <v>1382</v>
      </c>
      <c r="B1383">
        <v>29</v>
      </c>
      <c r="C1383">
        <v>9</v>
      </c>
      <c r="D1383">
        <v>12200</v>
      </c>
      <c r="F1383" t="s">
        <v>2207</v>
      </c>
      <c r="G1383" t="s">
        <v>2208</v>
      </c>
      <c r="H1383" t="s">
        <v>2209</v>
      </c>
      <c r="I1383" t="s">
        <v>2210</v>
      </c>
      <c r="J1383">
        <v>3210</v>
      </c>
      <c r="K1383" t="s">
        <v>36</v>
      </c>
      <c r="L1383" t="s">
        <v>18</v>
      </c>
      <c r="M1383" t="s">
        <v>19</v>
      </c>
      <c r="N1383" t="s">
        <v>108</v>
      </c>
    </row>
    <row r="1384" spans="1:14" x14ac:dyDescent="0.2">
      <c r="A1384">
        <v>1383</v>
      </c>
      <c r="B1384">
        <v>29</v>
      </c>
      <c r="C1384">
        <v>10</v>
      </c>
      <c r="D1384">
        <v>12200</v>
      </c>
      <c r="F1384" t="s">
        <v>2207</v>
      </c>
      <c r="G1384" t="s">
        <v>2211</v>
      </c>
      <c r="H1384" t="s">
        <v>2212</v>
      </c>
      <c r="I1384" t="s">
        <v>2210</v>
      </c>
      <c r="J1384">
        <v>350</v>
      </c>
      <c r="K1384" t="s">
        <v>36</v>
      </c>
      <c r="L1384" t="s">
        <v>18</v>
      </c>
      <c r="M1384" t="s">
        <v>19</v>
      </c>
      <c r="N1384" t="s">
        <v>108</v>
      </c>
    </row>
    <row r="1385" spans="1:14" x14ac:dyDescent="0.2">
      <c r="A1385">
        <v>1384</v>
      </c>
      <c r="B1385">
        <v>29</v>
      </c>
      <c r="C1385">
        <v>11</v>
      </c>
      <c r="D1385" t="s">
        <v>427</v>
      </c>
      <c r="F1385" t="s">
        <v>848</v>
      </c>
      <c r="H1385" t="s">
        <v>849</v>
      </c>
      <c r="I1385" t="s">
        <v>850</v>
      </c>
      <c r="J1385">
        <v>79900</v>
      </c>
      <c r="K1385" t="s">
        <v>36</v>
      </c>
      <c r="L1385" t="s">
        <v>37</v>
      </c>
      <c r="M1385" t="s">
        <v>38</v>
      </c>
      <c r="N1385" t="s">
        <v>140</v>
      </c>
    </row>
    <row r="1386" spans="1:14" x14ac:dyDescent="0.2">
      <c r="A1386">
        <v>1385</v>
      </c>
      <c r="B1386">
        <v>29</v>
      </c>
      <c r="C1386">
        <v>12</v>
      </c>
      <c r="D1386" t="s">
        <v>183</v>
      </c>
      <c r="F1386" t="s">
        <v>2213</v>
      </c>
      <c r="G1386" t="s">
        <v>2214</v>
      </c>
      <c r="H1386" t="s">
        <v>2215</v>
      </c>
      <c r="I1386" t="s">
        <v>2216</v>
      </c>
      <c r="J1386">
        <v>3500</v>
      </c>
      <c r="K1386" t="s">
        <v>36</v>
      </c>
      <c r="L1386" t="s">
        <v>37</v>
      </c>
      <c r="M1386" t="s">
        <v>38</v>
      </c>
      <c r="N1386" t="s">
        <v>140</v>
      </c>
    </row>
    <row r="1387" spans="1:14" x14ac:dyDescent="0.2">
      <c r="A1387">
        <v>1386</v>
      </c>
      <c r="B1387">
        <v>29</v>
      </c>
      <c r="C1387">
        <v>13</v>
      </c>
      <c r="D1387" t="s">
        <v>183</v>
      </c>
      <c r="F1387" t="s">
        <v>2217</v>
      </c>
      <c r="H1387" t="s">
        <v>2218</v>
      </c>
      <c r="I1387" t="s">
        <v>2219</v>
      </c>
      <c r="J1387">
        <v>1740</v>
      </c>
      <c r="K1387" t="s">
        <v>36</v>
      </c>
      <c r="L1387" t="s">
        <v>37</v>
      </c>
      <c r="M1387" t="s">
        <v>38</v>
      </c>
      <c r="N1387" t="s">
        <v>140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item_grouping_proposal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Hogan Marhoefer</dc:creator>
  <cp:lastModifiedBy>Hogan Marhoefer</cp:lastModifiedBy>
  <dcterms:created xsi:type="dcterms:W3CDTF">2026-02-17T02:09:15Z</dcterms:created>
  <dcterms:modified xsi:type="dcterms:W3CDTF">2026-02-17T02:09:15Z</dcterms:modified>
</cp:coreProperties>
</file>