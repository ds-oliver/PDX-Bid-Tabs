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17D\013\"/>
    </mc:Choice>
  </mc:AlternateContent>
  <xr:revisionPtr revIDLastSave="0" documentId="10_ncr:100000_{D4A6C7FB-A482-4151-9677-A24D79A4C3E1}" xr6:coauthVersionLast="47" xr6:coauthVersionMax="47" xr10:uidLastSave="{00000000-0000-0000-0000-000000000000}"/>
  <bookViews>
    <workbookView xWindow="-15" yWindow="6240" windowWidth="25230" windowHeight="6300" tabRatio="716" firstSheet="3" activeTab="3" xr2:uid="{00000000-000D-0000-FFFF-FFFF00000000}"/>
  </bookViews>
  <sheets>
    <sheet name="Base Bid" sheetId="1" r:id="rId1"/>
    <sheet name="Alternate A" sheetId="6" r:id="rId2"/>
    <sheet name="Bid Tab Base Bid" sheetId="2" r:id="rId3"/>
    <sheet name="Bid Tab Alternate A" sheetId="7" r:id="rId4"/>
    <sheet name="Summary" sheetId="5" r:id="rId5"/>
  </sheets>
  <externalReferences>
    <externalReference r:id="rId6"/>
  </externalReferences>
  <definedNames>
    <definedName name="AQTY">'[1]Bid Tab Schedule A'!$C:$C</definedName>
    <definedName name="ATotal1">'[1]Bid Tab Schedule A'!$F$19</definedName>
    <definedName name="ATotal2">'[1]Bid Tab Schedule A'!$H$19</definedName>
    <definedName name="ATotal3">'[1]Bid Tab Schedule A'!$J$19</definedName>
    <definedName name="ATotal4">'[1]Bid Tab Schedule A'!$L$19</definedName>
    <definedName name="ATotal5">'[1]Bid Tab Schedule A'!$N$19</definedName>
    <definedName name="ATotal6">'[1]Bid Tab Schedule A'!$P$19</definedName>
    <definedName name="ATotal7">'[1]Bid Tab Schedule A'!$R$19</definedName>
    <definedName name="ATotal8">'[1]Bid Tab Schedule A'!$T$19</definedName>
    <definedName name="ATotalEE">'[1]Bid Tab Schedule A'!$V$19</definedName>
    <definedName name="BQTY">'[1]Bid Tab Schedule B'!$C:$C</definedName>
    <definedName name="BTotal1" localSheetId="3">'Bid Tab Alternate A'!$F$25</definedName>
    <definedName name="BTotal2" localSheetId="3">'Bid Tab Alternate A'!$H$25</definedName>
    <definedName name="BTotal3" localSheetId="3">'Bid Tab Alternate A'!$J$25</definedName>
    <definedName name="BTotal4" localSheetId="3">'Bid Tab Alternate A'!$L$25</definedName>
    <definedName name="BTotal5" localSheetId="3">'Bid Tab Alternate A'!$N$25</definedName>
    <definedName name="BTotal6" localSheetId="3">'Bid Tab Alternate A'!$P$25</definedName>
    <definedName name="BTotal7" localSheetId="3">'Bid Tab Alternate A'!$R$25</definedName>
    <definedName name="BTotal8" localSheetId="3">'Bid Tab Alternate A'!$T$25</definedName>
    <definedName name="BTotalEE" localSheetId="3">'Bid Tab Alternate A'!$V$25</definedName>
    <definedName name="Contractor1" localSheetId="1">'[1]Bid Tab Schedule A'!$E$1</definedName>
    <definedName name="Contractor1" localSheetId="3">'[1]Bid Tab Schedule A'!$E$1</definedName>
    <definedName name="Contractor1">'Bid Tab Base Bid'!$E$1</definedName>
    <definedName name="Contractor2" localSheetId="1">'[1]Bid Tab Schedule A'!$G$1</definedName>
    <definedName name="Contractor2" localSheetId="3">'[1]Bid Tab Schedule A'!$G$1</definedName>
    <definedName name="Contractor2">'Bid Tab Base Bid'!$G$1</definedName>
    <definedName name="Contractor3" localSheetId="1">'[1]Bid Tab Schedule A'!$I$1</definedName>
    <definedName name="Contractor3" localSheetId="3">'[1]Bid Tab Schedule A'!$I$1</definedName>
    <definedName name="Contractor3">'Bid Tab Base Bid'!$I$1</definedName>
    <definedName name="Contractor3A">'Bid Tab Base Bid'!#REF!</definedName>
    <definedName name="Contractor4" localSheetId="1">'[1]Bid Tab Schedule A'!$K$1</definedName>
    <definedName name="Contractor4" localSheetId="3">'[1]Bid Tab Schedule A'!$K$1</definedName>
    <definedName name="Contractor4">'Bid Tab Base Bid'!$K$1</definedName>
    <definedName name="Contractor5" localSheetId="1">'[1]Bid Tab Schedule A'!$M$1</definedName>
    <definedName name="Contractor5" localSheetId="3">'[1]Bid Tab Schedule A'!$M$1</definedName>
    <definedName name="Contractor5">'Bid Tab Base Bid'!$M$1</definedName>
    <definedName name="Contractor6" localSheetId="1">'[1]Bid Tab Schedule A'!$O$1</definedName>
    <definedName name="Contractor6" localSheetId="3">'[1]Bid Tab Schedule A'!$O$1</definedName>
    <definedName name="Contractor6">'Bid Tab Base Bid'!$O$1</definedName>
    <definedName name="Contractor7" localSheetId="1">'[1]Bid Tab Schedule A'!$Q$1</definedName>
    <definedName name="Contractor7" localSheetId="3">'[1]Bid Tab Schedule A'!$Q$1</definedName>
    <definedName name="Contractor7">'Bid Tab Base Bid'!$Q$1</definedName>
    <definedName name="Contractor8" localSheetId="1">'[1]Bid Tab Schedule A'!$S$1</definedName>
    <definedName name="Contractor8" localSheetId="3">'[1]Bid Tab Schedule A'!$S$1</definedName>
    <definedName name="Contractor8">'Bid Tab Base Bid'!$S$1</definedName>
    <definedName name="EAN" localSheetId="1">'[1]Bid Tab Schedule A'!$A$4</definedName>
    <definedName name="EAN" localSheetId="3">'[1]Bid Tab Schedule A'!$A$4</definedName>
    <definedName name="EAN">'Bid Tab Base Bid'!$A$4</definedName>
    <definedName name="EngineerEstimate" localSheetId="1">'[1]Bid Tab Schedule A'!$U$1</definedName>
    <definedName name="EngineerEstimate" localSheetId="3">'[1]Bid Tab Schedule A'!$U$1</definedName>
    <definedName name="EngineerEstimate">'Bid Tab Base Bid'!$U$1</definedName>
    <definedName name="_xlnm.Print_Area" localSheetId="1">'Alternate A'!$A$14:$F$37</definedName>
    <definedName name="_xlnm.Print_Area" localSheetId="0">'Base Bid'!$A$14:$F$104</definedName>
    <definedName name="_xlnm.Print_Area" localSheetId="4">Summary!$A$1:$B$16</definedName>
    <definedName name="_xlnm.Print_Titles" localSheetId="1">'Alternate A'!$14:$19</definedName>
    <definedName name="_xlnm.Print_Titles" localSheetId="0">'Base Bid'!$14:$19</definedName>
    <definedName name="_xlnm.Print_Titles" localSheetId="3">'Bid Tab Alternate A'!$A:$D,'Bid Tab Alternate A'!$1:$7</definedName>
    <definedName name="_xlnm.Print_Titles" localSheetId="2">'Bid Tab Base Bid'!$A:$D,'Bid Tab Base Bid'!$1:$7</definedName>
    <definedName name="ProjectLocation" localSheetId="1">'[1]Bid Schedule A'!$A$15</definedName>
    <definedName name="ProjectLocation" localSheetId="3">'[1]Bid Schedule A'!$A$15</definedName>
    <definedName name="ProjectLocation">'Base Bid'!$A$15</definedName>
    <definedName name="ProjectTitle" localSheetId="1">'[1]Bid Schedule A'!$A$16</definedName>
    <definedName name="ProjectTitle" localSheetId="3">'[1]Bid Schedule A'!$A$16</definedName>
    <definedName name="ProjectTitle">'Base Bid'!$A$16</definedName>
    <definedName name="ProjectTitle2" localSheetId="1">'[1]Bid Schedule A'!$A$17</definedName>
    <definedName name="ProjectTitle2" localSheetId="3">'[1]Bid Schedule A'!$A$17</definedName>
    <definedName name="ProjectTitle2">'Base Bid'!$A$17</definedName>
    <definedName name="QTY">'Bid Tab Base Bid'!$C:$C</definedName>
    <definedName name="SolicitationNo" localSheetId="1">'[1]Bid Tab Schedule A'!$A$5</definedName>
    <definedName name="SolicitationNo" localSheetId="3">'[1]Bid Tab Schedule A'!$A$5</definedName>
    <definedName name="SolicitationNo">'Bid Tab Base Bid'!$A$5</definedName>
    <definedName name="Total1" localSheetId="1">'[1]Bid Tab Schedule B'!$F$20</definedName>
    <definedName name="Total1" localSheetId="3">'Bid Tab Alternate A'!$F$26</definedName>
    <definedName name="Total1">'Bid Tab Base Bid'!$F$92</definedName>
    <definedName name="Total2" localSheetId="1">'[1]Bid Tab Schedule B'!$H$20</definedName>
    <definedName name="Total2" localSheetId="3">'Bid Tab Alternate A'!$H$26</definedName>
    <definedName name="Total2">'Bid Tab Base Bid'!$H$92</definedName>
    <definedName name="Total3" localSheetId="1">'[1]Bid Tab Schedule B'!$J$20</definedName>
    <definedName name="Total3" localSheetId="3">'Bid Tab Alternate A'!$J$26</definedName>
    <definedName name="Total3">'Bid Tab Base Bid'!$J$92</definedName>
    <definedName name="Total3A">'Bid Tab Base Bid'!#REF!</definedName>
    <definedName name="Total4" localSheetId="1">'[1]Bid Tab Schedule B'!$L$20</definedName>
    <definedName name="Total4" localSheetId="3">'Bid Tab Alternate A'!$L$26</definedName>
    <definedName name="Total4">'Bid Tab Base Bid'!$L$92</definedName>
    <definedName name="Total5" localSheetId="1">'[1]Bid Tab Schedule B'!$N$20</definedName>
    <definedName name="Total5" localSheetId="3">'Bid Tab Alternate A'!$N$26</definedName>
    <definedName name="Total5">'Bid Tab Base Bid'!$N$92</definedName>
    <definedName name="Total6" localSheetId="1">'[1]Bid Tab Schedule B'!$P$20</definedName>
    <definedName name="Total6" localSheetId="3">'Bid Tab Alternate A'!$P$26</definedName>
    <definedName name="Total6">'Bid Tab Base Bid'!$P$92</definedName>
    <definedName name="Total7" localSheetId="1">'[1]Bid Tab Schedule B'!$R$20</definedName>
    <definedName name="Total7" localSheetId="3">'Bid Tab Alternate A'!$R$26</definedName>
    <definedName name="Total7">'Bid Tab Base Bid'!$R$92</definedName>
    <definedName name="Total8" localSheetId="1">'[1]Bid Tab Schedule B'!$T$20</definedName>
    <definedName name="Total8" localSheetId="3">'Bid Tab Alternate A'!$T$26</definedName>
    <definedName name="Total8">'Bid Tab Base Bid'!$T$92</definedName>
    <definedName name="TotalEE" localSheetId="1">'[1]Bid Tab Schedule B'!$V$20</definedName>
    <definedName name="TotalEE" localSheetId="3">'Bid Tab Alternate A'!$V$26</definedName>
    <definedName name="TotalEE">'Bid Tab Base Bid'!$V$92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2" l="1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D8" i="7" l="1"/>
  <c r="C8" i="7"/>
  <c r="B8" i="7"/>
  <c r="B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25" i="2"/>
  <c r="C25" i="2"/>
  <c r="D25" i="2"/>
  <c r="B26" i="2"/>
  <c r="C26" i="2"/>
  <c r="D26" i="2"/>
  <c r="B27" i="2"/>
  <c r="C27" i="2"/>
  <c r="D27" i="2"/>
  <c r="B28" i="2"/>
  <c r="C28" i="2"/>
  <c r="D28" i="2"/>
  <c r="B17" i="2"/>
  <c r="C17" i="2"/>
  <c r="D17" i="2"/>
  <c r="B18" i="2"/>
  <c r="C18" i="2"/>
  <c r="J18" i="7" s="1"/>
  <c r="D18" i="2"/>
  <c r="B19" i="2"/>
  <c r="C19" i="2"/>
  <c r="P19" i="7" s="1"/>
  <c r="D19" i="2"/>
  <c r="B20" i="2"/>
  <c r="C20" i="2"/>
  <c r="L20" i="7" s="1"/>
  <c r="D20" i="2"/>
  <c r="B21" i="2"/>
  <c r="C21" i="2"/>
  <c r="T21" i="7" s="1"/>
  <c r="D21" i="2"/>
  <c r="B22" i="2"/>
  <c r="C22" i="2"/>
  <c r="J22" i="7" s="1"/>
  <c r="D22" i="2"/>
  <c r="B23" i="2"/>
  <c r="C23" i="2"/>
  <c r="D23" i="2"/>
  <c r="B24" i="2"/>
  <c r="C24" i="2"/>
  <c r="D24" i="2"/>
  <c r="B13" i="2"/>
  <c r="C13" i="2"/>
  <c r="V13" i="7" s="1"/>
  <c r="D13" i="2"/>
  <c r="B14" i="2"/>
  <c r="C14" i="2"/>
  <c r="D14" i="2"/>
  <c r="B15" i="2"/>
  <c r="C15" i="2"/>
  <c r="V15" i="7" s="1"/>
  <c r="D15" i="2"/>
  <c r="B16" i="2"/>
  <c r="C16" i="2"/>
  <c r="D16" i="2"/>
  <c r="B10" i="2"/>
  <c r="C10" i="2"/>
  <c r="D10" i="2"/>
  <c r="B11" i="2"/>
  <c r="C11" i="2"/>
  <c r="D11" i="2"/>
  <c r="B12" i="2"/>
  <c r="C12" i="2"/>
  <c r="D12" i="2"/>
  <c r="B9" i="2"/>
  <c r="C9" i="2"/>
  <c r="D9" i="2"/>
  <c r="V9" i="7" l="1"/>
  <c r="T9" i="7"/>
  <c r="R9" i="7"/>
  <c r="P9" i="7"/>
  <c r="N9" i="7"/>
  <c r="L9" i="7"/>
  <c r="J9" i="7"/>
  <c r="H9" i="7"/>
  <c r="F9" i="7"/>
  <c r="V12" i="7"/>
  <c r="T12" i="7"/>
  <c r="R12" i="7"/>
  <c r="P12" i="7"/>
  <c r="N12" i="7"/>
  <c r="L12" i="7"/>
  <c r="J12" i="7"/>
  <c r="H12" i="7"/>
  <c r="F12" i="7"/>
  <c r="V11" i="7"/>
  <c r="T11" i="7"/>
  <c r="R11" i="7"/>
  <c r="P11" i="7"/>
  <c r="N11" i="7"/>
  <c r="L11" i="7"/>
  <c r="J11" i="7"/>
  <c r="H11" i="7"/>
  <c r="F11" i="7"/>
  <c r="V10" i="7"/>
  <c r="T10" i="7"/>
  <c r="R10" i="7"/>
  <c r="P10" i="7"/>
  <c r="N10" i="7"/>
  <c r="L10" i="7"/>
  <c r="J10" i="7"/>
  <c r="H10" i="7"/>
  <c r="F10" i="7"/>
  <c r="V16" i="7"/>
  <c r="T16" i="7"/>
  <c r="R16" i="7"/>
  <c r="P16" i="7"/>
  <c r="N16" i="7"/>
  <c r="L16" i="7"/>
  <c r="J16" i="7"/>
  <c r="H16" i="7"/>
  <c r="F16" i="7"/>
  <c r="V14" i="7"/>
  <c r="T14" i="7"/>
  <c r="P14" i="7"/>
  <c r="L14" i="7"/>
  <c r="H14" i="7"/>
  <c r="F24" i="7"/>
  <c r="V24" i="7"/>
  <c r="T24" i="7"/>
  <c r="R24" i="7"/>
  <c r="P24" i="7"/>
  <c r="N24" i="7"/>
  <c r="L24" i="7"/>
  <c r="J24" i="7"/>
  <c r="H24" i="7"/>
  <c r="F23" i="7"/>
  <c r="V23" i="7"/>
  <c r="T23" i="7"/>
  <c r="R23" i="7"/>
  <c r="P23" i="7"/>
  <c r="N23" i="7"/>
  <c r="L23" i="7"/>
  <c r="J23" i="7"/>
  <c r="H23" i="7"/>
  <c r="L17" i="7"/>
  <c r="V17" i="7"/>
  <c r="T17" i="7"/>
  <c r="R17" i="7"/>
  <c r="H17" i="7"/>
  <c r="F17" i="7"/>
  <c r="P22" i="7"/>
  <c r="R22" i="7"/>
  <c r="T22" i="7"/>
  <c r="F22" i="7"/>
  <c r="H22" i="7"/>
  <c r="L22" i="7"/>
  <c r="N22" i="7"/>
  <c r="V22" i="7"/>
  <c r="J21" i="7"/>
  <c r="L21" i="7"/>
  <c r="F21" i="7"/>
  <c r="N21" i="7"/>
  <c r="P21" i="7"/>
  <c r="V21" i="7"/>
  <c r="H21" i="7"/>
  <c r="R21" i="7"/>
  <c r="R20" i="7"/>
  <c r="F20" i="7"/>
  <c r="N20" i="7"/>
  <c r="V20" i="7"/>
  <c r="J20" i="7"/>
  <c r="P20" i="7"/>
  <c r="T20" i="7"/>
  <c r="H20" i="7"/>
  <c r="H19" i="7"/>
  <c r="J19" i="7"/>
  <c r="F19" i="7"/>
  <c r="N19" i="7"/>
  <c r="T19" i="7"/>
  <c r="V19" i="7"/>
  <c r="L19" i="7"/>
  <c r="R19" i="7"/>
  <c r="F18" i="7"/>
  <c r="N18" i="7"/>
  <c r="P18" i="7"/>
  <c r="R18" i="7"/>
  <c r="T18" i="7"/>
  <c r="H18" i="7"/>
  <c r="L18" i="7"/>
  <c r="V18" i="7"/>
  <c r="N17" i="7"/>
  <c r="P17" i="7"/>
  <c r="J17" i="7"/>
  <c r="F15" i="7"/>
  <c r="L15" i="7"/>
  <c r="H15" i="7"/>
  <c r="R15" i="7"/>
  <c r="N15" i="7"/>
  <c r="T15" i="7"/>
  <c r="J15" i="7"/>
  <c r="P15" i="7"/>
  <c r="F14" i="7"/>
  <c r="J14" i="7"/>
  <c r="N14" i="7"/>
  <c r="R14" i="7"/>
  <c r="L13" i="7"/>
  <c r="T13" i="7"/>
  <c r="H13" i="7"/>
  <c r="P13" i="7"/>
  <c r="J13" i="7"/>
  <c r="R13" i="7"/>
  <c r="F13" i="7"/>
  <c r="N13" i="7"/>
  <c r="B95" i="7"/>
  <c r="V86" i="2"/>
  <c r="P87" i="2"/>
  <c r="R88" i="2"/>
  <c r="T89" i="2"/>
  <c r="V90" i="2"/>
  <c r="A6" i="7"/>
  <c r="A3" i="7"/>
  <c r="U1" i="7"/>
  <c r="S1" i="7"/>
  <c r="Q1" i="7"/>
  <c r="O1" i="7"/>
  <c r="M1" i="7"/>
  <c r="K1" i="7"/>
  <c r="I1" i="7"/>
  <c r="G1" i="7"/>
  <c r="E1" i="7"/>
  <c r="A17" i="6"/>
  <c r="F89" i="2" l="1"/>
  <c r="J87" i="2"/>
  <c r="P90" i="2"/>
  <c r="T88" i="2"/>
  <c r="F88" i="2"/>
  <c r="H89" i="2"/>
  <c r="J90" i="2"/>
  <c r="J86" i="2"/>
  <c r="L87" i="2"/>
  <c r="N88" i="2"/>
  <c r="P89" i="2"/>
  <c r="R90" i="2"/>
  <c r="R86" i="2"/>
  <c r="T87" i="2"/>
  <c r="V88" i="2"/>
  <c r="H86" i="2"/>
  <c r="N89" i="2"/>
  <c r="P86" i="2"/>
  <c r="V89" i="2"/>
  <c r="F87" i="2"/>
  <c r="H88" i="2"/>
  <c r="J89" i="2"/>
  <c r="L90" i="2"/>
  <c r="L86" i="2"/>
  <c r="N87" i="2"/>
  <c r="P88" i="2"/>
  <c r="R89" i="2"/>
  <c r="T90" i="2"/>
  <c r="T86" i="2"/>
  <c r="V87" i="2"/>
  <c r="H90" i="2"/>
  <c r="L88" i="2"/>
  <c r="R87" i="2"/>
  <c r="F90" i="2"/>
  <c r="F86" i="2"/>
  <c r="H87" i="2"/>
  <c r="J88" i="2"/>
  <c r="L89" i="2"/>
  <c r="N90" i="2"/>
  <c r="N86" i="2"/>
  <c r="F17" i="2" l="1"/>
  <c r="H18" i="2"/>
  <c r="L19" i="2"/>
  <c r="L20" i="2"/>
  <c r="L21" i="2"/>
  <c r="L22" i="2"/>
  <c r="L23" i="2"/>
  <c r="F24" i="2"/>
  <c r="H25" i="2"/>
  <c r="L26" i="2"/>
  <c r="L27" i="2"/>
  <c r="L28" i="2"/>
  <c r="N29" i="2"/>
  <c r="F30" i="2"/>
  <c r="H32" i="2"/>
  <c r="H33" i="2"/>
  <c r="F34" i="2"/>
  <c r="L35" i="2"/>
  <c r="J36" i="2"/>
  <c r="H37" i="2"/>
  <c r="F38" i="2"/>
  <c r="H40" i="2"/>
  <c r="H41" i="2"/>
  <c r="F42" i="2"/>
  <c r="L43" i="2"/>
  <c r="J44" i="2"/>
  <c r="H45" i="2"/>
  <c r="L46" i="2"/>
  <c r="L47" i="2"/>
  <c r="J48" i="2"/>
  <c r="H49" i="2"/>
  <c r="L50" i="2"/>
  <c r="L51" i="2"/>
  <c r="F52" i="2"/>
  <c r="N53" i="2"/>
  <c r="L54" i="2"/>
  <c r="L55" i="2"/>
  <c r="H56" i="2"/>
  <c r="L57" i="2"/>
  <c r="L58" i="2"/>
  <c r="J59" i="2"/>
  <c r="F60" i="2"/>
  <c r="L61" i="2"/>
  <c r="F62" i="2"/>
  <c r="F63" i="2"/>
  <c r="L64" i="2"/>
  <c r="L65" i="2"/>
  <c r="F67" i="2"/>
  <c r="L68" i="2"/>
  <c r="F69" i="2"/>
  <c r="L70" i="2"/>
  <c r="F71" i="2"/>
  <c r="L72" i="2"/>
  <c r="L73" i="2"/>
  <c r="H74" i="2"/>
  <c r="J75" i="2"/>
  <c r="R76" i="2"/>
  <c r="F77" i="2"/>
  <c r="T79" i="2"/>
  <c r="H81" i="2"/>
  <c r="N82" i="2"/>
  <c r="F83" i="2"/>
  <c r="H84" i="2"/>
  <c r="L85" i="2"/>
  <c r="P26" i="2" l="1"/>
  <c r="J26" i="2"/>
  <c r="T42" i="2"/>
  <c r="P20" i="2"/>
  <c r="T37" i="2"/>
  <c r="P57" i="2"/>
  <c r="V21" i="2"/>
  <c r="R22" i="2"/>
  <c r="V18" i="2"/>
  <c r="R83" i="2"/>
  <c r="L37" i="2"/>
  <c r="P22" i="2"/>
  <c r="L18" i="2"/>
  <c r="V73" i="2"/>
  <c r="N42" i="2"/>
  <c r="J61" i="2"/>
  <c r="V42" i="2"/>
  <c r="V38" i="2"/>
  <c r="R26" i="2"/>
  <c r="F26" i="2"/>
  <c r="F22" i="2"/>
  <c r="P18" i="2"/>
  <c r="R44" i="2"/>
  <c r="R17" i="2"/>
  <c r="J73" i="2"/>
  <c r="L42" i="2"/>
  <c r="V26" i="2"/>
  <c r="H26" i="2"/>
  <c r="J22" i="2"/>
  <c r="J17" i="2"/>
  <c r="J83" i="2"/>
  <c r="P68" i="2"/>
  <c r="P38" i="2"/>
  <c r="R34" i="2"/>
  <c r="L24" i="2"/>
  <c r="N21" i="2"/>
  <c r="T18" i="2"/>
  <c r="F18" i="2"/>
  <c r="R82" i="2"/>
  <c r="N65" i="2"/>
  <c r="N38" i="2"/>
  <c r="L32" i="2"/>
  <c r="V22" i="2"/>
  <c r="H22" i="2"/>
  <c r="J21" i="2"/>
  <c r="R18" i="2"/>
  <c r="R62" i="2"/>
  <c r="R51" i="2"/>
  <c r="L40" i="2"/>
  <c r="T32" i="2"/>
  <c r="F32" i="2"/>
  <c r="J18" i="2"/>
  <c r="N37" i="2"/>
  <c r="R32" i="2"/>
  <c r="V55" i="2"/>
  <c r="J32" i="2"/>
  <c r="N22" i="2"/>
  <c r="P83" i="2"/>
  <c r="J65" i="2"/>
  <c r="L62" i="2"/>
  <c r="V40" i="2"/>
  <c r="L34" i="2"/>
  <c r="P17" i="2"/>
  <c r="T83" i="2"/>
  <c r="L83" i="2"/>
  <c r="V82" i="2"/>
  <c r="J81" i="2"/>
  <c r="R69" i="2"/>
  <c r="P65" i="2"/>
  <c r="T62" i="2"/>
  <c r="V61" i="2"/>
  <c r="J56" i="2"/>
  <c r="R52" i="2"/>
  <c r="R40" i="2"/>
  <c r="T34" i="2"/>
  <c r="V33" i="2"/>
  <c r="J30" i="2"/>
  <c r="R24" i="2"/>
  <c r="T17" i="2"/>
  <c r="L17" i="2"/>
  <c r="H83" i="2"/>
  <c r="L82" i="2"/>
  <c r="V65" i="2"/>
  <c r="T54" i="2"/>
  <c r="J40" i="2"/>
  <c r="J24" i="2"/>
  <c r="H17" i="2"/>
  <c r="V83" i="2"/>
  <c r="N83" i="2"/>
  <c r="F82" i="2"/>
  <c r="P72" i="2"/>
  <c r="R65" i="2"/>
  <c r="F65" i="2"/>
  <c r="J62" i="2"/>
  <c r="R56" i="2"/>
  <c r="R54" i="2"/>
  <c r="V45" i="2"/>
  <c r="T40" i="2"/>
  <c r="F40" i="2"/>
  <c r="V37" i="2"/>
  <c r="R35" i="2"/>
  <c r="J34" i="2"/>
  <c r="P32" i="2"/>
  <c r="R30" i="2"/>
  <c r="T24" i="2"/>
  <c r="H24" i="2"/>
  <c r="N18" i="2"/>
  <c r="V17" i="2"/>
  <c r="N17" i="2"/>
  <c r="V74" i="2"/>
  <c r="R77" i="2"/>
  <c r="L74" i="2"/>
  <c r="J72" i="2"/>
  <c r="H64" i="2"/>
  <c r="P62" i="2"/>
  <c r="H62" i="2"/>
  <c r="J60" i="2"/>
  <c r="H57" i="2"/>
  <c r="N55" i="2"/>
  <c r="P54" i="2"/>
  <c r="V49" i="2"/>
  <c r="N45" i="2"/>
  <c r="V41" i="2"/>
  <c r="T38" i="2"/>
  <c r="L38" i="2"/>
  <c r="R37" i="2"/>
  <c r="J37" i="2"/>
  <c r="N33" i="2"/>
  <c r="J27" i="2"/>
  <c r="N26" i="2"/>
  <c r="T25" i="2"/>
  <c r="P24" i="2"/>
  <c r="R21" i="2"/>
  <c r="H21" i="2"/>
  <c r="N84" i="2"/>
  <c r="H72" i="2"/>
  <c r="H65" i="2"/>
  <c r="V62" i="2"/>
  <c r="N62" i="2"/>
  <c r="J58" i="2"/>
  <c r="J55" i="2"/>
  <c r="H54" i="2"/>
  <c r="L49" i="2"/>
  <c r="L45" i="2"/>
  <c r="R38" i="2"/>
  <c r="J38" i="2"/>
  <c r="P37" i="2"/>
  <c r="F37" i="2"/>
  <c r="L33" i="2"/>
  <c r="L30" i="2"/>
  <c r="L25" i="2"/>
  <c r="P21" i="2"/>
  <c r="F21" i="2"/>
  <c r="N74" i="2"/>
  <c r="P64" i="2"/>
  <c r="J57" i="2"/>
  <c r="R27" i="2"/>
  <c r="V81" i="2"/>
  <c r="N81" i="2"/>
  <c r="F81" i="2"/>
  <c r="J77" i="2"/>
  <c r="T74" i="2"/>
  <c r="J74" i="2"/>
  <c r="P73" i="2"/>
  <c r="F73" i="2"/>
  <c r="J69" i="2"/>
  <c r="J67" i="2"/>
  <c r="R58" i="2"/>
  <c r="F58" i="2"/>
  <c r="V56" i="2"/>
  <c r="N56" i="2"/>
  <c r="F56" i="2"/>
  <c r="J52" i="2"/>
  <c r="F51" i="2"/>
  <c r="R49" i="2"/>
  <c r="F49" i="2"/>
  <c r="T45" i="2"/>
  <c r="J45" i="2"/>
  <c r="R43" i="2"/>
  <c r="R42" i="2"/>
  <c r="J42" i="2"/>
  <c r="L41" i="2"/>
  <c r="N40" i="2"/>
  <c r="J35" i="2"/>
  <c r="P34" i="2"/>
  <c r="H34" i="2"/>
  <c r="V32" i="2"/>
  <c r="N32" i="2"/>
  <c r="T30" i="2"/>
  <c r="V29" i="2"/>
  <c r="R25" i="2"/>
  <c r="F25" i="2"/>
  <c r="T22" i="2"/>
  <c r="J20" i="2"/>
  <c r="R84" i="2"/>
  <c r="T81" i="2"/>
  <c r="L81" i="2"/>
  <c r="T77" i="2"/>
  <c r="P76" i="2"/>
  <c r="R74" i="2"/>
  <c r="F74" i="2"/>
  <c r="N73" i="2"/>
  <c r="T69" i="2"/>
  <c r="R68" i="2"/>
  <c r="J64" i="2"/>
  <c r="N61" i="2"/>
  <c r="R60" i="2"/>
  <c r="P58" i="2"/>
  <c r="T56" i="2"/>
  <c r="L56" i="2"/>
  <c r="T52" i="2"/>
  <c r="V51" i="2"/>
  <c r="N49" i="2"/>
  <c r="J47" i="2"/>
  <c r="R45" i="2"/>
  <c r="F45" i="2"/>
  <c r="J43" i="2"/>
  <c r="P42" i="2"/>
  <c r="H42" i="2"/>
  <c r="V34" i="2"/>
  <c r="N34" i="2"/>
  <c r="P25" i="2"/>
  <c r="H20" i="2"/>
  <c r="R81" i="2"/>
  <c r="P81" i="2"/>
  <c r="L77" i="2"/>
  <c r="R73" i="2"/>
  <c r="H73" i="2"/>
  <c r="L69" i="2"/>
  <c r="R67" i="2"/>
  <c r="V58" i="2"/>
  <c r="H58" i="2"/>
  <c r="P56" i="2"/>
  <c r="L52" i="2"/>
  <c r="N51" i="2"/>
  <c r="T49" i="2"/>
  <c r="J49" i="2"/>
  <c r="N41" i="2"/>
  <c r="J25" i="2"/>
  <c r="H66" i="2"/>
  <c r="P66" i="2"/>
  <c r="L66" i="2"/>
  <c r="T66" i="2"/>
  <c r="F66" i="2"/>
  <c r="N66" i="2"/>
  <c r="V66" i="2"/>
  <c r="H78" i="2"/>
  <c r="J78" i="2"/>
  <c r="T78" i="2"/>
  <c r="N78" i="2"/>
  <c r="F78" i="2"/>
  <c r="R78" i="2"/>
  <c r="R66" i="2"/>
  <c r="V78" i="2"/>
  <c r="H70" i="2"/>
  <c r="J70" i="2"/>
  <c r="T70" i="2"/>
  <c r="N70" i="2"/>
  <c r="F70" i="2"/>
  <c r="R70" i="2"/>
  <c r="J66" i="2"/>
  <c r="F53" i="2"/>
  <c r="L53" i="2"/>
  <c r="V53" i="2"/>
  <c r="R53" i="2"/>
  <c r="J53" i="2"/>
  <c r="T53" i="2"/>
  <c r="F46" i="2"/>
  <c r="J46" i="2"/>
  <c r="T46" i="2"/>
  <c r="P46" i="2"/>
  <c r="H46" i="2"/>
  <c r="R46" i="2"/>
  <c r="T28" i="2"/>
  <c r="F85" i="2"/>
  <c r="J85" i="2"/>
  <c r="T85" i="2"/>
  <c r="P85" i="2"/>
  <c r="H85" i="2"/>
  <c r="R85" i="2"/>
  <c r="R80" i="2"/>
  <c r="P80" i="2"/>
  <c r="L78" i="2"/>
  <c r="V70" i="2"/>
  <c r="F50" i="2"/>
  <c r="J50" i="2"/>
  <c r="T50" i="2"/>
  <c r="P50" i="2"/>
  <c r="H50" i="2"/>
  <c r="R50" i="2"/>
  <c r="H44" i="2"/>
  <c r="P44" i="2"/>
  <c r="L44" i="2"/>
  <c r="T44" i="2"/>
  <c r="F44" i="2"/>
  <c r="N44" i="2"/>
  <c r="V44" i="2"/>
  <c r="L39" i="2"/>
  <c r="R39" i="2"/>
  <c r="J39" i="2"/>
  <c r="H29" i="2"/>
  <c r="J29" i="2"/>
  <c r="T29" i="2"/>
  <c r="P29" i="2"/>
  <c r="F29" i="2"/>
  <c r="R29" i="2"/>
  <c r="H59" i="2"/>
  <c r="P59" i="2"/>
  <c r="L59" i="2"/>
  <c r="T59" i="2"/>
  <c r="F59" i="2"/>
  <c r="N59" i="2"/>
  <c r="V59" i="2"/>
  <c r="H48" i="2"/>
  <c r="P48" i="2"/>
  <c r="L48" i="2"/>
  <c r="T48" i="2"/>
  <c r="F48" i="2"/>
  <c r="N48" i="2"/>
  <c r="V48" i="2"/>
  <c r="H36" i="2"/>
  <c r="P36" i="2"/>
  <c r="L36" i="2"/>
  <c r="T36" i="2"/>
  <c r="F36" i="2"/>
  <c r="N36" i="2"/>
  <c r="V36" i="2"/>
  <c r="R59" i="2"/>
  <c r="R48" i="2"/>
  <c r="R36" i="2"/>
  <c r="L31" i="2"/>
  <c r="R31" i="2"/>
  <c r="J31" i="2"/>
  <c r="F28" i="2"/>
  <c r="J28" i="2"/>
  <c r="R28" i="2"/>
  <c r="N28" i="2"/>
  <c r="V28" i="2"/>
  <c r="H28" i="2"/>
  <c r="P28" i="2"/>
  <c r="J84" i="2"/>
  <c r="P77" i="2"/>
  <c r="H77" i="2"/>
  <c r="T73" i="2"/>
  <c r="R72" i="2"/>
  <c r="R71" i="2"/>
  <c r="P69" i="2"/>
  <c r="H69" i="2"/>
  <c r="J68" i="2"/>
  <c r="R64" i="2"/>
  <c r="R63" i="2"/>
  <c r="R61" i="2"/>
  <c r="H61" i="2"/>
  <c r="N58" i="2"/>
  <c r="R57" i="2"/>
  <c r="R55" i="2"/>
  <c r="H55" i="2"/>
  <c r="P52" i="2"/>
  <c r="H52" i="2"/>
  <c r="T41" i="2"/>
  <c r="J41" i="2"/>
  <c r="T33" i="2"/>
  <c r="J33" i="2"/>
  <c r="P30" i="2"/>
  <c r="H30" i="2"/>
  <c r="T26" i="2"/>
  <c r="V25" i="2"/>
  <c r="N25" i="2"/>
  <c r="V24" i="2"/>
  <c r="N24" i="2"/>
  <c r="R23" i="2"/>
  <c r="T21" i="2"/>
  <c r="R20" i="2"/>
  <c r="R19" i="2"/>
  <c r="V84" i="2"/>
  <c r="F84" i="2"/>
  <c r="R79" i="2"/>
  <c r="V77" i="2"/>
  <c r="N77" i="2"/>
  <c r="J71" i="2"/>
  <c r="V69" i="2"/>
  <c r="N69" i="2"/>
  <c r="H68" i="2"/>
  <c r="J63" i="2"/>
  <c r="P61" i="2"/>
  <c r="F61" i="2"/>
  <c r="P55" i="2"/>
  <c r="F55" i="2"/>
  <c r="J54" i="2"/>
  <c r="V52" i="2"/>
  <c r="N52" i="2"/>
  <c r="J51" i="2"/>
  <c r="R47" i="2"/>
  <c r="R41" i="2"/>
  <c r="F41" i="2"/>
  <c r="P40" i="2"/>
  <c r="R33" i="2"/>
  <c r="F33" i="2"/>
  <c r="V30" i="2"/>
  <c r="N30" i="2"/>
  <c r="J23" i="2"/>
  <c r="J19" i="2"/>
  <c r="T84" i="2"/>
  <c r="L84" i="2"/>
  <c r="J80" i="2"/>
  <c r="L79" i="2"/>
  <c r="J76" i="2"/>
  <c r="H82" i="2"/>
  <c r="P82" i="2"/>
  <c r="V80" i="2"/>
  <c r="H80" i="2"/>
  <c r="J79" i="2"/>
  <c r="H76" i="2"/>
  <c r="F75" i="2"/>
  <c r="N75" i="2"/>
  <c r="V75" i="2"/>
  <c r="H75" i="2"/>
  <c r="P75" i="2"/>
  <c r="L75" i="2"/>
  <c r="T75" i="2"/>
  <c r="V85" i="2"/>
  <c r="N85" i="2"/>
  <c r="P84" i="2"/>
  <c r="T82" i="2"/>
  <c r="J82" i="2"/>
  <c r="R75" i="2"/>
  <c r="L80" i="2"/>
  <c r="T80" i="2"/>
  <c r="F80" i="2"/>
  <c r="N80" i="2"/>
  <c r="F79" i="2"/>
  <c r="N79" i="2"/>
  <c r="V79" i="2"/>
  <c r="H79" i="2"/>
  <c r="P79" i="2"/>
  <c r="L76" i="2"/>
  <c r="T76" i="2"/>
  <c r="F76" i="2"/>
  <c r="N76" i="2"/>
  <c r="V76" i="2"/>
  <c r="T71" i="2"/>
  <c r="L71" i="2"/>
  <c r="T67" i="2"/>
  <c r="L67" i="2"/>
  <c r="T63" i="2"/>
  <c r="L63" i="2"/>
  <c r="T60" i="2"/>
  <c r="L60" i="2"/>
  <c r="P51" i="2"/>
  <c r="H51" i="2"/>
  <c r="P47" i="2"/>
  <c r="H47" i="2"/>
  <c r="P43" i="2"/>
  <c r="H43" i="2"/>
  <c r="P39" i="2"/>
  <c r="H39" i="2"/>
  <c r="P35" i="2"/>
  <c r="H35" i="2"/>
  <c r="P31" i="2"/>
  <c r="H31" i="2"/>
  <c r="L29" i="2"/>
  <c r="P27" i="2"/>
  <c r="H27" i="2"/>
  <c r="P23" i="2"/>
  <c r="H23" i="2"/>
  <c r="V20" i="2"/>
  <c r="N20" i="2"/>
  <c r="F20" i="2"/>
  <c r="P19" i="2"/>
  <c r="H19" i="2"/>
  <c r="V47" i="2"/>
  <c r="N47" i="2"/>
  <c r="F47" i="2"/>
  <c r="V43" i="2"/>
  <c r="N43" i="2"/>
  <c r="F43" i="2"/>
  <c r="V39" i="2"/>
  <c r="N39" i="2"/>
  <c r="F39" i="2"/>
  <c r="H38" i="2"/>
  <c r="V35" i="2"/>
  <c r="N35" i="2"/>
  <c r="F35" i="2"/>
  <c r="V31" i="2"/>
  <c r="N31" i="2"/>
  <c r="F31" i="2"/>
  <c r="V27" i="2"/>
  <c r="N27" i="2"/>
  <c r="F27" i="2"/>
  <c r="V23" i="2"/>
  <c r="N23" i="2"/>
  <c r="F23" i="2"/>
  <c r="T20" i="2"/>
  <c r="V19" i="2"/>
  <c r="N19" i="2"/>
  <c r="F19" i="2"/>
  <c r="V72" i="2"/>
  <c r="N72" i="2"/>
  <c r="F72" i="2"/>
  <c r="P71" i="2"/>
  <c r="H71" i="2"/>
  <c r="V68" i="2"/>
  <c r="N68" i="2"/>
  <c r="F68" i="2"/>
  <c r="P67" i="2"/>
  <c r="H67" i="2"/>
  <c r="T65" i="2"/>
  <c r="V64" i="2"/>
  <c r="N64" i="2"/>
  <c r="F64" i="2"/>
  <c r="P63" i="2"/>
  <c r="H63" i="2"/>
  <c r="T61" i="2"/>
  <c r="P60" i="2"/>
  <c r="H60" i="2"/>
  <c r="T58" i="2"/>
  <c r="V57" i="2"/>
  <c r="N57" i="2"/>
  <c r="F57" i="2"/>
  <c r="T55" i="2"/>
  <c r="V54" i="2"/>
  <c r="N54" i="2"/>
  <c r="F54" i="2"/>
  <c r="P53" i="2"/>
  <c r="H53" i="2"/>
  <c r="T51" i="2"/>
  <c r="V50" i="2"/>
  <c r="N50" i="2"/>
  <c r="P49" i="2"/>
  <c r="T47" i="2"/>
  <c r="V46" i="2"/>
  <c r="N46" i="2"/>
  <c r="P45" i="2"/>
  <c r="T43" i="2"/>
  <c r="P41" i="2"/>
  <c r="T39" i="2"/>
  <c r="T35" i="2"/>
  <c r="P33" i="2"/>
  <c r="T31" i="2"/>
  <c r="T27" i="2"/>
  <c r="T23" i="2"/>
  <c r="T19" i="2"/>
  <c r="P78" i="2"/>
  <c r="P74" i="2"/>
  <c r="T72" i="2"/>
  <c r="V71" i="2"/>
  <c r="N71" i="2"/>
  <c r="P70" i="2"/>
  <c r="T68" i="2"/>
  <c r="V67" i="2"/>
  <c r="N67" i="2"/>
  <c r="T64" i="2"/>
  <c r="V63" i="2"/>
  <c r="N63" i="2"/>
  <c r="V60" i="2"/>
  <c r="N60" i="2"/>
  <c r="T57" i="2"/>
  <c r="A5" i="5"/>
  <c r="A4" i="5"/>
  <c r="A3" i="5"/>
  <c r="A2" i="5"/>
  <c r="A1" i="5"/>
  <c r="A3" i="2"/>
  <c r="A2" i="2"/>
  <c r="A1" i="2"/>
  <c r="L16" i="2" l="1"/>
  <c r="T16" i="2"/>
  <c r="N16" i="2"/>
  <c r="V16" i="2"/>
  <c r="P16" i="2"/>
  <c r="R16" i="2"/>
  <c r="P15" i="2"/>
  <c r="R15" i="2"/>
  <c r="L15" i="2"/>
  <c r="T15" i="2"/>
  <c r="N15" i="2"/>
  <c r="V15" i="2"/>
  <c r="L14" i="2"/>
  <c r="T14" i="2"/>
  <c r="N14" i="2"/>
  <c r="V14" i="2"/>
  <c r="P14" i="2"/>
  <c r="R14" i="2"/>
  <c r="P13" i="2"/>
  <c r="R13" i="2"/>
  <c r="L13" i="2"/>
  <c r="T13" i="2"/>
  <c r="N13" i="2"/>
  <c r="V13" i="2"/>
  <c r="J16" i="2"/>
  <c r="H16" i="2"/>
  <c r="F16" i="2"/>
  <c r="H15" i="2"/>
  <c r="J15" i="2"/>
  <c r="F15" i="2"/>
  <c r="F14" i="2"/>
  <c r="H14" i="2"/>
  <c r="J14" i="2"/>
  <c r="F13" i="2"/>
  <c r="H13" i="2"/>
  <c r="J13" i="2"/>
  <c r="A16" i="5"/>
  <c r="A15" i="5"/>
  <c r="A14" i="5"/>
  <c r="A13" i="5"/>
  <c r="A12" i="5"/>
  <c r="A11" i="5"/>
  <c r="A10" i="5"/>
  <c r="A9" i="5"/>
  <c r="A8" i="5"/>
  <c r="A6" i="5" l="1"/>
  <c r="D8" i="2"/>
  <c r="C8" i="2"/>
  <c r="A8" i="2"/>
  <c r="A6" i="2"/>
  <c r="V8" i="7" l="1"/>
  <c r="V25" i="7" s="1"/>
  <c r="V26" i="7" s="1"/>
  <c r="T8" i="7"/>
  <c r="T25" i="7" s="1"/>
  <c r="T26" i="7" s="1"/>
  <c r="R8" i="7"/>
  <c r="R25" i="7" s="1"/>
  <c r="R26" i="7" s="1"/>
  <c r="P8" i="7"/>
  <c r="P25" i="7" s="1"/>
  <c r="P26" i="7" s="1"/>
  <c r="N8" i="7"/>
  <c r="N25" i="7" s="1"/>
  <c r="N26" i="7" s="1"/>
  <c r="L8" i="7"/>
  <c r="L25" i="7" s="1"/>
  <c r="L26" i="7" s="1"/>
  <c r="J8" i="7"/>
  <c r="J25" i="7" s="1"/>
  <c r="J26" i="7" s="1"/>
  <c r="H8" i="7"/>
  <c r="H25" i="7" s="1"/>
  <c r="H26" i="7" s="1"/>
  <c r="F8" i="7"/>
  <c r="F25" i="7" s="1"/>
  <c r="F26" i="7" s="1"/>
  <c r="P9" i="2"/>
  <c r="R9" i="2"/>
  <c r="L9" i="2"/>
  <c r="T9" i="2"/>
  <c r="N9" i="2"/>
  <c r="V9" i="2"/>
  <c r="L12" i="2"/>
  <c r="T12" i="2"/>
  <c r="N12" i="2"/>
  <c r="V12" i="2"/>
  <c r="P12" i="2"/>
  <c r="R12" i="2"/>
  <c r="P11" i="2"/>
  <c r="R11" i="2"/>
  <c r="L11" i="2"/>
  <c r="T11" i="2"/>
  <c r="N11" i="2"/>
  <c r="V11" i="2"/>
  <c r="L10" i="2"/>
  <c r="T10" i="2"/>
  <c r="N10" i="2"/>
  <c r="V10" i="2"/>
  <c r="P10" i="2"/>
  <c r="R10" i="2"/>
  <c r="L8" i="2"/>
  <c r="L92" i="2" s="1"/>
  <c r="T8" i="2"/>
  <c r="T92" i="2" s="1"/>
  <c r="N8" i="2"/>
  <c r="N92" i="2" s="1"/>
  <c r="V8" i="2"/>
  <c r="V92" i="2" s="1"/>
  <c r="P8" i="2"/>
  <c r="P92" i="2" s="1"/>
  <c r="R8" i="2"/>
  <c r="R92" i="2" s="1"/>
  <c r="J8" i="2"/>
  <c r="F8" i="2"/>
  <c r="H8" i="2"/>
  <c r="J12" i="2"/>
  <c r="H12" i="2"/>
  <c r="F12" i="2"/>
  <c r="J11" i="2"/>
  <c r="H11" i="2"/>
  <c r="F11" i="2"/>
  <c r="F10" i="2"/>
  <c r="H10" i="2"/>
  <c r="J10" i="2"/>
  <c r="J9" i="2"/>
  <c r="H9" i="2"/>
  <c r="F9" i="2"/>
  <c r="H92" i="2" l="1"/>
  <c r="F92" i="2"/>
  <c r="J92" i="2"/>
  <c r="B16" i="5"/>
  <c r="B14" i="5"/>
  <c r="B13" i="5"/>
  <c r="B11" i="5"/>
  <c r="B9" i="5"/>
  <c r="B8" i="5"/>
  <c r="B10" i="5"/>
  <c r="B12" i="5"/>
  <c r="B15" i="5"/>
</calcChain>
</file>

<file path=xl/sharedStrings.xml><?xml version="1.0" encoding="utf-8"?>
<sst xmlns="http://schemas.openxmlformats.org/spreadsheetml/2006/main" count="432" uniqueCount="212">
  <si>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</si>
  <si>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</si>
  <si>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</si>
  <si>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</si>
  <si>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</si>
  <si>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</si>
  <si>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</si>
  <si>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</si>
  <si>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</si>
  <si>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</si>
  <si>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</si>
  <si>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</si>
  <si>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</si>
  <si>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</si>
  <si>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TAXIWAY K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</si>
  <si>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</si>
  <si>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</si>
  <si>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</si>
  <si>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</si>
  <si>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</si>
  <si>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</si>
  <si>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</si>
  <si>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Cleanup, and Demobilization
(Section 012200)</t>
  </si>
  <si>
    <t>0002</t>
  </si>
  <si>
    <t>Sweeper
(Section 012200)</t>
  </si>
  <si>
    <t>0003</t>
  </si>
  <si>
    <t>Security Control Monitoring
(Section 012200)</t>
  </si>
  <si>
    <t>0004</t>
  </si>
  <si>
    <t>Work Zone and Traffic Control
(Section 012200)</t>
  </si>
  <si>
    <t>0005</t>
  </si>
  <si>
    <t>Escort
(Section 012200)</t>
  </si>
  <si>
    <t>0006</t>
  </si>
  <si>
    <t>Jet Blast Control Material
(Section 015713)</t>
  </si>
  <si>
    <t>0007</t>
  </si>
  <si>
    <t>Inlet Protection
(Section 015713)</t>
  </si>
  <si>
    <t>0008</t>
  </si>
  <si>
    <t>Trench Protection
(Section 015713)</t>
  </si>
  <si>
    <t>0009</t>
  </si>
  <si>
    <t>Construction Survey
(Item GP-50)</t>
  </si>
  <si>
    <t>0010</t>
  </si>
  <si>
    <t>PCC Pavement Removal - 3-Inch Depth
(Item P-101)</t>
  </si>
  <si>
    <t>0011</t>
  </si>
  <si>
    <t>PCC Pavement Removal - 4-Inch Depth
(Item P-101)</t>
  </si>
  <si>
    <t>0012</t>
  </si>
  <si>
    <t>PCC Pavement Removal - 16-Inch Depth
(Item P-101)</t>
  </si>
  <si>
    <t>0013</t>
  </si>
  <si>
    <t>Asphalt Pavement Removal - 3-Inch Depth
(Item P-101)</t>
  </si>
  <si>
    <t>0014</t>
  </si>
  <si>
    <t>Asphalt Pavement Removal - 6-Inch Depth
(Item P-101)</t>
  </si>
  <si>
    <t>0015</t>
  </si>
  <si>
    <t>Asphalt Pavement Removal - 9-Inch Depth
(Item P-101)</t>
  </si>
  <si>
    <t>0016</t>
  </si>
  <si>
    <t>Asphalt Pavement Removal - 12-Inch Depth
(Item P-101)</t>
  </si>
  <si>
    <t>0017</t>
  </si>
  <si>
    <t>Asphalt Pavement Removal - 15-Inch Depth
(Item P-101)</t>
  </si>
  <si>
    <t>0018</t>
  </si>
  <si>
    <t>Joint and Crack Repair
(Item P-101)</t>
  </si>
  <si>
    <t>0019</t>
  </si>
  <si>
    <t>Cold Milling - 3-Inch Maximum Depth
(Item P-101)</t>
  </si>
  <si>
    <t>0020</t>
  </si>
  <si>
    <t>Unclassified Excavation
(Item P-152)</t>
  </si>
  <si>
    <t>0021</t>
  </si>
  <si>
    <t>Unsuitable Excavation
(Item P-152)</t>
  </si>
  <si>
    <t>0022</t>
  </si>
  <si>
    <t>Geotextile
(Item P-152)</t>
  </si>
  <si>
    <t>0023</t>
  </si>
  <si>
    <t>Controlled Low-Strength Material
(Item P-153)</t>
  </si>
  <si>
    <t>0024</t>
  </si>
  <si>
    <t>Subbase Course
(Item P-154)</t>
  </si>
  <si>
    <t>0025</t>
  </si>
  <si>
    <t>Installation and Removal of Silt Fence
(Item P-156)</t>
  </si>
  <si>
    <t>0026</t>
  </si>
  <si>
    <t>Crushed Aggregate Base Course
(Item P-209)</t>
  </si>
  <si>
    <t>0027</t>
  </si>
  <si>
    <t>Bituminous Surface Course
(Item P-401)</t>
  </si>
  <si>
    <t>0028</t>
  </si>
  <si>
    <t>HMA Base Course
(Item P-403)</t>
  </si>
  <si>
    <t>0029</t>
  </si>
  <si>
    <t>Portland Cement Concrete Pavement
(Item P-501)</t>
  </si>
  <si>
    <t>0030</t>
  </si>
  <si>
    <t>Bituminous Prime Coat
(Item P-602)</t>
  </si>
  <si>
    <t>0031</t>
  </si>
  <si>
    <t>Bituminous Tack Coat
(Item P-603)</t>
  </si>
  <si>
    <t>0032</t>
  </si>
  <si>
    <t>Compression Joint Seals for Concrete Pavement
(Item P-604)</t>
  </si>
  <si>
    <t>0033</t>
  </si>
  <si>
    <t>Joint Sealing Filler
(Item P-605)</t>
  </si>
  <si>
    <t>0034</t>
  </si>
  <si>
    <t>Adhesive Compound
(Item P-606)</t>
  </si>
  <si>
    <t>0035</t>
  </si>
  <si>
    <t>Structural Portland Cement Concrete
(Item P-610)</t>
  </si>
  <si>
    <t>0036</t>
  </si>
  <si>
    <t>Steel Reinforcement
(Item P-610)</t>
  </si>
  <si>
    <t>0037</t>
  </si>
  <si>
    <t>Runway and Taxiway Marking
(Item P-620)</t>
  </si>
  <si>
    <t>0038</t>
  </si>
  <si>
    <t>Reflective Media
(Item P-620)</t>
  </si>
  <si>
    <t>0039</t>
  </si>
  <si>
    <t>Preformed Markings
(Item P-620)</t>
  </si>
  <si>
    <t>0040</t>
  </si>
  <si>
    <t>Phasing Pavement Marking
(Item P-620)</t>
  </si>
  <si>
    <t>0041</t>
  </si>
  <si>
    <t>4-Inch STS Pipe
(Item D-701)</t>
  </si>
  <si>
    <t>0042</t>
  </si>
  <si>
    <t>6-Inch STS Pipe
(Item D-701)</t>
  </si>
  <si>
    <t>0043</t>
  </si>
  <si>
    <t>12-Inch STS Pipe
(Item D-701)</t>
  </si>
  <si>
    <t>0044</t>
  </si>
  <si>
    <t>24-Inch STS Pipe
(Item D-701)</t>
  </si>
  <si>
    <t>0045</t>
  </si>
  <si>
    <t>30-Inch STS Pipe
(Item D-701)</t>
  </si>
  <si>
    <t>0046</t>
  </si>
  <si>
    <t>48-Inch STS Pipe
(Item D-701)</t>
  </si>
  <si>
    <t>0047</t>
  </si>
  <si>
    <t>6-Inch Perforated Pipe
(Item D-705)</t>
  </si>
  <si>
    <t>0048</t>
  </si>
  <si>
    <t>48-Inch Diameter Manhole, Type A
(Item D-751)</t>
  </si>
  <si>
    <t>0049</t>
  </si>
  <si>
    <t>72-Inch Diameter Manhole, Type A
(Item D-751)</t>
  </si>
  <si>
    <t>0050</t>
  </si>
  <si>
    <t>84-Inch Diameter Manhole, Type A
(Item D-751)</t>
  </si>
  <si>
    <t>0051</t>
  </si>
  <si>
    <t>96-Inch Diameter Manhole, Type A
(Item D-751)</t>
  </si>
  <si>
    <t>0052</t>
  </si>
  <si>
    <t>Catch Basins
(Item D-751)</t>
  </si>
  <si>
    <t>0053</t>
  </si>
  <si>
    <t>Seeding
(Item T-901)</t>
  </si>
  <si>
    <t>0054</t>
  </si>
  <si>
    <t>Topsoiling
(Item T-905)</t>
  </si>
  <si>
    <t>0055</t>
  </si>
  <si>
    <t>Removal of Existing Storm Pipe, Manholes, and Inlets
(Section 312300)</t>
  </si>
  <si>
    <t>0056</t>
  </si>
  <si>
    <t>Connection to Existing Storm Drainage System
(Section 312300)</t>
  </si>
  <si>
    <t>0057</t>
  </si>
  <si>
    <t>Existing Manhole Adjustment to Grade
(Section 312300)</t>
  </si>
  <si>
    <t>0058</t>
  </si>
  <si>
    <t>Existing Electrical Vault (H-20 Rated) Extension to Finish Grade 
(Section 312300)</t>
  </si>
  <si>
    <t>0059</t>
  </si>
  <si>
    <t>Sanitary Sewer Wet Well Removal
(Section 312300)</t>
  </si>
  <si>
    <t>0060</t>
  </si>
  <si>
    <t>No. 8 AWG, 5 kV, L-824, Type C Cable Installed in Trench, Duct Bank or Conduit
(Item L-108)</t>
  </si>
  <si>
    <t>0061</t>
  </si>
  <si>
    <t xml:space="preserve">No. 6 AWG, Solid, Bare Counterpoise Wire
(Item L-108) </t>
  </si>
  <si>
    <t>0062</t>
  </si>
  <si>
    <t xml:space="preserve">Counterpoise Ground Rod, 10-Foot Long
(Item L-108) </t>
  </si>
  <si>
    <t>0063</t>
  </si>
  <si>
    <t xml:space="preserve">2-Inch PVC
(Item L-110) </t>
  </si>
  <si>
    <t>0064</t>
  </si>
  <si>
    <t xml:space="preserve">2-Inch GRSC
(Item L-110) </t>
  </si>
  <si>
    <t>0065</t>
  </si>
  <si>
    <t xml:space="preserve">1 1/2-Inch GRSC
(Item L-110) </t>
  </si>
  <si>
    <t>0066</t>
  </si>
  <si>
    <t>General Electrical Removal
(Section 260500)</t>
  </si>
  <si>
    <t>0067</t>
  </si>
  <si>
    <t>Temporary Circuit Connection
(Section 260500)</t>
  </si>
  <si>
    <t>0068</t>
  </si>
  <si>
    <t>Reinstall Elevated Taxiway Edge Light w/ PF Base Can, PF Extension, PF Flange Ring, and CF Transformer in New AC 
(Section 344300)</t>
  </si>
  <si>
    <t>0069</t>
  </si>
  <si>
    <t>Reinstall Elevated Taxiway Edge Light w/ PF Base Can, PF Extension, PF Flange Ring, and CF Transformer in Existing AC 
(Section 344300)</t>
  </si>
  <si>
    <t>0070</t>
  </si>
  <si>
    <t>Reinstall LED Taxiway Centerline Light w/ PF Base Can, PF Extension, PF Flange Ring, and CF Transformer in New AC
(Section 344300)</t>
  </si>
  <si>
    <t>0071</t>
  </si>
  <si>
    <t>Install PF In-Pavement Taxiway Edge Light on PF Base Can, PF Extension, PF Flange Ring, and CF Transformer in New AC
(Section 344300)</t>
  </si>
  <si>
    <t>0072</t>
  </si>
  <si>
    <t>Reinstall Taxiway Edge Light on Existing Base Can with Existing Isolation Transformer (Section 344300)</t>
  </si>
  <si>
    <t>0073</t>
  </si>
  <si>
    <t>Reinstall Taxiway Centerline Light on Existing Base Can w/ Existing Transformer in Existing AC (Section 344300)</t>
  </si>
  <si>
    <t>0074</t>
  </si>
  <si>
    <t>Reinstall Taxiway Centerline Light on Existing Base Can w/ PF Extension, PF Flange Ring, and Existing Transformer in New AC (Section 344300)</t>
  </si>
  <si>
    <t>0075</t>
  </si>
  <si>
    <t>Sign V-2
(Section 344302)</t>
  </si>
  <si>
    <t>0076</t>
  </si>
  <si>
    <t>Sign V-4
(Section 344302)</t>
  </si>
  <si>
    <t>0077</t>
  </si>
  <si>
    <t>Sign V-6
(Section 344302)</t>
  </si>
  <si>
    <t>0078</t>
  </si>
  <si>
    <t>Sign A4-6
(Section 344302)</t>
  </si>
  <si>
    <t>0079</t>
  </si>
  <si>
    <t>Sign A4-7
(Section 344302)</t>
  </si>
  <si>
    <t>0080</t>
  </si>
  <si>
    <t>Sign A4-9
(Section 344302)</t>
  </si>
  <si>
    <t>0081</t>
  </si>
  <si>
    <t>Sign A5-3
(Section 344302)</t>
  </si>
  <si>
    <t>0082</t>
  </si>
  <si>
    <t>Sign A5-4
(Section 344302)</t>
  </si>
  <si>
    <t>0083</t>
  </si>
  <si>
    <t>Sign V-5
(Section 344302)</t>
  </si>
  <si>
    <t>0084</t>
  </si>
  <si>
    <t>Sign A4-13
(Section 344302)</t>
  </si>
  <si>
    <t>Total Amount Bid (Basis of Award)</t>
  </si>
  <si>
    <t>$___________</t>
  </si>
  <si>
    <t>Contaminated Material Excavation and Disposal
(Section 026100)</t>
  </si>
  <si>
    <t>Modifications to Existing Pump Station A and Deicing Valve Vault
(Section 312300)</t>
  </si>
  <si>
    <t>3-Inch Diameter Brass Marker
(Section 260553)</t>
  </si>
  <si>
    <t>Total Amount Bid Additive Alternate A</t>
  </si>
  <si>
    <t>Name of Contractor 1</t>
  </si>
  <si>
    <t>Name of Contractor 2</t>
  </si>
  <si>
    <t>Name of Contractor 3</t>
  </si>
  <si>
    <t>Name of Contractor 4</t>
  </si>
  <si>
    <t>Name of Contractor 5</t>
  </si>
  <si>
    <t>Name of Contractor 6</t>
  </si>
  <si>
    <t>Name of Contractor 7</t>
  </si>
  <si>
    <t>Name of Contractor 8</t>
  </si>
  <si>
    <t>Engineer's Estimate</t>
  </si>
  <si>
    <t>EAN 2017D013</t>
  </si>
  <si>
    <t>Solicitation No. 2018-7876</t>
  </si>
  <si>
    <t>Total Amount Bid Schedule A</t>
  </si>
  <si>
    <t>Total Amount Bid Alternate A</t>
  </si>
  <si>
    <t>Total Amount Base Bid and Alternate A</t>
  </si>
  <si>
    <t>Bidder</t>
  </si>
  <si>
    <t>*Non-responsive to the small business requirements of this solicitation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</si>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</sst>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5" xfId="0" applyNumberFormat="1" applyFont="1" applyBorder="1"/>
    <xf numFmtId="165" fontId="3" fillId="0" borderId="5" xfId="0" applyNumberFormat="1" applyFont="1" applyBorder="1" applyAlignment="1">
      <alignment horizontal="left"/>
    </xf>
    <xf numFmtId="165" fontId="7" fillId="0" borderId="5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wrapText="1"/>
    </xf>
    <xf numFmtId="165" fontId="3" fillId="0" borderId="5" xfId="0" applyNumberFormat="1" applyFont="1" applyBorder="1" applyAlignment="1">
      <alignment horizontal="left" wrapText="1"/>
    </xf>
    <xf numFmtId="0" fontId="2" fillId="2" borderId="1" xfId="0" applyNumberFormat="1" applyFont="1" applyFill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dTab%20-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Schedule A"/>
      <sheetName val="Bid Schedule B"/>
      <sheetName val="Bid Tab Schedule A"/>
      <sheetName val="Bid Tab Schedule B"/>
      <sheetName val="Summary"/>
    </sheetNames>
    <sheetDataSet>
      <sheetData sheetId="0" refreshError="1">
        <row r="15">
          <cell r="A15" t="str">
            <v>PROJECT LOCATION</v>
          </cell>
        </row>
        <row r="16">
          <cell r="A16" t="str">
            <v>PROJECT TITLE</v>
          </cell>
        </row>
      </sheetData>
      <sheetData sheetId="1" refreshError="1"/>
      <sheetData sheetId="2" refreshError="1">
        <row r="1">
          <cell r="E1" t="str">
            <v>Name of Contractor 1</v>
          </cell>
          <cell r="G1" t="str">
            <v>Name of Contractor 2</v>
          </cell>
          <cell r="I1" t="str">
            <v>Name of Contractor 3</v>
          </cell>
          <cell r="K1" t="str">
            <v>Name of Contractor 4</v>
          </cell>
          <cell r="M1" t="str">
            <v>Name of Contractor 5</v>
          </cell>
          <cell r="O1" t="str">
            <v>Name of Contractor 6</v>
          </cell>
          <cell r="Q1" t="str">
            <v>Name of Contractor 7</v>
          </cell>
          <cell r="S1" t="str">
            <v>Name of Contractor 8</v>
          </cell>
          <cell r="U1" t="str">
            <v>Engineer's Estimate</v>
          </cell>
        </row>
        <row r="4">
          <cell r="A4" t="str">
            <v>EAN _____</v>
          </cell>
        </row>
        <row r="5">
          <cell r="A5" t="str">
            <v>Solicitation No. ______</v>
          </cell>
        </row>
        <row r="7">
          <cell r="C7" t="str">
            <v>Estimated Quantity</v>
          </cell>
        </row>
        <row r="8">
          <cell r="C8">
            <v>1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</sheetData>
      <sheetData sheetId="3" refreshError="1">
        <row r="7">
          <cell r="C7" t="str">
            <v>Estimated Quantity</v>
          </cell>
        </row>
        <row r="8">
          <cell r="C8">
            <v>1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104"/>
  <sheetViews>
    <sheetView view="pageLayout" topLeftCell="A91" zoomScaleNormal="100" zoomScaleSheetLayoutView="100" workbookViewId="0">
      <selection activeCell="B94" sqref="B94"/>
    </sheetView>
  </sheetViews>
  <sheetFormatPr defaultRowHeight="15"/>
  <cols>
    <col min="1" max="1" width="6.5703125" customWidth="1"/>
    <col min="2" max="2" width="36.7109375" customWidth="1"/>
    <col min="3" max="3" width="10.7109375" style="28" customWidth="1"/>
    <col min="4" max="4" width="8.28515625" customWidth="1"/>
    <col min="5" max="6" width="13.28515625" style="32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2" t="s">
        <v>2</v>
      </c>
    </row>
    <row r="4" spans="1:6" hidden="1">
      <c r="A4" s="2" t="s">
        <v>3</v>
      </c>
    </row>
    <row r="5" spans="1:6" hidden="1">
      <c r="A5" s="2" t="s">
        <v>4</v>
      </c>
    </row>
    <row r="6" spans="1:6" hidden="1">
      <c r="A6" s="2" t="s">
        <v>5</v>
      </c>
    </row>
    <row r="7" spans="1:6" hidden="1">
      <c r="A7" s="2" t="s">
        <v>6</v>
      </c>
    </row>
    <row r="8" spans="1:6" hidden="1">
      <c r="A8" s="2" t="s">
        <v>7</v>
      </c>
    </row>
    <row r="9" spans="1:6" hidden="1">
      <c r="A9" s="1" t="s">
        <v>8</v>
      </c>
    </row>
    <row r="10" spans="1:6" hidden="1">
      <c r="A10" s="2" t="s">
        <v>9</v>
      </c>
    </row>
    <row r="11" spans="1:6" hidden="1">
      <c r="A11" s="2" t="s">
        <v>10</v>
      </c>
    </row>
    <row r="12" spans="1:6" hidden="1">
      <c r="A12" s="2" t="s">
        <v>11</v>
      </c>
    </row>
    <row r="13" spans="1:6" hidden="1">
      <c r="A13" s="2" t="s">
        <v>12</v>
      </c>
    </row>
    <row r="14" spans="1:6">
      <c r="A14" s="66"/>
      <c r="B14" s="66"/>
      <c r="C14" s="66"/>
      <c r="D14" s="66"/>
      <c r="E14" s="60"/>
      <c r="F14" s="60"/>
    </row>
    <row r="15" spans="1:6">
      <c r="A15" s="63" t="s">
        <v>13</v>
      </c>
      <c r="B15" s="63"/>
      <c r="C15" s="63"/>
      <c r="D15" s="63"/>
      <c r="E15" s="61"/>
      <c r="F15" s="61"/>
    </row>
    <row r="16" spans="1:6">
      <c r="A16" s="63" t="s">
        <v>14</v>
      </c>
      <c r="B16" s="63"/>
      <c r="C16" s="63"/>
      <c r="D16" s="63"/>
      <c r="E16" s="61"/>
      <c r="F16" s="61"/>
    </row>
    <row r="17" spans="1:6">
      <c r="A17" s="64"/>
      <c r="B17" s="64"/>
      <c r="C17" s="64"/>
      <c r="D17" s="64"/>
      <c r="E17" s="61"/>
      <c r="F17" s="61"/>
    </row>
    <row r="18" spans="1:6">
      <c r="A18" s="65"/>
      <c r="B18" s="65"/>
      <c r="C18" s="65"/>
      <c r="D18" s="65"/>
      <c r="E18" s="62"/>
      <c r="F18" s="62"/>
    </row>
    <row r="19" spans="1:6" s="3" customFormat="1" ht="24" customHeight="1">
      <c r="A19" s="4" t="s">
        <v>15</v>
      </c>
      <c r="B19" s="4" t="s">
        <v>16</v>
      </c>
      <c r="C19" s="29" t="s">
        <v>17</v>
      </c>
      <c r="D19" s="4" t="s">
        <v>18</v>
      </c>
      <c r="E19" s="33" t="s">
        <v>19</v>
      </c>
      <c r="F19" s="33" t="s">
        <v>20</v>
      </c>
    </row>
    <row r="20" spans="1:6" ht="40.5" customHeight="1">
      <c r="A20" s="5" t="s">
        <v>21</v>
      </c>
      <c r="B20" s="50" t="s">
        <v>22</v>
      </c>
      <c r="C20" s="55">
        <v>1</v>
      </c>
      <c r="D20" s="6" t="s">
        <v>8</v>
      </c>
      <c r="E20" s="34"/>
      <c r="F20" s="34"/>
    </row>
    <row r="21" spans="1:6" ht="40.5" customHeight="1">
      <c r="A21" s="5" t="s">
        <v>23</v>
      </c>
      <c r="B21" s="50" t="s">
        <v>24</v>
      </c>
      <c r="C21" s="55">
        <v>1</v>
      </c>
      <c r="D21" s="6" t="s">
        <v>8</v>
      </c>
      <c r="E21" s="34"/>
      <c r="F21" s="34"/>
    </row>
    <row r="22" spans="1:6" ht="40.5" customHeight="1">
      <c r="A22" s="5" t="s">
        <v>25</v>
      </c>
      <c r="B22" s="51" t="s">
        <v>26</v>
      </c>
      <c r="C22" s="55">
        <v>1</v>
      </c>
      <c r="D22" s="6" t="s">
        <v>8</v>
      </c>
      <c r="E22" s="34"/>
      <c r="F22" s="34"/>
    </row>
    <row r="23" spans="1:6" ht="40.5" customHeight="1">
      <c r="A23" s="5" t="s">
        <v>27</v>
      </c>
      <c r="B23" s="51" t="s">
        <v>28</v>
      </c>
      <c r="C23" s="55">
        <v>1</v>
      </c>
      <c r="D23" s="6" t="s">
        <v>8</v>
      </c>
      <c r="E23" s="34"/>
      <c r="F23" s="34"/>
    </row>
    <row r="24" spans="1:6" ht="40.5" customHeight="1">
      <c r="A24" s="5" t="s">
        <v>29</v>
      </c>
      <c r="B24" s="51" t="s">
        <v>30</v>
      </c>
      <c r="C24" s="55">
        <v>1</v>
      </c>
      <c r="D24" s="6" t="s">
        <v>8</v>
      </c>
      <c r="E24" s="34"/>
      <c r="F24" s="34"/>
    </row>
    <row r="25" spans="1:6" ht="40.5" customHeight="1">
      <c r="A25" s="5" t="s">
        <v>31</v>
      </c>
      <c r="B25" s="51" t="s">
        <v>32</v>
      </c>
      <c r="C25" s="55">
        <v>1.4</v>
      </c>
      <c r="D25" s="6" t="s">
        <v>0</v>
      </c>
      <c r="E25" s="34"/>
      <c r="F25" s="34"/>
    </row>
    <row r="26" spans="1:6" ht="40.5" customHeight="1">
      <c r="A26" s="5" t="s">
        <v>33</v>
      </c>
      <c r="B26" s="51" t="s">
        <v>34</v>
      </c>
      <c r="C26" s="55">
        <v>35</v>
      </c>
      <c r="D26" s="6" t="s">
        <v>2</v>
      </c>
      <c r="E26" s="34"/>
      <c r="F26" s="34"/>
    </row>
    <row r="27" spans="1:6" ht="40.5" customHeight="1">
      <c r="A27" s="5" t="s">
        <v>35</v>
      </c>
      <c r="B27" s="51" t="s">
        <v>36</v>
      </c>
      <c r="C27" s="55">
        <v>1740</v>
      </c>
      <c r="D27" s="6" t="s">
        <v>7</v>
      </c>
      <c r="E27" s="34"/>
      <c r="F27" s="34"/>
    </row>
    <row r="28" spans="1:6" ht="40.5" customHeight="1">
      <c r="A28" s="5" t="s">
        <v>37</v>
      </c>
      <c r="B28" s="51" t="s">
        <v>38</v>
      </c>
      <c r="C28" s="55">
        <v>1</v>
      </c>
      <c r="D28" s="6" t="s">
        <v>8</v>
      </c>
      <c r="E28" s="34"/>
      <c r="F28" s="34"/>
    </row>
    <row r="29" spans="1:6" ht="40.5" customHeight="1">
      <c r="A29" s="5" t="s">
        <v>39</v>
      </c>
      <c r="B29" s="50" t="s">
        <v>40</v>
      </c>
      <c r="C29" s="55">
        <v>320</v>
      </c>
      <c r="D29" s="6" t="s">
        <v>11</v>
      </c>
      <c r="E29" s="34"/>
      <c r="F29" s="34"/>
    </row>
    <row r="30" spans="1:6" ht="40.5" customHeight="1">
      <c r="A30" s="5" t="s">
        <v>41</v>
      </c>
      <c r="B30" s="50" t="s">
        <v>42</v>
      </c>
      <c r="C30" s="55">
        <v>60</v>
      </c>
      <c r="D30" s="6" t="s">
        <v>11</v>
      </c>
      <c r="E30" s="34"/>
      <c r="F30" s="34"/>
    </row>
    <row r="31" spans="1:6" ht="40.5" customHeight="1">
      <c r="A31" s="5" t="s">
        <v>43</v>
      </c>
      <c r="B31" s="50" t="s">
        <v>44</v>
      </c>
      <c r="C31" s="55">
        <v>9400</v>
      </c>
      <c r="D31" s="6" t="s">
        <v>11</v>
      </c>
      <c r="E31" s="34"/>
      <c r="F31" s="34"/>
    </row>
    <row r="32" spans="1:6" ht="40.5" customHeight="1">
      <c r="A32" s="5" t="s">
        <v>45</v>
      </c>
      <c r="B32" s="50" t="s">
        <v>46</v>
      </c>
      <c r="C32" s="55">
        <v>3700</v>
      </c>
      <c r="D32" s="6" t="s">
        <v>11</v>
      </c>
      <c r="E32" s="34"/>
      <c r="F32" s="34"/>
    </row>
    <row r="33" spans="1:6" ht="40.5" customHeight="1">
      <c r="A33" s="5" t="s">
        <v>47</v>
      </c>
      <c r="B33" s="50" t="s">
        <v>48</v>
      </c>
      <c r="C33" s="55">
        <v>16900</v>
      </c>
      <c r="D33" s="6" t="s">
        <v>11</v>
      </c>
      <c r="E33" s="34"/>
      <c r="F33" s="34"/>
    </row>
    <row r="34" spans="1:6" ht="40.5" customHeight="1">
      <c r="A34" s="5" t="s">
        <v>49</v>
      </c>
      <c r="B34" s="50" t="s">
        <v>50</v>
      </c>
      <c r="C34" s="55">
        <v>3000</v>
      </c>
      <c r="D34" s="6" t="s">
        <v>11</v>
      </c>
      <c r="E34" s="34"/>
      <c r="F34" s="34"/>
    </row>
    <row r="35" spans="1:6" ht="40.5" customHeight="1">
      <c r="A35" s="5" t="s">
        <v>51</v>
      </c>
      <c r="B35" s="50" t="s">
        <v>52</v>
      </c>
      <c r="C35" s="55">
        <v>26500</v>
      </c>
      <c r="D35" s="6" t="s">
        <v>11</v>
      </c>
      <c r="E35" s="34"/>
      <c r="F35" s="34"/>
    </row>
    <row r="36" spans="1:6" ht="40.5" customHeight="1">
      <c r="A36" s="5" t="s">
        <v>53</v>
      </c>
      <c r="B36" s="50" t="s">
        <v>54</v>
      </c>
      <c r="C36" s="55">
        <v>7000</v>
      </c>
      <c r="D36" s="6" t="s">
        <v>11</v>
      </c>
      <c r="E36" s="34"/>
      <c r="F36" s="34"/>
    </row>
    <row r="37" spans="1:6" ht="40.5" customHeight="1">
      <c r="A37" s="5" t="s">
        <v>55</v>
      </c>
      <c r="B37" s="50" t="s">
        <v>56</v>
      </c>
      <c r="C37" s="55">
        <v>1500</v>
      </c>
      <c r="D37" s="6" t="s">
        <v>7</v>
      </c>
      <c r="E37" s="34"/>
      <c r="F37" s="34"/>
    </row>
    <row r="38" spans="1:6" ht="40.5" customHeight="1">
      <c r="A38" s="5" t="s">
        <v>57</v>
      </c>
      <c r="B38" s="50" t="s">
        <v>58</v>
      </c>
      <c r="C38" s="55">
        <v>400</v>
      </c>
      <c r="D38" s="6" t="s">
        <v>11</v>
      </c>
      <c r="E38" s="34"/>
      <c r="F38" s="34"/>
    </row>
    <row r="39" spans="1:6" ht="40.5" customHeight="1">
      <c r="A39" s="5" t="s">
        <v>59</v>
      </c>
      <c r="B39" s="50" t="s">
        <v>60</v>
      </c>
      <c r="C39" s="55">
        <v>65000</v>
      </c>
      <c r="D39" s="6" t="s">
        <v>1</v>
      </c>
      <c r="E39" s="34"/>
      <c r="F39" s="34"/>
    </row>
    <row r="40" spans="1:6" ht="40.5" customHeight="1">
      <c r="A40" s="5" t="s">
        <v>61</v>
      </c>
      <c r="B40" s="50" t="s">
        <v>62</v>
      </c>
      <c r="C40" s="55">
        <v>3250</v>
      </c>
      <c r="D40" s="6" t="s">
        <v>1</v>
      </c>
      <c r="E40" s="34"/>
      <c r="F40" s="34"/>
    </row>
    <row r="41" spans="1:6" ht="40.5" customHeight="1">
      <c r="A41" s="5" t="s">
        <v>63</v>
      </c>
      <c r="B41" s="50" t="s">
        <v>64</v>
      </c>
      <c r="C41" s="55">
        <v>57000</v>
      </c>
      <c r="D41" s="6" t="s">
        <v>11</v>
      </c>
      <c r="E41" s="34"/>
      <c r="F41" s="34"/>
    </row>
    <row r="42" spans="1:6" ht="40.5" customHeight="1">
      <c r="A42" s="5" t="s">
        <v>65</v>
      </c>
      <c r="B42" s="50" t="s">
        <v>66</v>
      </c>
      <c r="C42" s="55">
        <v>2000</v>
      </c>
      <c r="D42" s="6" t="s">
        <v>1</v>
      </c>
      <c r="E42" s="34"/>
      <c r="F42" s="34"/>
    </row>
    <row r="43" spans="1:6" ht="40.5" customHeight="1">
      <c r="A43" s="5" t="s">
        <v>67</v>
      </c>
      <c r="B43" s="50" t="s">
        <v>68</v>
      </c>
      <c r="C43" s="55">
        <v>52200</v>
      </c>
      <c r="D43" s="6" t="s">
        <v>1</v>
      </c>
      <c r="E43" s="34"/>
      <c r="F43" s="34"/>
    </row>
    <row r="44" spans="1:6" ht="40.5" customHeight="1">
      <c r="A44" s="5" t="s">
        <v>69</v>
      </c>
      <c r="B44" s="51" t="s">
        <v>70</v>
      </c>
      <c r="C44" s="55">
        <v>2600</v>
      </c>
      <c r="D44" s="6" t="s">
        <v>7</v>
      </c>
      <c r="E44" s="34"/>
      <c r="F44" s="34"/>
    </row>
    <row r="45" spans="1:6" ht="40.5" customHeight="1">
      <c r="A45" s="5" t="s">
        <v>71</v>
      </c>
      <c r="B45" s="50" t="s">
        <v>72</v>
      </c>
      <c r="C45" s="55">
        <v>10000</v>
      </c>
      <c r="D45" s="6" t="s">
        <v>1</v>
      </c>
      <c r="E45" s="34"/>
      <c r="F45" s="34"/>
    </row>
    <row r="46" spans="1:6" ht="40.5" customHeight="1">
      <c r="A46" s="5" t="s">
        <v>73</v>
      </c>
      <c r="B46" s="51" t="s">
        <v>74</v>
      </c>
      <c r="C46" s="55">
        <v>8700</v>
      </c>
      <c r="D46" s="6" t="s">
        <v>12</v>
      </c>
      <c r="E46" s="34"/>
      <c r="F46" s="34"/>
    </row>
    <row r="47" spans="1:6" ht="40.5" customHeight="1">
      <c r="A47" s="5" t="s">
        <v>75</v>
      </c>
      <c r="B47" s="50" t="s">
        <v>76</v>
      </c>
      <c r="C47" s="55">
        <v>35600</v>
      </c>
      <c r="D47" s="6" t="s">
        <v>12</v>
      </c>
      <c r="E47" s="34"/>
      <c r="F47" s="34"/>
    </row>
    <row r="48" spans="1:6" ht="40.5" customHeight="1">
      <c r="A48" s="5" t="s">
        <v>77</v>
      </c>
      <c r="B48" s="50" t="s">
        <v>78</v>
      </c>
      <c r="C48" s="55">
        <v>13400</v>
      </c>
      <c r="D48" s="6" t="s">
        <v>11</v>
      </c>
      <c r="E48" s="34"/>
      <c r="F48" s="34"/>
    </row>
    <row r="49" spans="1:6" ht="40.5" customHeight="1">
      <c r="A49" s="5" t="s">
        <v>79</v>
      </c>
      <c r="B49" s="50" t="s">
        <v>80</v>
      </c>
      <c r="C49" s="55">
        <v>700</v>
      </c>
      <c r="D49" s="6" t="s">
        <v>4</v>
      </c>
      <c r="E49" s="34"/>
      <c r="F49" s="34"/>
    </row>
    <row r="50" spans="1:6" ht="40.5" customHeight="1">
      <c r="A50" s="5" t="s">
        <v>81</v>
      </c>
      <c r="B50" s="50" t="s">
        <v>82</v>
      </c>
      <c r="C50" s="55">
        <v>23900</v>
      </c>
      <c r="D50" s="6" t="s">
        <v>4</v>
      </c>
      <c r="E50" s="34"/>
      <c r="F50" s="34"/>
    </row>
    <row r="51" spans="1:6" ht="40.5" customHeight="1">
      <c r="A51" s="5" t="s">
        <v>83</v>
      </c>
      <c r="B51" s="50" t="s">
        <v>84</v>
      </c>
      <c r="C51" s="55">
        <v>10850</v>
      </c>
      <c r="D51" s="6" t="s">
        <v>7</v>
      </c>
      <c r="E51" s="34"/>
      <c r="F51" s="34"/>
    </row>
    <row r="52" spans="1:6" ht="40.5" customHeight="1">
      <c r="A52" s="5" t="s">
        <v>85</v>
      </c>
      <c r="B52" s="50" t="s">
        <v>86</v>
      </c>
      <c r="C52" s="55">
        <v>61</v>
      </c>
      <c r="D52" s="6" t="s">
        <v>4</v>
      </c>
      <c r="E52" s="34"/>
      <c r="F52" s="34"/>
    </row>
    <row r="53" spans="1:6" ht="40.5" customHeight="1">
      <c r="A53" s="5" t="s">
        <v>87</v>
      </c>
      <c r="B53" s="50" t="s">
        <v>88</v>
      </c>
      <c r="C53" s="55">
        <v>50</v>
      </c>
      <c r="D53" s="6" t="s">
        <v>4</v>
      </c>
      <c r="E53" s="34"/>
      <c r="F53" s="34"/>
    </row>
    <row r="54" spans="1:6" ht="40.5" customHeight="1">
      <c r="A54" s="5" t="s">
        <v>89</v>
      </c>
      <c r="B54" s="50" t="s">
        <v>90</v>
      </c>
      <c r="C54" s="55">
        <v>30</v>
      </c>
      <c r="D54" s="6" t="s">
        <v>1</v>
      </c>
      <c r="E54" s="34"/>
      <c r="F54" s="34"/>
    </row>
    <row r="55" spans="1:6" ht="40.5" customHeight="1">
      <c r="A55" s="5" t="s">
        <v>91</v>
      </c>
      <c r="B55" s="50" t="s">
        <v>92</v>
      </c>
      <c r="C55" s="55">
        <v>175</v>
      </c>
      <c r="D55" s="6" t="s">
        <v>6</v>
      </c>
      <c r="E55" s="34"/>
      <c r="F55" s="34"/>
    </row>
    <row r="56" spans="1:6" ht="40.5" customHeight="1">
      <c r="A56" s="5" t="s">
        <v>93</v>
      </c>
      <c r="B56" s="50" t="s">
        <v>94</v>
      </c>
      <c r="C56" s="55">
        <v>20000</v>
      </c>
      <c r="D56" s="6" t="s">
        <v>10</v>
      </c>
      <c r="E56" s="34"/>
      <c r="F56" s="34"/>
    </row>
    <row r="57" spans="1:6" ht="40.5" customHeight="1">
      <c r="A57" s="5" t="s">
        <v>95</v>
      </c>
      <c r="B57" s="50" t="s">
        <v>96</v>
      </c>
      <c r="C57" s="55">
        <v>1225</v>
      </c>
      <c r="D57" s="6" t="s">
        <v>6</v>
      </c>
      <c r="E57" s="34"/>
      <c r="F57" s="34"/>
    </row>
    <row r="58" spans="1:6" ht="40.5" customHeight="1">
      <c r="A58" s="5" t="s">
        <v>97</v>
      </c>
      <c r="B58" s="50" t="s">
        <v>98</v>
      </c>
      <c r="C58" s="55">
        <v>9400</v>
      </c>
      <c r="D58" s="6" t="s">
        <v>10</v>
      </c>
      <c r="E58" s="34"/>
      <c r="F58" s="34"/>
    </row>
    <row r="59" spans="1:6" ht="40.5" customHeight="1">
      <c r="A59" s="5" t="s">
        <v>99</v>
      </c>
      <c r="B59" s="50" t="s">
        <v>100</v>
      </c>
      <c r="C59" s="55">
        <v>21750</v>
      </c>
      <c r="D59" s="6" t="s">
        <v>10</v>
      </c>
      <c r="E59" s="34"/>
      <c r="F59" s="34"/>
    </row>
    <row r="60" spans="1:6" ht="40.5" customHeight="1">
      <c r="A60" s="5" t="s">
        <v>101</v>
      </c>
      <c r="B60" s="50" t="s">
        <v>102</v>
      </c>
      <c r="C60" s="55">
        <v>49</v>
      </c>
      <c r="D60" s="6" t="s">
        <v>7</v>
      </c>
      <c r="E60" s="34"/>
      <c r="F60" s="34"/>
    </row>
    <row r="61" spans="1:6" ht="40.5" customHeight="1">
      <c r="A61" s="5" t="s">
        <v>103</v>
      </c>
      <c r="B61" s="50" t="s">
        <v>104</v>
      </c>
      <c r="C61" s="55">
        <v>394</v>
      </c>
      <c r="D61" s="6" t="s">
        <v>7</v>
      </c>
      <c r="E61" s="34"/>
      <c r="F61" s="34"/>
    </row>
    <row r="62" spans="1:6" ht="40.5" customHeight="1">
      <c r="A62" s="5" t="s">
        <v>105</v>
      </c>
      <c r="B62" s="50" t="s">
        <v>106</v>
      </c>
      <c r="C62" s="55">
        <v>657</v>
      </c>
      <c r="D62" s="6" t="s">
        <v>7</v>
      </c>
      <c r="E62" s="34"/>
      <c r="F62" s="34"/>
    </row>
    <row r="63" spans="1:6" ht="40.5" customHeight="1">
      <c r="A63" s="5" t="s">
        <v>107</v>
      </c>
      <c r="B63" s="50" t="s">
        <v>108</v>
      </c>
      <c r="C63" s="55">
        <v>472</v>
      </c>
      <c r="D63" s="6" t="s">
        <v>7</v>
      </c>
      <c r="E63" s="34"/>
      <c r="F63" s="34"/>
    </row>
    <row r="64" spans="1:6" ht="40.5" customHeight="1">
      <c r="A64" s="5" t="s">
        <v>109</v>
      </c>
      <c r="B64" s="50" t="s">
        <v>110</v>
      </c>
      <c r="C64" s="55">
        <v>238</v>
      </c>
      <c r="D64" s="6" t="s">
        <v>7</v>
      </c>
      <c r="E64" s="34"/>
      <c r="F64" s="34"/>
    </row>
    <row r="65" spans="1:6" ht="40.5" customHeight="1">
      <c r="A65" s="5" t="s">
        <v>111</v>
      </c>
      <c r="B65" s="50" t="s">
        <v>112</v>
      </c>
      <c r="C65" s="55">
        <v>3653</v>
      </c>
      <c r="D65" s="6" t="s">
        <v>7</v>
      </c>
      <c r="E65" s="34"/>
      <c r="F65" s="34"/>
    </row>
    <row r="66" spans="1:6" ht="40.5" customHeight="1">
      <c r="A66" s="5" t="s">
        <v>113</v>
      </c>
      <c r="B66" s="50" t="s">
        <v>114</v>
      </c>
      <c r="C66" s="55">
        <v>5322</v>
      </c>
      <c r="D66" s="6" t="s">
        <v>7</v>
      </c>
      <c r="E66" s="34"/>
      <c r="F66" s="34"/>
    </row>
    <row r="67" spans="1:6" ht="40.5" customHeight="1">
      <c r="A67" s="5" t="s">
        <v>115</v>
      </c>
      <c r="B67" s="50" t="s">
        <v>116</v>
      </c>
      <c r="C67" s="55">
        <v>1</v>
      </c>
      <c r="D67" s="6" t="s">
        <v>2</v>
      </c>
      <c r="E67" s="34"/>
      <c r="F67" s="34"/>
    </row>
    <row r="68" spans="1:6" ht="40.5" customHeight="1">
      <c r="A68" s="5" t="s">
        <v>117</v>
      </c>
      <c r="B68" s="50" t="s">
        <v>118</v>
      </c>
      <c r="C68" s="55">
        <v>7</v>
      </c>
      <c r="D68" s="6" t="s">
        <v>2</v>
      </c>
      <c r="E68" s="34"/>
      <c r="F68" s="34"/>
    </row>
    <row r="69" spans="1:6" ht="40.5" customHeight="1">
      <c r="A69" s="5" t="s">
        <v>119</v>
      </c>
      <c r="B69" s="50" t="s">
        <v>120</v>
      </c>
      <c r="C69" s="55">
        <v>2</v>
      </c>
      <c r="D69" s="6" t="s">
        <v>2</v>
      </c>
      <c r="E69" s="34"/>
      <c r="F69" s="34"/>
    </row>
    <row r="70" spans="1:6" ht="40.5" customHeight="1">
      <c r="A70" s="5" t="s">
        <v>121</v>
      </c>
      <c r="B70" s="50" t="s">
        <v>122</v>
      </c>
      <c r="C70" s="55">
        <v>1</v>
      </c>
      <c r="D70" s="6" t="s">
        <v>2</v>
      </c>
      <c r="E70" s="34"/>
      <c r="F70" s="34"/>
    </row>
    <row r="71" spans="1:6" ht="40.5" customHeight="1">
      <c r="A71" s="5" t="s">
        <v>123</v>
      </c>
      <c r="B71" s="50" t="s">
        <v>124</v>
      </c>
      <c r="C71" s="55">
        <v>18</v>
      </c>
      <c r="D71" s="6" t="s">
        <v>2</v>
      </c>
      <c r="E71" s="34"/>
      <c r="F71" s="34"/>
    </row>
    <row r="72" spans="1:6" ht="40.5" customHeight="1">
      <c r="A72" s="5" t="s">
        <v>125</v>
      </c>
      <c r="B72" s="50" t="s">
        <v>126</v>
      </c>
      <c r="C72" s="55">
        <v>2.8</v>
      </c>
      <c r="D72" s="6" t="s">
        <v>0</v>
      </c>
      <c r="E72" s="34"/>
      <c r="F72" s="34"/>
    </row>
    <row r="73" spans="1:6" ht="40.5" customHeight="1">
      <c r="A73" s="5" t="s">
        <v>127</v>
      </c>
      <c r="B73" s="50" t="s">
        <v>128</v>
      </c>
      <c r="C73" s="55">
        <v>2300</v>
      </c>
      <c r="D73" s="6" t="s">
        <v>1</v>
      </c>
      <c r="E73" s="34"/>
      <c r="F73" s="34"/>
    </row>
    <row r="74" spans="1:6" ht="40.5" customHeight="1">
      <c r="A74" s="5" t="s">
        <v>129</v>
      </c>
      <c r="B74" s="50" t="s">
        <v>130</v>
      </c>
      <c r="C74" s="55">
        <v>1</v>
      </c>
      <c r="D74" s="6" t="s">
        <v>8</v>
      </c>
      <c r="E74" s="34"/>
      <c r="F74" s="34"/>
    </row>
    <row r="75" spans="1:6" ht="40.5" customHeight="1">
      <c r="A75" s="5" t="s">
        <v>131</v>
      </c>
      <c r="B75" s="50" t="s">
        <v>132</v>
      </c>
      <c r="C75" s="55">
        <v>18</v>
      </c>
      <c r="D75" s="6" t="s">
        <v>2</v>
      </c>
      <c r="E75" s="34"/>
      <c r="F75" s="34"/>
    </row>
    <row r="76" spans="1:6" ht="40.5" customHeight="1">
      <c r="A76" s="5" t="s">
        <v>133</v>
      </c>
      <c r="B76" s="50" t="s">
        <v>134</v>
      </c>
      <c r="C76" s="55">
        <v>3</v>
      </c>
      <c r="D76" s="6" t="s">
        <v>2</v>
      </c>
      <c r="E76" s="34"/>
      <c r="F76" s="34"/>
    </row>
    <row r="77" spans="1:6" ht="40.5" customHeight="1">
      <c r="A77" s="5" t="s">
        <v>135</v>
      </c>
      <c r="B77" s="50" t="s">
        <v>136</v>
      </c>
      <c r="C77" s="55">
        <v>2</v>
      </c>
      <c r="D77" s="6" t="s">
        <v>2</v>
      </c>
      <c r="E77" s="34"/>
      <c r="F77" s="34"/>
    </row>
    <row r="78" spans="1:6" ht="40.5" customHeight="1">
      <c r="A78" s="5" t="s">
        <v>137</v>
      </c>
      <c r="B78" s="50" t="s">
        <v>138</v>
      </c>
      <c r="C78" s="55">
        <v>1</v>
      </c>
      <c r="D78" s="6" t="s">
        <v>2</v>
      </c>
      <c r="E78" s="34"/>
      <c r="F78" s="34"/>
    </row>
    <row r="79" spans="1:6" ht="40.5" customHeight="1">
      <c r="A79" s="5" t="s">
        <v>139</v>
      </c>
      <c r="B79" s="50" t="s">
        <v>140</v>
      </c>
      <c r="C79" s="55">
        <v>14265</v>
      </c>
      <c r="D79" s="6" t="s">
        <v>7</v>
      </c>
      <c r="E79" s="34"/>
      <c r="F79" s="34"/>
    </row>
    <row r="80" spans="1:6" ht="40.5" customHeight="1">
      <c r="A80" s="5" t="s">
        <v>141</v>
      </c>
      <c r="B80" s="50" t="s">
        <v>142</v>
      </c>
      <c r="C80" s="55">
        <v>4000</v>
      </c>
      <c r="D80" s="6" t="s">
        <v>7</v>
      </c>
      <c r="E80" s="34"/>
      <c r="F80" s="34"/>
    </row>
    <row r="81" spans="1:6" ht="40.5" customHeight="1">
      <c r="A81" s="5" t="s">
        <v>143</v>
      </c>
      <c r="B81" s="50" t="s">
        <v>144</v>
      </c>
      <c r="C81" s="55">
        <v>13</v>
      </c>
      <c r="D81" s="6" t="s">
        <v>2</v>
      </c>
      <c r="E81" s="34"/>
      <c r="F81" s="34"/>
    </row>
    <row r="82" spans="1:6" ht="40.5" customHeight="1">
      <c r="A82" s="5" t="s">
        <v>145</v>
      </c>
      <c r="B82" s="50" t="s">
        <v>146</v>
      </c>
      <c r="C82" s="55">
        <v>3680</v>
      </c>
      <c r="D82" s="6" t="s">
        <v>7</v>
      </c>
      <c r="E82" s="34"/>
      <c r="F82" s="34"/>
    </row>
    <row r="83" spans="1:6" ht="40.5" customHeight="1">
      <c r="A83" s="5" t="s">
        <v>147</v>
      </c>
      <c r="B83" s="50" t="s">
        <v>148</v>
      </c>
      <c r="C83" s="55">
        <v>45</v>
      </c>
      <c r="D83" s="6" t="s">
        <v>7</v>
      </c>
      <c r="E83" s="34"/>
      <c r="F83" s="34"/>
    </row>
    <row r="84" spans="1:6" ht="40.5" customHeight="1">
      <c r="A84" s="5" t="s">
        <v>149</v>
      </c>
      <c r="B84" s="50" t="s">
        <v>150</v>
      </c>
      <c r="C84" s="55">
        <v>80</v>
      </c>
      <c r="D84" s="6" t="s">
        <v>7</v>
      </c>
      <c r="E84" s="34"/>
      <c r="F84" s="34"/>
    </row>
    <row r="85" spans="1:6" ht="40.5" customHeight="1">
      <c r="A85" s="5" t="s">
        <v>151</v>
      </c>
      <c r="B85" s="50" t="s">
        <v>152</v>
      </c>
      <c r="C85" s="55">
        <v>1</v>
      </c>
      <c r="D85" s="6" t="s">
        <v>8</v>
      </c>
      <c r="E85" s="34"/>
      <c r="F85" s="34"/>
    </row>
    <row r="86" spans="1:6" ht="40.5" customHeight="1">
      <c r="A86" s="5" t="s">
        <v>153</v>
      </c>
      <c r="B86" s="50" t="s">
        <v>154</v>
      </c>
      <c r="C86" s="55">
        <v>1</v>
      </c>
      <c r="D86" s="6" t="s">
        <v>8</v>
      </c>
      <c r="E86" s="34"/>
      <c r="F86" s="34"/>
    </row>
    <row r="87" spans="1:6" ht="52.5" customHeight="1">
      <c r="A87" s="5" t="s">
        <v>155</v>
      </c>
      <c r="B87" s="50" t="s">
        <v>156</v>
      </c>
      <c r="C87" s="55">
        <v>43</v>
      </c>
      <c r="D87" s="6" t="s">
        <v>2</v>
      </c>
      <c r="E87" s="34"/>
      <c r="F87" s="34"/>
    </row>
    <row r="88" spans="1:6" ht="52.5" customHeight="1">
      <c r="A88" s="5" t="s">
        <v>157</v>
      </c>
      <c r="B88" s="50" t="s">
        <v>158</v>
      </c>
      <c r="C88" s="55">
        <v>6</v>
      </c>
      <c r="D88" s="6" t="s">
        <v>2</v>
      </c>
      <c r="E88" s="34"/>
      <c r="F88" s="34"/>
    </row>
    <row r="89" spans="1:6" ht="52.5" customHeight="1">
      <c r="A89" s="5" t="s">
        <v>159</v>
      </c>
      <c r="B89" s="50" t="s">
        <v>160</v>
      </c>
      <c r="C89" s="55">
        <v>13</v>
      </c>
      <c r="D89" s="6" t="s">
        <v>2</v>
      </c>
      <c r="E89" s="34"/>
      <c r="F89" s="34"/>
    </row>
    <row r="90" spans="1:6" ht="52.5" customHeight="1">
      <c r="A90" s="5" t="s">
        <v>161</v>
      </c>
      <c r="B90" s="50" t="s">
        <v>162</v>
      </c>
      <c r="C90" s="55">
        <v>3</v>
      </c>
      <c r="D90" s="6" t="s">
        <v>2</v>
      </c>
      <c r="E90" s="34"/>
      <c r="F90" s="34"/>
    </row>
    <row r="91" spans="1:6" ht="40.5" customHeight="1">
      <c r="A91" s="5" t="s">
        <v>163</v>
      </c>
      <c r="B91" s="50" t="s">
        <v>164</v>
      </c>
      <c r="C91" s="55">
        <v>28</v>
      </c>
      <c r="D91" s="6" t="s">
        <v>2</v>
      </c>
      <c r="E91" s="34"/>
      <c r="F91" s="34"/>
    </row>
    <row r="92" spans="1:6" ht="40.5" customHeight="1">
      <c r="A92" s="5" t="s">
        <v>165</v>
      </c>
      <c r="B92" s="50" t="s">
        <v>166</v>
      </c>
      <c r="C92" s="55">
        <v>1</v>
      </c>
      <c r="D92" s="6" t="s">
        <v>2</v>
      </c>
      <c r="E92" s="34"/>
      <c r="F92" s="34"/>
    </row>
    <row r="93" spans="1:6" ht="52.5" customHeight="1">
      <c r="A93" s="5" t="s">
        <v>167</v>
      </c>
      <c r="B93" s="50" t="s">
        <v>168</v>
      </c>
      <c r="C93" s="55">
        <v>45</v>
      </c>
      <c r="D93" s="6" t="s">
        <v>2</v>
      </c>
      <c r="E93" s="34"/>
      <c r="F93" s="34"/>
    </row>
    <row r="94" spans="1:6" ht="40.5" customHeight="1">
      <c r="A94" s="5" t="s">
        <v>169</v>
      </c>
      <c r="B94" s="50" t="s">
        <v>170</v>
      </c>
      <c r="C94" s="55">
        <v>1</v>
      </c>
      <c r="D94" s="6" t="s">
        <v>8</v>
      </c>
      <c r="E94" s="34"/>
      <c r="F94" s="34"/>
    </row>
    <row r="95" spans="1:6" ht="40.5" customHeight="1">
      <c r="A95" s="5" t="s">
        <v>171</v>
      </c>
      <c r="B95" s="50" t="s">
        <v>172</v>
      </c>
      <c r="C95" s="55">
        <v>1</v>
      </c>
      <c r="D95" s="6" t="s">
        <v>8</v>
      </c>
      <c r="E95" s="34"/>
      <c r="F95" s="34"/>
    </row>
    <row r="96" spans="1:6" ht="40.5" customHeight="1">
      <c r="A96" s="5" t="s">
        <v>173</v>
      </c>
      <c r="B96" s="50" t="s">
        <v>174</v>
      </c>
      <c r="C96" s="55">
        <v>1</v>
      </c>
      <c r="D96" s="6" t="s">
        <v>8</v>
      </c>
      <c r="E96" s="34"/>
      <c r="F96" s="34"/>
    </row>
    <row r="97" spans="1:6" ht="40.5" customHeight="1">
      <c r="A97" s="5" t="s">
        <v>175</v>
      </c>
      <c r="B97" s="50" t="s">
        <v>176</v>
      </c>
      <c r="C97" s="55">
        <v>1</v>
      </c>
      <c r="D97" s="6" t="s">
        <v>8</v>
      </c>
      <c r="E97" s="34"/>
      <c r="F97" s="34"/>
    </row>
    <row r="98" spans="1:6" ht="40.5" customHeight="1">
      <c r="A98" s="5" t="s">
        <v>177</v>
      </c>
      <c r="B98" s="50" t="s">
        <v>178</v>
      </c>
      <c r="C98" s="55">
        <v>1</v>
      </c>
      <c r="D98" s="6" t="s">
        <v>8</v>
      </c>
      <c r="E98" s="34"/>
      <c r="F98" s="34"/>
    </row>
    <row r="99" spans="1:6" ht="40.5" customHeight="1">
      <c r="A99" s="5" t="s">
        <v>179</v>
      </c>
      <c r="B99" s="50" t="s">
        <v>180</v>
      </c>
      <c r="C99" s="55">
        <v>1</v>
      </c>
      <c r="D99" s="6" t="s">
        <v>8</v>
      </c>
      <c r="E99" s="34"/>
      <c r="F99" s="34"/>
    </row>
    <row r="100" spans="1:6" ht="40.5" customHeight="1">
      <c r="A100" s="5" t="s">
        <v>181</v>
      </c>
      <c r="B100" s="50" t="s">
        <v>182</v>
      </c>
      <c r="C100" s="55">
        <v>1</v>
      </c>
      <c r="D100" s="6" t="s">
        <v>8</v>
      </c>
      <c r="E100" s="34"/>
      <c r="F100" s="34"/>
    </row>
    <row r="101" spans="1:6" ht="40.5" customHeight="1">
      <c r="A101" s="5" t="s">
        <v>183</v>
      </c>
      <c r="B101" s="50" t="s">
        <v>184</v>
      </c>
      <c r="C101" s="55">
        <v>1</v>
      </c>
      <c r="D101" s="6" t="s">
        <v>8</v>
      </c>
      <c r="E101" s="34"/>
      <c r="F101" s="34"/>
    </row>
    <row r="102" spans="1:6" ht="40.5" customHeight="1">
      <c r="A102" s="5" t="s">
        <v>185</v>
      </c>
      <c r="B102" s="50" t="s">
        <v>186</v>
      </c>
      <c r="C102" s="55">
        <v>1</v>
      </c>
      <c r="D102" s="6" t="s">
        <v>8</v>
      </c>
      <c r="E102" s="34"/>
      <c r="F102" s="34"/>
    </row>
    <row r="103" spans="1:6" ht="40.5" customHeight="1">
      <c r="A103" s="5" t="s">
        <v>187</v>
      </c>
      <c r="B103" s="50" t="s">
        <v>188</v>
      </c>
      <c r="C103" s="55">
        <v>1</v>
      </c>
      <c r="D103" s="6" t="s">
        <v>8</v>
      </c>
      <c r="E103" s="34"/>
      <c r="F103" s="34"/>
    </row>
    <row r="104" spans="1:6" ht="27.75" customHeight="1">
      <c r="A104" s="7"/>
      <c r="B104" s="56" t="s">
        <v>189</v>
      </c>
      <c r="C104" s="31"/>
      <c r="D104" s="7"/>
      <c r="E104" s="35"/>
      <c r="F104" s="35" t="s">
        <v>190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count="1">
    <dataValidation type="list" allowBlank="1" showInputMessage="1" showErrorMessage="1" sqref="D20:D103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&amp;L&amp;"Arial,Bold"BASE BID&amp;RBidder: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FE00-E276-4BEB-B65A-E9A20C765D93}">
  <sheetPr>
    <tabColor theme="9" tint="0.39997558519241921"/>
  </sheetPr>
  <dimension ref="A1:F37"/>
  <sheetViews>
    <sheetView view="pageLayout" topLeftCell="A32" zoomScaleNormal="100" zoomScaleSheetLayoutView="100" workbookViewId="0">
      <selection activeCell="F61" sqref="F61"/>
    </sheetView>
  </sheetViews>
  <sheetFormatPr defaultRowHeight="15"/>
  <cols>
    <col min="1" max="1" width="6.5703125" customWidth="1"/>
    <col min="2" max="2" width="36.7109375" customWidth="1"/>
    <col min="3" max="3" width="10.7109375" style="28" customWidth="1"/>
    <col min="4" max="4" width="8.28515625" customWidth="1"/>
    <col min="5" max="6" width="13.28515625" style="32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2" t="s">
        <v>2</v>
      </c>
    </row>
    <row r="4" spans="1:6" hidden="1">
      <c r="A4" s="2" t="s">
        <v>3</v>
      </c>
    </row>
    <row r="5" spans="1:6" hidden="1">
      <c r="A5" s="2" t="s">
        <v>4</v>
      </c>
    </row>
    <row r="6" spans="1:6" hidden="1">
      <c r="A6" s="2" t="s">
        <v>5</v>
      </c>
    </row>
    <row r="7" spans="1:6" hidden="1">
      <c r="A7" s="2" t="s">
        <v>6</v>
      </c>
    </row>
    <row r="8" spans="1:6" hidden="1">
      <c r="A8" s="2" t="s">
        <v>7</v>
      </c>
    </row>
    <row r="9" spans="1:6" hidden="1">
      <c r="A9" s="1" t="s">
        <v>8</v>
      </c>
    </row>
    <row r="10" spans="1:6" hidden="1">
      <c r="A10" s="2" t="s">
        <v>9</v>
      </c>
    </row>
    <row r="11" spans="1:6" hidden="1">
      <c r="A11" s="2" t="s">
        <v>10</v>
      </c>
    </row>
    <row r="12" spans="1:6" hidden="1">
      <c r="A12" s="2" t="s">
        <v>11</v>
      </c>
    </row>
    <row r="13" spans="1:6" hidden="1">
      <c r="A13" s="2" t="s">
        <v>12</v>
      </c>
    </row>
    <row r="14" spans="1:6">
      <c r="A14" s="66"/>
      <c r="B14" s="66"/>
      <c r="C14" s="66"/>
      <c r="D14" s="66"/>
      <c r="E14" s="60"/>
      <c r="F14" s="60"/>
    </row>
    <row r="15" spans="1:6">
      <c r="A15" s="63" t="s">
        <v>13</v>
      </c>
      <c r="B15" s="63"/>
      <c r="C15" s="63"/>
      <c r="D15" s="63"/>
      <c r="E15" s="61"/>
      <c r="F15" s="61"/>
    </row>
    <row r="16" spans="1:6">
      <c r="A16" s="63" t="s">
        <v>14</v>
      </c>
      <c r="B16" s="63"/>
      <c r="C16" s="63"/>
      <c r="D16" s="63"/>
      <c r="E16" s="61"/>
      <c r="F16" s="61"/>
    </row>
    <row r="17" spans="1:6">
      <c r="A17" s="64" t="e">
        <f>ProjectTitle2 &amp; ""</f>
        <v>#REF!</v>
      </c>
      <c r="B17" s="64"/>
      <c r="C17" s="64"/>
      <c r="D17" s="64"/>
      <c r="E17" s="61"/>
      <c r="F17" s="61"/>
    </row>
    <row r="18" spans="1:6">
      <c r="A18" s="65"/>
      <c r="B18" s="65"/>
      <c r="C18" s="65"/>
      <c r="D18" s="65"/>
      <c r="E18" s="62"/>
      <c r="F18" s="62"/>
    </row>
    <row r="19" spans="1:6" s="3" customFormat="1" ht="24" customHeight="1">
      <c r="A19" s="4" t="s">
        <v>15</v>
      </c>
      <c r="B19" s="4" t="s">
        <v>16</v>
      </c>
      <c r="C19" s="29" t="s">
        <v>17</v>
      </c>
      <c r="D19" s="4" t="s">
        <v>18</v>
      </c>
      <c r="E19" s="33" t="s">
        <v>19</v>
      </c>
      <c r="F19" s="33" t="s">
        <v>20</v>
      </c>
    </row>
    <row r="20" spans="1:6" ht="40.5" customHeight="1">
      <c r="A20" s="5" t="s">
        <v>21</v>
      </c>
      <c r="B20" s="50" t="s">
        <v>22</v>
      </c>
      <c r="C20" s="55">
        <v>1</v>
      </c>
      <c r="D20" s="6" t="s">
        <v>8</v>
      </c>
      <c r="E20" s="34"/>
      <c r="F20" s="34"/>
    </row>
    <row r="21" spans="1:6" ht="40.5" customHeight="1">
      <c r="A21" s="5" t="s">
        <v>23</v>
      </c>
      <c r="B21" s="50" t="s">
        <v>24</v>
      </c>
      <c r="C21" s="55">
        <v>1</v>
      </c>
      <c r="D21" s="6" t="s">
        <v>8</v>
      </c>
      <c r="E21" s="34"/>
      <c r="F21" s="34"/>
    </row>
    <row r="22" spans="1:6" ht="40.5" customHeight="1">
      <c r="A22" s="5" t="s">
        <v>25</v>
      </c>
      <c r="B22" s="51" t="s">
        <v>26</v>
      </c>
      <c r="C22" s="55">
        <v>1</v>
      </c>
      <c r="D22" s="6" t="s">
        <v>8</v>
      </c>
      <c r="E22" s="34"/>
      <c r="F22" s="34"/>
    </row>
    <row r="23" spans="1:6" ht="40.5" customHeight="1">
      <c r="A23" s="5" t="s">
        <v>27</v>
      </c>
      <c r="B23" s="51" t="s">
        <v>28</v>
      </c>
      <c r="C23" s="55">
        <v>1</v>
      </c>
      <c r="D23" s="6" t="s">
        <v>8</v>
      </c>
      <c r="E23" s="34"/>
      <c r="F23" s="34"/>
    </row>
    <row r="24" spans="1:6" ht="40.5" customHeight="1">
      <c r="A24" s="5" t="s">
        <v>29</v>
      </c>
      <c r="B24" s="51" t="s">
        <v>30</v>
      </c>
      <c r="C24" s="55">
        <v>1</v>
      </c>
      <c r="D24" s="6" t="s">
        <v>8</v>
      </c>
      <c r="E24" s="34"/>
      <c r="F24" s="34"/>
    </row>
    <row r="25" spans="1:6" ht="40.5" customHeight="1">
      <c r="A25" s="5" t="s">
        <v>31</v>
      </c>
      <c r="B25" s="58" t="s">
        <v>34</v>
      </c>
      <c r="C25" s="55">
        <v>18</v>
      </c>
      <c r="D25" s="6" t="s">
        <v>2</v>
      </c>
      <c r="E25" s="34"/>
      <c r="F25" s="34"/>
    </row>
    <row r="26" spans="1:6" ht="40.5" customHeight="1">
      <c r="A26" s="5" t="s">
        <v>33</v>
      </c>
      <c r="B26" s="58" t="s">
        <v>38</v>
      </c>
      <c r="C26" s="30">
        <v>1</v>
      </c>
      <c r="D26" s="6" t="s">
        <v>8</v>
      </c>
      <c r="E26" s="34"/>
      <c r="F26" s="34"/>
    </row>
    <row r="27" spans="1:6" ht="40.5" customHeight="1">
      <c r="A27" s="5" t="s">
        <v>35</v>
      </c>
      <c r="B27" s="50" t="s">
        <v>58</v>
      </c>
      <c r="C27" s="55">
        <v>21200</v>
      </c>
      <c r="D27" s="6" t="s">
        <v>11</v>
      </c>
      <c r="E27" s="34"/>
      <c r="F27" s="34"/>
    </row>
    <row r="28" spans="1:6" ht="40.5" customHeight="1">
      <c r="A28" s="5" t="s">
        <v>37</v>
      </c>
      <c r="B28" s="51" t="s">
        <v>74</v>
      </c>
      <c r="C28" s="55">
        <v>3800</v>
      </c>
      <c r="D28" s="6" t="s">
        <v>12</v>
      </c>
      <c r="E28" s="34"/>
      <c r="F28" s="34"/>
    </row>
    <row r="29" spans="1:6" ht="40.5" customHeight="1">
      <c r="A29" s="5" t="s">
        <v>39</v>
      </c>
      <c r="B29" s="50" t="s">
        <v>82</v>
      </c>
      <c r="C29" s="55">
        <v>2200</v>
      </c>
      <c r="D29" s="6" t="s">
        <v>4</v>
      </c>
      <c r="E29" s="34"/>
      <c r="F29" s="34"/>
    </row>
    <row r="30" spans="1:6" ht="40.5" customHeight="1">
      <c r="A30" s="5" t="s">
        <v>41</v>
      </c>
      <c r="B30" s="50" t="s">
        <v>94</v>
      </c>
      <c r="C30" s="55">
        <v>8000</v>
      </c>
      <c r="D30" s="6" t="s">
        <v>10</v>
      </c>
      <c r="E30" s="34"/>
      <c r="F30" s="34"/>
    </row>
    <row r="31" spans="1:6" ht="40.5" customHeight="1">
      <c r="A31" s="5" t="s">
        <v>43</v>
      </c>
      <c r="B31" s="50" t="s">
        <v>96</v>
      </c>
      <c r="C31" s="55">
        <v>500</v>
      </c>
      <c r="D31" s="6" t="s">
        <v>6</v>
      </c>
      <c r="E31" s="34"/>
      <c r="F31" s="34"/>
    </row>
    <row r="32" spans="1:6" ht="40.5" customHeight="1">
      <c r="A32" s="5" t="s">
        <v>45</v>
      </c>
      <c r="B32" s="50" t="s">
        <v>98</v>
      </c>
      <c r="C32" s="55">
        <v>4200</v>
      </c>
      <c r="D32" s="6" t="s">
        <v>10</v>
      </c>
      <c r="E32" s="34"/>
      <c r="F32" s="34"/>
    </row>
    <row r="33" spans="1:6" ht="40.5" customHeight="1">
      <c r="A33" s="5" t="s">
        <v>47</v>
      </c>
      <c r="B33" s="50" t="s">
        <v>100</v>
      </c>
      <c r="C33" s="55">
        <v>24750</v>
      </c>
      <c r="D33" s="6" t="s">
        <v>10</v>
      </c>
      <c r="E33" s="34"/>
      <c r="F33" s="34"/>
    </row>
    <row r="34" spans="1:6" ht="40.5" customHeight="1">
      <c r="A34" s="5" t="s">
        <v>49</v>
      </c>
      <c r="B34" s="50" t="s">
        <v>191</v>
      </c>
      <c r="C34" s="55">
        <v>1500</v>
      </c>
      <c r="D34" s="6" t="s">
        <v>12</v>
      </c>
      <c r="E34" s="34"/>
      <c r="F34" s="34"/>
    </row>
    <row r="35" spans="1:6" ht="40.5" customHeight="1">
      <c r="A35" s="5" t="s">
        <v>51</v>
      </c>
      <c r="B35" s="50" t="s">
        <v>192</v>
      </c>
      <c r="C35" s="55">
        <v>1</v>
      </c>
      <c r="D35" s="6" t="s">
        <v>8</v>
      </c>
      <c r="E35" s="34"/>
      <c r="F35" s="34"/>
    </row>
    <row r="36" spans="1:6" ht="40.5" customHeight="1">
      <c r="A36" s="5" t="s">
        <v>53</v>
      </c>
      <c r="B36" s="50" t="s">
        <v>193</v>
      </c>
      <c r="C36" s="55">
        <v>18</v>
      </c>
      <c r="D36" s="6" t="s">
        <v>2</v>
      </c>
      <c r="E36" s="34"/>
      <c r="F36" s="34"/>
    </row>
    <row r="37" spans="1:6" ht="27.75" customHeight="1">
      <c r="A37" s="5"/>
      <c r="B37" s="56" t="s">
        <v>194</v>
      </c>
      <c r="C37" s="31"/>
      <c r="D37" s="7"/>
      <c r="E37" s="35"/>
      <c r="F37" s="35" t="s">
        <v>190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dataValidations disablePrompts="1" count="1">
    <dataValidation type="list" allowBlank="1" showInputMessage="1" showErrorMessage="1" sqref="D20:D36" xr:uid="{A6134CD5-1EBF-4D93-87C4-4A542ABA1951}">
      <formula1>$A$1:$A$13</formula1>
    </dataValidation>
  </dataValidations>
  <printOptions horizontalCentered="1"/>
  <pageMargins left="0.75" right="0.75" top="1" bottom="1" header="0.5" footer="0.7"/>
  <pageSetup firstPageNumber="10" orientation="portrait" useFirstPageNumber="1" r:id="rId1"/>
  <headerFooter>
    <oddHeader>&amp;L&amp;"Arial,Bold"ADDITIVE ALTERNATE A&amp;R&amp;"Arial,Regular"&amp;10Bidder: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V92"/>
  <sheetViews>
    <sheetView view="pageLayout" topLeftCell="A100" zoomScaleNormal="100" zoomScaleSheetLayoutView="100" workbookViewId="0">
      <selection activeCell="F91" sqref="F91"/>
    </sheetView>
  </sheetViews>
  <sheetFormatPr defaultRowHeight="15"/>
  <cols>
    <col min="1" max="1" width="6.7109375" customWidth="1"/>
    <col min="2" max="2" width="28.85546875" style="22" customWidth="1"/>
    <col min="3" max="3" width="11.28515625" style="39" customWidth="1"/>
    <col min="4" max="4" width="6.7109375" style="22" customWidth="1"/>
    <col min="5" max="5" width="11" style="32" customWidth="1"/>
    <col min="6" max="6" width="13.42578125" style="32" customWidth="1"/>
    <col min="7" max="7" width="11" style="32" customWidth="1"/>
    <col min="8" max="8" width="13.42578125" style="32" customWidth="1"/>
    <col min="9" max="9" width="11" style="32" customWidth="1"/>
    <col min="10" max="10" width="13.42578125" style="32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  <col min="21" max="21" width="11" customWidth="1"/>
    <col min="22" max="22" width="13.42578125" customWidth="1"/>
  </cols>
  <sheetData>
    <row r="1" spans="1:22" s="8" customFormat="1" ht="30" customHeight="1">
      <c r="A1" s="74" t="str">
        <f>ProjectLocation</f>
        <v>PORTLAND INTERNATIONAL AIRPORT</v>
      </c>
      <c r="B1" s="75"/>
      <c r="C1" s="75"/>
      <c r="D1" s="76"/>
      <c r="E1" s="67" t="s">
        <v>195</v>
      </c>
      <c r="F1" s="68"/>
      <c r="G1" s="67" t="s">
        <v>196</v>
      </c>
      <c r="H1" s="68"/>
      <c r="I1" s="67" t="s">
        <v>197</v>
      </c>
      <c r="J1" s="68"/>
      <c r="K1" s="67" t="s">
        <v>198</v>
      </c>
      <c r="L1" s="68"/>
      <c r="M1" s="67" t="s">
        <v>199</v>
      </c>
      <c r="N1" s="68"/>
      <c r="O1" s="67" t="s">
        <v>200</v>
      </c>
      <c r="P1" s="68"/>
      <c r="Q1" s="67" t="s">
        <v>201</v>
      </c>
      <c r="R1" s="68"/>
      <c r="S1" s="67" t="s">
        <v>202</v>
      </c>
      <c r="T1" s="68"/>
      <c r="U1" s="67" t="s">
        <v>203</v>
      </c>
      <c r="V1" s="68"/>
    </row>
    <row r="2" spans="1:22">
      <c r="A2" s="77" t="str">
        <f>ProjectTitle</f>
        <v>TAXIWAY K REHABILITATION</v>
      </c>
      <c r="B2" s="78"/>
      <c r="C2" s="78"/>
      <c r="D2" s="79"/>
      <c r="E2" s="69"/>
      <c r="F2" s="70"/>
      <c r="G2" s="69"/>
      <c r="H2" s="70"/>
      <c r="I2" s="69"/>
      <c r="J2" s="70"/>
      <c r="K2" s="69"/>
      <c r="L2" s="70"/>
      <c r="M2" s="69"/>
      <c r="N2" s="70"/>
      <c r="O2" s="69"/>
      <c r="P2" s="70"/>
      <c r="Q2" s="69"/>
      <c r="R2" s="70"/>
      <c r="S2" s="69"/>
      <c r="T2" s="70"/>
      <c r="U2" s="69"/>
      <c r="V2" s="70"/>
    </row>
    <row r="3" spans="1:22">
      <c r="A3" s="77">
        <f>ProjectTitle2</f>
        <v>0</v>
      </c>
      <c r="B3" s="78"/>
      <c r="C3" s="78"/>
      <c r="D3" s="79"/>
      <c r="E3" s="69"/>
      <c r="F3" s="70"/>
      <c r="G3" s="69"/>
      <c r="H3" s="70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</row>
    <row r="4" spans="1:22">
      <c r="A4" s="80" t="s">
        <v>204</v>
      </c>
      <c r="B4" s="81"/>
      <c r="C4" s="81"/>
      <c r="D4" s="82"/>
      <c r="E4" s="69"/>
      <c r="F4" s="70"/>
      <c r="G4" s="69"/>
      <c r="H4" s="70"/>
      <c r="I4" s="69"/>
      <c r="J4" s="70"/>
      <c r="K4" s="69"/>
      <c r="L4" s="70"/>
      <c r="M4" s="69"/>
      <c r="N4" s="70"/>
      <c r="O4" s="69"/>
      <c r="P4" s="70"/>
      <c r="Q4" s="69"/>
      <c r="R4" s="70"/>
      <c r="S4" s="69"/>
      <c r="T4" s="70"/>
      <c r="U4" s="69"/>
      <c r="V4" s="70"/>
    </row>
    <row r="5" spans="1:22">
      <c r="A5" s="80" t="s">
        <v>205</v>
      </c>
      <c r="B5" s="81"/>
      <c r="C5" s="81"/>
      <c r="D5" s="82"/>
      <c r="E5" s="69"/>
      <c r="F5" s="70"/>
      <c r="G5" s="69"/>
      <c r="H5" s="70"/>
      <c r="I5" s="69"/>
      <c r="J5" s="70"/>
      <c r="K5" s="69"/>
      <c r="L5" s="70"/>
      <c r="M5" s="69"/>
      <c r="N5" s="70"/>
      <c r="O5" s="69"/>
      <c r="P5" s="70"/>
      <c r="Q5" s="69"/>
      <c r="R5" s="70"/>
      <c r="S5" s="69"/>
      <c r="T5" s="70"/>
      <c r="U5" s="69"/>
      <c r="V5" s="70"/>
    </row>
    <row r="6" spans="1:22">
      <c r="A6" s="71">
        <f ca="1">TODAY()</f>
        <v>46062</v>
      </c>
      <c r="B6" s="72"/>
      <c r="C6" s="72"/>
      <c r="D6" s="73"/>
      <c r="E6" s="40"/>
      <c r="F6" s="41"/>
      <c r="G6" s="40"/>
      <c r="H6" s="41"/>
      <c r="I6" s="40"/>
      <c r="J6" s="41"/>
      <c r="K6" s="40"/>
      <c r="L6" s="41"/>
      <c r="M6" s="40"/>
      <c r="N6" s="41"/>
      <c r="O6" s="40"/>
      <c r="P6" s="41"/>
      <c r="Q6" s="40"/>
      <c r="R6" s="41"/>
      <c r="S6" s="40"/>
      <c r="T6" s="41"/>
      <c r="U6" s="40"/>
      <c r="V6" s="41"/>
    </row>
    <row r="7" spans="1:22" ht="32.25" customHeight="1">
      <c r="A7" s="9" t="s">
        <v>15</v>
      </c>
      <c r="B7" s="18" t="s">
        <v>16</v>
      </c>
      <c r="C7" s="36" t="s">
        <v>17</v>
      </c>
      <c r="D7" s="18" t="s">
        <v>18</v>
      </c>
      <c r="E7" s="42" t="s">
        <v>19</v>
      </c>
      <c r="F7" s="42" t="s">
        <v>20</v>
      </c>
      <c r="G7" s="42" t="s">
        <v>19</v>
      </c>
      <c r="H7" s="42" t="s">
        <v>20</v>
      </c>
      <c r="I7" s="42" t="s">
        <v>19</v>
      </c>
      <c r="J7" s="42" t="s">
        <v>20</v>
      </c>
      <c r="K7" s="42" t="s">
        <v>19</v>
      </c>
      <c r="L7" s="42" t="s">
        <v>20</v>
      </c>
      <c r="M7" s="42" t="s">
        <v>19</v>
      </c>
      <c r="N7" s="42" t="s">
        <v>20</v>
      </c>
      <c r="O7" s="42" t="s">
        <v>19</v>
      </c>
      <c r="P7" s="42" t="s">
        <v>20</v>
      </c>
      <c r="Q7" s="42" t="s">
        <v>19</v>
      </c>
      <c r="R7" s="42" t="s">
        <v>20</v>
      </c>
      <c r="S7" s="42" t="s">
        <v>19</v>
      </c>
      <c r="T7" s="42" t="s">
        <v>20</v>
      </c>
      <c r="U7" s="42" t="s">
        <v>19</v>
      </c>
      <c r="V7" s="42" t="s">
        <v>20</v>
      </c>
    </row>
    <row r="8" spans="1:22" ht="33" customHeight="1">
      <c r="A8" s="10" t="str">
        <f>'Base Bid'!A20</f>
        <v>0001</v>
      </c>
      <c r="B8" s="54" t="str">
        <f>'Base Bid'!B20</f>
        <v>Mobilization, Cleanup, and Demobilization
(Section 012200)</v>
      </c>
      <c r="C8" s="37">
        <f>'Base Bid'!C20</f>
        <v>1</v>
      </c>
      <c r="D8" s="19" t="str">
        <f>'Base Bid'!D20</f>
        <v>LS</v>
      </c>
      <c r="E8" s="25"/>
      <c r="F8" s="26">
        <f t="shared" ref="F8:F16" si="0">QTY*E8</f>
        <v>0</v>
      </c>
      <c r="G8" s="25"/>
      <c r="H8" s="26">
        <f t="shared" ref="H8:H16" si="1">QTY*G8</f>
        <v>0</v>
      </c>
      <c r="I8" s="25"/>
      <c r="J8" s="26">
        <f t="shared" ref="J8:J16" si="2">QTY*I8</f>
        <v>0</v>
      </c>
      <c r="K8" s="25"/>
      <c r="L8" s="26">
        <f t="shared" ref="L8:L16" si="3">QTY*K8</f>
        <v>0</v>
      </c>
      <c r="M8" s="25"/>
      <c r="N8" s="26">
        <f t="shared" ref="N8:N16" si="4">QTY*M8</f>
        <v>0</v>
      </c>
      <c r="O8" s="25"/>
      <c r="P8" s="26">
        <f t="shared" ref="P8:P16" si="5">QTY*O8</f>
        <v>0</v>
      </c>
      <c r="Q8" s="25"/>
      <c r="R8" s="26">
        <f t="shared" ref="R8:R16" si="6">QTY*Q8</f>
        <v>0</v>
      </c>
      <c r="S8" s="25"/>
      <c r="T8" s="26">
        <f t="shared" ref="T8:T16" si="7">QTY*S8</f>
        <v>0</v>
      </c>
      <c r="U8" s="25"/>
      <c r="V8" s="26">
        <f t="shared" ref="V8:V16" si="8">QTY*U8</f>
        <v>0</v>
      </c>
    </row>
    <row r="9" spans="1:22" ht="33" customHeight="1">
      <c r="A9" s="10" t="str">
        <f>'Base Bid'!A21</f>
        <v>0002</v>
      </c>
      <c r="B9" s="54" t="str">
        <f>'Base Bid'!B21</f>
        <v>Sweeper
(Section 012200)</v>
      </c>
      <c r="C9" s="37">
        <f>'Base Bid'!C21</f>
        <v>1</v>
      </c>
      <c r="D9" s="19" t="str">
        <f>'Base Bid'!D21</f>
        <v>LS</v>
      </c>
      <c r="E9" s="25"/>
      <c r="F9" s="26">
        <f t="shared" si="0"/>
        <v>0</v>
      </c>
      <c r="G9" s="25"/>
      <c r="H9" s="26">
        <f t="shared" si="1"/>
        <v>0</v>
      </c>
      <c r="I9" s="25"/>
      <c r="J9" s="26">
        <f t="shared" si="2"/>
        <v>0</v>
      </c>
      <c r="K9" s="25"/>
      <c r="L9" s="26">
        <f t="shared" si="3"/>
        <v>0</v>
      </c>
      <c r="M9" s="25"/>
      <c r="N9" s="26">
        <f t="shared" si="4"/>
        <v>0</v>
      </c>
      <c r="O9" s="25"/>
      <c r="P9" s="26">
        <f t="shared" si="5"/>
        <v>0</v>
      </c>
      <c r="Q9" s="25"/>
      <c r="R9" s="26">
        <f t="shared" si="6"/>
        <v>0</v>
      </c>
      <c r="S9" s="25"/>
      <c r="T9" s="26">
        <f t="shared" si="7"/>
        <v>0</v>
      </c>
      <c r="U9" s="25"/>
      <c r="V9" s="26">
        <f t="shared" si="8"/>
        <v>0</v>
      </c>
    </row>
    <row r="10" spans="1:22" ht="33" customHeight="1">
      <c r="A10" s="10" t="str">
        <f>'Base Bid'!A22</f>
        <v>0003</v>
      </c>
      <c r="B10" s="54" t="str">
        <f>'Base Bid'!B22</f>
        <v>Security Control Monitoring
(Section 012200)</v>
      </c>
      <c r="C10" s="37">
        <f>'Base Bid'!C22</f>
        <v>1</v>
      </c>
      <c r="D10" s="19" t="str">
        <f>'Base Bid'!D22</f>
        <v>LS</v>
      </c>
      <c r="E10" s="25"/>
      <c r="F10" s="26">
        <f t="shared" si="0"/>
        <v>0</v>
      </c>
      <c r="G10" s="25"/>
      <c r="H10" s="26">
        <f t="shared" si="1"/>
        <v>0</v>
      </c>
      <c r="I10" s="25"/>
      <c r="J10" s="26">
        <f t="shared" si="2"/>
        <v>0</v>
      </c>
      <c r="K10" s="25"/>
      <c r="L10" s="26">
        <f t="shared" si="3"/>
        <v>0</v>
      </c>
      <c r="M10" s="25"/>
      <c r="N10" s="26">
        <f t="shared" si="4"/>
        <v>0</v>
      </c>
      <c r="O10" s="25"/>
      <c r="P10" s="26">
        <f t="shared" si="5"/>
        <v>0</v>
      </c>
      <c r="Q10" s="25"/>
      <c r="R10" s="26">
        <f t="shared" si="6"/>
        <v>0</v>
      </c>
      <c r="S10" s="25"/>
      <c r="T10" s="26">
        <f t="shared" si="7"/>
        <v>0</v>
      </c>
      <c r="U10" s="25"/>
      <c r="V10" s="26">
        <f t="shared" si="8"/>
        <v>0</v>
      </c>
    </row>
    <row r="11" spans="1:22" ht="33" customHeight="1">
      <c r="A11" s="10" t="str">
        <f>'Base Bid'!A23</f>
        <v>0004</v>
      </c>
      <c r="B11" s="54" t="str">
        <f>'Base Bid'!B23</f>
        <v>Work Zone and Traffic Control
(Section 012200)</v>
      </c>
      <c r="C11" s="37">
        <f>'Base Bid'!C23</f>
        <v>1</v>
      </c>
      <c r="D11" s="19" t="str">
        <f>'Base Bid'!D23</f>
        <v>LS</v>
      </c>
      <c r="E11" s="25"/>
      <c r="F11" s="26">
        <f t="shared" si="0"/>
        <v>0</v>
      </c>
      <c r="G11" s="25"/>
      <c r="H11" s="26">
        <f t="shared" si="1"/>
        <v>0</v>
      </c>
      <c r="I11" s="25"/>
      <c r="J11" s="26">
        <f t="shared" si="2"/>
        <v>0</v>
      </c>
      <c r="K11" s="25"/>
      <c r="L11" s="26">
        <f t="shared" si="3"/>
        <v>0</v>
      </c>
      <c r="M11" s="25"/>
      <c r="N11" s="26">
        <f t="shared" si="4"/>
        <v>0</v>
      </c>
      <c r="O11" s="25"/>
      <c r="P11" s="26">
        <f t="shared" si="5"/>
        <v>0</v>
      </c>
      <c r="Q11" s="25"/>
      <c r="R11" s="26">
        <f t="shared" si="6"/>
        <v>0</v>
      </c>
      <c r="S11" s="25"/>
      <c r="T11" s="26">
        <f t="shared" si="7"/>
        <v>0</v>
      </c>
      <c r="U11" s="25"/>
      <c r="V11" s="26">
        <f t="shared" si="8"/>
        <v>0</v>
      </c>
    </row>
    <row r="12" spans="1:22" ht="33" customHeight="1">
      <c r="A12" s="10" t="str">
        <f>'Base Bid'!A24</f>
        <v>0005</v>
      </c>
      <c r="B12" s="54" t="str">
        <f>'Base Bid'!B24</f>
        <v>Escort
(Section 012200)</v>
      </c>
      <c r="C12" s="37">
        <f>'Base Bid'!C24</f>
        <v>1</v>
      </c>
      <c r="D12" s="19" t="str">
        <f>'Base Bid'!D24</f>
        <v>LS</v>
      </c>
      <c r="E12" s="25"/>
      <c r="F12" s="26">
        <f t="shared" si="0"/>
        <v>0</v>
      </c>
      <c r="G12" s="25"/>
      <c r="H12" s="26">
        <f t="shared" si="1"/>
        <v>0</v>
      </c>
      <c r="I12" s="25"/>
      <c r="J12" s="26">
        <f t="shared" si="2"/>
        <v>0</v>
      </c>
      <c r="K12" s="25"/>
      <c r="L12" s="26">
        <f t="shared" si="3"/>
        <v>0</v>
      </c>
      <c r="M12" s="25"/>
      <c r="N12" s="26">
        <f t="shared" si="4"/>
        <v>0</v>
      </c>
      <c r="O12" s="25"/>
      <c r="P12" s="26">
        <f t="shared" si="5"/>
        <v>0</v>
      </c>
      <c r="Q12" s="25"/>
      <c r="R12" s="26">
        <f t="shared" si="6"/>
        <v>0</v>
      </c>
      <c r="S12" s="25"/>
      <c r="T12" s="26">
        <f t="shared" si="7"/>
        <v>0</v>
      </c>
      <c r="U12" s="25"/>
      <c r="V12" s="26">
        <f t="shared" si="8"/>
        <v>0</v>
      </c>
    </row>
    <row r="13" spans="1:22" ht="33" customHeight="1">
      <c r="A13" s="10" t="str">
        <f>'Base Bid'!A25</f>
        <v>0006</v>
      </c>
      <c r="B13" s="54" t="str">
        <f>'Base Bid'!B25</f>
        <v>Jet Blast Control Material
(Section 015713)</v>
      </c>
      <c r="C13" s="37">
        <f>'Base Bid'!C25</f>
        <v>1.4</v>
      </c>
      <c r="D13" s="19" t="str">
        <f>'Base Bid'!D25</f>
        <v>Acre</v>
      </c>
      <c r="E13" s="25"/>
      <c r="F13" s="26">
        <f t="shared" si="0"/>
        <v>0</v>
      </c>
      <c r="G13" s="25"/>
      <c r="H13" s="26">
        <f t="shared" si="1"/>
        <v>0</v>
      </c>
      <c r="I13" s="25"/>
      <c r="J13" s="26">
        <f t="shared" si="2"/>
        <v>0</v>
      </c>
      <c r="K13" s="25"/>
      <c r="L13" s="26">
        <f t="shared" si="3"/>
        <v>0</v>
      </c>
      <c r="M13" s="25"/>
      <c r="N13" s="26">
        <f t="shared" si="4"/>
        <v>0</v>
      </c>
      <c r="O13" s="25"/>
      <c r="P13" s="26">
        <f t="shared" si="5"/>
        <v>0</v>
      </c>
      <c r="Q13" s="25"/>
      <c r="R13" s="26">
        <f t="shared" si="6"/>
        <v>0</v>
      </c>
      <c r="S13" s="25"/>
      <c r="T13" s="26">
        <f t="shared" si="7"/>
        <v>0</v>
      </c>
      <c r="U13" s="25"/>
      <c r="V13" s="26">
        <f t="shared" si="8"/>
        <v>0</v>
      </c>
    </row>
    <row r="14" spans="1:22" ht="33" customHeight="1">
      <c r="A14" s="10" t="str">
        <f>'Base Bid'!A26</f>
        <v>0007</v>
      </c>
      <c r="B14" s="54" t="str">
        <f>'Base Bid'!B26</f>
        <v>Inlet Protection
(Section 015713)</v>
      </c>
      <c r="C14" s="37">
        <f>'Base Bid'!C26</f>
        <v>35</v>
      </c>
      <c r="D14" s="19" t="str">
        <f>'Base Bid'!D26</f>
        <v>Each</v>
      </c>
      <c r="E14" s="25"/>
      <c r="F14" s="26">
        <f t="shared" si="0"/>
        <v>0</v>
      </c>
      <c r="G14" s="25"/>
      <c r="H14" s="26">
        <f t="shared" si="1"/>
        <v>0</v>
      </c>
      <c r="I14" s="25"/>
      <c r="J14" s="26">
        <f t="shared" si="2"/>
        <v>0</v>
      </c>
      <c r="K14" s="25"/>
      <c r="L14" s="26">
        <f t="shared" si="3"/>
        <v>0</v>
      </c>
      <c r="M14" s="25"/>
      <c r="N14" s="26">
        <f t="shared" si="4"/>
        <v>0</v>
      </c>
      <c r="O14" s="25"/>
      <c r="P14" s="26">
        <f t="shared" si="5"/>
        <v>0</v>
      </c>
      <c r="Q14" s="25"/>
      <c r="R14" s="26">
        <f t="shared" si="6"/>
        <v>0</v>
      </c>
      <c r="S14" s="25"/>
      <c r="T14" s="26">
        <f t="shared" si="7"/>
        <v>0</v>
      </c>
      <c r="U14" s="25"/>
      <c r="V14" s="26">
        <f t="shared" si="8"/>
        <v>0</v>
      </c>
    </row>
    <row r="15" spans="1:22" ht="33" customHeight="1">
      <c r="A15" s="10" t="str">
        <f>'Base Bid'!A27</f>
        <v>0008</v>
      </c>
      <c r="B15" s="54" t="str">
        <f>'Base Bid'!B27</f>
        <v>Trench Protection
(Section 015713)</v>
      </c>
      <c r="C15" s="59">
        <f>'Base Bid'!C27</f>
        <v>1740</v>
      </c>
      <c r="D15" s="19" t="str">
        <f>'Base Bid'!D27</f>
        <v>LF</v>
      </c>
      <c r="E15" s="25"/>
      <c r="F15" s="26">
        <f t="shared" si="0"/>
        <v>0</v>
      </c>
      <c r="G15" s="25"/>
      <c r="H15" s="26">
        <f t="shared" si="1"/>
        <v>0</v>
      </c>
      <c r="I15" s="25"/>
      <c r="J15" s="26">
        <f t="shared" si="2"/>
        <v>0</v>
      </c>
      <c r="K15" s="25"/>
      <c r="L15" s="26">
        <f t="shared" si="3"/>
        <v>0</v>
      </c>
      <c r="M15" s="25"/>
      <c r="N15" s="26">
        <f t="shared" si="4"/>
        <v>0</v>
      </c>
      <c r="O15" s="25"/>
      <c r="P15" s="26">
        <f t="shared" si="5"/>
        <v>0</v>
      </c>
      <c r="Q15" s="25"/>
      <c r="R15" s="26">
        <f t="shared" si="6"/>
        <v>0</v>
      </c>
      <c r="S15" s="25"/>
      <c r="T15" s="26">
        <f t="shared" si="7"/>
        <v>0</v>
      </c>
      <c r="U15" s="25"/>
      <c r="V15" s="26">
        <f t="shared" si="8"/>
        <v>0</v>
      </c>
    </row>
    <row r="16" spans="1:22" ht="33" customHeight="1">
      <c r="A16" s="10" t="str">
        <f>'Base Bid'!A28</f>
        <v>0009</v>
      </c>
      <c r="B16" s="54" t="str">
        <f>'Base Bid'!B28</f>
        <v>Construction Survey
(Item GP-50)</v>
      </c>
      <c r="C16" s="59">
        <f>'Base Bid'!C28</f>
        <v>1</v>
      </c>
      <c r="D16" s="19" t="str">
        <f>'Base Bid'!D28</f>
        <v>LS</v>
      </c>
      <c r="E16" s="25"/>
      <c r="F16" s="26">
        <f t="shared" si="0"/>
        <v>0</v>
      </c>
      <c r="G16" s="25"/>
      <c r="H16" s="26">
        <f t="shared" si="1"/>
        <v>0</v>
      </c>
      <c r="I16" s="25"/>
      <c r="J16" s="26">
        <f t="shared" si="2"/>
        <v>0</v>
      </c>
      <c r="K16" s="25"/>
      <c r="L16" s="26">
        <f t="shared" si="3"/>
        <v>0</v>
      </c>
      <c r="M16" s="25"/>
      <c r="N16" s="26">
        <f t="shared" si="4"/>
        <v>0</v>
      </c>
      <c r="O16" s="25"/>
      <c r="P16" s="26">
        <f t="shared" si="5"/>
        <v>0</v>
      </c>
      <c r="Q16" s="25"/>
      <c r="R16" s="26">
        <f t="shared" si="6"/>
        <v>0</v>
      </c>
      <c r="S16" s="25"/>
      <c r="T16" s="26">
        <f t="shared" si="7"/>
        <v>0</v>
      </c>
      <c r="U16" s="25"/>
      <c r="V16" s="26">
        <f t="shared" si="8"/>
        <v>0</v>
      </c>
    </row>
    <row r="17" spans="1:22" ht="33" customHeight="1">
      <c r="A17" s="10" t="str">
        <f>'Base Bid'!A29</f>
        <v>0010</v>
      </c>
      <c r="B17" s="54" t="str">
        <f>'Base Bid'!B29</f>
        <v>PCC Pavement Removal - 3-Inch Depth
(Item P-101)</v>
      </c>
      <c r="C17" s="59">
        <f>'Base Bid'!C29</f>
        <v>320</v>
      </c>
      <c r="D17" s="19" t="str">
        <f>'Base Bid'!D29</f>
        <v>SY</v>
      </c>
      <c r="E17" s="25"/>
      <c r="F17" s="26">
        <f t="shared" ref="F17:F78" si="9">QTY*E17</f>
        <v>0</v>
      </c>
      <c r="G17" s="25"/>
      <c r="H17" s="26">
        <f t="shared" ref="H17:H78" si="10">QTY*G17</f>
        <v>0</v>
      </c>
      <c r="I17" s="25"/>
      <c r="J17" s="26">
        <f t="shared" ref="J17:J78" si="11">QTY*I17</f>
        <v>0</v>
      </c>
      <c r="K17" s="25"/>
      <c r="L17" s="26">
        <f t="shared" ref="L17:L78" si="12">QTY*K17</f>
        <v>0</v>
      </c>
      <c r="M17" s="25"/>
      <c r="N17" s="26">
        <f t="shared" ref="N17:N78" si="13">QTY*M17</f>
        <v>0</v>
      </c>
      <c r="O17" s="25"/>
      <c r="P17" s="26">
        <f t="shared" ref="P17:P78" si="14">QTY*O17</f>
        <v>0</v>
      </c>
      <c r="Q17" s="25"/>
      <c r="R17" s="26">
        <f t="shared" ref="R17:R78" si="15">QTY*Q17</f>
        <v>0</v>
      </c>
      <c r="S17" s="25"/>
      <c r="T17" s="26">
        <f t="shared" ref="T17:T78" si="16">QTY*S17</f>
        <v>0</v>
      </c>
      <c r="U17" s="25"/>
      <c r="V17" s="26">
        <f t="shared" ref="V17:V78" si="17">QTY*U17</f>
        <v>0</v>
      </c>
    </row>
    <row r="18" spans="1:22" ht="33" customHeight="1">
      <c r="A18" s="10" t="str">
        <f>'Base Bid'!A30</f>
        <v>0011</v>
      </c>
      <c r="B18" s="54" t="str">
        <f>'Base Bid'!B30</f>
        <v>PCC Pavement Removal - 4-Inch Depth
(Item P-101)</v>
      </c>
      <c r="C18" s="59">
        <f>'Base Bid'!C30</f>
        <v>60</v>
      </c>
      <c r="D18" s="19" t="str">
        <f>'Base Bid'!D30</f>
        <v>SY</v>
      </c>
      <c r="E18" s="25"/>
      <c r="F18" s="26">
        <f t="shared" si="9"/>
        <v>0</v>
      </c>
      <c r="G18" s="25"/>
      <c r="H18" s="26">
        <f t="shared" si="10"/>
        <v>0</v>
      </c>
      <c r="I18" s="25"/>
      <c r="J18" s="26">
        <f t="shared" si="11"/>
        <v>0</v>
      </c>
      <c r="K18" s="25"/>
      <c r="L18" s="26">
        <f t="shared" si="12"/>
        <v>0</v>
      </c>
      <c r="M18" s="25"/>
      <c r="N18" s="26">
        <f t="shared" si="13"/>
        <v>0</v>
      </c>
      <c r="O18" s="25"/>
      <c r="P18" s="26">
        <f t="shared" si="14"/>
        <v>0</v>
      </c>
      <c r="Q18" s="25"/>
      <c r="R18" s="26">
        <f t="shared" si="15"/>
        <v>0</v>
      </c>
      <c r="S18" s="25"/>
      <c r="T18" s="26">
        <f t="shared" si="16"/>
        <v>0</v>
      </c>
      <c r="U18" s="25"/>
      <c r="V18" s="26">
        <f t="shared" si="17"/>
        <v>0</v>
      </c>
    </row>
    <row r="19" spans="1:22" ht="33" customHeight="1">
      <c r="A19" s="10" t="str">
        <f>'Base Bid'!A31</f>
        <v>0012</v>
      </c>
      <c r="B19" s="54" t="str">
        <f>'Base Bid'!B31</f>
        <v>PCC Pavement Removal - 16-Inch Depth
(Item P-101)</v>
      </c>
      <c r="C19" s="59">
        <f>'Base Bid'!C31</f>
        <v>9400</v>
      </c>
      <c r="D19" s="19" t="str">
        <f>'Base Bid'!D31</f>
        <v>SY</v>
      </c>
      <c r="E19" s="25"/>
      <c r="F19" s="26">
        <f t="shared" si="9"/>
        <v>0</v>
      </c>
      <c r="G19" s="25"/>
      <c r="H19" s="26">
        <f t="shared" si="10"/>
        <v>0</v>
      </c>
      <c r="I19" s="25"/>
      <c r="J19" s="26">
        <f t="shared" si="11"/>
        <v>0</v>
      </c>
      <c r="K19" s="25"/>
      <c r="L19" s="26">
        <f t="shared" si="12"/>
        <v>0</v>
      </c>
      <c r="M19" s="25"/>
      <c r="N19" s="26">
        <f t="shared" si="13"/>
        <v>0</v>
      </c>
      <c r="O19" s="25"/>
      <c r="P19" s="26">
        <f t="shared" si="14"/>
        <v>0</v>
      </c>
      <c r="Q19" s="25"/>
      <c r="R19" s="26">
        <f t="shared" si="15"/>
        <v>0</v>
      </c>
      <c r="S19" s="25"/>
      <c r="T19" s="26">
        <f t="shared" si="16"/>
        <v>0</v>
      </c>
      <c r="U19" s="25"/>
      <c r="V19" s="26">
        <f t="shared" si="17"/>
        <v>0</v>
      </c>
    </row>
    <row r="20" spans="1:22" ht="33" customHeight="1">
      <c r="A20" s="10" t="str">
        <f>'Base Bid'!A32</f>
        <v>0013</v>
      </c>
      <c r="B20" s="54" t="str">
        <f>'Base Bid'!B32</f>
        <v>Asphalt Pavement Removal - 3-Inch Depth
(Item P-101)</v>
      </c>
      <c r="C20" s="59">
        <f>'Base Bid'!C32</f>
        <v>3700</v>
      </c>
      <c r="D20" s="19" t="str">
        <f>'Base Bid'!D32</f>
        <v>SY</v>
      </c>
      <c r="E20" s="25"/>
      <c r="F20" s="26">
        <f t="shared" si="9"/>
        <v>0</v>
      </c>
      <c r="G20" s="25"/>
      <c r="H20" s="26">
        <f t="shared" si="10"/>
        <v>0</v>
      </c>
      <c r="I20" s="25"/>
      <c r="J20" s="26">
        <f t="shared" si="11"/>
        <v>0</v>
      </c>
      <c r="K20" s="25"/>
      <c r="L20" s="26">
        <f t="shared" si="12"/>
        <v>0</v>
      </c>
      <c r="M20" s="25"/>
      <c r="N20" s="26">
        <f t="shared" si="13"/>
        <v>0</v>
      </c>
      <c r="O20" s="25"/>
      <c r="P20" s="26">
        <f t="shared" si="14"/>
        <v>0</v>
      </c>
      <c r="Q20" s="25"/>
      <c r="R20" s="26">
        <f t="shared" si="15"/>
        <v>0</v>
      </c>
      <c r="S20" s="25"/>
      <c r="T20" s="26">
        <f t="shared" si="16"/>
        <v>0</v>
      </c>
      <c r="U20" s="25"/>
      <c r="V20" s="26">
        <f t="shared" si="17"/>
        <v>0</v>
      </c>
    </row>
    <row r="21" spans="1:22" ht="33" customHeight="1">
      <c r="A21" s="10" t="str">
        <f>'Base Bid'!A33</f>
        <v>0014</v>
      </c>
      <c r="B21" s="54" t="str">
        <f>'Base Bid'!B33</f>
        <v>Asphalt Pavement Removal - 6-Inch Depth
(Item P-101)</v>
      </c>
      <c r="C21" s="59">
        <f>'Base Bid'!C33</f>
        <v>16900</v>
      </c>
      <c r="D21" s="19" t="str">
        <f>'Base Bid'!D33</f>
        <v>SY</v>
      </c>
      <c r="E21" s="25"/>
      <c r="F21" s="26">
        <f t="shared" si="9"/>
        <v>0</v>
      </c>
      <c r="G21" s="25"/>
      <c r="H21" s="26">
        <f t="shared" si="10"/>
        <v>0</v>
      </c>
      <c r="I21" s="25"/>
      <c r="J21" s="26">
        <f t="shared" si="11"/>
        <v>0</v>
      </c>
      <c r="K21" s="25"/>
      <c r="L21" s="26">
        <f t="shared" si="12"/>
        <v>0</v>
      </c>
      <c r="M21" s="25"/>
      <c r="N21" s="26">
        <f t="shared" si="13"/>
        <v>0</v>
      </c>
      <c r="O21" s="25"/>
      <c r="P21" s="26">
        <f t="shared" si="14"/>
        <v>0</v>
      </c>
      <c r="Q21" s="25"/>
      <c r="R21" s="26">
        <f t="shared" si="15"/>
        <v>0</v>
      </c>
      <c r="S21" s="25"/>
      <c r="T21" s="26">
        <f t="shared" si="16"/>
        <v>0</v>
      </c>
      <c r="U21" s="25"/>
      <c r="V21" s="26">
        <f t="shared" si="17"/>
        <v>0</v>
      </c>
    </row>
    <row r="22" spans="1:22" ht="33" customHeight="1">
      <c r="A22" s="10" t="str">
        <f>'Base Bid'!A34</f>
        <v>0015</v>
      </c>
      <c r="B22" s="54" t="str">
        <f>'Base Bid'!B34</f>
        <v>Asphalt Pavement Removal - 9-Inch Depth
(Item P-101)</v>
      </c>
      <c r="C22" s="59">
        <f>'Base Bid'!C34</f>
        <v>3000</v>
      </c>
      <c r="D22" s="19" t="str">
        <f>'Base Bid'!D34</f>
        <v>SY</v>
      </c>
      <c r="E22" s="25"/>
      <c r="F22" s="26">
        <f t="shared" si="9"/>
        <v>0</v>
      </c>
      <c r="G22" s="25"/>
      <c r="H22" s="26">
        <f t="shared" si="10"/>
        <v>0</v>
      </c>
      <c r="I22" s="25"/>
      <c r="J22" s="26">
        <f t="shared" si="11"/>
        <v>0</v>
      </c>
      <c r="K22" s="25"/>
      <c r="L22" s="26">
        <f t="shared" si="12"/>
        <v>0</v>
      </c>
      <c r="M22" s="25"/>
      <c r="N22" s="26">
        <f t="shared" si="13"/>
        <v>0</v>
      </c>
      <c r="O22" s="25"/>
      <c r="P22" s="26">
        <f t="shared" si="14"/>
        <v>0</v>
      </c>
      <c r="Q22" s="25"/>
      <c r="R22" s="26">
        <f t="shared" si="15"/>
        <v>0</v>
      </c>
      <c r="S22" s="25"/>
      <c r="T22" s="26">
        <f t="shared" si="16"/>
        <v>0</v>
      </c>
      <c r="U22" s="25"/>
      <c r="V22" s="26">
        <f t="shared" si="17"/>
        <v>0</v>
      </c>
    </row>
    <row r="23" spans="1:22" ht="33" customHeight="1">
      <c r="A23" s="10" t="str">
        <f>'Base Bid'!A35</f>
        <v>0016</v>
      </c>
      <c r="B23" s="54" t="str">
        <f>'Base Bid'!B35</f>
        <v>Asphalt Pavement Removal - 12-Inch Depth
(Item P-101)</v>
      </c>
      <c r="C23" s="59">
        <f>'Base Bid'!C35</f>
        <v>26500</v>
      </c>
      <c r="D23" s="19" t="str">
        <f>'Base Bid'!D35</f>
        <v>SY</v>
      </c>
      <c r="E23" s="25"/>
      <c r="F23" s="26">
        <f t="shared" si="9"/>
        <v>0</v>
      </c>
      <c r="G23" s="25"/>
      <c r="H23" s="26">
        <f t="shared" si="10"/>
        <v>0</v>
      </c>
      <c r="I23" s="25"/>
      <c r="J23" s="26">
        <f t="shared" si="11"/>
        <v>0</v>
      </c>
      <c r="K23" s="25"/>
      <c r="L23" s="26">
        <f t="shared" si="12"/>
        <v>0</v>
      </c>
      <c r="M23" s="25"/>
      <c r="N23" s="26">
        <f t="shared" si="13"/>
        <v>0</v>
      </c>
      <c r="O23" s="25"/>
      <c r="P23" s="26">
        <f t="shared" si="14"/>
        <v>0</v>
      </c>
      <c r="Q23" s="25"/>
      <c r="R23" s="26">
        <f t="shared" si="15"/>
        <v>0</v>
      </c>
      <c r="S23" s="25"/>
      <c r="T23" s="26">
        <f t="shared" si="16"/>
        <v>0</v>
      </c>
      <c r="U23" s="25"/>
      <c r="V23" s="26">
        <f t="shared" si="17"/>
        <v>0</v>
      </c>
    </row>
    <row r="24" spans="1:22" ht="33" customHeight="1">
      <c r="A24" s="10" t="str">
        <f>'Base Bid'!A36</f>
        <v>0017</v>
      </c>
      <c r="B24" s="54" t="str">
        <f>'Base Bid'!B36</f>
        <v>Asphalt Pavement Removal - 15-Inch Depth
(Item P-101)</v>
      </c>
      <c r="C24" s="59">
        <f>'Base Bid'!C36</f>
        <v>7000</v>
      </c>
      <c r="D24" s="19" t="str">
        <f>'Base Bid'!D36</f>
        <v>SY</v>
      </c>
      <c r="E24" s="25"/>
      <c r="F24" s="26">
        <f t="shared" si="9"/>
        <v>0</v>
      </c>
      <c r="G24" s="25"/>
      <c r="H24" s="26">
        <f t="shared" si="10"/>
        <v>0</v>
      </c>
      <c r="I24" s="25"/>
      <c r="J24" s="26">
        <f t="shared" si="11"/>
        <v>0</v>
      </c>
      <c r="K24" s="25"/>
      <c r="L24" s="26">
        <f t="shared" si="12"/>
        <v>0</v>
      </c>
      <c r="M24" s="25"/>
      <c r="N24" s="26">
        <f t="shared" si="13"/>
        <v>0</v>
      </c>
      <c r="O24" s="25"/>
      <c r="P24" s="26">
        <f t="shared" si="14"/>
        <v>0</v>
      </c>
      <c r="Q24" s="25"/>
      <c r="R24" s="26">
        <f t="shared" si="15"/>
        <v>0</v>
      </c>
      <c r="S24" s="25"/>
      <c r="T24" s="26">
        <f t="shared" si="16"/>
        <v>0</v>
      </c>
      <c r="U24" s="25"/>
      <c r="V24" s="26">
        <f t="shared" si="17"/>
        <v>0</v>
      </c>
    </row>
    <row r="25" spans="1:22" ht="33" customHeight="1">
      <c r="A25" s="10" t="str">
        <f>'Base Bid'!A37</f>
        <v>0018</v>
      </c>
      <c r="B25" s="54" t="str">
        <f>'Base Bid'!B37</f>
        <v>Joint and Crack Repair
(Item P-101)</v>
      </c>
      <c r="C25" s="59">
        <f>'Base Bid'!C37</f>
        <v>1500</v>
      </c>
      <c r="D25" s="19" t="str">
        <f>'Base Bid'!D37</f>
        <v>LF</v>
      </c>
      <c r="E25" s="25"/>
      <c r="F25" s="26">
        <f t="shared" si="9"/>
        <v>0</v>
      </c>
      <c r="G25" s="25"/>
      <c r="H25" s="26">
        <f t="shared" si="10"/>
        <v>0</v>
      </c>
      <c r="I25" s="25"/>
      <c r="J25" s="26">
        <f t="shared" si="11"/>
        <v>0</v>
      </c>
      <c r="K25" s="25"/>
      <c r="L25" s="26">
        <f t="shared" si="12"/>
        <v>0</v>
      </c>
      <c r="M25" s="25"/>
      <c r="N25" s="26">
        <f t="shared" si="13"/>
        <v>0</v>
      </c>
      <c r="O25" s="25"/>
      <c r="P25" s="26">
        <f t="shared" si="14"/>
        <v>0</v>
      </c>
      <c r="Q25" s="25"/>
      <c r="R25" s="26">
        <f t="shared" si="15"/>
        <v>0</v>
      </c>
      <c r="S25" s="25"/>
      <c r="T25" s="26">
        <f t="shared" si="16"/>
        <v>0</v>
      </c>
      <c r="U25" s="25"/>
      <c r="V25" s="26">
        <f t="shared" si="17"/>
        <v>0</v>
      </c>
    </row>
    <row r="26" spans="1:22" ht="33" customHeight="1">
      <c r="A26" s="10" t="str">
        <f>'Base Bid'!A38</f>
        <v>0019</v>
      </c>
      <c r="B26" s="54" t="str">
        <f>'Base Bid'!B38</f>
        <v>Cold Milling - 3-Inch Maximum Depth
(Item P-101)</v>
      </c>
      <c r="C26" s="59">
        <f>'Base Bid'!C38</f>
        <v>400</v>
      </c>
      <c r="D26" s="19" t="str">
        <f>'Base Bid'!D38</f>
        <v>SY</v>
      </c>
      <c r="E26" s="25"/>
      <c r="F26" s="26">
        <f t="shared" si="9"/>
        <v>0</v>
      </c>
      <c r="G26" s="25"/>
      <c r="H26" s="26">
        <f t="shared" si="10"/>
        <v>0</v>
      </c>
      <c r="I26" s="25"/>
      <c r="J26" s="26">
        <f t="shared" si="11"/>
        <v>0</v>
      </c>
      <c r="K26" s="25"/>
      <c r="L26" s="26">
        <f t="shared" si="12"/>
        <v>0</v>
      </c>
      <c r="M26" s="25"/>
      <c r="N26" s="26">
        <f t="shared" si="13"/>
        <v>0</v>
      </c>
      <c r="O26" s="25"/>
      <c r="P26" s="26">
        <f t="shared" si="14"/>
        <v>0</v>
      </c>
      <c r="Q26" s="25"/>
      <c r="R26" s="26">
        <f t="shared" si="15"/>
        <v>0</v>
      </c>
      <c r="S26" s="25"/>
      <c r="T26" s="26">
        <f t="shared" si="16"/>
        <v>0</v>
      </c>
      <c r="U26" s="25"/>
      <c r="V26" s="26">
        <f t="shared" si="17"/>
        <v>0</v>
      </c>
    </row>
    <row r="27" spans="1:22" ht="33" customHeight="1">
      <c r="A27" s="10" t="str">
        <f>'Base Bid'!A39</f>
        <v>0020</v>
      </c>
      <c r="B27" s="54" t="str">
        <f>'Base Bid'!B39</f>
        <v>Unclassified Excavation
(Item P-152)</v>
      </c>
      <c r="C27" s="59">
        <f>'Base Bid'!C39</f>
        <v>65000</v>
      </c>
      <c r="D27" s="19" t="str">
        <f>'Base Bid'!D39</f>
        <v>CY</v>
      </c>
      <c r="E27" s="25"/>
      <c r="F27" s="26">
        <f t="shared" si="9"/>
        <v>0</v>
      </c>
      <c r="G27" s="25"/>
      <c r="H27" s="26">
        <f t="shared" si="10"/>
        <v>0</v>
      </c>
      <c r="I27" s="25"/>
      <c r="J27" s="26">
        <f t="shared" si="11"/>
        <v>0</v>
      </c>
      <c r="K27" s="25"/>
      <c r="L27" s="26">
        <f t="shared" si="12"/>
        <v>0</v>
      </c>
      <c r="M27" s="25"/>
      <c r="N27" s="26">
        <f t="shared" si="13"/>
        <v>0</v>
      </c>
      <c r="O27" s="25"/>
      <c r="P27" s="26">
        <f t="shared" si="14"/>
        <v>0</v>
      </c>
      <c r="Q27" s="25"/>
      <c r="R27" s="26">
        <f t="shared" si="15"/>
        <v>0</v>
      </c>
      <c r="S27" s="25"/>
      <c r="T27" s="26">
        <f t="shared" si="16"/>
        <v>0</v>
      </c>
      <c r="U27" s="25"/>
      <c r="V27" s="26">
        <f t="shared" si="17"/>
        <v>0</v>
      </c>
    </row>
    <row r="28" spans="1:22" ht="33" customHeight="1">
      <c r="A28" s="10" t="str">
        <f>'Base Bid'!A40</f>
        <v>0021</v>
      </c>
      <c r="B28" s="54" t="str">
        <f>'Base Bid'!B40</f>
        <v>Unsuitable Excavation
(Item P-152)</v>
      </c>
      <c r="C28" s="59">
        <f>'Base Bid'!C40</f>
        <v>3250</v>
      </c>
      <c r="D28" s="19" t="str">
        <f>'Base Bid'!D40</f>
        <v>CY</v>
      </c>
      <c r="E28" s="25"/>
      <c r="F28" s="26">
        <f t="shared" si="9"/>
        <v>0</v>
      </c>
      <c r="G28" s="25"/>
      <c r="H28" s="26">
        <f t="shared" si="10"/>
        <v>0</v>
      </c>
      <c r="I28" s="25"/>
      <c r="J28" s="26">
        <f t="shared" si="11"/>
        <v>0</v>
      </c>
      <c r="K28" s="25"/>
      <c r="L28" s="26">
        <f t="shared" si="12"/>
        <v>0</v>
      </c>
      <c r="M28" s="25"/>
      <c r="N28" s="26">
        <f t="shared" si="13"/>
        <v>0</v>
      </c>
      <c r="O28" s="25"/>
      <c r="P28" s="26">
        <f t="shared" si="14"/>
        <v>0</v>
      </c>
      <c r="Q28" s="25"/>
      <c r="R28" s="26">
        <f t="shared" si="15"/>
        <v>0</v>
      </c>
      <c r="S28" s="25"/>
      <c r="T28" s="26">
        <f t="shared" si="16"/>
        <v>0</v>
      </c>
      <c r="U28" s="25"/>
      <c r="V28" s="26">
        <f t="shared" si="17"/>
        <v>0</v>
      </c>
    </row>
    <row r="29" spans="1:22" ht="33" customHeight="1">
      <c r="A29" s="10" t="str">
        <f>'Base Bid'!A41</f>
        <v>0022</v>
      </c>
      <c r="B29" s="54" t="str">
        <f>'Base Bid'!B41</f>
        <v>Geotextile
(Item P-152)</v>
      </c>
      <c r="C29" s="59">
        <f>'Base Bid'!C41</f>
        <v>57000</v>
      </c>
      <c r="D29" s="19" t="str">
        <f>'Base Bid'!D41</f>
        <v>SY</v>
      </c>
      <c r="E29" s="25"/>
      <c r="F29" s="26">
        <f t="shared" si="9"/>
        <v>0</v>
      </c>
      <c r="G29" s="25"/>
      <c r="H29" s="26">
        <f t="shared" si="10"/>
        <v>0</v>
      </c>
      <c r="I29" s="25"/>
      <c r="J29" s="26">
        <f t="shared" si="11"/>
        <v>0</v>
      </c>
      <c r="K29" s="25"/>
      <c r="L29" s="26">
        <f t="shared" si="12"/>
        <v>0</v>
      </c>
      <c r="M29" s="25"/>
      <c r="N29" s="26">
        <f t="shared" si="13"/>
        <v>0</v>
      </c>
      <c r="O29" s="25"/>
      <c r="P29" s="26">
        <f t="shared" si="14"/>
        <v>0</v>
      </c>
      <c r="Q29" s="25"/>
      <c r="R29" s="26">
        <f t="shared" si="15"/>
        <v>0</v>
      </c>
      <c r="S29" s="25"/>
      <c r="T29" s="26">
        <f t="shared" si="16"/>
        <v>0</v>
      </c>
      <c r="U29" s="25"/>
      <c r="V29" s="26">
        <f t="shared" si="17"/>
        <v>0</v>
      </c>
    </row>
    <row r="30" spans="1:22" ht="33" customHeight="1">
      <c r="A30" s="10" t="str">
        <f>'Base Bid'!A42</f>
        <v>0023</v>
      </c>
      <c r="B30" s="54" t="str">
        <f>'Base Bid'!B42</f>
        <v>Controlled Low-Strength Material
(Item P-153)</v>
      </c>
      <c r="C30" s="59">
        <f>'Base Bid'!C42</f>
        <v>2000</v>
      </c>
      <c r="D30" s="19" t="str">
        <f>'Base Bid'!D42</f>
        <v>CY</v>
      </c>
      <c r="E30" s="25"/>
      <c r="F30" s="26">
        <f t="shared" si="9"/>
        <v>0</v>
      </c>
      <c r="G30" s="25"/>
      <c r="H30" s="26">
        <f t="shared" si="10"/>
        <v>0</v>
      </c>
      <c r="I30" s="25"/>
      <c r="J30" s="26">
        <f t="shared" si="11"/>
        <v>0</v>
      </c>
      <c r="K30" s="25"/>
      <c r="L30" s="26">
        <f t="shared" si="12"/>
        <v>0</v>
      </c>
      <c r="M30" s="25"/>
      <c r="N30" s="26">
        <f t="shared" si="13"/>
        <v>0</v>
      </c>
      <c r="O30" s="25"/>
      <c r="P30" s="26">
        <f t="shared" si="14"/>
        <v>0</v>
      </c>
      <c r="Q30" s="25"/>
      <c r="R30" s="26">
        <f t="shared" si="15"/>
        <v>0</v>
      </c>
      <c r="S30" s="25"/>
      <c r="T30" s="26">
        <f t="shared" si="16"/>
        <v>0</v>
      </c>
      <c r="U30" s="25"/>
      <c r="V30" s="26">
        <f t="shared" si="17"/>
        <v>0</v>
      </c>
    </row>
    <row r="31" spans="1:22" ht="33" customHeight="1">
      <c r="A31" s="10" t="str">
        <f>'Base Bid'!A43</f>
        <v>0024</v>
      </c>
      <c r="B31" s="54" t="str">
        <f>'Base Bid'!B43</f>
        <v>Subbase Course
(Item P-154)</v>
      </c>
      <c r="C31" s="59">
        <f>'Base Bid'!C43</f>
        <v>52200</v>
      </c>
      <c r="D31" s="19" t="str">
        <f>'Base Bid'!D43</f>
        <v>CY</v>
      </c>
      <c r="E31" s="25"/>
      <c r="F31" s="26">
        <f t="shared" si="9"/>
        <v>0</v>
      </c>
      <c r="G31" s="25"/>
      <c r="H31" s="26">
        <f t="shared" si="10"/>
        <v>0</v>
      </c>
      <c r="I31" s="25"/>
      <c r="J31" s="26">
        <f t="shared" si="11"/>
        <v>0</v>
      </c>
      <c r="K31" s="25"/>
      <c r="L31" s="26">
        <f t="shared" si="12"/>
        <v>0</v>
      </c>
      <c r="M31" s="25"/>
      <c r="N31" s="26">
        <f t="shared" si="13"/>
        <v>0</v>
      </c>
      <c r="O31" s="25"/>
      <c r="P31" s="26">
        <f t="shared" si="14"/>
        <v>0</v>
      </c>
      <c r="Q31" s="25"/>
      <c r="R31" s="26">
        <f t="shared" si="15"/>
        <v>0</v>
      </c>
      <c r="S31" s="25"/>
      <c r="T31" s="26">
        <f t="shared" si="16"/>
        <v>0</v>
      </c>
      <c r="U31" s="25"/>
      <c r="V31" s="26">
        <f t="shared" si="17"/>
        <v>0</v>
      </c>
    </row>
    <row r="32" spans="1:22" ht="33" customHeight="1">
      <c r="A32" s="10" t="str">
        <f>'Base Bid'!A44</f>
        <v>0025</v>
      </c>
      <c r="B32" s="54" t="str">
        <f>'Base Bid'!B44</f>
        <v>Installation and Removal of Silt Fence
(Item P-156)</v>
      </c>
      <c r="C32" s="59">
        <f>'Base Bid'!C44</f>
        <v>2600</v>
      </c>
      <c r="D32" s="19" t="str">
        <f>'Base Bid'!D44</f>
        <v>LF</v>
      </c>
      <c r="E32" s="25"/>
      <c r="F32" s="26">
        <f t="shared" si="9"/>
        <v>0</v>
      </c>
      <c r="G32" s="25"/>
      <c r="H32" s="26">
        <f t="shared" si="10"/>
        <v>0</v>
      </c>
      <c r="I32" s="25"/>
      <c r="J32" s="26">
        <f t="shared" si="11"/>
        <v>0</v>
      </c>
      <c r="K32" s="25"/>
      <c r="L32" s="26">
        <f t="shared" si="12"/>
        <v>0</v>
      </c>
      <c r="M32" s="25"/>
      <c r="N32" s="26">
        <f t="shared" si="13"/>
        <v>0</v>
      </c>
      <c r="O32" s="25"/>
      <c r="P32" s="26">
        <f t="shared" si="14"/>
        <v>0</v>
      </c>
      <c r="Q32" s="25"/>
      <c r="R32" s="26">
        <f t="shared" si="15"/>
        <v>0</v>
      </c>
      <c r="S32" s="25"/>
      <c r="T32" s="26">
        <f t="shared" si="16"/>
        <v>0</v>
      </c>
      <c r="U32" s="25"/>
      <c r="V32" s="26">
        <f t="shared" si="17"/>
        <v>0</v>
      </c>
    </row>
    <row r="33" spans="1:22" ht="33" customHeight="1">
      <c r="A33" s="10" t="str">
        <f>'Base Bid'!A45</f>
        <v>0026</v>
      </c>
      <c r="B33" s="54" t="str">
        <f>'Base Bid'!B45</f>
        <v>Crushed Aggregate Base Course
(Item P-209)</v>
      </c>
      <c r="C33" s="59">
        <f>'Base Bid'!C45</f>
        <v>10000</v>
      </c>
      <c r="D33" s="19" t="str">
        <f>'Base Bid'!D45</f>
        <v>CY</v>
      </c>
      <c r="E33" s="25"/>
      <c r="F33" s="26">
        <f t="shared" si="9"/>
        <v>0</v>
      </c>
      <c r="G33" s="25"/>
      <c r="H33" s="26">
        <f t="shared" si="10"/>
        <v>0</v>
      </c>
      <c r="I33" s="25"/>
      <c r="J33" s="26">
        <f t="shared" si="11"/>
        <v>0</v>
      </c>
      <c r="K33" s="25"/>
      <c r="L33" s="26">
        <f t="shared" si="12"/>
        <v>0</v>
      </c>
      <c r="M33" s="25"/>
      <c r="N33" s="26">
        <f t="shared" si="13"/>
        <v>0</v>
      </c>
      <c r="O33" s="25"/>
      <c r="P33" s="26">
        <f t="shared" si="14"/>
        <v>0</v>
      </c>
      <c r="Q33" s="25"/>
      <c r="R33" s="26">
        <f t="shared" si="15"/>
        <v>0</v>
      </c>
      <c r="S33" s="25"/>
      <c r="T33" s="26">
        <f t="shared" si="16"/>
        <v>0</v>
      </c>
      <c r="U33" s="25"/>
      <c r="V33" s="26">
        <f t="shared" si="17"/>
        <v>0</v>
      </c>
    </row>
    <row r="34" spans="1:22" ht="33" customHeight="1">
      <c r="A34" s="10" t="str">
        <f>'Base Bid'!A46</f>
        <v>0027</v>
      </c>
      <c r="B34" s="54" t="str">
        <f>'Base Bid'!B46</f>
        <v>Bituminous Surface Course
(Item P-401)</v>
      </c>
      <c r="C34" s="59">
        <f>'Base Bid'!C46</f>
        <v>8700</v>
      </c>
      <c r="D34" s="19" t="str">
        <f>'Base Bid'!D46</f>
        <v>Ton</v>
      </c>
      <c r="E34" s="25"/>
      <c r="F34" s="26">
        <f t="shared" si="9"/>
        <v>0</v>
      </c>
      <c r="G34" s="25"/>
      <c r="H34" s="26">
        <f t="shared" si="10"/>
        <v>0</v>
      </c>
      <c r="I34" s="25"/>
      <c r="J34" s="26">
        <f t="shared" si="11"/>
        <v>0</v>
      </c>
      <c r="K34" s="25"/>
      <c r="L34" s="26">
        <f t="shared" si="12"/>
        <v>0</v>
      </c>
      <c r="M34" s="25"/>
      <c r="N34" s="26">
        <f t="shared" si="13"/>
        <v>0</v>
      </c>
      <c r="O34" s="25"/>
      <c r="P34" s="26">
        <f t="shared" si="14"/>
        <v>0</v>
      </c>
      <c r="Q34" s="25"/>
      <c r="R34" s="26">
        <f t="shared" si="15"/>
        <v>0</v>
      </c>
      <c r="S34" s="25"/>
      <c r="T34" s="26">
        <f t="shared" si="16"/>
        <v>0</v>
      </c>
      <c r="U34" s="25"/>
      <c r="V34" s="26">
        <f t="shared" si="17"/>
        <v>0</v>
      </c>
    </row>
    <row r="35" spans="1:22" ht="33" customHeight="1">
      <c r="A35" s="10" t="str">
        <f>'Base Bid'!A47</f>
        <v>0028</v>
      </c>
      <c r="B35" s="54" t="str">
        <f>'Base Bid'!B47</f>
        <v>HMA Base Course
(Item P-403)</v>
      </c>
      <c r="C35" s="59">
        <f>'Base Bid'!C47</f>
        <v>35600</v>
      </c>
      <c r="D35" s="19" t="str">
        <f>'Base Bid'!D47</f>
        <v>Ton</v>
      </c>
      <c r="E35" s="25"/>
      <c r="F35" s="26">
        <f t="shared" si="9"/>
        <v>0</v>
      </c>
      <c r="G35" s="25"/>
      <c r="H35" s="26">
        <f t="shared" si="10"/>
        <v>0</v>
      </c>
      <c r="I35" s="25"/>
      <c r="J35" s="26">
        <f t="shared" si="11"/>
        <v>0</v>
      </c>
      <c r="K35" s="25"/>
      <c r="L35" s="26">
        <f t="shared" si="12"/>
        <v>0</v>
      </c>
      <c r="M35" s="25"/>
      <c r="N35" s="26">
        <f t="shared" si="13"/>
        <v>0</v>
      </c>
      <c r="O35" s="25"/>
      <c r="P35" s="26">
        <f t="shared" si="14"/>
        <v>0</v>
      </c>
      <c r="Q35" s="25"/>
      <c r="R35" s="26">
        <f t="shared" si="15"/>
        <v>0</v>
      </c>
      <c r="S35" s="25"/>
      <c r="T35" s="26">
        <f t="shared" si="16"/>
        <v>0</v>
      </c>
      <c r="U35" s="25"/>
      <c r="V35" s="26">
        <f t="shared" si="17"/>
        <v>0</v>
      </c>
    </row>
    <row r="36" spans="1:22" ht="33" customHeight="1">
      <c r="A36" s="10" t="str">
        <f>'Base Bid'!A48</f>
        <v>0029</v>
      </c>
      <c r="B36" s="54" t="str">
        <f>'Base Bid'!B48</f>
        <v>Portland Cement Concrete Pavement
(Item P-501)</v>
      </c>
      <c r="C36" s="59">
        <f>'Base Bid'!C48</f>
        <v>13400</v>
      </c>
      <c r="D36" s="19" t="str">
        <f>'Base Bid'!D48</f>
        <v>SY</v>
      </c>
      <c r="E36" s="25"/>
      <c r="F36" s="26">
        <f t="shared" si="9"/>
        <v>0</v>
      </c>
      <c r="G36" s="25"/>
      <c r="H36" s="26">
        <f t="shared" si="10"/>
        <v>0</v>
      </c>
      <c r="I36" s="25"/>
      <c r="J36" s="26">
        <f t="shared" si="11"/>
        <v>0</v>
      </c>
      <c r="K36" s="25"/>
      <c r="L36" s="26">
        <f t="shared" si="12"/>
        <v>0</v>
      </c>
      <c r="M36" s="25"/>
      <c r="N36" s="26">
        <f t="shared" si="13"/>
        <v>0</v>
      </c>
      <c r="O36" s="25"/>
      <c r="P36" s="26">
        <f t="shared" si="14"/>
        <v>0</v>
      </c>
      <c r="Q36" s="25"/>
      <c r="R36" s="26">
        <f t="shared" si="15"/>
        <v>0</v>
      </c>
      <c r="S36" s="25"/>
      <c r="T36" s="26">
        <f t="shared" si="16"/>
        <v>0</v>
      </c>
      <c r="U36" s="25"/>
      <c r="V36" s="26">
        <f t="shared" si="17"/>
        <v>0</v>
      </c>
    </row>
    <row r="37" spans="1:22" ht="33" customHeight="1">
      <c r="A37" s="10" t="str">
        <f>'Base Bid'!A49</f>
        <v>0030</v>
      </c>
      <c r="B37" s="54" t="str">
        <f>'Base Bid'!B49</f>
        <v>Bituminous Prime Coat
(Item P-602)</v>
      </c>
      <c r="C37" s="59">
        <f>'Base Bid'!C49</f>
        <v>700</v>
      </c>
      <c r="D37" s="19" t="str">
        <f>'Base Bid'!D49</f>
        <v>Gal</v>
      </c>
      <c r="E37" s="25"/>
      <c r="F37" s="26">
        <f t="shared" si="9"/>
        <v>0</v>
      </c>
      <c r="G37" s="25"/>
      <c r="H37" s="26">
        <f t="shared" si="10"/>
        <v>0</v>
      </c>
      <c r="I37" s="25"/>
      <c r="J37" s="26">
        <f t="shared" si="11"/>
        <v>0</v>
      </c>
      <c r="K37" s="25"/>
      <c r="L37" s="26">
        <f t="shared" si="12"/>
        <v>0</v>
      </c>
      <c r="M37" s="25"/>
      <c r="N37" s="26">
        <f t="shared" si="13"/>
        <v>0</v>
      </c>
      <c r="O37" s="25"/>
      <c r="P37" s="26">
        <f t="shared" si="14"/>
        <v>0</v>
      </c>
      <c r="Q37" s="25"/>
      <c r="R37" s="26">
        <f t="shared" si="15"/>
        <v>0</v>
      </c>
      <c r="S37" s="25"/>
      <c r="T37" s="26">
        <f t="shared" si="16"/>
        <v>0</v>
      </c>
      <c r="U37" s="25"/>
      <c r="V37" s="26">
        <f t="shared" si="17"/>
        <v>0</v>
      </c>
    </row>
    <row r="38" spans="1:22" ht="33" customHeight="1">
      <c r="A38" s="10" t="str">
        <f>'Base Bid'!A50</f>
        <v>0031</v>
      </c>
      <c r="B38" s="54" t="str">
        <f>'Base Bid'!B50</f>
        <v>Bituminous Tack Coat
(Item P-603)</v>
      </c>
      <c r="C38" s="59">
        <f>'Base Bid'!C50</f>
        <v>23900</v>
      </c>
      <c r="D38" s="19" t="str">
        <f>'Base Bid'!D50</f>
        <v>Gal</v>
      </c>
      <c r="E38" s="25"/>
      <c r="F38" s="26">
        <f t="shared" si="9"/>
        <v>0</v>
      </c>
      <c r="G38" s="25"/>
      <c r="H38" s="26">
        <f t="shared" si="10"/>
        <v>0</v>
      </c>
      <c r="I38" s="25"/>
      <c r="J38" s="26">
        <f t="shared" si="11"/>
        <v>0</v>
      </c>
      <c r="K38" s="25"/>
      <c r="L38" s="26">
        <f t="shared" si="12"/>
        <v>0</v>
      </c>
      <c r="M38" s="25"/>
      <c r="N38" s="26">
        <f t="shared" si="13"/>
        <v>0</v>
      </c>
      <c r="O38" s="25"/>
      <c r="P38" s="26">
        <f t="shared" si="14"/>
        <v>0</v>
      </c>
      <c r="Q38" s="25"/>
      <c r="R38" s="26">
        <f t="shared" si="15"/>
        <v>0</v>
      </c>
      <c r="S38" s="25"/>
      <c r="T38" s="26">
        <f t="shared" si="16"/>
        <v>0</v>
      </c>
      <c r="U38" s="25"/>
      <c r="V38" s="26">
        <f t="shared" si="17"/>
        <v>0</v>
      </c>
    </row>
    <row r="39" spans="1:22" ht="33" customHeight="1">
      <c r="A39" s="10" t="str">
        <f>'Base Bid'!A51</f>
        <v>0032</v>
      </c>
      <c r="B39" s="54" t="str">
        <f>'Base Bid'!B51</f>
        <v>Compression Joint Seals for Concrete Pavement
(Item P-604)</v>
      </c>
      <c r="C39" s="59">
        <f>'Base Bid'!C51</f>
        <v>10850</v>
      </c>
      <c r="D39" s="19" t="str">
        <f>'Base Bid'!D51</f>
        <v>LF</v>
      </c>
      <c r="E39" s="25"/>
      <c r="F39" s="26">
        <f t="shared" si="9"/>
        <v>0</v>
      </c>
      <c r="G39" s="25"/>
      <c r="H39" s="26">
        <f t="shared" si="10"/>
        <v>0</v>
      </c>
      <c r="I39" s="25"/>
      <c r="J39" s="26">
        <f t="shared" si="11"/>
        <v>0</v>
      </c>
      <c r="K39" s="25"/>
      <c r="L39" s="26">
        <f t="shared" si="12"/>
        <v>0</v>
      </c>
      <c r="M39" s="25"/>
      <c r="N39" s="26">
        <f t="shared" si="13"/>
        <v>0</v>
      </c>
      <c r="O39" s="25"/>
      <c r="P39" s="26">
        <f t="shared" si="14"/>
        <v>0</v>
      </c>
      <c r="Q39" s="25"/>
      <c r="R39" s="26">
        <f t="shared" si="15"/>
        <v>0</v>
      </c>
      <c r="S39" s="25"/>
      <c r="T39" s="26">
        <f t="shared" si="16"/>
        <v>0</v>
      </c>
      <c r="U39" s="25"/>
      <c r="V39" s="26">
        <f t="shared" si="17"/>
        <v>0</v>
      </c>
    </row>
    <row r="40" spans="1:22" ht="33" customHeight="1">
      <c r="A40" s="10" t="str">
        <f>'Base Bid'!A52</f>
        <v>0033</v>
      </c>
      <c r="B40" s="54" t="str">
        <f>'Base Bid'!B52</f>
        <v>Joint Sealing Filler
(Item P-605)</v>
      </c>
      <c r="C40" s="59">
        <f>'Base Bid'!C52</f>
        <v>61</v>
      </c>
      <c r="D40" s="19" t="str">
        <f>'Base Bid'!D52</f>
        <v>Gal</v>
      </c>
      <c r="E40" s="25"/>
      <c r="F40" s="26">
        <f t="shared" si="9"/>
        <v>0</v>
      </c>
      <c r="G40" s="25"/>
      <c r="H40" s="26">
        <f t="shared" si="10"/>
        <v>0</v>
      </c>
      <c r="I40" s="25"/>
      <c r="J40" s="26">
        <f t="shared" si="11"/>
        <v>0</v>
      </c>
      <c r="K40" s="25"/>
      <c r="L40" s="26">
        <f t="shared" si="12"/>
        <v>0</v>
      </c>
      <c r="M40" s="25"/>
      <c r="N40" s="26">
        <f t="shared" si="13"/>
        <v>0</v>
      </c>
      <c r="O40" s="25"/>
      <c r="P40" s="26">
        <f t="shared" si="14"/>
        <v>0</v>
      </c>
      <c r="Q40" s="25"/>
      <c r="R40" s="26">
        <f t="shared" si="15"/>
        <v>0</v>
      </c>
      <c r="S40" s="25"/>
      <c r="T40" s="26">
        <f t="shared" si="16"/>
        <v>0</v>
      </c>
      <c r="U40" s="25"/>
      <c r="V40" s="26">
        <f t="shared" si="17"/>
        <v>0</v>
      </c>
    </row>
    <row r="41" spans="1:22" ht="33" customHeight="1">
      <c r="A41" s="10" t="str">
        <f>'Base Bid'!A53</f>
        <v>0034</v>
      </c>
      <c r="B41" s="54" t="str">
        <f>'Base Bid'!B53</f>
        <v>Adhesive Compound
(Item P-606)</v>
      </c>
      <c r="C41" s="59">
        <f>'Base Bid'!C53</f>
        <v>50</v>
      </c>
      <c r="D41" s="19" t="str">
        <f>'Base Bid'!D53</f>
        <v>Gal</v>
      </c>
      <c r="E41" s="25"/>
      <c r="F41" s="26">
        <f t="shared" si="9"/>
        <v>0</v>
      </c>
      <c r="G41" s="25"/>
      <c r="H41" s="26">
        <f t="shared" si="10"/>
        <v>0</v>
      </c>
      <c r="I41" s="25"/>
      <c r="J41" s="26">
        <f t="shared" si="11"/>
        <v>0</v>
      </c>
      <c r="K41" s="25"/>
      <c r="L41" s="26">
        <f t="shared" si="12"/>
        <v>0</v>
      </c>
      <c r="M41" s="25"/>
      <c r="N41" s="26">
        <f t="shared" si="13"/>
        <v>0</v>
      </c>
      <c r="O41" s="25"/>
      <c r="P41" s="26">
        <f t="shared" si="14"/>
        <v>0</v>
      </c>
      <c r="Q41" s="25"/>
      <c r="R41" s="26">
        <f t="shared" si="15"/>
        <v>0</v>
      </c>
      <c r="S41" s="25"/>
      <c r="T41" s="26">
        <f t="shared" si="16"/>
        <v>0</v>
      </c>
      <c r="U41" s="25"/>
      <c r="V41" s="26">
        <f t="shared" si="17"/>
        <v>0</v>
      </c>
    </row>
    <row r="42" spans="1:22" ht="33" customHeight="1">
      <c r="A42" s="10" t="str">
        <f>'Base Bid'!A54</f>
        <v>0035</v>
      </c>
      <c r="B42" s="54" t="str">
        <f>'Base Bid'!B54</f>
        <v>Structural Portland Cement Concrete
(Item P-610)</v>
      </c>
      <c r="C42" s="59">
        <f>'Base Bid'!C54</f>
        <v>30</v>
      </c>
      <c r="D42" s="19" t="str">
        <f>'Base Bid'!D54</f>
        <v>CY</v>
      </c>
      <c r="E42" s="25"/>
      <c r="F42" s="26">
        <f t="shared" si="9"/>
        <v>0</v>
      </c>
      <c r="G42" s="25"/>
      <c r="H42" s="26">
        <f t="shared" si="10"/>
        <v>0</v>
      </c>
      <c r="I42" s="25"/>
      <c r="J42" s="26">
        <f t="shared" si="11"/>
        <v>0</v>
      </c>
      <c r="K42" s="25"/>
      <c r="L42" s="26">
        <f t="shared" si="12"/>
        <v>0</v>
      </c>
      <c r="M42" s="25"/>
      <c r="N42" s="26">
        <f t="shared" si="13"/>
        <v>0</v>
      </c>
      <c r="O42" s="25"/>
      <c r="P42" s="26">
        <f t="shared" si="14"/>
        <v>0</v>
      </c>
      <c r="Q42" s="25"/>
      <c r="R42" s="26">
        <f t="shared" si="15"/>
        <v>0</v>
      </c>
      <c r="S42" s="25"/>
      <c r="T42" s="26">
        <f t="shared" si="16"/>
        <v>0</v>
      </c>
      <c r="U42" s="25"/>
      <c r="V42" s="26">
        <f t="shared" si="17"/>
        <v>0</v>
      </c>
    </row>
    <row r="43" spans="1:22" ht="33" customHeight="1">
      <c r="A43" s="10" t="str">
        <f>'Base Bid'!A55</f>
        <v>0036</v>
      </c>
      <c r="B43" s="54" t="str">
        <f>'Base Bid'!B55</f>
        <v>Steel Reinforcement
(Item P-610)</v>
      </c>
      <c r="C43" s="59">
        <f>'Base Bid'!C55</f>
        <v>175</v>
      </c>
      <c r="D43" s="19" t="str">
        <f>'Base Bid'!D55</f>
        <v>LB</v>
      </c>
      <c r="E43" s="25"/>
      <c r="F43" s="26">
        <f t="shared" si="9"/>
        <v>0</v>
      </c>
      <c r="G43" s="25"/>
      <c r="H43" s="26">
        <f t="shared" si="10"/>
        <v>0</v>
      </c>
      <c r="I43" s="25"/>
      <c r="J43" s="26">
        <f t="shared" si="11"/>
        <v>0</v>
      </c>
      <c r="K43" s="25"/>
      <c r="L43" s="26">
        <f t="shared" si="12"/>
        <v>0</v>
      </c>
      <c r="M43" s="25"/>
      <c r="N43" s="26">
        <f t="shared" si="13"/>
        <v>0</v>
      </c>
      <c r="O43" s="25"/>
      <c r="P43" s="26">
        <f t="shared" si="14"/>
        <v>0</v>
      </c>
      <c r="Q43" s="25"/>
      <c r="R43" s="26">
        <f t="shared" si="15"/>
        <v>0</v>
      </c>
      <c r="S43" s="25"/>
      <c r="T43" s="26">
        <f t="shared" si="16"/>
        <v>0</v>
      </c>
      <c r="U43" s="25"/>
      <c r="V43" s="26">
        <f t="shared" si="17"/>
        <v>0</v>
      </c>
    </row>
    <row r="44" spans="1:22" ht="33" customHeight="1">
      <c r="A44" s="10" t="str">
        <f>'Base Bid'!A56</f>
        <v>0037</v>
      </c>
      <c r="B44" s="54" t="str">
        <f>'Base Bid'!B56</f>
        <v>Runway and Taxiway Marking
(Item P-620)</v>
      </c>
      <c r="C44" s="59">
        <f>'Base Bid'!C56</f>
        <v>20000</v>
      </c>
      <c r="D44" s="19" t="str">
        <f>'Base Bid'!D56</f>
        <v>SF</v>
      </c>
      <c r="E44" s="25"/>
      <c r="F44" s="26">
        <f t="shared" si="9"/>
        <v>0</v>
      </c>
      <c r="G44" s="25"/>
      <c r="H44" s="26">
        <f t="shared" si="10"/>
        <v>0</v>
      </c>
      <c r="I44" s="25"/>
      <c r="J44" s="26">
        <f t="shared" si="11"/>
        <v>0</v>
      </c>
      <c r="K44" s="25"/>
      <c r="L44" s="26">
        <f t="shared" si="12"/>
        <v>0</v>
      </c>
      <c r="M44" s="25"/>
      <c r="N44" s="26">
        <f t="shared" si="13"/>
        <v>0</v>
      </c>
      <c r="O44" s="25"/>
      <c r="P44" s="26">
        <f t="shared" si="14"/>
        <v>0</v>
      </c>
      <c r="Q44" s="25"/>
      <c r="R44" s="26">
        <f t="shared" si="15"/>
        <v>0</v>
      </c>
      <c r="S44" s="25"/>
      <c r="T44" s="26">
        <f t="shared" si="16"/>
        <v>0</v>
      </c>
      <c r="U44" s="25"/>
      <c r="V44" s="26">
        <f t="shared" si="17"/>
        <v>0</v>
      </c>
    </row>
    <row r="45" spans="1:22" ht="33" customHeight="1">
      <c r="A45" s="10" t="str">
        <f>'Base Bid'!A57</f>
        <v>0038</v>
      </c>
      <c r="B45" s="54" t="str">
        <f>'Base Bid'!B57</f>
        <v>Reflective Media
(Item P-620)</v>
      </c>
      <c r="C45" s="59">
        <f>'Base Bid'!C57</f>
        <v>1225</v>
      </c>
      <c r="D45" s="19" t="str">
        <f>'Base Bid'!D57</f>
        <v>LB</v>
      </c>
      <c r="E45" s="25"/>
      <c r="F45" s="26">
        <f t="shared" si="9"/>
        <v>0</v>
      </c>
      <c r="G45" s="25"/>
      <c r="H45" s="26">
        <f t="shared" si="10"/>
        <v>0</v>
      </c>
      <c r="I45" s="25"/>
      <c r="J45" s="26">
        <f t="shared" si="11"/>
        <v>0</v>
      </c>
      <c r="K45" s="25"/>
      <c r="L45" s="26">
        <f t="shared" si="12"/>
        <v>0</v>
      </c>
      <c r="M45" s="25"/>
      <c r="N45" s="26">
        <f t="shared" si="13"/>
        <v>0</v>
      </c>
      <c r="O45" s="25"/>
      <c r="P45" s="26">
        <f t="shared" si="14"/>
        <v>0</v>
      </c>
      <c r="Q45" s="25"/>
      <c r="R45" s="26">
        <f t="shared" si="15"/>
        <v>0</v>
      </c>
      <c r="S45" s="25"/>
      <c r="T45" s="26">
        <f t="shared" si="16"/>
        <v>0</v>
      </c>
      <c r="U45" s="25"/>
      <c r="V45" s="26">
        <f t="shared" si="17"/>
        <v>0</v>
      </c>
    </row>
    <row r="46" spans="1:22" ht="33" customHeight="1">
      <c r="A46" s="10" t="str">
        <f>'Base Bid'!A58</f>
        <v>0039</v>
      </c>
      <c r="B46" s="54" t="str">
        <f>'Base Bid'!B58</f>
        <v>Preformed Markings
(Item P-620)</v>
      </c>
      <c r="C46" s="59">
        <f>'Base Bid'!C58</f>
        <v>9400</v>
      </c>
      <c r="D46" s="19" t="str">
        <f>'Base Bid'!D58</f>
        <v>SF</v>
      </c>
      <c r="E46" s="25"/>
      <c r="F46" s="26">
        <f t="shared" si="9"/>
        <v>0</v>
      </c>
      <c r="G46" s="25"/>
      <c r="H46" s="26">
        <f t="shared" si="10"/>
        <v>0</v>
      </c>
      <c r="I46" s="25"/>
      <c r="J46" s="26">
        <f t="shared" si="11"/>
        <v>0</v>
      </c>
      <c r="K46" s="25"/>
      <c r="L46" s="26">
        <f t="shared" si="12"/>
        <v>0</v>
      </c>
      <c r="M46" s="25"/>
      <c r="N46" s="26">
        <f t="shared" si="13"/>
        <v>0</v>
      </c>
      <c r="O46" s="25"/>
      <c r="P46" s="26">
        <f t="shared" si="14"/>
        <v>0</v>
      </c>
      <c r="Q46" s="25"/>
      <c r="R46" s="26">
        <f t="shared" si="15"/>
        <v>0</v>
      </c>
      <c r="S46" s="25"/>
      <c r="T46" s="26">
        <f t="shared" si="16"/>
        <v>0</v>
      </c>
      <c r="U46" s="25"/>
      <c r="V46" s="26">
        <f t="shared" si="17"/>
        <v>0</v>
      </c>
    </row>
    <row r="47" spans="1:22" ht="33" customHeight="1">
      <c r="A47" s="10" t="str">
        <f>'Base Bid'!A59</f>
        <v>0040</v>
      </c>
      <c r="B47" s="54" t="str">
        <f>'Base Bid'!B59</f>
        <v>Phasing Pavement Marking
(Item P-620)</v>
      </c>
      <c r="C47" s="59">
        <f>'Base Bid'!C59</f>
        <v>21750</v>
      </c>
      <c r="D47" s="19" t="str">
        <f>'Base Bid'!D59</f>
        <v>SF</v>
      </c>
      <c r="E47" s="25"/>
      <c r="F47" s="26">
        <f t="shared" si="9"/>
        <v>0</v>
      </c>
      <c r="G47" s="25"/>
      <c r="H47" s="26">
        <f t="shared" si="10"/>
        <v>0</v>
      </c>
      <c r="I47" s="25"/>
      <c r="J47" s="26">
        <f t="shared" si="11"/>
        <v>0</v>
      </c>
      <c r="K47" s="25"/>
      <c r="L47" s="26">
        <f t="shared" si="12"/>
        <v>0</v>
      </c>
      <c r="M47" s="25"/>
      <c r="N47" s="26">
        <f t="shared" si="13"/>
        <v>0</v>
      </c>
      <c r="O47" s="25"/>
      <c r="P47" s="26">
        <f t="shared" si="14"/>
        <v>0</v>
      </c>
      <c r="Q47" s="25"/>
      <c r="R47" s="26">
        <f t="shared" si="15"/>
        <v>0</v>
      </c>
      <c r="S47" s="25"/>
      <c r="T47" s="26">
        <f t="shared" si="16"/>
        <v>0</v>
      </c>
      <c r="U47" s="25"/>
      <c r="V47" s="26">
        <f t="shared" si="17"/>
        <v>0</v>
      </c>
    </row>
    <row r="48" spans="1:22" ht="33" customHeight="1">
      <c r="A48" s="10" t="str">
        <f>'Base Bid'!A60</f>
        <v>0041</v>
      </c>
      <c r="B48" s="54" t="str">
        <f>'Base Bid'!B60</f>
        <v>4-Inch STS Pipe
(Item D-701)</v>
      </c>
      <c r="C48" s="59">
        <f>'Base Bid'!C60</f>
        <v>49</v>
      </c>
      <c r="D48" s="19" t="str">
        <f>'Base Bid'!D60</f>
        <v>LF</v>
      </c>
      <c r="E48" s="25"/>
      <c r="F48" s="26">
        <f t="shared" si="9"/>
        <v>0</v>
      </c>
      <c r="G48" s="25"/>
      <c r="H48" s="26">
        <f t="shared" si="10"/>
        <v>0</v>
      </c>
      <c r="I48" s="25"/>
      <c r="J48" s="26">
        <f t="shared" si="11"/>
        <v>0</v>
      </c>
      <c r="K48" s="25"/>
      <c r="L48" s="26">
        <f t="shared" si="12"/>
        <v>0</v>
      </c>
      <c r="M48" s="25"/>
      <c r="N48" s="26">
        <f t="shared" si="13"/>
        <v>0</v>
      </c>
      <c r="O48" s="25"/>
      <c r="P48" s="26">
        <f t="shared" si="14"/>
        <v>0</v>
      </c>
      <c r="Q48" s="25"/>
      <c r="R48" s="26">
        <f t="shared" si="15"/>
        <v>0</v>
      </c>
      <c r="S48" s="25"/>
      <c r="T48" s="26">
        <f t="shared" si="16"/>
        <v>0</v>
      </c>
      <c r="U48" s="25"/>
      <c r="V48" s="26">
        <f t="shared" si="17"/>
        <v>0</v>
      </c>
    </row>
    <row r="49" spans="1:22" ht="33" customHeight="1">
      <c r="A49" s="10" t="str">
        <f>'Base Bid'!A61</f>
        <v>0042</v>
      </c>
      <c r="B49" s="54" t="str">
        <f>'Base Bid'!B61</f>
        <v>6-Inch STS Pipe
(Item D-701)</v>
      </c>
      <c r="C49" s="59">
        <f>'Base Bid'!C61</f>
        <v>394</v>
      </c>
      <c r="D49" s="19" t="str">
        <f>'Base Bid'!D61</f>
        <v>LF</v>
      </c>
      <c r="E49" s="25"/>
      <c r="F49" s="26">
        <f t="shared" si="9"/>
        <v>0</v>
      </c>
      <c r="G49" s="25"/>
      <c r="H49" s="26">
        <f t="shared" si="10"/>
        <v>0</v>
      </c>
      <c r="I49" s="25"/>
      <c r="J49" s="26">
        <f t="shared" si="11"/>
        <v>0</v>
      </c>
      <c r="K49" s="25"/>
      <c r="L49" s="26">
        <f t="shared" si="12"/>
        <v>0</v>
      </c>
      <c r="M49" s="25"/>
      <c r="N49" s="26">
        <f t="shared" si="13"/>
        <v>0</v>
      </c>
      <c r="O49" s="25"/>
      <c r="P49" s="26">
        <f t="shared" si="14"/>
        <v>0</v>
      </c>
      <c r="Q49" s="25"/>
      <c r="R49" s="26">
        <f t="shared" si="15"/>
        <v>0</v>
      </c>
      <c r="S49" s="25"/>
      <c r="T49" s="26">
        <f t="shared" si="16"/>
        <v>0</v>
      </c>
      <c r="U49" s="25"/>
      <c r="V49" s="26">
        <f t="shared" si="17"/>
        <v>0</v>
      </c>
    </row>
    <row r="50" spans="1:22" ht="33" customHeight="1">
      <c r="A50" s="10" t="str">
        <f>'Base Bid'!A62</f>
        <v>0043</v>
      </c>
      <c r="B50" s="54" t="str">
        <f>'Base Bid'!B62</f>
        <v>12-Inch STS Pipe
(Item D-701)</v>
      </c>
      <c r="C50" s="59">
        <f>'Base Bid'!C62</f>
        <v>657</v>
      </c>
      <c r="D50" s="19" t="str">
        <f>'Base Bid'!D62</f>
        <v>LF</v>
      </c>
      <c r="E50" s="25"/>
      <c r="F50" s="26">
        <f t="shared" si="9"/>
        <v>0</v>
      </c>
      <c r="G50" s="25"/>
      <c r="H50" s="26">
        <f t="shared" si="10"/>
        <v>0</v>
      </c>
      <c r="I50" s="25"/>
      <c r="J50" s="26">
        <f t="shared" si="11"/>
        <v>0</v>
      </c>
      <c r="K50" s="25"/>
      <c r="L50" s="26">
        <f t="shared" si="12"/>
        <v>0</v>
      </c>
      <c r="M50" s="25"/>
      <c r="N50" s="26">
        <f t="shared" si="13"/>
        <v>0</v>
      </c>
      <c r="O50" s="25"/>
      <c r="P50" s="26">
        <f t="shared" si="14"/>
        <v>0</v>
      </c>
      <c r="Q50" s="25"/>
      <c r="R50" s="26">
        <f t="shared" si="15"/>
        <v>0</v>
      </c>
      <c r="S50" s="25"/>
      <c r="T50" s="26">
        <f t="shared" si="16"/>
        <v>0</v>
      </c>
      <c r="U50" s="25"/>
      <c r="V50" s="26">
        <f t="shared" si="17"/>
        <v>0</v>
      </c>
    </row>
    <row r="51" spans="1:22" ht="33" customHeight="1">
      <c r="A51" s="10" t="str">
        <f>'Base Bid'!A63</f>
        <v>0044</v>
      </c>
      <c r="B51" s="54" t="str">
        <f>'Base Bid'!B63</f>
        <v>24-Inch STS Pipe
(Item D-701)</v>
      </c>
      <c r="C51" s="59">
        <f>'Base Bid'!C63</f>
        <v>472</v>
      </c>
      <c r="D51" s="19" t="str">
        <f>'Base Bid'!D63</f>
        <v>LF</v>
      </c>
      <c r="E51" s="25"/>
      <c r="F51" s="26">
        <f t="shared" si="9"/>
        <v>0</v>
      </c>
      <c r="G51" s="25"/>
      <c r="H51" s="26">
        <f t="shared" si="10"/>
        <v>0</v>
      </c>
      <c r="I51" s="25"/>
      <c r="J51" s="26">
        <f t="shared" si="11"/>
        <v>0</v>
      </c>
      <c r="K51" s="25"/>
      <c r="L51" s="26">
        <f t="shared" si="12"/>
        <v>0</v>
      </c>
      <c r="M51" s="25"/>
      <c r="N51" s="26">
        <f t="shared" si="13"/>
        <v>0</v>
      </c>
      <c r="O51" s="25"/>
      <c r="P51" s="26">
        <f t="shared" si="14"/>
        <v>0</v>
      </c>
      <c r="Q51" s="25"/>
      <c r="R51" s="26">
        <f t="shared" si="15"/>
        <v>0</v>
      </c>
      <c r="S51" s="25"/>
      <c r="T51" s="26">
        <f t="shared" si="16"/>
        <v>0</v>
      </c>
      <c r="U51" s="25"/>
      <c r="V51" s="26">
        <f t="shared" si="17"/>
        <v>0</v>
      </c>
    </row>
    <row r="52" spans="1:22" ht="33" customHeight="1">
      <c r="A52" s="10" t="str">
        <f>'Base Bid'!A64</f>
        <v>0045</v>
      </c>
      <c r="B52" s="54" t="str">
        <f>'Base Bid'!B64</f>
        <v>30-Inch STS Pipe
(Item D-701)</v>
      </c>
      <c r="C52" s="59">
        <f>'Base Bid'!C64</f>
        <v>238</v>
      </c>
      <c r="D52" s="19" t="str">
        <f>'Base Bid'!D64</f>
        <v>LF</v>
      </c>
      <c r="E52" s="25"/>
      <c r="F52" s="26">
        <f t="shared" si="9"/>
        <v>0</v>
      </c>
      <c r="G52" s="25"/>
      <c r="H52" s="26">
        <f t="shared" si="10"/>
        <v>0</v>
      </c>
      <c r="I52" s="25"/>
      <c r="J52" s="26">
        <f t="shared" si="11"/>
        <v>0</v>
      </c>
      <c r="K52" s="25"/>
      <c r="L52" s="26">
        <f t="shared" si="12"/>
        <v>0</v>
      </c>
      <c r="M52" s="25"/>
      <c r="N52" s="26">
        <f t="shared" si="13"/>
        <v>0</v>
      </c>
      <c r="O52" s="25"/>
      <c r="P52" s="26">
        <f t="shared" si="14"/>
        <v>0</v>
      </c>
      <c r="Q52" s="25"/>
      <c r="R52" s="26">
        <f t="shared" si="15"/>
        <v>0</v>
      </c>
      <c r="S52" s="25"/>
      <c r="T52" s="26">
        <f t="shared" si="16"/>
        <v>0</v>
      </c>
      <c r="U52" s="25"/>
      <c r="V52" s="26">
        <f t="shared" si="17"/>
        <v>0</v>
      </c>
    </row>
    <row r="53" spans="1:22" ht="33" customHeight="1">
      <c r="A53" s="10" t="str">
        <f>'Base Bid'!A65</f>
        <v>0046</v>
      </c>
      <c r="B53" s="54" t="str">
        <f>'Base Bid'!B65</f>
        <v>48-Inch STS Pipe
(Item D-701)</v>
      </c>
      <c r="C53" s="59">
        <f>'Base Bid'!C65</f>
        <v>3653</v>
      </c>
      <c r="D53" s="19" t="str">
        <f>'Base Bid'!D65</f>
        <v>LF</v>
      </c>
      <c r="E53" s="25"/>
      <c r="F53" s="26">
        <f t="shared" si="9"/>
        <v>0</v>
      </c>
      <c r="G53" s="25"/>
      <c r="H53" s="26">
        <f t="shared" si="10"/>
        <v>0</v>
      </c>
      <c r="I53" s="25"/>
      <c r="J53" s="26">
        <f t="shared" si="11"/>
        <v>0</v>
      </c>
      <c r="K53" s="25"/>
      <c r="L53" s="26">
        <f t="shared" si="12"/>
        <v>0</v>
      </c>
      <c r="M53" s="25"/>
      <c r="N53" s="26">
        <f t="shared" si="13"/>
        <v>0</v>
      </c>
      <c r="O53" s="25"/>
      <c r="P53" s="26">
        <f t="shared" si="14"/>
        <v>0</v>
      </c>
      <c r="Q53" s="25"/>
      <c r="R53" s="26">
        <f t="shared" si="15"/>
        <v>0</v>
      </c>
      <c r="S53" s="25"/>
      <c r="T53" s="26">
        <f t="shared" si="16"/>
        <v>0</v>
      </c>
      <c r="U53" s="25"/>
      <c r="V53" s="26">
        <f t="shared" si="17"/>
        <v>0</v>
      </c>
    </row>
    <row r="54" spans="1:22" ht="33" customHeight="1">
      <c r="A54" s="10" t="str">
        <f>'Base Bid'!A66</f>
        <v>0047</v>
      </c>
      <c r="B54" s="54" t="str">
        <f>'Base Bid'!B66</f>
        <v>6-Inch Perforated Pipe
(Item D-705)</v>
      </c>
      <c r="C54" s="59">
        <f>'Base Bid'!C66</f>
        <v>5322</v>
      </c>
      <c r="D54" s="19" t="str">
        <f>'Base Bid'!D66</f>
        <v>LF</v>
      </c>
      <c r="E54" s="25"/>
      <c r="F54" s="26">
        <f t="shared" si="9"/>
        <v>0</v>
      </c>
      <c r="G54" s="25"/>
      <c r="H54" s="26">
        <f t="shared" si="10"/>
        <v>0</v>
      </c>
      <c r="I54" s="25"/>
      <c r="J54" s="26">
        <f t="shared" si="11"/>
        <v>0</v>
      </c>
      <c r="K54" s="25"/>
      <c r="L54" s="26">
        <f t="shared" si="12"/>
        <v>0</v>
      </c>
      <c r="M54" s="25"/>
      <c r="N54" s="26">
        <f t="shared" si="13"/>
        <v>0</v>
      </c>
      <c r="O54" s="25"/>
      <c r="P54" s="26">
        <f t="shared" si="14"/>
        <v>0</v>
      </c>
      <c r="Q54" s="25"/>
      <c r="R54" s="26">
        <f t="shared" si="15"/>
        <v>0</v>
      </c>
      <c r="S54" s="25"/>
      <c r="T54" s="26">
        <f t="shared" si="16"/>
        <v>0</v>
      </c>
      <c r="U54" s="25"/>
      <c r="V54" s="26">
        <f t="shared" si="17"/>
        <v>0</v>
      </c>
    </row>
    <row r="55" spans="1:22" ht="33" customHeight="1">
      <c r="A55" s="10" t="str">
        <f>'Base Bid'!A67</f>
        <v>0048</v>
      </c>
      <c r="B55" s="54" t="str">
        <f>'Base Bid'!B67</f>
        <v>48-Inch Diameter Manhole, Type A
(Item D-751)</v>
      </c>
      <c r="C55" s="59">
        <f>'Base Bid'!C67</f>
        <v>1</v>
      </c>
      <c r="D55" s="19" t="str">
        <f>'Base Bid'!D67</f>
        <v>Each</v>
      </c>
      <c r="E55" s="25"/>
      <c r="F55" s="26">
        <f t="shared" si="9"/>
        <v>0</v>
      </c>
      <c r="G55" s="25"/>
      <c r="H55" s="26">
        <f t="shared" si="10"/>
        <v>0</v>
      </c>
      <c r="I55" s="25"/>
      <c r="J55" s="26">
        <f t="shared" si="11"/>
        <v>0</v>
      </c>
      <c r="K55" s="25"/>
      <c r="L55" s="26">
        <f t="shared" si="12"/>
        <v>0</v>
      </c>
      <c r="M55" s="25"/>
      <c r="N55" s="26">
        <f t="shared" si="13"/>
        <v>0</v>
      </c>
      <c r="O55" s="25"/>
      <c r="P55" s="26">
        <f t="shared" si="14"/>
        <v>0</v>
      </c>
      <c r="Q55" s="25"/>
      <c r="R55" s="26">
        <f t="shared" si="15"/>
        <v>0</v>
      </c>
      <c r="S55" s="25"/>
      <c r="T55" s="26">
        <f t="shared" si="16"/>
        <v>0</v>
      </c>
      <c r="U55" s="25"/>
      <c r="V55" s="26">
        <f t="shared" si="17"/>
        <v>0</v>
      </c>
    </row>
    <row r="56" spans="1:22" ht="33" customHeight="1">
      <c r="A56" s="10" t="str">
        <f>'Base Bid'!A68</f>
        <v>0049</v>
      </c>
      <c r="B56" s="54" t="str">
        <f>'Base Bid'!B68</f>
        <v>72-Inch Diameter Manhole, Type A
(Item D-751)</v>
      </c>
      <c r="C56" s="59">
        <f>'Base Bid'!C68</f>
        <v>7</v>
      </c>
      <c r="D56" s="19" t="str">
        <f>'Base Bid'!D68</f>
        <v>Each</v>
      </c>
      <c r="E56" s="25"/>
      <c r="F56" s="26">
        <f t="shared" si="9"/>
        <v>0</v>
      </c>
      <c r="G56" s="25"/>
      <c r="H56" s="26">
        <f t="shared" si="10"/>
        <v>0</v>
      </c>
      <c r="I56" s="25"/>
      <c r="J56" s="26">
        <f t="shared" si="11"/>
        <v>0</v>
      </c>
      <c r="K56" s="25"/>
      <c r="L56" s="26">
        <f t="shared" si="12"/>
        <v>0</v>
      </c>
      <c r="M56" s="25"/>
      <c r="N56" s="26">
        <f t="shared" si="13"/>
        <v>0</v>
      </c>
      <c r="O56" s="25"/>
      <c r="P56" s="26">
        <f t="shared" si="14"/>
        <v>0</v>
      </c>
      <c r="Q56" s="25"/>
      <c r="R56" s="26">
        <f t="shared" si="15"/>
        <v>0</v>
      </c>
      <c r="S56" s="25"/>
      <c r="T56" s="26">
        <f t="shared" si="16"/>
        <v>0</v>
      </c>
      <c r="U56" s="25"/>
      <c r="V56" s="26">
        <f t="shared" si="17"/>
        <v>0</v>
      </c>
    </row>
    <row r="57" spans="1:22" ht="33" customHeight="1">
      <c r="A57" s="10" t="str">
        <f>'Base Bid'!A69</f>
        <v>0050</v>
      </c>
      <c r="B57" s="54" t="str">
        <f>'Base Bid'!B69</f>
        <v>84-Inch Diameter Manhole, Type A
(Item D-751)</v>
      </c>
      <c r="C57" s="59">
        <f>'Base Bid'!C69</f>
        <v>2</v>
      </c>
      <c r="D57" s="19" t="str">
        <f>'Base Bid'!D69</f>
        <v>Each</v>
      </c>
      <c r="E57" s="25"/>
      <c r="F57" s="26">
        <f t="shared" si="9"/>
        <v>0</v>
      </c>
      <c r="G57" s="25"/>
      <c r="H57" s="26">
        <f t="shared" si="10"/>
        <v>0</v>
      </c>
      <c r="I57" s="25"/>
      <c r="J57" s="26">
        <f t="shared" si="11"/>
        <v>0</v>
      </c>
      <c r="K57" s="25"/>
      <c r="L57" s="26">
        <f t="shared" si="12"/>
        <v>0</v>
      </c>
      <c r="M57" s="25"/>
      <c r="N57" s="26">
        <f t="shared" si="13"/>
        <v>0</v>
      </c>
      <c r="O57" s="25"/>
      <c r="P57" s="26">
        <f t="shared" si="14"/>
        <v>0</v>
      </c>
      <c r="Q57" s="25"/>
      <c r="R57" s="26">
        <f t="shared" si="15"/>
        <v>0</v>
      </c>
      <c r="S57" s="25"/>
      <c r="T57" s="26">
        <f t="shared" si="16"/>
        <v>0</v>
      </c>
      <c r="U57" s="25"/>
      <c r="V57" s="26">
        <f t="shared" si="17"/>
        <v>0</v>
      </c>
    </row>
    <row r="58" spans="1:22" ht="33" customHeight="1">
      <c r="A58" s="10" t="str">
        <f>'Base Bid'!A70</f>
        <v>0051</v>
      </c>
      <c r="B58" s="54" t="str">
        <f>'Base Bid'!B70</f>
        <v>96-Inch Diameter Manhole, Type A
(Item D-751)</v>
      </c>
      <c r="C58" s="59">
        <f>'Base Bid'!C70</f>
        <v>1</v>
      </c>
      <c r="D58" s="19" t="str">
        <f>'Base Bid'!D70</f>
        <v>Each</v>
      </c>
      <c r="E58" s="25"/>
      <c r="F58" s="26">
        <f t="shared" si="9"/>
        <v>0</v>
      </c>
      <c r="G58" s="25"/>
      <c r="H58" s="26">
        <f t="shared" si="10"/>
        <v>0</v>
      </c>
      <c r="I58" s="25"/>
      <c r="J58" s="26">
        <f t="shared" si="11"/>
        <v>0</v>
      </c>
      <c r="K58" s="25"/>
      <c r="L58" s="26">
        <f t="shared" si="12"/>
        <v>0</v>
      </c>
      <c r="M58" s="25"/>
      <c r="N58" s="26">
        <f t="shared" si="13"/>
        <v>0</v>
      </c>
      <c r="O58" s="25"/>
      <c r="P58" s="26">
        <f t="shared" si="14"/>
        <v>0</v>
      </c>
      <c r="Q58" s="25"/>
      <c r="R58" s="26">
        <f t="shared" si="15"/>
        <v>0</v>
      </c>
      <c r="S58" s="25"/>
      <c r="T58" s="26">
        <f t="shared" si="16"/>
        <v>0</v>
      </c>
      <c r="U58" s="25"/>
      <c r="V58" s="26">
        <f t="shared" si="17"/>
        <v>0</v>
      </c>
    </row>
    <row r="59" spans="1:22" ht="33" customHeight="1">
      <c r="A59" s="10" t="str">
        <f>'Base Bid'!A71</f>
        <v>0052</v>
      </c>
      <c r="B59" s="54" t="str">
        <f>'Base Bid'!B71</f>
        <v>Catch Basins
(Item D-751)</v>
      </c>
      <c r="C59" s="59">
        <f>'Base Bid'!C71</f>
        <v>18</v>
      </c>
      <c r="D59" s="19" t="str">
        <f>'Base Bid'!D71</f>
        <v>Each</v>
      </c>
      <c r="E59" s="25"/>
      <c r="F59" s="26">
        <f t="shared" si="9"/>
        <v>0</v>
      </c>
      <c r="G59" s="25"/>
      <c r="H59" s="26">
        <f t="shared" si="10"/>
        <v>0</v>
      </c>
      <c r="I59" s="25"/>
      <c r="J59" s="26">
        <f t="shared" si="11"/>
        <v>0</v>
      </c>
      <c r="K59" s="25"/>
      <c r="L59" s="26">
        <f t="shared" si="12"/>
        <v>0</v>
      </c>
      <c r="M59" s="25"/>
      <c r="N59" s="26">
        <f t="shared" si="13"/>
        <v>0</v>
      </c>
      <c r="O59" s="25"/>
      <c r="P59" s="26">
        <f t="shared" si="14"/>
        <v>0</v>
      </c>
      <c r="Q59" s="25"/>
      <c r="R59" s="26">
        <f t="shared" si="15"/>
        <v>0</v>
      </c>
      <c r="S59" s="25"/>
      <c r="T59" s="26">
        <f t="shared" si="16"/>
        <v>0</v>
      </c>
      <c r="U59" s="25"/>
      <c r="V59" s="26">
        <f t="shared" si="17"/>
        <v>0</v>
      </c>
    </row>
    <row r="60" spans="1:22" ht="33" customHeight="1">
      <c r="A60" s="10" t="str">
        <f>'Base Bid'!A72</f>
        <v>0053</v>
      </c>
      <c r="B60" s="54" t="str">
        <f>'Base Bid'!B72</f>
        <v>Seeding
(Item T-901)</v>
      </c>
      <c r="C60" s="59">
        <f>'Base Bid'!C72</f>
        <v>2.8</v>
      </c>
      <c r="D60" s="19" t="str">
        <f>'Base Bid'!D72</f>
        <v>Acre</v>
      </c>
      <c r="E60" s="25"/>
      <c r="F60" s="26">
        <f t="shared" si="9"/>
        <v>0</v>
      </c>
      <c r="G60" s="25"/>
      <c r="H60" s="26">
        <f t="shared" si="10"/>
        <v>0</v>
      </c>
      <c r="I60" s="25"/>
      <c r="J60" s="26">
        <f t="shared" si="11"/>
        <v>0</v>
      </c>
      <c r="K60" s="25"/>
      <c r="L60" s="26">
        <f t="shared" si="12"/>
        <v>0</v>
      </c>
      <c r="M60" s="25"/>
      <c r="N60" s="26">
        <f t="shared" si="13"/>
        <v>0</v>
      </c>
      <c r="O60" s="25"/>
      <c r="P60" s="26">
        <f t="shared" si="14"/>
        <v>0</v>
      </c>
      <c r="Q60" s="25"/>
      <c r="R60" s="26">
        <f t="shared" si="15"/>
        <v>0</v>
      </c>
      <c r="S60" s="25"/>
      <c r="T60" s="26">
        <f t="shared" si="16"/>
        <v>0</v>
      </c>
      <c r="U60" s="25"/>
      <c r="V60" s="26">
        <f t="shared" si="17"/>
        <v>0</v>
      </c>
    </row>
    <row r="61" spans="1:22" ht="33" customHeight="1">
      <c r="A61" s="10" t="str">
        <f>'Base Bid'!A73</f>
        <v>0054</v>
      </c>
      <c r="B61" s="54" t="str">
        <f>'Base Bid'!B73</f>
        <v>Topsoiling
(Item T-905)</v>
      </c>
      <c r="C61" s="59">
        <f>'Base Bid'!C73</f>
        <v>2300</v>
      </c>
      <c r="D61" s="19" t="str">
        <f>'Base Bid'!D73</f>
        <v>CY</v>
      </c>
      <c r="E61" s="25"/>
      <c r="F61" s="26">
        <f t="shared" si="9"/>
        <v>0</v>
      </c>
      <c r="G61" s="25"/>
      <c r="H61" s="26">
        <f t="shared" si="10"/>
        <v>0</v>
      </c>
      <c r="I61" s="25"/>
      <c r="J61" s="26">
        <f t="shared" si="11"/>
        <v>0</v>
      </c>
      <c r="K61" s="25"/>
      <c r="L61" s="26">
        <f t="shared" si="12"/>
        <v>0</v>
      </c>
      <c r="M61" s="25"/>
      <c r="N61" s="26">
        <f t="shared" si="13"/>
        <v>0</v>
      </c>
      <c r="O61" s="25"/>
      <c r="P61" s="26">
        <f t="shared" si="14"/>
        <v>0</v>
      </c>
      <c r="Q61" s="25"/>
      <c r="R61" s="26">
        <f t="shared" si="15"/>
        <v>0</v>
      </c>
      <c r="S61" s="25"/>
      <c r="T61" s="26">
        <f t="shared" si="16"/>
        <v>0</v>
      </c>
      <c r="U61" s="25"/>
      <c r="V61" s="26">
        <f t="shared" si="17"/>
        <v>0</v>
      </c>
    </row>
    <row r="62" spans="1:22" ht="33" customHeight="1">
      <c r="A62" s="10" t="str">
        <f>'Base Bid'!A74</f>
        <v>0055</v>
      </c>
      <c r="B62" s="54" t="str">
        <f>'Base Bid'!B74</f>
        <v>Removal of Existing Storm Pipe, Manholes, and Inlets
(Section 312300)</v>
      </c>
      <c r="C62" s="59">
        <f>'Base Bid'!C74</f>
        <v>1</v>
      </c>
      <c r="D62" s="19" t="str">
        <f>'Base Bid'!D74</f>
        <v>LS</v>
      </c>
      <c r="E62" s="25"/>
      <c r="F62" s="26">
        <f t="shared" si="9"/>
        <v>0</v>
      </c>
      <c r="G62" s="25"/>
      <c r="H62" s="26">
        <f t="shared" si="10"/>
        <v>0</v>
      </c>
      <c r="I62" s="25"/>
      <c r="J62" s="26">
        <f t="shared" si="11"/>
        <v>0</v>
      </c>
      <c r="K62" s="25"/>
      <c r="L62" s="26">
        <f t="shared" si="12"/>
        <v>0</v>
      </c>
      <c r="M62" s="25"/>
      <c r="N62" s="26">
        <f t="shared" si="13"/>
        <v>0</v>
      </c>
      <c r="O62" s="25"/>
      <c r="P62" s="26">
        <f t="shared" si="14"/>
        <v>0</v>
      </c>
      <c r="Q62" s="25"/>
      <c r="R62" s="26">
        <f t="shared" si="15"/>
        <v>0</v>
      </c>
      <c r="S62" s="25"/>
      <c r="T62" s="26">
        <f t="shared" si="16"/>
        <v>0</v>
      </c>
      <c r="U62" s="25"/>
      <c r="V62" s="26">
        <f t="shared" si="17"/>
        <v>0</v>
      </c>
    </row>
    <row r="63" spans="1:22" ht="33" customHeight="1">
      <c r="A63" s="10" t="str">
        <f>'Base Bid'!A75</f>
        <v>0056</v>
      </c>
      <c r="B63" s="54" t="str">
        <f>'Base Bid'!B75</f>
        <v>Connection to Existing Storm Drainage System
(Section 312300)</v>
      </c>
      <c r="C63" s="59">
        <f>'Base Bid'!C75</f>
        <v>18</v>
      </c>
      <c r="D63" s="19" t="str">
        <f>'Base Bid'!D75</f>
        <v>Each</v>
      </c>
      <c r="E63" s="25"/>
      <c r="F63" s="26">
        <f t="shared" si="9"/>
        <v>0</v>
      </c>
      <c r="G63" s="25"/>
      <c r="H63" s="26">
        <f t="shared" si="10"/>
        <v>0</v>
      </c>
      <c r="I63" s="25"/>
      <c r="J63" s="26">
        <f t="shared" si="11"/>
        <v>0</v>
      </c>
      <c r="K63" s="25"/>
      <c r="L63" s="26">
        <f t="shared" si="12"/>
        <v>0</v>
      </c>
      <c r="M63" s="25"/>
      <c r="N63" s="26">
        <f t="shared" si="13"/>
        <v>0</v>
      </c>
      <c r="O63" s="25"/>
      <c r="P63" s="26">
        <f t="shared" si="14"/>
        <v>0</v>
      </c>
      <c r="Q63" s="25"/>
      <c r="R63" s="26">
        <f t="shared" si="15"/>
        <v>0</v>
      </c>
      <c r="S63" s="25"/>
      <c r="T63" s="26">
        <f t="shared" si="16"/>
        <v>0</v>
      </c>
      <c r="U63" s="25"/>
      <c r="V63" s="26">
        <f t="shared" si="17"/>
        <v>0</v>
      </c>
    </row>
    <row r="64" spans="1:22" ht="33" customHeight="1">
      <c r="A64" s="10" t="str">
        <f>'Base Bid'!A76</f>
        <v>0057</v>
      </c>
      <c r="B64" s="54" t="str">
        <f>'Base Bid'!B76</f>
        <v>Existing Manhole Adjustment to Grade
(Section 312300)</v>
      </c>
      <c r="C64" s="59">
        <f>'Base Bid'!C76</f>
        <v>3</v>
      </c>
      <c r="D64" s="19" t="str">
        <f>'Base Bid'!D76</f>
        <v>Each</v>
      </c>
      <c r="E64" s="25"/>
      <c r="F64" s="26">
        <f t="shared" si="9"/>
        <v>0</v>
      </c>
      <c r="G64" s="25"/>
      <c r="H64" s="26">
        <f t="shared" si="10"/>
        <v>0</v>
      </c>
      <c r="I64" s="25"/>
      <c r="J64" s="26">
        <f t="shared" si="11"/>
        <v>0</v>
      </c>
      <c r="K64" s="25"/>
      <c r="L64" s="26">
        <f t="shared" si="12"/>
        <v>0</v>
      </c>
      <c r="M64" s="25"/>
      <c r="N64" s="26">
        <f t="shared" si="13"/>
        <v>0</v>
      </c>
      <c r="O64" s="25"/>
      <c r="P64" s="26">
        <f t="shared" si="14"/>
        <v>0</v>
      </c>
      <c r="Q64" s="25"/>
      <c r="R64" s="26">
        <f t="shared" si="15"/>
        <v>0</v>
      </c>
      <c r="S64" s="25"/>
      <c r="T64" s="26">
        <f t="shared" si="16"/>
        <v>0</v>
      </c>
      <c r="U64" s="25"/>
      <c r="V64" s="26">
        <f t="shared" si="17"/>
        <v>0</v>
      </c>
    </row>
    <row r="65" spans="1:22" ht="33" customHeight="1">
      <c r="A65" s="10" t="str">
        <f>'Base Bid'!A77</f>
        <v>0058</v>
      </c>
      <c r="B65" s="54" t="str">
        <f>'Base Bid'!B77</f>
        <v>Existing Electrical Vault (H-20 Rated) Extension to Finish Grade 
(Section 312300)</v>
      </c>
      <c r="C65" s="59">
        <f>'Base Bid'!C77</f>
        <v>2</v>
      </c>
      <c r="D65" s="19" t="str">
        <f>'Base Bid'!D77</f>
        <v>Each</v>
      </c>
      <c r="E65" s="25"/>
      <c r="F65" s="26">
        <f t="shared" si="9"/>
        <v>0</v>
      </c>
      <c r="G65" s="25"/>
      <c r="H65" s="26">
        <f t="shared" si="10"/>
        <v>0</v>
      </c>
      <c r="I65" s="25"/>
      <c r="J65" s="26">
        <f t="shared" si="11"/>
        <v>0</v>
      </c>
      <c r="K65" s="25"/>
      <c r="L65" s="26">
        <f t="shared" si="12"/>
        <v>0</v>
      </c>
      <c r="M65" s="25"/>
      <c r="N65" s="26">
        <f t="shared" si="13"/>
        <v>0</v>
      </c>
      <c r="O65" s="25"/>
      <c r="P65" s="26">
        <f t="shared" si="14"/>
        <v>0</v>
      </c>
      <c r="Q65" s="25"/>
      <c r="R65" s="26">
        <f t="shared" si="15"/>
        <v>0</v>
      </c>
      <c r="S65" s="25"/>
      <c r="T65" s="26">
        <f t="shared" si="16"/>
        <v>0</v>
      </c>
      <c r="U65" s="25"/>
      <c r="V65" s="26">
        <f t="shared" si="17"/>
        <v>0</v>
      </c>
    </row>
    <row r="66" spans="1:22" ht="33" customHeight="1">
      <c r="A66" s="10" t="str">
        <f>'Base Bid'!A78</f>
        <v>0059</v>
      </c>
      <c r="B66" s="54" t="str">
        <f>'Base Bid'!B78</f>
        <v>Sanitary Sewer Wet Well Removal
(Section 312300)</v>
      </c>
      <c r="C66" s="59">
        <f>'Base Bid'!C78</f>
        <v>1</v>
      </c>
      <c r="D66" s="19" t="str">
        <f>'Base Bid'!D78</f>
        <v>Each</v>
      </c>
      <c r="E66" s="25"/>
      <c r="F66" s="26">
        <f t="shared" si="9"/>
        <v>0</v>
      </c>
      <c r="G66" s="25"/>
      <c r="H66" s="26">
        <f t="shared" si="10"/>
        <v>0</v>
      </c>
      <c r="I66" s="25"/>
      <c r="J66" s="26">
        <f t="shared" si="11"/>
        <v>0</v>
      </c>
      <c r="K66" s="25"/>
      <c r="L66" s="26">
        <f t="shared" si="12"/>
        <v>0</v>
      </c>
      <c r="M66" s="25"/>
      <c r="N66" s="26">
        <f t="shared" si="13"/>
        <v>0</v>
      </c>
      <c r="O66" s="25"/>
      <c r="P66" s="26">
        <f t="shared" si="14"/>
        <v>0</v>
      </c>
      <c r="Q66" s="25"/>
      <c r="R66" s="26">
        <f t="shared" si="15"/>
        <v>0</v>
      </c>
      <c r="S66" s="25"/>
      <c r="T66" s="26">
        <f t="shared" si="16"/>
        <v>0</v>
      </c>
      <c r="U66" s="25"/>
      <c r="V66" s="26">
        <f t="shared" si="17"/>
        <v>0</v>
      </c>
    </row>
    <row r="67" spans="1:22" ht="33" customHeight="1">
      <c r="A67" s="10" t="str">
        <f>'Base Bid'!A79</f>
        <v>0060</v>
      </c>
      <c r="B67" s="54" t="str">
        <f>'Base Bid'!B79</f>
        <v>No. 8 AWG, 5 kV, L-824, Type C Cable Installed in Trench, Duct Bank or Conduit
(Item L-108)</v>
      </c>
      <c r="C67" s="59">
        <f>'Base Bid'!C79</f>
        <v>14265</v>
      </c>
      <c r="D67" s="19" t="str">
        <f>'Base Bid'!D79</f>
        <v>LF</v>
      </c>
      <c r="E67" s="25"/>
      <c r="F67" s="26">
        <f t="shared" si="9"/>
        <v>0</v>
      </c>
      <c r="G67" s="25"/>
      <c r="H67" s="26">
        <f t="shared" si="10"/>
        <v>0</v>
      </c>
      <c r="I67" s="25"/>
      <c r="J67" s="26">
        <f t="shared" si="11"/>
        <v>0</v>
      </c>
      <c r="K67" s="25"/>
      <c r="L67" s="26">
        <f t="shared" si="12"/>
        <v>0</v>
      </c>
      <c r="M67" s="25"/>
      <c r="N67" s="26">
        <f t="shared" si="13"/>
        <v>0</v>
      </c>
      <c r="O67" s="25"/>
      <c r="P67" s="26">
        <f t="shared" si="14"/>
        <v>0</v>
      </c>
      <c r="Q67" s="25"/>
      <c r="R67" s="26">
        <f t="shared" si="15"/>
        <v>0</v>
      </c>
      <c r="S67" s="25"/>
      <c r="T67" s="26">
        <f t="shared" si="16"/>
        <v>0</v>
      </c>
      <c r="U67" s="25"/>
      <c r="V67" s="26">
        <f t="shared" si="17"/>
        <v>0</v>
      </c>
    </row>
    <row r="68" spans="1:22" ht="33" customHeight="1">
      <c r="A68" s="10" t="str">
        <f>'Base Bid'!A80</f>
        <v>0061</v>
      </c>
      <c r="B68" s="54" t="str">
        <f>'Base Bid'!B80</f>
        <v xml:space="preserve">No. 6 AWG, Solid, Bare Counterpoise Wire
(Item L-108) </v>
      </c>
      <c r="C68" s="59">
        <f>'Base Bid'!C80</f>
        <v>4000</v>
      </c>
      <c r="D68" s="19" t="str">
        <f>'Base Bid'!D80</f>
        <v>LF</v>
      </c>
      <c r="E68" s="25"/>
      <c r="F68" s="26">
        <f t="shared" si="9"/>
        <v>0</v>
      </c>
      <c r="G68" s="25"/>
      <c r="H68" s="26">
        <f t="shared" si="10"/>
        <v>0</v>
      </c>
      <c r="I68" s="25"/>
      <c r="J68" s="26">
        <f t="shared" si="11"/>
        <v>0</v>
      </c>
      <c r="K68" s="25"/>
      <c r="L68" s="26">
        <f t="shared" si="12"/>
        <v>0</v>
      </c>
      <c r="M68" s="25"/>
      <c r="N68" s="26">
        <f t="shared" si="13"/>
        <v>0</v>
      </c>
      <c r="O68" s="25"/>
      <c r="P68" s="26">
        <f t="shared" si="14"/>
        <v>0</v>
      </c>
      <c r="Q68" s="25"/>
      <c r="R68" s="26">
        <f t="shared" si="15"/>
        <v>0</v>
      </c>
      <c r="S68" s="25"/>
      <c r="T68" s="26">
        <f t="shared" si="16"/>
        <v>0</v>
      </c>
      <c r="U68" s="25"/>
      <c r="V68" s="26">
        <f t="shared" si="17"/>
        <v>0</v>
      </c>
    </row>
    <row r="69" spans="1:22" ht="33" customHeight="1">
      <c r="A69" s="10" t="str">
        <f>'Base Bid'!A81</f>
        <v>0062</v>
      </c>
      <c r="B69" s="54" t="str">
        <f>'Base Bid'!B81</f>
        <v xml:space="preserve">Counterpoise Ground Rod, 10-Foot Long
(Item L-108) </v>
      </c>
      <c r="C69" s="59">
        <f>'Base Bid'!C81</f>
        <v>13</v>
      </c>
      <c r="D69" s="19" t="str">
        <f>'Base Bid'!D81</f>
        <v>Each</v>
      </c>
      <c r="E69" s="25"/>
      <c r="F69" s="26">
        <f t="shared" si="9"/>
        <v>0</v>
      </c>
      <c r="G69" s="25"/>
      <c r="H69" s="26">
        <f t="shared" si="10"/>
        <v>0</v>
      </c>
      <c r="I69" s="25"/>
      <c r="J69" s="26">
        <f t="shared" si="11"/>
        <v>0</v>
      </c>
      <c r="K69" s="25"/>
      <c r="L69" s="26">
        <f t="shared" si="12"/>
        <v>0</v>
      </c>
      <c r="M69" s="25"/>
      <c r="N69" s="26">
        <f t="shared" si="13"/>
        <v>0</v>
      </c>
      <c r="O69" s="25"/>
      <c r="P69" s="26">
        <f t="shared" si="14"/>
        <v>0</v>
      </c>
      <c r="Q69" s="25"/>
      <c r="R69" s="26">
        <f t="shared" si="15"/>
        <v>0</v>
      </c>
      <c r="S69" s="25"/>
      <c r="T69" s="26">
        <f t="shared" si="16"/>
        <v>0</v>
      </c>
      <c r="U69" s="25"/>
      <c r="V69" s="26">
        <f t="shared" si="17"/>
        <v>0</v>
      </c>
    </row>
    <row r="70" spans="1:22" ht="33" customHeight="1">
      <c r="A70" s="10" t="str">
        <f>'Base Bid'!A82</f>
        <v>0063</v>
      </c>
      <c r="B70" s="54" t="str">
        <f>'Base Bid'!B82</f>
        <v xml:space="preserve">2-Inch PVC
(Item L-110) </v>
      </c>
      <c r="C70" s="59">
        <f>'Base Bid'!C82</f>
        <v>3680</v>
      </c>
      <c r="D70" s="19" t="str">
        <f>'Base Bid'!D82</f>
        <v>LF</v>
      </c>
      <c r="E70" s="25"/>
      <c r="F70" s="26">
        <f t="shared" si="9"/>
        <v>0</v>
      </c>
      <c r="G70" s="25"/>
      <c r="H70" s="26">
        <f t="shared" si="10"/>
        <v>0</v>
      </c>
      <c r="I70" s="25"/>
      <c r="J70" s="26">
        <f t="shared" si="11"/>
        <v>0</v>
      </c>
      <c r="K70" s="25"/>
      <c r="L70" s="26">
        <f t="shared" si="12"/>
        <v>0</v>
      </c>
      <c r="M70" s="25"/>
      <c r="N70" s="26">
        <f t="shared" si="13"/>
        <v>0</v>
      </c>
      <c r="O70" s="25"/>
      <c r="P70" s="26">
        <f t="shared" si="14"/>
        <v>0</v>
      </c>
      <c r="Q70" s="25"/>
      <c r="R70" s="26">
        <f t="shared" si="15"/>
        <v>0</v>
      </c>
      <c r="S70" s="25"/>
      <c r="T70" s="26">
        <f t="shared" si="16"/>
        <v>0</v>
      </c>
      <c r="U70" s="25"/>
      <c r="V70" s="26">
        <f t="shared" si="17"/>
        <v>0</v>
      </c>
    </row>
    <row r="71" spans="1:22" ht="33" customHeight="1">
      <c r="A71" s="10" t="str">
        <f>'Base Bid'!A83</f>
        <v>0064</v>
      </c>
      <c r="B71" s="54" t="str">
        <f>'Base Bid'!B83</f>
        <v xml:space="preserve">2-Inch GRSC
(Item L-110) </v>
      </c>
      <c r="C71" s="59">
        <f>'Base Bid'!C83</f>
        <v>45</v>
      </c>
      <c r="D71" s="19" t="str">
        <f>'Base Bid'!D83</f>
        <v>LF</v>
      </c>
      <c r="E71" s="25"/>
      <c r="F71" s="26">
        <f t="shared" si="9"/>
        <v>0</v>
      </c>
      <c r="G71" s="25"/>
      <c r="H71" s="26">
        <f t="shared" si="10"/>
        <v>0</v>
      </c>
      <c r="I71" s="25"/>
      <c r="J71" s="26">
        <f t="shared" si="11"/>
        <v>0</v>
      </c>
      <c r="K71" s="25"/>
      <c r="L71" s="26">
        <f t="shared" si="12"/>
        <v>0</v>
      </c>
      <c r="M71" s="25"/>
      <c r="N71" s="26">
        <f t="shared" si="13"/>
        <v>0</v>
      </c>
      <c r="O71" s="25"/>
      <c r="P71" s="26">
        <f t="shared" si="14"/>
        <v>0</v>
      </c>
      <c r="Q71" s="25"/>
      <c r="R71" s="26">
        <f t="shared" si="15"/>
        <v>0</v>
      </c>
      <c r="S71" s="25"/>
      <c r="T71" s="26">
        <f t="shared" si="16"/>
        <v>0</v>
      </c>
      <c r="U71" s="25"/>
      <c r="V71" s="26">
        <f t="shared" si="17"/>
        <v>0</v>
      </c>
    </row>
    <row r="72" spans="1:22" ht="33" customHeight="1">
      <c r="A72" s="10" t="str">
        <f>'Base Bid'!A84</f>
        <v>0065</v>
      </c>
      <c r="B72" s="54" t="str">
        <f>'Base Bid'!B84</f>
        <v xml:space="preserve">1 1/2-Inch GRSC
(Item L-110) </v>
      </c>
      <c r="C72" s="59">
        <f>'Base Bid'!C84</f>
        <v>80</v>
      </c>
      <c r="D72" s="19" t="str">
        <f>'Base Bid'!D84</f>
        <v>LF</v>
      </c>
      <c r="E72" s="25"/>
      <c r="F72" s="26">
        <f t="shared" si="9"/>
        <v>0</v>
      </c>
      <c r="G72" s="25"/>
      <c r="H72" s="26">
        <f t="shared" si="10"/>
        <v>0</v>
      </c>
      <c r="I72" s="25"/>
      <c r="J72" s="26">
        <f t="shared" si="11"/>
        <v>0</v>
      </c>
      <c r="K72" s="25"/>
      <c r="L72" s="26">
        <f t="shared" si="12"/>
        <v>0</v>
      </c>
      <c r="M72" s="25"/>
      <c r="N72" s="26">
        <f t="shared" si="13"/>
        <v>0</v>
      </c>
      <c r="O72" s="25"/>
      <c r="P72" s="26">
        <f t="shared" si="14"/>
        <v>0</v>
      </c>
      <c r="Q72" s="25"/>
      <c r="R72" s="26">
        <f t="shared" si="15"/>
        <v>0</v>
      </c>
      <c r="S72" s="25"/>
      <c r="T72" s="26">
        <f t="shared" si="16"/>
        <v>0</v>
      </c>
      <c r="U72" s="25"/>
      <c r="V72" s="26">
        <f t="shared" si="17"/>
        <v>0</v>
      </c>
    </row>
    <row r="73" spans="1:22" ht="33" customHeight="1">
      <c r="A73" s="10" t="str">
        <f>'Base Bid'!A85</f>
        <v>0066</v>
      </c>
      <c r="B73" s="54" t="str">
        <f>'Base Bid'!B85</f>
        <v>General Electrical Removal
(Section 260500)</v>
      </c>
      <c r="C73" s="59">
        <f>'Base Bid'!C85</f>
        <v>1</v>
      </c>
      <c r="D73" s="19" t="str">
        <f>'Base Bid'!D85</f>
        <v>LS</v>
      </c>
      <c r="E73" s="25"/>
      <c r="F73" s="26">
        <f t="shared" si="9"/>
        <v>0</v>
      </c>
      <c r="G73" s="25"/>
      <c r="H73" s="26">
        <f t="shared" si="10"/>
        <v>0</v>
      </c>
      <c r="I73" s="25"/>
      <c r="J73" s="26">
        <f t="shared" si="11"/>
        <v>0</v>
      </c>
      <c r="K73" s="25"/>
      <c r="L73" s="26">
        <f t="shared" si="12"/>
        <v>0</v>
      </c>
      <c r="M73" s="25"/>
      <c r="N73" s="26">
        <f t="shared" si="13"/>
        <v>0</v>
      </c>
      <c r="O73" s="25"/>
      <c r="P73" s="26">
        <f t="shared" si="14"/>
        <v>0</v>
      </c>
      <c r="Q73" s="25"/>
      <c r="R73" s="26">
        <f t="shared" si="15"/>
        <v>0</v>
      </c>
      <c r="S73" s="25"/>
      <c r="T73" s="26">
        <f t="shared" si="16"/>
        <v>0</v>
      </c>
      <c r="U73" s="25"/>
      <c r="V73" s="26">
        <f t="shared" si="17"/>
        <v>0</v>
      </c>
    </row>
    <row r="74" spans="1:22" ht="33" customHeight="1">
      <c r="A74" s="10" t="str">
        <f>'Base Bid'!A86</f>
        <v>0067</v>
      </c>
      <c r="B74" s="54" t="str">
        <f>'Base Bid'!B86</f>
        <v>Temporary Circuit Connection
(Section 260500)</v>
      </c>
      <c r="C74" s="59">
        <f>'Base Bid'!C86</f>
        <v>1</v>
      </c>
      <c r="D74" s="19" t="str">
        <f>'Base Bid'!D86</f>
        <v>LS</v>
      </c>
      <c r="E74" s="25"/>
      <c r="F74" s="26">
        <f t="shared" si="9"/>
        <v>0</v>
      </c>
      <c r="G74" s="25"/>
      <c r="H74" s="26">
        <f t="shared" si="10"/>
        <v>0</v>
      </c>
      <c r="I74" s="25"/>
      <c r="J74" s="26">
        <f t="shared" si="11"/>
        <v>0</v>
      </c>
      <c r="K74" s="25"/>
      <c r="L74" s="26">
        <f t="shared" si="12"/>
        <v>0</v>
      </c>
      <c r="M74" s="25"/>
      <c r="N74" s="26">
        <f t="shared" si="13"/>
        <v>0</v>
      </c>
      <c r="O74" s="25"/>
      <c r="P74" s="26">
        <f t="shared" si="14"/>
        <v>0</v>
      </c>
      <c r="Q74" s="25"/>
      <c r="R74" s="26">
        <f t="shared" si="15"/>
        <v>0</v>
      </c>
      <c r="S74" s="25"/>
      <c r="T74" s="26">
        <f t="shared" si="16"/>
        <v>0</v>
      </c>
      <c r="U74" s="25"/>
      <c r="V74" s="26">
        <f t="shared" si="17"/>
        <v>0</v>
      </c>
    </row>
    <row r="75" spans="1:22" ht="43.5" customHeight="1">
      <c r="A75" s="10" t="str">
        <f>'Base Bid'!A87</f>
        <v>0068</v>
      </c>
      <c r="B75" s="54" t="str">
        <f>'Base Bid'!B87</f>
        <v>Reinstall Elevated Taxiway Edge Light w/ PF Base Can, PF Extension, PF Flange Ring, and CF Transformer in New AC 
(Section 344300)</v>
      </c>
      <c r="C75" s="59">
        <f>'Base Bid'!C87</f>
        <v>43</v>
      </c>
      <c r="D75" s="19" t="str">
        <f>'Base Bid'!D87</f>
        <v>Each</v>
      </c>
      <c r="E75" s="25"/>
      <c r="F75" s="26">
        <f t="shared" si="9"/>
        <v>0</v>
      </c>
      <c r="G75" s="25"/>
      <c r="H75" s="26">
        <f t="shared" si="10"/>
        <v>0</v>
      </c>
      <c r="I75" s="25"/>
      <c r="J75" s="26">
        <f t="shared" si="11"/>
        <v>0</v>
      </c>
      <c r="K75" s="25"/>
      <c r="L75" s="26">
        <f t="shared" si="12"/>
        <v>0</v>
      </c>
      <c r="M75" s="25"/>
      <c r="N75" s="26">
        <f t="shared" si="13"/>
        <v>0</v>
      </c>
      <c r="O75" s="25"/>
      <c r="P75" s="26">
        <f t="shared" si="14"/>
        <v>0</v>
      </c>
      <c r="Q75" s="25"/>
      <c r="R75" s="26">
        <f t="shared" si="15"/>
        <v>0</v>
      </c>
      <c r="S75" s="25"/>
      <c r="T75" s="26">
        <f t="shared" si="16"/>
        <v>0</v>
      </c>
      <c r="U75" s="25"/>
      <c r="V75" s="26">
        <f t="shared" si="17"/>
        <v>0</v>
      </c>
    </row>
    <row r="76" spans="1:22" ht="43.5" customHeight="1">
      <c r="A76" s="10" t="str">
        <f>'Base Bid'!A88</f>
        <v>0069</v>
      </c>
      <c r="B76" s="54" t="str">
        <f>'Base Bid'!B88</f>
        <v>Reinstall Elevated Taxiway Edge Light w/ PF Base Can, PF Extension, PF Flange Ring, and CF Transformer in Existing AC 
(Section 344300)</v>
      </c>
      <c r="C76" s="59">
        <f>'Base Bid'!C88</f>
        <v>6</v>
      </c>
      <c r="D76" s="19" t="str">
        <f>'Base Bid'!D88</f>
        <v>Each</v>
      </c>
      <c r="E76" s="25"/>
      <c r="F76" s="26">
        <f t="shared" si="9"/>
        <v>0</v>
      </c>
      <c r="G76" s="25"/>
      <c r="H76" s="26">
        <f t="shared" si="10"/>
        <v>0</v>
      </c>
      <c r="I76" s="25"/>
      <c r="J76" s="26">
        <f t="shared" si="11"/>
        <v>0</v>
      </c>
      <c r="K76" s="25"/>
      <c r="L76" s="26">
        <f t="shared" si="12"/>
        <v>0</v>
      </c>
      <c r="M76" s="25"/>
      <c r="N76" s="26">
        <f t="shared" si="13"/>
        <v>0</v>
      </c>
      <c r="O76" s="25"/>
      <c r="P76" s="26">
        <f t="shared" si="14"/>
        <v>0</v>
      </c>
      <c r="Q76" s="25"/>
      <c r="R76" s="26">
        <f t="shared" si="15"/>
        <v>0</v>
      </c>
      <c r="S76" s="25"/>
      <c r="T76" s="26">
        <f t="shared" si="16"/>
        <v>0</v>
      </c>
      <c r="U76" s="25"/>
      <c r="V76" s="26">
        <f t="shared" si="17"/>
        <v>0</v>
      </c>
    </row>
    <row r="77" spans="1:22" ht="43.5" customHeight="1">
      <c r="A77" s="10" t="str">
        <f>'Base Bid'!A89</f>
        <v>0070</v>
      </c>
      <c r="B77" s="54" t="str">
        <f>'Base Bid'!B89</f>
        <v>Reinstall LED Taxiway Centerline Light w/ PF Base Can, PF Extension, PF Flange Ring, and CF Transformer in New AC
(Section 344300)</v>
      </c>
      <c r="C77" s="59">
        <f>'Base Bid'!C89</f>
        <v>13</v>
      </c>
      <c r="D77" s="19" t="str">
        <f>'Base Bid'!D89</f>
        <v>Each</v>
      </c>
      <c r="E77" s="25"/>
      <c r="F77" s="26">
        <f t="shared" si="9"/>
        <v>0</v>
      </c>
      <c r="G77" s="25"/>
      <c r="H77" s="26">
        <f t="shared" si="10"/>
        <v>0</v>
      </c>
      <c r="I77" s="25"/>
      <c r="J77" s="26">
        <f t="shared" si="11"/>
        <v>0</v>
      </c>
      <c r="K77" s="25"/>
      <c r="L77" s="26">
        <f t="shared" si="12"/>
        <v>0</v>
      </c>
      <c r="M77" s="25"/>
      <c r="N77" s="26">
        <f t="shared" si="13"/>
        <v>0</v>
      </c>
      <c r="O77" s="25"/>
      <c r="P77" s="26">
        <f t="shared" si="14"/>
        <v>0</v>
      </c>
      <c r="Q77" s="25"/>
      <c r="R77" s="26">
        <f t="shared" si="15"/>
        <v>0</v>
      </c>
      <c r="S77" s="25"/>
      <c r="T77" s="26">
        <f t="shared" si="16"/>
        <v>0</v>
      </c>
      <c r="U77" s="25"/>
      <c r="V77" s="26">
        <f t="shared" si="17"/>
        <v>0</v>
      </c>
    </row>
    <row r="78" spans="1:22" ht="43.5" customHeight="1">
      <c r="A78" s="10" t="str">
        <f>'Base Bid'!A90</f>
        <v>0071</v>
      </c>
      <c r="B78" s="54" t="str">
        <f>'Base Bid'!B90</f>
        <v>Install PF In-Pavement Taxiway Edge Light on PF Base Can, PF Extension, PF Flange Ring, and CF Transformer in New AC
(Section 344300)</v>
      </c>
      <c r="C78" s="59">
        <f>'Base Bid'!C90</f>
        <v>3</v>
      </c>
      <c r="D78" s="19" t="str">
        <f>'Base Bid'!D90</f>
        <v>Each</v>
      </c>
      <c r="E78" s="25"/>
      <c r="F78" s="26">
        <f t="shared" si="9"/>
        <v>0</v>
      </c>
      <c r="G78" s="25"/>
      <c r="H78" s="26">
        <f t="shared" si="10"/>
        <v>0</v>
      </c>
      <c r="I78" s="25"/>
      <c r="J78" s="26">
        <f t="shared" si="11"/>
        <v>0</v>
      </c>
      <c r="K78" s="25"/>
      <c r="L78" s="26">
        <f t="shared" si="12"/>
        <v>0</v>
      </c>
      <c r="M78" s="25"/>
      <c r="N78" s="26">
        <f t="shared" si="13"/>
        <v>0</v>
      </c>
      <c r="O78" s="25"/>
      <c r="P78" s="26">
        <f t="shared" si="14"/>
        <v>0</v>
      </c>
      <c r="Q78" s="25"/>
      <c r="R78" s="26">
        <f t="shared" si="15"/>
        <v>0</v>
      </c>
      <c r="S78" s="25"/>
      <c r="T78" s="26">
        <f t="shared" si="16"/>
        <v>0</v>
      </c>
      <c r="U78" s="25"/>
      <c r="V78" s="26">
        <f t="shared" si="17"/>
        <v>0</v>
      </c>
    </row>
    <row r="79" spans="1:22" ht="33" customHeight="1">
      <c r="A79" s="10" t="str">
        <f>'Base Bid'!A91</f>
        <v>0072</v>
      </c>
      <c r="B79" s="54" t="str">
        <f>'Base Bid'!B91</f>
        <v>Reinstall Taxiway Edge Light on Existing Base Can with Existing Isolation Transformer (Section 344300)</v>
      </c>
      <c r="C79" s="59">
        <f>'Base Bid'!C91</f>
        <v>28</v>
      </c>
      <c r="D79" s="19" t="str">
        <f>'Base Bid'!D91</f>
        <v>Each</v>
      </c>
      <c r="E79" s="25"/>
      <c r="F79" s="26">
        <f t="shared" ref="F79:F90" si="18">QTY*E79</f>
        <v>0</v>
      </c>
      <c r="G79" s="25"/>
      <c r="H79" s="26">
        <f t="shared" ref="H79:H90" si="19">QTY*G79</f>
        <v>0</v>
      </c>
      <c r="I79" s="25"/>
      <c r="J79" s="26">
        <f t="shared" ref="J79:J90" si="20">QTY*I79</f>
        <v>0</v>
      </c>
      <c r="K79" s="25"/>
      <c r="L79" s="26">
        <f t="shared" ref="L79:L90" si="21">QTY*K79</f>
        <v>0</v>
      </c>
      <c r="M79" s="25"/>
      <c r="N79" s="26">
        <f t="shared" ref="N79:N90" si="22">QTY*M79</f>
        <v>0</v>
      </c>
      <c r="O79" s="25"/>
      <c r="P79" s="26">
        <f t="shared" ref="P79:P90" si="23">QTY*O79</f>
        <v>0</v>
      </c>
      <c r="Q79" s="25"/>
      <c r="R79" s="26">
        <f t="shared" ref="R79:R90" si="24">QTY*Q79</f>
        <v>0</v>
      </c>
      <c r="S79" s="25"/>
      <c r="T79" s="26">
        <f t="shared" ref="T79:T90" si="25">QTY*S79</f>
        <v>0</v>
      </c>
      <c r="U79" s="25"/>
      <c r="V79" s="26">
        <f t="shared" ref="V79:V90" si="26">QTY*U79</f>
        <v>0</v>
      </c>
    </row>
    <row r="80" spans="1:22" ht="32.25" customHeight="1">
      <c r="A80" s="10" t="str">
        <f>'Base Bid'!A92</f>
        <v>0073</v>
      </c>
      <c r="B80" s="54" t="str">
        <f>'Base Bid'!B92</f>
        <v>Reinstall Taxiway Centerline Light on Existing Base Can w/ Existing Transformer in Existing AC (Section 344300)</v>
      </c>
      <c r="C80" s="59">
        <f>'Base Bid'!C92</f>
        <v>1</v>
      </c>
      <c r="D80" s="19" t="str">
        <f>'Base Bid'!D92</f>
        <v>Each</v>
      </c>
      <c r="E80" s="25"/>
      <c r="F80" s="26">
        <f t="shared" si="18"/>
        <v>0</v>
      </c>
      <c r="G80" s="25"/>
      <c r="H80" s="26">
        <f t="shared" si="19"/>
        <v>0</v>
      </c>
      <c r="I80" s="25"/>
      <c r="J80" s="26">
        <f t="shared" si="20"/>
        <v>0</v>
      </c>
      <c r="K80" s="25"/>
      <c r="L80" s="26">
        <f t="shared" si="21"/>
        <v>0</v>
      </c>
      <c r="M80" s="25"/>
      <c r="N80" s="26">
        <f t="shared" si="22"/>
        <v>0</v>
      </c>
      <c r="O80" s="25"/>
      <c r="P80" s="26">
        <f t="shared" si="23"/>
        <v>0</v>
      </c>
      <c r="Q80" s="25"/>
      <c r="R80" s="26">
        <f t="shared" si="24"/>
        <v>0</v>
      </c>
      <c r="S80" s="25"/>
      <c r="T80" s="26">
        <f t="shared" si="25"/>
        <v>0</v>
      </c>
      <c r="U80" s="25"/>
      <c r="V80" s="26">
        <f t="shared" si="26"/>
        <v>0</v>
      </c>
    </row>
    <row r="81" spans="1:22" ht="42.75" customHeight="1">
      <c r="A81" s="10" t="str">
        <f>'Base Bid'!A93</f>
        <v>0074</v>
      </c>
      <c r="B81" s="54" t="str">
        <f>'Base Bid'!B93</f>
        <v>Reinstall Taxiway Centerline Light on Existing Base Can w/ PF Extension, PF Flange Ring, and Existing Transformer in New AC (Section 344300)</v>
      </c>
      <c r="C81" s="59">
        <f>'Base Bid'!C93</f>
        <v>45</v>
      </c>
      <c r="D81" s="19" t="str">
        <f>'Base Bid'!D93</f>
        <v>Each</v>
      </c>
      <c r="E81" s="25"/>
      <c r="F81" s="26">
        <f t="shared" si="18"/>
        <v>0</v>
      </c>
      <c r="G81" s="25"/>
      <c r="H81" s="26">
        <f t="shared" si="19"/>
        <v>0</v>
      </c>
      <c r="I81" s="25"/>
      <c r="J81" s="26">
        <f t="shared" si="20"/>
        <v>0</v>
      </c>
      <c r="K81" s="25"/>
      <c r="L81" s="26">
        <f t="shared" si="21"/>
        <v>0</v>
      </c>
      <c r="M81" s="25"/>
      <c r="N81" s="26">
        <f t="shared" si="22"/>
        <v>0</v>
      </c>
      <c r="O81" s="25"/>
      <c r="P81" s="26">
        <f t="shared" si="23"/>
        <v>0</v>
      </c>
      <c r="Q81" s="25"/>
      <c r="R81" s="26">
        <f t="shared" si="24"/>
        <v>0</v>
      </c>
      <c r="S81" s="25"/>
      <c r="T81" s="26">
        <f t="shared" si="25"/>
        <v>0</v>
      </c>
      <c r="U81" s="25"/>
      <c r="V81" s="26">
        <f t="shared" si="26"/>
        <v>0</v>
      </c>
    </row>
    <row r="82" spans="1:22" ht="33" customHeight="1">
      <c r="A82" s="10" t="str">
        <f>'Base Bid'!A94</f>
        <v>0075</v>
      </c>
      <c r="B82" s="54" t="str">
        <f>'Base Bid'!B94</f>
        <v>Sign V-2
(Section 344302)</v>
      </c>
      <c r="C82" s="59">
        <f>'Base Bid'!C94</f>
        <v>1</v>
      </c>
      <c r="D82" s="19" t="str">
        <f>'Base Bid'!D94</f>
        <v>LS</v>
      </c>
      <c r="E82" s="25"/>
      <c r="F82" s="26">
        <f t="shared" si="18"/>
        <v>0</v>
      </c>
      <c r="G82" s="25"/>
      <c r="H82" s="26">
        <f t="shared" si="19"/>
        <v>0</v>
      </c>
      <c r="I82" s="25"/>
      <c r="J82" s="26">
        <f t="shared" si="20"/>
        <v>0</v>
      </c>
      <c r="K82" s="25"/>
      <c r="L82" s="26">
        <f t="shared" si="21"/>
        <v>0</v>
      </c>
      <c r="M82" s="25"/>
      <c r="N82" s="26">
        <f t="shared" si="22"/>
        <v>0</v>
      </c>
      <c r="O82" s="25"/>
      <c r="P82" s="26">
        <f t="shared" si="23"/>
        <v>0</v>
      </c>
      <c r="Q82" s="25"/>
      <c r="R82" s="26">
        <f t="shared" si="24"/>
        <v>0</v>
      </c>
      <c r="S82" s="25"/>
      <c r="T82" s="26">
        <f t="shared" si="25"/>
        <v>0</v>
      </c>
      <c r="U82" s="25"/>
      <c r="V82" s="26">
        <f t="shared" si="26"/>
        <v>0</v>
      </c>
    </row>
    <row r="83" spans="1:22" ht="33" customHeight="1">
      <c r="A83" s="10" t="str">
        <f>'Base Bid'!A95</f>
        <v>0076</v>
      </c>
      <c r="B83" s="54" t="str">
        <f>'Base Bid'!B95</f>
        <v>Sign V-4
(Section 344302)</v>
      </c>
      <c r="C83" s="59">
        <f>'Base Bid'!C95</f>
        <v>1</v>
      </c>
      <c r="D83" s="19" t="str">
        <f>'Base Bid'!D95</f>
        <v>LS</v>
      </c>
      <c r="E83" s="25"/>
      <c r="F83" s="26">
        <f t="shared" si="18"/>
        <v>0</v>
      </c>
      <c r="G83" s="25"/>
      <c r="H83" s="26">
        <f t="shared" si="19"/>
        <v>0</v>
      </c>
      <c r="I83" s="25"/>
      <c r="J83" s="26">
        <f t="shared" si="20"/>
        <v>0</v>
      </c>
      <c r="K83" s="25"/>
      <c r="L83" s="26">
        <f t="shared" si="21"/>
        <v>0</v>
      </c>
      <c r="M83" s="25"/>
      <c r="N83" s="26">
        <f t="shared" si="22"/>
        <v>0</v>
      </c>
      <c r="O83" s="25"/>
      <c r="P83" s="26">
        <f t="shared" si="23"/>
        <v>0</v>
      </c>
      <c r="Q83" s="25"/>
      <c r="R83" s="26">
        <f t="shared" si="24"/>
        <v>0</v>
      </c>
      <c r="S83" s="25"/>
      <c r="T83" s="26">
        <f t="shared" si="25"/>
        <v>0</v>
      </c>
      <c r="U83" s="25"/>
      <c r="V83" s="26">
        <f t="shared" si="26"/>
        <v>0</v>
      </c>
    </row>
    <row r="84" spans="1:22" ht="33" customHeight="1">
      <c r="A84" s="10" t="str">
        <f>'Base Bid'!A96</f>
        <v>0077</v>
      </c>
      <c r="B84" s="54" t="str">
        <f>'Base Bid'!B96</f>
        <v>Sign V-6
(Section 344302)</v>
      </c>
      <c r="C84" s="59">
        <f>'Base Bid'!C96</f>
        <v>1</v>
      </c>
      <c r="D84" s="19" t="str">
        <f>'Base Bid'!D96</f>
        <v>LS</v>
      </c>
      <c r="E84" s="25"/>
      <c r="F84" s="26">
        <f t="shared" si="18"/>
        <v>0</v>
      </c>
      <c r="G84" s="25"/>
      <c r="H84" s="26">
        <f t="shared" si="19"/>
        <v>0</v>
      </c>
      <c r="I84" s="25"/>
      <c r="J84" s="26">
        <f t="shared" si="20"/>
        <v>0</v>
      </c>
      <c r="K84" s="25"/>
      <c r="L84" s="26">
        <f t="shared" si="21"/>
        <v>0</v>
      </c>
      <c r="M84" s="25"/>
      <c r="N84" s="26">
        <f t="shared" si="22"/>
        <v>0</v>
      </c>
      <c r="O84" s="25"/>
      <c r="P84" s="26">
        <f t="shared" si="23"/>
        <v>0</v>
      </c>
      <c r="Q84" s="25"/>
      <c r="R84" s="26">
        <f t="shared" si="24"/>
        <v>0</v>
      </c>
      <c r="S84" s="25"/>
      <c r="T84" s="26">
        <f t="shared" si="25"/>
        <v>0</v>
      </c>
      <c r="U84" s="25"/>
      <c r="V84" s="26">
        <f t="shared" si="26"/>
        <v>0</v>
      </c>
    </row>
    <row r="85" spans="1:22" ht="33" customHeight="1">
      <c r="A85" s="10" t="str">
        <f>'Base Bid'!A97</f>
        <v>0078</v>
      </c>
      <c r="B85" s="54" t="str">
        <f>'Base Bid'!B97</f>
        <v>Sign A4-6
(Section 344302)</v>
      </c>
      <c r="C85" s="59">
        <f>'Base Bid'!C97</f>
        <v>1</v>
      </c>
      <c r="D85" s="19" t="str">
        <f>'Base Bid'!D97</f>
        <v>LS</v>
      </c>
      <c r="E85" s="25"/>
      <c r="F85" s="26">
        <f t="shared" si="18"/>
        <v>0</v>
      </c>
      <c r="G85" s="25"/>
      <c r="H85" s="26">
        <f t="shared" si="19"/>
        <v>0</v>
      </c>
      <c r="I85" s="25"/>
      <c r="J85" s="26">
        <f t="shared" si="20"/>
        <v>0</v>
      </c>
      <c r="K85" s="25"/>
      <c r="L85" s="26">
        <f t="shared" si="21"/>
        <v>0</v>
      </c>
      <c r="M85" s="25"/>
      <c r="N85" s="26">
        <f t="shared" si="22"/>
        <v>0</v>
      </c>
      <c r="O85" s="25"/>
      <c r="P85" s="26">
        <f t="shared" si="23"/>
        <v>0</v>
      </c>
      <c r="Q85" s="25"/>
      <c r="R85" s="26">
        <f t="shared" si="24"/>
        <v>0</v>
      </c>
      <c r="S85" s="25"/>
      <c r="T85" s="26">
        <f t="shared" si="25"/>
        <v>0</v>
      </c>
      <c r="U85" s="25"/>
      <c r="V85" s="26">
        <f t="shared" si="26"/>
        <v>0</v>
      </c>
    </row>
    <row r="86" spans="1:22" ht="33" customHeight="1">
      <c r="A86" s="10" t="str">
        <f>'Base Bid'!A98</f>
        <v>0079</v>
      </c>
      <c r="B86" s="54" t="str">
        <f>'Base Bid'!B98</f>
        <v>Sign A4-7
(Section 344302)</v>
      </c>
      <c r="C86" s="59">
        <f>'Base Bid'!C98</f>
        <v>1</v>
      </c>
      <c r="D86" s="19" t="str">
        <f>'Base Bid'!D98</f>
        <v>LS</v>
      </c>
      <c r="E86" s="25"/>
      <c r="F86" s="26">
        <f t="shared" si="18"/>
        <v>0</v>
      </c>
      <c r="G86" s="25"/>
      <c r="H86" s="26">
        <f t="shared" si="19"/>
        <v>0</v>
      </c>
      <c r="I86" s="25"/>
      <c r="J86" s="26">
        <f t="shared" si="20"/>
        <v>0</v>
      </c>
      <c r="K86" s="25"/>
      <c r="L86" s="26">
        <f t="shared" si="21"/>
        <v>0</v>
      </c>
      <c r="M86" s="25"/>
      <c r="N86" s="26">
        <f t="shared" si="22"/>
        <v>0</v>
      </c>
      <c r="O86" s="25"/>
      <c r="P86" s="26">
        <f t="shared" si="23"/>
        <v>0</v>
      </c>
      <c r="Q86" s="25"/>
      <c r="R86" s="26">
        <f t="shared" si="24"/>
        <v>0</v>
      </c>
      <c r="S86" s="25"/>
      <c r="T86" s="26">
        <f t="shared" si="25"/>
        <v>0</v>
      </c>
      <c r="U86" s="25"/>
      <c r="V86" s="26">
        <f t="shared" si="26"/>
        <v>0</v>
      </c>
    </row>
    <row r="87" spans="1:22" ht="33" customHeight="1">
      <c r="A87" s="10" t="str">
        <f>'Base Bid'!A99</f>
        <v>0080</v>
      </c>
      <c r="B87" s="54" t="str">
        <f>'Base Bid'!B99</f>
        <v>Sign A4-9
(Section 344302)</v>
      </c>
      <c r="C87" s="59">
        <f>'Base Bid'!C99</f>
        <v>1</v>
      </c>
      <c r="D87" s="19" t="str">
        <f>'Base Bid'!D99</f>
        <v>LS</v>
      </c>
      <c r="E87" s="25"/>
      <c r="F87" s="26">
        <f t="shared" si="18"/>
        <v>0</v>
      </c>
      <c r="G87" s="25"/>
      <c r="H87" s="26">
        <f t="shared" si="19"/>
        <v>0</v>
      </c>
      <c r="I87" s="25"/>
      <c r="J87" s="26">
        <f t="shared" si="20"/>
        <v>0</v>
      </c>
      <c r="K87" s="25"/>
      <c r="L87" s="26">
        <f t="shared" si="21"/>
        <v>0</v>
      </c>
      <c r="M87" s="25"/>
      <c r="N87" s="26">
        <f t="shared" si="22"/>
        <v>0</v>
      </c>
      <c r="O87" s="25"/>
      <c r="P87" s="26">
        <f t="shared" si="23"/>
        <v>0</v>
      </c>
      <c r="Q87" s="25"/>
      <c r="R87" s="26">
        <f t="shared" si="24"/>
        <v>0</v>
      </c>
      <c r="S87" s="25"/>
      <c r="T87" s="26">
        <f t="shared" si="25"/>
        <v>0</v>
      </c>
      <c r="U87" s="25"/>
      <c r="V87" s="26">
        <f t="shared" si="26"/>
        <v>0</v>
      </c>
    </row>
    <row r="88" spans="1:22" ht="33" customHeight="1">
      <c r="A88" s="10" t="str">
        <f>'Base Bid'!A100</f>
        <v>0081</v>
      </c>
      <c r="B88" s="54" t="str">
        <f>'Base Bid'!B100</f>
        <v>Sign A5-3
(Section 344302)</v>
      </c>
      <c r="C88" s="59">
        <f>'Base Bid'!C100</f>
        <v>1</v>
      </c>
      <c r="D88" s="19" t="str">
        <f>'Base Bid'!D100</f>
        <v>LS</v>
      </c>
      <c r="E88" s="25"/>
      <c r="F88" s="26">
        <f t="shared" si="18"/>
        <v>0</v>
      </c>
      <c r="G88" s="25"/>
      <c r="H88" s="26">
        <f t="shared" si="19"/>
        <v>0</v>
      </c>
      <c r="I88" s="25"/>
      <c r="J88" s="26">
        <f t="shared" si="20"/>
        <v>0</v>
      </c>
      <c r="K88" s="25"/>
      <c r="L88" s="26">
        <f t="shared" si="21"/>
        <v>0</v>
      </c>
      <c r="M88" s="25"/>
      <c r="N88" s="26">
        <f t="shared" si="22"/>
        <v>0</v>
      </c>
      <c r="O88" s="25"/>
      <c r="P88" s="26">
        <f t="shared" si="23"/>
        <v>0</v>
      </c>
      <c r="Q88" s="25"/>
      <c r="R88" s="26">
        <f t="shared" si="24"/>
        <v>0</v>
      </c>
      <c r="S88" s="25"/>
      <c r="T88" s="26">
        <f t="shared" si="25"/>
        <v>0</v>
      </c>
      <c r="U88" s="25"/>
      <c r="V88" s="26">
        <f t="shared" si="26"/>
        <v>0</v>
      </c>
    </row>
    <row r="89" spans="1:22" ht="33" customHeight="1">
      <c r="A89" s="10" t="str">
        <f>'Base Bid'!A101</f>
        <v>0082</v>
      </c>
      <c r="B89" s="54" t="str">
        <f>'Base Bid'!B101</f>
        <v>Sign A5-4
(Section 344302)</v>
      </c>
      <c r="C89" s="59">
        <f>'Base Bid'!C101</f>
        <v>1</v>
      </c>
      <c r="D89" s="19" t="str">
        <f>'Base Bid'!D101</f>
        <v>LS</v>
      </c>
      <c r="E89" s="25"/>
      <c r="F89" s="26">
        <f t="shared" si="18"/>
        <v>0</v>
      </c>
      <c r="G89" s="25"/>
      <c r="H89" s="26">
        <f t="shared" si="19"/>
        <v>0</v>
      </c>
      <c r="I89" s="25"/>
      <c r="J89" s="26">
        <f t="shared" si="20"/>
        <v>0</v>
      </c>
      <c r="K89" s="25"/>
      <c r="L89" s="26">
        <f t="shared" si="21"/>
        <v>0</v>
      </c>
      <c r="M89" s="25"/>
      <c r="N89" s="26">
        <f t="shared" si="22"/>
        <v>0</v>
      </c>
      <c r="O89" s="25"/>
      <c r="P89" s="26">
        <f t="shared" si="23"/>
        <v>0</v>
      </c>
      <c r="Q89" s="25"/>
      <c r="R89" s="26">
        <f t="shared" si="24"/>
        <v>0</v>
      </c>
      <c r="S89" s="25"/>
      <c r="T89" s="26">
        <f t="shared" si="25"/>
        <v>0</v>
      </c>
      <c r="U89" s="25"/>
      <c r="V89" s="26">
        <f t="shared" si="26"/>
        <v>0</v>
      </c>
    </row>
    <row r="90" spans="1:22" ht="33" customHeight="1">
      <c r="A90" s="10" t="str">
        <f>'Base Bid'!A102</f>
        <v>0083</v>
      </c>
      <c r="B90" s="54" t="str">
        <f>'Base Bid'!B102</f>
        <v>Sign V-5
(Section 344302)</v>
      </c>
      <c r="C90" s="59">
        <f>'Base Bid'!C102</f>
        <v>1</v>
      </c>
      <c r="D90" s="19" t="str">
        <f>'Base Bid'!D102</f>
        <v>LS</v>
      </c>
      <c r="E90" s="25"/>
      <c r="F90" s="26">
        <f t="shared" si="18"/>
        <v>0</v>
      </c>
      <c r="G90" s="25"/>
      <c r="H90" s="26">
        <f t="shared" si="19"/>
        <v>0</v>
      </c>
      <c r="I90" s="25"/>
      <c r="J90" s="26">
        <f t="shared" si="20"/>
        <v>0</v>
      </c>
      <c r="K90" s="25"/>
      <c r="L90" s="26">
        <f t="shared" si="21"/>
        <v>0</v>
      </c>
      <c r="M90" s="25"/>
      <c r="N90" s="26">
        <f t="shared" si="22"/>
        <v>0</v>
      </c>
      <c r="O90" s="25"/>
      <c r="P90" s="26">
        <f t="shared" si="23"/>
        <v>0</v>
      </c>
      <c r="Q90" s="25"/>
      <c r="R90" s="26">
        <f t="shared" si="24"/>
        <v>0</v>
      </c>
      <c r="S90" s="25"/>
      <c r="T90" s="26">
        <f t="shared" si="25"/>
        <v>0</v>
      </c>
      <c r="U90" s="25"/>
      <c r="V90" s="26">
        <f t="shared" si="26"/>
        <v>0</v>
      </c>
    </row>
    <row r="91" spans="1:22" ht="33" customHeight="1">
      <c r="A91" s="10" t="str">
        <f>'Base Bid'!A103</f>
        <v>0084</v>
      </c>
      <c r="B91" s="54" t="str">
        <f>'Base Bid'!B103</f>
        <v>Sign A4-13
(Section 344302)</v>
      </c>
      <c r="C91" s="59">
        <f>'Base Bid'!C103</f>
        <v>1</v>
      </c>
      <c r="D91" s="19" t="str">
        <f>'Base Bid'!D103</f>
        <v>LS</v>
      </c>
      <c r="E91" s="25"/>
      <c r="F91" s="26"/>
      <c r="G91" s="25"/>
      <c r="H91" s="26"/>
      <c r="I91" s="25"/>
      <c r="J91" s="26"/>
      <c r="K91" s="25"/>
      <c r="L91" s="26"/>
      <c r="M91" s="25"/>
      <c r="N91" s="26"/>
      <c r="O91" s="25"/>
      <c r="P91" s="26"/>
      <c r="Q91" s="25"/>
      <c r="R91" s="26"/>
      <c r="S91" s="25"/>
      <c r="T91" s="26"/>
      <c r="U91" s="25"/>
      <c r="V91" s="26"/>
    </row>
    <row r="92" spans="1:22" ht="27.75" customHeight="1">
      <c r="A92" s="11"/>
      <c r="B92" s="20" t="s">
        <v>206</v>
      </c>
      <c r="C92" s="38"/>
      <c r="D92" s="21"/>
      <c r="E92" s="27"/>
      <c r="F92" s="27">
        <f>SUM(F8:F91)</f>
        <v>0</v>
      </c>
      <c r="G92" s="27"/>
      <c r="H92" s="27">
        <f>SUM(H8:H91)</f>
        <v>0</v>
      </c>
      <c r="I92" s="27"/>
      <c r="J92" s="27">
        <f>SUM(J8:J91)</f>
        <v>0</v>
      </c>
      <c r="K92" s="27"/>
      <c r="L92" s="27">
        <f>SUM(L8:L91)</f>
        <v>0</v>
      </c>
      <c r="M92" s="27"/>
      <c r="N92" s="27">
        <f>SUM(N8:N91)</f>
        <v>0</v>
      </c>
      <c r="O92" s="27"/>
      <c r="P92" s="27">
        <f>SUM(P8:P91)</f>
        <v>0</v>
      </c>
      <c r="Q92" s="27"/>
      <c r="R92" s="27">
        <f>SUM(R8:R91)</f>
        <v>0</v>
      </c>
      <c r="S92" s="27"/>
      <c r="T92" s="27">
        <f>SUM(T8:T91)</f>
        <v>0</v>
      </c>
      <c r="U92" s="27"/>
      <c r="V92" s="27">
        <f>SUM(V8:V91)</f>
        <v>0</v>
      </c>
    </row>
  </sheetData>
  <mergeCells count="15"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Q1:R5"/>
    <mergeCell ref="S1:T5"/>
    <mergeCell ref="U1:V5"/>
    <mergeCell ref="K1:L5"/>
    <mergeCell ref="M1:N5"/>
    <mergeCell ref="O1:P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0B45-96C6-48E0-ABF6-2D408C8936C3}">
  <sheetPr>
    <tabColor theme="7" tint="0.39997558519241921"/>
  </sheetPr>
  <dimension ref="A1:V95"/>
  <sheetViews>
    <sheetView tabSelected="1" zoomScaleNormal="100" zoomScaleSheetLayoutView="100" workbookViewId="0">
      <selection activeCell="F26" sqref="F26"/>
    </sheetView>
  </sheetViews>
  <sheetFormatPr defaultRowHeight="15"/>
  <cols>
    <col min="1" max="1" width="6.7109375" customWidth="1"/>
    <col min="2" max="2" width="28.85546875" style="22" customWidth="1"/>
    <col min="3" max="3" width="11.28515625" style="39" customWidth="1"/>
    <col min="4" max="4" width="6.7109375" style="22" customWidth="1"/>
    <col min="5" max="5" width="11" style="32" customWidth="1"/>
    <col min="6" max="6" width="13.42578125" style="32" customWidth="1"/>
    <col min="7" max="7" width="11" style="32" customWidth="1"/>
    <col min="8" max="8" width="13.42578125" style="32" customWidth="1"/>
    <col min="9" max="9" width="11" style="32" customWidth="1"/>
    <col min="10" max="10" width="13.42578125" style="32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  <col min="21" max="21" width="11" customWidth="1"/>
    <col min="22" max="22" width="13.42578125" customWidth="1"/>
  </cols>
  <sheetData>
    <row r="1" spans="1:22" s="8" customFormat="1" ht="30" customHeight="1">
      <c r="A1" s="74" t="s">
        <v>13</v>
      </c>
      <c r="B1" s="75"/>
      <c r="C1" s="75"/>
      <c r="D1" s="76"/>
      <c r="E1" s="67" t="str">
        <f>Contractor1</f>
        <v>Name of Contractor 1</v>
      </c>
      <c r="F1" s="68"/>
      <c r="G1" s="67" t="str">
        <f>Contractor2</f>
        <v>Name of Contractor 2</v>
      </c>
      <c r="H1" s="68"/>
      <c r="I1" s="67" t="str">
        <f>Contractor3</f>
        <v>Name of Contractor 3</v>
      </c>
      <c r="J1" s="68"/>
      <c r="K1" s="67" t="str">
        <f>Contractor4</f>
        <v>Name of Contractor 4</v>
      </c>
      <c r="L1" s="68"/>
      <c r="M1" s="67" t="str">
        <f>Contractor5</f>
        <v>Name of Contractor 5</v>
      </c>
      <c r="N1" s="68"/>
      <c r="O1" s="67" t="str">
        <f>Contractor6</f>
        <v>Name of Contractor 6</v>
      </c>
      <c r="P1" s="68"/>
      <c r="Q1" s="67" t="str">
        <f>Contractor7</f>
        <v>Name of Contractor 7</v>
      </c>
      <c r="R1" s="68"/>
      <c r="S1" s="67" t="str">
        <f>Contractor8</f>
        <v>Name of Contractor 8</v>
      </c>
      <c r="T1" s="68"/>
      <c r="U1" s="67" t="str">
        <f>EngineerEstimate</f>
        <v>Engineer's Estimate</v>
      </c>
      <c r="V1" s="68"/>
    </row>
    <row r="2" spans="1:22">
      <c r="A2" s="77" t="s">
        <v>14</v>
      </c>
      <c r="B2" s="78"/>
      <c r="C2" s="78"/>
      <c r="D2" s="79"/>
      <c r="E2" s="69"/>
      <c r="F2" s="70"/>
      <c r="G2" s="69"/>
      <c r="H2" s="70"/>
      <c r="I2" s="69"/>
      <c r="J2" s="70"/>
      <c r="K2" s="69"/>
      <c r="L2" s="70"/>
      <c r="M2" s="69"/>
      <c r="N2" s="70"/>
      <c r="O2" s="69"/>
      <c r="P2" s="70"/>
      <c r="Q2" s="69"/>
      <c r="R2" s="70"/>
      <c r="S2" s="69"/>
      <c r="T2" s="70"/>
      <c r="U2" s="69"/>
      <c r="V2" s="70"/>
    </row>
    <row r="3" spans="1:22">
      <c r="A3" s="77" t="e">
        <f>ProjectTitle2</f>
        <v>#REF!</v>
      </c>
      <c r="B3" s="78"/>
      <c r="C3" s="78"/>
      <c r="D3" s="79"/>
      <c r="E3" s="69"/>
      <c r="F3" s="70"/>
      <c r="G3" s="69"/>
      <c r="H3" s="70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</row>
    <row r="4" spans="1:22">
      <c r="A4" s="80" t="s">
        <v>204</v>
      </c>
      <c r="B4" s="81"/>
      <c r="C4" s="81"/>
      <c r="D4" s="82"/>
      <c r="E4" s="69"/>
      <c r="F4" s="70"/>
      <c r="G4" s="69"/>
      <c r="H4" s="70"/>
      <c r="I4" s="69"/>
      <c r="J4" s="70"/>
      <c r="K4" s="69"/>
      <c r="L4" s="70"/>
      <c r="M4" s="69"/>
      <c r="N4" s="70"/>
      <c r="O4" s="69"/>
      <c r="P4" s="70"/>
      <c r="Q4" s="69"/>
      <c r="R4" s="70"/>
      <c r="S4" s="69"/>
      <c r="T4" s="70"/>
      <c r="U4" s="69"/>
      <c r="V4" s="70"/>
    </row>
    <row r="5" spans="1:22">
      <c r="A5" s="80" t="s">
        <v>205</v>
      </c>
      <c r="B5" s="81"/>
      <c r="C5" s="81"/>
      <c r="D5" s="82"/>
      <c r="E5" s="69"/>
      <c r="F5" s="70"/>
      <c r="G5" s="69"/>
      <c r="H5" s="70"/>
      <c r="I5" s="69"/>
      <c r="J5" s="70"/>
      <c r="K5" s="69"/>
      <c r="L5" s="70"/>
      <c r="M5" s="69"/>
      <c r="N5" s="70"/>
      <c r="O5" s="69"/>
      <c r="P5" s="70"/>
      <c r="Q5" s="69"/>
      <c r="R5" s="70"/>
      <c r="S5" s="69"/>
      <c r="T5" s="70"/>
      <c r="U5" s="69"/>
      <c r="V5" s="70"/>
    </row>
    <row r="6" spans="1:22">
      <c r="A6" s="71">
        <f ca="1">TODAY()</f>
        <v>46062</v>
      </c>
      <c r="B6" s="72"/>
      <c r="C6" s="72"/>
      <c r="D6" s="73"/>
      <c r="E6" s="40"/>
      <c r="F6" s="41"/>
      <c r="G6" s="40"/>
      <c r="H6" s="41"/>
      <c r="I6" s="40"/>
      <c r="J6" s="41"/>
      <c r="K6" s="40"/>
      <c r="L6" s="41"/>
      <c r="M6" s="40"/>
      <c r="N6" s="41"/>
      <c r="O6" s="40"/>
      <c r="P6" s="41"/>
      <c r="Q6" s="40"/>
      <c r="R6" s="41"/>
      <c r="S6" s="40"/>
      <c r="T6" s="41"/>
      <c r="U6" s="40"/>
      <c r="V6" s="41"/>
    </row>
    <row r="7" spans="1:22" ht="32.25" customHeight="1">
      <c r="A7" s="9" t="s">
        <v>15</v>
      </c>
      <c r="B7" s="18" t="s">
        <v>16</v>
      </c>
      <c r="C7" s="36" t="s">
        <v>17</v>
      </c>
      <c r="D7" s="18" t="s">
        <v>18</v>
      </c>
      <c r="E7" s="42" t="s">
        <v>19</v>
      </c>
      <c r="F7" s="42" t="s">
        <v>20</v>
      </c>
      <c r="G7" s="42" t="s">
        <v>19</v>
      </c>
      <c r="H7" s="42" t="s">
        <v>20</v>
      </c>
      <c r="I7" s="42" t="s">
        <v>19</v>
      </c>
      <c r="J7" s="42" t="s">
        <v>20</v>
      </c>
      <c r="K7" s="42" t="s">
        <v>19</v>
      </c>
      <c r="L7" s="42" t="s">
        <v>20</v>
      </c>
      <c r="M7" s="42" t="s">
        <v>19</v>
      </c>
      <c r="N7" s="42" t="s">
        <v>20</v>
      </c>
      <c r="O7" s="42" t="s">
        <v>19</v>
      </c>
      <c r="P7" s="42" t="s">
        <v>20</v>
      </c>
      <c r="Q7" s="42" t="s">
        <v>19</v>
      </c>
      <c r="R7" s="42" t="s">
        <v>20</v>
      </c>
      <c r="S7" s="42" t="s">
        <v>19</v>
      </c>
      <c r="T7" s="42" t="s">
        <v>20</v>
      </c>
      <c r="U7" s="42" t="s">
        <v>19</v>
      </c>
      <c r="V7" s="42" t="s">
        <v>20</v>
      </c>
    </row>
    <row r="8" spans="1:22" ht="33" customHeight="1">
      <c r="A8" s="10" t="s">
        <v>21</v>
      </c>
      <c r="B8" s="54" t="str">
        <f>'Alternate A'!B20</f>
        <v>Mobilization, Cleanup, and Demobilization
(Section 012200)</v>
      </c>
      <c r="C8" s="37">
        <f>'Alternate A'!C20</f>
        <v>1</v>
      </c>
      <c r="D8" s="19" t="str">
        <f>'Alternate A'!D20</f>
        <v>LS</v>
      </c>
      <c r="E8" s="25"/>
      <c r="F8" s="26">
        <f t="shared" ref="F8:F24" si="0">QTY*E8</f>
        <v>0</v>
      </c>
      <c r="G8" s="25"/>
      <c r="H8" s="26">
        <f t="shared" ref="H8:H24" si="1">QTY*G8</f>
        <v>0</v>
      </c>
      <c r="I8" s="25"/>
      <c r="J8" s="26">
        <f t="shared" ref="J8:J24" si="2">QTY*I8</f>
        <v>0</v>
      </c>
      <c r="K8" s="25"/>
      <c r="L8" s="26">
        <f t="shared" ref="L8:L24" si="3">QTY*K8</f>
        <v>0</v>
      </c>
      <c r="M8" s="25"/>
      <c r="N8" s="26">
        <f t="shared" ref="N8:N24" si="4">QTY*M8</f>
        <v>0</v>
      </c>
      <c r="O8" s="25"/>
      <c r="P8" s="26">
        <f t="shared" ref="P8:P24" si="5">QTY*O8</f>
        <v>0</v>
      </c>
      <c r="Q8" s="25"/>
      <c r="R8" s="26">
        <f t="shared" ref="R8:R24" si="6">QTY*Q8</f>
        <v>0</v>
      </c>
      <c r="S8" s="25"/>
      <c r="T8" s="26">
        <f t="shared" ref="T8:T24" si="7">QTY*S8</f>
        <v>0</v>
      </c>
      <c r="U8" s="25"/>
      <c r="V8" s="26">
        <f t="shared" ref="V8:V24" si="8">QTY*U8</f>
        <v>0</v>
      </c>
    </row>
    <row r="9" spans="1:22" ht="33" customHeight="1">
      <c r="A9" s="10" t="s">
        <v>23</v>
      </c>
      <c r="B9" s="54" t="str">
        <f>'Alternate A'!B21</f>
        <v>Sweeper
(Section 012200)</v>
      </c>
      <c r="C9" s="37">
        <f>'Alternate A'!C21</f>
        <v>1</v>
      </c>
      <c r="D9" s="19" t="str">
        <f>'Alternate A'!D21</f>
        <v>LS</v>
      </c>
      <c r="E9" s="25"/>
      <c r="F9" s="26">
        <f t="shared" si="0"/>
        <v>0</v>
      </c>
      <c r="G9" s="25"/>
      <c r="H9" s="26">
        <f t="shared" si="1"/>
        <v>0</v>
      </c>
      <c r="I9" s="25"/>
      <c r="J9" s="26">
        <f t="shared" si="2"/>
        <v>0</v>
      </c>
      <c r="K9" s="25"/>
      <c r="L9" s="26">
        <f t="shared" si="3"/>
        <v>0</v>
      </c>
      <c r="M9" s="25"/>
      <c r="N9" s="26">
        <f t="shared" si="4"/>
        <v>0</v>
      </c>
      <c r="O9" s="25"/>
      <c r="P9" s="26">
        <f t="shared" si="5"/>
        <v>0</v>
      </c>
      <c r="Q9" s="25"/>
      <c r="R9" s="26">
        <f t="shared" si="6"/>
        <v>0</v>
      </c>
      <c r="S9" s="25"/>
      <c r="T9" s="26">
        <f t="shared" si="7"/>
        <v>0</v>
      </c>
      <c r="U9" s="25"/>
      <c r="V9" s="26">
        <f t="shared" si="8"/>
        <v>0</v>
      </c>
    </row>
    <row r="10" spans="1:22" ht="33" customHeight="1">
      <c r="A10" s="10" t="s">
        <v>25</v>
      </c>
      <c r="B10" s="54" t="str">
        <f>'Alternate A'!B22</f>
        <v>Security Control Monitoring
(Section 012200)</v>
      </c>
      <c r="C10" s="37">
        <f>'Alternate A'!C22</f>
        <v>1</v>
      </c>
      <c r="D10" s="19" t="str">
        <f>'Alternate A'!D22</f>
        <v>LS</v>
      </c>
      <c r="E10" s="25"/>
      <c r="F10" s="26">
        <f t="shared" si="0"/>
        <v>0</v>
      </c>
      <c r="G10" s="25"/>
      <c r="H10" s="26">
        <f t="shared" si="1"/>
        <v>0</v>
      </c>
      <c r="I10" s="25"/>
      <c r="J10" s="26">
        <f t="shared" si="2"/>
        <v>0</v>
      </c>
      <c r="K10" s="25"/>
      <c r="L10" s="26">
        <f t="shared" si="3"/>
        <v>0</v>
      </c>
      <c r="M10" s="25"/>
      <c r="N10" s="26">
        <f t="shared" si="4"/>
        <v>0</v>
      </c>
      <c r="O10" s="25"/>
      <c r="P10" s="26">
        <f t="shared" si="5"/>
        <v>0</v>
      </c>
      <c r="Q10" s="25"/>
      <c r="R10" s="26">
        <f t="shared" si="6"/>
        <v>0</v>
      </c>
      <c r="S10" s="25"/>
      <c r="T10" s="26">
        <f t="shared" si="7"/>
        <v>0</v>
      </c>
      <c r="U10" s="25"/>
      <c r="V10" s="26">
        <f t="shared" si="8"/>
        <v>0</v>
      </c>
    </row>
    <row r="11" spans="1:22" ht="33" customHeight="1">
      <c r="A11" s="10" t="s">
        <v>27</v>
      </c>
      <c r="B11" s="54" t="str">
        <f>'Alternate A'!B23</f>
        <v>Work Zone and Traffic Control
(Section 012200)</v>
      </c>
      <c r="C11" s="37">
        <f>'Alternate A'!C23</f>
        <v>1</v>
      </c>
      <c r="D11" s="19" t="str">
        <f>'Alternate A'!D23</f>
        <v>LS</v>
      </c>
      <c r="E11" s="25"/>
      <c r="F11" s="26">
        <f t="shared" si="0"/>
        <v>0</v>
      </c>
      <c r="G11" s="25"/>
      <c r="H11" s="26">
        <f t="shared" si="1"/>
        <v>0</v>
      </c>
      <c r="I11" s="25"/>
      <c r="J11" s="26">
        <f t="shared" si="2"/>
        <v>0</v>
      </c>
      <c r="K11" s="25"/>
      <c r="L11" s="26">
        <f t="shared" si="3"/>
        <v>0</v>
      </c>
      <c r="M11" s="25"/>
      <c r="N11" s="26">
        <f t="shared" si="4"/>
        <v>0</v>
      </c>
      <c r="O11" s="25"/>
      <c r="P11" s="26">
        <f t="shared" si="5"/>
        <v>0</v>
      </c>
      <c r="Q11" s="25"/>
      <c r="R11" s="26">
        <f t="shared" si="6"/>
        <v>0</v>
      </c>
      <c r="S11" s="25"/>
      <c r="T11" s="26">
        <f t="shared" si="7"/>
        <v>0</v>
      </c>
      <c r="U11" s="25"/>
      <c r="V11" s="26">
        <f t="shared" si="8"/>
        <v>0</v>
      </c>
    </row>
    <row r="12" spans="1:22" ht="33" customHeight="1">
      <c r="A12" s="10" t="s">
        <v>29</v>
      </c>
      <c r="B12" s="54" t="str">
        <f>'Alternate A'!B24</f>
        <v>Escort
(Section 012200)</v>
      </c>
      <c r="C12" s="37">
        <f>'Alternate A'!C24</f>
        <v>1</v>
      </c>
      <c r="D12" s="19" t="str">
        <f>'Alternate A'!D24</f>
        <v>LS</v>
      </c>
      <c r="E12" s="25"/>
      <c r="F12" s="26">
        <f t="shared" si="0"/>
        <v>0</v>
      </c>
      <c r="G12" s="25"/>
      <c r="H12" s="26">
        <f t="shared" si="1"/>
        <v>0</v>
      </c>
      <c r="I12" s="25"/>
      <c r="J12" s="26">
        <f t="shared" si="2"/>
        <v>0</v>
      </c>
      <c r="K12" s="25"/>
      <c r="L12" s="26">
        <f t="shared" si="3"/>
        <v>0</v>
      </c>
      <c r="M12" s="25"/>
      <c r="N12" s="26">
        <f t="shared" si="4"/>
        <v>0</v>
      </c>
      <c r="O12" s="25"/>
      <c r="P12" s="26">
        <f t="shared" si="5"/>
        <v>0</v>
      </c>
      <c r="Q12" s="25"/>
      <c r="R12" s="26">
        <f t="shared" si="6"/>
        <v>0</v>
      </c>
      <c r="S12" s="25"/>
      <c r="T12" s="26">
        <f t="shared" si="7"/>
        <v>0</v>
      </c>
      <c r="U12" s="25"/>
      <c r="V12" s="26">
        <f t="shared" si="8"/>
        <v>0</v>
      </c>
    </row>
    <row r="13" spans="1:22" ht="33" customHeight="1">
      <c r="A13" s="10" t="s">
        <v>31</v>
      </c>
      <c r="B13" s="54" t="str">
        <f>'Alternate A'!B25</f>
        <v>Inlet Protection
(Section 015713)</v>
      </c>
      <c r="C13" s="37">
        <f>'Alternate A'!C25</f>
        <v>18</v>
      </c>
      <c r="D13" s="19" t="str">
        <f>'Alternate A'!D25</f>
        <v>Each</v>
      </c>
      <c r="E13" s="25"/>
      <c r="F13" s="26">
        <f t="shared" si="0"/>
        <v>0</v>
      </c>
      <c r="G13" s="25"/>
      <c r="H13" s="26">
        <f t="shared" si="1"/>
        <v>0</v>
      </c>
      <c r="I13" s="25"/>
      <c r="J13" s="26">
        <f t="shared" si="2"/>
        <v>0</v>
      </c>
      <c r="K13" s="25"/>
      <c r="L13" s="26">
        <f t="shared" si="3"/>
        <v>0</v>
      </c>
      <c r="M13" s="25"/>
      <c r="N13" s="26">
        <f t="shared" si="4"/>
        <v>0</v>
      </c>
      <c r="O13" s="25"/>
      <c r="P13" s="26">
        <f t="shared" si="5"/>
        <v>0</v>
      </c>
      <c r="Q13" s="25"/>
      <c r="R13" s="26">
        <f t="shared" si="6"/>
        <v>0</v>
      </c>
      <c r="S13" s="25"/>
      <c r="T13" s="26">
        <f t="shared" si="7"/>
        <v>0</v>
      </c>
      <c r="U13" s="25"/>
      <c r="V13" s="26">
        <f t="shared" si="8"/>
        <v>0</v>
      </c>
    </row>
    <row r="14" spans="1:22" ht="33" customHeight="1">
      <c r="A14" s="10" t="s">
        <v>33</v>
      </c>
      <c r="B14" s="54" t="str">
        <f>'Alternate A'!B26</f>
        <v>Construction Survey
(Item GP-50)</v>
      </c>
      <c r="C14" s="37">
        <f>'Alternate A'!C26</f>
        <v>1</v>
      </c>
      <c r="D14" s="19" t="str">
        <f>'Alternate A'!D26</f>
        <v>LS</v>
      </c>
      <c r="E14" s="25"/>
      <c r="F14" s="26">
        <f t="shared" si="0"/>
        <v>0</v>
      </c>
      <c r="G14" s="25"/>
      <c r="H14" s="26">
        <f t="shared" si="1"/>
        <v>0</v>
      </c>
      <c r="I14" s="25"/>
      <c r="J14" s="26">
        <f t="shared" si="2"/>
        <v>0</v>
      </c>
      <c r="K14" s="25"/>
      <c r="L14" s="26">
        <f t="shared" si="3"/>
        <v>0</v>
      </c>
      <c r="M14" s="25"/>
      <c r="N14" s="26">
        <f t="shared" si="4"/>
        <v>0</v>
      </c>
      <c r="O14" s="25"/>
      <c r="P14" s="26">
        <f t="shared" si="5"/>
        <v>0</v>
      </c>
      <c r="Q14" s="25"/>
      <c r="R14" s="26">
        <f t="shared" si="6"/>
        <v>0</v>
      </c>
      <c r="S14" s="25"/>
      <c r="T14" s="26">
        <f t="shared" si="7"/>
        <v>0</v>
      </c>
      <c r="U14" s="25"/>
      <c r="V14" s="26">
        <f t="shared" si="8"/>
        <v>0</v>
      </c>
    </row>
    <row r="15" spans="1:22" ht="33" customHeight="1">
      <c r="A15" s="10" t="s">
        <v>35</v>
      </c>
      <c r="B15" s="54" t="str">
        <f>'Alternate A'!B27</f>
        <v>Cold Milling - 3-Inch Maximum Depth
(Item P-101)</v>
      </c>
      <c r="C15" s="59">
        <f>'Alternate A'!C27</f>
        <v>21200</v>
      </c>
      <c r="D15" s="19" t="str">
        <f>'Alternate A'!D27</f>
        <v>SY</v>
      </c>
      <c r="E15" s="25"/>
      <c r="F15" s="26">
        <f t="shared" si="0"/>
        <v>0</v>
      </c>
      <c r="G15" s="25"/>
      <c r="H15" s="26">
        <f t="shared" si="1"/>
        <v>0</v>
      </c>
      <c r="I15" s="25"/>
      <c r="J15" s="26">
        <f t="shared" si="2"/>
        <v>0</v>
      </c>
      <c r="K15" s="25"/>
      <c r="L15" s="26">
        <f t="shared" si="3"/>
        <v>0</v>
      </c>
      <c r="M15" s="25"/>
      <c r="N15" s="26">
        <f t="shared" si="4"/>
        <v>0</v>
      </c>
      <c r="O15" s="25"/>
      <c r="P15" s="26">
        <f t="shared" si="5"/>
        <v>0</v>
      </c>
      <c r="Q15" s="25"/>
      <c r="R15" s="26">
        <f t="shared" si="6"/>
        <v>0</v>
      </c>
      <c r="S15" s="25"/>
      <c r="T15" s="26">
        <f t="shared" si="7"/>
        <v>0</v>
      </c>
      <c r="U15" s="25"/>
      <c r="V15" s="26">
        <f t="shared" si="8"/>
        <v>0</v>
      </c>
    </row>
    <row r="16" spans="1:22" ht="33" customHeight="1">
      <c r="A16" s="10" t="s">
        <v>37</v>
      </c>
      <c r="B16" s="54" t="str">
        <f>'Alternate A'!B28</f>
        <v>Bituminous Surface Course
(Item P-401)</v>
      </c>
      <c r="C16" s="59">
        <f>'Alternate A'!C28</f>
        <v>3800</v>
      </c>
      <c r="D16" s="19" t="str">
        <f>'Alternate A'!D28</f>
        <v>Ton</v>
      </c>
      <c r="E16" s="25"/>
      <c r="F16" s="26">
        <f t="shared" si="0"/>
        <v>0</v>
      </c>
      <c r="G16" s="25"/>
      <c r="H16" s="26">
        <f t="shared" si="1"/>
        <v>0</v>
      </c>
      <c r="I16" s="25"/>
      <c r="J16" s="26">
        <f t="shared" si="2"/>
        <v>0</v>
      </c>
      <c r="K16" s="25"/>
      <c r="L16" s="26">
        <f t="shared" si="3"/>
        <v>0</v>
      </c>
      <c r="M16" s="25"/>
      <c r="N16" s="26">
        <f t="shared" si="4"/>
        <v>0</v>
      </c>
      <c r="O16" s="25"/>
      <c r="P16" s="26">
        <f t="shared" si="5"/>
        <v>0</v>
      </c>
      <c r="Q16" s="25"/>
      <c r="R16" s="26">
        <f t="shared" si="6"/>
        <v>0</v>
      </c>
      <c r="S16" s="25"/>
      <c r="T16" s="26">
        <f t="shared" si="7"/>
        <v>0</v>
      </c>
      <c r="U16" s="25"/>
      <c r="V16" s="26">
        <f t="shared" si="8"/>
        <v>0</v>
      </c>
    </row>
    <row r="17" spans="1:22" ht="33" customHeight="1">
      <c r="A17" s="10" t="s">
        <v>39</v>
      </c>
      <c r="B17" s="54" t="str">
        <f>'Alternate A'!B29</f>
        <v>Bituminous Tack Coat
(Item P-603)</v>
      </c>
      <c r="C17" s="59">
        <f>'Alternate A'!C29</f>
        <v>2200</v>
      </c>
      <c r="D17" s="19" t="str">
        <f>'Alternate A'!D29</f>
        <v>Gal</v>
      </c>
      <c r="E17" s="25"/>
      <c r="F17" s="26">
        <f t="shared" si="0"/>
        <v>0</v>
      </c>
      <c r="G17" s="25"/>
      <c r="H17" s="26">
        <f t="shared" si="1"/>
        <v>0</v>
      </c>
      <c r="I17" s="25"/>
      <c r="J17" s="26">
        <f t="shared" si="2"/>
        <v>0</v>
      </c>
      <c r="K17" s="25"/>
      <c r="L17" s="26">
        <f t="shared" si="3"/>
        <v>0</v>
      </c>
      <c r="M17" s="25"/>
      <c r="N17" s="26">
        <f t="shared" si="4"/>
        <v>0</v>
      </c>
      <c r="O17" s="25"/>
      <c r="P17" s="26">
        <f t="shared" si="5"/>
        <v>0</v>
      </c>
      <c r="Q17" s="25"/>
      <c r="R17" s="26">
        <f t="shared" si="6"/>
        <v>0</v>
      </c>
      <c r="S17" s="25"/>
      <c r="T17" s="26">
        <f t="shared" si="7"/>
        <v>0</v>
      </c>
      <c r="U17" s="25"/>
      <c r="V17" s="26">
        <f t="shared" si="8"/>
        <v>0</v>
      </c>
    </row>
    <row r="18" spans="1:22" ht="33" customHeight="1">
      <c r="A18" s="10" t="s">
        <v>41</v>
      </c>
      <c r="B18" s="54" t="str">
        <f>'Alternate A'!B30</f>
        <v>Runway and Taxiway Marking
(Item P-620)</v>
      </c>
      <c r="C18" s="59">
        <f>'Alternate A'!C30</f>
        <v>8000</v>
      </c>
      <c r="D18" s="19" t="str">
        <f>'Alternate A'!D30</f>
        <v>SF</v>
      </c>
      <c r="E18" s="25"/>
      <c r="F18" s="26">
        <f t="shared" si="0"/>
        <v>0</v>
      </c>
      <c r="G18" s="25"/>
      <c r="H18" s="26">
        <f t="shared" si="1"/>
        <v>0</v>
      </c>
      <c r="I18" s="25"/>
      <c r="J18" s="26">
        <f t="shared" si="2"/>
        <v>0</v>
      </c>
      <c r="K18" s="25"/>
      <c r="L18" s="26">
        <f t="shared" si="3"/>
        <v>0</v>
      </c>
      <c r="M18" s="25"/>
      <c r="N18" s="26">
        <f t="shared" si="4"/>
        <v>0</v>
      </c>
      <c r="O18" s="25"/>
      <c r="P18" s="26">
        <f t="shared" si="5"/>
        <v>0</v>
      </c>
      <c r="Q18" s="25"/>
      <c r="R18" s="26">
        <f t="shared" si="6"/>
        <v>0</v>
      </c>
      <c r="S18" s="25"/>
      <c r="T18" s="26">
        <f t="shared" si="7"/>
        <v>0</v>
      </c>
      <c r="U18" s="25"/>
      <c r="V18" s="26">
        <f t="shared" si="8"/>
        <v>0</v>
      </c>
    </row>
    <row r="19" spans="1:22" ht="33" customHeight="1">
      <c r="A19" s="10" t="s">
        <v>43</v>
      </c>
      <c r="B19" s="54" t="str">
        <f>'Alternate A'!B31</f>
        <v>Reflective Media
(Item P-620)</v>
      </c>
      <c r="C19" s="59">
        <f>'Alternate A'!C31</f>
        <v>500</v>
      </c>
      <c r="D19" s="19" t="str">
        <f>'Alternate A'!D31</f>
        <v>LB</v>
      </c>
      <c r="E19" s="25"/>
      <c r="F19" s="26">
        <f t="shared" si="0"/>
        <v>0</v>
      </c>
      <c r="G19" s="25"/>
      <c r="H19" s="26">
        <f t="shared" si="1"/>
        <v>0</v>
      </c>
      <c r="I19" s="25"/>
      <c r="J19" s="26">
        <f t="shared" si="2"/>
        <v>0</v>
      </c>
      <c r="K19" s="25"/>
      <c r="L19" s="26">
        <f t="shared" si="3"/>
        <v>0</v>
      </c>
      <c r="M19" s="25"/>
      <c r="N19" s="26">
        <f t="shared" si="4"/>
        <v>0</v>
      </c>
      <c r="O19" s="25"/>
      <c r="P19" s="26">
        <f t="shared" si="5"/>
        <v>0</v>
      </c>
      <c r="Q19" s="25"/>
      <c r="R19" s="26">
        <f t="shared" si="6"/>
        <v>0</v>
      </c>
      <c r="S19" s="25"/>
      <c r="T19" s="26">
        <f t="shared" si="7"/>
        <v>0</v>
      </c>
      <c r="U19" s="25"/>
      <c r="V19" s="26">
        <f t="shared" si="8"/>
        <v>0</v>
      </c>
    </row>
    <row r="20" spans="1:22" ht="33" customHeight="1">
      <c r="A20" s="10" t="s">
        <v>45</v>
      </c>
      <c r="B20" s="54" t="str">
        <f>'Alternate A'!B32</f>
        <v>Preformed Markings
(Item P-620)</v>
      </c>
      <c r="C20" s="59">
        <f>'Alternate A'!C32</f>
        <v>4200</v>
      </c>
      <c r="D20" s="19" t="str">
        <f>'Alternate A'!D32</f>
        <v>SF</v>
      </c>
      <c r="E20" s="25"/>
      <c r="F20" s="26">
        <f t="shared" si="0"/>
        <v>0</v>
      </c>
      <c r="G20" s="25"/>
      <c r="H20" s="26">
        <f t="shared" si="1"/>
        <v>0</v>
      </c>
      <c r="I20" s="25"/>
      <c r="J20" s="26">
        <f t="shared" si="2"/>
        <v>0</v>
      </c>
      <c r="K20" s="25"/>
      <c r="L20" s="26">
        <f t="shared" si="3"/>
        <v>0</v>
      </c>
      <c r="M20" s="25"/>
      <c r="N20" s="26">
        <f t="shared" si="4"/>
        <v>0</v>
      </c>
      <c r="O20" s="25"/>
      <c r="P20" s="26">
        <f t="shared" si="5"/>
        <v>0</v>
      </c>
      <c r="Q20" s="25"/>
      <c r="R20" s="26">
        <f t="shared" si="6"/>
        <v>0</v>
      </c>
      <c r="S20" s="25"/>
      <c r="T20" s="26">
        <f t="shared" si="7"/>
        <v>0</v>
      </c>
      <c r="U20" s="25"/>
      <c r="V20" s="26">
        <f t="shared" si="8"/>
        <v>0</v>
      </c>
    </row>
    <row r="21" spans="1:22" ht="33" customHeight="1">
      <c r="A21" s="10" t="s">
        <v>47</v>
      </c>
      <c r="B21" s="54" t="str">
        <f>'Alternate A'!B33</f>
        <v>Phasing Pavement Marking
(Item P-620)</v>
      </c>
      <c r="C21" s="59">
        <f>'Alternate A'!C33</f>
        <v>24750</v>
      </c>
      <c r="D21" s="19" t="str">
        <f>'Alternate A'!D33</f>
        <v>SF</v>
      </c>
      <c r="E21" s="25"/>
      <c r="F21" s="26">
        <f t="shared" si="0"/>
        <v>0</v>
      </c>
      <c r="G21" s="25"/>
      <c r="H21" s="26">
        <f t="shared" si="1"/>
        <v>0</v>
      </c>
      <c r="I21" s="25"/>
      <c r="J21" s="26">
        <f t="shared" si="2"/>
        <v>0</v>
      </c>
      <c r="K21" s="25"/>
      <c r="L21" s="26">
        <f t="shared" si="3"/>
        <v>0</v>
      </c>
      <c r="M21" s="25"/>
      <c r="N21" s="26">
        <f t="shared" si="4"/>
        <v>0</v>
      </c>
      <c r="O21" s="25"/>
      <c r="P21" s="26">
        <f t="shared" si="5"/>
        <v>0</v>
      </c>
      <c r="Q21" s="25"/>
      <c r="R21" s="26">
        <f t="shared" si="6"/>
        <v>0</v>
      </c>
      <c r="S21" s="25"/>
      <c r="T21" s="26">
        <f t="shared" si="7"/>
        <v>0</v>
      </c>
      <c r="U21" s="25"/>
      <c r="V21" s="26">
        <f t="shared" si="8"/>
        <v>0</v>
      </c>
    </row>
    <row r="22" spans="1:22" ht="33" customHeight="1">
      <c r="A22" s="10" t="s">
        <v>49</v>
      </c>
      <c r="B22" s="54" t="str">
        <f>'Alternate A'!B34</f>
        <v>Contaminated Material Excavation and Disposal
(Section 026100)</v>
      </c>
      <c r="C22" s="59">
        <f>'Alternate A'!C34</f>
        <v>1500</v>
      </c>
      <c r="D22" s="19" t="str">
        <f>'Alternate A'!D34</f>
        <v>Ton</v>
      </c>
      <c r="E22" s="25"/>
      <c r="F22" s="26">
        <f t="shared" si="0"/>
        <v>0</v>
      </c>
      <c r="G22" s="25"/>
      <c r="H22" s="26">
        <f t="shared" si="1"/>
        <v>0</v>
      </c>
      <c r="I22" s="25"/>
      <c r="J22" s="26">
        <f t="shared" si="2"/>
        <v>0</v>
      </c>
      <c r="K22" s="25"/>
      <c r="L22" s="26">
        <f t="shared" si="3"/>
        <v>0</v>
      </c>
      <c r="M22" s="25"/>
      <c r="N22" s="26">
        <f t="shared" si="4"/>
        <v>0</v>
      </c>
      <c r="O22" s="25"/>
      <c r="P22" s="26">
        <f t="shared" si="5"/>
        <v>0</v>
      </c>
      <c r="Q22" s="25"/>
      <c r="R22" s="26">
        <f t="shared" si="6"/>
        <v>0</v>
      </c>
      <c r="S22" s="25"/>
      <c r="T22" s="26">
        <f t="shared" si="7"/>
        <v>0</v>
      </c>
      <c r="U22" s="25"/>
      <c r="V22" s="26">
        <f t="shared" si="8"/>
        <v>0</v>
      </c>
    </row>
    <row r="23" spans="1:22" ht="33" customHeight="1">
      <c r="A23" s="10" t="s">
        <v>51</v>
      </c>
      <c r="B23" s="54" t="str">
        <f>'Alternate A'!B35</f>
        <v>Modifications to Existing Pump Station A and Deicing Valve Vault
(Section 312300)</v>
      </c>
      <c r="C23" s="59">
        <f>'Alternate A'!C35</f>
        <v>1</v>
      </c>
      <c r="D23" s="19" t="str">
        <f>'Alternate A'!D35</f>
        <v>LS</v>
      </c>
      <c r="E23" s="25"/>
      <c r="F23" s="26">
        <f t="shared" si="0"/>
        <v>0</v>
      </c>
      <c r="G23" s="25"/>
      <c r="H23" s="26">
        <f t="shared" si="1"/>
        <v>0</v>
      </c>
      <c r="I23" s="25"/>
      <c r="J23" s="26">
        <f t="shared" si="2"/>
        <v>0</v>
      </c>
      <c r="K23" s="25"/>
      <c r="L23" s="26">
        <f t="shared" si="3"/>
        <v>0</v>
      </c>
      <c r="M23" s="25"/>
      <c r="N23" s="26">
        <f t="shared" si="4"/>
        <v>0</v>
      </c>
      <c r="O23" s="25"/>
      <c r="P23" s="26">
        <f t="shared" si="5"/>
        <v>0</v>
      </c>
      <c r="Q23" s="25"/>
      <c r="R23" s="26">
        <f t="shared" si="6"/>
        <v>0</v>
      </c>
      <c r="S23" s="25"/>
      <c r="T23" s="26">
        <f t="shared" si="7"/>
        <v>0</v>
      </c>
      <c r="U23" s="25"/>
      <c r="V23" s="26">
        <f t="shared" si="8"/>
        <v>0</v>
      </c>
    </row>
    <row r="24" spans="1:22" ht="33" customHeight="1">
      <c r="A24" s="10" t="s">
        <v>53</v>
      </c>
      <c r="B24" s="54" t="str">
        <f>'Alternate A'!B36</f>
        <v>3-Inch Diameter Brass Marker
(Section 260553)</v>
      </c>
      <c r="C24" s="59">
        <f>'Alternate A'!C36</f>
        <v>18</v>
      </c>
      <c r="D24" s="19" t="str">
        <f>'Alternate A'!D36</f>
        <v>Each</v>
      </c>
      <c r="E24" s="25"/>
      <c r="F24" s="26">
        <f t="shared" si="0"/>
        <v>0</v>
      </c>
      <c r="G24" s="25"/>
      <c r="H24" s="26">
        <f t="shared" si="1"/>
        <v>0</v>
      </c>
      <c r="I24" s="25"/>
      <c r="J24" s="26">
        <f t="shared" si="2"/>
        <v>0</v>
      </c>
      <c r="K24" s="25"/>
      <c r="L24" s="26">
        <f t="shared" si="3"/>
        <v>0</v>
      </c>
      <c r="M24" s="25"/>
      <c r="N24" s="26">
        <f t="shared" si="4"/>
        <v>0</v>
      </c>
      <c r="O24" s="25"/>
      <c r="P24" s="26">
        <f t="shared" si="5"/>
        <v>0</v>
      </c>
      <c r="Q24" s="25"/>
      <c r="R24" s="26">
        <f t="shared" si="6"/>
        <v>0</v>
      </c>
      <c r="S24" s="25"/>
      <c r="T24" s="26">
        <f t="shared" si="7"/>
        <v>0</v>
      </c>
      <c r="U24" s="25"/>
      <c r="V24" s="26">
        <f t="shared" si="8"/>
        <v>0</v>
      </c>
    </row>
    <row r="25" spans="1:22" ht="27.75" customHeight="1">
      <c r="A25" s="52"/>
      <c r="B25" s="53" t="s">
        <v>207</v>
      </c>
      <c r="C25" s="38"/>
      <c r="D25" s="21"/>
      <c r="E25" s="27"/>
      <c r="F25" s="27">
        <f>SUM(F8:F24)</f>
        <v>0</v>
      </c>
      <c r="G25" s="27"/>
      <c r="H25" s="27">
        <f>SUM(H8:H24)</f>
        <v>0</v>
      </c>
      <c r="I25" s="27"/>
      <c r="J25" s="27">
        <f>SUM(J8:J24)</f>
        <v>0</v>
      </c>
      <c r="K25" s="27"/>
      <c r="L25" s="27">
        <f>SUM(L8:L24)</f>
        <v>0</v>
      </c>
      <c r="M25" s="27"/>
      <c r="N25" s="27">
        <f>SUM(N8:N24)</f>
        <v>0</v>
      </c>
      <c r="O25" s="27"/>
      <c r="P25" s="27">
        <f>SUM(P8:P24)</f>
        <v>0</v>
      </c>
      <c r="Q25" s="27"/>
      <c r="R25" s="27">
        <f>SUM(R8:R24)</f>
        <v>0</v>
      </c>
      <c r="S25" s="27"/>
      <c r="T25" s="27">
        <f>SUM(T8:T24)</f>
        <v>0</v>
      </c>
      <c r="U25" s="27"/>
      <c r="V25" s="27">
        <f>SUM(V8:V24)</f>
        <v>0</v>
      </c>
    </row>
    <row r="26" spans="1:22" ht="27.75" customHeight="1">
      <c r="A26" s="52"/>
      <c r="B26" s="57" t="s">
        <v>208</v>
      </c>
      <c r="C26" s="38"/>
      <c r="D26" s="21"/>
      <c r="E26" s="27"/>
      <c r="F26" s="27">
        <f>ATotal1+BTotal1</f>
        <v>0</v>
      </c>
      <c r="G26" s="27"/>
      <c r="H26" s="27">
        <f>ATotal2+BTotal2</f>
        <v>0</v>
      </c>
      <c r="I26" s="27"/>
      <c r="J26" s="27">
        <f>ATotal3+BTotal3</f>
        <v>0</v>
      </c>
      <c r="K26" s="27"/>
      <c r="L26" s="27">
        <f>ATotal4+BTotal4</f>
        <v>0</v>
      </c>
      <c r="M26" s="27"/>
      <c r="N26" s="27">
        <f>ATotal5+BTotal5</f>
        <v>0</v>
      </c>
      <c r="O26" s="27"/>
      <c r="P26" s="27">
        <f>ATotal6+BTotal6</f>
        <v>0</v>
      </c>
      <c r="Q26" s="27"/>
      <c r="R26" s="27">
        <f>ATotal7+BTotal7</f>
        <v>0</v>
      </c>
      <c r="S26" s="27"/>
      <c r="T26" s="27">
        <f>ATotal8+BTotal8</f>
        <v>0</v>
      </c>
      <c r="U26" s="27"/>
      <c r="V26" s="27">
        <f>ATotalEE+BTotalEE</f>
        <v>0</v>
      </c>
    </row>
    <row r="95" spans="2:2">
      <c r="B95" s="22">
        <f>'Alternate A'!B115</f>
        <v>0</v>
      </c>
    </row>
  </sheetData>
  <mergeCells count="15">
    <mergeCell ref="A6:D6"/>
    <mergeCell ref="O1:P5"/>
    <mergeCell ref="Q1:R5"/>
    <mergeCell ref="S1:T5"/>
    <mergeCell ref="U1:V5"/>
    <mergeCell ref="A2:D2"/>
    <mergeCell ref="A3:D3"/>
    <mergeCell ref="A4:D4"/>
    <mergeCell ref="A5:D5"/>
    <mergeCell ref="A1:D1"/>
    <mergeCell ref="E1:F5"/>
    <mergeCell ref="G1:H5"/>
    <mergeCell ref="I1:J5"/>
    <mergeCell ref="K1:L5"/>
    <mergeCell ref="M1:N5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8"/>
  <sheetViews>
    <sheetView view="pageBreakPreview" zoomScaleNormal="75" zoomScaleSheetLayoutView="100" workbookViewId="0">
      <selection activeCell="B20" sqref="B20"/>
    </sheetView>
  </sheetViews>
  <sheetFormatPr defaultRowHeight="15"/>
  <cols>
    <col min="1" max="1" width="53.7109375" style="12" customWidth="1"/>
    <col min="2" max="2" width="27" style="47" customWidth="1"/>
  </cols>
  <sheetData>
    <row r="1" spans="1:2" ht="30" customHeight="1">
      <c r="A1" s="23" t="str">
        <f>ProjectLocation</f>
        <v>PORTLAND INTERNATIONAL AIRPORT</v>
      </c>
      <c r="B1" s="43"/>
    </row>
    <row r="2" spans="1:2" ht="15" customHeight="1">
      <c r="A2" s="24" t="str">
        <f>ProjectTitle</f>
        <v>TAXIWAY K REHABILITATION</v>
      </c>
      <c r="B2" s="44"/>
    </row>
    <row r="3" spans="1:2" ht="15" customHeight="1">
      <c r="A3" s="24">
        <f>ProjectTitle2</f>
        <v>0</v>
      </c>
      <c r="B3" s="44"/>
    </row>
    <row r="4" spans="1:2">
      <c r="A4" s="13" t="str">
        <f>EAN</f>
        <v>EAN 2017D013</v>
      </c>
      <c r="B4" s="44"/>
    </row>
    <row r="5" spans="1:2" ht="15" customHeight="1">
      <c r="A5" s="14" t="str">
        <f>SolicitationNo</f>
        <v>Solicitation No. 2018-7876</v>
      </c>
      <c r="B5" s="44"/>
    </row>
    <row r="6" spans="1:2" ht="15" customHeight="1">
      <c r="A6" s="15">
        <f ca="1">TODAY()</f>
        <v>46062</v>
      </c>
      <c r="B6" s="45"/>
    </row>
    <row r="7" spans="1:2" ht="33" customHeight="1">
      <c r="A7" s="16" t="s">
        <v>209</v>
      </c>
      <c r="B7" s="46" t="s">
        <v>20</v>
      </c>
    </row>
    <row r="8" spans="1:2" ht="33" customHeight="1">
      <c r="A8" s="17" t="str">
        <f>Contractor1</f>
        <v>Name of Contractor 1</v>
      </c>
      <c r="B8" s="48">
        <f>Total1</f>
        <v>0</v>
      </c>
    </row>
    <row r="9" spans="1:2" ht="33" customHeight="1">
      <c r="A9" s="17" t="str">
        <f>Contractor2</f>
        <v>Name of Contractor 2</v>
      </c>
      <c r="B9" s="48">
        <f>Total2</f>
        <v>0</v>
      </c>
    </row>
    <row r="10" spans="1:2" ht="33" customHeight="1">
      <c r="A10" s="17" t="str">
        <f>Contractor3</f>
        <v>Name of Contractor 3</v>
      </c>
      <c r="B10" s="48">
        <f>Total3</f>
        <v>0</v>
      </c>
    </row>
    <row r="11" spans="1:2" ht="33" customHeight="1">
      <c r="A11" s="17" t="str">
        <f>Contractor4</f>
        <v>Name of Contractor 4</v>
      </c>
      <c r="B11" s="48">
        <f>Total4</f>
        <v>0</v>
      </c>
    </row>
    <row r="12" spans="1:2" ht="33" customHeight="1">
      <c r="A12" s="17" t="str">
        <f>Contractor5</f>
        <v>Name of Contractor 5</v>
      </c>
      <c r="B12" s="48">
        <f>Total5</f>
        <v>0</v>
      </c>
    </row>
    <row r="13" spans="1:2" ht="33" customHeight="1">
      <c r="A13" s="17" t="str">
        <f>Contractor6</f>
        <v>Name of Contractor 6</v>
      </c>
      <c r="B13" s="48">
        <f>Total6</f>
        <v>0</v>
      </c>
    </row>
    <row r="14" spans="1:2" ht="33" customHeight="1">
      <c r="A14" s="17" t="str">
        <f>Contractor7</f>
        <v>Name of Contractor 7</v>
      </c>
      <c r="B14" s="48">
        <f>Total7</f>
        <v>0</v>
      </c>
    </row>
    <row r="15" spans="1:2" ht="33" customHeight="1">
      <c r="A15" s="17" t="str">
        <f>Contractor8</f>
        <v>Name of Contractor 8</v>
      </c>
      <c r="B15" s="48">
        <f>Total8</f>
        <v>0</v>
      </c>
    </row>
    <row r="16" spans="1:2" ht="33" customHeight="1">
      <c r="A16" s="17" t="str">
        <f>EngineerEstimate</f>
        <v>Engineer's Estimate</v>
      </c>
      <c r="B16" s="48">
        <f>TotalEE</f>
        <v>0</v>
      </c>
    </row>
    <row r="17" spans="1:1">
      <c r="A17" s="49" t="s">
        <v>210</v>
      </c>
    </row>
    <row r="18" spans="1:1">
      <c r="A18" s="49" t="s">
        <v>211</v>
      </c>
    </row>
  </sheetData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8EE0AD-C23F-48DB-BB56-438FA99A2CE7}"/>
</file>

<file path=customXml/itemProps2.xml><?xml version="1.0" encoding="utf-8"?>
<ds:datastoreItem xmlns:ds="http://schemas.openxmlformats.org/officeDocument/2006/customXml" ds:itemID="{5787326B-557E-464F-8D55-7969E4848706}"/>
</file>

<file path=customXml/itemProps3.xml><?xml version="1.0" encoding="utf-8"?>
<ds:datastoreItem xmlns:ds="http://schemas.openxmlformats.org/officeDocument/2006/customXml" ds:itemID="{CDAAD06C-5C38-4F8D-9FAE-6EAE882A9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Kim Tuttle</cp:lastModifiedBy>
  <cp:revision/>
  <dcterms:created xsi:type="dcterms:W3CDTF">2014-05-02T22:08:37Z</dcterms:created>
  <dcterms:modified xsi:type="dcterms:W3CDTF">2026-02-09T21:35:00Z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