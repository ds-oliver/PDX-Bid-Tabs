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PFS\Eng-Spec\Pdx\23D\025\"/>
    </mc:Choice>
  </mc:AlternateContent>
  <xr:revisionPtr revIDLastSave="0" documentId="13_ncr:1_{39280D56-6CD0-4A41-A2E5-F57911D3015C}" xr6:coauthVersionLast="47" xr6:coauthVersionMax="47" xr10:uidLastSave="{00000000-0000-0000-0000-000000000000}"/>
  <bookViews>
    <workbookView xWindow="-120" yWindow="-120" windowWidth="29040" windowHeight="15990" tabRatio="716" firstSheet="2" activeTab="2" xr2:uid="{00000000-000D-0000-FFFF-FFFF00000000}"/>
  </bookViews>
  <sheets>
    <sheet name="Base Bid" sheetId="1" r:id="rId1"/>
    <sheet name="Additive Alternate" sheetId="6" r:id="rId2"/>
    <sheet name="Base Bid Tabulation" sheetId="2" r:id="rId3"/>
    <sheet name="Alternate Bid Tabulation" sheetId="7" r:id="rId4"/>
    <sheet name="Summary" sheetId="5" r:id="rId5"/>
  </sheets>
  <definedNames>
    <definedName name="Contractor1" localSheetId="3">'Alternate Bid Tabulation'!$E$1</definedName>
    <definedName name="Contractor1">'Base Bid Tabulation'!$E$1</definedName>
    <definedName name="Contractor2" localSheetId="3">'Alternate Bid Tabulation'!#REF!</definedName>
    <definedName name="Contractor2">'Base Bid Tabulation'!#REF!</definedName>
    <definedName name="Contractor3" localSheetId="3">'Alternate Bid Tabulation'!#REF!</definedName>
    <definedName name="Contractor3">'Base Bid Tabulation'!#REF!</definedName>
    <definedName name="Contractor3A" localSheetId="3">'Alternate Bid Tabulation'!#REF!</definedName>
    <definedName name="Contractor3A">'Base Bid Tabulation'!#REF!</definedName>
    <definedName name="Contractor4" localSheetId="3">'Alternate Bid Tabulation'!#REF!</definedName>
    <definedName name="Contractor4">'Base Bid Tabulation'!#REF!</definedName>
    <definedName name="Contractor5" localSheetId="3">'Alternate Bid Tabulation'!#REF!</definedName>
    <definedName name="Contractor5">'Base Bid Tabulation'!#REF!</definedName>
    <definedName name="Contractor6" localSheetId="3">'Alternate Bid Tabulation'!#REF!</definedName>
    <definedName name="Contractor6">'Base Bid Tabulation'!#REF!</definedName>
    <definedName name="Contractor7" localSheetId="3">'Alternate Bid Tabulation'!#REF!</definedName>
    <definedName name="Contractor7">'Base Bid Tabulation'!#REF!</definedName>
    <definedName name="Contractor8" localSheetId="3">'Alternate Bid Tabulation'!#REF!</definedName>
    <definedName name="Contractor8">'Base Bid Tabulation'!#REF!</definedName>
    <definedName name="EAN" localSheetId="3">'Alternate Bid Tabulation'!$A$4</definedName>
    <definedName name="EAN">'Base Bid Tabulation'!$A$4</definedName>
    <definedName name="EngineerEstimate" localSheetId="3">'Alternate Bid Tabulation'!$G$1</definedName>
    <definedName name="EngineerEstimate">'Base Bid Tabulation'!$G$1</definedName>
    <definedName name="_xlnm.Print_Area" localSheetId="1">'Additive Alternate'!$A$14:$F$45</definedName>
    <definedName name="_xlnm.Print_Area" localSheetId="3">'Alternate Bid Tabulation'!$A$1:$H$33</definedName>
    <definedName name="_xlnm.Print_Area" localSheetId="0">'Base Bid'!$A$14:$F$45</definedName>
    <definedName name="_xlnm.Print_Area" localSheetId="2">'Base Bid Tabulation'!$A$1:$H$33</definedName>
    <definedName name="_xlnm.Print_Area" localSheetId="4">Summary!$A$1:$C$10</definedName>
    <definedName name="_xlnm.Print_Titles" localSheetId="1">'Additive Alternate'!$14:$19</definedName>
    <definedName name="_xlnm.Print_Titles" localSheetId="3">'Alternate Bid Tabulation'!$A:$D,'Alternate Bid Tabulation'!$1:$7</definedName>
    <definedName name="_xlnm.Print_Titles" localSheetId="0">'Base Bid'!$14:$19</definedName>
    <definedName name="_xlnm.Print_Titles" localSheetId="2">'Base Bid Tabulation'!$A:$D,'Base Bid Tabulation'!$1:$7</definedName>
    <definedName name="ProjectLocation" localSheetId="1">'Additive Alternate'!$A$15</definedName>
    <definedName name="ProjectLocation">'Base Bid'!$A$15</definedName>
    <definedName name="ProjectTitle" localSheetId="1">'Additive Alternate'!$A$16</definedName>
    <definedName name="ProjectTitle">'Base Bid'!$A$16</definedName>
    <definedName name="ProjectTitle2" localSheetId="1">'Additive Alternate'!$A$17</definedName>
    <definedName name="ProjectTitle2">'Base Bid'!$A$17</definedName>
    <definedName name="QTY" localSheetId="3">'Alternate Bid Tabulation'!$C:$C</definedName>
    <definedName name="QTY">'Base Bid Tabulation'!$C:$C</definedName>
    <definedName name="SolicitationNo" localSheetId="3">'Alternate Bid Tabulation'!$A$5</definedName>
    <definedName name="SolicitationNo">'Base Bid Tabulation'!$A$5</definedName>
    <definedName name="Total1" localSheetId="3">'Alternate Bid Tabulation'!$F$33</definedName>
    <definedName name="Total1">'Base Bid Tabulation'!$F$33</definedName>
    <definedName name="Total2" localSheetId="3">'Alternate Bid Tabulation'!#REF!</definedName>
    <definedName name="Total2">'Base Bid Tabulation'!#REF!</definedName>
    <definedName name="Total3" localSheetId="3">'Alternate Bid Tabulation'!#REF!</definedName>
    <definedName name="Total3">'Base Bid Tabulation'!#REF!</definedName>
    <definedName name="Total3A" localSheetId="3">'Alternate Bid Tabulation'!#REF!</definedName>
    <definedName name="Total3A">'Base Bid Tabulation'!#REF!</definedName>
    <definedName name="Total4" localSheetId="3">'Alternate Bid Tabulation'!#REF!</definedName>
    <definedName name="Total4">'Base Bid Tabulation'!#REF!</definedName>
    <definedName name="Total5" localSheetId="3">'Alternate Bid Tabulation'!#REF!</definedName>
    <definedName name="Total5">'Base Bid Tabulation'!#REF!</definedName>
    <definedName name="Total6" localSheetId="3">'Alternate Bid Tabulation'!#REF!</definedName>
    <definedName name="Total6">'Base Bid Tabulation'!#REF!</definedName>
    <definedName name="Total7" localSheetId="3">'Alternate Bid Tabulation'!#REF!</definedName>
    <definedName name="Total7">'Base Bid Tabulation'!#REF!</definedName>
    <definedName name="Total8" localSheetId="3">'Alternate Bid Tabulation'!#REF!</definedName>
    <definedName name="Total8">'Base Bid Tabulation'!#REF!</definedName>
    <definedName name="TotalEE" localSheetId="3">'Alternate Bid Tabulation'!$H$33</definedName>
    <definedName name="TotalEE">'Base Bid Tabulation'!$H$33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7" l="1"/>
  <c r="B9" i="7"/>
  <c r="C9" i="7"/>
  <c r="D9" i="7"/>
  <c r="A10" i="7"/>
  <c r="B10" i="7"/>
  <c r="C10" i="7"/>
  <c r="H10" i="7" s="1"/>
  <c r="D10" i="7"/>
  <c r="A11" i="7"/>
  <c r="B11" i="7"/>
  <c r="C11" i="7"/>
  <c r="D11" i="7"/>
  <c r="A12" i="7"/>
  <c r="B12" i="7"/>
  <c r="C12" i="7"/>
  <c r="D12" i="7"/>
  <c r="A13" i="7"/>
  <c r="B13" i="7"/>
  <c r="C13" i="7"/>
  <c r="D13" i="7"/>
  <c r="A14" i="7"/>
  <c r="B14" i="7"/>
  <c r="C14" i="7"/>
  <c r="D14" i="7"/>
  <c r="A15" i="7"/>
  <c r="B15" i="7"/>
  <c r="C15" i="7"/>
  <c r="D15" i="7"/>
  <c r="A16" i="7"/>
  <c r="B16" i="7"/>
  <c r="C16" i="7"/>
  <c r="D16" i="7"/>
  <c r="A17" i="7"/>
  <c r="B17" i="7"/>
  <c r="C17" i="7"/>
  <c r="D17" i="7"/>
  <c r="A18" i="7"/>
  <c r="B18" i="7"/>
  <c r="C18" i="7"/>
  <c r="H18" i="7" s="1"/>
  <c r="D18" i="7"/>
  <c r="A19" i="7"/>
  <c r="B19" i="7"/>
  <c r="C19" i="7"/>
  <c r="H19" i="7" s="1"/>
  <c r="D19" i="7"/>
  <c r="A20" i="7"/>
  <c r="B20" i="7"/>
  <c r="C20" i="7"/>
  <c r="D20" i="7"/>
  <c r="A21" i="7"/>
  <c r="B21" i="7"/>
  <c r="C21" i="7"/>
  <c r="D21" i="7"/>
  <c r="A22" i="7"/>
  <c r="B22" i="7"/>
  <c r="C22" i="7"/>
  <c r="D22" i="7"/>
  <c r="A23" i="7"/>
  <c r="B23" i="7"/>
  <c r="C23" i="7"/>
  <c r="D23" i="7"/>
  <c r="A24" i="7"/>
  <c r="B24" i="7"/>
  <c r="C24" i="7"/>
  <c r="H24" i="7" s="1"/>
  <c r="D24" i="7"/>
  <c r="A25" i="7"/>
  <c r="B25" i="7"/>
  <c r="C25" i="7"/>
  <c r="H25" i="7" s="1"/>
  <c r="D25" i="7"/>
  <c r="A26" i="7"/>
  <c r="B26" i="7"/>
  <c r="C26" i="7"/>
  <c r="F26" i="7" s="1"/>
  <c r="D26" i="7"/>
  <c r="A27" i="7"/>
  <c r="B27" i="7"/>
  <c r="C27" i="7"/>
  <c r="D27" i="7"/>
  <c r="A28" i="7"/>
  <c r="B28" i="7"/>
  <c r="C28" i="7"/>
  <c r="D28" i="7"/>
  <c r="A29" i="7"/>
  <c r="B29" i="7"/>
  <c r="C29" i="7"/>
  <c r="D29" i="7"/>
  <c r="A30" i="7"/>
  <c r="B30" i="7"/>
  <c r="C30" i="7"/>
  <c r="D30" i="7"/>
  <c r="A31" i="7"/>
  <c r="B31" i="7"/>
  <c r="C31" i="7"/>
  <c r="D31" i="7"/>
  <c r="A32" i="7"/>
  <c r="B32" i="7"/>
  <c r="C32" i="7"/>
  <c r="D32" i="7"/>
  <c r="H31" i="2"/>
  <c r="F10" i="2"/>
  <c r="F11" i="2"/>
  <c r="F13" i="2"/>
  <c r="F19" i="2"/>
  <c r="F22" i="2"/>
  <c r="F23" i="2"/>
  <c r="F25" i="2"/>
  <c r="F31" i="2"/>
  <c r="F32" i="2"/>
  <c r="A9" i="2"/>
  <c r="B9" i="2"/>
  <c r="C9" i="2"/>
  <c r="H9" i="2" s="1"/>
  <c r="D9" i="2"/>
  <c r="A10" i="2"/>
  <c r="B10" i="2"/>
  <c r="C10" i="2"/>
  <c r="D10" i="2"/>
  <c r="A11" i="2"/>
  <c r="B11" i="2"/>
  <c r="C11" i="2"/>
  <c r="D11" i="2"/>
  <c r="A12" i="2"/>
  <c r="B12" i="2"/>
  <c r="C12" i="2"/>
  <c r="F12" i="2" s="1"/>
  <c r="D12" i="2"/>
  <c r="A13" i="2"/>
  <c r="B13" i="2"/>
  <c r="C13" i="2"/>
  <c r="D13" i="2"/>
  <c r="A14" i="2"/>
  <c r="B14" i="2"/>
  <c r="C14" i="2"/>
  <c r="F14" i="2" s="1"/>
  <c r="D14" i="2"/>
  <c r="A15" i="2"/>
  <c r="B15" i="2"/>
  <c r="C15" i="2"/>
  <c r="F15" i="2" s="1"/>
  <c r="D15" i="2"/>
  <c r="A16" i="2"/>
  <c r="B16" i="2"/>
  <c r="C16" i="2"/>
  <c r="F16" i="2" s="1"/>
  <c r="D16" i="2"/>
  <c r="A17" i="2"/>
  <c r="B17" i="2"/>
  <c r="C17" i="2"/>
  <c r="F17" i="2" s="1"/>
  <c r="D17" i="2"/>
  <c r="A18" i="2"/>
  <c r="B18" i="2"/>
  <c r="C18" i="2"/>
  <c r="F18" i="2" s="1"/>
  <c r="D18" i="2"/>
  <c r="A19" i="2"/>
  <c r="B19" i="2"/>
  <c r="C19" i="2"/>
  <c r="D19" i="2"/>
  <c r="A20" i="2"/>
  <c r="B20" i="2"/>
  <c r="C20" i="2"/>
  <c r="F20" i="2" s="1"/>
  <c r="D20" i="2"/>
  <c r="A21" i="2"/>
  <c r="B21" i="2"/>
  <c r="C21" i="2"/>
  <c r="F21" i="2" s="1"/>
  <c r="D21" i="2"/>
  <c r="A22" i="2"/>
  <c r="B22" i="2"/>
  <c r="C22" i="2"/>
  <c r="D22" i="2"/>
  <c r="A23" i="2"/>
  <c r="B23" i="2"/>
  <c r="C23" i="2"/>
  <c r="D23" i="2"/>
  <c r="A24" i="2"/>
  <c r="B24" i="2"/>
  <c r="C24" i="2"/>
  <c r="F24" i="2" s="1"/>
  <c r="D24" i="2"/>
  <c r="A25" i="2"/>
  <c r="B25" i="2"/>
  <c r="C25" i="2"/>
  <c r="D25" i="2"/>
  <c r="A26" i="2"/>
  <c r="B26" i="2"/>
  <c r="C26" i="2"/>
  <c r="F26" i="2" s="1"/>
  <c r="D26" i="2"/>
  <c r="A27" i="2"/>
  <c r="B27" i="2"/>
  <c r="C27" i="2"/>
  <c r="F27" i="2" s="1"/>
  <c r="D27" i="2"/>
  <c r="A28" i="2"/>
  <c r="B28" i="2"/>
  <c r="C28" i="2"/>
  <c r="F28" i="2" s="1"/>
  <c r="D28" i="2"/>
  <c r="A29" i="2"/>
  <c r="B29" i="2"/>
  <c r="C29" i="2"/>
  <c r="F29" i="2" s="1"/>
  <c r="D29" i="2"/>
  <c r="A30" i="2"/>
  <c r="B30" i="2"/>
  <c r="C30" i="2"/>
  <c r="F30" i="2" s="1"/>
  <c r="D30" i="2"/>
  <c r="A31" i="2"/>
  <c r="B31" i="2"/>
  <c r="C31" i="2"/>
  <c r="D31" i="2"/>
  <c r="A32" i="2"/>
  <c r="B32" i="2"/>
  <c r="C32" i="2"/>
  <c r="H32" i="2" s="1"/>
  <c r="D32" i="2"/>
  <c r="H14" i="7"/>
  <c r="H31" i="7"/>
  <c r="H9" i="7"/>
  <c r="F11" i="7"/>
  <c r="C8" i="7"/>
  <c r="D8" i="7"/>
  <c r="B8" i="7"/>
  <c r="A8" i="7"/>
  <c r="A6" i="7"/>
  <c r="A2" i="7"/>
  <c r="A1" i="7"/>
  <c r="F9" i="2" l="1"/>
  <c r="H20" i="2"/>
  <c r="F14" i="7"/>
  <c r="H15" i="7"/>
  <c r="H13" i="7"/>
  <c r="F15" i="7"/>
  <c r="F13" i="7"/>
  <c r="H10" i="2"/>
  <c r="F21" i="7"/>
  <c r="H21" i="7"/>
  <c r="F9" i="7"/>
  <c r="H17" i="7"/>
  <c r="F17" i="7"/>
  <c r="H21" i="2"/>
  <c r="F25" i="7"/>
  <c r="F24" i="7"/>
  <c r="H11" i="7"/>
  <c r="H30" i="7"/>
  <c r="F19" i="7"/>
  <c r="H20" i="7"/>
  <c r="H26" i="7"/>
  <c r="H29" i="7"/>
  <c r="F31" i="7"/>
  <c r="F29" i="7"/>
  <c r="H8" i="7"/>
  <c r="F8" i="7"/>
  <c r="H28" i="7"/>
  <c r="F18" i="7"/>
  <c r="H23" i="7"/>
  <c r="F30" i="7"/>
  <c r="H16" i="7"/>
  <c r="H12" i="7"/>
  <c r="F20" i="7"/>
  <c r="H27" i="7"/>
  <c r="F10" i="7"/>
  <c r="H32" i="7"/>
  <c r="H22" i="7"/>
  <c r="F28" i="7"/>
  <c r="F27" i="7"/>
  <c r="F22" i="7"/>
  <c r="F16" i="7"/>
  <c r="F23" i="7"/>
  <c r="F12" i="7"/>
  <c r="F32" i="7"/>
  <c r="H33" i="7" l="1"/>
  <c r="C9" i="5" s="1"/>
  <c r="F33" i="7"/>
  <c r="A2" i="2"/>
  <c r="D8" i="2" l="1"/>
  <c r="C8" i="2"/>
  <c r="B8" i="2"/>
  <c r="A8" i="2"/>
  <c r="H18" i="2" l="1"/>
  <c r="H19" i="2"/>
  <c r="H28" i="2"/>
  <c r="H27" i="2"/>
  <c r="H24" i="2"/>
  <c r="H29" i="2"/>
  <c r="H23" i="2"/>
  <c r="H25" i="2"/>
  <c r="H30" i="2"/>
  <c r="H26" i="2"/>
  <c r="H22" i="2"/>
  <c r="H17" i="2"/>
  <c r="A5" i="5"/>
  <c r="A4" i="5"/>
  <c r="A2" i="5"/>
  <c r="A1" i="5"/>
  <c r="A1" i="2"/>
  <c r="H16" i="2" l="1"/>
  <c r="H15" i="2"/>
  <c r="H14" i="2"/>
  <c r="H13" i="2"/>
  <c r="A9" i="5"/>
  <c r="A8" i="5"/>
  <c r="A6" i="5" l="1"/>
  <c r="A6" i="2"/>
  <c r="H12" i="2" l="1"/>
  <c r="H11" i="2"/>
  <c r="H8" i="2"/>
  <c r="F8" i="2"/>
  <c r="F33" i="2" s="1"/>
  <c r="H33" i="2" l="1"/>
  <c r="B9" i="5" s="1"/>
</calcChain>
</file>

<file path=xl/sharedStrings.xml><?xml version="1.0" encoding="utf-8"?>
<sst xmlns="http://schemas.openxmlformats.org/spreadsheetml/2006/main" count="229" uniqueCount="96">
  <si>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</si>
  <si>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</si>
  <si>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</si>
  <si>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</si>
  <si>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</si>
  <si>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</si>
  <si>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</si>
  <si>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</si>
  <si>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</si>
  <si>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</si>
  <si>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</si>
  <si>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</si>
  <si>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</si>
  <si>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PORTLAND INTERNATIONAL AIRPORT</t>
  </si>
  <si>
    <t>SANITARY LIFT STATION REHABILITATION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</si>
  <si>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</si>
  <si>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</si>
  <si>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</si>
  <si>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</si>
  <si>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</si>
  <si>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</si>
  <si>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</si>
  <si>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Mobilization, Surveying, Cleanup, and Demobilization
(Section 012200)</t>
  </si>
  <si>
    <t>0002</t>
  </si>
  <si>
    <t>Sweeper
(Section 012200)</t>
  </si>
  <si>
    <t>0003</t>
  </si>
  <si>
    <t>0004</t>
  </si>
  <si>
    <t>Work Zone and Traffic Control 
(Section 012200)</t>
  </si>
  <si>
    <t>0005</t>
  </si>
  <si>
    <t>Escort 
(Section 012200)</t>
  </si>
  <si>
    <t>0006</t>
  </si>
  <si>
    <t>Erosion and Sediment Control
(Section 012200)</t>
  </si>
  <si>
    <t>0007</t>
  </si>
  <si>
    <t>Dewatering
(Section 012200)</t>
  </si>
  <si>
    <t>0008</t>
  </si>
  <si>
    <t>Contaminated Soil Handling and Management
(Section 012200)</t>
  </si>
  <si>
    <t>0009</t>
  </si>
  <si>
    <t>Temporary Sewage Bypassing
(Section 012200)</t>
  </si>
  <si>
    <t>0010</t>
  </si>
  <si>
    <t>0011</t>
  </si>
  <si>
    <t>D9 Wet Well (SSLS 953) Mechanical Rehabilitation
(Section 012200)</t>
  </si>
  <si>
    <t>0012</t>
  </si>
  <si>
    <t>D9 Valve Vault (STSVLT 863) Mechanical Rehabilitation
(Section 012200)</t>
  </si>
  <si>
    <t>0013</t>
  </si>
  <si>
    <t>D9 Replacement of Existing Lids and Hatches
(Section 012200)</t>
  </si>
  <si>
    <t>0014</t>
  </si>
  <si>
    <t>0015</t>
  </si>
  <si>
    <t>0016</t>
  </si>
  <si>
    <t>D9 Electrical
(Section 012200)</t>
  </si>
  <si>
    <t>0017</t>
  </si>
  <si>
    <t>PCC Pavement Removal - 16 Inch Depth
(Item P-101)</t>
  </si>
  <si>
    <t>0018</t>
  </si>
  <si>
    <t>Unclassified Excavation
(Item P-152)</t>
  </si>
  <si>
    <t>0019</t>
  </si>
  <si>
    <t>Subgrade Stabilzation 
(Item P-152)</t>
  </si>
  <si>
    <t>0020</t>
  </si>
  <si>
    <t>Crushed Aggregate Base Course
(Item P-209)</t>
  </si>
  <si>
    <t>0021</t>
  </si>
  <si>
    <t>Lean Concrete Base Course
(Item P-306)</t>
  </si>
  <si>
    <t>0022</t>
  </si>
  <si>
    <t>Concrete Pavement 
(Item P-501)</t>
  </si>
  <si>
    <t>0023</t>
  </si>
  <si>
    <t>Joint Sealing Filler                                       (Item P-605)</t>
  </si>
  <si>
    <t>0024</t>
  </si>
  <si>
    <t>Marking
(Item P-620)</t>
  </si>
  <si>
    <t>0025</t>
  </si>
  <si>
    <t>Reflective Media
(Item P-620)</t>
  </si>
  <si>
    <t>Temporary Runway and Taxiway Marking
(Item P-620)</t>
  </si>
  <si>
    <t>Total Amount Bid (Basis of Award)</t>
  </si>
  <si>
    <t>$___________</t>
  </si>
  <si>
    <t>B6 Wet Well (SSLS 950) Mechanical Rehabilitation
(Section 012200)</t>
  </si>
  <si>
    <t>B6 Valve Vault (SSVLT 1202) Mechanical Rehabilitation
(Section 012200)</t>
  </si>
  <si>
    <t>B6 Replacement of Existing Lids and Hatches
(Section 012200)</t>
  </si>
  <si>
    <t>B6 Electrical
(Section 012200)</t>
  </si>
  <si>
    <t>Asphalt Pavement Removal - 6 Inch Depth
(Item P-101)</t>
  </si>
  <si>
    <t>Asphalt Mixture Surface Course
(Item P-403)</t>
  </si>
  <si>
    <t>Emulsified Asphalt Tack Coat                                   (Item P-603)</t>
  </si>
  <si>
    <t>Total Amount Additive Alternate A</t>
  </si>
  <si>
    <t>Engineer's Estimate</t>
  </si>
  <si>
    <t>Bidder</t>
  </si>
  <si>
    <t>*Non-responsive to the small business requirements of this solicitation</t>
  </si>
  <si>
    <t>B6 Temporary Airfield Lighting Circuit Connection
(Section 012200)</t>
  </si>
  <si>
    <t>Removal, Haul, and Disposal of Demolition Debris (Section 012200)</t>
  </si>
  <si>
    <t>D9 Wet Well (SSLS 953) Concrete Repair 
(Section 012200)</t>
  </si>
  <si>
    <t>D9 Valve Vault (STSVLT 863) Concrete Repair 
(Section 012200)</t>
  </si>
  <si>
    <t>Removal, Haul, and Disposal of Demolition Debris
(Section 012200)</t>
  </si>
  <si>
    <t>B6 Wet Well (SSLS 950) Concrete Repair
(Section 012200)</t>
  </si>
  <si>
    <t>B6 Valve Vault (SSVLT 1202) Concrete Repair 
(Section 012200)</t>
  </si>
  <si>
    <t>EAN 2023D025</t>
  </si>
  <si>
    <t>Solicitation No. 2024-10566</t>
  </si>
  <si>
    <t>Total Amount 
Base Bid</t>
  </si>
  <si>
    <t>Total Amount
Additive Alternate A</t>
  </si>
  <si>
    <t>MJ Hughes 
Construction, Inc.</t>
  </si>
  <si>
    <t>*Corrected Bid Total</t>
  </si>
  <si>
    <t>$837,232.50*</t>
  </si>
  <si>
    <t>$924,860.00*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</si>
</sst>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89">
    <xf numFmtId="0" fontId="0" fillId="0" borderId="0" xfId="0"/>
    <xf numFmtId="0" fontId="2" fillId="0" borderId="0" xfId="0" applyFont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5" fillId="0" borderId="1" xfId="0" applyFont="1" applyBorder="1"/>
    <xf numFmtId="0" fontId="3" fillId="0" borderId="5" xfId="0" applyFont="1" applyBorder="1" applyAlignment="1">
      <alignment horizontal="center" wrapText="1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vertical="top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2" fontId="7" fillId="0" borderId="5" xfId="0" applyNumberFormat="1" applyFont="1" applyBorder="1" applyAlignment="1">
      <alignment horizontal="center" vertical="top"/>
    </xf>
    <xf numFmtId="165" fontId="7" fillId="0" borderId="5" xfId="0" applyNumberFormat="1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center" vertical="center"/>
    </xf>
    <xf numFmtId="167" fontId="7" fillId="0" borderId="5" xfId="0" applyNumberFormat="1" applyFont="1" applyBorder="1" applyAlignment="1">
      <alignment horizontal="center" vertical="top"/>
    </xf>
    <xf numFmtId="44" fontId="0" fillId="0" borderId="0" xfId="0" applyNumberFormat="1" applyBorder="1" applyAlignment="1">
      <alignment horizontal="center" vertical="center"/>
    </xf>
    <xf numFmtId="44" fontId="5" fillId="0" borderId="0" xfId="0" applyNumberFormat="1" applyFont="1" applyBorder="1" applyAlignment="1">
      <alignment horizontal="center" vertical="center"/>
    </xf>
    <xf numFmtId="166" fontId="4" fillId="0" borderId="0" xfId="0" applyNumberFormat="1" applyFon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0" applyNumberFormat="1" applyFont="1" applyBorder="1" applyAlignment="1">
      <alignment horizontal="center" vertical="top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1" xfId="0" applyFont="1" applyBorder="1" applyAlignment="1">
      <alignment horizontal="left" vertical="center"/>
    </xf>
  </cellXfs>
  <cellStyles count="7">
    <cellStyle name="Currency" xfId="1" builtinId="4"/>
    <cellStyle name="Normal" xfId="0" builtinId="0"/>
    <cellStyle name="Normal 18" xfId="4" xr:uid="{C36D906A-C592-405A-955A-8D51F24D742F}"/>
    <cellStyle name="Normal 19" xfId="2" xr:uid="{FB589427-97EB-4861-9B0F-01B12751C09B}"/>
    <cellStyle name="Normal 22" xfId="5" xr:uid="{3A21BFF1-3610-4A61-B897-65759C8E26C3}"/>
    <cellStyle name="Normal 27" xfId="3" xr:uid="{9E8E4C8C-4BA7-4520-B4E4-265BECE72788}"/>
    <cellStyle name="Normal 29" xfId="6" xr:uid="{750DE62D-DF73-4A98-93A0-7322E32F36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 tint="-0.499984740745262"/>
  </sheetPr>
  <dimension ref="A1:F45"/>
  <sheetViews>
    <sheetView view="pageLayout" topLeftCell="A27" zoomScaleNormal="100" zoomScaleSheetLayoutView="100" workbookViewId="0">
      <selection activeCell="A14" sqref="A14:D14"/>
    </sheetView>
  </sheetViews>
  <sheetFormatPr defaultRowHeight="15" x14ac:dyDescent="0.25"/>
  <cols>
    <col min="1" max="1" width="6.5703125" customWidth="1"/>
    <col min="2" max="2" width="36.7109375" customWidth="1"/>
    <col min="3" max="3" width="10.7109375" style="25" customWidth="1"/>
    <col min="4" max="4" width="8.28515625" customWidth="1"/>
    <col min="5" max="6" width="13.28515625" style="29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1" t="s">
        <v>2</v>
      </c>
    </row>
    <row r="4" spans="1:6" hidden="1" x14ac:dyDescent="0.25">
      <c r="A4" s="1" t="s">
        <v>3</v>
      </c>
    </row>
    <row r="5" spans="1:6" hidden="1" x14ac:dyDescent="0.25">
      <c r="A5" s="1" t="s">
        <v>4</v>
      </c>
    </row>
    <row r="6" spans="1:6" hidden="1" x14ac:dyDescent="0.25">
      <c r="A6" s="1" t="s">
        <v>5</v>
      </c>
    </row>
    <row r="7" spans="1:6" hidden="1" x14ac:dyDescent="0.25">
      <c r="A7" s="1" t="s">
        <v>6</v>
      </c>
    </row>
    <row r="8" spans="1:6" hidden="1" x14ac:dyDescent="0.25">
      <c r="A8" s="1" t="s">
        <v>7</v>
      </c>
    </row>
    <row r="9" spans="1:6" hidden="1" x14ac:dyDescent="0.25">
      <c r="A9" s="1" t="s">
        <v>8</v>
      </c>
    </row>
    <row r="10" spans="1:6" hidden="1" x14ac:dyDescent="0.25">
      <c r="A10" s="1" t="s">
        <v>9</v>
      </c>
    </row>
    <row r="11" spans="1:6" hidden="1" x14ac:dyDescent="0.25">
      <c r="A11" s="1" t="s">
        <v>10</v>
      </c>
    </row>
    <row r="12" spans="1:6" hidden="1" x14ac:dyDescent="0.25">
      <c r="A12" s="1" t="s">
        <v>11</v>
      </c>
    </row>
    <row r="13" spans="1:6" hidden="1" x14ac:dyDescent="0.25">
      <c r="A13" s="1" t="s">
        <v>12</v>
      </c>
    </row>
    <row r="14" spans="1:6" x14ac:dyDescent="0.25">
      <c r="A14" s="68"/>
      <c r="B14" s="68"/>
      <c r="C14" s="68"/>
      <c r="D14" s="68"/>
      <c r="E14" s="62"/>
      <c r="F14" s="62"/>
    </row>
    <row r="15" spans="1:6" x14ac:dyDescent="0.25">
      <c r="A15" s="65" t="s">
        <v>13</v>
      </c>
      <c r="B15" s="65"/>
      <c r="C15" s="65"/>
      <c r="D15" s="65"/>
      <c r="E15" s="63"/>
      <c r="F15" s="63"/>
    </row>
    <row r="16" spans="1:6" x14ac:dyDescent="0.25">
      <c r="A16" s="65" t="s">
        <v>14</v>
      </c>
      <c r="B16" s="65"/>
      <c r="C16" s="65"/>
      <c r="D16" s="65"/>
      <c r="E16" s="63"/>
      <c r="F16" s="63"/>
    </row>
    <row r="17" spans="1:6" x14ac:dyDescent="0.25">
      <c r="A17" s="66"/>
      <c r="B17" s="66"/>
      <c r="C17" s="66"/>
      <c r="D17" s="66"/>
      <c r="E17" s="63"/>
      <c r="F17" s="63"/>
    </row>
    <row r="18" spans="1:6" x14ac:dyDescent="0.25">
      <c r="A18" s="67"/>
      <c r="B18" s="67"/>
      <c r="C18" s="67"/>
      <c r="D18" s="67"/>
      <c r="E18" s="64"/>
      <c r="F18" s="64"/>
    </row>
    <row r="19" spans="1:6" s="2" customFormat="1" ht="24" customHeight="1" x14ac:dyDescent="0.2">
      <c r="A19" s="3" t="s">
        <v>15</v>
      </c>
      <c r="B19" s="3" t="s">
        <v>16</v>
      </c>
      <c r="C19" s="26" t="s">
        <v>17</v>
      </c>
      <c r="D19" s="3" t="s">
        <v>18</v>
      </c>
      <c r="E19" s="30" t="s">
        <v>19</v>
      </c>
      <c r="F19" s="30" t="s">
        <v>20</v>
      </c>
    </row>
    <row r="20" spans="1:6" ht="40.5" customHeight="1" x14ac:dyDescent="0.25">
      <c r="A20" s="49" t="s">
        <v>21</v>
      </c>
      <c r="B20" s="50" t="s">
        <v>22</v>
      </c>
      <c r="C20" s="27">
        <v>1</v>
      </c>
      <c r="D20" s="4" t="s">
        <v>8</v>
      </c>
      <c r="E20" s="31"/>
      <c r="F20" s="31"/>
    </row>
    <row r="21" spans="1:6" ht="40.5" customHeight="1" x14ac:dyDescent="0.25">
      <c r="A21" s="49" t="s">
        <v>23</v>
      </c>
      <c r="B21" s="50" t="s">
        <v>24</v>
      </c>
      <c r="C21" s="27">
        <v>1</v>
      </c>
      <c r="D21" s="4" t="s">
        <v>8</v>
      </c>
      <c r="E21" s="31"/>
      <c r="F21" s="31"/>
    </row>
    <row r="22" spans="1:6" ht="40.5" customHeight="1" x14ac:dyDescent="0.25">
      <c r="A22" s="49" t="s">
        <v>25</v>
      </c>
      <c r="B22" s="50" t="s">
        <v>27</v>
      </c>
      <c r="C22" s="27">
        <v>1</v>
      </c>
      <c r="D22" s="4" t="s">
        <v>8</v>
      </c>
      <c r="E22" s="31"/>
      <c r="F22" s="31"/>
    </row>
    <row r="23" spans="1:6" ht="40.5" customHeight="1" x14ac:dyDescent="0.25">
      <c r="A23" s="49" t="s">
        <v>26</v>
      </c>
      <c r="B23" s="50" t="s">
        <v>29</v>
      </c>
      <c r="C23" s="27">
        <v>1</v>
      </c>
      <c r="D23" s="4" t="s">
        <v>8</v>
      </c>
      <c r="E23" s="31"/>
      <c r="F23" s="31"/>
    </row>
    <row r="24" spans="1:6" ht="40.5" customHeight="1" x14ac:dyDescent="0.25">
      <c r="A24" s="49" t="s">
        <v>28</v>
      </c>
      <c r="B24" s="50" t="s">
        <v>31</v>
      </c>
      <c r="C24" s="27">
        <v>1</v>
      </c>
      <c r="D24" s="4" t="s">
        <v>8</v>
      </c>
      <c r="E24" s="31"/>
      <c r="F24" s="31"/>
    </row>
    <row r="25" spans="1:6" ht="40.5" customHeight="1" x14ac:dyDescent="0.25">
      <c r="A25" s="49" t="s">
        <v>30</v>
      </c>
      <c r="B25" s="50" t="s">
        <v>33</v>
      </c>
      <c r="C25" s="27">
        <v>100</v>
      </c>
      <c r="D25" s="4" t="s">
        <v>4</v>
      </c>
      <c r="E25" s="31"/>
      <c r="F25" s="31"/>
    </row>
    <row r="26" spans="1:6" ht="40.5" customHeight="1" x14ac:dyDescent="0.25">
      <c r="A26" s="49" t="s">
        <v>32</v>
      </c>
      <c r="B26" s="50" t="s">
        <v>35</v>
      </c>
      <c r="C26" s="27">
        <v>10</v>
      </c>
      <c r="D26" s="4" t="s">
        <v>1</v>
      </c>
      <c r="E26" s="31"/>
      <c r="F26" s="31"/>
    </row>
    <row r="27" spans="1:6" ht="40.5" customHeight="1" x14ac:dyDescent="0.25">
      <c r="A27" s="49" t="s">
        <v>34</v>
      </c>
      <c r="B27" s="50" t="s">
        <v>37</v>
      </c>
      <c r="C27" s="27">
        <v>1</v>
      </c>
      <c r="D27" s="4" t="s">
        <v>8</v>
      </c>
      <c r="E27" s="31"/>
      <c r="F27" s="31"/>
    </row>
    <row r="28" spans="1:6" ht="40.5" customHeight="1" x14ac:dyDescent="0.25">
      <c r="A28" s="49" t="s">
        <v>36</v>
      </c>
      <c r="B28" s="50" t="s">
        <v>82</v>
      </c>
      <c r="C28" s="48">
        <v>1</v>
      </c>
      <c r="D28" s="4" t="s">
        <v>8</v>
      </c>
      <c r="E28" s="31"/>
      <c r="F28" s="31"/>
    </row>
    <row r="29" spans="1:6" ht="40.5" customHeight="1" x14ac:dyDescent="0.25">
      <c r="A29" s="49" t="s">
        <v>38</v>
      </c>
      <c r="B29" s="50" t="s">
        <v>40</v>
      </c>
      <c r="C29" s="48">
        <v>1</v>
      </c>
      <c r="D29" s="4" t="s">
        <v>8</v>
      </c>
      <c r="E29" s="31"/>
      <c r="F29" s="31"/>
    </row>
    <row r="30" spans="1:6" ht="40.5" customHeight="1" x14ac:dyDescent="0.25">
      <c r="A30" s="49" t="s">
        <v>39</v>
      </c>
      <c r="B30" s="50" t="s">
        <v>42</v>
      </c>
      <c r="C30" s="27">
        <v>1</v>
      </c>
      <c r="D30" s="4" t="s">
        <v>8</v>
      </c>
      <c r="E30" s="31"/>
      <c r="F30" s="31"/>
    </row>
    <row r="31" spans="1:6" ht="40.5" customHeight="1" x14ac:dyDescent="0.25">
      <c r="A31" s="49" t="s">
        <v>41</v>
      </c>
      <c r="B31" s="50" t="s">
        <v>44</v>
      </c>
      <c r="C31" s="48">
        <v>2</v>
      </c>
      <c r="D31" s="4" t="s">
        <v>2</v>
      </c>
      <c r="E31" s="31"/>
      <c r="F31" s="31"/>
    </row>
    <row r="32" spans="1:6" ht="40.5" customHeight="1" x14ac:dyDescent="0.25">
      <c r="A32" s="49" t="s">
        <v>43</v>
      </c>
      <c r="B32" s="50" t="s">
        <v>83</v>
      </c>
      <c r="C32" s="48">
        <v>1</v>
      </c>
      <c r="D32" s="4" t="s">
        <v>8</v>
      </c>
      <c r="E32" s="31"/>
      <c r="F32" s="31"/>
    </row>
    <row r="33" spans="1:6" ht="40.5" customHeight="1" x14ac:dyDescent="0.25">
      <c r="A33" s="49" t="s">
        <v>45</v>
      </c>
      <c r="B33" s="50" t="s">
        <v>84</v>
      </c>
      <c r="C33" s="48">
        <v>1</v>
      </c>
      <c r="D33" s="4" t="s">
        <v>8</v>
      </c>
      <c r="E33" s="31"/>
      <c r="F33" s="31"/>
    </row>
    <row r="34" spans="1:6" ht="40.5" customHeight="1" x14ac:dyDescent="0.25">
      <c r="A34" s="49" t="s">
        <v>46</v>
      </c>
      <c r="B34" s="50" t="s">
        <v>48</v>
      </c>
      <c r="C34" s="48">
        <v>1</v>
      </c>
      <c r="D34" s="4" t="s">
        <v>8</v>
      </c>
      <c r="E34" s="31"/>
      <c r="F34" s="31"/>
    </row>
    <row r="35" spans="1:6" ht="40.5" customHeight="1" x14ac:dyDescent="0.25">
      <c r="A35" s="49" t="s">
        <v>47</v>
      </c>
      <c r="B35" s="50" t="s">
        <v>50</v>
      </c>
      <c r="C35" s="48">
        <v>90</v>
      </c>
      <c r="D35" s="4" t="s">
        <v>11</v>
      </c>
      <c r="E35" s="31"/>
      <c r="F35" s="31"/>
    </row>
    <row r="36" spans="1:6" ht="40.5" customHeight="1" x14ac:dyDescent="0.25">
      <c r="A36" s="49" t="s">
        <v>49</v>
      </c>
      <c r="B36" s="50" t="s">
        <v>52</v>
      </c>
      <c r="C36" s="48">
        <v>25</v>
      </c>
      <c r="D36" s="4" t="s">
        <v>1</v>
      </c>
      <c r="E36" s="31"/>
      <c r="F36" s="31"/>
    </row>
    <row r="37" spans="1:6" ht="40.5" customHeight="1" x14ac:dyDescent="0.25">
      <c r="A37" s="49" t="s">
        <v>51</v>
      </c>
      <c r="B37" s="50" t="s">
        <v>54</v>
      </c>
      <c r="C37" s="48">
        <v>20</v>
      </c>
      <c r="D37" s="4" t="s">
        <v>1</v>
      </c>
      <c r="E37" s="31"/>
      <c r="F37" s="31"/>
    </row>
    <row r="38" spans="1:6" ht="40.5" customHeight="1" x14ac:dyDescent="0.25">
      <c r="A38" s="49" t="s">
        <v>53</v>
      </c>
      <c r="B38" s="50" t="s">
        <v>56</v>
      </c>
      <c r="C38" s="48">
        <v>10</v>
      </c>
      <c r="D38" s="4" t="s">
        <v>1</v>
      </c>
      <c r="E38" s="31"/>
      <c r="F38" s="31"/>
    </row>
    <row r="39" spans="1:6" ht="40.5" customHeight="1" x14ac:dyDescent="0.25">
      <c r="A39" s="49" t="s">
        <v>55</v>
      </c>
      <c r="B39" s="50" t="s">
        <v>58</v>
      </c>
      <c r="C39" s="48">
        <v>80</v>
      </c>
      <c r="D39" s="4" t="s">
        <v>11</v>
      </c>
      <c r="E39" s="31"/>
      <c r="F39" s="31"/>
    </row>
    <row r="40" spans="1:6" ht="40.5" customHeight="1" x14ac:dyDescent="0.25">
      <c r="A40" s="49" t="s">
        <v>57</v>
      </c>
      <c r="B40" s="50" t="s">
        <v>60</v>
      </c>
      <c r="C40" s="48">
        <v>35</v>
      </c>
      <c r="D40" s="4" t="s">
        <v>1</v>
      </c>
      <c r="E40" s="31"/>
      <c r="F40" s="31"/>
    </row>
    <row r="41" spans="1:6" ht="40.5" customHeight="1" x14ac:dyDescent="0.25">
      <c r="A41" s="49" t="s">
        <v>59</v>
      </c>
      <c r="B41" s="50" t="s">
        <v>62</v>
      </c>
      <c r="C41" s="27">
        <v>245</v>
      </c>
      <c r="D41" s="4" t="s">
        <v>7</v>
      </c>
      <c r="E41" s="31"/>
      <c r="F41" s="31"/>
    </row>
    <row r="42" spans="1:6" ht="40.5" customHeight="1" x14ac:dyDescent="0.25">
      <c r="A42" s="49" t="s">
        <v>61</v>
      </c>
      <c r="B42" s="50" t="s">
        <v>64</v>
      </c>
      <c r="C42" s="48">
        <v>295</v>
      </c>
      <c r="D42" s="4" t="s">
        <v>10</v>
      </c>
      <c r="E42" s="31"/>
      <c r="F42" s="31"/>
    </row>
    <row r="43" spans="1:6" ht="40.5" customHeight="1" x14ac:dyDescent="0.25">
      <c r="A43" s="49" t="s">
        <v>63</v>
      </c>
      <c r="B43" s="50" t="s">
        <v>66</v>
      </c>
      <c r="C43" s="48">
        <v>20</v>
      </c>
      <c r="D43" s="4" t="s">
        <v>6</v>
      </c>
      <c r="E43" s="31"/>
      <c r="F43" s="31"/>
    </row>
    <row r="44" spans="1:6" ht="40.5" customHeight="1" x14ac:dyDescent="0.25">
      <c r="A44" s="49" t="s">
        <v>65</v>
      </c>
      <c r="B44" s="50" t="s">
        <v>67</v>
      </c>
      <c r="C44" s="48">
        <v>295</v>
      </c>
      <c r="D44" s="4" t="s">
        <v>10</v>
      </c>
      <c r="E44" s="31"/>
      <c r="F44" s="31"/>
    </row>
    <row r="45" spans="1:6" ht="27.75" customHeight="1" x14ac:dyDescent="0.25">
      <c r="A45" s="5"/>
      <c r="B45" s="6" t="s">
        <v>68</v>
      </c>
      <c r="C45" s="28"/>
      <c r="D45" s="5"/>
      <c r="E45" s="32"/>
      <c r="F45" s="32" t="s">
        <v>69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phoneticPr fontId="9" type="noConversion"/>
  <dataValidations count="1">
    <dataValidation type="list" allowBlank="1" showInputMessage="1" showErrorMessage="1" sqref="D20:D44" xr:uid="{00000000-0002-0000-0000-000000000000}">
      <formula1>$A$1:$A$13</formula1>
    </dataValidation>
  </dataValidations>
  <printOptions horizontalCentered="1"/>
  <pageMargins left="0.75" right="0.75" top="1" bottom="1" header="0.5" footer="0.7"/>
  <pageSetup firstPageNumber="3" orientation="portrait" useFirstPageNumber="1" r:id="rId1"/>
  <headerFooter>
    <oddHeader>&amp;L&amp;"Arial,Bold"BASE BID&amp;RBidder: _________________________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941B-9E74-44D1-9C03-B725C876403A}">
  <sheetPr>
    <tabColor theme="5" tint="-0.499984740745262"/>
  </sheetPr>
  <dimension ref="A1:F45"/>
  <sheetViews>
    <sheetView view="pageLayout" topLeftCell="A34" zoomScaleNormal="100" zoomScaleSheetLayoutView="100" workbookViewId="0">
      <selection activeCell="B35" sqref="B35"/>
    </sheetView>
  </sheetViews>
  <sheetFormatPr defaultRowHeight="15" x14ac:dyDescent="0.25"/>
  <cols>
    <col min="1" max="1" width="6.5703125" customWidth="1"/>
    <col min="2" max="2" width="36.7109375" customWidth="1"/>
    <col min="3" max="3" width="10.7109375" style="25" customWidth="1"/>
    <col min="4" max="4" width="8.28515625" customWidth="1"/>
    <col min="5" max="6" width="13.28515625" style="29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1" t="s">
        <v>2</v>
      </c>
    </row>
    <row r="4" spans="1:6" hidden="1" x14ac:dyDescent="0.25">
      <c r="A4" s="1" t="s">
        <v>3</v>
      </c>
    </row>
    <row r="5" spans="1:6" hidden="1" x14ac:dyDescent="0.25">
      <c r="A5" s="1" t="s">
        <v>4</v>
      </c>
    </row>
    <row r="6" spans="1:6" hidden="1" x14ac:dyDescent="0.25">
      <c r="A6" s="1" t="s">
        <v>5</v>
      </c>
    </row>
    <row r="7" spans="1:6" hidden="1" x14ac:dyDescent="0.25">
      <c r="A7" s="1" t="s">
        <v>6</v>
      </c>
    </row>
    <row r="8" spans="1:6" hidden="1" x14ac:dyDescent="0.25">
      <c r="A8" s="1" t="s">
        <v>7</v>
      </c>
    </row>
    <row r="9" spans="1:6" hidden="1" x14ac:dyDescent="0.25">
      <c r="A9" s="1" t="s">
        <v>8</v>
      </c>
    </row>
    <row r="10" spans="1:6" hidden="1" x14ac:dyDescent="0.25">
      <c r="A10" s="1" t="s">
        <v>9</v>
      </c>
    </row>
    <row r="11" spans="1:6" hidden="1" x14ac:dyDescent="0.25">
      <c r="A11" s="1" t="s">
        <v>10</v>
      </c>
    </row>
    <row r="12" spans="1:6" hidden="1" x14ac:dyDescent="0.25">
      <c r="A12" s="1" t="s">
        <v>11</v>
      </c>
    </row>
    <row r="13" spans="1:6" hidden="1" x14ac:dyDescent="0.25">
      <c r="A13" s="1" t="s">
        <v>12</v>
      </c>
    </row>
    <row r="14" spans="1:6" x14ac:dyDescent="0.25">
      <c r="A14" s="68"/>
      <c r="B14" s="68"/>
      <c r="C14" s="68"/>
      <c r="D14" s="68"/>
      <c r="E14" s="62"/>
      <c r="F14" s="62"/>
    </row>
    <row r="15" spans="1:6" x14ac:dyDescent="0.25">
      <c r="A15" s="65" t="s">
        <v>13</v>
      </c>
      <c r="B15" s="65"/>
      <c r="C15" s="65"/>
      <c r="D15" s="65"/>
      <c r="E15" s="63"/>
      <c r="F15" s="63"/>
    </row>
    <row r="16" spans="1:6" x14ac:dyDescent="0.25">
      <c r="A16" s="65" t="s">
        <v>14</v>
      </c>
      <c r="B16" s="65"/>
      <c r="C16" s="65"/>
      <c r="D16" s="65"/>
      <c r="E16" s="63"/>
      <c r="F16" s="63"/>
    </row>
    <row r="17" spans="1:6" x14ac:dyDescent="0.25">
      <c r="A17" s="66"/>
      <c r="B17" s="66"/>
      <c r="C17" s="66"/>
      <c r="D17" s="66"/>
      <c r="E17" s="63"/>
      <c r="F17" s="63"/>
    </row>
    <row r="18" spans="1:6" x14ac:dyDescent="0.25">
      <c r="A18" s="67"/>
      <c r="B18" s="67"/>
      <c r="C18" s="67"/>
      <c r="D18" s="67"/>
      <c r="E18" s="64"/>
      <c r="F18" s="64"/>
    </row>
    <row r="19" spans="1:6" s="2" customFormat="1" ht="24" customHeight="1" x14ac:dyDescent="0.2">
      <c r="A19" s="3" t="s">
        <v>15</v>
      </c>
      <c r="B19" s="3" t="s">
        <v>16</v>
      </c>
      <c r="C19" s="26" t="s">
        <v>17</v>
      </c>
      <c r="D19" s="3" t="s">
        <v>18</v>
      </c>
      <c r="E19" s="30" t="s">
        <v>19</v>
      </c>
      <c r="F19" s="30" t="s">
        <v>20</v>
      </c>
    </row>
    <row r="20" spans="1:6" ht="40.5" customHeight="1" x14ac:dyDescent="0.25">
      <c r="A20" s="49" t="s">
        <v>21</v>
      </c>
      <c r="B20" s="50" t="s">
        <v>22</v>
      </c>
      <c r="C20" s="27">
        <v>1</v>
      </c>
      <c r="D20" s="4" t="s">
        <v>8</v>
      </c>
      <c r="E20" s="31"/>
      <c r="F20" s="31"/>
    </row>
    <row r="21" spans="1:6" ht="40.5" customHeight="1" x14ac:dyDescent="0.25">
      <c r="A21" s="49" t="s">
        <v>23</v>
      </c>
      <c r="B21" s="50" t="s">
        <v>24</v>
      </c>
      <c r="C21" s="27">
        <v>1</v>
      </c>
      <c r="D21" s="4" t="s">
        <v>8</v>
      </c>
      <c r="E21" s="31"/>
      <c r="F21" s="31"/>
    </row>
    <row r="22" spans="1:6" ht="40.5" customHeight="1" x14ac:dyDescent="0.25">
      <c r="A22" s="49" t="s">
        <v>25</v>
      </c>
      <c r="B22" s="50" t="s">
        <v>27</v>
      </c>
      <c r="C22" s="27">
        <v>1</v>
      </c>
      <c r="D22" s="4" t="s">
        <v>8</v>
      </c>
      <c r="E22" s="31"/>
      <c r="F22" s="31"/>
    </row>
    <row r="23" spans="1:6" ht="40.5" customHeight="1" x14ac:dyDescent="0.25">
      <c r="A23" s="49" t="s">
        <v>26</v>
      </c>
      <c r="B23" s="50" t="s">
        <v>29</v>
      </c>
      <c r="C23" s="27">
        <v>1</v>
      </c>
      <c r="D23" s="4" t="s">
        <v>8</v>
      </c>
      <c r="E23" s="31"/>
      <c r="F23" s="31"/>
    </row>
    <row r="24" spans="1:6" ht="40.5" customHeight="1" x14ac:dyDescent="0.25">
      <c r="A24" s="49" t="s">
        <v>28</v>
      </c>
      <c r="B24" s="50" t="s">
        <v>31</v>
      </c>
      <c r="C24" s="27">
        <v>1</v>
      </c>
      <c r="D24" s="4" t="s">
        <v>8</v>
      </c>
      <c r="E24" s="31"/>
      <c r="F24" s="31"/>
    </row>
    <row r="25" spans="1:6" ht="40.5" customHeight="1" x14ac:dyDescent="0.25">
      <c r="A25" s="49" t="s">
        <v>30</v>
      </c>
      <c r="B25" s="50" t="s">
        <v>33</v>
      </c>
      <c r="C25" s="27">
        <v>100</v>
      </c>
      <c r="D25" s="4" t="s">
        <v>4</v>
      </c>
      <c r="E25" s="31"/>
      <c r="F25" s="31"/>
    </row>
    <row r="26" spans="1:6" ht="40.5" customHeight="1" x14ac:dyDescent="0.25">
      <c r="A26" s="49" t="s">
        <v>32</v>
      </c>
      <c r="B26" s="50" t="s">
        <v>35</v>
      </c>
      <c r="C26" s="27">
        <v>10</v>
      </c>
      <c r="D26" s="4" t="s">
        <v>1</v>
      </c>
      <c r="E26" s="31"/>
      <c r="F26" s="31"/>
    </row>
    <row r="27" spans="1:6" ht="40.5" customHeight="1" x14ac:dyDescent="0.25">
      <c r="A27" s="49" t="s">
        <v>34</v>
      </c>
      <c r="B27" s="50" t="s">
        <v>37</v>
      </c>
      <c r="C27" s="27">
        <v>1</v>
      </c>
      <c r="D27" s="4" t="s">
        <v>8</v>
      </c>
      <c r="E27" s="31"/>
      <c r="F27" s="31"/>
    </row>
    <row r="28" spans="1:6" ht="40.5" customHeight="1" x14ac:dyDescent="0.25">
      <c r="A28" s="49" t="s">
        <v>36</v>
      </c>
      <c r="B28" s="50" t="s">
        <v>85</v>
      </c>
      <c r="C28" s="48">
        <v>1</v>
      </c>
      <c r="D28" s="4" t="s">
        <v>8</v>
      </c>
      <c r="E28" s="31"/>
      <c r="F28" s="31"/>
    </row>
    <row r="29" spans="1:6" ht="40.5" customHeight="1" x14ac:dyDescent="0.25">
      <c r="A29" s="49" t="s">
        <v>38</v>
      </c>
      <c r="B29" s="50" t="s">
        <v>70</v>
      </c>
      <c r="C29" s="48">
        <v>1</v>
      </c>
      <c r="D29" s="4" t="s">
        <v>8</v>
      </c>
      <c r="E29" s="31"/>
      <c r="F29" s="31"/>
    </row>
    <row r="30" spans="1:6" ht="40.5" customHeight="1" x14ac:dyDescent="0.25">
      <c r="A30" s="49" t="s">
        <v>39</v>
      </c>
      <c r="B30" s="50" t="s">
        <v>71</v>
      </c>
      <c r="C30" s="27">
        <v>1</v>
      </c>
      <c r="D30" s="4" t="s">
        <v>8</v>
      </c>
      <c r="E30" s="31"/>
      <c r="F30" s="31"/>
    </row>
    <row r="31" spans="1:6" ht="40.5" customHeight="1" x14ac:dyDescent="0.25">
      <c r="A31" s="49" t="s">
        <v>41</v>
      </c>
      <c r="B31" s="50" t="s">
        <v>72</v>
      </c>
      <c r="C31" s="48">
        <v>2</v>
      </c>
      <c r="D31" s="4" t="s">
        <v>2</v>
      </c>
      <c r="E31" s="31"/>
      <c r="F31" s="31"/>
    </row>
    <row r="32" spans="1:6" ht="40.5" customHeight="1" x14ac:dyDescent="0.25">
      <c r="A32" s="49" t="s">
        <v>43</v>
      </c>
      <c r="B32" s="50" t="s">
        <v>86</v>
      </c>
      <c r="C32" s="48">
        <v>1</v>
      </c>
      <c r="D32" s="4" t="s">
        <v>8</v>
      </c>
      <c r="E32" s="31"/>
      <c r="F32" s="31"/>
    </row>
    <row r="33" spans="1:6" ht="40.5" customHeight="1" x14ac:dyDescent="0.25">
      <c r="A33" s="49" t="s">
        <v>45</v>
      </c>
      <c r="B33" s="50" t="s">
        <v>87</v>
      </c>
      <c r="C33" s="48">
        <v>1</v>
      </c>
      <c r="D33" s="4" t="s">
        <v>8</v>
      </c>
      <c r="E33" s="31"/>
      <c r="F33" s="31"/>
    </row>
    <row r="34" spans="1:6" ht="40.5" customHeight="1" x14ac:dyDescent="0.25">
      <c r="A34" s="49" t="s">
        <v>46</v>
      </c>
      <c r="B34" s="50" t="s">
        <v>73</v>
      </c>
      <c r="C34" s="48">
        <v>1</v>
      </c>
      <c r="D34" s="4" t="s">
        <v>8</v>
      </c>
      <c r="E34" s="31"/>
      <c r="F34" s="31"/>
    </row>
    <row r="35" spans="1:6" ht="40.5" customHeight="1" x14ac:dyDescent="0.25">
      <c r="A35" s="49" t="s">
        <v>47</v>
      </c>
      <c r="B35" s="50" t="s">
        <v>81</v>
      </c>
      <c r="C35" s="48">
        <v>1</v>
      </c>
      <c r="D35" s="4" t="s">
        <v>8</v>
      </c>
      <c r="E35" s="31"/>
      <c r="F35" s="31"/>
    </row>
    <row r="36" spans="1:6" ht="40.5" customHeight="1" x14ac:dyDescent="0.25">
      <c r="A36" s="49" t="s">
        <v>49</v>
      </c>
      <c r="B36" s="50" t="s">
        <v>74</v>
      </c>
      <c r="C36" s="48">
        <v>90</v>
      </c>
      <c r="D36" s="4" t="s">
        <v>11</v>
      </c>
      <c r="E36" s="31"/>
      <c r="F36" s="31"/>
    </row>
    <row r="37" spans="1:6" ht="40.5" customHeight="1" x14ac:dyDescent="0.25">
      <c r="A37" s="49" t="s">
        <v>51</v>
      </c>
      <c r="B37" s="50" t="s">
        <v>52</v>
      </c>
      <c r="C37" s="48">
        <v>20</v>
      </c>
      <c r="D37" s="4" t="s">
        <v>1</v>
      </c>
      <c r="E37" s="31"/>
      <c r="F37" s="31"/>
    </row>
    <row r="38" spans="1:6" ht="40.5" customHeight="1" x14ac:dyDescent="0.25">
      <c r="A38" s="49" t="s">
        <v>53</v>
      </c>
      <c r="B38" s="50" t="s">
        <v>54</v>
      </c>
      <c r="C38" s="48">
        <v>10</v>
      </c>
      <c r="D38" s="4" t="s">
        <v>1</v>
      </c>
      <c r="E38" s="31"/>
      <c r="F38" s="31"/>
    </row>
    <row r="39" spans="1:6" ht="40.5" customHeight="1" x14ac:dyDescent="0.25">
      <c r="A39" s="49" t="s">
        <v>55</v>
      </c>
      <c r="B39" s="50" t="s">
        <v>56</v>
      </c>
      <c r="C39" s="48">
        <v>15</v>
      </c>
      <c r="D39" s="4" t="s">
        <v>1</v>
      </c>
      <c r="E39" s="31"/>
      <c r="F39" s="31"/>
    </row>
    <row r="40" spans="1:6" ht="40.5" customHeight="1" x14ac:dyDescent="0.25">
      <c r="A40" s="49" t="s">
        <v>57</v>
      </c>
      <c r="B40" s="50" t="s">
        <v>75</v>
      </c>
      <c r="C40" s="48">
        <v>25</v>
      </c>
      <c r="D40" s="4" t="s">
        <v>12</v>
      </c>
      <c r="E40" s="31"/>
      <c r="F40" s="31"/>
    </row>
    <row r="41" spans="1:6" ht="40.5" customHeight="1" x14ac:dyDescent="0.25">
      <c r="A41" s="49" t="s">
        <v>59</v>
      </c>
      <c r="B41" s="50" t="s">
        <v>76</v>
      </c>
      <c r="C41" s="27">
        <v>10</v>
      </c>
      <c r="D41" s="4" t="s">
        <v>4</v>
      </c>
      <c r="E41" s="31"/>
      <c r="F41" s="31"/>
    </row>
    <row r="42" spans="1:6" ht="40.5" customHeight="1" x14ac:dyDescent="0.25">
      <c r="A42" s="49" t="s">
        <v>61</v>
      </c>
      <c r="B42" s="50" t="s">
        <v>64</v>
      </c>
      <c r="C42" s="48">
        <v>3170</v>
      </c>
      <c r="D42" s="4" t="s">
        <v>10</v>
      </c>
      <c r="E42" s="31"/>
      <c r="F42" s="31"/>
    </row>
    <row r="43" spans="1:6" ht="40.5" customHeight="1" x14ac:dyDescent="0.25">
      <c r="A43" s="49" t="s">
        <v>63</v>
      </c>
      <c r="B43" s="50" t="s">
        <v>66</v>
      </c>
      <c r="C43" s="48">
        <v>95</v>
      </c>
      <c r="D43" s="4" t="s">
        <v>6</v>
      </c>
      <c r="E43" s="31"/>
      <c r="F43" s="31"/>
    </row>
    <row r="44" spans="1:6" ht="40.5" customHeight="1" x14ac:dyDescent="0.25">
      <c r="A44" s="49" t="s">
        <v>65</v>
      </c>
      <c r="B44" s="50" t="s">
        <v>67</v>
      </c>
      <c r="C44" s="48">
        <v>3095</v>
      </c>
      <c r="D44" s="4" t="s">
        <v>10</v>
      </c>
      <c r="E44" s="31"/>
      <c r="F44" s="31"/>
    </row>
    <row r="45" spans="1:6" ht="27.75" customHeight="1" x14ac:dyDescent="0.25">
      <c r="A45" s="5"/>
      <c r="B45" s="6" t="s">
        <v>77</v>
      </c>
      <c r="C45" s="28"/>
      <c r="D45" s="5"/>
      <c r="E45" s="32"/>
      <c r="F45" s="32" t="s">
        <v>69</v>
      </c>
    </row>
  </sheetData>
  <dataConsolidate function="count"/>
  <mergeCells count="6">
    <mergeCell ref="A14:D14"/>
    <mergeCell ref="E14:F18"/>
    <mergeCell ref="A15:D15"/>
    <mergeCell ref="A16:D16"/>
    <mergeCell ref="A17:D17"/>
    <mergeCell ref="A18:D18"/>
  </mergeCells>
  <phoneticPr fontId="9" type="noConversion"/>
  <dataValidations disablePrompts="1" count="1">
    <dataValidation type="list" allowBlank="1" showInputMessage="1" showErrorMessage="1" sqref="D20:D44" xr:uid="{6E4A74DB-8EFD-461D-ACAE-14BB35278B37}">
      <formula1>$A$1:$A$13</formula1>
    </dataValidation>
  </dataValidations>
  <printOptions horizontalCentered="1"/>
  <pageMargins left="0.75" right="0.75" top="1" bottom="1" header="0.5" footer="0.7"/>
  <pageSetup firstPageNumber="5" orientation="portrait" useFirstPageNumber="1" r:id="rId1"/>
  <headerFooter>
    <oddHeader>&amp;L&amp;"Arial,Bold"ADDITIVE ALTERNATE A&amp;RBidder: _________________________</oddHeader>
    <oddFooter>&amp;L&amp;"Times New Roman,Regular"&amp;8&amp;Z&amp;F&amp;R&amp;"Times New Roman,Regular"&amp;9Bid 
004100-&amp;P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-0.499984740745262"/>
  </sheetPr>
  <dimension ref="A1:H33"/>
  <sheetViews>
    <sheetView tabSelected="1" topLeftCell="A17" zoomScaleNormal="100" zoomScaleSheetLayoutView="100" workbookViewId="0">
      <selection activeCell="F33" sqref="F33"/>
    </sheetView>
  </sheetViews>
  <sheetFormatPr defaultRowHeight="15" x14ac:dyDescent="0.25"/>
  <cols>
    <col min="1" max="1" width="6.7109375" customWidth="1"/>
    <col min="2" max="2" width="28.85546875" style="19" customWidth="1"/>
    <col min="3" max="3" width="11.28515625" style="36" customWidth="1"/>
    <col min="4" max="4" width="6.7109375" style="19" customWidth="1"/>
    <col min="5" max="5" width="11" style="29" customWidth="1"/>
    <col min="6" max="6" width="13.42578125" style="29" customWidth="1"/>
    <col min="7" max="7" width="11" customWidth="1"/>
    <col min="8" max="8" width="13.42578125" customWidth="1"/>
  </cols>
  <sheetData>
    <row r="1" spans="1:8" ht="30" customHeight="1" x14ac:dyDescent="0.25">
      <c r="A1" s="80" t="str">
        <f>ProjectLocation</f>
        <v>PORTLAND INTERNATIONAL AIRPORT</v>
      </c>
      <c r="B1" s="81"/>
      <c r="C1" s="81"/>
      <c r="D1" s="82"/>
      <c r="E1" s="76" t="s">
        <v>92</v>
      </c>
      <c r="F1" s="77"/>
      <c r="G1" s="69" t="s">
        <v>78</v>
      </c>
      <c r="H1" s="70"/>
    </row>
    <row r="2" spans="1:8" x14ac:dyDescent="0.25">
      <c r="A2" s="83" t="str">
        <f>ProjectTitle</f>
        <v>SANITARY LIFT STATION REHABILITATION</v>
      </c>
      <c r="B2" s="84"/>
      <c r="C2" s="84"/>
      <c r="D2" s="85"/>
      <c r="E2" s="78"/>
      <c r="F2" s="79"/>
      <c r="G2" s="71"/>
      <c r="H2" s="72"/>
    </row>
    <row r="3" spans="1:8" x14ac:dyDescent="0.25">
      <c r="A3" s="83"/>
      <c r="B3" s="84"/>
      <c r="C3" s="84"/>
      <c r="D3" s="85"/>
      <c r="E3" s="78"/>
      <c r="F3" s="79"/>
      <c r="G3" s="71"/>
      <c r="H3" s="72"/>
    </row>
    <row r="4" spans="1:8" x14ac:dyDescent="0.25">
      <c r="A4" s="86" t="s">
        <v>88</v>
      </c>
      <c r="B4" s="87"/>
      <c r="C4" s="87"/>
      <c r="D4" s="88"/>
      <c r="E4" s="78"/>
      <c r="F4" s="79"/>
      <c r="G4" s="71"/>
      <c r="H4" s="72"/>
    </row>
    <row r="5" spans="1:8" x14ac:dyDescent="0.25">
      <c r="A5" s="86" t="s">
        <v>89</v>
      </c>
      <c r="B5" s="87"/>
      <c r="C5" s="87"/>
      <c r="D5" s="88"/>
      <c r="E5" s="78"/>
      <c r="F5" s="79"/>
      <c r="G5" s="71"/>
      <c r="H5" s="72"/>
    </row>
    <row r="6" spans="1:8" x14ac:dyDescent="0.25">
      <c r="A6" s="73">
        <f ca="1">TODAY()</f>
        <v>45726</v>
      </c>
      <c r="B6" s="74"/>
      <c r="C6" s="74"/>
      <c r="D6" s="75"/>
      <c r="E6" s="37"/>
      <c r="F6" s="38"/>
      <c r="G6" s="37"/>
      <c r="H6" s="38"/>
    </row>
    <row r="7" spans="1:8" ht="32.25" customHeight="1" x14ac:dyDescent="0.25">
      <c r="A7" s="7" t="s">
        <v>15</v>
      </c>
      <c r="B7" s="15" t="s">
        <v>16</v>
      </c>
      <c r="C7" s="33" t="s">
        <v>17</v>
      </c>
      <c r="D7" s="15" t="s">
        <v>18</v>
      </c>
      <c r="E7" s="39" t="s">
        <v>19</v>
      </c>
      <c r="F7" s="39" t="s">
        <v>20</v>
      </c>
      <c r="G7" s="39" t="s">
        <v>19</v>
      </c>
      <c r="H7" s="39" t="s">
        <v>20</v>
      </c>
    </row>
    <row r="8" spans="1:8" ht="33" customHeight="1" x14ac:dyDescent="0.25">
      <c r="A8" s="46" t="str">
        <f>'Base Bid'!A20</f>
        <v>0001</v>
      </c>
      <c r="B8" s="47" t="str">
        <f>'Base Bid'!B20</f>
        <v>Mobilization, Surveying, Cleanup, and Demobilization
(Section 012200)</v>
      </c>
      <c r="C8" s="34">
        <f>'Base Bid'!C20</f>
        <v>1</v>
      </c>
      <c r="D8" s="16" t="str">
        <f>'Base Bid'!D20</f>
        <v>LS</v>
      </c>
      <c r="E8" s="22">
        <v>131100</v>
      </c>
      <c r="F8" s="23">
        <f t="shared" ref="F8:F32" si="0">QTY*E8</f>
        <v>131100</v>
      </c>
      <c r="G8" s="60">
        <v>85336</v>
      </c>
      <c r="H8" s="23">
        <f t="shared" ref="H8:H16" si="1">QTY*G8</f>
        <v>85336</v>
      </c>
    </row>
    <row r="9" spans="1:8" ht="33" customHeight="1" x14ac:dyDescent="0.25">
      <c r="A9" s="46" t="str">
        <f>'Base Bid'!A21</f>
        <v>0002</v>
      </c>
      <c r="B9" s="47" t="str">
        <f>'Base Bid'!B21</f>
        <v>Sweeper
(Section 012200)</v>
      </c>
      <c r="C9" s="34">
        <f>'Base Bid'!C21</f>
        <v>1</v>
      </c>
      <c r="D9" s="16" t="str">
        <f>'Base Bid'!D21</f>
        <v>LS</v>
      </c>
      <c r="E9" s="22">
        <v>32000</v>
      </c>
      <c r="F9" s="23">
        <f t="shared" si="0"/>
        <v>32000</v>
      </c>
      <c r="G9" s="60">
        <v>25000</v>
      </c>
      <c r="H9" s="23">
        <f>QTY*G9</f>
        <v>25000</v>
      </c>
    </row>
    <row r="10" spans="1:8" ht="33" customHeight="1" x14ac:dyDescent="0.25">
      <c r="A10" s="46" t="str">
        <f>'Base Bid'!A22</f>
        <v>0003</v>
      </c>
      <c r="B10" s="47" t="str">
        <f>'Base Bid'!B22</f>
        <v>Work Zone and Traffic Control 
(Section 012200)</v>
      </c>
      <c r="C10" s="34">
        <f>'Base Bid'!C22</f>
        <v>1</v>
      </c>
      <c r="D10" s="16" t="str">
        <f>'Base Bid'!D22</f>
        <v>LS</v>
      </c>
      <c r="E10" s="22">
        <v>20000</v>
      </c>
      <c r="F10" s="23">
        <f t="shared" si="0"/>
        <v>20000</v>
      </c>
      <c r="G10" s="60">
        <v>18000</v>
      </c>
      <c r="H10" s="23">
        <f t="shared" si="1"/>
        <v>18000</v>
      </c>
    </row>
    <row r="11" spans="1:8" ht="33" customHeight="1" x14ac:dyDescent="0.25">
      <c r="A11" s="46" t="str">
        <f>'Base Bid'!A23</f>
        <v>0004</v>
      </c>
      <c r="B11" s="47" t="str">
        <f>'Base Bid'!B23</f>
        <v>Escort 
(Section 012200)</v>
      </c>
      <c r="C11" s="34">
        <f>'Base Bid'!C23</f>
        <v>1</v>
      </c>
      <c r="D11" s="16" t="str">
        <f>'Base Bid'!D23</f>
        <v>LS</v>
      </c>
      <c r="E11" s="22">
        <v>15000</v>
      </c>
      <c r="F11" s="23">
        <f t="shared" si="0"/>
        <v>15000</v>
      </c>
      <c r="G11" s="60">
        <v>30000</v>
      </c>
      <c r="H11" s="23">
        <f t="shared" si="1"/>
        <v>30000</v>
      </c>
    </row>
    <row r="12" spans="1:8" ht="33" customHeight="1" x14ac:dyDescent="0.25">
      <c r="A12" s="46" t="str">
        <f>'Base Bid'!A24</f>
        <v>0005</v>
      </c>
      <c r="B12" s="47" t="str">
        <f>'Base Bid'!B24</f>
        <v>Erosion and Sediment Control
(Section 012200)</v>
      </c>
      <c r="C12" s="34">
        <f>'Base Bid'!C24</f>
        <v>1</v>
      </c>
      <c r="D12" s="16" t="str">
        <f>'Base Bid'!D24</f>
        <v>LS</v>
      </c>
      <c r="E12" s="22">
        <v>2460</v>
      </c>
      <c r="F12" s="23">
        <f t="shared" si="0"/>
        <v>2460</v>
      </c>
      <c r="G12" s="60">
        <v>4000</v>
      </c>
      <c r="H12" s="23">
        <f t="shared" si="1"/>
        <v>4000</v>
      </c>
    </row>
    <row r="13" spans="1:8" ht="33" customHeight="1" x14ac:dyDescent="0.25">
      <c r="A13" s="46" t="str">
        <f>'Base Bid'!A25</f>
        <v>0006</v>
      </c>
      <c r="B13" s="47" t="str">
        <f>'Base Bid'!B25</f>
        <v>Dewatering
(Section 012200)</v>
      </c>
      <c r="C13" s="34">
        <f>'Base Bid'!C25</f>
        <v>100</v>
      </c>
      <c r="D13" s="16" t="str">
        <f>'Base Bid'!D25</f>
        <v>Gal</v>
      </c>
      <c r="E13" s="22">
        <v>28</v>
      </c>
      <c r="F13" s="23">
        <f t="shared" si="0"/>
        <v>2800</v>
      </c>
      <c r="G13" s="60">
        <v>100</v>
      </c>
      <c r="H13" s="23">
        <f t="shared" si="1"/>
        <v>10000</v>
      </c>
    </row>
    <row r="14" spans="1:8" ht="33" customHeight="1" x14ac:dyDescent="0.25">
      <c r="A14" s="46" t="str">
        <f>'Base Bid'!A26</f>
        <v>0007</v>
      </c>
      <c r="B14" s="47" t="str">
        <f>'Base Bid'!B26</f>
        <v>Contaminated Soil Handling and Management
(Section 012200)</v>
      </c>
      <c r="C14" s="34">
        <f>'Base Bid'!C26</f>
        <v>10</v>
      </c>
      <c r="D14" s="16" t="str">
        <f>'Base Bid'!D26</f>
        <v>CY</v>
      </c>
      <c r="E14" s="22">
        <v>250</v>
      </c>
      <c r="F14" s="23">
        <f t="shared" si="0"/>
        <v>2500</v>
      </c>
      <c r="G14" s="60">
        <v>100</v>
      </c>
      <c r="H14" s="23">
        <f t="shared" si="1"/>
        <v>1000</v>
      </c>
    </row>
    <row r="15" spans="1:8" ht="33" customHeight="1" x14ac:dyDescent="0.25">
      <c r="A15" s="46" t="str">
        <f>'Base Bid'!A27</f>
        <v>0008</v>
      </c>
      <c r="B15" s="47" t="str">
        <f>'Base Bid'!B27</f>
        <v>Temporary Sewage Bypassing
(Section 012200)</v>
      </c>
      <c r="C15" s="34">
        <f>'Base Bid'!C27</f>
        <v>1</v>
      </c>
      <c r="D15" s="16" t="str">
        <f>'Base Bid'!D27</f>
        <v>LS</v>
      </c>
      <c r="E15" s="22">
        <v>130000</v>
      </c>
      <c r="F15" s="23">
        <f t="shared" si="0"/>
        <v>130000</v>
      </c>
      <c r="G15" s="60">
        <v>160000</v>
      </c>
      <c r="H15" s="23">
        <f t="shared" si="1"/>
        <v>160000</v>
      </c>
    </row>
    <row r="16" spans="1:8" ht="33" customHeight="1" x14ac:dyDescent="0.25">
      <c r="A16" s="46" t="str">
        <f>'Base Bid'!A28</f>
        <v>0009</v>
      </c>
      <c r="B16" s="47" t="str">
        <f>'Base Bid'!B28</f>
        <v>Removal, Haul, and Disposal of Demolition Debris (Section 012200)</v>
      </c>
      <c r="C16" s="34">
        <f>'Base Bid'!C28</f>
        <v>1</v>
      </c>
      <c r="D16" s="16" t="str">
        <f>'Base Bid'!D28</f>
        <v>LS</v>
      </c>
      <c r="E16" s="22">
        <v>15000</v>
      </c>
      <c r="F16" s="23">
        <f t="shared" si="0"/>
        <v>15000</v>
      </c>
      <c r="G16" s="60">
        <v>15000</v>
      </c>
      <c r="H16" s="23">
        <f t="shared" si="1"/>
        <v>15000</v>
      </c>
    </row>
    <row r="17" spans="1:8" ht="33" customHeight="1" x14ac:dyDescent="0.25">
      <c r="A17" s="46" t="str">
        <f>'Base Bid'!A29</f>
        <v>0010</v>
      </c>
      <c r="B17" s="47" t="str">
        <f>'Base Bid'!B29</f>
        <v>D9 Wet Well (SSLS 953) Mechanical Rehabilitation
(Section 012200)</v>
      </c>
      <c r="C17" s="34">
        <f>'Base Bid'!C29</f>
        <v>1</v>
      </c>
      <c r="D17" s="16" t="str">
        <f>'Base Bid'!D29</f>
        <v>LS</v>
      </c>
      <c r="E17" s="22">
        <v>105000</v>
      </c>
      <c r="F17" s="23">
        <f t="shared" si="0"/>
        <v>105000</v>
      </c>
      <c r="G17" s="60">
        <v>80000</v>
      </c>
      <c r="H17" s="23">
        <f t="shared" ref="H17:H32" si="2">QTY*G17</f>
        <v>80000</v>
      </c>
    </row>
    <row r="18" spans="1:8" ht="33" customHeight="1" x14ac:dyDescent="0.25">
      <c r="A18" s="46" t="str">
        <f>'Base Bid'!A30</f>
        <v>0011</v>
      </c>
      <c r="B18" s="47" t="str">
        <f>'Base Bid'!B30</f>
        <v>D9 Valve Vault (STSVLT 863) Mechanical Rehabilitation
(Section 012200)</v>
      </c>
      <c r="C18" s="34">
        <f>'Base Bid'!C30</f>
        <v>1</v>
      </c>
      <c r="D18" s="16" t="str">
        <f>'Base Bid'!D30</f>
        <v>LS</v>
      </c>
      <c r="E18" s="22">
        <v>105000</v>
      </c>
      <c r="F18" s="23">
        <f t="shared" si="0"/>
        <v>105000</v>
      </c>
      <c r="G18" s="60">
        <v>30000</v>
      </c>
      <c r="H18" s="23">
        <f t="shared" si="2"/>
        <v>30000</v>
      </c>
    </row>
    <row r="19" spans="1:8" ht="33" customHeight="1" x14ac:dyDescent="0.25">
      <c r="A19" s="46" t="str">
        <f>'Base Bid'!A31</f>
        <v>0012</v>
      </c>
      <c r="B19" s="47" t="str">
        <f>'Base Bid'!B31</f>
        <v>D9 Replacement of Existing Lids and Hatches
(Section 012200)</v>
      </c>
      <c r="C19" s="34">
        <f>'Base Bid'!C31</f>
        <v>2</v>
      </c>
      <c r="D19" s="16" t="str">
        <f>'Base Bid'!D31</f>
        <v>Each</v>
      </c>
      <c r="E19" s="22">
        <v>35000</v>
      </c>
      <c r="F19" s="23">
        <f t="shared" si="0"/>
        <v>70000</v>
      </c>
      <c r="G19" s="60">
        <v>33000</v>
      </c>
      <c r="H19" s="23">
        <f t="shared" si="2"/>
        <v>66000</v>
      </c>
    </row>
    <row r="20" spans="1:8" ht="33" customHeight="1" x14ac:dyDescent="0.25">
      <c r="A20" s="46" t="str">
        <f>'Base Bid'!A32</f>
        <v>0013</v>
      </c>
      <c r="B20" s="47" t="str">
        <f>'Base Bid'!B32</f>
        <v>D9 Wet Well (SSLS 953) Concrete Repair 
(Section 012200)</v>
      </c>
      <c r="C20" s="34">
        <f>'Base Bid'!C32</f>
        <v>1</v>
      </c>
      <c r="D20" s="16" t="str">
        <f>'Base Bid'!D32</f>
        <v>LS</v>
      </c>
      <c r="E20" s="22">
        <v>20000</v>
      </c>
      <c r="F20" s="23">
        <f t="shared" si="0"/>
        <v>20000</v>
      </c>
      <c r="G20" s="60">
        <v>37000</v>
      </c>
      <c r="H20" s="23">
        <f t="shared" si="2"/>
        <v>37000</v>
      </c>
    </row>
    <row r="21" spans="1:8" ht="33" customHeight="1" x14ac:dyDescent="0.25">
      <c r="A21" s="46" t="str">
        <f>'Base Bid'!A33</f>
        <v>0014</v>
      </c>
      <c r="B21" s="47" t="str">
        <f>'Base Bid'!B33</f>
        <v>D9 Valve Vault (STSVLT 863) Concrete Repair 
(Section 012200)</v>
      </c>
      <c r="C21" s="34">
        <f>'Base Bid'!C33</f>
        <v>1</v>
      </c>
      <c r="D21" s="16" t="str">
        <f>'Base Bid'!D33</f>
        <v>LS</v>
      </c>
      <c r="E21" s="22">
        <v>15000</v>
      </c>
      <c r="F21" s="23">
        <f t="shared" si="0"/>
        <v>15000</v>
      </c>
      <c r="G21" s="60">
        <v>21000</v>
      </c>
      <c r="H21" s="23">
        <f t="shared" ref="H21" si="3">QTY*G21</f>
        <v>21000</v>
      </c>
    </row>
    <row r="22" spans="1:8" ht="33" customHeight="1" x14ac:dyDescent="0.25">
      <c r="A22" s="46" t="str">
        <f>'Base Bid'!A34</f>
        <v>0015</v>
      </c>
      <c r="B22" s="47" t="str">
        <f>'Base Bid'!B34</f>
        <v>D9 Electrical
(Section 012200)</v>
      </c>
      <c r="C22" s="34">
        <f>'Base Bid'!C34</f>
        <v>1</v>
      </c>
      <c r="D22" s="16" t="str">
        <f>'Base Bid'!D34</f>
        <v>LS</v>
      </c>
      <c r="E22" s="22">
        <v>86000</v>
      </c>
      <c r="F22" s="23">
        <f t="shared" si="0"/>
        <v>86000</v>
      </c>
      <c r="G22" s="60">
        <v>94350</v>
      </c>
      <c r="H22" s="23">
        <f t="shared" si="2"/>
        <v>94350</v>
      </c>
    </row>
    <row r="23" spans="1:8" ht="33" customHeight="1" x14ac:dyDescent="0.25">
      <c r="A23" s="46" t="str">
        <f>'Base Bid'!A35</f>
        <v>0016</v>
      </c>
      <c r="B23" s="47" t="str">
        <f>'Base Bid'!B35</f>
        <v>PCC Pavement Removal - 16 Inch Depth
(Item P-101)</v>
      </c>
      <c r="C23" s="34">
        <f>'Base Bid'!C35</f>
        <v>90</v>
      </c>
      <c r="D23" s="16" t="str">
        <f>'Base Bid'!D35</f>
        <v>SY</v>
      </c>
      <c r="E23" s="22">
        <v>170</v>
      </c>
      <c r="F23" s="23">
        <f t="shared" si="0"/>
        <v>15300</v>
      </c>
      <c r="G23" s="60">
        <v>125</v>
      </c>
      <c r="H23" s="23">
        <f t="shared" si="2"/>
        <v>11250</v>
      </c>
    </row>
    <row r="24" spans="1:8" ht="33" customHeight="1" x14ac:dyDescent="0.25">
      <c r="A24" s="46" t="str">
        <f>'Base Bid'!A36</f>
        <v>0017</v>
      </c>
      <c r="B24" s="47" t="str">
        <f>'Base Bid'!B36</f>
        <v>Unclassified Excavation
(Item P-152)</v>
      </c>
      <c r="C24" s="34">
        <f>'Base Bid'!C36</f>
        <v>25</v>
      </c>
      <c r="D24" s="16" t="str">
        <f>'Base Bid'!D36</f>
        <v>CY</v>
      </c>
      <c r="E24" s="22">
        <v>120</v>
      </c>
      <c r="F24" s="23">
        <f t="shared" si="0"/>
        <v>3000</v>
      </c>
      <c r="G24" s="60">
        <v>250</v>
      </c>
      <c r="H24" s="23">
        <f t="shared" si="2"/>
        <v>6250</v>
      </c>
    </row>
    <row r="25" spans="1:8" ht="33" customHeight="1" x14ac:dyDescent="0.25">
      <c r="A25" s="46" t="str">
        <f>'Base Bid'!A37</f>
        <v>0018</v>
      </c>
      <c r="B25" s="47" t="str">
        <f>'Base Bid'!B37</f>
        <v>Subgrade Stabilzation 
(Item P-152)</v>
      </c>
      <c r="C25" s="34">
        <f>'Base Bid'!C37</f>
        <v>20</v>
      </c>
      <c r="D25" s="16" t="str">
        <f>'Base Bid'!D37</f>
        <v>CY</v>
      </c>
      <c r="E25" s="22">
        <v>140</v>
      </c>
      <c r="F25" s="23">
        <f t="shared" si="0"/>
        <v>2800</v>
      </c>
      <c r="G25" s="60">
        <v>1200</v>
      </c>
      <c r="H25" s="23">
        <f t="shared" si="2"/>
        <v>24000</v>
      </c>
    </row>
    <row r="26" spans="1:8" ht="33" customHeight="1" x14ac:dyDescent="0.25">
      <c r="A26" s="46" t="str">
        <f>'Base Bid'!A38</f>
        <v>0019</v>
      </c>
      <c r="B26" s="47" t="str">
        <f>'Base Bid'!B38</f>
        <v>Crushed Aggregate Base Course
(Item P-209)</v>
      </c>
      <c r="C26" s="34">
        <f>'Base Bid'!C38</f>
        <v>10</v>
      </c>
      <c r="D26" s="16" t="str">
        <f>'Base Bid'!D38</f>
        <v>CY</v>
      </c>
      <c r="E26" s="22">
        <v>140</v>
      </c>
      <c r="F26" s="23">
        <f t="shared" si="0"/>
        <v>1400</v>
      </c>
      <c r="G26" s="60">
        <v>500</v>
      </c>
      <c r="H26" s="23">
        <f t="shared" si="2"/>
        <v>5000</v>
      </c>
    </row>
    <row r="27" spans="1:8" ht="33" customHeight="1" x14ac:dyDescent="0.25">
      <c r="A27" s="46" t="str">
        <f>'Base Bid'!A39</f>
        <v>0020</v>
      </c>
      <c r="B27" s="47" t="str">
        <f>'Base Bid'!B39</f>
        <v>Lean Concrete Base Course
(Item P-306)</v>
      </c>
      <c r="C27" s="34">
        <f>'Base Bid'!C39</f>
        <v>80</v>
      </c>
      <c r="D27" s="16" t="str">
        <f>'Base Bid'!D39</f>
        <v>SY</v>
      </c>
      <c r="E27" s="22">
        <v>100</v>
      </c>
      <c r="F27" s="23">
        <f t="shared" si="0"/>
        <v>8000</v>
      </c>
      <c r="G27" s="60">
        <v>250</v>
      </c>
      <c r="H27" s="23">
        <f t="shared" si="2"/>
        <v>20000</v>
      </c>
    </row>
    <row r="28" spans="1:8" ht="33" customHeight="1" x14ac:dyDescent="0.25">
      <c r="A28" s="46" t="str">
        <f>'Base Bid'!A40</f>
        <v>0021</v>
      </c>
      <c r="B28" s="47" t="str">
        <f>'Base Bid'!B40</f>
        <v>Concrete Pavement 
(Item P-501)</v>
      </c>
      <c r="C28" s="34">
        <f>'Base Bid'!C40</f>
        <v>35</v>
      </c>
      <c r="D28" s="16" t="str">
        <f>'Base Bid'!D40</f>
        <v>CY</v>
      </c>
      <c r="E28" s="22">
        <v>760</v>
      </c>
      <c r="F28" s="23">
        <f t="shared" si="0"/>
        <v>26600</v>
      </c>
      <c r="G28" s="60">
        <v>1500</v>
      </c>
      <c r="H28" s="23">
        <f t="shared" si="2"/>
        <v>52500</v>
      </c>
    </row>
    <row r="29" spans="1:8" ht="33" customHeight="1" x14ac:dyDescent="0.25">
      <c r="A29" s="46" t="str">
        <f>'Base Bid'!A41</f>
        <v>0022</v>
      </c>
      <c r="B29" s="47" t="str">
        <f>'Base Bid'!B41</f>
        <v>Joint Sealing Filler                                       (Item P-605)</v>
      </c>
      <c r="C29" s="34">
        <f>'Base Bid'!C41</f>
        <v>245</v>
      </c>
      <c r="D29" s="16" t="str">
        <f>'Base Bid'!D41</f>
        <v>LF</v>
      </c>
      <c r="E29" s="22">
        <v>60</v>
      </c>
      <c r="F29" s="23">
        <f t="shared" si="0"/>
        <v>14700</v>
      </c>
      <c r="G29" s="60">
        <v>20</v>
      </c>
      <c r="H29" s="23">
        <f t="shared" si="2"/>
        <v>4900</v>
      </c>
    </row>
    <row r="30" spans="1:8" ht="33" customHeight="1" x14ac:dyDescent="0.25">
      <c r="A30" s="46" t="str">
        <f>'Base Bid'!A42</f>
        <v>0023</v>
      </c>
      <c r="B30" s="47" t="str">
        <f>'Base Bid'!B42</f>
        <v>Marking
(Item P-620)</v>
      </c>
      <c r="C30" s="34">
        <f>'Base Bid'!C42</f>
        <v>295</v>
      </c>
      <c r="D30" s="16" t="str">
        <f>'Base Bid'!D42</f>
        <v>SF</v>
      </c>
      <c r="E30" s="22">
        <v>22.25</v>
      </c>
      <c r="F30" s="23">
        <f t="shared" si="0"/>
        <v>6563.75</v>
      </c>
      <c r="G30" s="60">
        <v>4</v>
      </c>
      <c r="H30" s="23">
        <f t="shared" si="2"/>
        <v>1180</v>
      </c>
    </row>
    <row r="31" spans="1:8" ht="33" customHeight="1" x14ac:dyDescent="0.25">
      <c r="A31" s="46" t="str">
        <f>'Base Bid'!A43</f>
        <v>0024</v>
      </c>
      <c r="B31" s="47" t="str">
        <f>'Base Bid'!B43</f>
        <v>Reflective Media
(Item P-620)</v>
      </c>
      <c r="C31" s="34">
        <f>'Base Bid'!C43</f>
        <v>20</v>
      </c>
      <c r="D31" s="16" t="str">
        <f>'Base Bid'!D43</f>
        <v>LB</v>
      </c>
      <c r="E31" s="22">
        <v>22.25</v>
      </c>
      <c r="F31" s="23">
        <f t="shared" si="0"/>
        <v>445</v>
      </c>
      <c r="G31" s="60">
        <v>9</v>
      </c>
      <c r="H31" s="23">
        <f t="shared" si="2"/>
        <v>180</v>
      </c>
    </row>
    <row r="32" spans="1:8" ht="33" customHeight="1" x14ac:dyDescent="0.25">
      <c r="A32" s="46" t="str">
        <f>'Base Bid'!A44</f>
        <v>0025</v>
      </c>
      <c r="B32" s="47" t="str">
        <f>'Base Bid'!B44</f>
        <v>Temporary Runway and Taxiway Marking
(Item P-620)</v>
      </c>
      <c r="C32" s="34">
        <f>'Base Bid'!C44</f>
        <v>295</v>
      </c>
      <c r="D32" s="16" t="str">
        <f>'Base Bid'!D44</f>
        <v>SF</v>
      </c>
      <c r="E32" s="22">
        <v>22.25</v>
      </c>
      <c r="F32" s="23">
        <f t="shared" si="0"/>
        <v>6563.75</v>
      </c>
      <c r="G32" s="60">
        <v>3.5</v>
      </c>
      <c r="H32" s="23">
        <f t="shared" si="2"/>
        <v>1032.5</v>
      </c>
    </row>
    <row r="33" spans="1:8" ht="27.75" customHeight="1" x14ac:dyDescent="0.25">
      <c r="A33" s="8"/>
      <c r="B33" s="17" t="s">
        <v>68</v>
      </c>
      <c r="C33" s="35"/>
      <c r="D33" s="18"/>
      <c r="E33" s="24"/>
      <c r="F33" s="51">
        <f>SUM(F8:F32)</f>
        <v>837232.5</v>
      </c>
      <c r="G33" s="24"/>
      <c r="H33" s="51">
        <f>SUM(H8:H32)</f>
        <v>802978.5</v>
      </c>
    </row>
  </sheetData>
  <mergeCells count="8">
    <mergeCell ref="G1:H5"/>
    <mergeCell ref="A6:D6"/>
    <mergeCell ref="E1:F5"/>
    <mergeCell ref="A1:D1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2AA7-CFAD-430E-8BA1-BA08F8B0C697}">
  <sheetPr>
    <tabColor theme="4" tint="-0.499984740745262"/>
  </sheetPr>
  <dimension ref="A1:H33"/>
  <sheetViews>
    <sheetView topLeftCell="A18" zoomScaleNormal="100" zoomScaleSheetLayoutView="100" workbookViewId="0">
      <selection activeCell="F33" sqref="F33"/>
    </sheetView>
  </sheetViews>
  <sheetFormatPr defaultRowHeight="15" x14ac:dyDescent="0.25"/>
  <cols>
    <col min="1" max="1" width="6.7109375" customWidth="1"/>
    <col min="2" max="2" width="28.85546875" style="19" customWidth="1"/>
    <col min="3" max="3" width="11.28515625" style="36" customWidth="1"/>
    <col min="4" max="4" width="6.7109375" style="19" customWidth="1"/>
    <col min="5" max="5" width="11" style="29" customWidth="1"/>
    <col min="6" max="6" width="13.42578125" style="29" customWidth="1"/>
    <col min="7" max="7" width="11" customWidth="1"/>
    <col min="8" max="8" width="13.42578125" customWidth="1"/>
  </cols>
  <sheetData>
    <row r="1" spans="1:8" ht="30" customHeight="1" x14ac:dyDescent="0.25">
      <c r="A1" s="80" t="str">
        <f>ProjectLocation</f>
        <v>PORTLAND INTERNATIONAL AIRPORT</v>
      </c>
      <c r="B1" s="81"/>
      <c r="C1" s="81"/>
      <c r="D1" s="82"/>
      <c r="E1" s="76" t="s">
        <v>92</v>
      </c>
      <c r="F1" s="77"/>
      <c r="G1" s="69" t="s">
        <v>78</v>
      </c>
      <c r="H1" s="70"/>
    </row>
    <row r="2" spans="1:8" x14ac:dyDescent="0.25">
      <c r="A2" s="83" t="str">
        <f>ProjectTitle</f>
        <v>SANITARY LIFT STATION REHABILITATION</v>
      </c>
      <c r="B2" s="84"/>
      <c r="C2" s="84"/>
      <c r="D2" s="85"/>
      <c r="E2" s="78"/>
      <c r="F2" s="79"/>
      <c r="G2" s="71"/>
      <c r="H2" s="72"/>
    </row>
    <row r="3" spans="1:8" x14ac:dyDescent="0.25">
      <c r="A3" s="83"/>
      <c r="B3" s="84"/>
      <c r="C3" s="84"/>
      <c r="D3" s="85"/>
      <c r="E3" s="78"/>
      <c r="F3" s="79"/>
      <c r="G3" s="71"/>
      <c r="H3" s="72"/>
    </row>
    <row r="4" spans="1:8" x14ac:dyDescent="0.25">
      <c r="A4" s="86" t="s">
        <v>88</v>
      </c>
      <c r="B4" s="87"/>
      <c r="C4" s="87"/>
      <c r="D4" s="88"/>
      <c r="E4" s="78"/>
      <c r="F4" s="79"/>
      <c r="G4" s="71"/>
      <c r="H4" s="72"/>
    </row>
    <row r="5" spans="1:8" x14ac:dyDescent="0.25">
      <c r="A5" s="86" t="s">
        <v>89</v>
      </c>
      <c r="B5" s="87"/>
      <c r="C5" s="87"/>
      <c r="D5" s="88"/>
      <c r="E5" s="78"/>
      <c r="F5" s="79"/>
      <c r="G5" s="71"/>
      <c r="H5" s="72"/>
    </row>
    <row r="6" spans="1:8" x14ac:dyDescent="0.25">
      <c r="A6" s="73">
        <f ca="1">TODAY()</f>
        <v>45726</v>
      </c>
      <c r="B6" s="74"/>
      <c r="C6" s="74"/>
      <c r="D6" s="75"/>
      <c r="E6" s="37"/>
      <c r="F6" s="38"/>
      <c r="G6" s="37"/>
      <c r="H6" s="38"/>
    </row>
    <row r="7" spans="1:8" ht="32.25" customHeight="1" x14ac:dyDescent="0.25">
      <c r="A7" s="7" t="s">
        <v>15</v>
      </c>
      <c r="B7" s="15" t="s">
        <v>16</v>
      </c>
      <c r="C7" s="33" t="s">
        <v>17</v>
      </c>
      <c r="D7" s="15" t="s">
        <v>18</v>
      </c>
      <c r="E7" s="39" t="s">
        <v>19</v>
      </c>
      <c r="F7" s="39" t="s">
        <v>20</v>
      </c>
      <c r="G7" s="39" t="s">
        <v>19</v>
      </c>
      <c r="H7" s="39" t="s">
        <v>20</v>
      </c>
    </row>
    <row r="8" spans="1:8" ht="33" customHeight="1" x14ac:dyDescent="0.25">
      <c r="A8" s="46" t="str">
        <f>'Additive Alternate'!A20</f>
        <v>0001</v>
      </c>
      <c r="B8" s="47" t="str">
        <f>'Additive Alternate'!B20</f>
        <v>Mobilization, Surveying, Cleanup, and Demobilization
(Section 012200)</v>
      </c>
      <c r="C8" s="34">
        <f>'Additive Alternate'!C20</f>
        <v>1</v>
      </c>
      <c r="D8" s="16" t="str">
        <f>'Additive Alternate'!D20</f>
        <v>LS</v>
      </c>
      <c r="E8" s="22">
        <v>141000</v>
      </c>
      <c r="F8" s="23">
        <f t="shared" ref="F8:F18" si="0">QTY*E8</f>
        <v>141000</v>
      </c>
      <c r="G8" s="61">
        <v>97210</v>
      </c>
      <c r="H8" s="23">
        <f t="shared" ref="H8:H18" si="1">QTY*G8</f>
        <v>97210</v>
      </c>
    </row>
    <row r="9" spans="1:8" ht="33" customHeight="1" x14ac:dyDescent="0.25">
      <c r="A9" s="46" t="str">
        <f>'Additive Alternate'!A21</f>
        <v>0002</v>
      </c>
      <c r="B9" s="47" t="str">
        <f>'Additive Alternate'!B21</f>
        <v>Sweeper
(Section 012200)</v>
      </c>
      <c r="C9" s="34">
        <f>'Additive Alternate'!C21</f>
        <v>1</v>
      </c>
      <c r="D9" s="16" t="str">
        <f>'Additive Alternate'!D21</f>
        <v>LS</v>
      </c>
      <c r="E9" s="22">
        <v>32000</v>
      </c>
      <c r="F9" s="23">
        <f t="shared" si="0"/>
        <v>32000</v>
      </c>
      <c r="G9" s="61">
        <v>25000</v>
      </c>
      <c r="H9" s="23">
        <f t="shared" si="1"/>
        <v>25000</v>
      </c>
    </row>
    <row r="10" spans="1:8" ht="33" customHeight="1" x14ac:dyDescent="0.25">
      <c r="A10" s="46" t="str">
        <f>'Additive Alternate'!A22</f>
        <v>0003</v>
      </c>
      <c r="B10" s="47" t="str">
        <f>'Additive Alternate'!B22</f>
        <v>Work Zone and Traffic Control 
(Section 012200)</v>
      </c>
      <c r="C10" s="34">
        <f>'Additive Alternate'!C22</f>
        <v>1</v>
      </c>
      <c r="D10" s="16" t="str">
        <f>'Additive Alternate'!D22</f>
        <v>LS</v>
      </c>
      <c r="E10" s="22">
        <v>19000</v>
      </c>
      <c r="F10" s="23">
        <f t="shared" si="0"/>
        <v>19000</v>
      </c>
      <c r="G10" s="61">
        <v>48000</v>
      </c>
      <c r="H10" s="23">
        <f t="shared" si="1"/>
        <v>48000</v>
      </c>
    </row>
    <row r="11" spans="1:8" ht="33" customHeight="1" x14ac:dyDescent="0.25">
      <c r="A11" s="46" t="str">
        <f>'Additive Alternate'!A23</f>
        <v>0004</v>
      </c>
      <c r="B11" s="47" t="str">
        <f>'Additive Alternate'!B23</f>
        <v>Escort 
(Section 012200)</v>
      </c>
      <c r="C11" s="34">
        <f>'Additive Alternate'!C23</f>
        <v>1</v>
      </c>
      <c r="D11" s="16" t="str">
        <f>'Additive Alternate'!D23</f>
        <v>LS</v>
      </c>
      <c r="E11" s="22">
        <v>14200</v>
      </c>
      <c r="F11" s="23">
        <f t="shared" si="0"/>
        <v>14200</v>
      </c>
      <c r="G11" s="61">
        <v>30000</v>
      </c>
      <c r="H11" s="23">
        <f t="shared" si="1"/>
        <v>30000</v>
      </c>
    </row>
    <row r="12" spans="1:8" ht="33" customHeight="1" x14ac:dyDescent="0.25">
      <c r="A12" s="46" t="str">
        <f>'Additive Alternate'!A24</f>
        <v>0005</v>
      </c>
      <c r="B12" s="47" t="str">
        <f>'Additive Alternate'!B24</f>
        <v>Erosion and Sediment Control
(Section 012200)</v>
      </c>
      <c r="C12" s="34">
        <f>'Additive Alternate'!C24</f>
        <v>1</v>
      </c>
      <c r="D12" s="16" t="str">
        <f>'Additive Alternate'!D24</f>
        <v>LS</v>
      </c>
      <c r="E12" s="22">
        <v>2460</v>
      </c>
      <c r="F12" s="23">
        <f t="shared" si="0"/>
        <v>2460</v>
      </c>
      <c r="G12" s="61">
        <v>5000</v>
      </c>
      <c r="H12" s="23">
        <f t="shared" si="1"/>
        <v>5000</v>
      </c>
    </row>
    <row r="13" spans="1:8" ht="33" customHeight="1" x14ac:dyDescent="0.25">
      <c r="A13" s="46" t="str">
        <f>'Additive Alternate'!A25</f>
        <v>0006</v>
      </c>
      <c r="B13" s="47" t="str">
        <f>'Additive Alternate'!B25</f>
        <v>Dewatering
(Section 012200)</v>
      </c>
      <c r="C13" s="34">
        <f>'Additive Alternate'!C25</f>
        <v>100</v>
      </c>
      <c r="D13" s="16" t="str">
        <f>'Additive Alternate'!D25</f>
        <v>Gal</v>
      </c>
      <c r="E13" s="22">
        <v>28</v>
      </c>
      <c r="F13" s="23">
        <f t="shared" si="0"/>
        <v>2800</v>
      </c>
      <c r="G13" s="61">
        <v>100</v>
      </c>
      <c r="H13" s="23">
        <f t="shared" si="1"/>
        <v>10000</v>
      </c>
    </row>
    <row r="14" spans="1:8" ht="33" customHeight="1" x14ac:dyDescent="0.25">
      <c r="A14" s="46" t="str">
        <f>'Additive Alternate'!A26</f>
        <v>0007</v>
      </c>
      <c r="B14" s="47" t="str">
        <f>'Additive Alternate'!B26</f>
        <v>Contaminated Soil Handling and Management
(Section 012200)</v>
      </c>
      <c r="C14" s="34">
        <f>'Additive Alternate'!C26</f>
        <v>10</v>
      </c>
      <c r="D14" s="16" t="str">
        <f>'Additive Alternate'!D26</f>
        <v>CY</v>
      </c>
      <c r="E14" s="22">
        <v>250</v>
      </c>
      <c r="F14" s="23">
        <f t="shared" si="0"/>
        <v>2500</v>
      </c>
      <c r="G14" s="61">
        <v>100</v>
      </c>
      <c r="H14" s="23">
        <f t="shared" si="1"/>
        <v>1000</v>
      </c>
    </row>
    <row r="15" spans="1:8" ht="33" customHeight="1" x14ac:dyDescent="0.25">
      <c r="A15" s="46" t="str">
        <f>'Additive Alternate'!A27</f>
        <v>0008</v>
      </c>
      <c r="B15" s="47" t="str">
        <f>'Additive Alternate'!B27</f>
        <v>Temporary Sewage Bypassing
(Section 012200)</v>
      </c>
      <c r="C15" s="34">
        <f>'Additive Alternate'!C27</f>
        <v>1</v>
      </c>
      <c r="D15" s="16" t="str">
        <f>'Additive Alternate'!D27</f>
        <v>LS</v>
      </c>
      <c r="E15" s="22">
        <v>100000</v>
      </c>
      <c r="F15" s="23">
        <f t="shared" si="0"/>
        <v>100000</v>
      </c>
      <c r="G15" s="61">
        <v>90000</v>
      </c>
      <c r="H15" s="23">
        <f t="shared" si="1"/>
        <v>90000</v>
      </c>
    </row>
    <row r="16" spans="1:8" ht="33" customHeight="1" x14ac:dyDescent="0.25">
      <c r="A16" s="46" t="str">
        <f>'Additive Alternate'!A28</f>
        <v>0009</v>
      </c>
      <c r="B16" s="47" t="str">
        <f>'Additive Alternate'!B28</f>
        <v>Removal, Haul, and Disposal of Demolition Debris
(Section 012200)</v>
      </c>
      <c r="C16" s="34">
        <f>'Additive Alternate'!C28</f>
        <v>1</v>
      </c>
      <c r="D16" s="16" t="str">
        <f>'Additive Alternate'!D28</f>
        <v>LS</v>
      </c>
      <c r="E16" s="22">
        <v>13000</v>
      </c>
      <c r="F16" s="23">
        <f t="shared" si="0"/>
        <v>13000</v>
      </c>
      <c r="G16" s="61">
        <v>20000</v>
      </c>
      <c r="H16" s="23">
        <f t="shared" si="1"/>
        <v>20000</v>
      </c>
    </row>
    <row r="17" spans="1:8" ht="33" customHeight="1" x14ac:dyDescent="0.25">
      <c r="A17" s="46" t="str">
        <f>'Additive Alternate'!A29</f>
        <v>0010</v>
      </c>
      <c r="B17" s="47" t="str">
        <f>'Additive Alternate'!B29</f>
        <v>B6 Wet Well (SSLS 950) Mechanical Rehabilitation
(Section 012200)</v>
      </c>
      <c r="C17" s="34">
        <f>'Additive Alternate'!C29</f>
        <v>1</v>
      </c>
      <c r="D17" s="16" t="str">
        <f>'Additive Alternate'!D29</f>
        <v>LS</v>
      </c>
      <c r="E17" s="22">
        <v>95000</v>
      </c>
      <c r="F17" s="23">
        <f t="shared" si="0"/>
        <v>95000</v>
      </c>
      <c r="G17" s="61">
        <v>115000</v>
      </c>
      <c r="H17" s="23">
        <f t="shared" si="1"/>
        <v>115000</v>
      </c>
    </row>
    <row r="18" spans="1:8" ht="33" customHeight="1" x14ac:dyDescent="0.25">
      <c r="A18" s="46" t="str">
        <f>'Additive Alternate'!A30</f>
        <v>0011</v>
      </c>
      <c r="B18" s="47" t="str">
        <f>'Additive Alternate'!B30</f>
        <v>B6 Valve Vault (SSVLT 1202) Mechanical Rehabilitation
(Section 012200)</v>
      </c>
      <c r="C18" s="34">
        <f>'Additive Alternate'!C30</f>
        <v>1</v>
      </c>
      <c r="D18" s="16" t="str">
        <f>'Additive Alternate'!D30</f>
        <v>LS</v>
      </c>
      <c r="E18" s="22">
        <v>95000</v>
      </c>
      <c r="F18" s="23">
        <f t="shared" si="0"/>
        <v>95000</v>
      </c>
      <c r="G18" s="61">
        <v>45000</v>
      </c>
      <c r="H18" s="23">
        <f t="shared" si="1"/>
        <v>45000</v>
      </c>
    </row>
    <row r="19" spans="1:8" ht="33" customHeight="1" x14ac:dyDescent="0.25">
      <c r="A19" s="46" t="str">
        <f>'Additive Alternate'!A31</f>
        <v>0012</v>
      </c>
      <c r="B19" s="47" t="str">
        <f>'Additive Alternate'!B31</f>
        <v>B6 Replacement of Existing Lids and Hatches
(Section 012200)</v>
      </c>
      <c r="C19" s="34">
        <f>'Additive Alternate'!C31</f>
        <v>2</v>
      </c>
      <c r="D19" s="16" t="str">
        <f>'Additive Alternate'!D31</f>
        <v>Each</v>
      </c>
      <c r="E19" s="22">
        <v>32100</v>
      </c>
      <c r="F19" s="23">
        <f t="shared" ref="F19:F32" si="2">QTY*E19</f>
        <v>64200</v>
      </c>
      <c r="G19" s="61">
        <v>33000</v>
      </c>
      <c r="H19" s="23">
        <f t="shared" ref="H19:H32" si="3">QTY*G19</f>
        <v>66000</v>
      </c>
    </row>
    <row r="20" spans="1:8" ht="33" customHeight="1" x14ac:dyDescent="0.25">
      <c r="A20" s="46" t="str">
        <f>'Additive Alternate'!A32</f>
        <v>0013</v>
      </c>
      <c r="B20" s="47" t="str">
        <f>'Additive Alternate'!B32</f>
        <v>B6 Wet Well (SSLS 950) Concrete Repair
(Section 012200)</v>
      </c>
      <c r="C20" s="34">
        <f>'Additive Alternate'!C32</f>
        <v>1</v>
      </c>
      <c r="D20" s="16" t="str">
        <f>'Additive Alternate'!D32</f>
        <v>LS</v>
      </c>
      <c r="E20" s="22">
        <v>17200</v>
      </c>
      <c r="F20" s="23">
        <f t="shared" si="2"/>
        <v>17200</v>
      </c>
      <c r="G20" s="61">
        <v>50000</v>
      </c>
      <c r="H20" s="23">
        <f t="shared" si="3"/>
        <v>50000</v>
      </c>
    </row>
    <row r="21" spans="1:8" ht="33" customHeight="1" x14ac:dyDescent="0.25">
      <c r="A21" s="46" t="str">
        <f>'Additive Alternate'!A33</f>
        <v>0014</v>
      </c>
      <c r="B21" s="47" t="str">
        <f>'Additive Alternate'!B33</f>
        <v>B6 Valve Vault (SSVLT 1202) Concrete Repair 
(Section 012200)</v>
      </c>
      <c r="C21" s="34">
        <f>'Additive Alternate'!C33</f>
        <v>1</v>
      </c>
      <c r="D21" s="16" t="str">
        <f>'Additive Alternate'!D33</f>
        <v>LS</v>
      </c>
      <c r="E21" s="22">
        <v>11000</v>
      </c>
      <c r="F21" s="23">
        <f t="shared" si="2"/>
        <v>11000</v>
      </c>
      <c r="G21" s="61">
        <v>22000</v>
      </c>
      <c r="H21" s="23">
        <f t="shared" si="3"/>
        <v>22000</v>
      </c>
    </row>
    <row r="22" spans="1:8" ht="33" customHeight="1" x14ac:dyDescent="0.25">
      <c r="A22" s="46" t="str">
        <f>'Additive Alternate'!A34</f>
        <v>0015</v>
      </c>
      <c r="B22" s="47" t="str">
        <f>'Additive Alternate'!B34</f>
        <v>B6 Electrical
(Section 012200)</v>
      </c>
      <c r="C22" s="34">
        <f>'Additive Alternate'!C34</f>
        <v>1</v>
      </c>
      <c r="D22" s="16" t="str">
        <f>'Additive Alternate'!D34</f>
        <v>LS</v>
      </c>
      <c r="E22" s="22">
        <v>139600</v>
      </c>
      <c r="F22" s="23">
        <f t="shared" si="2"/>
        <v>139600</v>
      </c>
      <c r="G22" s="61">
        <v>172600</v>
      </c>
      <c r="H22" s="23">
        <f t="shared" si="3"/>
        <v>172600</v>
      </c>
    </row>
    <row r="23" spans="1:8" ht="33" customHeight="1" x14ac:dyDescent="0.25">
      <c r="A23" s="46" t="str">
        <f>'Additive Alternate'!A35</f>
        <v>0016</v>
      </c>
      <c r="B23" s="47" t="str">
        <f>'Additive Alternate'!B35</f>
        <v>B6 Temporary Airfield Lighting Circuit Connection
(Section 012200)</v>
      </c>
      <c r="C23" s="34">
        <f>'Additive Alternate'!C35</f>
        <v>1</v>
      </c>
      <c r="D23" s="16" t="str">
        <f>'Additive Alternate'!D35</f>
        <v>LS</v>
      </c>
      <c r="E23" s="22">
        <v>33500</v>
      </c>
      <c r="F23" s="23">
        <f t="shared" si="2"/>
        <v>33500</v>
      </c>
      <c r="G23" s="61">
        <v>15200</v>
      </c>
      <c r="H23" s="23">
        <f t="shared" si="3"/>
        <v>15200</v>
      </c>
    </row>
    <row r="24" spans="1:8" ht="33" customHeight="1" x14ac:dyDescent="0.25">
      <c r="A24" s="46" t="str">
        <f>'Additive Alternate'!A36</f>
        <v>0017</v>
      </c>
      <c r="B24" s="47" t="str">
        <f>'Additive Alternate'!B36</f>
        <v>Asphalt Pavement Removal - 6 Inch Depth
(Item P-101)</v>
      </c>
      <c r="C24" s="34">
        <f>'Additive Alternate'!C36</f>
        <v>90</v>
      </c>
      <c r="D24" s="16" t="str">
        <f>'Additive Alternate'!D36</f>
        <v>SY</v>
      </c>
      <c r="E24" s="22">
        <v>11</v>
      </c>
      <c r="F24" s="23">
        <f t="shared" si="2"/>
        <v>990</v>
      </c>
      <c r="G24" s="61">
        <v>15</v>
      </c>
      <c r="H24" s="23">
        <f t="shared" si="3"/>
        <v>1350</v>
      </c>
    </row>
    <row r="25" spans="1:8" ht="33" customHeight="1" x14ac:dyDescent="0.25">
      <c r="A25" s="46" t="str">
        <f>'Additive Alternate'!A37</f>
        <v>0018</v>
      </c>
      <c r="B25" s="47" t="str">
        <f>'Additive Alternate'!B37</f>
        <v>Unclassified Excavation
(Item P-152)</v>
      </c>
      <c r="C25" s="34">
        <f>'Additive Alternate'!C37</f>
        <v>20</v>
      </c>
      <c r="D25" s="16" t="str">
        <f>'Additive Alternate'!D37</f>
        <v>CY</v>
      </c>
      <c r="E25" s="22">
        <v>120</v>
      </c>
      <c r="F25" s="23">
        <f t="shared" ref="F25" si="4">QTY*E25</f>
        <v>2400</v>
      </c>
      <c r="G25" s="61">
        <v>250</v>
      </c>
      <c r="H25" s="23">
        <f t="shared" ref="H25" si="5">QTY*G25</f>
        <v>5000</v>
      </c>
    </row>
    <row r="26" spans="1:8" ht="33" customHeight="1" x14ac:dyDescent="0.25">
      <c r="A26" s="46" t="str">
        <f>'Additive Alternate'!A38</f>
        <v>0019</v>
      </c>
      <c r="B26" s="47" t="str">
        <f>'Additive Alternate'!B38</f>
        <v>Subgrade Stabilzation 
(Item P-152)</v>
      </c>
      <c r="C26" s="34">
        <f>'Additive Alternate'!C38</f>
        <v>10</v>
      </c>
      <c r="D26" s="16" t="str">
        <f>'Additive Alternate'!D38</f>
        <v>CY</v>
      </c>
      <c r="E26" s="22">
        <v>140</v>
      </c>
      <c r="F26" s="23">
        <f t="shared" si="2"/>
        <v>1400</v>
      </c>
      <c r="G26" s="61">
        <v>800</v>
      </c>
      <c r="H26" s="23">
        <f t="shared" si="3"/>
        <v>8000</v>
      </c>
    </row>
    <row r="27" spans="1:8" ht="33" customHeight="1" x14ac:dyDescent="0.25">
      <c r="A27" s="46" t="str">
        <f>'Additive Alternate'!A39</f>
        <v>0020</v>
      </c>
      <c r="B27" s="47" t="str">
        <f>'Additive Alternate'!B39</f>
        <v>Crushed Aggregate Base Course
(Item P-209)</v>
      </c>
      <c r="C27" s="34">
        <f>'Additive Alternate'!C39</f>
        <v>15</v>
      </c>
      <c r="D27" s="16" t="str">
        <f>'Additive Alternate'!D39</f>
        <v>CY</v>
      </c>
      <c r="E27" s="22">
        <v>140</v>
      </c>
      <c r="F27" s="23">
        <f t="shared" si="2"/>
        <v>2100</v>
      </c>
      <c r="G27" s="61">
        <v>250</v>
      </c>
      <c r="H27" s="23">
        <f t="shared" si="3"/>
        <v>3750</v>
      </c>
    </row>
    <row r="28" spans="1:8" ht="33" customHeight="1" x14ac:dyDescent="0.25">
      <c r="A28" s="46" t="str">
        <f>'Additive Alternate'!A40</f>
        <v>0021</v>
      </c>
      <c r="B28" s="47" t="str">
        <f>'Additive Alternate'!B40</f>
        <v>Asphalt Mixture Surface Course
(Item P-403)</v>
      </c>
      <c r="C28" s="34">
        <f>'Additive Alternate'!C40</f>
        <v>25</v>
      </c>
      <c r="D28" s="16" t="str">
        <f>'Additive Alternate'!D40</f>
        <v>Ton</v>
      </c>
      <c r="E28" s="22">
        <v>1120</v>
      </c>
      <c r="F28" s="23">
        <f t="shared" si="2"/>
        <v>28000</v>
      </c>
      <c r="G28" s="61">
        <v>200</v>
      </c>
      <c r="H28" s="23">
        <f t="shared" si="3"/>
        <v>5000</v>
      </c>
    </row>
    <row r="29" spans="1:8" ht="33" customHeight="1" x14ac:dyDescent="0.25">
      <c r="A29" s="46" t="str">
        <f>'Additive Alternate'!A41</f>
        <v>0022</v>
      </c>
      <c r="B29" s="47" t="str">
        <f>'Additive Alternate'!B41</f>
        <v>Emulsified Asphalt Tack Coat                                   (Item P-603)</v>
      </c>
      <c r="C29" s="34">
        <f>'Additive Alternate'!C41</f>
        <v>10</v>
      </c>
      <c r="D29" s="16" t="str">
        <f>'Additive Alternate'!D41</f>
        <v>Gal</v>
      </c>
      <c r="E29" s="22">
        <v>4.5</v>
      </c>
      <c r="F29" s="23">
        <f t="shared" si="2"/>
        <v>45</v>
      </c>
      <c r="G29" s="61">
        <v>100</v>
      </c>
      <c r="H29" s="23">
        <f t="shared" si="3"/>
        <v>1000</v>
      </c>
    </row>
    <row r="30" spans="1:8" ht="33" customHeight="1" x14ac:dyDescent="0.25">
      <c r="A30" s="46" t="str">
        <f>'Additive Alternate'!A42</f>
        <v>0023</v>
      </c>
      <c r="B30" s="47" t="str">
        <f>'Additive Alternate'!B42</f>
        <v>Marking
(Item P-620)</v>
      </c>
      <c r="C30" s="34">
        <f>'Additive Alternate'!C42</f>
        <v>3170</v>
      </c>
      <c r="D30" s="16" t="str">
        <f>'Additive Alternate'!D42</f>
        <v>SF</v>
      </c>
      <c r="E30" s="22">
        <v>22.25</v>
      </c>
      <c r="F30" s="23">
        <f t="shared" si="2"/>
        <v>70532.5</v>
      </c>
      <c r="G30" s="61">
        <v>4</v>
      </c>
      <c r="H30" s="23">
        <f t="shared" si="3"/>
        <v>12680</v>
      </c>
    </row>
    <row r="31" spans="1:8" ht="33" customHeight="1" x14ac:dyDescent="0.25">
      <c r="A31" s="46" t="str">
        <f>'Additive Alternate'!A43</f>
        <v>0024</v>
      </c>
      <c r="B31" s="47" t="str">
        <f>'Additive Alternate'!B43</f>
        <v>Reflective Media
(Item P-620)</v>
      </c>
      <c r="C31" s="34">
        <f>'Additive Alternate'!C43</f>
        <v>95</v>
      </c>
      <c r="D31" s="16" t="str">
        <f>'Additive Alternate'!D43</f>
        <v>LB</v>
      </c>
      <c r="E31" s="22">
        <v>22.25</v>
      </c>
      <c r="F31" s="23">
        <f t="shared" si="2"/>
        <v>2113.75</v>
      </c>
      <c r="G31" s="61">
        <v>95</v>
      </c>
      <c r="H31" s="23">
        <f t="shared" si="3"/>
        <v>9025</v>
      </c>
    </row>
    <row r="32" spans="1:8" ht="33" customHeight="1" x14ac:dyDescent="0.25">
      <c r="A32" s="46" t="str">
        <f>'Additive Alternate'!A44</f>
        <v>0025</v>
      </c>
      <c r="B32" s="47" t="str">
        <f>'Additive Alternate'!B44</f>
        <v>Temporary Runway and Taxiway Marking
(Item P-620)</v>
      </c>
      <c r="C32" s="52">
        <f>'Additive Alternate'!C44</f>
        <v>3095</v>
      </c>
      <c r="D32" s="16" t="str">
        <f>'Additive Alternate'!D44</f>
        <v>SF</v>
      </c>
      <c r="E32" s="22">
        <v>11.25</v>
      </c>
      <c r="F32" s="23">
        <f t="shared" si="2"/>
        <v>34818.75</v>
      </c>
      <c r="G32" s="61">
        <v>3.5</v>
      </c>
      <c r="H32" s="23">
        <f t="shared" si="3"/>
        <v>10832.5</v>
      </c>
    </row>
    <row r="33" spans="1:8" ht="27.75" customHeight="1" x14ac:dyDescent="0.25">
      <c r="A33" s="8"/>
      <c r="B33" s="17" t="s">
        <v>77</v>
      </c>
      <c r="C33" s="35"/>
      <c r="D33" s="18"/>
      <c r="E33" s="24"/>
      <c r="F33" s="51">
        <f>SUM($F8:$F32)</f>
        <v>924860</v>
      </c>
      <c r="G33" s="24"/>
      <c r="H33" s="51">
        <f>SUM($H8:$H32)</f>
        <v>868647.5</v>
      </c>
    </row>
  </sheetData>
  <mergeCells count="8">
    <mergeCell ref="A6:D6"/>
    <mergeCell ref="G1:H5"/>
    <mergeCell ref="A2:D2"/>
    <mergeCell ref="A3:D3"/>
    <mergeCell ref="A4:D4"/>
    <mergeCell ref="A5:D5"/>
    <mergeCell ref="A1:D1"/>
    <mergeCell ref="E1:F5"/>
  </mergeCells>
  <printOptions horizontalCentered="1"/>
  <pageMargins left="0.5" right="0.5" top="0.5" bottom="0.5" header="0.5" footer="0.5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6" tint="-0.499984740745262"/>
  </sheetPr>
  <dimension ref="A1:D11"/>
  <sheetViews>
    <sheetView view="pageBreakPreview" zoomScaleNormal="75" zoomScaleSheetLayoutView="100" workbookViewId="0">
      <selection activeCell="B8" sqref="B8"/>
    </sheetView>
  </sheetViews>
  <sheetFormatPr defaultRowHeight="15" x14ac:dyDescent="0.25"/>
  <cols>
    <col min="1" max="1" width="44.5703125" style="9" customWidth="1"/>
    <col min="2" max="3" width="22.7109375" style="43" customWidth="1"/>
    <col min="4" max="4" width="27" style="43" customWidth="1"/>
  </cols>
  <sheetData>
    <row r="1" spans="1:4" ht="30" customHeight="1" x14ac:dyDescent="0.25">
      <c r="A1" s="20" t="str">
        <f>ProjectLocation</f>
        <v>PORTLAND INTERNATIONAL AIRPORT</v>
      </c>
      <c r="B1" s="40"/>
      <c r="C1" s="40"/>
      <c r="D1" s="53"/>
    </row>
    <row r="2" spans="1:4" ht="15" customHeight="1" x14ac:dyDescent="0.25">
      <c r="A2" s="21" t="str">
        <f>ProjectTitle</f>
        <v>SANITARY LIFT STATION REHABILITATION</v>
      </c>
      <c r="B2" s="41"/>
      <c r="C2" s="41"/>
      <c r="D2" s="53"/>
    </row>
    <row r="3" spans="1:4" ht="15" customHeight="1" x14ac:dyDescent="0.25">
      <c r="A3" s="21"/>
      <c r="B3" s="41"/>
      <c r="C3" s="41"/>
      <c r="D3" s="53"/>
    </row>
    <row r="4" spans="1:4" x14ac:dyDescent="0.25">
      <c r="A4" s="10" t="str">
        <f>EAN</f>
        <v>EAN 2023D025</v>
      </c>
      <c r="B4" s="41"/>
      <c r="C4" s="41"/>
      <c r="D4" s="53"/>
    </row>
    <row r="5" spans="1:4" ht="15" customHeight="1" x14ac:dyDescent="0.25">
      <c r="A5" s="11" t="str">
        <f>SolicitationNo</f>
        <v>Solicitation No. 2024-10566</v>
      </c>
      <c r="B5" s="41"/>
      <c r="C5" s="41"/>
      <c r="D5" s="53"/>
    </row>
    <row r="6" spans="1:4" ht="15" customHeight="1" x14ac:dyDescent="0.25">
      <c r="A6" s="12">
        <f ca="1">TODAY()</f>
        <v>45726</v>
      </c>
      <c r="B6" s="42"/>
      <c r="C6" s="42"/>
      <c r="D6" s="53"/>
    </row>
    <row r="7" spans="1:4" ht="33" customHeight="1" x14ac:dyDescent="0.25">
      <c r="A7" s="13" t="s">
        <v>79</v>
      </c>
      <c r="B7" s="56" t="s">
        <v>90</v>
      </c>
      <c r="C7" s="56" t="s">
        <v>91</v>
      </c>
      <c r="D7" s="54"/>
    </row>
    <row r="8" spans="1:4" ht="33" customHeight="1" x14ac:dyDescent="0.25">
      <c r="A8" s="14" t="str">
        <f>Contractor1</f>
        <v>MJ Hughes 
Construction, Inc.</v>
      </c>
      <c r="B8" s="59" t="s">
        <v>94</v>
      </c>
      <c r="C8" s="44" t="s">
        <v>95</v>
      </c>
      <c r="D8" s="55"/>
    </row>
    <row r="9" spans="1:4" ht="33" customHeight="1" x14ac:dyDescent="0.25">
      <c r="A9" s="57" t="str">
        <f>EngineerEstimate</f>
        <v>Engineer's Estimate</v>
      </c>
      <c r="B9" s="58">
        <f>TotalEE</f>
        <v>802978.5</v>
      </c>
      <c r="C9" s="58">
        <f>'Alternate Bid Tabulation'!TotalEE</f>
        <v>868647.5</v>
      </c>
      <c r="D9" s="55"/>
    </row>
    <row r="10" spans="1:4" x14ac:dyDescent="0.25">
      <c r="A10" s="45" t="s">
        <v>93</v>
      </c>
    </row>
    <row r="11" spans="1:4" x14ac:dyDescent="0.25">
      <c r="A11" s="45" t="s">
        <v>80</v>
      </c>
    </row>
  </sheetData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A9B097-7428-44D2-8EAA-6AC09CC0F6A5}"/>
</file>

<file path=customXml/itemProps2.xml><?xml version="1.0" encoding="utf-8"?>
<ds:datastoreItem xmlns:ds="http://schemas.openxmlformats.org/officeDocument/2006/customXml" ds:itemID="{06E0895E-AA2F-4CE6-9E0D-4B595A9062DF}">
  <ds:schemaRefs>
    <ds:schemaRef ds:uri="http://schemas.microsoft.com/office/2006/metadata/properties"/>
    <ds:schemaRef ds:uri="http://schemas.microsoft.com/office/infopath/2007/PartnerControls"/>
    <ds:schemaRef ds:uri="a6d89710-7be4-40f0-a7a3-72f2302478a4"/>
    <ds:schemaRef ds:uri="3f359d2f-c60f-4e9c-86ee-dfa22973905f"/>
  </ds:schemaRefs>
</ds:datastoreItem>
</file>

<file path=customXml/itemProps3.xml><?xml version="1.0" encoding="utf-8"?>
<ds:datastoreItem xmlns:ds="http://schemas.openxmlformats.org/officeDocument/2006/customXml" ds:itemID="{AF403903-308D-47EB-8E65-8BE0FC3EA5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29</vt:i4>
      </vt:variant>
    </vt:vector>
  </HeadingPairs>
  <TitlesOfParts>
    <vt:vector size="34" baseType="lpstr">
      <vt:lpstr>Base Bid</vt:lpstr>
      <vt:lpstr>Additive Alternate</vt:lpstr>
      <vt:lpstr>Base Bid Tabulation</vt:lpstr>
      <vt:lpstr>Alternate Bid Tabulation</vt:lpstr>
      <vt:lpstr>Summary</vt:lpstr>
      <vt:lpstr>'Alternate Bid Tabulation'!Contractor1</vt:lpstr>
      <vt:lpstr>Contractor1</vt:lpstr>
      <vt:lpstr>'Alternate Bid Tabulation'!EAN</vt:lpstr>
      <vt:lpstr>EAN</vt:lpstr>
      <vt:lpstr>'Alternate Bid Tabulation'!EngineerEstimate</vt:lpstr>
      <vt:lpstr>EngineerEstimate</vt:lpstr>
      <vt:lpstr>'Additive Alternate'!Print_Area</vt:lpstr>
      <vt:lpstr>'Alternate Bid Tabulation'!Print_Area</vt:lpstr>
      <vt:lpstr>'Base Bid'!Print_Area</vt:lpstr>
      <vt:lpstr>'Base Bid Tabulation'!Print_Area</vt:lpstr>
      <vt:lpstr>Summary!Print_Area</vt:lpstr>
      <vt:lpstr>'Additive Alternate'!Print_Titles</vt:lpstr>
      <vt:lpstr>'Alternate Bid Tabulation'!Print_Titles</vt:lpstr>
      <vt:lpstr>'Base Bid'!Print_Titles</vt:lpstr>
      <vt:lpstr>'Base Bid Tabulation'!Print_Titles</vt:lpstr>
      <vt:lpstr>'Additive Alternate'!ProjectLocation</vt:lpstr>
      <vt:lpstr>ProjectLocation</vt:lpstr>
      <vt:lpstr>'Additive Alternate'!ProjectTitle</vt:lpstr>
      <vt:lpstr>ProjectTitle</vt:lpstr>
      <vt:lpstr>'Additive Alternate'!ProjectTitle2</vt:lpstr>
      <vt:lpstr>ProjectTitle2</vt:lpstr>
      <vt:lpstr>'Alternate Bid Tabulation'!QTY</vt:lpstr>
      <vt:lpstr>QTY</vt:lpstr>
      <vt:lpstr>'Alternate Bid Tabulation'!SolicitationNo</vt:lpstr>
      <vt:lpstr>SolicitationNo</vt:lpstr>
      <vt:lpstr>'Alternate Bid Tabulation'!Total1</vt:lpstr>
      <vt:lpstr>Total1</vt:lpstr>
      <vt:lpstr>'Alternate Bid Tabulation'!TotalEE</vt:lpstr>
      <vt:lpstr>TotalEE</vt:lpstr>
    </vt:vector>
  </TitlesOfParts>
  <Manager/>
  <Company>Port of Portland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Etta Goerl</dc:creator>
  <cp:keywords/>
  <dc:description/>
  <cp:lastModifiedBy>Doherty, Colin</cp:lastModifiedBy>
  <cp:revision/>
  <cp:lastPrinted>2025-03-10T19:14:14Z</cp:lastPrinted>
  <dcterms:created xsi:type="dcterms:W3CDTF">2014-05-02T22:08:37Z</dcterms:created>
  <dcterms:modified xsi:type="dcterms:W3CDTF">2025-03-10T19:16:18Z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  <property fmtid="{D5CDD505-2E9C-101B-9397-08002B2CF9AE}" pid="3" name="MediaServiceImageTags">
    <vt:lpwstr/>
  </property>
</Properties>
</file>