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-streye\Downloads\"/>
    </mc:Choice>
  </mc:AlternateContent>
  <xr:revisionPtr revIDLastSave="0" documentId="13_ncr:1_{6849DCB1-A534-4E43-B8B6-43A0B0229DCD}" xr6:coauthVersionLast="47" xr6:coauthVersionMax="47" xr10:uidLastSave="{00000000-0000-0000-0000-000000000000}"/>
  <bookViews>
    <workbookView xWindow="-98" yWindow="-98" windowWidth="20715" windowHeight="13425" tabRatio="716" xr2:uid="{00000000-000D-0000-FFFF-FFFF00000000}"/>
  </bookViews>
  <sheets>
    <sheet name="Bid Tab Schedule 1" sheetId="2" r:id="rId1"/>
    <sheet name="Bid Tab Schedule 2" sheetId="7" r:id="rId2"/>
    <sheet name="Summary" sheetId="5" r:id="rId3"/>
  </sheets>
  <definedNames>
    <definedName name="AQTY">'Bid Tab Schedule 1'!$C:$C</definedName>
    <definedName name="ATotal1">'Bid Tab Schedule 1'!$F$26</definedName>
    <definedName name="ATotal2">'Bid Tab Schedule 1'!$H$26</definedName>
    <definedName name="ATotal3">'Bid Tab Schedule 1'!#REF!</definedName>
    <definedName name="ATotal4">'Bid Tab Schedule 1'!#REF!</definedName>
    <definedName name="ATotal5">'Bid Tab Schedule 1'!#REF!</definedName>
    <definedName name="ATotal6">'Bid Tab Schedule 1'!#REF!</definedName>
    <definedName name="ATotal7">'Bid Tab Schedule 1'!#REF!</definedName>
    <definedName name="ATotal8">'Bid Tab Schedule 1'!#REF!</definedName>
    <definedName name="ATotalEE">'Bid Tab Schedule 1'!$J$26</definedName>
    <definedName name="BQTY">'Bid Tab Schedule 2'!$C:$C</definedName>
    <definedName name="BTotal1" localSheetId="1">'Bid Tab Schedule 2'!$F$9</definedName>
    <definedName name="BTotal2" localSheetId="1">'Bid Tab Schedule 2'!$H$9</definedName>
    <definedName name="BTotal3" localSheetId="1">'Bid Tab Schedule 2'!#REF!</definedName>
    <definedName name="BTotal4" localSheetId="1">'Bid Tab Schedule 2'!#REF!</definedName>
    <definedName name="BTotal5" localSheetId="1">'Bid Tab Schedule 2'!#REF!</definedName>
    <definedName name="BTotal6" localSheetId="1">'Bid Tab Schedule 2'!#REF!</definedName>
    <definedName name="BTotal7" localSheetId="1">'Bid Tab Schedule 2'!#REF!</definedName>
    <definedName name="BTotal8" localSheetId="1">'Bid Tab Schedule 2'!#REF!</definedName>
    <definedName name="BTotalEE" localSheetId="1">'Bid Tab Schedule 2'!$J$9</definedName>
    <definedName name="Contractor1">'Bid Tab Schedule 1'!$E$1</definedName>
    <definedName name="Contractor2">'Bid Tab Schedule 1'!$G$1</definedName>
    <definedName name="Contractor3">'Bid Tab Schedule 1'!#REF!</definedName>
    <definedName name="Contractor4">'Bid Tab Schedule 1'!#REF!</definedName>
    <definedName name="Contractor5">'Bid Tab Schedule 1'!#REF!</definedName>
    <definedName name="Contractor6">'Bid Tab Schedule 1'!#REF!</definedName>
    <definedName name="Contractor7">'Bid Tab Schedule 1'!#REF!</definedName>
    <definedName name="Contractor8">'Bid Tab Schedule 1'!#REF!</definedName>
    <definedName name="EAN">'Bid Tab Schedule 1'!$A$4</definedName>
    <definedName name="EngineerEstimate">'Bid Tab Schedule 1'!$I$1</definedName>
    <definedName name="_xlnm.Print_Area" localSheetId="2">Summary!$A$1:$B$11</definedName>
    <definedName name="_xlnm.Print_Titles" localSheetId="0">'Bid Tab Schedule 1'!$A:$D,'Bid Tab Schedule 1'!$1:$7</definedName>
    <definedName name="_xlnm.Print_Titles" localSheetId="1">'Bid Tab Schedule 2'!$A:$D,'Bid Tab Schedule 2'!$1:$7</definedName>
    <definedName name="ProjectLocation">#REF!</definedName>
    <definedName name="ProjectTitle">#REF!</definedName>
    <definedName name="ProjectTitle2">#REF!</definedName>
    <definedName name="SolicitationNo">'Bid Tab Schedule 1'!$A$5</definedName>
    <definedName name="Total1">'Bid Tab Schedule 2'!$F$10</definedName>
    <definedName name="Total2">'Bid Tab Schedule 2'!$H$10</definedName>
    <definedName name="Total3">'Bid Tab Schedule 2'!#REF!</definedName>
    <definedName name="Total4">'Bid Tab Schedule 2'!#REF!</definedName>
    <definedName name="Total5">'Bid Tab Schedule 2'!#REF!</definedName>
    <definedName name="Total6">'Bid Tab Schedule 2'!#REF!</definedName>
    <definedName name="Total7">'Bid Tab Schedule 2'!#REF!</definedName>
    <definedName name="Total8">'Bid Tab Schedule 2'!#REF!</definedName>
    <definedName name="TotalEE">'Bid Tab Schedule 2'!$J$10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7" l="1"/>
  <c r="F8" i="7"/>
  <c r="J18" i="2"/>
  <c r="J19" i="2"/>
  <c r="J20" i="2"/>
  <c r="J21" i="2"/>
  <c r="J22" i="2"/>
  <c r="J23" i="2"/>
  <c r="J24" i="2"/>
  <c r="J25" i="2"/>
  <c r="H18" i="2"/>
  <c r="H19" i="2"/>
  <c r="H20" i="2"/>
  <c r="H21" i="2"/>
  <c r="H22" i="2"/>
  <c r="H23" i="2"/>
  <c r="H24" i="2"/>
  <c r="H25" i="2"/>
  <c r="F18" i="2"/>
  <c r="F19" i="2"/>
  <c r="F20" i="2"/>
  <c r="F21" i="2"/>
  <c r="F22" i="2"/>
  <c r="F23" i="2"/>
  <c r="F24" i="2"/>
  <c r="F25" i="2"/>
  <c r="F10" i="2" l="1"/>
  <c r="H11" i="2"/>
  <c r="F12" i="2"/>
  <c r="H13" i="2"/>
  <c r="H15" i="2"/>
  <c r="H16" i="2"/>
  <c r="F14" i="2" l="1"/>
  <c r="J15" i="2"/>
  <c r="J14" i="2"/>
  <c r="H10" i="2"/>
  <c r="F15" i="2"/>
  <c r="J10" i="2"/>
  <c r="H14" i="2"/>
  <c r="J11" i="2"/>
  <c r="F11" i="2"/>
  <c r="H17" i="2"/>
  <c r="J17" i="2"/>
  <c r="F17" i="2"/>
  <c r="J13" i="2"/>
  <c r="F13" i="2"/>
  <c r="H12" i="2"/>
  <c r="J9" i="2"/>
  <c r="F9" i="2"/>
  <c r="J16" i="2"/>
  <c r="F16" i="2"/>
  <c r="J12" i="2"/>
  <c r="H9" i="2"/>
  <c r="I1" i="7" l="1"/>
  <c r="G1" i="7"/>
  <c r="E1" i="7"/>
  <c r="F9" i="7" l="1"/>
  <c r="H8" i="7"/>
  <c r="J8" i="2"/>
  <c r="F8" i="2"/>
  <c r="H8" i="2"/>
  <c r="A5" i="5"/>
  <c r="A4" i="5"/>
  <c r="H9" i="7" l="1"/>
  <c r="J9" i="7"/>
  <c r="A10" i="5"/>
  <c r="A9" i="5"/>
  <c r="A8" i="5"/>
  <c r="F26" i="2" l="1"/>
  <c r="F10" i="7" s="1"/>
  <c r="J26" i="2"/>
  <c r="J10" i="7" s="1"/>
  <c r="H26" i="2"/>
  <c r="H10" i="7" s="1"/>
</calcChain>
</file>

<file path=xl/sharedStrings.xml><?xml version="1.0" encoding="utf-8"?>
<sst xmlns="http://schemas.openxmlformats.org/spreadsheetml/2006/main" count="103" uniqueCount="66">
  <si>
    <t>Acre</t>
  </si>
  <si>
    <t>LS</t>
  </si>
  <si>
    <t>Item No.</t>
  </si>
  <si>
    <t>Item Description</t>
  </si>
  <si>
    <t>Estimated Quantity</t>
  </si>
  <si>
    <t xml:space="preserve">Units </t>
  </si>
  <si>
    <t>Unit Price</t>
  </si>
  <si>
    <t>Total Price</t>
  </si>
  <si>
    <t>Total Amount Bid (Basis of Award)</t>
  </si>
  <si>
    <t>Bidder</t>
  </si>
  <si>
    <t>Engineer's Estimate</t>
  </si>
  <si>
    <t>^Corrected Bid Total</t>
  </si>
  <si>
    <t>PORTLAND INTERNATIONAL AIRPORT</t>
  </si>
  <si>
    <t>SEA SCOUTS SITE</t>
  </si>
  <si>
    <t>BUILDINGS AND UTILITIES DEMOLITION</t>
  </si>
  <si>
    <t>EAN 2021D007</t>
  </si>
  <si>
    <t>Solicitation No. 2022-9477</t>
  </si>
  <si>
    <t>Mobilization, Surveying, Cleanup, and Demobilization</t>
  </si>
  <si>
    <t>Sweeper</t>
  </si>
  <si>
    <t>Work Zone Traffic Control</t>
  </si>
  <si>
    <t>Temporary Erosion, Sediment, and Pollution Control</t>
  </si>
  <si>
    <t>Building Removal and Backfill</t>
  </si>
  <si>
    <t>Concrete Winch House Removal and Backfill</t>
  </si>
  <si>
    <t>Pavement Removal</t>
  </si>
  <si>
    <t>Aggregate Removal and Disposal</t>
  </si>
  <si>
    <t>Septic Tank and Drain Field Removal</t>
  </si>
  <si>
    <t>Utility Removal, Relocation, and Backfill</t>
  </si>
  <si>
    <t>Common Excavation</t>
  </si>
  <si>
    <t>1-001</t>
  </si>
  <si>
    <t>1-002</t>
  </si>
  <si>
    <t>1-003</t>
  </si>
  <si>
    <t>1-004</t>
  </si>
  <si>
    <t>1-005</t>
  </si>
  <si>
    <t>1-006</t>
  </si>
  <si>
    <t>1-007</t>
  </si>
  <si>
    <t>1-008</t>
  </si>
  <si>
    <t>1-009</t>
  </si>
  <si>
    <t>1-010</t>
  </si>
  <si>
    <t>1-011</t>
  </si>
  <si>
    <t>1-012</t>
  </si>
  <si>
    <t>1-013</t>
  </si>
  <si>
    <t>1-014</t>
  </si>
  <si>
    <t>1-015</t>
  </si>
  <si>
    <t>1-016</t>
  </si>
  <si>
    <t>1-017</t>
  </si>
  <si>
    <t>1-018</t>
  </si>
  <si>
    <t>Miscellaneous Removals and Backfill</t>
  </si>
  <si>
    <t>Area Seeding</t>
  </si>
  <si>
    <t>Fill Material, Top Soil</t>
  </si>
  <si>
    <t>Loose Riprap, Class 50</t>
  </si>
  <si>
    <t>Lead Paint Chip Removal</t>
  </si>
  <si>
    <t>Water Well Decommission</t>
  </si>
  <si>
    <t>Concrete Removal and Backfill</t>
  </si>
  <si>
    <t>S.Y.</t>
  </si>
  <si>
    <t>C.Y.</t>
  </si>
  <si>
    <t>Total Amount Bid Schedule 1</t>
  </si>
  <si>
    <t>2-001</t>
  </si>
  <si>
    <t>Total Amount Bid Schedule 2</t>
  </si>
  <si>
    <t>One-Year Landscape Maintenance</t>
  </si>
  <si>
    <t>L.S.</t>
  </si>
  <si>
    <t>Fortis Construction Inc.</t>
  </si>
  <si>
    <t>Inline Commercial Construction Inc.</t>
  </si>
  <si>
    <t>$464,806.20*</t>
  </si>
  <si>
    <t>$907,390.19*</t>
  </si>
  <si>
    <t>$474,648.15*</t>
  </si>
  <si>
    <t>*Corrected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</si>
</sst>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/>
    <xf numFmtId="0" fontId="2" fillId="0" borderId="1" xfId="0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center" vertical="top"/>
    </xf>
    <xf numFmtId="0" fontId="2" fillId="0" borderId="1" xfId="0" applyFont="1" applyBorder="1"/>
    <xf numFmtId="0" fontId="0" fillId="0" borderId="0" xfId="0" applyAlignment="1">
      <alignment horizontal="left" vertical="center"/>
    </xf>
    <xf numFmtId="0" fontId="5" fillId="0" borderId="10" xfId="0" applyFont="1" applyBorder="1" applyAlignment="1">
      <alignment horizontal="left"/>
    </xf>
    <xf numFmtId="0" fontId="5" fillId="0" borderId="10" xfId="0" applyFont="1" applyBorder="1" applyAlignment="1">
      <alignment horizontal="left" vertical="center"/>
    </xf>
    <xf numFmtId="14" fontId="5" fillId="0" borderId="10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 wrapText="1"/>
    </xf>
    <xf numFmtId="165" fontId="5" fillId="0" borderId="1" xfId="0" applyNumberFormat="1" applyFont="1" applyBorder="1" applyAlignment="1">
      <alignment horizontal="left" vertical="top"/>
    </xf>
    <xf numFmtId="165" fontId="5" fillId="0" borderId="1" xfId="0" applyNumberFormat="1" applyFont="1" applyBorder="1" applyAlignment="1">
      <alignment horizontal="center" vertical="top"/>
    </xf>
    <xf numFmtId="165" fontId="2" fillId="0" borderId="1" xfId="0" applyNumberFormat="1" applyFont="1" applyBorder="1"/>
    <xf numFmtId="165" fontId="0" fillId="0" borderId="0" xfId="0" applyNumberFormat="1"/>
    <xf numFmtId="166" fontId="5" fillId="0" borderId="1" xfId="0" applyNumberFormat="1" applyFont="1" applyBorder="1" applyAlignment="1">
      <alignment horizontal="center" vertical="top"/>
    </xf>
    <xf numFmtId="166" fontId="5" fillId="0" borderId="1" xfId="1" applyNumberFormat="1" applyFont="1" applyBorder="1" applyAlignment="1">
      <alignment horizontal="center" vertical="top"/>
    </xf>
    <xf numFmtId="166" fontId="2" fillId="0" borderId="1" xfId="0" applyNumberFormat="1" applyFont="1" applyBorder="1"/>
    <xf numFmtId="166" fontId="0" fillId="0" borderId="0" xfId="0" applyNumberFormat="1"/>
    <xf numFmtId="164" fontId="2" fillId="0" borderId="1" xfId="0" applyNumberFormat="1" applyFont="1" applyBorder="1" applyAlignment="1">
      <alignment horizontal="center" wrapText="1"/>
    </xf>
    <xf numFmtId="164" fontId="5" fillId="0" borderId="1" xfId="0" applyNumberFormat="1" applyFont="1" applyBorder="1" applyAlignment="1">
      <alignment horizontal="center" vertical="top"/>
    </xf>
    <xf numFmtId="164" fontId="2" fillId="0" borderId="1" xfId="0" applyNumberFormat="1" applyFont="1" applyBorder="1"/>
    <xf numFmtId="164" fontId="0" fillId="0" borderId="0" xfId="0" applyNumberFormat="1"/>
    <xf numFmtId="166" fontId="0" fillId="0" borderId="7" xfId="0" applyNumberFormat="1" applyBorder="1"/>
    <xf numFmtId="166" fontId="0" fillId="0" borderId="8" xfId="0" applyNumberFormat="1" applyBorder="1"/>
    <xf numFmtId="166" fontId="2" fillId="0" borderId="1" xfId="0" applyNumberFormat="1" applyFont="1" applyBorder="1" applyAlignment="1">
      <alignment horizontal="center" wrapText="1"/>
    </xf>
    <xf numFmtId="44" fontId="4" fillId="0" borderId="1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1" xfId="0" applyNumberFormat="1" applyFont="1" applyBorder="1" applyAlignment="1">
      <alignment horizontal="center" vertical="top"/>
    </xf>
    <xf numFmtId="0" fontId="2" fillId="0" borderId="1" xfId="0" applyNumberFormat="1" applyFont="1" applyBorder="1"/>
    <xf numFmtId="165" fontId="2" fillId="0" borderId="1" xfId="0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center" vertical="top"/>
    </xf>
    <xf numFmtId="166" fontId="4" fillId="0" borderId="3" xfId="0" applyNumberFormat="1" applyFont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166" fontId="4" fillId="0" borderId="5" xfId="0" applyNumberFormat="1" applyFont="1" applyBorder="1" applyAlignment="1">
      <alignment horizontal="center"/>
    </xf>
    <xf numFmtId="166" fontId="4" fillId="0" borderId="6" xfId="0" applyNumberFormat="1" applyFont="1" applyBorder="1" applyAlignment="1">
      <alignment horizontal="center"/>
    </xf>
    <xf numFmtId="14" fontId="5" fillId="0" borderId="7" xfId="0" applyNumberFormat="1" applyFont="1" applyBorder="1" applyAlignment="1">
      <alignment horizontal="left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8" xfId="0" applyNumberFormat="1" applyFont="1" applyBorder="1" applyAlignment="1">
      <alignment horizontal="left" vertical="center"/>
    </xf>
    <xf numFmtId="165" fontId="4" fillId="0" borderId="3" xfId="0" applyNumberFormat="1" applyFont="1" applyBorder="1" applyAlignment="1">
      <alignment horizontal="left"/>
    </xf>
    <xf numFmtId="165" fontId="4" fillId="0" borderId="9" xfId="0" applyNumberFormat="1" applyFont="1" applyBorder="1" applyAlignment="1">
      <alignment horizontal="left"/>
    </xf>
    <xf numFmtId="165" fontId="4" fillId="0" borderId="4" xfId="0" applyNumberFormat="1" applyFont="1" applyBorder="1" applyAlignment="1">
      <alignment horizontal="left"/>
    </xf>
    <xf numFmtId="165" fontId="4" fillId="0" borderId="5" xfId="0" applyNumberFormat="1" applyFont="1" applyBorder="1" applyAlignment="1">
      <alignment horizontal="left" vertical="center"/>
    </xf>
    <xf numFmtId="165" fontId="4" fillId="0" borderId="0" xfId="0" applyNumberFormat="1" applyFont="1" applyBorder="1" applyAlignment="1">
      <alignment horizontal="left" vertical="center"/>
    </xf>
    <xf numFmtId="165" fontId="4" fillId="0" borderId="6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166" fontId="4" fillId="0" borderId="3" xfId="0" applyNumberFormat="1" applyFont="1" applyBorder="1" applyAlignment="1">
      <alignment horizontal="center" wrapText="1"/>
    </xf>
    <xf numFmtId="166" fontId="4" fillId="0" borderId="4" xfId="0" applyNumberFormat="1" applyFont="1" applyBorder="1" applyAlignment="1">
      <alignment horizontal="center" wrapText="1"/>
    </xf>
    <xf numFmtId="166" fontId="4" fillId="0" borderId="5" xfId="0" applyNumberFormat="1" applyFont="1" applyBorder="1" applyAlignment="1">
      <alignment horizontal="center" wrapText="1"/>
    </xf>
    <xf numFmtId="166" fontId="4" fillId="0" borderId="6" xfId="0" applyNumberFormat="1" applyFont="1" applyBorder="1" applyAlignment="1">
      <alignment horizontal="center" wrapText="1"/>
    </xf>
    <xf numFmtId="8" fontId="0" fillId="0" borderId="10" xfId="0" applyNumberFormat="1" applyBorder="1" applyAlignment="1">
      <alignment horizontal="center" vertical="center"/>
    </xf>
    <xf numFmtId="8" fontId="0" fillId="0" borderId="11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theme="7" tint="-0.499984740745262"/>
  </sheetPr>
  <dimension ref="A1:J26"/>
  <sheetViews>
    <sheetView tabSelected="1" zoomScale="90" zoomScaleNormal="90" zoomScaleSheetLayoutView="100" workbookViewId="0">
      <selection activeCell="E8" sqref="E8"/>
    </sheetView>
  </sheetViews>
  <sheetFormatPr defaultRowHeight="14.25" x14ac:dyDescent="0.45"/>
  <cols>
    <col min="1" max="1" width="6.73046875" customWidth="1"/>
    <col min="2" max="2" width="28.86328125" style="15" customWidth="1"/>
    <col min="3" max="3" width="11.265625" style="23" customWidth="1"/>
    <col min="4" max="4" width="6.73046875" style="15" customWidth="1"/>
    <col min="5" max="5" width="11" style="19" customWidth="1"/>
    <col min="6" max="6" width="13.3984375" style="19" customWidth="1"/>
    <col min="7" max="7" width="11" style="19" customWidth="1"/>
    <col min="8" max="8" width="13.3984375" style="19" customWidth="1"/>
    <col min="9" max="9" width="11" customWidth="1"/>
    <col min="10" max="10" width="13.3984375" customWidth="1"/>
  </cols>
  <sheetData>
    <row r="1" spans="1:10" s="1" customFormat="1" ht="30" customHeight="1" x14ac:dyDescent="0.45">
      <c r="A1" s="42" t="s">
        <v>12</v>
      </c>
      <c r="B1" s="43"/>
      <c r="C1" s="43"/>
      <c r="D1" s="44"/>
      <c r="E1" s="35" t="s">
        <v>60</v>
      </c>
      <c r="F1" s="36"/>
      <c r="G1" s="51" t="s">
        <v>61</v>
      </c>
      <c r="H1" s="52"/>
      <c r="I1" s="35" t="s">
        <v>10</v>
      </c>
      <c r="J1" s="36"/>
    </row>
    <row r="2" spans="1:10" x14ac:dyDescent="0.45">
      <c r="A2" s="45" t="s">
        <v>13</v>
      </c>
      <c r="B2" s="46"/>
      <c r="C2" s="46"/>
      <c r="D2" s="47"/>
      <c r="E2" s="37"/>
      <c r="F2" s="38"/>
      <c r="G2" s="53"/>
      <c r="H2" s="54"/>
      <c r="I2" s="37"/>
      <c r="J2" s="38"/>
    </row>
    <row r="3" spans="1:10" x14ac:dyDescent="0.45">
      <c r="A3" s="45" t="s">
        <v>14</v>
      </c>
      <c r="B3" s="46"/>
      <c r="C3" s="46"/>
      <c r="D3" s="47"/>
      <c r="E3" s="37"/>
      <c r="F3" s="38"/>
      <c r="G3" s="53"/>
      <c r="H3" s="54"/>
      <c r="I3" s="37"/>
      <c r="J3" s="38"/>
    </row>
    <row r="4" spans="1:10" x14ac:dyDescent="0.45">
      <c r="A4" s="48" t="s">
        <v>15</v>
      </c>
      <c r="B4" s="49"/>
      <c r="C4" s="49"/>
      <c r="D4" s="50"/>
      <c r="E4" s="37"/>
      <c r="F4" s="38"/>
      <c r="G4" s="53"/>
      <c r="H4" s="54"/>
      <c r="I4" s="37"/>
      <c r="J4" s="38"/>
    </row>
    <row r="5" spans="1:10" x14ac:dyDescent="0.45">
      <c r="A5" s="48" t="s">
        <v>16</v>
      </c>
      <c r="B5" s="49"/>
      <c r="C5" s="49"/>
      <c r="D5" s="50"/>
      <c r="E5" s="37"/>
      <c r="F5" s="38"/>
      <c r="G5" s="53"/>
      <c r="H5" s="54"/>
      <c r="I5" s="37"/>
      <c r="J5" s="38"/>
    </row>
    <row r="6" spans="1:10" x14ac:dyDescent="0.45">
      <c r="A6" s="39">
        <v>44956</v>
      </c>
      <c r="B6" s="40"/>
      <c r="C6" s="40"/>
      <c r="D6" s="41"/>
      <c r="E6" s="24"/>
      <c r="F6" s="25"/>
      <c r="G6" s="24"/>
      <c r="H6" s="25"/>
      <c r="I6" s="24"/>
      <c r="J6" s="25"/>
    </row>
    <row r="7" spans="1:10" ht="32.25" customHeight="1" x14ac:dyDescent="0.45">
      <c r="A7" s="2" t="s">
        <v>2</v>
      </c>
      <c r="B7" s="11" t="s">
        <v>3</v>
      </c>
      <c r="C7" s="20" t="s">
        <v>4</v>
      </c>
      <c r="D7" s="11" t="s">
        <v>5</v>
      </c>
      <c r="E7" s="26" t="s">
        <v>6</v>
      </c>
      <c r="F7" s="26" t="s">
        <v>7</v>
      </c>
      <c r="G7" s="26" t="s">
        <v>6</v>
      </c>
      <c r="H7" s="26" t="s">
        <v>7</v>
      </c>
      <c r="I7" s="26" t="s">
        <v>6</v>
      </c>
      <c r="J7" s="26" t="s">
        <v>7</v>
      </c>
    </row>
    <row r="8" spans="1:10" ht="33" customHeight="1" x14ac:dyDescent="0.45">
      <c r="A8" s="31" t="s">
        <v>28</v>
      </c>
      <c r="B8" s="12" t="s">
        <v>17</v>
      </c>
      <c r="C8" s="21">
        <v>1</v>
      </c>
      <c r="D8" s="13" t="s">
        <v>1</v>
      </c>
      <c r="E8" s="16">
        <v>42680</v>
      </c>
      <c r="F8" s="17">
        <f t="shared" ref="F8:F25" si="0">AQTY*E8</f>
        <v>42680</v>
      </c>
      <c r="G8" s="16">
        <v>216460</v>
      </c>
      <c r="H8" s="17">
        <f t="shared" ref="H8:H25" si="1">AQTY*G8</f>
        <v>216460</v>
      </c>
      <c r="I8" s="16">
        <v>20000</v>
      </c>
      <c r="J8" s="17">
        <f t="shared" ref="J8:J25" si="2">AQTY*I8</f>
        <v>20000</v>
      </c>
    </row>
    <row r="9" spans="1:10" ht="33" customHeight="1" x14ac:dyDescent="0.45">
      <c r="A9" s="31" t="s">
        <v>29</v>
      </c>
      <c r="B9" s="12" t="s">
        <v>18</v>
      </c>
      <c r="C9" s="21">
        <v>1</v>
      </c>
      <c r="D9" s="13" t="s">
        <v>1</v>
      </c>
      <c r="E9" s="16">
        <v>5194</v>
      </c>
      <c r="F9" s="17">
        <f t="shared" si="0"/>
        <v>5194</v>
      </c>
      <c r="G9" s="16">
        <v>17760</v>
      </c>
      <c r="H9" s="17">
        <f t="shared" si="1"/>
        <v>17760</v>
      </c>
      <c r="I9" s="16">
        <v>5000</v>
      </c>
      <c r="J9" s="17">
        <f t="shared" si="2"/>
        <v>5000</v>
      </c>
    </row>
    <row r="10" spans="1:10" ht="33" customHeight="1" x14ac:dyDescent="0.45">
      <c r="A10" s="31" t="s">
        <v>30</v>
      </c>
      <c r="B10" s="12" t="s">
        <v>19</v>
      </c>
      <c r="C10" s="21">
        <v>1</v>
      </c>
      <c r="D10" s="13" t="s">
        <v>1</v>
      </c>
      <c r="E10" s="16">
        <v>5347</v>
      </c>
      <c r="F10" s="17">
        <f t="shared" si="0"/>
        <v>5347</v>
      </c>
      <c r="G10" s="16">
        <v>21493</v>
      </c>
      <c r="H10" s="17">
        <f t="shared" si="1"/>
        <v>21493</v>
      </c>
      <c r="I10" s="16">
        <v>15000</v>
      </c>
      <c r="J10" s="17">
        <f t="shared" si="2"/>
        <v>15000</v>
      </c>
    </row>
    <row r="11" spans="1:10" ht="33" customHeight="1" x14ac:dyDescent="0.45">
      <c r="A11" s="31" t="s">
        <v>31</v>
      </c>
      <c r="B11" s="12" t="s">
        <v>20</v>
      </c>
      <c r="C11" s="21">
        <v>1</v>
      </c>
      <c r="D11" s="13" t="s">
        <v>1</v>
      </c>
      <c r="E11" s="16">
        <v>16824</v>
      </c>
      <c r="F11" s="17">
        <f t="shared" si="0"/>
        <v>16824</v>
      </c>
      <c r="G11" s="16">
        <v>14400</v>
      </c>
      <c r="H11" s="17">
        <f t="shared" si="1"/>
        <v>14400</v>
      </c>
      <c r="I11" s="16">
        <v>12000</v>
      </c>
      <c r="J11" s="17">
        <f t="shared" si="2"/>
        <v>12000</v>
      </c>
    </row>
    <row r="12" spans="1:10" ht="33" customHeight="1" x14ac:dyDescent="0.45">
      <c r="A12" s="31" t="s">
        <v>32</v>
      </c>
      <c r="B12" s="12" t="s">
        <v>21</v>
      </c>
      <c r="C12" s="21">
        <v>1</v>
      </c>
      <c r="D12" s="13" t="s">
        <v>1</v>
      </c>
      <c r="E12" s="16">
        <v>58816</v>
      </c>
      <c r="F12" s="17">
        <f t="shared" si="0"/>
        <v>58816</v>
      </c>
      <c r="G12" s="16">
        <v>50323</v>
      </c>
      <c r="H12" s="17">
        <f t="shared" si="1"/>
        <v>50323</v>
      </c>
      <c r="I12" s="16">
        <v>22000</v>
      </c>
      <c r="J12" s="17">
        <f t="shared" si="2"/>
        <v>22000</v>
      </c>
    </row>
    <row r="13" spans="1:10" ht="33" customHeight="1" x14ac:dyDescent="0.45">
      <c r="A13" s="31" t="s">
        <v>33</v>
      </c>
      <c r="B13" s="12" t="s">
        <v>22</v>
      </c>
      <c r="C13" s="21">
        <v>1</v>
      </c>
      <c r="D13" s="13" t="s">
        <v>1</v>
      </c>
      <c r="E13" s="16">
        <v>66087</v>
      </c>
      <c r="F13" s="17">
        <f t="shared" si="0"/>
        <v>66087</v>
      </c>
      <c r="G13" s="16">
        <v>14821</v>
      </c>
      <c r="H13" s="17">
        <f t="shared" si="1"/>
        <v>14821</v>
      </c>
      <c r="I13" s="16">
        <v>5000</v>
      </c>
      <c r="J13" s="17">
        <f t="shared" si="2"/>
        <v>5000</v>
      </c>
    </row>
    <row r="14" spans="1:10" ht="33" customHeight="1" x14ac:dyDescent="0.45">
      <c r="A14" s="31" t="s">
        <v>34</v>
      </c>
      <c r="B14" s="12" t="s">
        <v>51</v>
      </c>
      <c r="C14" s="21">
        <v>1</v>
      </c>
      <c r="D14" s="13" t="s">
        <v>1</v>
      </c>
      <c r="E14" s="16">
        <v>16488</v>
      </c>
      <c r="F14" s="17">
        <f t="shared" si="0"/>
        <v>16488</v>
      </c>
      <c r="G14" s="16">
        <v>34380</v>
      </c>
      <c r="H14" s="17">
        <f t="shared" si="1"/>
        <v>34380</v>
      </c>
      <c r="I14" s="16">
        <v>5000</v>
      </c>
      <c r="J14" s="17">
        <f t="shared" si="2"/>
        <v>5000</v>
      </c>
    </row>
    <row r="15" spans="1:10" ht="33" customHeight="1" x14ac:dyDescent="0.45">
      <c r="A15" s="31" t="s">
        <v>35</v>
      </c>
      <c r="B15" s="12" t="s">
        <v>52</v>
      </c>
      <c r="C15" s="21">
        <v>1</v>
      </c>
      <c r="D15" s="13" t="s">
        <v>1</v>
      </c>
      <c r="E15" s="16">
        <v>35316</v>
      </c>
      <c r="F15" s="17">
        <f t="shared" si="0"/>
        <v>35316</v>
      </c>
      <c r="G15" s="16">
        <v>8754</v>
      </c>
      <c r="H15" s="17">
        <f t="shared" si="1"/>
        <v>8754</v>
      </c>
      <c r="I15" s="16">
        <v>5000</v>
      </c>
      <c r="J15" s="17">
        <f t="shared" si="2"/>
        <v>5000</v>
      </c>
    </row>
    <row r="16" spans="1:10" ht="33" customHeight="1" x14ac:dyDescent="0.45">
      <c r="A16" s="31" t="s">
        <v>36</v>
      </c>
      <c r="B16" s="12" t="s">
        <v>23</v>
      </c>
      <c r="C16" s="21">
        <v>207</v>
      </c>
      <c r="D16" s="13" t="s">
        <v>53</v>
      </c>
      <c r="E16" s="16">
        <v>35</v>
      </c>
      <c r="F16" s="17">
        <f t="shared" si="0"/>
        <v>7245</v>
      </c>
      <c r="G16" s="16">
        <v>68.400000000000006</v>
      </c>
      <c r="H16" s="17">
        <f t="shared" si="1"/>
        <v>14158.800000000001</v>
      </c>
      <c r="I16" s="16">
        <v>6.75</v>
      </c>
      <c r="J16" s="17">
        <f t="shared" si="2"/>
        <v>1397.25</v>
      </c>
    </row>
    <row r="17" spans="1:10" ht="33" customHeight="1" x14ac:dyDescent="0.45">
      <c r="A17" s="31" t="s">
        <v>37</v>
      </c>
      <c r="B17" s="12" t="s">
        <v>24</v>
      </c>
      <c r="C17" s="21">
        <v>335</v>
      </c>
      <c r="D17" s="13" t="s">
        <v>54</v>
      </c>
      <c r="E17" s="16">
        <v>54</v>
      </c>
      <c r="F17" s="17">
        <f t="shared" si="0"/>
        <v>18090</v>
      </c>
      <c r="G17" s="16">
        <v>116.62</v>
      </c>
      <c r="H17" s="17">
        <f t="shared" si="1"/>
        <v>39067.700000000004</v>
      </c>
      <c r="I17" s="16">
        <v>53.34</v>
      </c>
      <c r="J17" s="17">
        <f t="shared" si="2"/>
        <v>17868.900000000001</v>
      </c>
    </row>
    <row r="18" spans="1:10" ht="33" customHeight="1" x14ac:dyDescent="0.45">
      <c r="A18" s="31" t="s">
        <v>38</v>
      </c>
      <c r="B18" s="12" t="s">
        <v>25</v>
      </c>
      <c r="C18" s="21">
        <v>1</v>
      </c>
      <c r="D18" s="13" t="s">
        <v>1</v>
      </c>
      <c r="E18" s="16">
        <v>21945</v>
      </c>
      <c r="F18" s="17">
        <f t="shared" si="0"/>
        <v>21945</v>
      </c>
      <c r="G18" s="16">
        <v>34551</v>
      </c>
      <c r="H18" s="17">
        <f t="shared" si="1"/>
        <v>34551</v>
      </c>
      <c r="I18" s="16">
        <v>10000</v>
      </c>
      <c r="J18" s="17">
        <f t="shared" si="2"/>
        <v>10000</v>
      </c>
    </row>
    <row r="19" spans="1:10" ht="33" customHeight="1" x14ac:dyDescent="0.45">
      <c r="A19" s="31" t="s">
        <v>39</v>
      </c>
      <c r="B19" s="12" t="s">
        <v>26</v>
      </c>
      <c r="C19" s="21">
        <v>1</v>
      </c>
      <c r="D19" s="13" t="s">
        <v>1</v>
      </c>
      <c r="E19" s="16">
        <v>28050</v>
      </c>
      <c r="F19" s="17">
        <f t="shared" si="0"/>
        <v>28050</v>
      </c>
      <c r="G19" s="16">
        <v>119012</v>
      </c>
      <c r="H19" s="17">
        <f t="shared" si="1"/>
        <v>119012</v>
      </c>
      <c r="I19" s="16">
        <v>20000</v>
      </c>
      <c r="J19" s="17">
        <f t="shared" si="2"/>
        <v>20000</v>
      </c>
    </row>
    <row r="20" spans="1:10" ht="33" customHeight="1" x14ac:dyDescent="0.45">
      <c r="A20" s="31" t="s">
        <v>40</v>
      </c>
      <c r="B20" s="12" t="s">
        <v>27</v>
      </c>
      <c r="C20" s="21">
        <v>411</v>
      </c>
      <c r="D20" s="13" t="s">
        <v>54</v>
      </c>
      <c r="E20" s="16">
        <v>72</v>
      </c>
      <c r="F20" s="17">
        <f t="shared" si="0"/>
        <v>29592</v>
      </c>
      <c r="G20" s="16">
        <v>117.7</v>
      </c>
      <c r="H20" s="17">
        <f t="shared" si="1"/>
        <v>48374.700000000004</v>
      </c>
      <c r="I20" s="16">
        <v>615</v>
      </c>
      <c r="J20" s="17">
        <f t="shared" si="2"/>
        <v>252765</v>
      </c>
    </row>
    <row r="21" spans="1:10" ht="33" customHeight="1" x14ac:dyDescent="0.45">
      <c r="A21" s="31" t="s">
        <v>41</v>
      </c>
      <c r="B21" s="12" t="s">
        <v>46</v>
      </c>
      <c r="C21" s="21">
        <v>1</v>
      </c>
      <c r="D21" s="13" t="s">
        <v>1</v>
      </c>
      <c r="E21" s="16">
        <v>7185</v>
      </c>
      <c r="F21" s="17">
        <f t="shared" si="0"/>
        <v>7185</v>
      </c>
      <c r="G21" s="16">
        <v>15360</v>
      </c>
      <c r="H21" s="17">
        <f t="shared" si="1"/>
        <v>15360</v>
      </c>
      <c r="I21" s="16">
        <v>10000</v>
      </c>
      <c r="J21" s="17">
        <f t="shared" si="2"/>
        <v>10000</v>
      </c>
    </row>
    <row r="22" spans="1:10" ht="33" customHeight="1" x14ac:dyDescent="0.45">
      <c r="A22" s="31" t="s">
        <v>42</v>
      </c>
      <c r="B22" s="12" t="s">
        <v>47</v>
      </c>
      <c r="C22" s="21">
        <v>0.84</v>
      </c>
      <c r="D22" s="13" t="s">
        <v>0</v>
      </c>
      <c r="E22" s="16">
        <v>12412</v>
      </c>
      <c r="F22" s="17">
        <f t="shared" si="0"/>
        <v>10426.08</v>
      </c>
      <c r="G22" s="16">
        <v>22800</v>
      </c>
      <c r="H22" s="17">
        <f t="shared" si="1"/>
        <v>19152</v>
      </c>
      <c r="I22" s="16">
        <v>3980</v>
      </c>
      <c r="J22" s="17">
        <f t="shared" si="2"/>
        <v>3343.2</v>
      </c>
    </row>
    <row r="23" spans="1:10" ht="33" customHeight="1" x14ac:dyDescent="0.45">
      <c r="A23" s="31" t="s">
        <v>43</v>
      </c>
      <c r="B23" s="12" t="s">
        <v>48</v>
      </c>
      <c r="C23" s="21">
        <v>675</v>
      </c>
      <c r="D23" s="13" t="s">
        <v>54</v>
      </c>
      <c r="E23" s="16">
        <v>107</v>
      </c>
      <c r="F23" s="17">
        <f t="shared" si="0"/>
        <v>72225</v>
      </c>
      <c r="G23" s="16">
        <v>137.56</v>
      </c>
      <c r="H23" s="17">
        <f t="shared" si="1"/>
        <v>92853</v>
      </c>
      <c r="I23" s="16">
        <v>75</v>
      </c>
      <c r="J23" s="17">
        <f t="shared" si="2"/>
        <v>50625</v>
      </c>
    </row>
    <row r="24" spans="1:10" ht="33" customHeight="1" x14ac:dyDescent="0.45">
      <c r="A24" s="31" t="s">
        <v>44</v>
      </c>
      <c r="B24" s="12" t="s">
        <v>49</v>
      </c>
      <c r="C24" s="34">
        <v>2.04</v>
      </c>
      <c r="D24" s="13" t="s">
        <v>54</v>
      </c>
      <c r="E24" s="16">
        <v>878</v>
      </c>
      <c r="F24" s="17">
        <f t="shared" si="0"/>
        <v>1791.1200000000001</v>
      </c>
      <c r="G24" s="16">
        <v>9307.84</v>
      </c>
      <c r="H24" s="17">
        <f t="shared" si="1"/>
        <v>18987.993600000002</v>
      </c>
      <c r="I24" s="16">
        <v>220</v>
      </c>
      <c r="J24" s="17">
        <f t="shared" si="2"/>
        <v>448.8</v>
      </c>
    </row>
    <row r="25" spans="1:10" ht="33" customHeight="1" x14ac:dyDescent="0.45">
      <c r="A25" s="31" t="s">
        <v>45</v>
      </c>
      <c r="B25" s="12" t="s">
        <v>50</v>
      </c>
      <c r="C25" s="21">
        <v>1</v>
      </c>
      <c r="D25" s="13" t="s">
        <v>1</v>
      </c>
      <c r="E25" s="16">
        <v>10533</v>
      </c>
      <c r="F25" s="17">
        <f t="shared" si="0"/>
        <v>10533</v>
      </c>
      <c r="G25" s="16">
        <v>103806</v>
      </c>
      <c r="H25" s="17">
        <f t="shared" si="1"/>
        <v>103806</v>
      </c>
      <c r="I25" s="16">
        <v>1000</v>
      </c>
      <c r="J25" s="17">
        <f t="shared" si="2"/>
        <v>1000</v>
      </c>
    </row>
    <row r="26" spans="1:10" ht="27.75" customHeight="1" x14ac:dyDescent="0.45">
      <c r="A26" s="4"/>
      <c r="B26" s="33" t="s">
        <v>55</v>
      </c>
      <c r="C26" s="22"/>
      <c r="D26" s="14"/>
      <c r="E26" s="18"/>
      <c r="F26" s="18">
        <f>SUM(F8:F25)</f>
        <v>453834.2</v>
      </c>
      <c r="G26" s="18"/>
      <c r="H26" s="18">
        <f>SUM(H8:H25)</f>
        <v>883714.1936</v>
      </c>
      <c r="I26" s="18"/>
      <c r="J26" s="18">
        <f t="shared" ref="J26" si="3">SUM(J8:J25)</f>
        <v>456448.15</v>
      </c>
    </row>
  </sheetData>
  <sheetProtection selectLockedCells="1" selectUnlockedCells="1"/>
  <mergeCells count="9">
    <mergeCell ref="A6:D6"/>
    <mergeCell ref="E1:F5"/>
    <mergeCell ref="G1:H5"/>
    <mergeCell ref="A1:D1"/>
    <mergeCell ref="A2:D2"/>
    <mergeCell ref="A3:D3"/>
    <mergeCell ref="A4:D4"/>
    <mergeCell ref="A5:D5"/>
    <mergeCell ref="I1:J5"/>
  </mergeCells>
  <phoneticPr fontId="7" type="noConversion"/>
  <printOptions horizontalCentered="1"/>
  <pageMargins left="0.5" right="0.5" top="0.5" bottom="0.5" header="0.5" footer="0.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J10"/>
  <sheetViews>
    <sheetView zoomScaleNormal="100" zoomScaleSheetLayoutView="100" workbookViewId="0">
      <selection activeCell="A7" sqref="A7"/>
    </sheetView>
  </sheetViews>
  <sheetFormatPr defaultRowHeight="14.25" x14ac:dyDescent="0.45"/>
  <cols>
    <col min="1" max="1" width="6.73046875" customWidth="1"/>
    <col min="2" max="2" width="28.86328125" style="15" customWidth="1"/>
    <col min="3" max="3" width="11.265625" style="23" customWidth="1"/>
    <col min="4" max="4" width="6.73046875" style="15" customWidth="1"/>
    <col min="5" max="5" width="11" style="19" customWidth="1"/>
    <col min="6" max="6" width="13.3984375" style="19" customWidth="1"/>
    <col min="7" max="7" width="11" style="19" customWidth="1"/>
    <col min="8" max="8" width="13.3984375" style="19" customWidth="1"/>
    <col min="9" max="9" width="11" customWidth="1"/>
    <col min="10" max="10" width="13.3984375" customWidth="1"/>
  </cols>
  <sheetData>
    <row r="1" spans="1:10" s="1" customFormat="1" ht="30" customHeight="1" x14ac:dyDescent="0.45">
      <c r="A1" s="42" t="s">
        <v>12</v>
      </c>
      <c r="B1" s="43"/>
      <c r="C1" s="43"/>
      <c r="D1" s="44"/>
      <c r="E1" s="35" t="str">
        <f>Contractor1</f>
        <v>Fortis Construction Inc.</v>
      </c>
      <c r="F1" s="36"/>
      <c r="G1" s="51" t="str">
        <f>Contractor2</f>
        <v>Inline Commercial Construction Inc.</v>
      </c>
      <c r="H1" s="52"/>
      <c r="I1" s="35" t="str">
        <f>EngineerEstimate</f>
        <v>Engineer's Estimate</v>
      </c>
      <c r="J1" s="36"/>
    </row>
    <row r="2" spans="1:10" x14ac:dyDescent="0.45">
      <c r="A2" s="45" t="s">
        <v>13</v>
      </c>
      <c r="B2" s="46"/>
      <c r="C2" s="46"/>
      <c r="D2" s="47"/>
      <c r="E2" s="37"/>
      <c r="F2" s="38"/>
      <c r="G2" s="53"/>
      <c r="H2" s="54"/>
      <c r="I2" s="37"/>
      <c r="J2" s="38"/>
    </row>
    <row r="3" spans="1:10" x14ac:dyDescent="0.45">
      <c r="A3" s="45" t="s">
        <v>14</v>
      </c>
      <c r="B3" s="46"/>
      <c r="C3" s="46"/>
      <c r="D3" s="47"/>
      <c r="E3" s="37"/>
      <c r="F3" s="38"/>
      <c r="G3" s="53"/>
      <c r="H3" s="54"/>
      <c r="I3" s="37"/>
      <c r="J3" s="38"/>
    </row>
    <row r="4" spans="1:10" x14ac:dyDescent="0.45">
      <c r="A4" s="48" t="s">
        <v>15</v>
      </c>
      <c r="B4" s="49"/>
      <c r="C4" s="49"/>
      <c r="D4" s="50"/>
      <c r="E4" s="37"/>
      <c r="F4" s="38"/>
      <c r="G4" s="53"/>
      <c r="H4" s="54"/>
      <c r="I4" s="37"/>
      <c r="J4" s="38"/>
    </row>
    <row r="5" spans="1:10" x14ac:dyDescent="0.45">
      <c r="A5" s="48" t="s">
        <v>16</v>
      </c>
      <c r="B5" s="49"/>
      <c r="C5" s="49"/>
      <c r="D5" s="50"/>
      <c r="E5" s="37"/>
      <c r="F5" s="38"/>
      <c r="G5" s="53"/>
      <c r="H5" s="54"/>
      <c r="I5" s="37"/>
      <c r="J5" s="38"/>
    </row>
    <row r="6" spans="1:10" x14ac:dyDescent="0.45">
      <c r="A6" s="39">
        <v>44956</v>
      </c>
      <c r="B6" s="40"/>
      <c r="C6" s="40"/>
      <c r="D6" s="41"/>
      <c r="E6" s="24"/>
      <c r="F6" s="25"/>
      <c r="G6" s="24"/>
      <c r="H6" s="25"/>
      <c r="I6" s="24"/>
      <c r="J6" s="25"/>
    </row>
    <row r="7" spans="1:10" ht="32.25" customHeight="1" x14ac:dyDescent="0.45">
      <c r="A7" s="2" t="s">
        <v>2</v>
      </c>
      <c r="B7" s="11" t="s">
        <v>3</v>
      </c>
      <c r="C7" s="20" t="s">
        <v>4</v>
      </c>
      <c r="D7" s="11" t="s">
        <v>5</v>
      </c>
      <c r="E7" s="26" t="s">
        <v>6</v>
      </c>
      <c r="F7" s="26" t="s">
        <v>7</v>
      </c>
      <c r="G7" s="26" t="s">
        <v>6</v>
      </c>
      <c r="H7" s="26" t="s">
        <v>7</v>
      </c>
      <c r="I7" s="26" t="s">
        <v>6</v>
      </c>
      <c r="J7" s="26" t="s">
        <v>7</v>
      </c>
    </row>
    <row r="8" spans="1:10" ht="33" customHeight="1" x14ac:dyDescent="0.45">
      <c r="A8" s="3" t="s">
        <v>56</v>
      </c>
      <c r="B8" s="12" t="s">
        <v>58</v>
      </c>
      <c r="C8" s="21">
        <v>1</v>
      </c>
      <c r="D8" s="13" t="s">
        <v>59</v>
      </c>
      <c r="E8" s="16">
        <v>10972</v>
      </c>
      <c r="F8" s="17">
        <f>C8*E8</f>
        <v>10972</v>
      </c>
      <c r="G8" s="16">
        <v>23676</v>
      </c>
      <c r="H8" s="17">
        <f t="shared" ref="H8" si="0">BQTY*G8</f>
        <v>23676</v>
      </c>
      <c r="I8" s="16">
        <v>18200</v>
      </c>
      <c r="J8" s="17">
        <f>I8*C8</f>
        <v>18200</v>
      </c>
    </row>
    <row r="9" spans="1:10" ht="27.75" customHeight="1" x14ac:dyDescent="0.45">
      <c r="A9" s="32"/>
      <c r="B9" s="33" t="s">
        <v>57</v>
      </c>
      <c r="C9" s="22"/>
      <c r="D9" s="14"/>
      <c r="E9" s="18"/>
      <c r="F9" s="18">
        <f>SUM(F8:F8)</f>
        <v>10972</v>
      </c>
      <c r="G9" s="18"/>
      <c r="H9" s="18">
        <f>SUM(H8:H8)</f>
        <v>23676</v>
      </c>
      <c r="I9" s="18"/>
      <c r="J9" s="18">
        <f>SUM(J8:J8)</f>
        <v>18200</v>
      </c>
    </row>
    <row r="10" spans="1:10" ht="27.75" customHeight="1" x14ac:dyDescent="0.45">
      <c r="A10" s="32"/>
      <c r="B10" s="33" t="s">
        <v>8</v>
      </c>
      <c r="C10" s="22"/>
      <c r="D10" s="14"/>
      <c r="E10" s="18"/>
      <c r="F10" s="18">
        <f>ATotal1+BTotal1</f>
        <v>464806.2</v>
      </c>
      <c r="G10" s="18"/>
      <c r="H10" s="18">
        <f>ATotal2+BTotal2</f>
        <v>907390.1936</v>
      </c>
      <c r="I10" s="18"/>
      <c r="J10" s="18">
        <f>ATotalEE+BTotalEE</f>
        <v>474648.15</v>
      </c>
    </row>
  </sheetData>
  <mergeCells count="9">
    <mergeCell ref="A6:D6"/>
    <mergeCell ref="I1:J5"/>
    <mergeCell ref="A2:D2"/>
    <mergeCell ref="A3:D3"/>
    <mergeCell ref="A4:D4"/>
    <mergeCell ref="A5:D5"/>
    <mergeCell ref="A1:D1"/>
    <mergeCell ref="E1:F5"/>
    <mergeCell ref="G1:H5"/>
  </mergeCells>
  <printOptions horizontalCentered="1"/>
  <pageMargins left="0.5" right="0.5" top="0.5" bottom="0.5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theme="6" tint="-0.499984740745262"/>
  </sheetPr>
  <dimension ref="A1:D12"/>
  <sheetViews>
    <sheetView view="pageBreakPreview" zoomScaleNormal="75" zoomScaleSheetLayoutView="100" workbookViewId="0">
      <selection activeCell="A7" sqref="A7"/>
    </sheetView>
  </sheetViews>
  <sheetFormatPr defaultRowHeight="14.25" x14ac:dyDescent="0.45"/>
  <cols>
    <col min="1" max="1" width="53.73046875" style="5" customWidth="1"/>
    <col min="2" max="2" width="27" style="28" customWidth="1"/>
  </cols>
  <sheetData>
    <row r="1" spans="1:4" ht="30" customHeight="1" x14ac:dyDescent="0.45">
      <c r="A1" s="42" t="s">
        <v>12</v>
      </c>
      <c r="B1" s="43"/>
      <c r="C1" s="43"/>
      <c r="D1" s="44"/>
    </row>
    <row r="2" spans="1:4" ht="15" customHeight="1" x14ac:dyDescent="0.45">
      <c r="A2" s="45" t="s">
        <v>13</v>
      </c>
      <c r="B2" s="46"/>
      <c r="C2" s="46"/>
      <c r="D2" s="47"/>
    </row>
    <row r="3" spans="1:4" ht="15" customHeight="1" x14ac:dyDescent="0.45">
      <c r="A3" s="45" t="s">
        <v>14</v>
      </c>
      <c r="B3" s="46"/>
      <c r="C3" s="46"/>
      <c r="D3" s="47"/>
    </row>
    <row r="4" spans="1:4" x14ac:dyDescent="0.45">
      <c r="A4" s="6" t="str">
        <f>EAN</f>
        <v>EAN 2021D007</v>
      </c>
      <c r="B4" s="55"/>
    </row>
    <row r="5" spans="1:4" ht="15" customHeight="1" x14ac:dyDescent="0.45">
      <c r="A5" s="7" t="str">
        <f>SolicitationNo</f>
        <v>Solicitation No. 2022-9477</v>
      </c>
      <c r="B5" s="55"/>
    </row>
    <row r="6" spans="1:4" ht="15" customHeight="1" x14ac:dyDescent="0.45">
      <c r="A6" s="8">
        <v>44956</v>
      </c>
      <c r="B6" s="56"/>
    </row>
    <row r="7" spans="1:4" ht="33" customHeight="1" x14ac:dyDescent="0.45">
      <c r="A7" s="9" t="s">
        <v>9</v>
      </c>
      <c r="B7" s="27" t="s">
        <v>7</v>
      </c>
    </row>
    <row r="8" spans="1:4" ht="33" customHeight="1" x14ac:dyDescent="0.45">
      <c r="A8" s="10" t="str">
        <f>Contractor1</f>
        <v>Fortis Construction Inc.</v>
      </c>
      <c r="B8" s="29" t="s">
        <v>62</v>
      </c>
    </row>
    <row r="9" spans="1:4" ht="33" customHeight="1" x14ac:dyDescent="0.45">
      <c r="A9" s="10" t="str">
        <f>Contractor2</f>
        <v>Inline Commercial Construction Inc.</v>
      </c>
      <c r="B9" s="29" t="s">
        <v>63</v>
      </c>
    </row>
    <row r="10" spans="1:4" ht="33" customHeight="1" x14ac:dyDescent="0.45">
      <c r="A10" s="10" t="str">
        <f>EngineerEstimate</f>
        <v>Engineer's Estimate</v>
      </c>
      <c r="B10" s="29" t="s">
        <v>64</v>
      </c>
    </row>
    <row r="11" spans="1:4" x14ac:dyDescent="0.45">
      <c r="A11" s="30" t="s">
        <v>65</v>
      </c>
    </row>
    <row r="12" spans="1:4" x14ac:dyDescent="0.45">
      <c r="A12" s="30" t="s">
        <v>11</v>
      </c>
    </row>
  </sheetData>
  <mergeCells count="3">
    <mergeCell ref="A1:D1"/>
    <mergeCell ref="A2:D2"/>
    <mergeCell ref="A3:D3"/>
  </mergeCells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customXsn xmlns="http://schemas.microsoft.com/office/2006/metadata/customXsn">
  <xsnLocation/>
  <cached>True</cached>
  <openByDefault>False</openByDefault>
  <xsnScope/>
</customXsn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6FFD60-E239-4F5C-9DB1-953282559D83}"/>
</file>

<file path=customXml/itemProps2.xml><?xml version="1.0" encoding="utf-8"?>
<ds:datastoreItem xmlns:ds="http://schemas.openxmlformats.org/officeDocument/2006/customXml" ds:itemID="{AF201321-27A5-44A3-9E44-2B8D03997D38}"/>
</file>

<file path=customXml/itemProps3.xml><?xml version="1.0" encoding="utf-8"?>
<ds:datastoreItem xmlns:ds="http://schemas.openxmlformats.org/officeDocument/2006/customXml" ds:itemID="{0C82388F-550D-4DBA-AE51-0B17AEFC6E8C}"/>
</file>

<file path=customXml/itemProps4.xml><?xml version="1.0" encoding="utf-8"?>
<ds:datastoreItem xmlns:ds="http://schemas.openxmlformats.org/officeDocument/2006/customXml" ds:itemID="{C62E48C2-2CDE-4D24-A084-5D34A744CE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19</vt:i4>
      </vt:variant>
    </vt:vector>
  </HeadingPairs>
  <TitlesOfParts>
    <vt:vector size="22" baseType="lpstr">
      <vt:lpstr>Bid Tab Schedule 1</vt:lpstr>
      <vt:lpstr>Bid Tab Schedule 2</vt:lpstr>
      <vt:lpstr>Summary</vt:lpstr>
      <vt:lpstr>AQTY</vt:lpstr>
      <vt:lpstr>ATotal1</vt:lpstr>
      <vt:lpstr>ATotal2</vt:lpstr>
      <vt:lpstr>ATotalEE</vt:lpstr>
      <vt:lpstr>BQTY</vt:lpstr>
      <vt:lpstr>'Bid Tab Schedule 2'!BTotal1</vt:lpstr>
      <vt:lpstr>'Bid Tab Schedule 2'!BTotal2</vt:lpstr>
      <vt:lpstr>'Bid Tab Schedule 2'!BTotalEE</vt:lpstr>
      <vt:lpstr>Contractor1</vt:lpstr>
      <vt:lpstr>Contractor2</vt:lpstr>
      <vt:lpstr>EAN</vt:lpstr>
      <vt:lpstr>EngineerEstimate</vt:lpstr>
      <vt:lpstr>Summary!Print_Area</vt:lpstr>
      <vt:lpstr>'Bid Tab Schedule 1'!Print_Titles</vt:lpstr>
      <vt:lpstr>'Bid Tab Schedule 2'!Print_Titles</vt:lpstr>
      <vt:lpstr>SolicitationNo</vt:lpstr>
      <vt:lpstr>Total1</vt:lpstr>
      <vt:lpstr>Total2</vt:lpstr>
      <vt:lpstr>TotalEE</vt:lpstr>
    </vt:vector>
  </TitlesOfParts>
  <Company>Port of Portland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Etta Goerl</dc:creator>
  <cp:lastModifiedBy>Etta Strey</cp:lastModifiedBy>
  <cp:lastPrinted>2023-02-01T14:08:32Z</cp:lastPrinted>
  <dcterms:created xsi:type="dcterms:W3CDTF">2014-05-02T22:08:37Z</dcterms:created>
  <dcterms:modified xsi:type="dcterms:W3CDTF">2023-02-01T14:09:05Z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