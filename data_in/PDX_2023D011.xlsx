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POPFS\Eng-Spec\Pdx\23D\011\"/>
    </mc:Choice>
  </mc:AlternateContent>
  <xr:revisionPtr revIDLastSave="0" documentId="13_ncr:1_{7848384D-2DC9-474C-A0AF-4F53DB6227DE}" xr6:coauthVersionLast="47" xr6:coauthVersionMax="47" xr10:uidLastSave="{00000000-0000-0000-0000-000000000000}"/>
  <bookViews>
    <workbookView xWindow="-120" yWindow="-120" windowWidth="29040" windowHeight="15990" tabRatio="716" firstSheet="2" activeTab="2" xr2:uid="{00000000-000D-0000-FFFF-FFFF00000000}"/>
  </bookViews>
  <sheets>
    <sheet name="Base Bid Item List" sheetId="1" r:id="rId1"/>
    <sheet name="Alternate Item List" sheetId="6" r:id="rId2"/>
    <sheet name="Base Bid Tabulation" sheetId="2" r:id="rId3"/>
    <sheet name="Alternate Bid Tabulation" sheetId="7" r:id="rId4"/>
    <sheet name="Summary" sheetId="5" r:id="rId5"/>
  </sheets>
  <externalReferences>
    <externalReference r:id="rId6"/>
  </externalReferences>
  <definedNames>
    <definedName name="AQTY">'[1]Bid Tab Schedule A'!$C:$C</definedName>
    <definedName name="ATotal1">'[1]Bid Tab Schedule A'!$F$19</definedName>
    <definedName name="ATotal2">'[1]Bid Tab Schedule A'!$H$19</definedName>
    <definedName name="ATotal3">'[1]Bid Tab Schedule A'!$J$19</definedName>
    <definedName name="ATotal4">'[1]Bid Tab Schedule A'!$L$19</definedName>
    <definedName name="ATotal5">'[1]Bid Tab Schedule A'!$N$19</definedName>
    <definedName name="ATotal6">'[1]Bid Tab Schedule A'!$P$19</definedName>
    <definedName name="ATotal7">'[1]Bid Tab Schedule A'!$R$19</definedName>
    <definedName name="ATotal8">'[1]Bid Tab Schedule A'!$T$19</definedName>
    <definedName name="ATotalEE">'[1]Bid Tab Schedule A'!$V$19</definedName>
    <definedName name="BQTY">'[1]Bid Tab Schedule B'!$C:$C</definedName>
    <definedName name="Contractor1">'Base Bid Tabulation'!$E$1</definedName>
    <definedName name="Contractor2">'Base Bid Tabulation'!$G$1</definedName>
    <definedName name="Contractor3">'Base Bid Tabulation'!$I$1</definedName>
    <definedName name="Contractor4">'Base Bid Tabulation'!$K$1</definedName>
    <definedName name="Contractor5">'Base Bid Tabulation'!$M$1</definedName>
    <definedName name="Contractor6">'Base Bid Tabulation'!#REF!</definedName>
    <definedName name="Contractor7">'Base Bid Tabulation'!#REF!</definedName>
    <definedName name="Contractor8">'Base Bid Tabulation'!#REF!</definedName>
    <definedName name="EAN">'Base Bid Tabulation'!$A$4</definedName>
    <definedName name="EngineerEstimate">'Base Bid Tabulation'!$O$1</definedName>
    <definedName name="_xlnm.Print_Area" localSheetId="3">'Alternate Bid Tabulation'!$A$1:$P$20</definedName>
    <definedName name="_xlnm.Print_Area" localSheetId="1">'Alternate Item List'!$A$14:$F$31</definedName>
    <definedName name="_xlnm.Print_Area" localSheetId="0">'Base Bid Item List'!$A$14:$F$89</definedName>
    <definedName name="_xlnm.Print_Area" localSheetId="4">Summary!$A$1:$C$14</definedName>
    <definedName name="_xlnm.Print_Titles" localSheetId="3">'Alternate Bid Tabulation'!$A:$D,'Alternate Bid Tabulation'!$1:$7</definedName>
    <definedName name="_xlnm.Print_Titles" localSheetId="1">'Alternate Item List'!$14:$19</definedName>
    <definedName name="_xlnm.Print_Titles" localSheetId="0">'Base Bid Item List'!$14:$19</definedName>
    <definedName name="_xlnm.Print_Titles" localSheetId="2">'Base Bid Tabulation'!$A:$D,'Base Bid Tabulation'!$1:$7</definedName>
    <definedName name="ProjectLocation">'Base Bid Item List'!$A$15</definedName>
    <definedName name="ProjectTitle">'Base Bid Item List'!$A$16</definedName>
    <definedName name="ProjectTitle2">'Base Bid Item List'!$A$17</definedName>
    <definedName name="QTY">'Base Bid Tabulation'!$C:$C</definedName>
    <definedName name="SolicitationNo">'Base Bid Tabulation'!$A$5</definedName>
    <definedName name="Total1">'Base Bid Tabulation'!$F$77</definedName>
    <definedName name="Total2">'Base Bid Tabulation'!$H$77</definedName>
    <definedName name="Total3">'Base Bid Tabulation'!$J$77</definedName>
    <definedName name="Total4">'Base Bid Tabulation'!$L$77</definedName>
    <definedName name="Total5">'Base Bid Tabulation'!$N$77</definedName>
    <definedName name="Total6">'Base Bid Tabulation'!#REF!</definedName>
    <definedName name="Total7">'Base Bid Tabulation'!#REF!</definedName>
    <definedName name="Total8">'Base Bid Tabulation'!#REF!</definedName>
    <definedName name="TotalEE">'Base Bid Tabulation'!$P$77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7" l="1"/>
  <c r="C8" i="5"/>
  <c r="C9" i="5"/>
  <c r="C10" i="5"/>
  <c r="C12" i="5"/>
  <c r="C11" i="5"/>
  <c r="G1" i="7"/>
  <c r="M1" i="7"/>
  <c r="A8" i="5"/>
  <c r="A13" i="5" l="1"/>
  <c r="A9" i="5"/>
  <c r="A10" i="5"/>
  <c r="A12" i="5"/>
  <c r="A11" i="5"/>
  <c r="A4" i="5"/>
  <c r="A9" i="2"/>
  <c r="B9" i="2"/>
  <c r="C9" i="2"/>
  <c r="D9" i="2"/>
  <c r="A10" i="2"/>
  <c r="B10" i="2"/>
  <c r="C10" i="2"/>
  <c r="D10" i="2"/>
  <c r="A11" i="2"/>
  <c r="B11" i="2"/>
  <c r="C11" i="2"/>
  <c r="L11" i="2" s="1"/>
  <c r="D11" i="2"/>
  <c r="A12" i="2"/>
  <c r="B12" i="2"/>
  <c r="C12" i="2"/>
  <c r="D12" i="2"/>
  <c r="A13" i="2"/>
  <c r="B13" i="2"/>
  <c r="C13" i="2"/>
  <c r="F13" i="2" s="1"/>
  <c r="D13" i="2"/>
  <c r="A14" i="2"/>
  <c r="B14" i="2"/>
  <c r="C14" i="2"/>
  <c r="P14" i="2" s="1"/>
  <c r="D14" i="2"/>
  <c r="A15" i="2"/>
  <c r="B15" i="2"/>
  <c r="C15" i="2"/>
  <c r="D15" i="2"/>
  <c r="A16" i="2"/>
  <c r="B16" i="2"/>
  <c r="C16" i="2"/>
  <c r="F16" i="2" s="1"/>
  <c r="D16" i="2"/>
  <c r="A17" i="2"/>
  <c r="B17" i="2"/>
  <c r="C17" i="2"/>
  <c r="F17" i="2" s="1"/>
  <c r="D17" i="2"/>
  <c r="A18" i="2"/>
  <c r="B18" i="2"/>
  <c r="C18" i="2"/>
  <c r="D18" i="2"/>
  <c r="A19" i="2"/>
  <c r="B19" i="2"/>
  <c r="C19" i="2"/>
  <c r="F19" i="2" s="1"/>
  <c r="D19" i="2"/>
  <c r="A20" i="2"/>
  <c r="B20" i="2"/>
  <c r="C20" i="2"/>
  <c r="F20" i="2" s="1"/>
  <c r="D20" i="2"/>
  <c r="A21" i="2"/>
  <c r="B21" i="2"/>
  <c r="C21" i="2"/>
  <c r="D21" i="2"/>
  <c r="A22" i="2"/>
  <c r="B22" i="2"/>
  <c r="C22" i="2"/>
  <c r="P22" i="2" s="1"/>
  <c r="D22" i="2"/>
  <c r="A23" i="2"/>
  <c r="B23" i="2"/>
  <c r="C23" i="2"/>
  <c r="D23" i="2"/>
  <c r="A24" i="2"/>
  <c r="B24" i="2"/>
  <c r="C24" i="2"/>
  <c r="D24" i="2"/>
  <c r="A25" i="2"/>
  <c r="B25" i="2"/>
  <c r="C25" i="2"/>
  <c r="F25" i="2" s="1"/>
  <c r="D25" i="2"/>
  <c r="A26" i="2"/>
  <c r="B26" i="2"/>
  <c r="C26" i="2"/>
  <c r="D26" i="2"/>
  <c r="A27" i="2"/>
  <c r="B27" i="2"/>
  <c r="C27" i="2"/>
  <c r="D27" i="2"/>
  <c r="A28" i="2"/>
  <c r="B28" i="2"/>
  <c r="C28" i="2"/>
  <c r="J28" i="2" s="1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F32" i="2" s="1"/>
  <c r="D32" i="2"/>
  <c r="A33" i="2"/>
  <c r="B33" i="2"/>
  <c r="C33" i="2"/>
  <c r="D33" i="2"/>
  <c r="A34" i="2"/>
  <c r="B34" i="2"/>
  <c r="C34" i="2"/>
  <c r="H34" i="2" s="1"/>
  <c r="D34" i="2"/>
  <c r="A35" i="2"/>
  <c r="B35" i="2"/>
  <c r="C35" i="2"/>
  <c r="J35" i="2" s="1"/>
  <c r="D35" i="2"/>
  <c r="A36" i="2"/>
  <c r="B36" i="2"/>
  <c r="C36" i="2"/>
  <c r="D36" i="2"/>
  <c r="A37" i="2"/>
  <c r="B37" i="2"/>
  <c r="C37" i="2"/>
  <c r="F37" i="2" s="1"/>
  <c r="D37" i="2"/>
  <c r="A38" i="2"/>
  <c r="B38" i="2"/>
  <c r="C38" i="2"/>
  <c r="D38" i="2"/>
  <c r="A39" i="2"/>
  <c r="B39" i="2"/>
  <c r="C39" i="2"/>
  <c r="D39" i="2"/>
  <c r="A40" i="2"/>
  <c r="B40" i="2"/>
  <c r="C40" i="2"/>
  <c r="F40" i="2" s="1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F46" i="2" s="1"/>
  <c r="D46" i="2"/>
  <c r="A47" i="2"/>
  <c r="B47" i="2"/>
  <c r="C47" i="2"/>
  <c r="D47" i="2"/>
  <c r="A48" i="2"/>
  <c r="B48" i="2"/>
  <c r="C48" i="2"/>
  <c r="F48" i="2" s="1"/>
  <c r="D48" i="2"/>
  <c r="A49" i="2"/>
  <c r="B49" i="2"/>
  <c r="C49" i="2"/>
  <c r="H49" i="2" s="1"/>
  <c r="D49" i="2"/>
  <c r="A50" i="2"/>
  <c r="B50" i="2"/>
  <c r="C50" i="2"/>
  <c r="L50" i="2" s="1"/>
  <c r="D50" i="2"/>
  <c r="A51" i="2"/>
  <c r="B51" i="2"/>
  <c r="C51" i="2"/>
  <c r="D51" i="2"/>
  <c r="A52" i="2"/>
  <c r="B52" i="2"/>
  <c r="C52" i="2"/>
  <c r="L52" i="2" s="1"/>
  <c r="D52" i="2"/>
  <c r="A53" i="2"/>
  <c r="B53" i="2"/>
  <c r="C53" i="2"/>
  <c r="D53" i="2"/>
  <c r="A54" i="2"/>
  <c r="B54" i="2"/>
  <c r="C54" i="2"/>
  <c r="D54" i="2"/>
  <c r="A55" i="2"/>
  <c r="B55" i="2"/>
  <c r="C55" i="2"/>
  <c r="H55" i="2" s="1"/>
  <c r="D55" i="2"/>
  <c r="A56" i="2"/>
  <c r="B56" i="2"/>
  <c r="C56" i="2"/>
  <c r="J56" i="2" s="1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F60" i="2" s="1"/>
  <c r="D60" i="2"/>
  <c r="A61" i="2"/>
  <c r="B61" i="2"/>
  <c r="C61" i="2"/>
  <c r="F61" i="2" s="1"/>
  <c r="D61" i="2"/>
  <c r="A62" i="2"/>
  <c r="B62" i="2"/>
  <c r="C62" i="2"/>
  <c r="J62" i="2" s="1"/>
  <c r="D62" i="2"/>
  <c r="A63" i="2"/>
  <c r="B63" i="2"/>
  <c r="C63" i="2"/>
  <c r="H63" i="2" s="1"/>
  <c r="D63" i="2"/>
  <c r="A64" i="2"/>
  <c r="B64" i="2"/>
  <c r="C64" i="2"/>
  <c r="F64" i="2" s="1"/>
  <c r="D64" i="2"/>
  <c r="A65" i="2"/>
  <c r="B65" i="2"/>
  <c r="C65" i="2"/>
  <c r="P65" i="2" s="1"/>
  <c r="D65" i="2"/>
  <c r="A66" i="2"/>
  <c r="B66" i="2"/>
  <c r="C66" i="2"/>
  <c r="P66" i="2" s="1"/>
  <c r="D66" i="2"/>
  <c r="A67" i="2"/>
  <c r="B67" i="2"/>
  <c r="C67" i="2"/>
  <c r="F67" i="2" s="1"/>
  <c r="D67" i="2"/>
  <c r="A68" i="2"/>
  <c r="B68" i="2"/>
  <c r="C68" i="2"/>
  <c r="L68" i="2" s="1"/>
  <c r="D68" i="2"/>
  <c r="A69" i="2"/>
  <c r="B69" i="2"/>
  <c r="C69" i="2"/>
  <c r="H69" i="2" s="1"/>
  <c r="D69" i="2"/>
  <c r="A70" i="2"/>
  <c r="B70" i="2"/>
  <c r="C70" i="2"/>
  <c r="F70" i="2" s="1"/>
  <c r="D70" i="2"/>
  <c r="A71" i="2"/>
  <c r="B71" i="2"/>
  <c r="C71" i="2"/>
  <c r="L71" i="2" s="1"/>
  <c r="D71" i="2"/>
  <c r="A72" i="2"/>
  <c r="B72" i="2"/>
  <c r="C72" i="2"/>
  <c r="F72" i="2" s="1"/>
  <c r="D72" i="2"/>
  <c r="A73" i="2"/>
  <c r="B73" i="2"/>
  <c r="C73" i="2"/>
  <c r="F73" i="2" s="1"/>
  <c r="D73" i="2"/>
  <c r="A74" i="2"/>
  <c r="B74" i="2"/>
  <c r="C74" i="2"/>
  <c r="J74" i="2" s="1"/>
  <c r="D74" i="2"/>
  <c r="A75" i="2"/>
  <c r="B75" i="2"/>
  <c r="C75" i="2"/>
  <c r="H75" i="2" s="1"/>
  <c r="D75" i="2"/>
  <c r="A76" i="2"/>
  <c r="B76" i="2"/>
  <c r="C76" i="2"/>
  <c r="F76" i="2" s="1"/>
  <c r="D76" i="2"/>
  <c r="A9" i="7"/>
  <c r="B9" i="7"/>
  <c r="C9" i="7"/>
  <c r="N9" i="7" s="1"/>
  <c r="D9" i="7"/>
  <c r="A10" i="7"/>
  <c r="B10" i="7"/>
  <c r="C10" i="7"/>
  <c r="N10" i="7" s="1"/>
  <c r="D10" i="7"/>
  <c r="A11" i="7"/>
  <c r="B11" i="7"/>
  <c r="C11" i="7"/>
  <c r="N11" i="7" s="1"/>
  <c r="D11" i="7"/>
  <c r="A12" i="7"/>
  <c r="B12" i="7"/>
  <c r="C12" i="7"/>
  <c r="N12" i="7" s="1"/>
  <c r="D12" i="7"/>
  <c r="A13" i="7"/>
  <c r="B13" i="7"/>
  <c r="C13" i="7"/>
  <c r="N13" i="7" s="1"/>
  <c r="D13" i="7"/>
  <c r="A14" i="7"/>
  <c r="B14" i="7"/>
  <c r="C14" i="7"/>
  <c r="N14" i="7" s="1"/>
  <c r="D14" i="7"/>
  <c r="A15" i="7"/>
  <c r="B15" i="7"/>
  <c r="C15" i="7"/>
  <c r="N15" i="7" s="1"/>
  <c r="D15" i="7"/>
  <c r="A16" i="7"/>
  <c r="B16" i="7"/>
  <c r="C16" i="7"/>
  <c r="N16" i="7" s="1"/>
  <c r="D16" i="7"/>
  <c r="A17" i="7"/>
  <c r="B17" i="7"/>
  <c r="C17" i="7"/>
  <c r="N17" i="7" s="1"/>
  <c r="D17" i="7"/>
  <c r="A18" i="7"/>
  <c r="B18" i="7"/>
  <c r="C18" i="7"/>
  <c r="N18" i="7" s="1"/>
  <c r="D18" i="7"/>
  <c r="A8" i="2"/>
  <c r="B8" i="2"/>
  <c r="C8" i="2"/>
  <c r="L8" i="2" s="1"/>
  <c r="D8" i="2"/>
  <c r="J53" i="2" l="1"/>
  <c r="F71" i="2"/>
  <c r="F41" i="2"/>
  <c r="F75" i="2"/>
  <c r="F68" i="2"/>
  <c r="F47" i="2"/>
  <c r="F44" i="2"/>
  <c r="F38" i="2"/>
  <c r="F29" i="2"/>
  <c r="P26" i="2"/>
  <c r="F23" i="2"/>
  <c r="N13" i="2"/>
  <c r="H59" i="2"/>
  <c r="F62" i="2"/>
  <c r="J42" i="2"/>
  <c r="F21" i="2"/>
  <c r="H18" i="2"/>
  <c r="N12" i="2"/>
  <c r="F69" i="2"/>
  <c r="J12" i="2"/>
  <c r="F66" i="2"/>
  <c r="F39" i="2"/>
  <c r="F36" i="2"/>
  <c r="P15" i="2"/>
  <c r="H60" i="2"/>
  <c r="F9" i="2"/>
  <c r="H62" i="2"/>
  <c r="N18" i="2"/>
  <c r="N30" i="2"/>
  <c r="P30" i="2"/>
  <c r="L51" i="2"/>
  <c r="F54" i="2"/>
  <c r="N36" i="2"/>
  <c r="J57" i="2"/>
  <c r="F27" i="2"/>
  <c r="F65" i="2"/>
  <c r="N72" i="2"/>
  <c r="F45" i="2"/>
  <c r="J24" i="2"/>
  <c r="F63" i="2"/>
  <c r="N14" i="2"/>
  <c r="N42" i="2"/>
  <c r="N48" i="2"/>
  <c r="N20" i="2"/>
  <c r="N54" i="2"/>
  <c r="N24" i="2"/>
  <c r="N60" i="2"/>
  <c r="P61" i="2"/>
  <c r="N26" i="2"/>
  <c r="P60" i="2"/>
  <c r="N66" i="2"/>
  <c r="J60" i="2"/>
  <c r="L67" i="2"/>
  <c r="H61" i="2"/>
  <c r="N19" i="2"/>
  <c r="N25" i="2"/>
  <c r="N31" i="2"/>
  <c r="N37" i="2"/>
  <c r="N43" i="2"/>
  <c r="N49" i="2"/>
  <c r="N55" i="2"/>
  <c r="N61" i="2"/>
  <c r="N67" i="2"/>
  <c r="N73" i="2"/>
  <c r="L66" i="2"/>
  <c r="L65" i="2"/>
  <c r="H71" i="2"/>
  <c r="N8" i="2"/>
  <c r="N32" i="2"/>
  <c r="N38" i="2"/>
  <c r="N44" i="2"/>
  <c r="N50" i="2"/>
  <c r="N56" i="2"/>
  <c r="N62" i="2"/>
  <c r="N68" i="2"/>
  <c r="N74" i="2"/>
  <c r="P75" i="2"/>
  <c r="J75" i="2"/>
  <c r="H72" i="2"/>
  <c r="F33" i="2"/>
  <c r="P74" i="2"/>
  <c r="J72" i="2"/>
  <c r="H73" i="2"/>
  <c r="N9" i="2"/>
  <c r="N15" i="2"/>
  <c r="N21" i="2"/>
  <c r="N27" i="2"/>
  <c r="N33" i="2"/>
  <c r="N39" i="2"/>
  <c r="N45" i="2"/>
  <c r="N51" i="2"/>
  <c r="N57" i="2"/>
  <c r="N63" i="2"/>
  <c r="N69" i="2"/>
  <c r="N75" i="2"/>
  <c r="P73" i="2"/>
  <c r="J71" i="2"/>
  <c r="H74" i="2"/>
  <c r="P72" i="2"/>
  <c r="J70" i="2"/>
  <c r="N10" i="2"/>
  <c r="N16" i="2"/>
  <c r="N22" i="2"/>
  <c r="N28" i="2"/>
  <c r="N34" i="2"/>
  <c r="N40" i="2"/>
  <c r="N46" i="2"/>
  <c r="N52" i="2"/>
  <c r="N58" i="2"/>
  <c r="N64" i="2"/>
  <c r="N70" i="2"/>
  <c r="N76" i="2"/>
  <c r="P71" i="2"/>
  <c r="J69" i="2"/>
  <c r="P63" i="2"/>
  <c r="J66" i="2"/>
  <c r="N11" i="2"/>
  <c r="N17" i="2"/>
  <c r="N23" i="2"/>
  <c r="N29" i="2"/>
  <c r="N35" i="2"/>
  <c r="N41" i="2"/>
  <c r="N47" i="2"/>
  <c r="N53" i="2"/>
  <c r="N59" i="2"/>
  <c r="N65" i="2"/>
  <c r="N71" i="2"/>
  <c r="P62" i="2"/>
  <c r="J63" i="2"/>
  <c r="L64" i="2"/>
  <c r="P70" i="2"/>
  <c r="L75" i="2"/>
  <c r="L63" i="2"/>
  <c r="J68" i="2"/>
  <c r="F74" i="2"/>
  <c r="P69" i="2"/>
  <c r="L74" i="2"/>
  <c r="L62" i="2"/>
  <c r="J67" i="2"/>
  <c r="H64" i="2"/>
  <c r="H76" i="2"/>
  <c r="P68" i="2"/>
  <c r="L73" i="2"/>
  <c r="L61" i="2"/>
  <c r="H65" i="2"/>
  <c r="P67" i="2"/>
  <c r="L72" i="2"/>
  <c r="L60" i="2"/>
  <c r="J65" i="2"/>
  <c r="H66" i="2"/>
  <c r="J76" i="2"/>
  <c r="J64" i="2"/>
  <c r="H67" i="2"/>
  <c r="L70" i="2"/>
  <c r="H68" i="2"/>
  <c r="L76" i="2"/>
  <c r="P76" i="2"/>
  <c r="P64" i="2"/>
  <c r="L69" i="2"/>
  <c r="J73" i="2"/>
  <c r="J61" i="2"/>
  <c r="H70" i="2"/>
  <c r="J31" i="2"/>
  <c r="J10" i="2"/>
  <c r="L43" i="2"/>
  <c r="F58" i="2"/>
  <c r="H54" i="2"/>
  <c r="J54" i="2"/>
  <c r="H57" i="2"/>
  <c r="H27" i="2"/>
  <c r="J27" i="2"/>
  <c r="J18" i="2"/>
  <c r="F18" i="2"/>
  <c r="H30" i="2"/>
  <c r="J15" i="2"/>
  <c r="J58" i="2"/>
  <c r="H15" i="2"/>
  <c r="P55" i="2"/>
  <c r="L24" i="2"/>
  <c r="H51" i="2"/>
  <c r="L32" i="2"/>
  <c r="J30" i="2"/>
  <c r="H35" i="2"/>
  <c r="J32" i="2"/>
  <c r="L44" i="2"/>
  <c r="J16" i="2"/>
  <c r="F57" i="2"/>
  <c r="F30" i="2"/>
  <c r="F12" i="2"/>
  <c r="J51" i="2"/>
  <c r="H26" i="2"/>
  <c r="H45" i="2"/>
  <c r="F24" i="2"/>
  <c r="H50" i="2"/>
  <c r="J11" i="2"/>
  <c r="P47" i="2"/>
  <c r="P39" i="2"/>
  <c r="J39" i="2"/>
  <c r="L39" i="2"/>
  <c r="J50" i="2"/>
  <c r="H14" i="2"/>
  <c r="L47" i="2"/>
  <c r="P51" i="2"/>
  <c r="L38" i="2"/>
  <c r="L23" i="2"/>
  <c r="F56" i="2"/>
  <c r="P46" i="2"/>
  <c r="J34" i="2"/>
  <c r="F34" i="2"/>
  <c r="P23" i="2"/>
  <c r="P11" i="2"/>
  <c r="J22" i="2"/>
  <c r="P43" i="2"/>
  <c r="H10" i="2"/>
  <c r="J40" i="2"/>
  <c r="F22" i="2"/>
  <c r="F59" i="2"/>
  <c r="F51" i="2"/>
  <c r="H39" i="2"/>
  <c r="L56" i="2"/>
  <c r="P34" i="2"/>
  <c r="F50" i="2"/>
  <c r="F43" i="2"/>
  <c r="J38" i="2"/>
  <c r="L27" i="2"/>
  <c r="L20" i="2"/>
  <c r="F15" i="2"/>
  <c r="J8" i="2"/>
  <c r="F10" i="2"/>
  <c r="F53" i="2"/>
  <c r="F49" i="2"/>
  <c r="P42" i="2"/>
  <c r="L36" i="2"/>
  <c r="P31" i="2"/>
  <c r="L26" i="2"/>
  <c r="J20" i="2"/>
  <c r="L15" i="2"/>
  <c r="F8" i="2"/>
  <c r="J43" i="2"/>
  <c r="L59" i="2"/>
  <c r="H53" i="2"/>
  <c r="L48" i="2"/>
  <c r="L42" i="2"/>
  <c r="J36" i="2"/>
  <c r="H31" i="2"/>
  <c r="J26" i="2"/>
  <c r="L19" i="2"/>
  <c r="L14" i="2"/>
  <c r="J52" i="2"/>
  <c r="H42" i="2"/>
  <c r="F31" i="2"/>
  <c r="P18" i="2"/>
  <c r="J48" i="2"/>
  <c r="P58" i="2"/>
  <c r="F52" i="2"/>
  <c r="F42" i="2"/>
  <c r="P35" i="2"/>
  <c r="L30" i="2"/>
  <c r="F26" i="2"/>
  <c r="L18" i="2"/>
  <c r="F14" i="2"/>
  <c r="F28" i="2"/>
  <c r="L22" i="2"/>
  <c r="L10" i="2"/>
  <c r="H43" i="2"/>
  <c r="L34" i="2"/>
  <c r="L31" i="2"/>
  <c r="H22" i="2"/>
  <c r="L16" i="2"/>
  <c r="L12" i="2"/>
  <c r="F11" i="2"/>
  <c r="P59" i="2"/>
  <c r="L46" i="2"/>
  <c r="P19" i="2"/>
  <c r="J46" i="2"/>
  <c r="J59" i="2"/>
  <c r="H46" i="2"/>
  <c r="L28" i="2"/>
  <c r="H19" i="2"/>
  <c r="J19" i="2"/>
  <c r="L40" i="2"/>
  <c r="P10" i="2"/>
  <c r="L55" i="2"/>
  <c r="L58" i="2"/>
  <c r="J55" i="2"/>
  <c r="H58" i="2"/>
  <c r="F55" i="2"/>
  <c r="P54" i="2"/>
  <c r="L54" i="2"/>
  <c r="P38" i="2"/>
  <c r="L35" i="2"/>
  <c r="P27" i="2"/>
  <c r="J14" i="2"/>
  <c r="J47" i="2"/>
  <c r="J44" i="2"/>
  <c r="H38" i="2"/>
  <c r="J23" i="2"/>
  <c r="P50" i="2"/>
  <c r="H47" i="2"/>
  <c r="H23" i="2"/>
  <c r="F35" i="2"/>
  <c r="H11" i="2"/>
  <c r="P56" i="2"/>
  <c r="P52" i="2"/>
  <c r="P48" i="2"/>
  <c r="P44" i="2"/>
  <c r="P40" i="2"/>
  <c r="P36" i="2"/>
  <c r="P32" i="2"/>
  <c r="P28" i="2"/>
  <c r="P24" i="2"/>
  <c r="P20" i="2"/>
  <c r="P16" i="2"/>
  <c r="P12" i="2"/>
  <c r="P8" i="2"/>
  <c r="P57" i="2"/>
  <c r="H56" i="2"/>
  <c r="P53" i="2"/>
  <c r="H52" i="2"/>
  <c r="P49" i="2"/>
  <c r="H48" i="2"/>
  <c r="P45" i="2"/>
  <c r="H44" i="2"/>
  <c r="P41" i="2"/>
  <c r="H40" i="2"/>
  <c r="P37" i="2"/>
  <c r="H36" i="2"/>
  <c r="P33" i="2"/>
  <c r="H32" i="2"/>
  <c r="P29" i="2"/>
  <c r="H28" i="2"/>
  <c r="P25" i="2"/>
  <c r="H24" i="2"/>
  <c r="P21" i="2"/>
  <c r="H20" i="2"/>
  <c r="P17" i="2"/>
  <c r="H16" i="2"/>
  <c r="P13" i="2"/>
  <c r="H12" i="2"/>
  <c r="P9" i="2"/>
  <c r="H8" i="2"/>
  <c r="L57" i="2"/>
  <c r="L53" i="2"/>
  <c r="L49" i="2"/>
  <c r="L45" i="2"/>
  <c r="L41" i="2"/>
  <c r="L37" i="2"/>
  <c r="L33" i="2"/>
  <c r="L29" i="2"/>
  <c r="L25" i="2"/>
  <c r="L21" i="2"/>
  <c r="L17" i="2"/>
  <c r="L13" i="2"/>
  <c r="L9" i="2"/>
  <c r="J49" i="2"/>
  <c r="J45" i="2"/>
  <c r="J41" i="2"/>
  <c r="J37" i="2"/>
  <c r="J33" i="2"/>
  <c r="J29" i="2"/>
  <c r="J25" i="2"/>
  <c r="J21" i="2"/>
  <c r="J17" i="2"/>
  <c r="J13" i="2"/>
  <c r="J9" i="2"/>
  <c r="H41" i="2"/>
  <c r="H37" i="2"/>
  <c r="H33" i="2"/>
  <c r="H29" i="2"/>
  <c r="H25" i="2"/>
  <c r="H21" i="2"/>
  <c r="H17" i="2"/>
  <c r="H13" i="2"/>
  <c r="H9" i="2"/>
  <c r="N77" i="2" l="1"/>
  <c r="B8" i="5" s="1"/>
  <c r="K1" i="7"/>
  <c r="E1" i="7"/>
  <c r="A6" i="7" l="1"/>
  <c r="L16" i="7" l="1"/>
  <c r="J17" i="7"/>
  <c r="H18" i="7"/>
  <c r="F9" i="7"/>
  <c r="L10" i="7"/>
  <c r="J11" i="7"/>
  <c r="H12" i="7"/>
  <c r="F13" i="7"/>
  <c r="L14" i="7"/>
  <c r="J15" i="7"/>
  <c r="H16" i="7"/>
  <c r="F17" i="7"/>
  <c r="L18" i="7"/>
  <c r="L12" i="7" l="1"/>
  <c r="P15" i="7"/>
  <c r="H14" i="7"/>
  <c r="P11" i="7"/>
  <c r="H10" i="7"/>
  <c r="F15" i="7"/>
  <c r="J13" i="7"/>
  <c r="F11" i="7"/>
  <c r="J9" i="7"/>
  <c r="J18" i="7"/>
  <c r="L17" i="7"/>
  <c r="P16" i="7"/>
  <c r="F16" i="7"/>
  <c r="H15" i="7"/>
  <c r="J14" i="7"/>
  <c r="L13" i="7"/>
  <c r="P12" i="7"/>
  <c r="F12" i="7"/>
  <c r="H11" i="7"/>
  <c r="J10" i="7"/>
  <c r="L9" i="7"/>
  <c r="P18" i="7"/>
  <c r="F18" i="7"/>
  <c r="H17" i="7"/>
  <c r="J16" i="7"/>
  <c r="L15" i="7"/>
  <c r="P14" i="7"/>
  <c r="F14" i="7"/>
  <c r="H13" i="7"/>
  <c r="J12" i="7"/>
  <c r="L11" i="7"/>
  <c r="P10" i="7"/>
  <c r="F10" i="7"/>
  <c r="H9" i="7"/>
  <c r="P17" i="7"/>
  <c r="P13" i="7"/>
  <c r="P9" i="7"/>
  <c r="C8" i="7"/>
  <c r="N8" i="7" s="1"/>
  <c r="N19" i="7" s="1"/>
  <c r="A8" i="7"/>
  <c r="D8" i="7"/>
  <c r="B8" i="7"/>
  <c r="O1" i="7"/>
  <c r="I1" i="7"/>
  <c r="P8" i="7" l="1"/>
  <c r="F8" i="7"/>
  <c r="L8" i="7"/>
  <c r="L19" i="7" s="1"/>
  <c r="J8" i="7"/>
  <c r="J19" i="7" s="1"/>
  <c r="H8" i="7"/>
  <c r="H19" i="7" s="1"/>
  <c r="A17" i="6"/>
  <c r="A16" i="6"/>
  <c r="A15" i="6"/>
  <c r="F19" i="7" l="1"/>
  <c r="A5" i="5"/>
  <c r="A1" i="5"/>
  <c r="A6" i="5" l="1"/>
  <c r="A6" i="2"/>
  <c r="H77" i="2" l="1"/>
  <c r="J77" i="2"/>
  <c r="B10" i="5" s="1"/>
  <c r="P19" i="7"/>
  <c r="C13" i="5" s="1"/>
  <c r="P77" i="2" l="1"/>
  <c r="B13" i="5" s="1"/>
  <c r="L77" i="2"/>
  <c r="F77" i="2"/>
  <c r="B11" i="5" s="1"/>
  <c r="J20" i="7"/>
  <c r="H20" i="7"/>
  <c r="L20" i="7" l="1"/>
  <c r="B9" i="5"/>
  <c r="P20" i="7"/>
  <c r="F20" i="7"/>
</calcChain>
</file>

<file path=xl/sharedStrings.xml><?xml version="1.0" encoding="utf-8"?>
<sst xmlns="http://schemas.openxmlformats.org/spreadsheetml/2006/main" count="340" uniqueCount="183">
  <si>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</si>
  <si>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</si>
  <si>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</si>
  <si>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</si>
  <si>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</si>
  <si>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</si>
  <si>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</si>
  <si>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</si>
  <si>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</si>
  <si>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</si>
  <si>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</si>
  <si>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</si>
  <si>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</si>
  <si>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PORTLAND INTERNATIONAL AIRPORT</t>
  </si>
  <si>
    <t>TAXIWAY A WEST REHABILITATION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</si>
  <si>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</si>
  <si>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</si>
  <si>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</si>
  <si>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</si>
  <si>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</si>
  <si>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</si>
  <si>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0001</t>
  </si>
  <si>
    <t>Sweeper
(Section 012200)</t>
  </si>
  <si>
    <t>0002</t>
  </si>
  <si>
    <t>Security Control Monitoring
(Section 012200)</t>
  </si>
  <si>
    <t>0003</t>
  </si>
  <si>
    <t>Work Zone Traffic Control 
(Section 012200)</t>
  </si>
  <si>
    <t>0004</t>
  </si>
  <si>
    <t>Escort
(Section 012200)</t>
  </si>
  <si>
    <t>0005</t>
  </si>
  <si>
    <t>0006</t>
  </si>
  <si>
    <t>Mobilization
(Item C-105)</t>
  </si>
  <si>
    <t>0007</t>
  </si>
  <si>
    <t>Pavement Removal (Full Depth Asphalt Concrete, 4-17.5 Inches)
(Item P-101)</t>
  </si>
  <si>
    <t>0008</t>
  </si>
  <si>
    <t>Joint and Crack Repair
(Item P-101)</t>
  </si>
  <si>
    <t>0009</t>
  </si>
  <si>
    <t>0010</t>
  </si>
  <si>
    <t>0011</t>
  </si>
  <si>
    <t>Unclassified Excavation
(Item P-152)</t>
  </si>
  <si>
    <t>0012</t>
  </si>
  <si>
    <t>Existing Subgrade Stabilzation 
(Item P-152)</t>
  </si>
  <si>
    <t>0013</t>
  </si>
  <si>
    <t>Subbase Course 
(Item P-154)</t>
  </si>
  <si>
    <t>0014</t>
  </si>
  <si>
    <t>Separation Geotextile
(Item P-154)</t>
  </si>
  <si>
    <t>0015</t>
  </si>
  <si>
    <t>Crushed Aggregate Base Course
(Item P-209)</t>
  </si>
  <si>
    <t>0016</t>
  </si>
  <si>
    <t>Asphalt Surface Course
(Item P-401)</t>
  </si>
  <si>
    <t>0017</t>
  </si>
  <si>
    <t>Asphalt Mixture Base Course 
(Item P-403)</t>
  </si>
  <si>
    <t>0018</t>
  </si>
  <si>
    <t>Emulsified Asphalt Tack Coat
(Item P-603)</t>
  </si>
  <si>
    <t>0019</t>
  </si>
  <si>
    <t>Joint Sealing Filler                                      
(Item P-605)</t>
  </si>
  <si>
    <t>0020</t>
  </si>
  <si>
    <t>Adhesive Compound  
(Item P-606)</t>
  </si>
  <si>
    <t>0021</t>
  </si>
  <si>
    <t>Structural Portland Cement Concrete
(Item P-610)</t>
  </si>
  <si>
    <t>0022</t>
  </si>
  <si>
    <t>Surface Preparation
(Item P-620)</t>
  </si>
  <si>
    <t>0023</t>
  </si>
  <si>
    <t>Permanent Pavement Marking
(Item P-620)</t>
  </si>
  <si>
    <t>0024</t>
  </si>
  <si>
    <t>Reflective Media
(Item P-620)</t>
  </si>
  <si>
    <t>0025</t>
  </si>
  <si>
    <t>Temporary Pavement Marking
(Item P-620)</t>
  </si>
  <si>
    <t>0026</t>
  </si>
  <si>
    <t>STS Drain Pipe (18-inch)
(Item D-701)</t>
  </si>
  <si>
    <t>0027</t>
  </si>
  <si>
    <t>STS Drain Pipe (24-inch)
(Item D-701)</t>
  </si>
  <si>
    <t>0028</t>
  </si>
  <si>
    <t>Perforated Underdrain Pipe (6-inch)
(Item D-705)</t>
  </si>
  <si>
    <t>0029</t>
  </si>
  <si>
    <t>Non-Perforated Underdrain Pipe 
(6-inch)
(Item D-705)</t>
  </si>
  <si>
    <t>0030</t>
  </si>
  <si>
    <t>Catch Basins
(Item D-751)</t>
  </si>
  <si>
    <t>0031</t>
  </si>
  <si>
    <t>60-Inch Manholes
(Item D-751)</t>
  </si>
  <si>
    <t>0032</t>
  </si>
  <si>
    <t>Underdrain Cleanout
(Item D-751)</t>
  </si>
  <si>
    <t>0033</t>
  </si>
  <si>
    <t>Connect to Existing Catch Basin/Manhole
(Item D-751)</t>
  </si>
  <si>
    <t>0034</t>
  </si>
  <si>
    <t>0035</t>
  </si>
  <si>
    <t>Seeding
(Item T-901)</t>
  </si>
  <si>
    <t>0036</t>
  </si>
  <si>
    <t>Topsoil (Obtained on Site or Removed from Stockpile) (3")
(Item T-905)</t>
  </si>
  <si>
    <t>0037</t>
  </si>
  <si>
    <t>No. 8 AWG, 5kV, L-824, Type C Cable, Installed in Trench, Duct Bank or Conduit 
(Item L-108)</t>
  </si>
  <si>
    <t>0038</t>
  </si>
  <si>
    <t>No. 12 AWG, 600V, Cable, Installed in Conduit 
(Item L-108)</t>
  </si>
  <si>
    <t>0039</t>
  </si>
  <si>
    <t xml:space="preserve">No. 6 AWG, Solid, Bare Counterpoise Wire, Installed in Trench, Above the Duct Bank or Conduit, Including Connections/Terminations 
(Item L-108)
</t>
  </si>
  <si>
    <t>0040</t>
  </si>
  <si>
    <t>Counterpoise Ground Rod, 10-Ft Long 
(Item L-108)</t>
  </si>
  <si>
    <t>0041</t>
  </si>
  <si>
    <t>0042</t>
  </si>
  <si>
    <t>2-Inch PVC in Existing Structural AC 
(Item L-110)</t>
  </si>
  <si>
    <t>0043</t>
  </si>
  <si>
    <t>2-Inch PVC Direct Buried in Grass 
(Item L-110)</t>
  </si>
  <si>
    <t>0044</t>
  </si>
  <si>
    <t>2-Inch PVC under New AC Shoulder
(Item L-110)</t>
  </si>
  <si>
    <t>0045</t>
  </si>
  <si>
    <t>1.5-Inch IMC under New AC Shoulder 
(Item L-110)</t>
  </si>
  <si>
    <t>0046</t>
  </si>
  <si>
    <t>General Electrical Removal
(Section 265000)</t>
  </si>
  <si>
    <t>0047</t>
  </si>
  <si>
    <t>Temporary Circuit Connection 
(Section 265000)</t>
  </si>
  <si>
    <t>0048</t>
  </si>
  <si>
    <t>Install Elevated Taxiway Edge Light on Existing Base Can with PF Transformer 
(Section 344300)</t>
  </si>
  <si>
    <t>0049</t>
  </si>
  <si>
    <t>Install Elevated Runway Guard Light on Existing Base Can with PF Transformer 
(Section 344300)</t>
  </si>
  <si>
    <t>0050</t>
  </si>
  <si>
    <t>Install Elevated Red Stop Bar Light on Existing Base Can with PF Transformer 
(Section 344300)</t>
  </si>
  <si>
    <t>0051</t>
  </si>
  <si>
    <t>Install Taxiway Centerline Light on PF Base Can, PF Extension, PF Flange Ring, and CF Transformer 
(Section 344300)</t>
  </si>
  <si>
    <t>0052</t>
  </si>
  <si>
    <t>0053</t>
  </si>
  <si>
    <t>0054</t>
  </si>
  <si>
    <t>0055</t>
  </si>
  <si>
    <t>0056</t>
  </si>
  <si>
    <t>0057</t>
  </si>
  <si>
    <t xml:space="preserve">Adjust Existing Taxiway Centerline Light to New Finish Elevation 
(Section 344301) </t>
  </si>
  <si>
    <t>0058</t>
  </si>
  <si>
    <t>0059</t>
  </si>
  <si>
    <t>Sign A5-1 
(Section 344302)</t>
  </si>
  <si>
    <t>0060</t>
  </si>
  <si>
    <t>Sign A5-6 
(Section 344302)</t>
  </si>
  <si>
    <t>0061</t>
  </si>
  <si>
    <t>Sign A5-7 
(Section 344302)</t>
  </si>
  <si>
    <t>0062</t>
  </si>
  <si>
    <t>Sign A5-8 
(Section 344302)</t>
  </si>
  <si>
    <t>0063</t>
  </si>
  <si>
    <t>Sign A5-9 
(Section 344302)</t>
  </si>
  <si>
    <t>0064</t>
  </si>
  <si>
    <t>Sign A6-2 
(Section 344302)</t>
  </si>
  <si>
    <t>0065</t>
  </si>
  <si>
    <t>Sign A6-3 
(Section 344302)</t>
  </si>
  <si>
    <t>0066</t>
  </si>
  <si>
    <t>Sign A6-9 
(Section 344302)</t>
  </si>
  <si>
    <t>0067</t>
  </si>
  <si>
    <t>Sign A6-10 
(Section 344302)</t>
  </si>
  <si>
    <t>0068</t>
  </si>
  <si>
    <t>Sign A6-11 
(Section 344302)</t>
  </si>
  <si>
    <t>0069</t>
  </si>
  <si>
    <t>Sign A6-12 
(Section 344302)</t>
  </si>
  <si>
    <t>Total Amount Base Bid (Basis of Award)</t>
  </si>
  <si>
    <t>$___________</t>
  </si>
  <si>
    <t>Emulsified Asphalt Tack Coat 
(Item P-603)</t>
  </si>
  <si>
    <t>Permanent Pavement Marking 
(Item P-620)</t>
  </si>
  <si>
    <t>Reflective Media 
(Item P-620)</t>
  </si>
  <si>
    <t>Temporary Pavement Marking 
(Item P-620)</t>
  </si>
  <si>
    <t>Total Amount Additive Alternate A</t>
  </si>
  <si>
    <t>Total Amount Base Bid
(Basis of Award)</t>
  </si>
  <si>
    <t>Total Amount Base Bid and
Additive Alternate A</t>
  </si>
  <si>
    <t>Bidder</t>
  </si>
  <si>
    <t>*Corrected Bid Total</t>
  </si>
  <si>
    <t>^Corrected Bid Total</t>
  </si>
  <si>
    <t>Inlet Protection
(Item C-102)</t>
  </si>
  <si>
    <t>3-5 Inch Cold Milling
(Item P-101)</t>
  </si>
  <si>
    <t>2-Inch PVC Encased in Concrete in new Structural AC 
(Item L-110)</t>
  </si>
  <si>
    <t>Install Taxiway Edge Light on PF Base Can, PF Extension, PF Flange Ring, and CF Transformer 
(Section 344300)</t>
  </si>
  <si>
    <t>Install Elevated Runway Guard Light on PF Base Can, PF Extension, PF Flange Ring, and CF Transformer 
(Section 344300)</t>
  </si>
  <si>
    <t xml:space="preserve">Install PF Base Can, PF Extension, PF Flange Ring and PF Cover Plate
(Section 344300) </t>
  </si>
  <si>
    <t>Removal of Pipe and other Buried Structures
(Item P-101)</t>
  </si>
  <si>
    <t>Install In-Pavement Runway Guard/Stop Bar Light on PF Base Can, PF Extension, PF Flange Ring and CF Transformer 
(Section 344300)</t>
  </si>
  <si>
    <t>Install Elevated Red Stop Bar Light on PF Base Can, PF Extension, PF Flange Ring, and CF Transformer 
(Section 344300)</t>
  </si>
  <si>
    <t>Adjust Existing In-Pavement Runway Guard/Stop Bar Light to New Finish Elevation 
(Section 344301)</t>
  </si>
  <si>
    <t>60-Inch Manhole Catch Basin 
(Item D-751)</t>
  </si>
  <si>
    <t>Contaminated Material Excavation and Disposal 
(Section 026100)</t>
  </si>
  <si>
    <t>Engineer's Estimate</t>
  </si>
  <si>
    <t>EAN 2023D011</t>
  </si>
  <si>
    <t>Solicitation No. 2023-10218</t>
  </si>
  <si>
    <t>Total Amount 
Base Bid</t>
  </si>
  <si>
    <t>Total Amount
Additive 
Alternate A</t>
  </si>
  <si>
    <t>Coffman Excavation</t>
  </si>
  <si>
    <t>Granite Construction Company</t>
  </si>
  <si>
    <t>K&amp;E Excavating, Inc.</t>
  </si>
  <si>
    <t>Kerr Contractors 
Oregon, LLC</t>
  </si>
  <si>
    <t>Tapani, Inc.</t>
  </si>
  <si>
    <t>$10,277,995.68*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</si>
</sst>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7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/>
    <xf numFmtId="0" fontId="5" fillId="0" borderId="1" xfId="0" applyFont="1" applyBorder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left" vertical="center"/>
    </xf>
    <xf numFmtId="165" fontId="3" fillId="0" borderId="5" xfId="0" applyNumberFormat="1" applyFont="1" applyBorder="1"/>
    <xf numFmtId="165" fontId="0" fillId="0" borderId="0" xfId="0" applyNumberFormat="1"/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2" fontId="4" fillId="0" borderId="1" xfId="0" applyNumberFormat="1" applyFont="1" applyBorder="1"/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3" fillId="0" borderId="5" xfId="0" applyNumberFormat="1" applyFont="1" applyBorder="1"/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3" fillId="0" borderId="16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left" vertical="top" wrapText="1"/>
    </xf>
    <xf numFmtId="165" fontId="7" fillId="0" borderId="5" xfId="0" applyNumberFormat="1" applyFont="1" applyBorder="1" applyAlignment="1">
      <alignment horizontal="left" vertical="top" wrapText="1"/>
    </xf>
    <xf numFmtId="165" fontId="3" fillId="0" borderId="5" xfId="0" applyNumberFormat="1" applyFont="1" applyBorder="1" applyAlignment="1">
      <alignment horizontal="left" wrapText="1"/>
    </xf>
    <xf numFmtId="167" fontId="7" fillId="0" borderId="5" xfId="0" applyNumberFormat="1" applyFont="1" applyBorder="1" applyAlignment="1">
      <alignment horizontal="center" vertical="top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left" vertical="top" wrapText="1"/>
    </xf>
    <xf numFmtId="4" fontId="4" fillId="0" borderId="1" xfId="0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6" fontId="5" fillId="0" borderId="8" xfId="0" applyNumberFormat="1" applyFont="1" applyBorder="1" applyAlignment="1">
      <alignment horizontal="center"/>
    </xf>
    <xf numFmtId="166" fontId="5" fillId="0" borderId="9" xfId="0" applyNumberFormat="1" applyFont="1" applyBorder="1" applyAlignment="1">
      <alignment horizontal="center"/>
    </xf>
    <xf numFmtId="166" fontId="5" fillId="0" borderId="10" xfId="0" applyNumberFormat="1" applyFont="1" applyBorder="1" applyAlignment="1">
      <alignment horizontal="center"/>
    </xf>
    <xf numFmtId="166" fontId="5" fillId="0" borderId="11" xfId="0" applyNumberFormat="1" applyFont="1" applyBorder="1" applyAlignment="1">
      <alignment horizontal="center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4" fillId="0" borderId="5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FF00"/>
      <color rgb="FFFFFF99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sters/Bid%20Lists/BidTab%20-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 Schedule A"/>
      <sheetName val="Bid Schedule B"/>
      <sheetName val="Bid Tab Schedule A"/>
      <sheetName val="Bid Tab Schedule B"/>
      <sheetName val="Summary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FFC000"/>
  </sheetPr>
  <dimension ref="A1:F89"/>
  <sheetViews>
    <sheetView view="pageLayout" topLeftCell="A14" zoomScaleNormal="100" zoomScaleSheetLayoutView="100" workbookViewId="0">
      <selection activeCell="C28" sqref="C28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</cols>
  <sheetData>
    <row r="1" spans="1:6" hidden="1" x14ac:dyDescent="0.25">
      <c r="A1" s="1" t="s">
        <v>0</v>
      </c>
    </row>
    <row r="2" spans="1:6" hidden="1" x14ac:dyDescent="0.25">
      <c r="A2" s="1" t="s">
        <v>1</v>
      </c>
    </row>
    <row r="3" spans="1:6" hidden="1" x14ac:dyDescent="0.25">
      <c r="A3" s="1" t="s">
        <v>2</v>
      </c>
    </row>
    <row r="4" spans="1:6" hidden="1" x14ac:dyDescent="0.25">
      <c r="A4" s="1" t="s">
        <v>3</v>
      </c>
    </row>
    <row r="5" spans="1:6" hidden="1" x14ac:dyDescent="0.25">
      <c r="A5" s="1" t="s">
        <v>4</v>
      </c>
    </row>
    <row r="6" spans="1:6" hidden="1" x14ac:dyDescent="0.25">
      <c r="A6" s="1" t="s">
        <v>5</v>
      </c>
    </row>
    <row r="7" spans="1:6" hidden="1" x14ac:dyDescent="0.25">
      <c r="A7" s="1" t="s">
        <v>6</v>
      </c>
    </row>
    <row r="8" spans="1:6" hidden="1" x14ac:dyDescent="0.25">
      <c r="A8" s="1" t="s">
        <v>7</v>
      </c>
    </row>
    <row r="9" spans="1:6" hidden="1" x14ac:dyDescent="0.25">
      <c r="A9" s="1" t="s">
        <v>8</v>
      </c>
    </row>
    <row r="10" spans="1:6" hidden="1" x14ac:dyDescent="0.25">
      <c r="A10" s="1" t="s">
        <v>9</v>
      </c>
    </row>
    <row r="11" spans="1:6" hidden="1" x14ac:dyDescent="0.25">
      <c r="A11" s="1" t="s">
        <v>10</v>
      </c>
    </row>
    <row r="12" spans="1:6" hidden="1" x14ac:dyDescent="0.25">
      <c r="A12" s="1" t="s">
        <v>11</v>
      </c>
    </row>
    <row r="13" spans="1:6" hidden="1" x14ac:dyDescent="0.25">
      <c r="A13" s="1" t="s">
        <v>12</v>
      </c>
    </row>
    <row r="14" spans="1:6" x14ac:dyDescent="0.25">
      <c r="A14" s="66"/>
      <c r="B14" s="66"/>
      <c r="C14" s="66"/>
      <c r="D14" s="66"/>
      <c r="E14" s="60"/>
      <c r="F14" s="60"/>
    </row>
    <row r="15" spans="1:6" x14ac:dyDescent="0.25">
      <c r="A15" s="63" t="s">
        <v>13</v>
      </c>
      <c r="B15" s="63"/>
      <c r="C15" s="63"/>
      <c r="D15" s="63"/>
      <c r="E15" s="61"/>
      <c r="F15" s="61"/>
    </row>
    <row r="16" spans="1:6" x14ac:dyDescent="0.25">
      <c r="A16" s="63" t="s">
        <v>14</v>
      </c>
      <c r="B16" s="63"/>
      <c r="C16" s="63"/>
      <c r="D16" s="63"/>
      <c r="E16" s="61"/>
      <c r="F16" s="61"/>
    </row>
    <row r="17" spans="1:6" x14ac:dyDescent="0.25">
      <c r="A17" s="64"/>
      <c r="B17" s="64"/>
      <c r="C17" s="64"/>
      <c r="D17" s="64"/>
      <c r="E17" s="61"/>
      <c r="F17" s="61"/>
    </row>
    <row r="18" spans="1:6" x14ac:dyDescent="0.25">
      <c r="A18" s="65"/>
      <c r="B18" s="65"/>
      <c r="C18" s="65"/>
      <c r="D18" s="65"/>
      <c r="E18" s="62"/>
      <c r="F18" s="62"/>
    </row>
    <row r="19" spans="1:6" s="2" customFormat="1" ht="24" customHeight="1" x14ac:dyDescent="0.2">
      <c r="A19" s="3" t="s">
        <v>15</v>
      </c>
      <c r="B19" s="3" t="s">
        <v>16</v>
      </c>
      <c r="C19" s="21" t="s">
        <v>17</v>
      </c>
      <c r="D19" s="3" t="s">
        <v>18</v>
      </c>
      <c r="E19" s="24" t="s">
        <v>19</v>
      </c>
      <c r="F19" s="24" t="s">
        <v>20</v>
      </c>
    </row>
    <row r="20" spans="1:6" ht="40.5" customHeight="1" x14ac:dyDescent="0.25">
      <c r="A20" s="4" t="s">
        <v>21</v>
      </c>
      <c r="B20" s="36" t="s">
        <v>22</v>
      </c>
      <c r="C20" s="57">
        <v>1</v>
      </c>
      <c r="D20" s="5" t="s">
        <v>8</v>
      </c>
      <c r="E20" s="25"/>
      <c r="F20" s="25"/>
    </row>
    <row r="21" spans="1:6" ht="40.5" customHeight="1" x14ac:dyDescent="0.25">
      <c r="A21" s="4" t="s">
        <v>23</v>
      </c>
      <c r="B21" s="36" t="s">
        <v>24</v>
      </c>
      <c r="C21" s="57">
        <v>1</v>
      </c>
      <c r="D21" s="5" t="s">
        <v>8</v>
      </c>
      <c r="E21" s="25"/>
      <c r="F21" s="25"/>
    </row>
    <row r="22" spans="1:6" ht="40.5" customHeight="1" x14ac:dyDescent="0.25">
      <c r="A22" s="4" t="s">
        <v>25</v>
      </c>
      <c r="B22" s="36" t="s">
        <v>26</v>
      </c>
      <c r="C22" s="57">
        <v>1</v>
      </c>
      <c r="D22" s="5" t="s">
        <v>8</v>
      </c>
      <c r="E22" s="25"/>
      <c r="F22" s="25"/>
    </row>
    <row r="23" spans="1:6" ht="40.5" customHeight="1" x14ac:dyDescent="0.25">
      <c r="A23" s="4" t="s">
        <v>27</v>
      </c>
      <c r="B23" s="36" t="s">
        <v>28</v>
      </c>
      <c r="C23" s="57">
        <v>1</v>
      </c>
      <c r="D23" s="5" t="s">
        <v>8</v>
      </c>
      <c r="E23" s="25"/>
      <c r="F23" s="25"/>
    </row>
    <row r="24" spans="1:6" ht="40.5" customHeight="1" x14ac:dyDescent="0.25">
      <c r="A24" s="4" t="s">
        <v>29</v>
      </c>
      <c r="B24" s="36" t="s">
        <v>160</v>
      </c>
      <c r="C24" s="57">
        <v>21</v>
      </c>
      <c r="D24" s="5" t="s">
        <v>2</v>
      </c>
      <c r="E24" s="25"/>
      <c r="F24" s="25"/>
    </row>
    <row r="25" spans="1:6" ht="40.5" customHeight="1" x14ac:dyDescent="0.25">
      <c r="A25" s="4" t="s">
        <v>30</v>
      </c>
      <c r="B25" s="36" t="s">
        <v>31</v>
      </c>
      <c r="C25" s="57">
        <v>1</v>
      </c>
      <c r="D25" s="5" t="s">
        <v>8</v>
      </c>
      <c r="E25" s="25"/>
      <c r="F25" s="25"/>
    </row>
    <row r="26" spans="1:6" ht="40.5" customHeight="1" x14ac:dyDescent="0.25">
      <c r="A26" s="4" t="s">
        <v>32</v>
      </c>
      <c r="B26" s="36" t="s">
        <v>33</v>
      </c>
      <c r="C26" s="57">
        <v>18390</v>
      </c>
      <c r="D26" s="5" t="s">
        <v>11</v>
      </c>
      <c r="E26" s="25"/>
      <c r="F26" s="25"/>
    </row>
    <row r="27" spans="1:6" ht="40.5" customHeight="1" x14ac:dyDescent="0.25">
      <c r="A27" s="4" t="s">
        <v>34</v>
      </c>
      <c r="B27" s="36" t="s">
        <v>35</v>
      </c>
      <c r="C27" s="57">
        <v>1000</v>
      </c>
      <c r="D27" s="5" t="s">
        <v>7</v>
      </c>
      <c r="E27" s="25"/>
      <c r="F27" s="25"/>
    </row>
    <row r="28" spans="1:6" ht="40.5" customHeight="1" x14ac:dyDescent="0.25">
      <c r="A28" s="4" t="s">
        <v>36</v>
      </c>
      <c r="B28" s="36" t="s">
        <v>161</v>
      </c>
      <c r="C28" s="57">
        <v>16460</v>
      </c>
      <c r="D28" s="5" t="s">
        <v>11</v>
      </c>
      <c r="E28" s="25"/>
      <c r="F28" s="25"/>
    </row>
    <row r="29" spans="1:6" ht="40.5" customHeight="1" x14ac:dyDescent="0.25">
      <c r="A29" s="4" t="s">
        <v>37</v>
      </c>
      <c r="B29" s="36" t="s">
        <v>166</v>
      </c>
      <c r="C29" s="57">
        <v>1</v>
      </c>
      <c r="D29" s="5" t="s">
        <v>8</v>
      </c>
      <c r="E29" s="25"/>
      <c r="F29" s="25"/>
    </row>
    <row r="30" spans="1:6" ht="40.5" customHeight="1" x14ac:dyDescent="0.25">
      <c r="A30" s="4" t="s">
        <v>38</v>
      </c>
      <c r="B30" s="36" t="s">
        <v>39</v>
      </c>
      <c r="C30" s="57">
        <v>14988</v>
      </c>
      <c r="D30" s="5" t="s">
        <v>1</v>
      </c>
      <c r="E30" s="25"/>
      <c r="F30" s="25"/>
    </row>
    <row r="31" spans="1:6" ht="40.5" customHeight="1" x14ac:dyDescent="0.25">
      <c r="A31" s="4" t="s">
        <v>40</v>
      </c>
      <c r="B31" s="36" t="s">
        <v>41</v>
      </c>
      <c r="C31" s="57">
        <v>744</v>
      </c>
      <c r="D31" s="5" t="s">
        <v>1</v>
      </c>
      <c r="E31" s="25"/>
      <c r="F31" s="25"/>
    </row>
    <row r="32" spans="1:6" ht="40.5" customHeight="1" x14ac:dyDescent="0.25">
      <c r="A32" s="4" t="s">
        <v>42</v>
      </c>
      <c r="B32" s="36" t="s">
        <v>43</v>
      </c>
      <c r="C32" s="57">
        <v>4700</v>
      </c>
      <c r="D32" s="5" t="s">
        <v>1</v>
      </c>
      <c r="E32" s="25"/>
      <c r="F32" s="25"/>
    </row>
    <row r="33" spans="1:6" ht="40.5" customHeight="1" x14ac:dyDescent="0.25">
      <c r="A33" s="4" t="s">
        <v>44</v>
      </c>
      <c r="B33" s="36" t="s">
        <v>45</v>
      </c>
      <c r="C33" s="57">
        <v>24800</v>
      </c>
      <c r="D33" s="5" t="s">
        <v>11</v>
      </c>
      <c r="E33" s="25"/>
      <c r="F33" s="25"/>
    </row>
    <row r="34" spans="1:6" ht="40.5" customHeight="1" x14ac:dyDescent="0.25">
      <c r="A34" s="4" t="s">
        <v>46</v>
      </c>
      <c r="B34" s="36" t="s">
        <v>47</v>
      </c>
      <c r="C34" s="57">
        <v>8150</v>
      </c>
      <c r="D34" s="5" t="s">
        <v>1</v>
      </c>
      <c r="E34" s="25"/>
      <c r="F34" s="25"/>
    </row>
    <row r="35" spans="1:6" ht="40.5" customHeight="1" x14ac:dyDescent="0.25">
      <c r="A35" s="4" t="s">
        <v>48</v>
      </c>
      <c r="B35" s="36" t="s">
        <v>49</v>
      </c>
      <c r="C35" s="57">
        <v>8760</v>
      </c>
      <c r="D35" s="5" t="s">
        <v>12</v>
      </c>
      <c r="E35" s="25"/>
      <c r="F35" s="25"/>
    </row>
    <row r="36" spans="1:6" ht="40.5" customHeight="1" x14ac:dyDescent="0.25">
      <c r="A36" s="4" t="s">
        <v>50</v>
      </c>
      <c r="B36" s="36" t="s">
        <v>51</v>
      </c>
      <c r="C36" s="57">
        <v>11540</v>
      </c>
      <c r="D36" s="5" t="s">
        <v>12</v>
      </c>
      <c r="E36" s="25"/>
      <c r="F36" s="25"/>
    </row>
    <row r="37" spans="1:6" ht="40.5" customHeight="1" x14ac:dyDescent="0.25">
      <c r="A37" s="4" t="s">
        <v>52</v>
      </c>
      <c r="B37" s="36" t="s">
        <v>53</v>
      </c>
      <c r="C37" s="57">
        <v>8710</v>
      </c>
      <c r="D37" s="5" t="s">
        <v>4</v>
      </c>
      <c r="E37" s="25"/>
      <c r="F37" s="25"/>
    </row>
    <row r="38" spans="1:6" ht="40.5" customHeight="1" x14ac:dyDescent="0.25">
      <c r="A38" s="4" t="s">
        <v>54</v>
      </c>
      <c r="B38" s="36" t="s">
        <v>55</v>
      </c>
      <c r="C38" s="57">
        <v>122</v>
      </c>
      <c r="D38" s="5" t="s">
        <v>4</v>
      </c>
      <c r="E38" s="25"/>
      <c r="F38" s="25"/>
    </row>
    <row r="39" spans="1:6" ht="40.5" customHeight="1" x14ac:dyDescent="0.25">
      <c r="A39" s="4" t="s">
        <v>56</v>
      </c>
      <c r="B39" s="36" t="s">
        <v>57</v>
      </c>
      <c r="C39" s="57">
        <v>88</v>
      </c>
      <c r="D39" s="5" t="s">
        <v>4</v>
      </c>
      <c r="E39" s="25"/>
      <c r="F39" s="25"/>
    </row>
    <row r="40" spans="1:6" ht="40.5" customHeight="1" x14ac:dyDescent="0.25">
      <c r="A40" s="4" t="s">
        <v>58</v>
      </c>
      <c r="B40" s="36" t="s">
        <v>59</v>
      </c>
      <c r="C40" s="57">
        <v>89</v>
      </c>
      <c r="D40" s="5" t="s">
        <v>1</v>
      </c>
      <c r="E40" s="25"/>
      <c r="F40" s="25"/>
    </row>
    <row r="41" spans="1:6" ht="40.5" customHeight="1" x14ac:dyDescent="0.25">
      <c r="A41" s="4" t="s">
        <v>60</v>
      </c>
      <c r="B41" s="36" t="s">
        <v>61</v>
      </c>
      <c r="C41" s="57">
        <v>1</v>
      </c>
      <c r="D41" s="5" t="s">
        <v>8</v>
      </c>
      <c r="E41" s="25"/>
      <c r="F41" s="25"/>
    </row>
    <row r="42" spans="1:6" ht="40.5" customHeight="1" x14ac:dyDescent="0.25">
      <c r="A42" s="4" t="s">
        <v>62</v>
      </c>
      <c r="B42" s="36" t="s">
        <v>63</v>
      </c>
      <c r="C42" s="57">
        <v>29101</v>
      </c>
      <c r="D42" s="5" t="s">
        <v>10</v>
      </c>
      <c r="E42" s="25"/>
      <c r="F42" s="25"/>
    </row>
    <row r="43" spans="1:6" ht="40.5" customHeight="1" x14ac:dyDescent="0.25">
      <c r="A43" s="4" t="s">
        <v>64</v>
      </c>
      <c r="B43" s="36" t="s">
        <v>65</v>
      </c>
      <c r="C43" s="57">
        <v>805</v>
      </c>
      <c r="D43" s="5" t="s">
        <v>6</v>
      </c>
      <c r="E43" s="25"/>
      <c r="F43" s="25"/>
    </row>
    <row r="44" spans="1:6" ht="40.5" customHeight="1" x14ac:dyDescent="0.25">
      <c r="A44" s="4" t="s">
        <v>66</v>
      </c>
      <c r="B44" s="36" t="s">
        <v>67</v>
      </c>
      <c r="C44" s="57">
        <v>10668</v>
      </c>
      <c r="D44" s="5" t="s">
        <v>10</v>
      </c>
      <c r="E44" s="25"/>
      <c r="F44" s="25"/>
    </row>
    <row r="45" spans="1:6" ht="40.5" customHeight="1" x14ac:dyDescent="0.25">
      <c r="A45" s="4" t="s">
        <v>68</v>
      </c>
      <c r="B45" s="58" t="s">
        <v>69</v>
      </c>
      <c r="C45" s="57">
        <v>393</v>
      </c>
      <c r="D45" s="5" t="s">
        <v>7</v>
      </c>
      <c r="E45" s="25"/>
      <c r="F45" s="25"/>
    </row>
    <row r="46" spans="1:6" ht="40.5" customHeight="1" x14ac:dyDescent="0.25">
      <c r="A46" s="4" t="s">
        <v>70</v>
      </c>
      <c r="B46" s="58" t="s">
        <v>71</v>
      </c>
      <c r="C46" s="57">
        <v>1220</v>
      </c>
      <c r="D46" s="5" t="s">
        <v>7</v>
      </c>
      <c r="F46" s="25"/>
    </row>
    <row r="47" spans="1:6" ht="40.5" customHeight="1" x14ac:dyDescent="0.25">
      <c r="A47" s="4" t="s">
        <v>72</v>
      </c>
      <c r="B47" s="59" t="s">
        <v>73</v>
      </c>
      <c r="C47" s="57">
        <v>2325</v>
      </c>
      <c r="D47" s="5" t="s">
        <v>7</v>
      </c>
      <c r="E47" s="25"/>
      <c r="F47" s="25"/>
    </row>
    <row r="48" spans="1:6" ht="40.5" customHeight="1" x14ac:dyDescent="0.25">
      <c r="A48" s="4" t="s">
        <v>74</v>
      </c>
      <c r="B48" s="59" t="s">
        <v>75</v>
      </c>
      <c r="C48" s="57">
        <v>174</v>
      </c>
      <c r="D48" s="5" t="s">
        <v>7</v>
      </c>
      <c r="E48" s="25"/>
      <c r="F48" s="25"/>
    </row>
    <row r="49" spans="1:6" ht="40.5" customHeight="1" x14ac:dyDescent="0.25">
      <c r="A49" s="4" t="s">
        <v>76</v>
      </c>
      <c r="B49" s="59" t="s">
        <v>79</v>
      </c>
      <c r="C49" s="57">
        <v>5</v>
      </c>
      <c r="D49" s="5" t="s">
        <v>2</v>
      </c>
      <c r="E49" s="25"/>
      <c r="F49" s="25"/>
    </row>
    <row r="50" spans="1:6" ht="40.5" customHeight="1" x14ac:dyDescent="0.25">
      <c r="A50" s="4" t="s">
        <v>78</v>
      </c>
      <c r="B50" s="59" t="s">
        <v>77</v>
      </c>
      <c r="C50" s="57">
        <v>3</v>
      </c>
      <c r="D50" s="5" t="s">
        <v>2</v>
      </c>
      <c r="E50" s="25"/>
      <c r="F50" s="25"/>
    </row>
    <row r="51" spans="1:6" ht="40.5" customHeight="1" x14ac:dyDescent="0.25">
      <c r="A51" s="4" t="s">
        <v>80</v>
      </c>
      <c r="B51" s="59" t="s">
        <v>81</v>
      </c>
      <c r="C51" s="57">
        <v>12</v>
      </c>
      <c r="D51" s="5" t="s">
        <v>2</v>
      </c>
      <c r="E51" s="25"/>
      <c r="F51" s="25"/>
    </row>
    <row r="52" spans="1:6" ht="40.5" customHeight="1" x14ac:dyDescent="0.25">
      <c r="A52" s="4" t="s">
        <v>82</v>
      </c>
      <c r="B52" s="59" t="s">
        <v>83</v>
      </c>
      <c r="C52" s="57">
        <v>5</v>
      </c>
      <c r="D52" s="5" t="s">
        <v>2</v>
      </c>
      <c r="E52" s="25"/>
      <c r="F52" s="25"/>
    </row>
    <row r="53" spans="1:6" ht="40.5" customHeight="1" x14ac:dyDescent="0.25">
      <c r="A53" s="4" t="s">
        <v>84</v>
      </c>
      <c r="B53" s="59" t="s">
        <v>170</v>
      </c>
      <c r="C53" s="57">
        <v>1</v>
      </c>
      <c r="D53" s="5" t="s">
        <v>2</v>
      </c>
      <c r="E53" s="25"/>
      <c r="F53" s="25"/>
    </row>
    <row r="54" spans="1:6" ht="39" customHeight="1" x14ac:dyDescent="0.25">
      <c r="A54" s="4" t="s">
        <v>85</v>
      </c>
      <c r="B54" s="36" t="s">
        <v>86</v>
      </c>
      <c r="C54" s="57">
        <v>3</v>
      </c>
      <c r="D54" s="5" t="s">
        <v>0</v>
      </c>
      <c r="E54" s="25"/>
      <c r="F54" s="25"/>
    </row>
    <row r="55" spans="1:6" ht="40.5" customHeight="1" x14ac:dyDescent="0.25">
      <c r="A55" s="4" t="s">
        <v>87</v>
      </c>
      <c r="B55" s="36" t="s">
        <v>88</v>
      </c>
      <c r="C55" s="57">
        <v>1113</v>
      </c>
      <c r="D55" s="5" t="s">
        <v>1</v>
      </c>
      <c r="E55" s="25"/>
      <c r="F55" s="25"/>
    </row>
    <row r="56" spans="1:6" ht="40.5" customHeight="1" x14ac:dyDescent="0.25">
      <c r="A56" s="4" t="s">
        <v>89</v>
      </c>
      <c r="B56" s="36" t="s">
        <v>90</v>
      </c>
      <c r="C56" s="57">
        <v>16545</v>
      </c>
      <c r="D56" s="5" t="s">
        <v>7</v>
      </c>
      <c r="E56" s="25"/>
      <c r="F56" s="25"/>
    </row>
    <row r="57" spans="1:6" ht="40.5" customHeight="1" x14ac:dyDescent="0.25">
      <c r="A57" s="4" t="s">
        <v>91</v>
      </c>
      <c r="B57" s="36" t="s">
        <v>92</v>
      </c>
      <c r="C57" s="57">
        <v>5720</v>
      </c>
      <c r="D57" s="5" t="s">
        <v>7</v>
      </c>
      <c r="E57" s="25"/>
      <c r="F57" s="25"/>
    </row>
    <row r="58" spans="1:6" ht="51" customHeight="1" x14ac:dyDescent="0.25">
      <c r="A58" s="4" t="s">
        <v>93</v>
      </c>
      <c r="B58" s="36" t="s">
        <v>94</v>
      </c>
      <c r="C58" s="57">
        <v>3765</v>
      </c>
      <c r="D58" s="5" t="s">
        <v>7</v>
      </c>
      <c r="E58" s="25"/>
      <c r="F58" s="25"/>
    </row>
    <row r="59" spans="1:6" ht="40.5" customHeight="1" x14ac:dyDescent="0.25">
      <c r="A59" s="4" t="s">
        <v>95</v>
      </c>
      <c r="B59" s="36" t="s">
        <v>96</v>
      </c>
      <c r="C59" s="57">
        <v>12</v>
      </c>
      <c r="D59" s="5" t="s">
        <v>2</v>
      </c>
      <c r="E59" s="25"/>
      <c r="F59" s="25"/>
    </row>
    <row r="60" spans="1:6" ht="40.5" customHeight="1" x14ac:dyDescent="0.25">
      <c r="A60" s="4" t="s">
        <v>97</v>
      </c>
      <c r="B60" s="36" t="s">
        <v>162</v>
      </c>
      <c r="C60" s="57">
        <v>1410</v>
      </c>
      <c r="D60" s="5" t="s">
        <v>7</v>
      </c>
      <c r="E60" s="25"/>
      <c r="F60" s="25"/>
    </row>
    <row r="61" spans="1:6" ht="40.5" customHeight="1" x14ac:dyDescent="0.25">
      <c r="A61" s="4" t="s">
        <v>98</v>
      </c>
      <c r="B61" s="36" t="s">
        <v>99</v>
      </c>
      <c r="C61" s="57">
        <v>100</v>
      </c>
      <c r="D61" s="5" t="s">
        <v>7</v>
      </c>
      <c r="E61" s="25"/>
      <c r="F61" s="25"/>
    </row>
    <row r="62" spans="1:6" ht="40.5" customHeight="1" x14ac:dyDescent="0.25">
      <c r="A62" s="4" t="s">
        <v>100</v>
      </c>
      <c r="B62" s="56" t="s">
        <v>101</v>
      </c>
      <c r="C62" s="57">
        <v>155</v>
      </c>
      <c r="D62" s="5" t="s">
        <v>7</v>
      </c>
      <c r="E62" s="25"/>
      <c r="F62" s="25"/>
    </row>
    <row r="63" spans="1:6" ht="40.5" customHeight="1" x14ac:dyDescent="0.25">
      <c r="A63" s="4" t="s">
        <v>102</v>
      </c>
      <c r="B63" s="36" t="s">
        <v>103</v>
      </c>
      <c r="C63" s="57">
        <v>2815</v>
      </c>
      <c r="D63" s="5" t="s">
        <v>7</v>
      </c>
      <c r="E63" s="25"/>
      <c r="F63" s="25"/>
    </row>
    <row r="64" spans="1:6" ht="40.5" customHeight="1" x14ac:dyDescent="0.25">
      <c r="A64" s="4" t="s">
        <v>104</v>
      </c>
      <c r="B64" s="36" t="s">
        <v>105</v>
      </c>
      <c r="C64" s="57">
        <v>30</v>
      </c>
      <c r="D64" s="5" t="s">
        <v>7</v>
      </c>
      <c r="E64" s="25"/>
      <c r="F64" s="25"/>
    </row>
    <row r="65" spans="1:6" ht="40.5" customHeight="1" x14ac:dyDescent="0.25">
      <c r="A65" s="4" t="s">
        <v>106</v>
      </c>
      <c r="B65" s="36" t="s">
        <v>107</v>
      </c>
      <c r="C65" s="57">
        <v>1</v>
      </c>
      <c r="D65" s="5" t="s">
        <v>8</v>
      </c>
      <c r="E65" s="25"/>
      <c r="F65" s="25"/>
    </row>
    <row r="66" spans="1:6" ht="39" customHeight="1" x14ac:dyDescent="0.25">
      <c r="A66" s="4" t="s">
        <v>108</v>
      </c>
      <c r="B66" s="36" t="s">
        <v>109</v>
      </c>
      <c r="C66" s="57">
        <v>1</v>
      </c>
      <c r="D66" s="5" t="s">
        <v>8</v>
      </c>
      <c r="E66" s="25"/>
      <c r="F66" s="25"/>
    </row>
    <row r="67" spans="1:6" ht="40.5" customHeight="1" x14ac:dyDescent="0.25">
      <c r="A67" s="4" t="s">
        <v>110</v>
      </c>
      <c r="B67" s="36" t="s">
        <v>111</v>
      </c>
      <c r="C67" s="57">
        <v>31</v>
      </c>
      <c r="D67" s="5" t="s">
        <v>2</v>
      </c>
      <c r="E67" s="25"/>
      <c r="F67" s="25"/>
    </row>
    <row r="68" spans="1:6" ht="40.5" customHeight="1" x14ac:dyDescent="0.25">
      <c r="A68" s="4" t="s">
        <v>112</v>
      </c>
      <c r="B68" s="36" t="s">
        <v>113</v>
      </c>
      <c r="C68" s="57">
        <v>1</v>
      </c>
      <c r="D68" s="5" t="s">
        <v>2</v>
      </c>
      <c r="E68" s="25"/>
      <c r="F68" s="25"/>
    </row>
    <row r="69" spans="1:6" ht="40.5" customHeight="1" x14ac:dyDescent="0.25">
      <c r="A69" s="4" t="s">
        <v>114</v>
      </c>
      <c r="B69" s="36" t="s">
        <v>115</v>
      </c>
      <c r="C69" s="57">
        <v>1</v>
      </c>
      <c r="D69" s="5" t="s">
        <v>2</v>
      </c>
      <c r="E69" s="25"/>
      <c r="F69" s="25"/>
    </row>
    <row r="70" spans="1:6" ht="51.75" customHeight="1" x14ac:dyDescent="0.25">
      <c r="A70" s="4" t="s">
        <v>116</v>
      </c>
      <c r="B70" s="36" t="s">
        <v>117</v>
      </c>
      <c r="C70" s="57">
        <v>28</v>
      </c>
      <c r="D70" s="5" t="s">
        <v>2</v>
      </c>
      <c r="E70" s="25"/>
      <c r="F70" s="25"/>
    </row>
    <row r="71" spans="1:6" ht="51" x14ac:dyDescent="0.25">
      <c r="A71" s="4" t="s">
        <v>118</v>
      </c>
      <c r="B71" s="36" t="s">
        <v>163</v>
      </c>
      <c r="C71" s="57">
        <v>38</v>
      </c>
      <c r="D71" s="5" t="s">
        <v>2</v>
      </c>
      <c r="E71" s="25"/>
      <c r="F71" s="25"/>
    </row>
    <row r="72" spans="1:6" ht="51" x14ac:dyDescent="0.25">
      <c r="A72" s="4" t="s">
        <v>119</v>
      </c>
      <c r="B72" s="36" t="s">
        <v>164</v>
      </c>
      <c r="C72" s="57">
        <v>3</v>
      </c>
      <c r="D72" s="5" t="s">
        <v>2</v>
      </c>
      <c r="E72" s="25"/>
      <c r="F72" s="25"/>
    </row>
    <row r="73" spans="1:6" ht="51" x14ac:dyDescent="0.25">
      <c r="A73" s="4" t="s">
        <v>120</v>
      </c>
      <c r="B73" s="36" t="s">
        <v>168</v>
      </c>
      <c r="C73" s="57">
        <v>3</v>
      </c>
      <c r="D73" s="5" t="s">
        <v>2</v>
      </c>
      <c r="E73" s="25"/>
      <c r="F73" s="25"/>
    </row>
    <row r="74" spans="1:6" ht="52.5" customHeight="1" x14ac:dyDescent="0.25">
      <c r="A74" s="4" t="s">
        <v>121</v>
      </c>
      <c r="B74" s="36" t="s">
        <v>167</v>
      </c>
      <c r="C74" s="57">
        <v>14</v>
      </c>
      <c r="D74" s="5" t="s">
        <v>2</v>
      </c>
      <c r="E74" s="25"/>
      <c r="F74" s="25"/>
    </row>
    <row r="75" spans="1:6" ht="40.5" customHeight="1" x14ac:dyDescent="0.25">
      <c r="A75" s="4" t="s">
        <v>122</v>
      </c>
      <c r="B75" s="36" t="s">
        <v>165</v>
      </c>
      <c r="C75" s="57">
        <v>4</v>
      </c>
      <c r="D75" s="5" t="s">
        <v>2</v>
      </c>
      <c r="E75" s="25"/>
      <c r="F75" s="25"/>
    </row>
    <row r="76" spans="1:6" ht="40.5" customHeight="1" x14ac:dyDescent="0.25">
      <c r="A76" s="4" t="s">
        <v>123</v>
      </c>
      <c r="B76" s="36" t="s">
        <v>124</v>
      </c>
      <c r="C76" s="57">
        <v>39</v>
      </c>
      <c r="D76" s="5" t="s">
        <v>2</v>
      </c>
      <c r="E76" s="25"/>
      <c r="F76" s="25"/>
    </row>
    <row r="77" spans="1:6" ht="40.5" customHeight="1" x14ac:dyDescent="0.25">
      <c r="A77" s="4" t="s">
        <v>125</v>
      </c>
      <c r="B77" s="36" t="s">
        <v>169</v>
      </c>
      <c r="C77" s="57">
        <v>13</v>
      </c>
      <c r="D77" s="5" t="s">
        <v>2</v>
      </c>
      <c r="E77" s="25"/>
      <c r="F77" s="25"/>
    </row>
    <row r="78" spans="1:6" ht="40.5" customHeight="1" x14ac:dyDescent="0.25">
      <c r="A78" s="4" t="s">
        <v>126</v>
      </c>
      <c r="B78" s="36" t="s">
        <v>127</v>
      </c>
      <c r="C78" s="57">
        <v>1</v>
      </c>
      <c r="D78" s="5" t="s">
        <v>8</v>
      </c>
      <c r="E78" s="25"/>
      <c r="F78" s="25"/>
    </row>
    <row r="79" spans="1:6" ht="40.5" customHeight="1" x14ac:dyDescent="0.25">
      <c r="A79" s="4" t="s">
        <v>128</v>
      </c>
      <c r="B79" s="36" t="s">
        <v>129</v>
      </c>
      <c r="C79" s="57">
        <v>1</v>
      </c>
      <c r="D79" s="5" t="s">
        <v>8</v>
      </c>
      <c r="E79" s="25"/>
      <c r="F79" s="25"/>
    </row>
    <row r="80" spans="1:6" ht="40.5" customHeight="1" x14ac:dyDescent="0.25">
      <c r="A80" s="4" t="s">
        <v>130</v>
      </c>
      <c r="B80" s="36" t="s">
        <v>131</v>
      </c>
      <c r="C80" s="57">
        <v>1</v>
      </c>
      <c r="D80" s="5" t="s">
        <v>8</v>
      </c>
      <c r="E80" s="25"/>
      <c r="F80" s="25"/>
    </row>
    <row r="81" spans="1:6" ht="40.5" customHeight="1" x14ac:dyDescent="0.25">
      <c r="A81" s="4" t="s">
        <v>132</v>
      </c>
      <c r="B81" s="36" t="s">
        <v>133</v>
      </c>
      <c r="C81" s="57">
        <v>1</v>
      </c>
      <c r="D81" s="5" t="s">
        <v>8</v>
      </c>
      <c r="E81" s="25"/>
      <c r="F81" s="25"/>
    </row>
    <row r="82" spans="1:6" ht="40.5" customHeight="1" x14ac:dyDescent="0.25">
      <c r="A82" s="4" t="s">
        <v>134</v>
      </c>
      <c r="B82" s="36" t="s">
        <v>135</v>
      </c>
      <c r="C82" s="57">
        <v>1</v>
      </c>
      <c r="D82" s="5" t="s">
        <v>8</v>
      </c>
      <c r="E82" s="25"/>
      <c r="F82" s="25"/>
    </row>
    <row r="83" spans="1:6" ht="40.5" customHeight="1" x14ac:dyDescent="0.25">
      <c r="A83" s="4" t="s">
        <v>136</v>
      </c>
      <c r="B83" s="36" t="s">
        <v>137</v>
      </c>
      <c r="C83" s="57">
        <v>1</v>
      </c>
      <c r="D83" s="5" t="s">
        <v>8</v>
      </c>
      <c r="E83" s="25"/>
      <c r="F83" s="25"/>
    </row>
    <row r="84" spans="1:6" ht="40.5" customHeight="1" x14ac:dyDescent="0.25">
      <c r="A84" s="4" t="s">
        <v>138</v>
      </c>
      <c r="B84" s="36" t="s">
        <v>139</v>
      </c>
      <c r="C84" s="57">
        <v>1</v>
      </c>
      <c r="D84" s="5" t="s">
        <v>8</v>
      </c>
      <c r="E84" s="25"/>
      <c r="F84" s="25"/>
    </row>
    <row r="85" spans="1:6" ht="40.5" customHeight="1" x14ac:dyDescent="0.25">
      <c r="A85" s="4" t="s">
        <v>140</v>
      </c>
      <c r="B85" s="36" t="s">
        <v>141</v>
      </c>
      <c r="C85" s="57">
        <v>1</v>
      </c>
      <c r="D85" s="5" t="s">
        <v>8</v>
      </c>
      <c r="E85" s="25"/>
      <c r="F85" s="25"/>
    </row>
    <row r="86" spans="1:6" ht="40.5" customHeight="1" x14ac:dyDescent="0.25">
      <c r="A86" s="4" t="s">
        <v>142</v>
      </c>
      <c r="B86" s="36" t="s">
        <v>143</v>
      </c>
      <c r="C86" s="57">
        <v>1</v>
      </c>
      <c r="D86" s="5" t="s">
        <v>8</v>
      </c>
      <c r="E86" s="25"/>
      <c r="F86" s="25"/>
    </row>
    <row r="87" spans="1:6" ht="40.5" customHeight="1" x14ac:dyDescent="0.25">
      <c r="A87" s="4" t="s">
        <v>144</v>
      </c>
      <c r="B87" s="36" t="s">
        <v>145</v>
      </c>
      <c r="C87" s="57">
        <v>1</v>
      </c>
      <c r="D87" s="5" t="s">
        <v>8</v>
      </c>
      <c r="E87" s="25"/>
      <c r="F87" s="25"/>
    </row>
    <row r="88" spans="1:6" ht="40.5" customHeight="1" x14ac:dyDescent="0.25">
      <c r="A88" s="4" t="s">
        <v>146</v>
      </c>
      <c r="B88" s="36" t="s">
        <v>147</v>
      </c>
      <c r="C88" s="57">
        <v>1</v>
      </c>
      <c r="D88" s="5" t="s">
        <v>8</v>
      </c>
      <c r="E88" s="25"/>
      <c r="F88" s="25"/>
    </row>
    <row r="89" spans="1:6" ht="27.75" customHeight="1" x14ac:dyDescent="0.25">
      <c r="A89" s="6"/>
      <c r="B89" s="7" t="s">
        <v>148</v>
      </c>
      <c r="C89" s="22"/>
      <c r="D89" s="6"/>
      <c r="E89" s="26"/>
      <c r="F89" s="26" t="s">
        <v>149</v>
      </c>
    </row>
  </sheetData>
  <dataConsolidate function="count"/>
  <mergeCells count="6">
    <mergeCell ref="E14:F18"/>
    <mergeCell ref="A15:D15"/>
    <mergeCell ref="A16:D16"/>
    <mergeCell ref="A17:D17"/>
    <mergeCell ref="A18:D18"/>
    <mergeCell ref="A14:D14"/>
  </mergeCells>
  <phoneticPr fontId="9" type="noConversion"/>
  <dataValidations count="3">
    <dataValidation allowBlank="1" showErrorMessage="1" sqref="C56:C64" xr:uid="{70EAD88B-B49A-4BF9-B195-C1DAF62FF863}"/>
    <dataValidation allowBlank="1" showErrorMessage="1" promptTitle="Item Description Info" prompt="Enter Item Description Here." sqref="B63:B64 B56:B61" xr:uid="{1FC77FC6-1414-4DF7-B1A1-9FD515753CD0}"/>
    <dataValidation type="list" allowBlank="1" showInputMessage="1" showErrorMessage="1" sqref="D20:D88" xr:uid="{00000000-0002-0000-0000-000000000000}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&amp;L&amp;"Arial,Bold"BASE BID (AIP-ELIGIBLE ITEMS)&amp;RBidder: _________________________</oddHeader>
    <oddFooter>&amp;L&amp;"Times New Roman,Regular"&amp;8&amp;Z&amp;R&amp;"Times New Roman,Regular"&amp;9Bid 
004100-&amp;P</oddFooter>
    <evenFooter>&amp;L&amp;"Times New Roman,Regular"&amp;8Bid 
004100-&amp;P&amp;R&amp;"Times New Roman,Regular"&amp;8&amp;Z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</sheetPr>
  <dimension ref="A1:F31"/>
  <sheetViews>
    <sheetView view="pageLayout" topLeftCell="A23" zoomScaleNormal="100" zoomScaleSheetLayoutView="100" workbookViewId="0">
      <selection activeCell="B26" sqref="B26"/>
    </sheetView>
  </sheetViews>
  <sheetFormatPr defaultRowHeight="15" x14ac:dyDescent="0.25"/>
  <cols>
    <col min="1" max="1" width="6.5703125" customWidth="1"/>
    <col min="2" max="2" width="36.7109375" customWidth="1"/>
    <col min="3" max="3" width="10.7109375" style="20" customWidth="1"/>
    <col min="4" max="4" width="8.28515625" customWidth="1"/>
    <col min="5" max="6" width="13.28515625" style="23" customWidth="1"/>
  </cols>
  <sheetData>
    <row r="1" spans="1:6" x14ac:dyDescent="0.25">
      <c r="A1" s="1" t="s">
        <v>0</v>
      </c>
    </row>
    <row r="2" spans="1:6" x14ac:dyDescent="0.25">
      <c r="A2" s="1" t="s">
        <v>1</v>
      </c>
    </row>
    <row r="3" spans="1:6" x14ac:dyDescent="0.25">
      <c r="A3" s="1" t="s">
        <v>2</v>
      </c>
    </row>
    <row r="4" spans="1:6" x14ac:dyDescent="0.25">
      <c r="A4" s="1" t="s">
        <v>3</v>
      </c>
    </row>
    <row r="5" spans="1:6" x14ac:dyDescent="0.25">
      <c r="A5" s="1" t="s">
        <v>4</v>
      </c>
    </row>
    <row r="6" spans="1:6" x14ac:dyDescent="0.25">
      <c r="A6" s="1" t="s">
        <v>5</v>
      </c>
    </row>
    <row r="7" spans="1:6" x14ac:dyDescent="0.25">
      <c r="A7" s="1" t="s">
        <v>6</v>
      </c>
    </row>
    <row r="8" spans="1:6" x14ac:dyDescent="0.25">
      <c r="A8" s="1" t="s">
        <v>7</v>
      </c>
    </row>
    <row r="9" spans="1:6" x14ac:dyDescent="0.25">
      <c r="A9" s="1" t="s">
        <v>8</v>
      </c>
    </row>
    <row r="10" spans="1:6" x14ac:dyDescent="0.25">
      <c r="A10" s="1" t="s">
        <v>9</v>
      </c>
    </row>
    <row r="11" spans="1:6" x14ac:dyDescent="0.25">
      <c r="A11" s="1" t="s">
        <v>10</v>
      </c>
    </row>
    <row r="12" spans="1:6" x14ac:dyDescent="0.25">
      <c r="A12" s="1" t="s">
        <v>11</v>
      </c>
    </row>
    <row r="13" spans="1:6" x14ac:dyDescent="0.25">
      <c r="A13" s="1" t="s">
        <v>12</v>
      </c>
    </row>
    <row r="14" spans="1:6" x14ac:dyDescent="0.25">
      <c r="A14" s="66"/>
      <c r="B14" s="66"/>
      <c r="C14" s="66"/>
      <c r="D14" s="66"/>
      <c r="E14" s="60"/>
      <c r="F14" s="60"/>
    </row>
    <row r="15" spans="1:6" x14ac:dyDescent="0.25">
      <c r="A15" s="63" t="str">
        <f>ProjectLocation</f>
        <v>PORTLAND INTERNATIONAL AIRPORT</v>
      </c>
      <c r="B15" s="63"/>
      <c r="C15" s="63"/>
      <c r="D15" s="63"/>
      <c r="E15" s="61"/>
      <c r="F15" s="61"/>
    </row>
    <row r="16" spans="1:6" x14ac:dyDescent="0.25">
      <c r="A16" s="63" t="str">
        <f>ProjectTitle</f>
        <v>TAXIWAY A WEST REHABILITATION</v>
      </c>
      <c r="B16" s="63"/>
      <c r="C16" s="63"/>
      <c r="D16" s="63"/>
      <c r="E16" s="61"/>
      <c r="F16" s="61"/>
    </row>
    <row r="17" spans="1:6" x14ac:dyDescent="0.25">
      <c r="A17" s="64" t="str">
        <f>ProjectTitle2 &amp; ""</f>
        <v/>
      </c>
      <c r="B17" s="64"/>
      <c r="C17" s="64"/>
      <c r="D17" s="64"/>
      <c r="E17" s="61"/>
      <c r="F17" s="61"/>
    </row>
    <row r="18" spans="1:6" x14ac:dyDescent="0.25">
      <c r="A18" s="65"/>
      <c r="B18" s="65"/>
      <c r="C18" s="65"/>
      <c r="D18" s="65"/>
      <c r="E18" s="62"/>
      <c r="F18" s="62"/>
    </row>
    <row r="19" spans="1:6" s="2" customFormat="1" ht="24" customHeight="1" x14ac:dyDescent="0.2">
      <c r="A19" s="3" t="s">
        <v>15</v>
      </c>
      <c r="B19" s="3" t="s">
        <v>16</v>
      </c>
      <c r="C19" s="21" t="s">
        <v>17</v>
      </c>
      <c r="D19" s="3" t="s">
        <v>18</v>
      </c>
      <c r="E19" s="24" t="s">
        <v>19</v>
      </c>
      <c r="F19" s="24" t="s">
        <v>20</v>
      </c>
    </row>
    <row r="20" spans="1:6" ht="40.5" customHeight="1" x14ac:dyDescent="0.25">
      <c r="A20" s="4" t="s">
        <v>21</v>
      </c>
      <c r="B20" s="36" t="s">
        <v>31</v>
      </c>
      <c r="C20" s="55">
        <v>1</v>
      </c>
      <c r="D20" s="5" t="s">
        <v>8</v>
      </c>
      <c r="E20" s="25"/>
      <c r="F20" s="25"/>
    </row>
    <row r="21" spans="1:6" ht="40.5" customHeight="1" x14ac:dyDescent="0.25">
      <c r="A21" s="4" t="s">
        <v>23</v>
      </c>
      <c r="B21" s="36" t="s">
        <v>161</v>
      </c>
      <c r="C21" s="55">
        <v>7200</v>
      </c>
      <c r="D21" s="5" t="s">
        <v>11</v>
      </c>
      <c r="E21" s="25"/>
      <c r="F21" s="25"/>
    </row>
    <row r="22" spans="1:6" ht="40.5" customHeight="1" x14ac:dyDescent="0.25">
      <c r="A22" s="4" t="s">
        <v>25</v>
      </c>
      <c r="B22" s="36" t="s">
        <v>49</v>
      </c>
      <c r="C22" s="55">
        <v>1420</v>
      </c>
      <c r="D22" s="5" t="s">
        <v>12</v>
      </c>
      <c r="E22" s="25"/>
      <c r="F22" s="25"/>
    </row>
    <row r="23" spans="1:6" ht="40.5" customHeight="1" x14ac:dyDescent="0.25">
      <c r="A23" s="4" t="s">
        <v>27</v>
      </c>
      <c r="B23" s="36" t="s">
        <v>150</v>
      </c>
      <c r="C23" s="55">
        <v>1520</v>
      </c>
      <c r="D23" s="5" t="s">
        <v>4</v>
      </c>
      <c r="E23" s="25"/>
      <c r="F23" s="25"/>
    </row>
    <row r="24" spans="1:6" ht="40.5" customHeight="1" x14ac:dyDescent="0.25">
      <c r="A24" s="4" t="s">
        <v>29</v>
      </c>
      <c r="B24" s="36" t="s">
        <v>151</v>
      </c>
      <c r="C24" s="55">
        <v>3111</v>
      </c>
      <c r="D24" s="5" t="s">
        <v>10</v>
      </c>
      <c r="E24" s="25"/>
      <c r="F24" s="25"/>
    </row>
    <row r="25" spans="1:6" ht="40.5" customHeight="1" x14ac:dyDescent="0.25">
      <c r="A25" s="4" t="s">
        <v>30</v>
      </c>
      <c r="B25" s="36" t="s">
        <v>152</v>
      </c>
      <c r="C25" s="55">
        <v>86</v>
      </c>
      <c r="D25" s="5" t="s">
        <v>6</v>
      </c>
      <c r="E25" s="25"/>
      <c r="F25" s="25"/>
    </row>
    <row r="26" spans="1:6" ht="40.5" customHeight="1" x14ac:dyDescent="0.25">
      <c r="A26" s="4" t="s">
        <v>32</v>
      </c>
      <c r="B26" s="36" t="s">
        <v>153</v>
      </c>
      <c r="C26" s="55">
        <v>482</v>
      </c>
      <c r="D26" s="5" t="s">
        <v>10</v>
      </c>
      <c r="E26" s="25"/>
      <c r="F26" s="25"/>
    </row>
    <row r="27" spans="1:6" ht="40.5" customHeight="1" x14ac:dyDescent="0.25">
      <c r="A27" s="4" t="s">
        <v>34</v>
      </c>
      <c r="B27" s="36" t="s">
        <v>171</v>
      </c>
      <c r="C27" s="55">
        <v>50</v>
      </c>
      <c r="D27" s="5" t="s">
        <v>12</v>
      </c>
      <c r="E27" s="25"/>
      <c r="F27" s="25"/>
    </row>
    <row r="28" spans="1:6" ht="40.5" customHeight="1" x14ac:dyDescent="0.25">
      <c r="A28" s="4" t="s">
        <v>36</v>
      </c>
      <c r="B28" s="36" t="s">
        <v>90</v>
      </c>
      <c r="C28" s="55">
        <v>960</v>
      </c>
      <c r="D28" s="5" t="s">
        <v>7</v>
      </c>
      <c r="E28" s="25"/>
      <c r="F28" s="25"/>
    </row>
    <row r="29" spans="1:6" ht="40.5" customHeight="1" x14ac:dyDescent="0.25">
      <c r="A29" s="4" t="s">
        <v>37</v>
      </c>
      <c r="B29" s="36" t="s">
        <v>111</v>
      </c>
      <c r="C29" s="55">
        <v>18</v>
      </c>
      <c r="D29" s="5" t="s">
        <v>2</v>
      </c>
      <c r="E29" s="25"/>
      <c r="F29" s="25"/>
    </row>
    <row r="30" spans="1:6" ht="40.5" customHeight="1" x14ac:dyDescent="0.25">
      <c r="A30" s="4" t="s">
        <v>38</v>
      </c>
      <c r="B30" s="36" t="s">
        <v>124</v>
      </c>
      <c r="C30" s="55">
        <v>4</v>
      </c>
      <c r="D30" s="5" t="s">
        <v>2</v>
      </c>
      <c r="E30" s="25"/>
      <c r="F30" s="25"/>
    </row>
    <row r="31" spans="1:6" ht="27.75" customHeight="1" x14ac:dyDescent="0.25">
      <c r="A31" s="6"/>
      <c r="B31" s="7" t="s">
        <v>154</v>
      </c>
      <c r="C31" s="22"/>
      <c r="D31" s="6"/>
      <c r="E31" s="26"/>
      <c r="F31" s="26" t="s">
        <v>149</v>
      </c>
    </row>
  </sheetData>
  <dataConsolidate function="count"/>
  <mergeCells count="6">
    <mergeCell ref="A14:D14"/>
    <mergeCell ref="E14:F18"/>
    <mergeCell ref="A15:D15"/>
    <mergeCell ref="A16:D16"/>
    <mergeCell ref="A17:D17"/>
    <mergeCell ref="A18:D18"/>
  </mergeCells>
  <dataValidations count="3">
    <dataValidation allowBlank="1" showErrorMessage="1" sqref="C28:C30" xr:uid="{3035F85D-F2D0-4F09-9B84-FD7D8E54FB0F}"/>
    <dataValidation allowBlank="1" showErrorMessage="1" promptTitle="Item Description Info" prompt="Enter Item Description Here." sqref="B28:B30" xr:uid="{3D259634-39BA-4645-A36C-13C93039176B}"/>
    <dataValidation type="list" allowBlank="1" showInputMessage="1" showErrorMessage="1" sqref="D20:D30" xr:uid="{811E101B-CA3B-4445-A417-67669438350A}">
      <formula1>$A$1:$A$13</formula1>
    </dataValidation>
  </dataValidations>
  <printOptions horizontalCentered="1"/>
  <pageMargins left="0.75" right="0.75" top="1" bottom="1" header="0.5" footer="0.7"/>
  <pageSetup firstPageNumber="9" orientation="portrait" useFirstPageNumber="1" r:id="rId1"/>
  <headerFooter>
    <oddHeader>&amp;L&amp;"Arial,Bold"ADDITIVE ALTERNATE A (NON-AIP-ELIGIBLE ITEMS)&amp;R&amp;"Arial,Regular"&amp;10Bidder: _________________________</oddHeader>
    <oddFooter>&amp;L&amp;"Times New Roman,Regular"&amp;8&amp;Z&amp;R&amp;"Times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theme="4" tint="-0.499984740745262"/>
  </sheetPr>
  <dimension ref="A1:P77"/>
  <sheetViews>
    <sheetView tabSelected="1" zoomScaleNormal="100" zoomScaleSheetLayoutView="100" workbookViewId="0">
      <selection activeCell="E1" sqref="E1:F5"/>
    </sheetView>
  </sheetViews>
  <sheetFormatPr defaultRowHeight="15" x14ac:dyDescent="0.25"/>
  <cols>
    <col min="1" max="1" width="6.7109375" customWidth="1"/>
    <col min="2" max="2" width="28.85546875" style="16" customWidth="1"/>
    <col min="3" max="3" width="11.28515625" style="29" customWidth="1"/>
    <col min="4" max="4" width="6.7109375" style="16" customWidth="1"/>
    <col min="5" max="5" width="11" style="23" customWidth="1"/>
    <col min="6" max="6" width="13.42578125" style="23" customWidth="1"/>
    <col min="7" max="7" width="11" style="23" customWidth="1"/>
    <col min="8" max="8" width="13.42578125" style="23" customWidth="1"/>
    <col min="9" max="9" width="11" style="23" customWidth="1"/>
    <col min="10" max="10" width="13.42578125" style="23" customWidth="1"/>
    <col min="11" max="11" width="11" customWidth="1"/>
    <col min="12" max="12" width="13.42578125" customWidth="1"/>
    <col min="13" max="13" width="11" style="23" customWidth="1"/>
    <col min="14" max="14" width="13.42578125" style="23" customWidth="1"/>
    <col min="15" max="15" width="11" customWidth="1"/>
    <col min="16" max="16" width="13.42578125" customWidth="1"/>
  </cols>
  <sheetData>
    <row r="1" spans="1:16" ht="30" customHeight="1" x14ac:dyDescent="0.25">
      <c r="A1" s="78" t="s">
        <v>13</v>
      </c>
      <c r="B1" s="79"/>
      <c r="C1" s="79"/>
      <c r="D1" s="80"/>
      <c r="E1" s="67" t="s">
        <v>177</v>
      </c>
      <c r="F1" s="68"/>
      <c r="G1" s="67" t="s">
        <v>178</v>
      </c>
      <c r="H1" s="68"/>
      <c r="I1" s="67" t="s">
        <v>179</v>
      </c>
      <c r="J1" s="68"/>
      <c r="K1" s="67" t="s">
        <v>180</v>
      </c>
      <c r="L1" s="68"/>
      <c r="M1" s="67" t="s">
        <v>181</v>
      </c>
      <c r="N1" s="68"/>
      <c r="O1" s="71" t="s">
        <v>172</v>
      </c>
      <c r="P1" s="72"/>
    </row>
    <row r="2" spans="1:16" x14ac:dyDescent="0.25">
      <c r="A2" s="81" t="s">
        <v>14</v>
      </c>
      <c r="B2" s="82"/>
      <c r="C2" s="82"/>
      <c r="D2" s="83"/>
      <c r="E2" s="69"/>
      <c r="F2" s="70"/>
      <c r="G2" s="69"/>
      <c r="H2" s="70"/>
      <c r="I2" s="69"/>
      <c r="J2" s="70"/>
      <c r="K2" s="69"/>
      <c r="L2" s="70"/>
      <c r="M2" s="69"/>
      <c r="N2" s="70"/>
      <c r="O2" s="73"/>
      <c r="P2" s="74"/>
    </row>
    <row r="3" spans="1:16" x14ac:dyDescent="0.25">
      <c r="A3" s="81"/>
      <c r="B3" s="82"/>
      <c r="C3" s="82"/>
      <c r="D3" s="83"/>
      <c r="E3" s="69"/>
      <c r="F3" s="70"/>
      <c r="G3" s="69"/>
      <c r="H3" s="70"/>
      <c r="I3" s="69"/>
      <c r="J3" s="70"/>
      <c r="K3" s="69"/>
      <c r="L3" s="70"/>
      <c r="M3" s="69"/>
      <c r="N3" s="70"/>
      <c r="O3" s="73"/>
      <c r="P3" s="74"/>
    </row>
    <row r="4" spans="1:16" x14ac:dyDescent="0.25">
      <c r="A4" s="84" t="s">
        <v>173</v>
      </c>
      <c r="B4" s="85"/>
      <c r="C4" s="85"/>
      <c r="D4" s="86"/>
      <c r="E4" s="69"/>
      <c r="F4" s="70"/>
      <c r="G4" s="69"/>
      <c r="H4" s="70"/>
      <c r="I4" s="69"/>
      <c r="J4" s="70"/>
      <c r="K4" s="69"/>
      <c r="L4" s="70"/>
      <c r="M4" s="69"/>
      <c r="N4" s="70"/>
      <c r="O4" s="73"/>
      <c r="P4" s="74"/>
    </row>
    <row r="5" spans="1:16" x14ac:dyDescent="0.25">
      <c r="A5" s="84" t="s">
        <v>174</v>
      </c>
      <c r="B5" s="85"/>
      <c r="C5" s="85"/>
      <c r="D5" s="86"/>
      <c r="E5" s="69"/>
      <c r="F5" s="70"/>
      <c r="G5" s="69"/>
      <c r="H5" s="70"/>
      <c r="I5" s="69"/>
      <c r="J5" s="70"/>
      <c r="K5" s="69"/>
      <c r="L5" s="70"/>
      <c r="M5" s="69"/>
      <c r="N5" s="70"/>
      <c r="O5" s="73"/>
      <c r="P5" s="74"/>
    </row>
    <row r="6" spans="1:16" x14ac:dyDescent="0.25">
      <c r="A6" s="75">
        <f ca="1">TODAY()</f>
        <v>45671</v>
      </c>
      <c r="B6" s="76"/>
      <c r="C6" s="76"/>
      <c r="D6" s="77"/>
      <c r="E6" s="30"/>
      <c r="F6" s="31"/>
      <c r="G6" s="30"/>
      <c r="H6" s="31"/>
      <c r="I6" s="30"/>
      <c r="J6" s="31"/>
      <c r="K6" s="30"/>
      <c r="L6" s="31"/>
      <c r="M6" s="30"/>
      <c r="N6" s="31"/>
      <c r="O6" s="30"/>
      <c r="P6" s="31"/>
    </row>
    <row r="7" spans="1:16" ht="32.25" customHeight="1" x14ac:dyDescent="0.25">
      <c r="A7" s="8" t="s">
        <v>15</v>
      </c>
      <c r="B7" s="12" t="s">
        <v>16</v>
      </c>
      <c r="C7" s="27" t="s">
        <v>17</v>
      </c>
      <c r="D7" s="12" t="s">
        <v>18</v>
      </c>
      <c r="E7" s="32" t="s">
        <v>19</v>
      </c>
      <c r="F7" s="32" t="s">
        <v>20</v>
      </c>
      <c r="G7" s="32" t="s">
        <v>19</v>
      </c>
      <c r="H7" s="32" t="s">
        <v>20</v>
      </c>
      <c r="I7" s="32" t="s">
        <v>19</v>
      </c>
      <c r="J7" s="32" t="s">
        <v>20</v>
      </c>
      <c r="K7" s="32" t="s">
        <v>19</v>
      </c>
      <c r="L7" s="32" t="s">
        <v>20</v>
      </c>
      <c r="M7" s="32" t="s">
        <v>19</v>
      </c>
      <c r="N7" s="32" t="s">
        <v>20</v>
      </c>
      <c r="O7" s="32" t="s">
        <v>19</v>
      </c>
      <c r="P7" s="32" t="s">
        <v>20</v>
      </c>
    </row>
    <row r="8" spans="1:16" ht="33" customHeight="1" x14ac:dyDescent="0.25">
      <c r="A8" s="9" t="str">
        <f>'Base Bid Item List'!A20</f>
        <v>0001</v>
      </c>
      <c r="B8" s="37" t="str">
        <f>'Base Bid Item List'!B20</f>
        <v>Sweeper
(Section 012200)</v>
      </c>
      <c r="C8" s="39">
        <f>'Base Bid Item List'!C20</f>
        <v>1</v>
      </c>
      <c r="D8" s="13" t="str">
        <f>'Base Bid Item List'!D20</f>
        <v>LS</v>
      </c>
      <c r="E8" s="17">
        <v>135650</v>
      </c>
      <c r="F8" s="18">
        <f t="shared" ref="F8:F11" si="0">QTY*E8</f>
        <v>135650</v>
      </c>
      <c r="G8" s="17">
        <v>434815.72</v>
      </c>
      <c r="H8" s="18">
        <f t="shared" ref="H8:H11" si="1">QTY*G8</f>
        <v>434815.72</v>
      </c>
      <c r="I8" s="17">
        <v>550000</v>
      </c>
      <c r="J8" s="18">
        <f t="shared" ref="J8:J11" si="2">QTY*I8</f>
        <v>550000</v>
      </c>
      <c r="K8" s="17">
        <v>225000</v>
      </c>
      <c r="L8" s="18">
        <f t="shared" ref="L8:L11" si="3">QTY*K8</f>
        <v>225000</v>
      </c>
      <c r="M8" s="17">
        <v>400000</v>
      </c>
      <c r="N8" s="18">
        <f t="shared" ref="N8:N71" si="4">QTY*M8</f>
        <v>400000</v>
      </c>
      <c r="O8" s="17">
        <v>80000</v>
      </c>
      <c r="P8" s="18">
        <f t="shared" ref="P8:P11" si="5">QTY*O8</f>
        <v>80000</v>
      </c>
    </row>
    <row r="9" spans="1:16" ht="33" customHeight="1" x14ac:dyDescent="0.25">
      <c r="A9" s="9" t="str">
        <f>'Base Bid Item List'!A21</f>
        <v>0002</v>
      </c>
      <c r="B9" s="37" t="str">
        <f>'Base Bid Item List'!B21</f>
        <v>Security Control Monitoring
(Section 012200)</v>
      </c>
      <c r="C9" s="39">
        <f>'Base Bid Item List'!C21</f>
        <v>1</v>
      </c>
      <c r="D9" s="13" t="str">
        <f>'Base Bid Item List'!D21</f>
        <v>LS</v>
      </c>
      <c r="E9" s="17">
        <v>93162</v>
      </c>
      <c r="F9" s="18">
        <f t="shared" si="0"/>
        <v>93162</v>
      </c>
      <c r="G9" s="17">
        <v>5000</v>
      </c>
      <c r="H9" s="18">
        <f t="shared" si="1"/>
        <v>5000</v>
      </c>
      <c r="I9" s="17">
        <v>10000</v>
      </c>
      <c r="J9" s="18">
        <f t="shared" si="2"/>
        <v>10000</v>
      </c>
      <c r="K9" s="17">
        <v>80000</v>
      </c>
      <c r="L9" s="18">
        <f t="shared" si="3"/>
        <v>80000</v>
      </c>
      <c r="M9" s="17">
        <v>25000</v>
      </c>
      <c r="N9" s="18">
        <f t="shared" si="4"/>
        <v>25000</v>
      </c>
      <c r="O9" s="17">
        <v>45700</v>
      </c>
      <c r="P9" s="18">
        <f t="shared" si="5"/>
        <v>45700</v>
      </c>
    </row>
    <row r="10" spans="1:16" ht="33" customHeight="1" x14ac:dyDescent="0.25">
      <c r="A10" s="9" t="str">
        <f>'Base Bid Item List'!A22</f>
        <v>0003</v>
      </c>
      <c r="B10" s="37" t="str">
        <f>'Base Bid Item List'!B22</f>
        <v>Work Zone Traffic Control 
(Section 012200)</v>
      </c>
      <c r="C10" s="39">
        <f>'Base Bid Item List'!C22</f>
        <v>1</v>
      </c>
      <c r="D10" s="13" t="str">
        <f>'Base Bid Item List'!D22</f>
        <v>LS</v>
      </c>
      <c r="E10" s="17">
        <v>217450</v>
      </c>
      <c r="F10" s="18">
        <f t="shared" si="0"/>
        <v>217450</v>
      </c>
      <c r="G10" s="17">
        <v>258933.66</v>
      </c>
      <c r="H10" s="18">
        <f t="shared" si="1"/>
        <v>258933.66</v>
      </c>
      <c r="I10" s="17">
        <v>200000</v>
      </c>
      <c r="J10" s="18">
        <f t="shared" si="2"/>
        <v>200000</v>
      </c>
      <c r="K10" s="17">
        <v>375000</v>
      </c>
      <c r="L10" s="18">
        <f t="shared" si="3"/>
        <v>375000</v>
      </c>
      <c r="M10" s="17">
        <v>384999.6</v>
      </c>
      <c r="N10" s="18">
        <f t="shared" si="4"/>
        <v>384999.6</v>
      </c>
      <c r="O10" s="17">
        <v>124300</v>
      </c>
      <c r="P10" s="18">
        <f t="shared" si="5"/>
        <v>124300</v>
      </c>
    </row>
    <row r="11" spans="1:16" ht="33" customHeight="1" x14ac:dyDescent="0.25">
      <c r="A11" s="9" t="str">
        <f>'Base Bid Item List'!A23</f>
        <v>0004</v>
      </c>
      <c r="B11" s="37" t="str">
        <f>'Base Bid Item List'!B23</f>
        <v>Escort
(Section 012200)</v>
      </c>
      <c r="C11" s="39">
        <f>'Base Bid Item List'!C23</f>
        <v>1</v>
      </c>
      <c r="D11" s="13" t="str">
        <f>'Base Bid Item List'!D23</f>
        <v>LS</v>
      </c>
      <c r="E11" s="17">
        <v>360380</v>
      </c>
      <c r="F11" s="18">
        <f t="shared" si="0"/>
        <v>360380</v>
      </c>
      <c r="G11" s="17">
        <v>303403.17</v>
      </c>
      <c r="H11" s="18">
        <f t="shared" si="1"/>
        <v>303403.17</v>
      </c>
      <c r="I11" s="17">
        <v>308500</v>
      </c>
      <c r="J11" s="18">
        <f t="shared" si="2"/>
        <v>308500</v>
      </c>
      <c r="K11" s="17">
        <v>150000</v>
      </c>
      <c r="L11" s="18">
        <f t="shared" si="3"/>
        <v>150000</v>
      </c>
      <c r="M11" s="17">
        <v>400000</v>
      </c>
      <c r="N11" s="18">
        <f t="shared" si="4"/>
        <v>400000</v>
      </c>
      <c r="O11" s="17">
        <v>52700</v>
      </c>
      <c r="P11" s="18">
        <f t="shared" si="5"/>
        <v>52700</v>
      </c>
    </row>
    <row r="12" spans="1:16" ht="33" customHeight="1" x14ac:dyDescent="0.25">
      <c r="A12" s="9" t="str">
        <f>'Base Bid Item List'!A24</f>
        <v>0005</v>
      </c>
      <c r="B12" s="37" t="str">
        <f>'Base Bid Item List'!B24</f>
        <v>Inlet Protection
(Item C-102)</v>
      </c>
      <c r="C12" s="39">
        <f>'Base Bid Item List'!C24</f>
        <v>21</v>
      </c>
      <c r="D12" s="13" t="str">
        <f>'Base Bid Item List'!D24</f>
        <v>Each</v>
      </c>
      <c r="E12" s="17">
        <v>175</v>
      </c>
      <c r="F12" s="18">
        <f t="shared" ref="F12:F75" si="6">QTY*E12</f>
        <v>3675</v>
      </c>
      <c r="G12" s="17">
        <v>136.97999999999999</v>
      </c>
      <c r="H12" s="18">
        <f t="shared" ref="H12:H75" si="7">QTY*G12</f>
        <v>2876.58</v>
      </c>
      <c r="I12" s="17">
        <v>150</v>
      </c>
      <c r="J12" s="18">
        <f t="shared" ref="J12:J75" si="8">QTY*I12</f>
        <v>3150</v>
      </c>
      <c r="K12" s="17">
        <v>175</v>
      </c>
      <c r="L12" s="18">
        <f t="shared" ref="L12:L74" si="9">QTY*K12</f>
        <v>3675</v>
      </c>
      <c r="M12" s="17">
        <v>150</v>
      </c>
      <c r="N12" s="18">
        <f t="shared" si="4"/>
        <v>3150</v>
      </c>
      <c r="O12" s="17">
        <v>203</v>
      </c>
      <c r="P12" s="18">
        <f t="shared" ref="P12:P75" si="10">QTY*O12</f>
        <v>4263</v>
      </c>
    </row>
    <row r="13" spans="1:16" ht="33" customHeight="1" x14ac:dyDescent="0.25">
      <c r="A13" s="9" t="str">
        <f>'Base Bid Item List'!A25</f>
        <v>0006</v>
      </c>
      <c r="B13" s="37" t="str">
        <f>'Base Bid Item List'!B25</f>
        <v>Mobilization
(Item C-105)</v>
      </c>
      <c r="C13" s="39">
        <f>'Base Bid Item List'!C25</f>
        <v>1</v>
      </c>
      <c r="D13" s="13" t="str">
        <f>'Base Bid Item List'!D25</f>
        <v>LS</v>
      </c>
      <c r="E13" s="17">
        <v>51222</v>
      </c>
      <c r="F13" s="18">
        <f t="shared" si="6"/>
        <v>51222</v>
      </c>
      <c r="G13" s="17">
        <v>999374.15</v>
      </c>
      <c r="H13" s="18">
        <f t="shared" si="7"/>
        <v>999374.15</v>
      </c>
      <c r="I13" s="17">
        <v>950000</v>
      </c>
      <c r="J13" s="18">
        <f t="shared" si="8"/>
        <v>950000</v>
      </c>
      <c r="K13" s="17">
        <v>960000</v>
      </c>
      <c r="L13" s="18">
        <f t="shared" si="9"/>
        <v>960000</v>
      </c>
      <c r="M13" s="17">
        <v>875000</v>
      </c>
      <c r="N13" s="18">
        <f t="shared" si="4"/>
        <v>875000</v>
      </c>
      <c r="O13" s="17">
        <v>1019095</v>
      </c>
      <c r="P13" s="18">
        <f t="shared" si="10"/>
        <v>1019095</v>
      </c>
    </row>
    <row r="14" spans="1:16" ht="33" customHeight="1" x14ac:dyDescent="0.25">
      <c r="A14" s="9" t="str">
        <f>'Base Bid Item List'!A26</f>
        <v>0007</v>
      </c>
      <c r="B14" s="37" t="str">
        <f>'Base Bid Item List'!B26</f>
        <v>Pavement Removal (Full Depth Asphalt Concrete, 4-17.5 Inches)
(Item P-101)</v>
      </c>
      <c r="C14" s="39">
        <f>'Base Bid Item List'!C26</f>
        <v>18390</v>
      </c>
      <c r="D14" s="13" t="str">
        <f>'Base Bid Item List'!D26</f>
        <v>SY</v>
      </c>
      <c r="E14" s="17">
        <v>13.7</v>
      </c>
      <c r="F14" s="18">
        <f t="shared" si="6"/>
        <v>251943</v>
      </c>
      <c r="G14" s="17">
        <v>18.09</v>
      </c>
      <c r="H14" s="18">
        <f t="shared" si="7"/>
        <v>332675.09999999998</v>
      </c>
      <c r="I14" s="17">
        <v>17</v>
      </c>
      <c r="J14" s="18">
        <f t="shared" si="8"/>
        <v>312630</v>
      </c>
      <c r="K14" s="17">
        <v>15</v>
      </c>
      <c r="L14" s="18">
        <f t="shared" si="9"/>
        <v>275850</v>
      </c>
      <c r="M14" s="17">
        <v>13</v>
      </c>
      <c r="N14" s="18">
        <f t="shared" si="4"/>
        <v>239070</v>
      </c>
      <c r="O14" s="17">
        <v>29.5</v>
      </c>
      <c r="P14" s="18">
        <f t="shared" si="10"/>
        <v>542505</v>
      </c>
    </row>
    <row r="15" spans="1:16" ht="33" customHeight="1" x14ac:dyDescent="0.25">
      <c r="A15" s="9" t="str">
        <f>'Base Bid Item List'!A27</f>
        <v>0008</v>
      </c>
      <c r="B15" s="37" t="str">
        <f>'Base Bid Item List'!B27</f>
        <v>Joint and Crack Repair
(Item P-101)</v>
      </c>
      <c r="C15" s="39">
        <f>'Base Bid Item List'!C27</f>
        <v>1000</v>
      </c>
      <c r="D15" s="13" t="str">
        <f>'Base Bid Item List'!D27</f>
        <v>LF</v>
      </c>
      <c r="E15" s="17">
        <v>29.5</v>
      </c>
      <c r="F15" s="18">
        <f t="shared" si="6"/>
        <v>29500</v>
      </c>
      <c r="G15" s="17">
        <v>2.0299999999999998</v>
      </c>
      <c r="H15" s="18">
        <f t="shared" si="7"/>
        <v>2029.9999999999998</v>
      </c>
      <c r="I15" s="17">
        <v>16</v>
      </c>
      <c r="J15" s="18">
        <f t="shared" si="8"/>
        <v>16000</v>
      </c>
      <c r="K15" s="17">
        <v>14.25</v>
      </c>
      <c r="L15" s="18">
        <f t="shared" si="9"/>
        <v>14250</v>
      </c>
      <c r="M15" s="17">
        <v>16</v>
      </c>
      <c r="N15" s="18">
        <f t="shared" si="4"/>
        <v>16000</v>
      </c>
      <c r="O15" s="17">
        <v>6.5</v>
      </c>
      <c r="P15" s="18">
        <f t="shared" si="10"/>
        <v>6500</v>
      </c>
    </row>
    <row r="16" spans="1:16" ht="33" customHeight="1" x14ac:dyDescent="0.25">
      <c r="A16" s="9" t="str">
        <f>'Base Bid Item List'!A28</f>
        <v>0009</v>
      </c>
      <c r="B16" s="37" t="str">
        <f>'Base Bid Item List'!B28</f>
        <v>3-5 Inch Cold Milling
(Item P-101)</v>
      </c>
      <c r="C16" s="39">
        <f>'Base Bid Item List'!C28</f>
        <v>16460</v>
      </c>
      <c r="D16" s="13" t="str">
        <f>'Base Bid Item List'!D28</f>
        <v>SY</v>
      </c>
      <c r="E16" s="17">
        <v>4.5</v>
      </c>
      <c r="F16" s="18">
        <f t="shared" si="6"/>
        <v>74070</v>
      </c>
      <c r="G16" s="17">
        <v>18.149999999999999</v>
      </c>
      <c r="H16" s="18">
        <f t="shared" si="7"/>
        <v>298749</v>
      </c>
      <c r="I16" s="17">
        <v>5</v>
      </c>
      <c r="J16" s="18">
        <f t="shared" si="8"/>
        <v>82300</v>
      </c>
      <c r="K16" s="17">
        <v>6.75</v>
      </c>
      <c r="L16" s="18">
        <f t="shared" si="9"/>
        <v>111105</v>
      </c>
      <c r="M16" s="17">
        <v>7</v>
      </c>
      <c r="N16" s="18">
        <f t="shared" si="4"/>
        <v>115220</v>
      </c>
      <c r="O16" s="17">
        <v>6.25</v>
      </c>
      <c r="P16" s="18">
        <f t="shared" si="10"/>
        <v>102875</v>
      </c>
    </row>
    <row r="17" spans="1:16" ht="33" customHeight="1" x14ac:dyDescent="0.25">
      <c r="A17" s="9" t="str">
        <f>'Base Bid Item List'!A29</f>
        <v>0010</v>
      </c>
      <c r="B17" s="37" t="str">
        <f>'Base Bid Item List'!B29</f>
        <v>Removal of Pipe and other Buried Structures
(Item P-101)</v>
      </c>
      <c r="C17" s="39">
        <f>'Base Bid Item List'!C29</f>
        <v>1</v>
      </c>
      <c r="D17" s="13" t="str">
        <f>'Base Bid Item List'!D29</f>
        <v>LS</v>
      </c>
      <c r="E17" s="17">
        <v>136043</v>
      </c>
      <c r="F17" s="18">
        <f t="shared" si="6"/>
        <v>136043</v>
      </c>
      <c r="G17" s="17">
        <v>170985.8</v>
      </c>
      <c r="H17" s="18">
        <f t="shared" si="7"/>
        <v>170985.8</v>
      </c>
      <c r="I17" s="17">
        <v>140000</v>
      </c>
      <c r="J17" s="18">
        <f t="shared" si="8"/>
        <v>140000</v>
      </c>
      <c r="K17" s="17">
        <v>80000</v>
      </c>
      <c r="L17" s="18">
        <f t="shared" si="9"/>
        <v>80000</v>
      </c>
      <c r="M17" s="17">
        <v>100000</v>
      </c>
      <c r="N17" s="18">
        <f t="shared" si="4"/>
        <v>100000</v>
      </c>
      <c r="O17" s="17">
        <v>400000</v>
      </c>
      <c r="P17" s="18">
        <f t="shared" si="10"/>
        <v>400000</v>
      </c>
    </row>
    <row r="18" spans="1:16" ht="33" customHeight="1" x14ac:dyDescent="0.25">
      <c r="A18" s="9" t="str">
        <f>'Base Bid Item List'!A30</f>
        <v>0011</v>
      </c>
      <c r="B18" s="37" t="str">
        <f>'Base Bid Item List'!B30</f>
        <v>Unclassified Excavation
(Item P-152)</v>
      </c>
      <c r="C18" s="39">
        <f>'Base Bid Item List'!C30</f>
        <v>14988</v>
      </c>
      <c r="D18" s="13" t="str">
        <f>'Base Bid Item List'!D30</f>
        <v>CY</v>
      </c>
      <c r="E18" s="17">
        <v>42</v>
      </c>
      <c r="F18" s="18">
        <f t="shared" si="6"/>
        <v>629496</v>
      </c>
      <c r="G18" s="17">
        <v>44.33</v>
      </c>
      <c r="H18" s="18">
        <f t="shared" si="7"/>
        <v>664418.03999999992</v>
      </c>
      <c r="I18" s="17">
        <v>20</v>
      </c>
      <c r="J18" s="18">
        <f t="shared" si="8"/>
        <v>299760</v>
      </c>
      <c r="K18" s="17">
        <v>48</v>
      </c>
      <c r="L18" s="18">
        <f t="shared" si="9"/>
        <v>719424</v>
      </c>
      <c r="M18" s="17">
        <v>20</v>
      </c>
      <c r="N18" s="18">
        <f t="shared" si="4"/>
        <v>299760</v>
      </c>
      <c r="O18" s="17">
        <v>72</v>
      </c>
      <c r="P18" s="18">
        <f t="shared" si="10"/>
        <v>1079136</v>
      </c>
    </row>
    <row r="19" spans="1:16" ht="33" customHeight="1" x14ac:dyDescent="0.25">
      <c r="A19" s="9" t="str">
        <f>'Base Bid Item List'!A31</f>
        <v>0012</v>
      </c>
      <c r="B19" s="37" t="str">
        <f>'Base Bid Item List'!B31</f>
        <v>Existing Subgrade Stabilzation 
(Item P-152)</v>
      </c>
      <c r="C19" s="39">
        <f>'Base Bid Item List'!C31</f>
        <v>744</v>
      </c>
      <c r="D19" s="13" t="str">
        <f>'Base Bid Item List'!D31</f>
        <v>CY</v>
      </c>
      <c r="E19" s="17">
        <v>230</v>
      </c>
      <c r="F19" s="18">
        <f t="shared" si="6"/>
        <v>171120</v>
      </c>
      <c r="G19" s="17">
        <v>244.43</v>
      </c>
      <c r="H19" s="18">
        <f t="shared" si="7"/>
        <v>181855.92</v>
      </c>
      <c r="I19" s="17">
        <v>104</v>
      </c>
      <c r="J19" s="18">
        <f t="shared" si="8"/>
        <v>77376</v>
      </c>
      <c r="K19" s="17">
        <v>163</v>
      </c>
      <c r="L19" s="18">
        <f t="shared" si="9"/>
        <v>121272</v>
      </c>
      <c r="M19" s="17">
        <v>125</v>
      </c>
      <c r="N19" s="18">
        <f t="shared" si="4"/>
        <v>93000</v>
      </c>
      <c r="O19" s="17">
        <v>153</v>
      </c>
      <c r="P19" s="18">
        <f t="shared" si="10"/>
        <v>113832</v>
      </c>
    </row>
    <row r="20" spans="1:16" ht="33" customHeight="1" x14ac:dyDescent="0.25">
      <c r="A20" s="9" t="str">
        <f>'Base Bid Item List'!A32</f>
        <v>0013</v>
      </c>
      <c r="B20" s="37" t="str">
        <f>'Base Bid Item List'!B32</f>
        <v>Subbase Course 
(Item P-154)</v>
      </c>
      <c r="C20" s="39">
        <f>'Base Bid Item List'!C32</f>
        <v>4700</v>
      </c>
      <c r="D20" s="13" t="str">
        <f>'Base Bid Item List'!D32</f>
        <v>CY</v>
      </c>
      <c r="E20" s="17">
        <v>76.900000000000006</v>
      </c>
      <c r="F20" s="18">
        <f t="shared" si="6"/>
        <v>361430</v>
      </c>
      <c r="G20" s="17">
        <v>42.75</v>
      </c>
      <c r="H20" s="18">
        <f t="shared" si="7"/>
        <v>200925</v>
      </c>
      <c r="I20" s="17">
        <v>83</v>
      </c>
      <c r="J20" s="18">
        <f t="shared" si="8"/>
        <v>390100</v>
      </c>
      <c r="K20" s="17">
        <v>39</v>
      </c>
      <c r="L20" s="18">
        <f t="shared" si="9"/>
        <v>183300</v>
      </c>
      <c r="M20" s="17">
        <v>40</v>
      </c>
      <c r="N20" s="18">
        <f t="shared" si="4"/>
        <v>188000</v>
      </c>
      <c r="O20" s="17">
        <v>101</v>
      </c>
      <c r="P20" s="18">
        <f t="shared" si="10"/>
        <v>474700</v>
      </c>
    </row>
    <row r="21" spans="1:16" ht="33" customHeight="1" x14ac:dyDescent="0.25">
      <c r="A21" s="9" t="str">
        <f>'Base Bid Item List'!A33</f>
        <v>0014</v>
      </c>
      <c r="B21" s="37" t="str">
        <f>'Base Bid Item List'!B33</f>
        <v>Separation Geotextile
(Item P-154)</v>
      </c>
      <c r="C21" s="39">
        <f>'Base Bid Item List'!C33</f>
        <v>24800</v>
      </c>
      <c r="D21" s="13" t="str">
        <f>'Base Bid Item List'!D33</f>
        <v>SY</v>
      </c>
      <c r="E21" s="17">
        <v>1.92</v>
      </c>
      <c r="F21" s="18">
        <f t="shared" si="6"/>
        <v>47616</v>
      </c>
      <c r="G21" s="17">
        <v>3.32</v>
      </c>
      <c r="H21" s="18">
        <f t="shared" si="7"/>
        <v>82336</v>
      </c>
      <c r="I21" s="17">
        <v>1.3</v>
      </c>
      <c r="J21" s="18">
        <f t="shared" si="8"/>
        <v>32240</v>
      </c>
      <c r="K21" s="17">
        <v>1.75</v>
      </c>
      <c r="L21" s="18">
        <f t="shared" si="9"/>
        <v>43400</v>
      </c>
      <c r="M21" s="17">
        <v>2</v>
      </c>
      <c r="N21" s="18">
        <f t="shared" si="4"/>
        <v>49600</v>
      </c>
      <c r="O21" s="17">
        <v>2.5</v>
      </c>
      <c r="P21" s="18">
        <f t="shared" si="10"/>
        <v>62000</v>
      </c>
    </row>
    <row r="22" spans="1:16" ht="33" customHeight="1" x14ac:dyDescent="0.25">
      <c r="A22" s="9" t="str">
        <f>'Base Bid Item List'!A34</f>
        <v>0015</v>
      </c>
      <c r="B22" s="37" t="str">
        <f>'Base Bid Item List'!B34</f>
        <v>Crushed Aggregate Base Course
(Item P-209)</v>
      </c>
      <c r="C22" s="39">
        <f>'Base Bid Item List'!C34</f>
        <v>8150</v>
      </c>
      <c r="D22" s="13" t="str">
        <f>'Base Bid Item List'!D34</f>
        <v>CY</v>
      </c>
      <c r="E22" s="17">
        <v>87.5</v>
      </c>
      <c r="F22" s="18">
        <f t="shared" si="6"/>
        <v>713125</v>
      </c>
      <c r="G22" s="17">
        <v>100.59</v>
      </c>
      <c r="H22" s="18">
        <f t="shared" si="7"/>
        <v>819808.5</v>
      </c>
      <c r="I22" s="17">
        <v>92</v>
      </c>
      <c r="J22" s="18">
        <f t="shared" si="8"/>
        <v>749800</v>
      </c>
      <c r="K22" s="17">
        <v>117.5</v>
      </c>
      <c r="L22" s="18">
        <f t="shared" si="9"/>
        <v>957625</v>
      </c>
      <c r="M22" s="17">
        <v>80</v>
      </c>
      <c r="N22" s="18">
        <f t="shared" si="4"/>
        <v>652000</v>
      </c>
      <c r="O22" s="17">
        <v>106</v>
      </c>
      <c r="P22" s="18">
        <f t="shared" si="10"/>
        <v>863900</v>
      </c>
    </row>
    <row r="23" spans="1:16" ht="33" customHeight="1" x14ac:dyDescent="0.25">
      <c r="A23" s="9" t="str">
        <f>'Base Bid Item List'!A35</f>
        <v>0016</v>
      </c>
      <c r="B23" s="37" t="str">
        <f>'Base Bid Item List'!B35</f>
        <v>Asphalt Surface Course
(Item P-401)</v>
      </c>
      <c r="C23" s="39">
        <f>'Base Bid Item List'!C35</f>
        <v>8760</v>
      </c>
      <c r="D23" s="13" t="str">
        <f>'Base Bid Item List'!D35</f>
        <v>Ton</v>
      </c>
      <c r="E23" s="17">
        <v>201</v>
      </c>
      <c r="F23" s="18">
        <f t="shared" si="6"/>
        <v>1760760</v>
      </c>
      <c r="G23" s="17">
        <v>200.23</v>
      </c>
      <c r="H23" s="18">
        <f t="shared" si="7"/>
        <v>1754014.7999999998</v>
      </c>
      <c r="I23" s="17">
        <v>190</v>
      </c>
      <c r="J23" s="18">
        <f t="shared" si="8"/>
        <v>1664400</v>
      </c>
      <c r="K23" s="17">
        <v>161.5</v>
      </c>
      <c r="L23" s="18">
        <f t="shared" si="9"/>
        <v>1414740</v>
      </c>
      <c r="M23" s="17">
        <v>185</v>
      </c>
      <c r="N23" s="18">
        <f t="shared" si="4"/>
        <v>1620600</v>
      </c>
      <c r="O23" s="17">
        <v>187</v>
      </c>
      <c r="P23" s="18">
        <f t="shared" si="10"/>
        <v>1638120</v>
      </c>
    </row>
    <row r="24" spans="1:16" ht="33" customHeight="1" x14ac:dyDescent="0.25">
      <c r="A24" s="9" t="str">
        <f>'Base Bid Item List'!A36</f>
        <v>0017</v>
      </c>
      <c r="B24" s="37" t="str">
        <f>'Base Bid Item List'!B36</f>
        <v>Asphalt Mixture Base Course 
(Item P-403)</v>
      </c>
      <c r="C24" s="39">
        <f>'Base Bid Item List'!C36</f>
        <v>11540</v>
      </c>
      <c r="D24" s="13" t="str">
        <f>'Base Bid Item List'!D36</f>
        <v>Ton</v>
      </c>
      <c r="E24" s="17">
        <v>201</v>
      </c>
      <c r="F24" s="18">
        <f t="shared" si="6"/>
        <v>2319540</v>
      </c>
      <c r="G24" s="17">
        <v>174.42</v>
      </c>
      <c r="H24" s="18">
        <f t="shared" si="7"/>
        <v>2012806.7999999998</v>
      </c>
      <c r="I24" s="17">
        <v>192</v>
      </c>
      <c r="J24" s="18">
        <f t="shared" si="8"/>
        <v>2215680</v>
      </c>
      <c r="K24" s="17">
        <v>161.5</v>
      </c>
      <c r="L24" s="18">
        <f t="shared" si="9"/>
        <v>1863710</v>
      </c>
      <c r="M24" s="17">
        <v>185</v>
      </c>
      <c r="N24" s="18">
        <f t="shared" si="4"/>
        <v>2134900</v>
      </c>
      <c r="O24" s="17">
        <v>187</v>
      </c>
      <c r="P24" s="18">
        <f t="shared" si="10"/>
        <v>2157980</v>
      </c>
    </row>
    <row r="25" spans="1:16" ht="33" customHeight="1" x14ac:dyDescent="0.25">
      <c r="A25" s="9" t="str">
        <f>'Base Bid Item List'!A37</f>
        <v>0018</v>
      </c>
      <c r="B25" s="37" t="str">
        <f>'Base Bid Item List'!B37</f>
        <v>Emulsified Asphalt Tack Coat
(Item P-603)</v>
      </c>
      <c r="C25" s="39">
        <f>'Base Bid Item List'!C37</f>
        <v>8710</v>
      </c>
      <c r="D25" s="13" t="str">
        <f>'Base Bid Item List'!D37</f>
        <v>Gal</v>
      </c>
      <c r="E25" s="17">
        <v>9.1</v>
      </c>
      <c r="F25" s="18">
        <f t="shared" si="6"/>
        <v>79261</v>
      </c>
      <c r="G25" s="17">
        <v>9.57</v>
      </c>
      <c r="H25" s="18">
        <f t="shared" si="7"/>
        <v>83354.7</v>
      </c>
      <c r="I25" s="17">
        <v>8</v>
      </c>
      <c r="J25" s="18">
        <f t="shared" si="8"/>
        <v>69680</v>
      </c>
      <c r="K25" s="17">
        <v>7.25</v>
      </c>
      <c r="L25" s="18">
        <f t="shared" si="9"/>
        <v>63147.5</v>
      </c>
      <c r="M25" s="17">
        <v>8</v>
      </c>
      <c r="N25" s="18">
        <f t="shared" si="4"/>
        <v>69680</v>
      </c>
      <c r="O25" s="17">
        <v>10</v>
      </c>
      <c r="P25" s="18">
        <f t="shared" si="10"/>
        <v>87100</v>
      </c>
    </row>
    <row r="26" spans="1:16" ht="33" customHeight="1" x14ac:dyDescent="0.25">
      <c r="A26" s="9" t="str">
        <f>'Base Bid Item List'!A38</f>
        <v>0019</v>
      </c>
      <c r="B26" s="37" t="str">
        <f>'Base Bid Item List'!B38</f>
        <v>Joint Sealing Filler                                      
(Item P-605)</v>
      </c>
      <c r="C26" s="39">
        <f>'Base Bid Item List'!C38</f>
        <v>122</v>
      </c>
      <c r="D26" s="13" t="str">
        <f>'Base Bid Item List'!D38</f>
        <v>Gal</v>
      </c>
      <c r="E26" s="17">
        <v>884</v>
      </c>
      <c r="F26" s="18">
        <f t="shared" si="6"/>
        <v>107848</v>
      </c>
      <c r="G26" s="17">
        <v>188.72</v>
      </c>
      <c r="H26" s="18">
        <f t="shared" si="7"/>
        <v>23023.84</v>
      </c>
      <c r="I26" s="17">
        <v>213</v>
      </c>
      <c r="J26" s="18">
        <f t="shared" si="8"/>
        <v>25986</v>
      </c>
      <c r="K26" s="17">
        <v>186</v>
      </c>
      <c r="L26" s="18">
        <f t="shared" si="9"/>
        <v>22692</v>
      </c>
      <c r="M26" s="17">
        <v>200</v>
      </c>
      <c r="N26" s="18">
        <f t="shared" si="4"/>
        <v>24400</v>
      </c>
      <c r="O26" s="17">
        <v>240</v>
      </c>
      <c r="P26" s="18">
        <f t="shared" si="10"/>
        <v>29280</v>
      </c>
    </row>
    <row r="27" spans="1:16" ht="33" customHeight="1" x14ac:dyDescent="0.25">
      <c r="A27" s="9" t="str">
        <f>'Base Bid Item List'!A39</f>
        <v>0020</v>
      </c>
      <c r="B27" s="37" t="str">
        <f>'Base Bid Item List'!B39</f>
        <v>Adhesive Compound  
(Item P-606)</v>
      </c>
      <c r="C27" s="39">
        <f>'Base Bid Item List'!C39</f>
        <v>88</v>
      </c>
      <c r="D27" s="13" t="str">
        <f>'Base Bid Item List'!D39</f>
        <v>Gal</v>
      </c>
      <c r="E27" s="17">
        <v>324</v>
      </c>
      <c r="F27" s="18">
        <f t="shared" si="6"/>
        <v>28512</v>
      </c>
      <c r="G27" s="17">
        <v>192.78</v>
      </c>
      <c r="H27" s="18">
        <f t="shared" si="7"/>
        <v>16964.64</v>
      </c>
      <c r="I27" s="17">
        <v>217</v>
      </c>
      <c r="J27" s="18">
        <f t="shared" si="8"/>
        <v>19096</v>
      </c>
      <c r="K27" s="17">
        <v>190</v>
      </c>
      <c r="L27" s="18">
        <f t="shared" si="9"/>
        <v>16720</v>
      </c>
      <c r="M27" s="17">
        <v>215</v>
      </c>
      <c r="N27" s="18">
        <f t="shared" si="4"/>
        <v>18920</v>
      </c>
      <c r="O27" s="17">
        <v>260</v>
      </c>
      <c r="P27" s="18">
        <f t="shared" si="10"/>
        <v>22880</v>
      </c>
    </row>
    <row r="28" spans="1:16" ht="33" customHeight="1" x14ac:dyDescent="0.25">
      <c r="A28" s="9" t="str">
        <f>'Base Bid Item List'!A40</f>
        <v>0021</v>
      </c>
      <c r="B28" s="37" t="str">
        <f>'Base Bid Item List'!B40</f>
        <v>Structural Portland Cement Concrete
(Item P-610)</v>
      </c>
      <c r="C28" s="39">
        <f>'Base Bid Item List'!C40</f>
        <v>89</v>
      </c>
      <c r="D28" s="13" t="str">
        <f>'Base Bid Item List'!D40</f>
        <v>CY</v>
      </c>
      <c r="E28" s="17">
        <v>723</v>
      </c>
      <c r="F28" s="18">
        <f t="shared" si="6"/>
        <v>64347</v>
      </c>
      <c r="G28" s="17">
        <v>800.13</v>
      </c>
      <c r="H28" s="18">
        <f t="shared" si="7"/>
        <v>71211.569999999992</v>
      </c>
      <c r="I28" s="17">
        <v>320</v>
      </c>
      <c r="J28" s="18">
        <f t="shared" si="8"/>
        <v>28480</v>
      </c>
      <c r="K28" s="17">
        <v>280</v>
      </c>
      <c r="L28" s="18">
        <f t="shared" si="9"/>
        <v>24920</v>
      </c>
      <c r="M28" s="17">
        <v>300</v>
      </c>
      <c r="N28" s="18">
        <f t="shared" si="4"/>
        <v>26700</v>
      </c>
      <c r="O28" s="17">
        <v>477</v>
      </c>
      <c r="P28" s="18">
        <f t="shared" si="10"/>
        <v>42453</v>
      </c>
    </row>
    <row r="29" spans="1:16" ht="33" customHeight="1" x14ac:dyDescent="0.25">
      <c r="A29" s="9" t="str">
        <f>'Base Bid Item List'!A41</f>
        <v>0022</v>
      </c>
      <c r="B29" s="37" t="str">
        <f>'Base Bid Item List'!B41</f>
        <v>Surface Preparation
(Item P-620)</v>
      </c>
      <c r="C29" s="39">
        <f>'Base Bid Item List'!C41</f>
        <v>1</v>
      </c>
      <c r="D29" s="13" t="str">
        <f>'Base Bid Item List'!D41</f>
        <v>LS</v>
      </c>
      <c r="E29" s="17">
        <v>25765</v>
      </c>
      <c r="F29" s="18">
        <f t="shared" si="6"/>
        <v>25765</v>
      </c>
      <c r="G29" s="17">
        <v>24701.02</v>
      </c>
      <c r="H29" s="18">
        <f t="shared" si="7"/>
        <v>24701.02</v>
      </c>
      <c r="I29" s="17">
        <v>19000</v>
      </c>
      <c r="J29" s="18">
        <f t="shared" si="8"/>
        <v>19000</v>
      </c>
      <c r="K29" s="17">
        <v>16850</v>
      </c>
      <c r="L29" s="18">
        <f t="shared" si="9"/>
        <v>16850</v>
      </c>
      <c r="M29" s="17">
        <v>25000</v>
      </c>
      <c r="N29" s="18">
        <f t="shared" si="4"/>
        <v>25000</v>
      </c>
      <c r="O29" s="17">
        <v>2500</v>
      </c>
      <c r="P29" s="18">
        <f t="shared" si="10"/>
        <v>2500</v>
      </c>
    </row>
    <row r="30" spans="1:16" ht="33" customHeight="1" x14ac:dyDescent="0.25">
      <c r="A30" s="9" t="str">
        <f>'Base Bid Item List'!A42</f>
        <v>0023</v>
      </c>
      <c r="B30" s="37" t="str">
        <f>'Base Bid Item List'!B42</f>
        <v>Permanent Pavement Marking
(Item P-620)</v>
      </c>
      <c r="C30" s="39">
        <f>'Base Bid Item List'!C42</f>
        <v>29101</v>
      </c>
      <c r="D30" s="13" t="str">
        <f>'Base Bid Item List'!D42</f>
        <v>SF</v>
      </c>
      <c r="E30" s="17">
        <v>1.25</v>
      </c>
      <c r="F30" s="18">
        <f t="shared" si="6"/>
        <v>36376.25</v>
      </c>
      <c r="G30" s="17">
        <v>1.19</v>
      </c>
      <c r="H30" s="18">
        <f t="shared" si="7"/>
        <v>34630.189999999995</v>
      </c>
      <c r="I30" s="17">
        <v>1.25</v>
      </c>
      <c r="J30" s="18">
        <f t="shared" si="8"/>
        <v>36376.25</v>
      </c>
      <c r="K30" s="17">
        <v>1.05</v>
      </c>
      <c r="L30" s="18">
        <f t="shared" si="9"/>
        <v>30556.050000000003</v>
      </c>
      <c r="M30" s="17">
        <v>1.3</v>
      </c>
      <c r="N30" s="18">
        <f t="shared" si="4"/>
        <v>37831.300000000003</v>
      </c>
      <c r="O30" s="17">
        <v>6</v>
      </c>
      <c r="P30" s="18">
        <f t="shared" si="10"/>
        <v>174606</v>
      </c>
    </row>
    <row r="31" spans="1:16" ht="33" customHeight="1" x14ac:dyDescent="0.25">
      <c r="A31" s="9" t="str">
        <f>'Base Bid Item List'!A43</f>
        <v>0024</v>
      </c>
      <c r="B31" s="37" t="str">
        <f>'Base Bid Item List'!B43</f>
        <v>Reflective Media
(Item P-620)</v>
      </c>
      <c r="C31" s="39">
        <f>'Base Bid Item List'!C43</f>
        <v>805</v>
      </c>
      <c r="D31" s="13" t="str">
        <f>'Base Bid Item List'!D43</f>
        <v>LB</v>
      </c>
      <c r="E31" s="17">
        <v>1.2</v>
      </c>
      <c r="F31" s="18">
        <f t="shared" si="6"/>
        <v>966</v>
      </c>
      <c r="G31" s="17">
        <v>1.1299999999999999</v>
      </c>
      <c r="H31" s="18">
        <f t="shared" si="7"/>
        <v>909.64999999999986</v>
      </c>
      <c r="I31" s="17">
        <v>1.1499999999999999</v>
      </c>
      <c r="J31" s="18">
        <f t="shared" si="8"/>
        <v>925.74999999999989</v>
      </c>
      <c r="K31" s="17">
        <v>1</v>
      </c>
      <c r="L31" s="18">
        <f t="shared" si="9"/>
        <v>805</v>
      </c>
      <c r="M31" s="17">
        <v>1.25</v>
      </c>
      <c r="N31" s="18">
        <f t="shared" si="4"/>
        <v>1006.25</v>
      </c>
      <c r="O31" s="17">
        <v>2.25</v>
      </c>
      <c r="P31" s="18">
        <f t="shared" si="10"/>
        <v>1811.25</v>
      </c>
    </row>
    <row r="32" spans="1:16" ht="33" customHeight="1" x14ac:dyDescent="0.25">
      <c r="A32" s="9" t="str">
        <f>'Base Bid Item List'!A44</f>
        <v>0025</v>
      </c>
      <c r="B32" s="37" t="str">
        <f>'Base Bid Item List'!B44</f>
        <v>Temporary Pavement Marking
(Item P-620)</v>
      </c>
      <c r="C32" s="39">
        <f>'Base Bid Item List'!C44</f>
        <v>10668</v>
      </c>
      <c r="D32" s="13" t="str">
        <f>'Base Bid Item List'!D44</f>
        <v>SF</v>
      </c>
      <c r="E32" s="17">
        <v>1</v>
      </c>
      <c r="F32" s="18">
        <f t="shared" si="6"/>
        <v>10668</v>
      </c>
      <c r="G32" s="17">
        <v>1.08</v>
      </c>
      <c r="H32" s="18">
        <f t="shared" si="7"/>
        <v>11521.44</v>
      </c>
      <c r="I32" s="17">
        <v>1.1000000000000001</v>
      </c>
      <c r="J32" s="18">
        <f t="shared" si="8"/>
        <v>11734.800000000001</v>
      </c>
      <c r="K32" s="17">
        <v>0.95</v>
      </c>
      <c r="L32" s="18">
        <f t="shared" si="9"/>
        <v>10134.6</v>
      </c>
      <c r="M32" s="17">
        <v>1.2</v>
      </c>
      <c r="N32" s="18">
        <f t="shared" si="4"/>
        <v>12801.6</v>
      </c>
      <c r="O32" s="17">
        <v>3</v>
      </c>
      <c r="P32" s="18">
        <f t="shared" si="10"/>
        <v>32004</v>
      </c>
    </row>
    <row r="33" spans="1:16" ht="33" customHeight="1" x14ac:dyDescent="0.25">
      <c r="A33" s="9" t="str">
        <f>'Base Bid Item List'!A45</f>
        <v>0026</v>
      </c>
      <c r="B33" s="37" t="str">
        <f>'Base Bid Item List'!B45</f>
        <v>STS Drain Pipe (18-inch)
(Item D-701)</v>
      </c>
      <c r="C33" s="39">
        <f>'Base Bid Item List'!C45</f>
        <v>393</v>
      </c>
      <c r="D33" s="13" t="str">
        <f>'Base Bid Item List'!D45</f>
        <v>LF</v>
      </c>
      <c r="E33" s="17">
        <v>247</v>
      </c>
      <c r="F33" s="18">
        <f t="shared" si="6"/>
        <v>97071</v>
      </c>
      <c r="G33" s="17">
        <v>143.54</v>
      </c>
      <c r="H33" s="18">
        <f t="shared" si="7"/>
        <v>56411.219999999994</v>
      </c>
      <c r="I33" s="17">
        <v>105</v>
      </c>
      <c r="J33" s="18">
        <f t="shared" si="8"/>
        <v>41265</v>
      </c>
      <c r="K33" s="17">
        <v>204</v>
      </c>
      <c r="L33" s="18">
        <f t="shared" si="9"/>
        <v>80172</v>
      </c>
      <c r="M33" s="17">
        <v>100</v>
      </c>
      <c r="N33" s="18">
        <f t="shared" si="4"/>
        <v>39300</v>
      </c>
      <c r="O33" s="17">
        <v>213</v>
      </c>
      <c r="P33" s="18">
        <f t="shared" si="10"/>
        <v>83709</v>
      </c>
    </row>
    <row r="34" spans="1:16" ht="33" customHeight="1" x14ac:dyDescent="0.25">
      <c r="A34" s="9" t="str">
        <f>'Base Bid Item List'!A46</f>
        <v>0027</v>
      </c>
      <c r="B34" s="37" t="str">
        <f>'Base Bid Item List'!B46</f>
        <v>STS Drain Pipe (24-inch)
(Item D-701)</v>
      </c>
      <c r="C34" s="39">
        <f>'Base Bid Item List'!C46</f>
        <v>1220</v>
      </c>
      <c r="D34" s="13" t="str">
        <f>'Base Bid Item List'!D46</f>
        <v>LF</v>
      </c>
      <c r="E34" s="17">
        <v>360</v>
      </c>
      <c r="F34" s="18">
        <f t="shared" si="6"/>
        <v>439200</v>
      </c>
      <c r="G34" s="17">
        <v>336.72</v>
      </c>
      <c r="H34" s="18">
        <f t="shared" si="7"/>
        <v>410798.4</v>
      </c>
      <c r="I34" s="17">
        <v>208</v>
      </c>
      <c r="J34" s="18">
        <f t="shared" si="8"/>
        <v>253760</v>
      </c>
      <c r="K34" s="17">
        <v>331</v>
      </c>
      <c r="L34" s="18">
        <f t="shared" si="9"/>
        <v>403820</v>
      </c>
      <c r="M34" s="17">
        <v>130</v>
      </c>
      <c r="N34" s="18">
        <f t="shared" si="4"/>
        <v>158600</v>
      </c>
      <c r="O34" s="17">
        <v>262</v>
      </c>
      <c r="P34" s="18">
        <f t="shared" si="10"/>
        <v>319640</v>
      </c>
    </row>
    <row r="35" spans="1:16" ht="33" customHeight="1" x14ac:dyDescent="0.25">
      <c r="A35" s="9" t="str">
        <f>'Base Bid Item List'!A47</f>
        <v>0028</v>
      </c>
      <c r="B35" s="37" t="str">
        <f>'Base Bid Item List'!B47</f>
        <v>Perforated Underdrain Pipe (6-inch)
(Item D-705)</v>
      </c>
      <c r="C35" s="39">
        <f>'Base Bid Item List'!C47</f>
        <v>2325</v>
      </c>
      <c r="D35" s="13" t="str">
        <f>'Base Bid Item List'!D47</f>
        <v>LF</v>
      </c>
      <c r="E35" s="17">
        <v>99</v>
      </c>
      <c r="F35" s="18">
        <f t="shared" si="6"/>
        <v>230175</v>
      </c>
      <c r="G35" s="17">
        <v>68.56</v>
      </c>
      <c r="H35" s="18">
        <f t="shared" si="7"/>
        <v>159402</v>
      </c>
      <c r="I35" s="17">
        <v>47</v>
      </c>
      <c r="J35" s="18">
        <f t="shared" si="8"/>
        <v>109275</v>
      </c>
      <c r="K35" s="17">
        <v>59</v>
      </c>
      <c r="L35" s="18">
        <f t="shared" si="9"/>
        <v>137175</v>
      </c>
      <c r="M35" s="17">
        <v>40</v>
      </c>
      <c r="N35" s="18">
        <f t="shared" si="4"/>
        <v>93000</v>
      </c>
      <c r="O35" s="17">
        <v>40</v>
      </c>
      <c r="P35" s="18">
        <f t="shared" si="10"/>
        <v>93000</v>
      </c>
    </row>
    <row r="36" spans="1:16" ht="33" customHeight="1" x14ac:dyDescent="0.25">
      <c r="A36" s="9" t="str">
        <f>'Base Bid Item List'!A48</f>
        <v>0029</v>
      </c>
      <c r="B36" s="37" t="str">
        <f>'Base Bid Item List'!B48</f>
        <v>Non-Perforated Underdrain Pipe 
(6-inch)
(Item D-705)</v>
      </c>
      <c r="C36" s="39">
        <f>'Base Bid Item List'!C48</f>
        <v>174</v>
      </c>
      <c r="D36" s="13" t="str">
        <f>'Base Bid Item List'!D48</f>
        <v>LF</v>
      </c>
      <c r="E36" s="17">
        <v>112</v>
      </c>
      <c r="F36" s="18">
        <f t="shared" si="6"/>
        <v>19488</v>
      </c>
      <c r="G36" s="17">
        <v>103.3</v>
      </c>
      <c r="H36" s="18">
        <f t="shared" si="7"/>
        <v>17974.2</v>
      </c>
      <c r="I36" s="17">
        <v>58</v>
      </c>
      <c r="J36" s="18">
        <f t="shared" si="8"/>
        <v>10092</v>
      </c>
      <c r="K36" s="17">
        <v>107</v>
      </c>
      <c r="L36" s="18">
        <f t="shared" si="9"/>
        <v>18618</v>
      </c>
      <c r="M36" s="17">
        <v>70</v>
      </c>
      <c r="N36" s="18">
        <f t="shared" si="4"/>
        <v>12180</v>
      </c>
      <c r="O36" s="17">
        <v>40</v>
      </c>
      <c r="P36" s="18">
        <f t="shared" si="10"/>
        <v>6960</v>
      </c>
    </row>
    <row r="37" spans="1:16" ht="33" customHeight="1" x14ac:dyDescent="0.25">
      <c r="A37" s="9" t="str">
        <f>'Base Bid Item List'!A49</f>
        <v>0030</v>
      </c>
      <c r="B37" s="37" t="str">
        <f>'Base Bid Item List'!B49</f>
        <v>60-Inch Manholes
(Item D-751)</v>
      </c>
      <c r="C37" s="39">
        <f>'Base Bid Item List'!C49</f>
        <v>5</v>
      </c>
      <c r="D37" s="13" t="str">
        <f>'Base Bid Item List'!D49</f>
        <v>Each</v>
      </c>
      <c r="E37" s="17">
        <v>14720</v>
      </c>
      <c r="F37" s="18">
        <f t="shared" si="6"/>
        <v>73600</v>
      </c>
      <c r="G37" s="17">
        <v>15465.62</v>
      </c>
      <c r="H37" s="18">
        <f t="shared" si="7"/>
        <v>77328.100000000006</v>
      </c>
      <c r="I37" s="17">
        <v>17100</v>
      </c>
      <c r="J37" s="18">
        <f t="shared" si="8"/>
        <v>85500</v>
      </c>
      <c r="K37" s="17">
        <v>26500</v>
      </c>
      <c r="L37" s="18">
        <f t="shared" si="9"/>
        <v>132500</v>
      </c>
      <c r="M37" s="17">
        <v>16500</v>
      </c>
      <c r="N37" s="18">
        <f t="shared" si="4"/>
        <v>82500</v>
      </c>
      <c r="O37" s="17">
        <v>11100</v>
      </c>
      <c r="P37" s="18">
        <f t="shared" si="10"/>
        <v>55500</v>
      </c>
    </row>
    <row r="38" spans="1:16" ht="33" customHeight="1" x14ac:dyDescent="0.25">
      <c r="A38" s="9" t="str">
        <f>'Base Bid Item List'!A50</f>
        <v>0031</v>
      </c>
      <c r="B38" s="37" t="str">
        <f>'Base Bid Item List'!B50</f>
        <v>Catch Basins
(Item D-751)</v>
      </c>
      <c r="C38" s="39">
        <f>'Base Bid Item List'!C50</f>
        <v>3</v>
      </c>
      <c r="D38" s="13" t="str">
        <f>'Base Bid Item List'!D50</f>
        <v>Each</v>
      </c>
      <c r="E38" s="17">
        <v>10300</v>
      </c>
      <c r="F38" s="18">
        <f t="shared" si="6"/>
        <v>30900</v>
      </c>
      <c r="G38" s="17">
        <v>15681.25</v>
      </c>
      <c r="H38" s="18">
        <f t="shared" si="7"/>
        <v>47043.75</v>
      </c>
      <c r="I38" s="17">
        <v>11700</v>
      </c>
      <c r="J38" s="18">
        <f t="shared" si="8"/>
        <v>35100</v>
      </c>
      <c r="K38" s="17">
        <v>17900</v>
      </c>
      <c r="L38" s="18">
        <f t="shared" si="9"/>
        <v>53700</v>
      </c>
      <c r="M38" s="17">
        <v>12000</v>
      </c>
      <c r="N38" s="18">
        <f t="shared" si="4"/>
        <v>36000</v>
      </c>
      <c r="O38" s="17">
        <v>8700</v>
      </c>
      <c r="P38" s="18">
        <f t="shared" si="10"/>
        <v>26100</v>
      </c>
    </row>
    <row r="39" spans="1:16" ht="33" customHeight="1" x14ac:dyDescent="0.25">
      <c r="A39" s="9" t="str">
        <f>'Base Bid Item List'!A51</f>
        <v>0032</v>
      </c>
      <c r="B39" s="37" t="str">
        <f>'Base Bid Item List'!B51</f>
        <v>Underdrain Cleanout
(Item D-751)</v>
      </c>
      <c r="C39" s="39">
        <f>'Base Bid Item List'!C51</f>
        <v>12</v>
      </c>
      <c r="D39" s="13" t="str">
        <f>'Base Bid Item List'!D51</f>
        <v>Each</v>
      </c>
      <c r="E39" s="17">
        <v>2760</v>
      </c>
      <c r="F39" s="18">
        <f t="shared" si="6"/>
        <v>33120</v>
      </c>
      <c r="G39" s="17">
        <v>1515.97</v>
      </c>
      <c r="H39" s="18">
        <f t="shared" si="7"/>
        <v>18191.64</v>
      </c>
      <c r="I39" s="17">
        <v>1850</v>
      </c>
      <c r="J39" s="18">
        <f t="shared" si="8"/>
        <v>22200</v>
      </c>
      <c r="K39" s="17">
        <v>1500</v>
      </c>
      <c r="L39" s="18">
        <f t="shared" si="9"/>
        <v>18000</v>
      </c>
      <c r="M39" s="17">
        <v>1500</v>
      </c>
      <c r="N39" s="18">
        <f t="shared" si="4"/>
        <v>18000</v>
      </c>
      <c r="O39" s="17">
        <v>2000</v>
      </c>
      <c r="P39" s="18">
        <f t="shared" si="10"/>
        <v>24000</v>
      </c>
    </row>
    <row r="40" spans="1:16" ht="33" customHeight="1" x14ac:dyDescent="0.25">
      <c r="A40" s="9" t="str">
        <f>'Base Bid Item List'!A52</f>
        <v>0033</v>
      </c>
      <c r="B40" s="37" t="str">
        <f>'Base Bid Item List'!B52</f>
        <v>Connect to Existing Catch Basin/Manhole
(Item D-751)</v>
      </c>
      <c r="C40" s="39">
        <f>'Base Bid Item List'!C52</f>
        <v>5</v>
      </c>
      <c r="D40" s="13" t="str">
        <f>'Base Bid Item List'!D52</f>
        <v>Each</v>
      </c>
      <c r="E40" s="17">
        <v>4430</v>
      </c>
      <c r="F40" s="18">
        <f t="shared" si="6"/>
        <v>22150</v>
      </c>
      <c r="G40" s="17">
        <v>3989.62</v>
      </c>
      <c r="H40" s="18">
        <f t="shared" si="7"/>
        <v>19948.099999999999</v>
      </c>
      <c r="I40" s="17">
        <v>5250</v>
      </c>
      <c r="J40" s="18">
        <f t="shared" si="8"/>
        <v>26250</v>
      </c>
      <c r="K40" s="17">
        <v>2800</v>
      </c>
      <c r="L40" s="18">
        <f t="shared" si="9"/>
        <v>14000</v>
      </c>
      <c r="M40" s="17">
        <v>3000</v>
      </c>
      <c r="N40" s="18">
        <f t="shared" si="4"/>
        <v>15000</v>
      </c>
      <c r="O40" s="17">
        <v>1600</v>
      </c>
      <c r="P40" s="18">
        <f t="shared" si="10"/>
        <v>8000</v>
      </c>
    </row>
    <row r="41" spans="1:16" ht="33" customHeight="1" x14ac:dyDescent="0.25">
      <c r="A41" s="9" t="str">
        <f>'Base Bid Item List'!A53</f>
        <v>0034</v>
      </c>
      <c r="B41" s="37" t="str">
        <f>'Base Bid Item List'!B53</f>
        <v>60-Inch Manhole Catch Basin 
(Item D-751)</v>
      </c>
      <c r="C41" s="39">
        <f>'Base Bid Item List'!C53</f>
        <v>1</v>
      </c>
      <c r="D41" s="13" t="str">
        <f>'Base Bid Item List'!D53</f>
        <v>Each</v>
      </c>
      <c r="E41" s="17">
        <v>14442</v>
      </c>
      <c r="F41" s="18">
        <f t="shared" si="6"/>
        <v>14442</v>
      </c>
      <c r="G41" s="17">
        <v>14899.41</v>
      </c>
      <c r="H41" s="18">
        <f t="shared" si="7"/>
        <v>14899.41</v>
      </c>
      <c r="I41" s="17">
        <v>16100</v>
      </c>
      <c r="J41" s="18">
        <f t="shared" si="8"/>
        <v>16100</v>
      </c>
      <c r="K41" s="17">
        <v>26000</v>
      </c>
      <c r="L41" s="18">
        <f t="shared" si="9"/>
        <v>26000</v>
      </c>
      <c r="M41" s="17">
        <v>15000</v>
      </c>
      <c r="N41" s="18">
        <f t="shared" si="4"/>
        <v>15000</v>
      </c>
      <c r="O41" s="17">
        <v>13400</v>
      </c>
      <c r="P41" s="18">
        <f t="shared" si="10"/>
        <v>13400</v>
      </c>
    </row>
    <row r="42" spans="1:16" ht="32.25" customHeight="1" x14ac:dyDescent="0.25">
      <c r="A42" s="9" t="str">
        <f>'Base Bid Item List'!A54</f>
        <v>0035</v>
      </c>
      <c r="B42" s="37" t="str">
        <f>'Base Bid Item List'!B54</f>
        <v>Seeding
(Item T-901)</v>
      </c>
      <c r="C42" s="39">
        <f>'Base Bid Item List'!C54</f>
        <v>3</v>
      </c>
      <c r="D42" s="13" t="str">
        <f>'Base Bid Item List'!D54</f>
        <v>Acre</v>
      </c>
      <c r="E42" s="17">
        <v>23230</v>
      </c>
      <c r="F42" s="18">
        <f t="shared" si="6"/>
        <v>69690</v>
      </c>
      <c r="G42" s="17">
        <v>3591.86</v>
      </c>
      <c r="H42" s="18">
        <f t="shared" si="7"/>
        <v>10775.58</v>
      </c>
      <c r="I42" s="17">
        <v>3800</v>
      </c>
      <c r="J42" s="18">
        <f t="shared" si="8"/>
        <v>11400</v>
      </c>
      <c r="K42" s="17">
        <v>3300</v>
      </c>
      <c r="L42" s="18">
        <f t="shared" si="9"/>
        <v>9900</v>
      </c>
      <c r="M42" s="17">
        <v>3500</v>
      </c>
      <c r="N42" s="18">
        <f t="shared" si="4"/>
        <v>10500</v>
      </c>
      <c r="O42" s="17">
        <v>27400</v>
      </c>
      <c r="P42" s="18">
        <f t="shared" si="10"/>
        <v>82200</v>
      </c>
    </row>
    <row r="43" spans="1:16" ht="33" customHeight="1" x14ac:dyDescent="0.25">
      <c r="A43" s="9" t="str">
        <f>'Base Bid Item List'!A55</f>
        <v>0036</v>
      </c>
      <c r="B43" s="37" t="str">
        <f>'Base Bid Item List'!B55</f>
        <v>Topsoil (Obtained on Site or Removed from Stockpile) (3")
(Item T-905)</v>
      </c>
      <c r="C43" s="39">
        <f>'Base Bid Item List'!C55</f>
        <v>1113</v>
      </c>
      <c r="D43" s="13" t="str">
        <f>'Base Bid Item List'!D55</f>
        <v>CY</v>
      </c>
      <c r="E43" s="17">
        <v>53</v>
      </c>
      <c r="F43" s="18">
        <f t="shared" si="6"/>
        <v>58989</v>
      </c>
      <c r="G43" s="17">
        <v>35.479999999999997</v>
      </c>
      <c r="H43" s="18">
        <f t="shared" si="7"/>
        <v>39489.24</v>
      </c>
      <c r="I43" s="17">
        <v>38</v>
      </c>
      <c r="J43" s="18">
        <f t="shared" si="8"/>
        <v>42294</v>
      </c>
      <c r="K43" s="17">
        <v>20</v>
      </c>
      <c r="L43" s="18">
        <f t="shared" si="9"/>
        <v>22260</v>
      </c>
      <c r="M43" s="17">
        <v>20</v>
      </c>
      <c r="N43" s="18">
        <f t="shared" si="4"/>
        <v>22260</v>
      </c>
      <c r="O43" s="17">
        <v>105</v>
      </c>
      <c r="P43" s="18">
        <f t="shared" si="10"/>
        <v>116865</v>
      </c>
    </row>
    <row r="44" spans="1:16" ht="33" customHeight="1" x14ac:dyDescent="0.25">
      <c r="A44" s="9" t="str">
        <f>'Base Bid Item List'!A56</f>
        <v>0037</v>
      </c>
      <c r="B44" s="37" t="str">
        <f>'Base Bid Item List'!B56</f>
        <v>No. 8 AWG, 5kV, L-824, Type C Cable, Installed in Trench, Duct Bank or Conduit 
(Item L-108)</v>
      </c>
      <c r="C44" s="39">
        <f>'Base Bid Item List'!C56</f>
        <v>16545</v>
      </c>
      <c r="D44" s="13" t="str">
        <f>'Base Bid Item List'!D56</f>
        <v>LF</v>
      </c>
      <c r="E44" s="17">
        <v>6</v>
      </c>
      <c r="F44" s="18">
        <f t="shared" si="6"/>
        <v>99270</v>
      </c>
      <c r="G44" s="17">
        <v>2.0299999999999998</v>
      </c>
      <c r="H44" s="18">
        <f t="shared" si="7"/>
        <v>33586.35</v>
      </c>
      <c r="I44" s="17">
        <v>2.2999999999999998</v>
      </c>
      <c r="J44" s="18">
        <f t="shared" si="8"/>
        <v>38053.5</v>
      </c>
      <c r="K44" s="17">
        <v>2</v>
      </c>
      <c r="L44" s="18">
        <f t="shared" si="9"/>
        <v>33090</v>
      </c>
      <c r="M44" s="17">
        <v>2.25</v>
      </c>
      <c r="N44" s="18">
        <f t="shared" si="4"/>
        <v>37226.25</v>
      </c>
      <c r="O44" s="17">
        <v>2</v>
      </c>
      <c r="P44" s="18">
        <f t="shared" si="10"/>
        <v>33090</v>
      </c>
    </row>
    <row r="45" spans="1:16" ht="33" customHeight="1" x14ac:dyDescent="0.25">
      <c r="A45" s="9" t="str">
        <f>'Base Bid Item List'!A57</f>
        <v>0038</v>
      </c>
      <c r="B45" s="37" t="str">
        <f>'Base Bid Item List'!B57</f>
        <v>No. 12 AWG, 600V, Cable, Installed in Conduit 
(Item L-108)</v>
      </c>
      <c r="C45" s="39">
        <f>'Base Bid Item List'!C57</f>
        <v>5720</v>
      </c>
      <c r="D45" s="13" t="str">
        <f>'Base Bid Item List'!D57</f>
        <v>LF</v>
      </c>
      <c r="E45" s="17">
        <v>2.7</v>
      </c>
      <c r="F45" s="18">
        <f t="shared" si="6"/>
        <v>15444.000000000002</v>
      </c>
      <c r="G45" s="17">
        <v>2.74</v>
      </c>
      <c r="H45" s="18">
        <f t="shared" si="7"/>
        <v>15672.800000000001</v>
      </c>
      <c r="I45" s="17">
        <v>3</v>
      </c>
      <c r="J45" s="18">
        <f t="shared" si="8"/>
        <v>17160</v>
      </c>
      <c r="K45" s="17">
        <v>2.7</v>
      </c>
      <c r="L45" s="18">
        <f t="shared" si="9"/>
        <v>15444.000000000002</v>
      </c>
      <c r="M45" s="17">
        <v>3</v>
      </c>
      <c r="N45" s="18">
        <f t="shared" si="4"/>
        <v>17160</v>
      </c>
      <c r="O45" s="17">
        <v>1.75</v>
      </c>
      <c r="P45" s="18">
        <f t="shared" si="10"/>
        <v>10010</v>
      </c>
    </row>
    <row r="46" spans="1:16" ht="55.5" customHeight="1" x14ac:dyDescent="0.25">
      <c r="A46" s="9" t="str">
        <f>'Base Bid Item List'!A58</f>
        <v>0039</v>
      </c>
      <c r="B46" s="37" t="str">
        <f>'Base Bid Item List'!B58</f>
        <v xml:space="preserve">No. 6 AWG, Solid, Bare Counterpoise Wire, Installed in Trench, Above the Duct Bank or Conduit, Including Connections/Terminations 
(Item L-108)
</v>
      </c>
      <c r="C46" s="39">
        <f>'Base Bid Item List'!C58</f>
        <v>3765</v>
      </c>
      <c r="D46" s="13" t="str">
        <f>'Base Bid Item List'!D58</f>
        <v>LF</v>
      </c>
      <c r="E46" s="17">
        <v>3.2</v>
      </c>
      <c r="F46" s="18">
        <f t="shared" si="6"/>
        <v>12048</v>
      </c>
      <c r="G46" s="17">
        <v>1.62</v>
      </c>
      <c r="H46" s="18">
        <f t="shared" si="7"/>
        <v>6099.3</v>
      </c>
      <c r="I46" s="17">
        <v>1.85</v>
      </c>
      <c r="J46" s="18">
        <f t="shared" si="8"/>
        <v>6965.25</v>
      </c>
      <c r="K46" s="17">
        <v>1.6</v>
      </c>
      <c r="L46" s="18">
        <f t="shared" si="9"/>
        <v>6024</v>
      </c>
      <c r="M46" s="17">
        <v>2</v>
      </c>
      <c r="N46" s="18">
        <f t="shared" si="4"/>
        <v>7530</v>
      </c>
      <c r="O46" s="17">
        <v>2</v>
      </c>
      <c r="P46" s="18">
        <f t="shared" si="10"/>
        <v>7530</v>
      </c>
    </row>
    <row r="47" spans="1:16" ht="33" customHeight="1" x14ac:dyDescent="0.25">
      <c r="A47" s="9" t="str">
        <f>'Base Bid Item List'!A59</f>
        <v>0040</v>
      </c>
      <c r="B47" s="37" t="str">
        <f>'Base Bid Item List'!B59</f>
        <v>Counterpoise Ground Rod, 10-Ft Long 
(Item L-108)</v>
      </c>
      <c r="C47" s="39">
        <f>'Base Bid Item List'!C59</f>
        <v>12</v>
      </c>
      <c r="D47" s="13" t="str">
        <f>'Base Bid Item List'!D59</f>
        <v>Each</v>
      </c>
      <c r="E47" s="17">
        <v>315</v>
      </c>
      <c r="F47" s="18">
        <f t="shared" si="6"/>
        <v>3780</v>
      </c>
      <c r="G47" s="17">
        <v>235.4</v>
      </c>
      <c r="H47" s="18">
        <f t="shared" si="7"/>
        <v>2824.8</v>
      </c>
      <c r="I47" s="17">
        <v>265</v>
      </c>
      <c r="J47" s="18">
        <f t="shared" si="8"/>
        <v>3180</v>
      </c>
      <c r="K47" s="17">
        <v>232</v>
      </c>
      <c r="L47" s="18">
        <f t="shared" si="9"/>
        <v>2784</v>
      </c>
      <c r="M47" s="17">
        <v>250</v>
      </c>
      <c r="N47" s="18">
        <f t="shared" si="4"/>
        <v>3000</v>
      </c>
      <c r="O47" s="17">
        <v>300</v>
      </c>
      <c r="P47" s="18">
        <f t="shared" si="10"/>
        <v>3600</v>
      </c>
    </row>
    <row r="48" spans="1:16" ht="33" customHeight="1" x14ac:dyDescent="0.25">
      <c r="A48" s="9" t="str">
        <f>'Base Bid Item List'!A60</f>
        <v>0041</v>
      </c>
      <c r="B48" s="37" t="str">
        <f>'Base Bid Item List'!B60</f>
        <v>2-Inch PVC Encased in Concrete in new Structural AC 
(Item L-110)</v>
      </c>
      <c r="C48" s="39">
        <f>'Base Bid Item List'!C60</f>
        <v>1410</v>
      </c>
      <c r="D48" s="13" t="str">
        <f>'Base Bid Item List'!D60</f>
        <v>LF</v>
      </c>
      <c r="E48" s="17">
        <v>52</v>
      </c>
      <c r="F48" s="18">
        <f t="shared" si="6"/>
        <v>73320</v>
      </c>
      <c r="G48" s="17">
        <v>26.38</v>
      </c>
      <c r="H48" s="18">
        <f t="shared" si="7"/>
        <v>37195.799999999996</v>
      </c>
      <c r="I48" s="17">
        <v>30</v>
      </c>
      <c r="J48" s="18">
        <f t="shared" si="8"/>
        <v>42300</v>
      </c>
      <c r="K48" s="17">
        <v>26</v>
      </c>
      <c r="L48" s="18">
        <f t="shared" si="9"/>
        <v>36660</v>
      </c>
      <c r="M48" s="17">
        <v>30</v>
      </c>
      <c r="N48" s="18">
        <f t="shared" si="4"/>
        <v>42300</v>
      </c>
      <c r="O48" s="17">
        <v>45</v>
      </c>
      <c r="P48" s="18">
        <f t="shared" si="10"/>
        <v>63450</v>
      </c>
    </row>
    <row r="49" spans="1:16" ht="33" customHeight="1" x14ac:dyDescent="0.25">
      <c r="A49" s="9" t="str">
        <f>'Base Bid Item List'!A61</f>
        <v>0042</v>
      </c>
      <c r="B49" s="37" t="str">
        <f>'Base Bid Item List'!B61</f>
        <v>2-Inch PVC in Existing Structural AC 
(Item L-110)</v>
      </c>
      <c r="C49" s="39">
        <f>'Base Bid Item List'!C61</f>
        <v>100</v>
      </c>
      <c r="D49" s="13" t="str">
        <f>'Base Bid Item List'!D61</f>
        <v>LF</v>
      </c>
      <c r="E49" s="17">
        <v>68.400000000000006</v>
      </c>
      <c r="F49" s="18">
        <f t="shared" si="6"/>
        <v>6840.0000000000009</v>
      </c>
      <c r="G49" s="17">
        <v>44.64</v>
      </c>
      <c r="H49" s="18">
        <f t="shared" si="7"/>
        <v>4464</v>
      </c>
      <c r="I49" s="17">
        <v>62</v>
      </c>
      <c r="J49" s="18">
        <f t="shared" si="8"/>
        <v>6200</v>
      </c>
      <c r="K49" s="17">
        <v>44</v>
      </c>
      <c r="L49" s="18">
        <f t="shared" si="9"/>
        <v>4400</v>
      </c>
      <c r="M49" s="17">
        <v>50</v>
      </c>
      <c r="N49" s="18">
        <f t="shared" si="4"/>
        <v>5000</v>
      </c>
      <c r="O49" s="17">
        <v>50</v>
      </c>
      <c r="P49" s="18">
        <f t="shared" si="10"/>
        <v>5000</v>
      </c>
    </row>
    <row r="50" spans="1:16" ht="33" customHeight="1" x14ac:dyDescent="0.25">
      <c r="A50" s="9" t="str">
        <f>'Base Bid Item List'!A62</f>
        <v>0043</v>
      </c>
      <c r="B50" s="37" t="str">
        <f>'Base Bid Item List'!B62</f>
        <v>2-Inch PVC Direct Buried in Grass 
(Item L-110)</v>
      </c>
      <c r="C50" s="39">
        <f>'Base Bid Item List'!C62</f>
        <v>155</v>
      </c>
      <c r="D50" s="13" t="str">
        <f>'Base Bid Item List'!D62</f>
        <v>LF</v>
      </c>
      <c r="E50" s="17">
        <v>42</v>
      </c>
      <c r="F50" s="18">
        <f t="shared" si="6"/>
        <v>6510</v>
      </c>
      <c r="G50" s="17">
        <v>27.4</v>
      </c>
      <c r="H50" s="18">
        <f t="shared" si="7"/>
        <v>4247</v>
      </c>
      <c r="I50" s="17">
        <v>31</v>
      </c>
      <c r="J50" s="18">
        <f t="shared" si="8"/>
        <v>4805</v>
      </c>
      <c r="K50" s="17">
        <v>27</v>
      </c>
      <c r="L50" s="18">
        <f t="shared" si="9"/>
        <v>4185</v>
      </c>
      <c r="M50" s="17">
        <v>30</v>
      </c>
      <c r="N50" s="18">
        <f t="shared" si="4"/>
        <v>4650</v>
      </c>
      <c r="O50" s="17">
        <v>25</v>
      </c>
      <c r="P50" s="18">
        <f t="shared" si="10"/>
        <v>3875</v>
      </c>
    </row>
    <row r="51" spans="1:16" ht="33" customHeight="1" x14ac:dyDescent="0.25">
      <c r="A51" s="9" t="str">
        <f>'Base Bid Item List'!A63</f>
        <v>0044</v>
      </c>
      <c r="B51" s="37" t="str">
        <f>'Base Bid Item List'!B63</f>
        <v>2-Inch PVC under New AC Shoulder
(Item L-110)</v>
      </c>
      <c r="C51" s="39">
        <f>'Base Bid Item List'!C63</f>
        <v>2815</v>
      </c>
      <c r="D51" s="13" t="str">
        <f>'Base Bid Item List'!D63</f>
        <v>LF</v>
      </c>
      <c r="E51" s="17">
        <v>39.4</v>
      </c>
      <c r="F51" s="18">
        <f t="shared" si="6"/>
        <v>110911</v>
      </c>
      <c r="G51" s="17">
        <v>28.41</v>
      </c>
      <c r="H51" s="18">
        <f t="shared" si="7"/>
        <v>79974.149999999994</v>
      </c>
      <c r="I51" s="17">
        <v>32</v>
      </c>
      <c r="J51" s="18">
        <f t="shared" si="8"/>
        <v>90080</v>
      </c>
      <c r="K51" s="17">
        <v>28</v>
      </c>
      <c r="L51" s="18">
        <f t="shared" si="9"/>
        <v>78820</v>
      </c>
      <c r="M51" s="17">
        <v>32</v>
      </c>
      <c r="N51" s="18">
        <f t="shared" si="4"/>
        <v>90080</v>
      </c>
      <c r="O51" s="17">
        <v>35</v>
      </c>
      <c r="P51" s="18">
        <f t="shared" si="10"/>
        <v>98525</v>
      </c>
    </row>
    <row r="52" spans="1:16" ht="33" customHeight="1" x14ac:dyDescent="0.25">
      <c r="A52" s="9" t="str">
        <f>'Base Bid Item List'!A64</f>
        <v>0045</v>
      </c>
      <c r="B52" s="37" t="str">
        <f>'Base Bid Item List'!B64</f>
        <v>1.5-Inch IMC under New AC Shoulder 
(Item L-110)</v>
      </c>
      <c r="C52" s="39">
        <f>'Base Bid Item List'!C64</f>
        <v>30</v>
      </c>
      <c r="D52" s="13" t="str">
        <f>'Base Bid Item List'!D64</f>
        <v>LF</v>
      </c>
      <c r="E52" s="17">
        <v>103.7</v>
      </c>
      <c r="F52" s="18">
        <f t="shared" si="6"/>
        <v>3111</v>
      </c>
      <c r="G52" s="17">
        <v>26.38</v>
      </c>
      <c r="H52" s="18">
        <f t="shared" si="7"/>
        <v>791.4</v>
      </c>
      <c r="I52" s="17">
        <v>30</v>
      </c>
      <c r="J52" s="18">
        <f t="shared" si="8"/>
        <v>900</v>
      </c>
      <c r="K52" s="17">
        <v>26</v>
      </c>
      <c r="L52" s="18">
        <f t="shared" si="9"/>
        <v>780</v>
      </c>
      <c r="M52" s="17">
        <v>30</v>
      </c>
      <c r="N52" s="18">
        <f t="shared" si="4"/>
        <v>900</v>
      </c>
      <c r="O52" s="17">
        <v>25</v>
      </c>
      <c r="P52" s="18">
        <f t="shared" si="10"/>
        <v>750</v>
      </c>
    </row>
    <row r="53" spans="1:16" ht="33" customHeight="1" x14ac:dyDescent="0.25">
      <c r="A53" s="9" t="str">
        <f>'Base Bid Item List'!A65</f>
        <v>0046</v>
      </c>
      <c r="B53" s="37" t="str">
        <f>'Base Bid Item List'!B65</f>
        <v>General Electrical Removal
(Section 265000)</v>
      </c>
      <c r="C53" s="39">
        <f>'Base Bid Item List'!C65</f>
        <v>1</v>
      </c>
      <c r="D53" s="13" t="str">
        <f>'Base Bid Item List'!D65</f>
        <v>LS</v>
      </c>
      <c r="E53" s="17">
        <v>164320</v>
      </c>
      <c r="F53" s="18">
        <f t="shared" si="6"/>
        <v>164320</v>
      </c>
      <c r="G53" s="17">
        <v>26177.96</v>
      </c>
      <c r="H53" s="18">
        <f t="shared" si="7"/>
        <v>26177.96</v>
      </c>
      <c r="I53" s="17">
        <v>37000</v>
      </c>
      <c r="J53" s="18">
        <f t="shared" si="8"/>
        <v>37000</v>
      </c>
      <c r="K53" s="17">
        <v>25800</v>
      </c>
      <c r="L53" s="18">
        <f t="shared" si="9"/>
        <v>25800</v>
      </c>
      <c r="M53" s="17">
        <v>30000</v>
      </c>
      <c r="N53" s="18">
        <f t="shared" si="4"/>
        <v>30000</v>
      </c>
      <c r="O53" s="17">
        <v>300000</v>
      </c>
      <c r="P53" s="18">
        <f t="shared" si="10"/>
        <v>300000</v>
      </c>
    </row>
    <row r="54" spans="1:16" ht="33" customHeight="1" x14ac:dyDescent="0.25">
      <c r="A54" s="9" t="str">
        <f>'Base Bid Item List'!A66</f>
        <v>0047</v>
      </c>
      <c r="B54" s="37" t="str">
        <f>'Base Bid Item List'!B66</f>
        <v>Temporary Circuit Connection 
(Section 265000)</v>
      </c>
      <c r="C54" s="39">
        <f>'Base Bid Item List'!C66</f>
        <v>1</v>
      </c>
      <c r="D54" s="13" t="str">
        <f>'Base Bid Item List'!D66</f>
        <v>LS</v>
      </c>
      <c r="E54" s="17">
        <v>16030</v>
      </c>
      <c r="F54" s="18">
        <f t="shared" si="6"/>
        <v>16030</v>
      </c>
      <c r="G54" s="17">
        <v>18466.63</v>
      </c>
      <c r="H54" s="18">
        <f t="shared" si="7"/>
        <v>18466.63</v>
      </c>
      <c r="I54" s="17">
        <v>20850</v>
      </c>
      <c r="J54" s="18">
        <f t="shared" si="8"/>
        <v>20850</v>
      </c>
      <c r="K54" s="17">
        <v>18200</v>
      </c>
      <c r="L54" s="18">
        <f t="shared" si="9"/>
        <v>18200</v>
      </c>
      <c r="M54" s="17">
        <v>25000</v>
      </c>
      <c r="N54" s="18">
        <f t="shared" si="4"/>
        <v>25000</v>
      </c>
      <c r="O54" s="17">
        <v>20000</v>
      </c>
      <c r="P54" s="18">
        <f t="shared" si="10"/>
        <v>20000</v>
      </c>
    </row>
    <row r="55" spans="1:16" ht="33.75" customHeight="1" x14ac:dyDescent="0.25">
      <c r="A55" s="9" t="str">
        <f>'Base Bid Item List'!A67</f>
        <v>0048</v>
      </c>
      <c r="B55" s="37" t="str">
        <f>'Base Bid Item List'!B67</f>
        <v>Install Elevated Taxiway Edge Light on Existing Base Can with PF Transformer 
(Section 344300)</v>
      </c>
      <c r="C55" s="39">
        <f>'Base Bid Item List'!C67</f>
        <v>31</v>
      </c>
      <c r="D55" s="13" t="str">
        <f>'Base Bid Item List'!D67</f>
        <v>Each</v>
      </c>
      <c r="E55" s="17">
        <v>1450</v>
      </c>
      <c r="F55" s="18">
        <f t="shared" si="6"/>
        <v>44950</v>
      </c>
      <c r="G55" s="17">
        <v>370.35</v>
      </c>
      <c r="H55" s="18">
        <f t="shared" si="7"/>
        <v>11480.85</v>
      </c>
      <c r="I55" s="17">
        <v>420</v>
      </c>
      <c r="J55" s="18">
        <f t="shared" si="8"/>
        <v>13020</v>
      </c>
      <c r="K55" s="17">
        <v>365</v>
      </c>
      <c r="L55" s="18">
        <f t="shared" si="9"/>
        <v>11315</v>
      </c>
      <c r="M55" s="17">
        <v>400</v>
      </c>
      <c r="N55" s="18">
        <f t="shared" si="4"/>
        <v>12400</v>
      </c>
      <c r="O55" s="17">
        <v>1000</v>
      </c>
      <c r="P55" s="18">
        <f t="shared" si="10"/>
        <v>31000</v>
      </c>
    </row>
    <row r="56" spans="1:16" ht="33" customHeight="1" x14ac:dyDescent="0.25">
      <c r="A56" s="9" t="str">
        <f>'Base Bid Item List'!A68</f>
        <v>0049</v>
      </c>
      <c r="B56" s="37" t="str">
        <f>'Base Bid Item List'!B68</f>
        <v>Install Elevated Runway Guard Light on Existing Base Can with PF Transformer 
(Section 344300)</v>
      </c>
      <c r="C56" s="39">
        <f>'Base Bid Item List'!C68</f>
        <v>1</v>
      </c>
      <c r="D56" s="13" t="str">
        <f>'Base Bid Item List'!D68</f>
        <v>Each</v>
      </c>
      <c r="E56" s="17">
        <v>1392</v>
      </c>
      <c r="F56" s="18">
        <f t="shared" si="6"/>
        <v>1392</v>
      </c>
      <c r="G56" s="17">
        <v>493.12</v>
      </c>
      <c r="H56" s="18">
        <f t="shared" si="7"/>
        <v>493.12</v>
      </c>
      <c r="I56" s="17">
        <v>560</v>
      </c>
      <c r="J56" s="18">
        <f t="shared" si="8"/>
        <v>560</v>
      </c>
      <c r="K56" s="17">
        <v>486</v>
      </c>
      <c r="L56" s="18">
        <f t="shared" si="9"/>
        <v>486</v>
      </c>
      <c r="M56" s="17">
        <v>550</v>
      </c>
      <c r="N56" s="18">
        <f t="shared" si="4"/>
        <v>550</v>
      </c>
      <c r="O56" s="17">
        <v>1000</v>
      </c>
      <c r="P56" s="18">
        <f t="shared" si="10"/>
        <v>1000</v>
      </c>
    </row>
    <row r="57" spans="1:16" ht="33" customHeight="1" x14ac:dyDescent="0.25">
      <c r="A57" s="9" t="str">
        <f>'Base Bid Item List'!A69</f>
        <v>0050</v>
      </c>
      <c r="B57" s="37" t="str">
        <f>'Base Bid Item List'!B69</f>
        <v>Install Elevated Red Stop Bar Light on Existing Base Can with PF Transformer 
(Section 344300)</v>
      </c>
      <c r="C57" s="39">
        <f>'Base Bid Item List'!C69</f>
        <v>1</v>
      </c>
      <c r="D57" s="13" t="str">
        <f>'Base Bid Item List'!D69</f>
        <v>Each</v>
      </c>
      <c r="E57" s="17">
        <v>1392</v>
      </c>
      <c r="F57" s="18">
        <f t="shared" si="6"/>
        <v>1392</v>
      </c>
      <c r="G57" s="17">
        <v>385.57</v>
      </c>
      <c r="H57" s="18">
        <f t="shared" si="7"/>
        <v>385.57</v>
      </c>
      <c r="I57" s="17">
        <v>435</v>
      </c>
      <c r="J57" s="18">
        <f t="shared" si="8"/>
        <v>435</v>
      </c>
      <c r="K57" s="17">
        <v>380</v>
      </c>
      <c r="L57" s="18">
        <f t="shared" si="9"/>
        <v>380</v>
      </c>
      <c r="M57" s="17">
        <v>425</v>
      </c>
      <c r="N57" s="18">
        <f t="shared" si="4"/>
        <v>425</v>
      </c>
      <c r="O57" s="17">
        <v>1000</v>
      </c>
      <c r="P57" s="18">
        <f t="shared" si="10"/>
        <v>1000</v>
      </c>
    </row>
    <row r="58" spans="1:16" ht="45" customHeight="1" x14ac:dyDescent="0.25">
      <c r="A58" s="9" t="str">
        <f>'Base Bid Item List'!A70</f>
        <v>0051</v>
      </c>
      <c r="B58" s="37" t="str">
        <f>'Base Bid Item List'!B70</f>
        <v>Install Taxiway Centerline Light on PF Base Can, PF Extension, PF Flange Ring, and CF Transformer 
(Section 344300)</v>
      </c>
      <c r="C58" s="39">
        <f>'Base Bid Item List'!C70</f>
        <v>28</v>
      </c>
      <c r="D58" s="13" t="str">
        <f>'Base Bid Item List'!D70</f>
        <v>Each</v>
      </c>
      <c r="E58" s="17">
        <v>1432</v>
      </c>
      <c r="F58" s="18">
        <f t="shared" si="6"/>
        <v>40096</v>
      </c>
      <c r="G58" s="17">
        <v>2536.62</v>
      </c>
      <c r="H58" s="18">
        <f t="shared" si="7"/>
        <v>71025.36</v>
      </c>
      <c r="I58" s="17">
        <v>2875</v>
      </c>
      <c r="J58" s="18">
        <f t="shared" si="8"/>
        <v>80500</v>
      </c>
      <c r="K58" s="17">
        <v>2500</v>
      </c>
      <c r="L58" s="18">
        <f t="shared" si="9"/>
        <v>70000</v>
      </c>
      <c r="M58" s="17">
        <v>2800</v>
      </c>
      <c r="N58" s="18">
        <f t="shared" si="4"/>
        <v>78400</v>
      </c>
      <c r="O58" s="17">
        <v>4500</v>
      </c>
      <c r="P58" s="18">
        <f t="shared" si="10"/>
        <v>126000</v>
      </c>
    </row>
    <row r="59" spans="1:16" ht="45" customHeight="1" x14ac:dyDescent="0.25">
      <c r="A59" s="9" t="str">
        <f>'Base Bid Item List'!A71</f>
        <v>0052</v>
      </c>
      <c r="B59" s="37" t="str">
        <f>'Base Bid Item List'!B71</f>
        <v>Install Taxiway Edge Light on PF Base Can, PF Extension, PF Flange Ring, and CF Transformer 
(Section 344300)</v>
      </c>
      <c r="C59" s="39">
        <f>'Base Bid Item List'!C71</f>
        <v>38</v>
      </c>
      <c r="D59" s="13" t="str">
        <f>'Base Bid Item List'!D71</f>
        <v>Each</v>
      </c>
      <c r="E59" s="17">
        <v>1445</v>
      </c>
      <c r="F59" s="18">
        <f t="shared" si="6"/>
        <v>54910</v>
      </c>
      <c r="G59" s="17">
        <v>2526.48</v>
      </c>
      <c r="H59" s="18">
        <f t="shared" si="7"/>
        <v>96006.24</v>
      </c>
      <c r="I59" s="17">
        <v>2875</v>
      </c>
      <c r="J59" s="18">
        <f t="shared" si="8"/>
        <v>109250</v>
      </c>
      <c r="K59" s="17">
        <v>2490</v>
      </c>
      <c r="L59" s="18">
        <f t="shared" si="9"/>
        <v>94620</v>
      </c>
      <c r="M59" s="17">
        <v>2800</v>
      </c>
      <c r="N59" s="18">
        <f t="shared" si="4"/>
        <v>106400</v>
      </c>
      <c r="O59" s="17">
        <v>4500</v>
      </c>
      <c r="P59" s="18">
        <f t="shared" si="10"/>
        <v>171000</v>
      </c>
    </row>
    <row r="60" spans="1:16" ht="42.75" customHeight="1" x14ac:dyDescent="0.25">
      <c r="A60" s="9" t="str">
        <f>'Base Bid Item List'!A72</f>
        <v>0053</v>
      </c>
      <c r="B60" s="37" t="str">
        <f>'Base Bid Item List'!B72</f>
        <v>Install Elevated Runway Guard Light on PF Base Can, PF Extension, PF Flange Ring, and CF Transformer 
(Section 344300)</v>
      </c>
      <c r="C60" s="39">
        <f>'Base Bid Item List'!C72</f>
        <v>3</v>
      </c>
      <c r="D60" s="13" t="str">
        <f>'Base Bid Item List'!D72</f>
        <v>Each</v>
      </c>
      <c r="E60" s="17">
        <v>1455</v>
      </c>
      <c r="F60" s="18">
        <f t="shared" si="6"/>
        <v>4365</v>
      </c>
      <c r="G60" s="17">
        <v>2668.53</v>
      </c>
      <c r="H60" s="18">
        <f t="shared" si="7"/>
        <v>8005.59</v>
      </c>
      <c r="I60" s="17">
        <v>3000</v>
      </c>
      <c r="J60" s="18">
        <f t="shared" si="8"/>
        <v>9000</v>
      </c>
      <c r="K60" s="17">
        <v>2630</v>
      </c>
      <c r="L60" s="18">
        <f t="shared" si="9"/>
        <v>7890</v>
      </c>
      <c r="M60" s="17">
        <v>3000</v>
      </c>
      <c r="N60" s="18">
        <f t="shared" si="4"/>
        <v>9000</v>
      </c>
      <c r="O60" s="17">
        <v>4500</v>
      </c>
      <c r="P60" s="18">
        <f t="shared" si="10"/>
        <v>13500</v>
      </c>
    </row>
    <row r="61" spans="1:16" ht="42.75" customHeight="1" x14ac:dyDescent="0.25">
      <c r="A61" s="9" t="str">
        <f>'Base Bid Item List'!A73</f>
        <v>0054</v>
      </c>
      <c r="B61" s="37" t="str">
        <f>'Base Bid Item List'!B73</f>
        <v>Install Elevated Red Stop Bar Light on PF Base Can, PF Extension, PF Flange Ring, and CF Transformer 
(Section 344300)</v>
      </c>
      <c r="C61" s="39">
        <f>'Base Bid Item List'!C73</f>
        <v>3</v>
      </c>
      <c r="D61" s="13" t="str">
        <f>'Base Bid Item List'!D73</f>
        <v>Each</v>
      </c>
      <c r="E61" s="17">
        <v>1454</v>
      </c>
      <c r="F61" s="18">
        <f t="shared" si="6"/>
        <v>4362</v>
      </c>
      <c r="G61" s="17">
        <v>2663.46</v>
      </c>
      <c r="H61" s="18">
        <f t="shared" si="7"/>
        <v>7990.38</v>
      </c>
      <c r="I61" s="17">
        <v>3000</v>
      </c>
      <c r="J61" s="18">
        <f t="shared" si="8"/>
        <v>9000</v>
      </c>
      <c r="K61" s="17">
        <v>2625</v>
      </c>
      <c r="L61" s="18">
        <f t="shared" si="9"/>
        <v>7875</v>
      </c>
      <c r="M61" s="17">
        <v>3000</v>
      </c>
      <c r="N61" s="18">
        <f t="shared" si="4"/>
        <v>9000</v>
      </c>
      <c r="O61" s="17">
        <v>4500</v>
      </c>
      <c r="P61" s="18">
        <f t="shared" si="10"/>
        <v>13500</v>
      </c>
    </row>
    <row r="62" spans="1:16" ht="42.75" customHeight="1" x14ac:dyDescent="0.25">
      <c r="A62" s="9" t="str">
        <f>'Base Bid Item List'!A74</f>
        <v>0055</v>
      </c>
      <c r="B62" s="37" t="str">
        <f>'Base Bid Item List'!B74</f>
        <v>Install In-Pavement Runway Guard/Stop Bar Light on PF Base Can, PF Extension, PF Flange Ring and CF Transformer 
(Section 344300)</v>
      </c>
      <c r="C62" s="39">
        <f>'Base Bid Item List'!C74</f>
        <v>14</v>
      </c>
      <c r="D62" s="13" t="str">
        <f>'Base Bid Item List'!D74</f>
        <v>Each</v>
      </c>
      <c r="E62" s="17">
        <v>1432</v>
      </c>
      <c r="F62" s="18">
        <f t="shared" si="6"/>
        <v>20048</v>
      </c>
      <c r="G62" s="17">
        <v>2617.8000000000002</v>
      </c>
      <c r="H62" s="18">
        <f t="shared" si="7"/>
        <v>36649.200000000004</v>
      </c>
      <c r="I62" s="17">
        <v>2960</v>
      </c>
      <c r="J62" s="18">
        <f t="shared" si="8"/>
        <v>41440</v>
      </c>
      <c r="K62" s="17">
        <v>2580</v>
      </c>
      <c r="L62" s="18">
        <f t="shared" si="9"/>
        <v>36120</v>
      </c>
      <c r="M62" s="17">
        <v>1800</v>
      </c>
      <c r="N62" s="18">
        <f t="shared" si="4"/>
        <v>25200</v>
      </c>
      <c r="O62" s="17">
        <v>4500</v>
      </c>
      <c r="P62" s="18">
        <f t="shared" si="10"/>
        <v>63000</v>
      </c>
    </row>
    <row r="63" spans="1:16" ht="33" customHeight="1" x14ac:dyDescent="0.25">
      <c r="A63" s="9" t="str">
        <f>'Base Bid Item List'!A75</f>
        <v>0056</v>
      </c>
      <c r="B63" s="37" t="str">
        <f>'Base Bid Item List'!B75</f>
        <v xml:space="preserve">Install PF Base Can, PF Extension, PF Flange Ring and PF Cover Plate
(Section 344300) </v>
      </c>
      <c r="C63" s="39">
        <f>'Base Bid Item List'!C75</f>
        <v>4</v>
      </c>
      <c r="D63" s="13" t="str">
        <f>'Base Bid Item List'!D75</f>
        <v>Each</v>
      </c>
      <c r="E63" s="17">
        <v>1438</v>
      </c>
      <c r="F63" s="18">
        <f t="shared" si="6"/>
        <v>5752</v>
      </c>
      <c r="G63" s="17">
        <v>1704.61</v>
      </c>
      <c r="H63" s="18">
        <f t="shared" si="7"/>
        <v>6818.44</v>
      </c>
      <c r="I63" s="17">
        <v>1950</v>
      </c>
      <c r="J63" s="18">
        <f t="shared" si="8"/>
        <v>7800</v>
      </c>
      <c r="K63" s="17">
        <v>1680</v>
      </c>
      <c r="L63" s="18">
        <f t="shared" si="9"/>
        <v>6720</v>
      </c>
      <c r="M63" s="17">
        <v>1900</v>
      </c>
      <c r="N63" s="18">
        <f t="shared" si="4"/>
        <v>7600</v>
      </c>
      <c r="O63" s="17">
        <v>4200</v>
      </c>
      <c r="P63" s="18">
        <f t="shared" si="10"/>
        <v>16800</v>
      </c>
    </row>
    <row r="64" spans="1:16" ht="33" customHeight="1" x14ac:dyDescent="0.25">
      <c r="A64" s="9" t="str">
        <f>'Base Bid Item List'!A76</f>
        <v>0057</v>
      </c>
      <c r="B64" s="37" t="str">
        <f>'Base Bid Item List'!B76</f>
        <v xml:space="preserve">Adjust Existing Taxiway Centerline Light to New Finish Elevation 
(Section 344301) </v>
      </c>
      <c r="C64" s="39">
        <f>'Base Bid Item List'!C76</f>
        <v>39</v>
      </c>
      <c r="D64" s="13" t="str">
        <f>'Base Bid Item List'!D76</f>
        <v>Each</v>
      </c>
      <c r="E64" s="17">
        <v>980</v>
      </c>
      <c r="F64" s="18">
        <f t="shared" si="6"/>
        <v>38220</v>
      </c>
      <c r="G64" s="17">
        <v>872.6</v>
      </c>
      <c r="H64" s="18">
        <f t="shared" si="7"/>
        <v>34031.4</v>
      </c>
      <c r="I64" s="17">
        <v>985</v>
      </c>
      <c r="J64" s="18">
        <f t="shared" si="8"/>
        <v>38415</v>
      </c>
      <c r="K64" s="17">
        <v>860</v>
      </c>
      <c r="L64" s="18">
        <f t="shared" si="9"/>
        <v>33540</v>
      </c>
      <c r="M64" s="17">
        <v>1000</v>
      </c>
      <c r="N64" s="18">
        <f t="shared" si="4"/>
        <v>39000</v>
      </c>
      <c r="O64" s="17">
        <v>2500</v>
      </c>
      <c r="P64" s="18">
        <f t="shared" si="10"/>
        <v>97500</v>
      </c>
    </row>
    <row r="65" spans="1:16" ht="44.25" customHeight="1" x14ac:dyDescent="0.25">
      <c r="A65" s="9" t="str">
        <f>'Base Bid Item List'!A77</f>
        <v>0058</v>
      </c>
      <c r="B65" s="37" t="str">
        <f>'Base Bid Item List'!B77</f>
        <v>Adjust Existing In-Pavement Runway Guard/Stop Bar Light to New Finish Elevation 
(Section 344301)</v>
      </c>
      <c r="C65" s="39">
        <f>'Base Bid Item List'!C77</f>
        <v>13</v>
      </c>
      <c r="D65" s="13" t="str">
        <f>'Base Bid Item List'!D77</f>
        <v>Each</v>
      </c>
      <c r="E65" s="17">
        <v>956</v>
      </c>
      <c r="F65" s="18">
        <f t="shared" si="6"/>
        <v>12428</v>
      </c>
      <c r="G65" s="17">
        <v>903.04</v>
      </c>
      <c r="H65" s="18">
        <f t="shared" si="7"/>
        <v>11739.52</v>
      </c>
      <c r="I65" s="17">
        <v>1020</v>
      </c>
      <c r="J65" s="18">
        <f t="shared" si="8"/>
        <v>13260</v>
      </c>
      <c r="K65" s="17">
        <v>890</v>
      </c>
      <c r="L65" s="18">
        <f t="shared" si="9"/>
        <v>11570</v>
      </c>
      <c r="M65" s="17">
        <v>1000</v>
      </c>
      <c r="N65" s="18">
        <f t="shared" si="4"/>
        <v>13000</v>
      </c>
      <c r="O65" s="17">
        <v>2500</v>
      </c>
      <c r="P65" s="18">
        <f t="shared" si="10"/>
        <v>32500</v>
      </c>
    </row>
    <row r="66" spans="1:16" ht="33" customHeight="1" x14ac:dyDescent="0.25">
      <c r="A66" s="9" t="str">
        <f>'Base Bid Item List'!A78</f>
        <v>0059</v>
      </c>
      <c r="B66" s="37" t="str">
        <f>'Base Bid Item List'!B78</f>
        <v>Sign A5-1 
(Section 344302)</v>
      </c>
      <c r="C66" s="39">
        <f>'Base Bid Item List'!C78</f>
        <v>1</v>
      </c>
      <c r="D66" s="13" t="str">
        <f>'Base Bid Item List'!D78</f>
        <v>LS</v>
      </c>
      <c r="E66" s="17">
        <v>7827</v>
      </c>
      <c r="F66" s="18">
        <f t="shared" si="6"/>
        <v>7827</v>
      </c>
      <c r="G66" s="17">
        <v>8781.7900000000009</v>
      </c>
      <c r="H66" s="18">
        <f t="shared" si="7"/>
        <v>8781.7900000000009</v>
      </c>
      <c r="I66" s="17">
        <v>9900</v>
      </c>
      <c r="J66" s="18">
        <f t="shared" si="8"/>
        <v>9900</v>
      </c>
      <c r="K66" s="17">
        <v>8655</v>
      </c>
      <c r="L66" s="18">
        <f t="shared" si="9"/>
        <v>8655</v>
      </c>
      <c r="M66" s="17">
        <v>9800</v>
      </c>
      <c r="N66" s="18">
        <f t="shared" si="4"/>
        <v>9800</v>
      </c>
      <c r="O66" s="17">
        <v>9800</v>
      </c>
      <c r="P66" s="18">
        <f t="shared" si="10"/>
        <v>9800</v>
      </c>
    </row>
    <row r="67" spans="1:16" ht="33" customHeight="1" x14ac:dyDescent="0.25">
      <c r="A67" s="9" t="str">
        <f>'Base Bid Item List'!A79</f>
        <v>0060</v>
      </c>
      <c r="B67" s="37" t="str">
        <f>'Base Bid Item List'!B79</f>
        <v>Sign A5-6 
(Section 344302)</v>
      </c>
      <c r="C67" s="39">
        <f>'Base Bid Item List'!C79</f>
        <v>1</v>
      </c>
      <c r="D67" s="13" t="str">
        <f>'Base Bid Item List'!D79</f>
        <v>LS</v>
      </c>
      <c r="E67" s="17">
        <v>7827</v>
      </c>
      <c r="F67" s="18">
        <f t="shared" si="6"/>
        <v>7827</v>
      </c>
      <c r="G67" s="17">
        <v>7204.01</v>
      </c>
      <c r="H67" s="18">
        <f t="shared" si="7"/>
        <v>7204.01</v>
      </c>
      <c r="I67" s="17">
        <v>8150</v>
      </c>
      <c r="J67" s="18">
        <f t="shared" si="8"/>
        <v>8150</v>
      </c>
      <c r="K67" s="17">
        <v>7100</v>
      </c>
      <c r="L67" s="18">
        <f t="shared" si="9"/>
        <v>7100</v>
      </c>
      <c r="M67" s="17">
        <v>8000</v>
      </c>
      <c r="N67" s="18">
        <f t="shared" si="4"/>
        <v>8000</v>
      </c>
      <c r="O67" s="17">
        <v>9800</v>
      </c>
      <c r="P67" s="18">
        <f t="shared" si="10"/>
        <v>9800</v>
      </c>
    </row>
    <row r="68" spans="1:16" ht="33" customHeight="1" x14ac:dyDescent="0.25">
      <c r="A68" s="9" t="str">
        <f>'Base Bid Item List'!A80</f>
        <v>0061</v>
      </c>
      <c r="B68" s="37" t="str">
        <f>'Base Bid Item List'!B80</f>
        <v>Sign A5-7 
(Section 344302)</v>
      </c>
      <c r="C68" s="39">
        <f>'Base Bid Item List'!C80</f>
        <v>1</v>
      </c>
      <c r="D68" s="13" t="str">
        <f>'Base Bid Item List'!D80</f>
        <v>LS</v>
      </c>
      <c r="E68" s="17">
        <v>7827</v>
      </c>
      <c r="F68" s="18">
        <f t="shared" si="6"/>
        <v>7827</v>
      </c>
      <c r="G68" s="17">
        <v>8781.7900000000009</v>
      </c>
      <c r="H68" s="18">
        <f t="shared" si="7"/>
        <v>8781.7900000000009</v>
      </c>
      <c r="I68" s="17">
        <v>9900</v>
      </c>
      <c r="J68" s="18">
        <f t="shared" si="8"/>
        <v>9900</v>
      </c>
      <c r="K68" s="17">
        <v>8655</v>
      </c>
      <c r="L68" s="18">
        <f t="shared" si="9"/>
        <v>8655</v>
      </c>
      <c r="M68" s="17">
        <v>9800</v>
      </c>
      <c r="N68" s="18">
        <f t="shared" si="4"/>
        <v>9800</v>
      </c>
      <c r="O68" s="17">
        <v>9800</v>
      </c>
      <c r="P68" s="18">
        <f t="shared" si="10"/>
        <v>9800</v>
      </c>
    </row>
    <row r="69" spans="1:16" ht="33" customHeight="1" x14ac:dyDescent="0.25">
      <c r="A69" s="9" t="str">
        <f>'Base Bid Item List'!A81</f>
        <v>0062</v>
      </c>
      <c r="B69" s="37" t="str">
        <f>'Base Bid Item List'!B81</f>
        <v>Sign A5-8 
(Section 344302)</v>
      </c>
      <c r="C69" s="39">
        <f>'Base Bid Item List'!C81</f>
        <v>1</v>
      </c>
      <c r="D69" s="13" t="str">
        <f>'Base Bid Item List'!D81</f>
        <v>LS</v>
      </c>
      <c r="E69" s="17">
        <v>7827</v>
      </c>
      <c r="F69" s="18">
        <f t="shared" si="6"/>
        <v>7827</v>
      </c>
      <c r="G69" s="17">
        <v>10491.48</v>
      </c>
      <c r="H69" s="18">
        <f t="shared" si="7"/>
        <v>10491.48</v>
      </c>
      <c r="I69" s="17">
        <v>11850</v>
      </c>
      <c r="J69" s="18">
        <f t="shared" si="8"/>
        <v>11850</v>
      </c>
      <c r="K69" s="17">
        <v>10340</v>
      </c>
      <c r="L69" s="18">
        <f t="shared" si="9"/>
        <v>10340</v>
      </c>
      <c r="M69" s="17">
        <v>11800</v>
      </c>
      <c r="N69" s="18">
        <f t="shared" si="4"/>
        <v>11800</v>
      </c>
      <c r="O69" s="17">
        <v>9800</v>
      </c>
      <c r="P69" s="18">
        <f t="shared" si="10"/>
        <v>9800</v>
      </c>
    </row>
    <row r="70" spans="1:16" ht="33" customHeight="1" x14ac:dyDescent="0.25">
      <c r="A70" s="9" t="str">
        <f>'Base Bid Item List'!A82</f>
        <v>0063</v>
      </c>
      <c r="B70" s="37" t="str">
        <f>'Base Bid Item List'!B82</f>
        <v>Sign A5-9 
(Section 344302)</v>
      </c>
      <c r="C70" s="39">
        <f>'Base Bid Item List'!C82</f>
        <v>1</v>
      </c>
      <c r="D70" s="13" t="str">
        <f>'Base Bid Item List'!D82</f>
        <v>LS</v>
      </c>
      <c r="E70" s="17">
        <v>7827</v>
      </c>
      <c r="F70" s="18">
        <f t="shared" si="6"/>
        <v>7827</v>
      </c>
      <c r="G70" s="17">
        <v>10491.48</v>
      </c>
      <c r="H70" s="18">
        <f t="shared" si="7"/>
        <v>10491.48</v>
      </c>
      <c r="I70" s="17">
        <v>11850</v>
      </c>
      <c r="J70" s="18">
        <f t="shared" si="8"/>
        <v>11850</v>
      </c>
      <c r="K70" s="17">
        <v>10340</v>
      </c>
      <c r="L70" s="18">
        <f t="shared" si="9"/>
        <v>10340</v>
      </c>
      <c r="M70" s="17">
        <v>11800</v>
      </c>
      <c r="N70" s="18">
        <f t="shared" si="4"/>
        <v>11800</v>
      </c>
      <c r="O70" s="17">
        <v>9800</v>
      </c>
      <c r="P70" s="18">
        <f t="shared" si="10"/>
        <v>9800</v>
      </c>
    </row>
    <row r="71" spans="1:16" ht="33" customHeight="1" x14ac:dyDescent="0.25">
      <c r="A71" s="9" t="str">
        <f>'Base Bid Item List'!A83</f>
        <v>0064</v>
      </c>
      <c r="B71" s="37" t="str">
        <f>'Base Bid Item List'!B83</f>
        <v>Sign A6-2 
(Section 344302)</v>
      </c>
      <c r="C71" s="39">
        <f>'Base Bid Item List'!C83</f>
        <v>1</v>
      </c>
      <c r="D71" s="13" t="str">
        <f>'Base Bid Item List'!D83</f>
        <v>LS</v>
      </c>
      <c r="E71" s="17">
        <v>7827</v>
      </c>
      <c r="F71" s="18">
        <f t="shared" si="6"/>
        <v>7827</v>
      </c>
      <c r="G71" s="17">
        <v>8781.7900000000009</v>
      </c>
      <c r="H71" s="18">
        <f t="shared" si="7"/>
        <v>8781.7900000000009</v>
      </c>
      <c r="I71" s="17">
        <v>9900</v>
      </c>
      <c r="J71" s="18">
        <f t="shared" si="8"/>
        <v>9900</v>
      </c>
      <c r="K71" s="17">
        <v>8655</v>
      </c>
      <c r="L71" s="18">
        <f t="shared" si="9"/>
        <v>8655</v>
      </c>
      <c r="M71" s="17">
        <v>9800</v>
      </c>
      <c r="N71" s="18">
        <f t="shared" si="4"/>
        <v>9800</v>
      </c>
      <c r="O71" s="17">
        <v>9800</v>
      </c>
      <c r="P71" s="18">
        <f t="shared" si="10"/>
        <v>9800</v>
      </c>
    </row>
    <row r="72" spans="1:16" ht="33" customHeight="1" x14ac:dyDescent="0.25">
      <c r="A72" s="9" t="str">
        <f>'Base Bid Item List'!A84</f>
        <v>0065</v>
      </c>
      <c r="B72" s="37" t="str">
        <f>'Base Bid Item List'!B84</f>
        <v>Sign A6-3 
(Section 344302)</v>
      </c>
      <c r="C72" s="39">
        <f>'Base Bid Item List'!C84</f>
        <v>1</v>
      </c>
      <c r="D72" s="13" t="str">
        <f>'Base Bid Item List'!D84</f>
        <v>LS</v>
      </c>
      <c r="E72" s="17">
        <v>7827</v>
      </c>
      <c r="F72" s="18">
        <f t="shared" si="6"/>
        <v>7827</v>
      </c>
      <c r="G72" s="17">
        <v>7204.01</v>
      </c>
      <c r="H72" s="18">
        <f t="shared" si="7"/>
        <v>7204.01</v>
      </c>
      <c r="I72" s="17">
        <v>8150</v>
      </c>
      <c r="J72" s="18">
        <f t="shared" si="8"/>
        <v>8150</v>
      </c>
      <c r="K72" s="17">
        <v>7100</v>
      </c>
      <c r="L72" s="18">
        <f t="shared" si="9"/>
        <v>7100</v>
      </c>
      <c r="M72" s="17">
        <v>8000</v>
      </c>
      <c r="N72" s="18">
        <f t="shared" ref="N72:N76" si="11">QTY*M72</f>
        <v>8000</v>
      </c>
      <c r="O72" s="17">
        <v>9800</v>
      </c>
      <c r="P72" s="18">
        <f t="shared" si="10"/>
        <v>9800</v>
      </c>
    </row>
    <row r="73" spans="1:16" ht="33" customHeight="1" x14ac:dyDescent="0.25">
      <c r="A73" s="9" t="str">
        <f>'Base Bid Item List'!A85</f>
        <v>0066</v>
      </c>
      <c r="B73" s="37" t="str">
        <f>'Base Bid Item List'!B85</f>
        <v>Sign A6-9 
(Section 344302)</v>
      </c>
      <c r="C73" s="39">
        <f>'Base Bid Item List'!C85</f>
        <v>1</v>
      </c>
      <c r="D73" s="13" t="str">
        <f>'Base Bid Item List'!D85</f>
        <v>LS</v>
      </c>
      <c r="E73" s="17">
        <v>7827</v>
      </c>
      <c r="F73" s="18">
        <f t="shared" si="6"/>
        <v>7827</v>
      </c>
      <c r="G73" s="17">
        <v>8781.7900000000009</v>
      </c>
      <c r="H73" s="18">
        <f t="shared" si="7"/>
        <v>8781.7900000000009</v>
      </c>
      <c r="I73" s="17">
        <v>9900</v>
      </c>
      <c r="J73" s="18">
        <f t="shared" si="8"/>
        <v>9900</v>
      </c>
      <c r="K73" s="17">
        <v>8655</v>
      </c>
      <c r="L73" s="18">
        <f t="shared" si="9"/>
        <v>8655</v>
      </c>
      <c r="M73" s="17">
        <v>9800</v>
      </c>
      <c r="N73" s="18">
        <f t="shared" si="11"/>
        <v>9800</v>
      </c>
      <c r="O73" s="17">
        <v>9800</v>
      </c>
      <c r="P73" s="18">
        <f t="shared" si="10"/>
        <v>9800</v>
      </c>
    </row>
    <row r="74" spans="1:16" ht="33" customHeight="1" x14ac:dyDescent="0.25">
      <c r="A74" s="9" t="str">
        <f>'Base Bid Item List'!A86</f>
        <v>0067</v>
      </c>
      <c r="B74" s="37" t="str">
        <f>'Base Bid Item List'!B86</f>
        <v>Sign A6-10 
(Section 344302)</v>
      </c>
      <c r="C74" s="39">
        <f>'Base Bid Item List'!C86</f>
        <v>1</v>
      </c>
      <c r="D74" s="13" t="str">
        <f>'Base Bid Item List'!D86</f>
        <v>LS</v>
      </c>
      <c r="E74" s="17">
        <v>7827</v>
      </c>
      <c r="F74" s="18">
        <f t="shared" si="6"/>
        <v>7827</v>
      </c>
      <c r="G74" s="17">
        <v>8781.7900000000009</v>
      </c>
      <c r="H74" s="18">
        <f t="shared" si="7"/>
        <v>8781.7900000000009</v>
      </c>
      <c r="I74" s="17">
        <v>9900</v>
      </c>
      <c r="J74" s="18">
        <f t="shared" si="8"/>
        <v>9900</v>
      </c>
      <c r="K74" s="17">
        <v>8655</v>
      </c>
      <c r="L74" s="18">
        <f t="shared" si="9"/>
        <v>8655</v>
      </c>
      <c r="M74" s="17">
        <v>9800</v>
      </c>
      <c r="N74" s="18">
        <f t="shared" si="11"/>
        <v>9800</v>
      </c>
      <c r="O74" s="17">
        <v>9800</v>
      </c>
      <c r="P74" s="18">
        <f t="shared" si="10"/>
        <v>9800</v>
      </c>
    </row>
    <row r="75" spans="1:16" ht="33" customHeight="1" x14ac:dyDescent="0.25">
      <c r="A75" s="9" t="str">
        <f>'Base Bid Item List'!A87</f>
        <v>0068</v>
      </c>
      <c r="B75" s="37" t="str">
        <f>'Base Bid Item List'!B87</f>
        <v>Sign A6-11 
(Section 344302)</v>
      </c>
      <c r="C75" s="39">
        <f>'Base Bid Item List'!C87</f>
        <v>1</v>
      </c>
      <c r="D75" s="13" t="str">
        <f>'Base Bid Item List'!D87</f>
        <v>LS</v>
      </c>
      <c r="E75" s="17">
        <v>7827</v>
      </c>
      <c r="F75" s="18">
        <f t="shared" si="6"/>
        <v>7827</v>
      </c>
      <c r="G75" s="17">
        <v>10491.48</v>
      </c>
      <c r="H75" s="18">
        <f t="shared" si="7"/>
        <v>10491.48</v>
      </c>
      <c r="I75" s="17">
        <v>11850</v>
      </c>
      <c r="J75" s="18">
        <f t="shared" si="8"/>
        <v>11850</v>
      </c>
      <c r="K75" s="17">
        <v>10340</v>
      </c>
      <c r="L75" s="18">
        <f>QTY*K75</f>
        <v>10340</v>
      </c>
      <c r="M75" s="17">
        <v>11800</v>
      </c>
      <c r="N75" s="18">
        <f t="shared" si="11"/>
        <v>11800</v>
      </c>
      <c r="O75" s="17">
        <v>9800</v>
      </c>
      <c r="P75" s="18">
        <f t="shared" si="10"/>
        <v>9800</v>
      </c>
    </row>
    <row r="76" spans="1:16" ht="33" customHeight="1" x14ac:dyDescent="0.25">
      <c r="A76" s="9" t="str">
        <f>'Base Bid Item List'!A88</f>
        <v>0069</v>
      </c>
      <c r="B76" s="37" t="str">
        <f>'Base Bid Item List'!B88</f>
        <v>Sign A6-12 
(Section 344302)</v>
      </c>
      <c r="C76" s="39">
        <f>'Base Bid Item List'!C88</f>
        <v>1</v>
      </c>
      <c r="D76" s="13" t="str">
        <f>'Base Bid Item List'!D88</f>
        <v>LS</v>
      </c>
      <c r="E76" s="17">
        <v>7827</v>
      </c>
      <c r="F76" s="18">
        <f t="shared" ref="F76" si="12">QTY*E76</f>
        <v>7827</v>
      </c>
      <c r="G76" s="17">
        <v>10491.48</v>
      </c>
      <c r="H76" s="18">
        <f t="shared" ref="H76" si="13">QTY*G76</f>
        <v>10491.48</v>
      </c>
      <c r="I76" s="17">
        <v>11850</v>
      </c>
      <c r="J76" s="18">
        <f t="shared" ref="J76" si="14">QTY*I76</f>
        <v>11850</v>
      </c>
      <c r="K76" s="17">
        <v>10340</v>
      </c>
      <c r="L76" s="18">
        <f>QTY*K76</f>
        <v>10340</v>
      </c>
      <c r="M76" s="17">
        <v>11800</v>
      </c>
      <c r="N76" s="18">
        <f t="shared" si="11"/>
        <v>11800</v>
      </c>
      <c r="O76" s="17">
        <v>9800</v>
      </c>
      <c r="P76" s="18">
        <f t="shared" ref="P76" si="15">QTY*O76</f>
        <v>9800</v>
      </c>
    </row>
    <row r="77" spans="1:16" ht="27.75" customHeight="1" x14ac:dyDescent="0.25">
      <c r="A77" s="10"/>
      <c r="B77" s="54" t="s">
        <v>155</v>
      </c>
      <c r="C77" s="28"/>
      <c r="D77" s="15"/>
      <c r="E77" s="19"/>
      <c r="F77" s="96">
        <f>SUM(F8:F76)</f>
        <v>9624346.25</v>
      </c>
      <c r="G77" s="19"/>
      <c r="H77" s="96">
        <f>SUM(H8:H76)</f>
        <v>10277995.679999998</v>
      </c>
      <c r="I77" s="19"/>
      <c r="J77" s="96">
        <f>SUM(J8:J76)</f>
        <v>9569824.5500000007</v>
      </c>
      <c r="K77" s="19"/>
      <c r="L77" s="96">
        <f>SUM(L8:L76)</f>
        <v>9285859.1499999985</v>
      </c>
      <c r="M77" s="19"/>
      <c r="N77" s="96">
        <f>SUM(N8:N76)</f>
        <v>8991000</v>
      </c>
      <c r="O77" s="19"/>
      <c r="P77" s="96">
        <f>SUM(P8:P76)</f>
        <v>11210044.25</v>
      </c>
    </row>
  </sheetData>
  <mergeCells count="12">
    <mergeCell ref="M1:N5"/>
    <mergeCell ref="O1:P5"/>
    <mergeCell ref="K1:L5"/>
    <mergeCell ref="A6:D6"/>
    <mergeCell ref="E1:F5"/>
    <mergeCell ref="G1:H5"/>
    <mergeCell ref="I1:J5"/>
    <mergeCell ref="A1:D1"/>
    <mergeCell ref="A2:D2"/>
    <mergeCell ref="A3:D3"/>
    <mergeCell ref="A4:D4"/>
    <mergeCell ref="A5:D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A1:R20"/>
  <sheetViews>
    <sheetView topLeftCell="A6" zoomScaleNormal="100" zoomScaleSheetLayoutView="100" workbookViewId="0">
      <selection activeCell="E28" sqref="E28"/>
    </sheetView>
  </sheetViews>
  <sheetFormatPr defaultRowHeight="15" x14ac:dyDescent="0.25"/>
  <cols>
    <col min="1" max="1" width="6.7109375" customWidth="1"/>
    <col min="2" max="2" width="28.85546875" customWidth="1"/>
    <col min="3" max="3" width="11.28515625" customWidth="1"/>
    <col min="4" max="4" width="6.7109375" customWidth="1"/>
    <col min="5" max="5" width="11" customWidth="1"/>
    <col min="6" max="6" width="13.42578125" customWidth="1"/>
    <col min="7" max="7" width="11" customWidth="1"/>
    <col min="8" max="8" width="13.42578125" customWidth="1"/>
    <col min="9" max="9" width="11" customWidth="1"/>
    <col min="10" max="10" width="13.42578125" customWidth="1"/>
    <col min="11" max="11" width="11" customWidth="1"/>
    <col min="12" max="12" width="13.42578125" customWidth="1"/>
    <col min="13" max="13" width="11" customWidth="1"/>
    <col min="14" max="14" width="13.42578125" customWidth="1"/>
    <col min="15" max="15" width="11" customWidth="1"/>
    <col min="16" max="16" width="13.42578125" customWidth="1"/>
  </cols>
  <sheetData>
    <row r="1" spans="1:16" ht="30" customHeight="1" x14ac:dyDescent="0.25">
      <c r="A1" s="78" t="s">
        <v>13</v>
      </c>
      <c r="B1" s="79"/>
      <c r="C1" s="79"/>
      <c r="D1" s="80"/>
      <c r="E1" s="91" t="str">
        <f>Contractor1</f>
        <v>Coffman Excavation</v>
      </c>
      <c r="F1" s="92"/>
      <c r="G1" s="91" t="str">
        <f>Contractor2</f>
        <v>Granite Construction Company</v>
      </c>
      <c r="H1" s="92"/>
      <c r="I1" s="91" t="str">
        <f>Contractor3</f>
        <v>K&amp;E Excavating, Inc.</v>
      </c>
      <c r="J1" s="92"/>
      <c r="K1" s="91" t="str">
        <f>Contractor4</f>
        <v>Kerr Contractors 
Oregon, LLC</v>
      </c>
      <c r="L1" s="92"/>
      <c r="M1" s="91" t="str">
        <f>Contractor5</f>
        <v>Tapani, Inc.</v>
      </c>
      <c r="N1" s="92"/>
      <c r="O1" s="87" t="str">
        <f>EngineerEstimate</f>
        <v>Engineer's Estimate</v>
      </c>
      <c r="P1" s="88"/>
    </row>
    <row r="2" spans="1:16" x14ac:dyDescent="0.25">
      <c r="A2" s="81" t="s">
        <v>14</v>
      </c>
      <c r="B2" s="82"/>
      <c r="C2" s="82"/>
      <c r="D2" s="83"/>
      <c r="E2" s="93"/>
      <c r="F2" s="94"/>
      <c r="G2" s="93"/>
      <c r="H2" s="94"/>
      <c r="I2" s="93"/>
      <c r="J2" s="94"/>
      <c r="K2" s="93"/>
      <c r="L2" s="94"/>
      <c r="M2" s="93"/>
      <c r="N2" s="94"/>
      <c r="O2" s="89"/>
      <c r="P2" s="90"/>
    </row>
    <row r="3" spans="1:16" x14ac:dyDescent="0.25">
      <c r="A3" s="81"/>
      <c r="B3" s="82"/>
      <c r="C3" s="82"/>
      <c r="D3" s="83"/>
      <c r="E3" s="93"/>
      <c r="F3" s="94"/>
      <c r="G3" s="93"/>
      <c r="H3" s="94"/>
      <c r="I3" s="93"/>
      <c r="J3" s="94"/>
      <c r="K3" s="93"/>
      <c r="L3" s="94"/>
      <c r="M3" s="93"/>
      <c r="N3" s="94"/>
      <c r="O3" s="89"/>
      <c r="P3" s="90"/>
    </row>
    <row r="4" spans="1:16" x14ac:dyDescent="0.25">
      <c r="A4" s="84" t="s">
        <v>173</v>
      </c>
      <c r="B4" s="85"/>
      <c r="C4" s="85"/>
      <c r="D4" s="86"/>
      <c r="E4" s="93"/>
      <c r="F4" s="94"/>
      <c r="G4" s="93"/>
      <c r="H4" s="94"/>
      <c r="I4" s="93"/>
      <c r="J4" s="94"/>
      <c r="K4" s="93"/>
      <c r="L4" s="94"/>
      <c r="M4" s="93"/>
      <c r="N4" s="94"/>
      <c r="O4" s="89"/>
      <c r="P4" s="90"/>
    </row>
    <row r="5" spans="1:16" x14ac:dyDescent="0.25">
      <c r="A5" s="84" t="s">
        <v>174</v>
      </c>
      <c r="B5" s="85"/>
      <c r="C5" s="85"/>
      <c r="D5" s="86"/>
      <c r="E5" s="93"/>
      <c r="F5" s="94"/>
      <c r="G5" s="93"/>
      <c r="H5" s="94"/>
      <c r="I5" s="93"/>
      <c r="J5" s="94"/>
      <c r="K5" s="93"/>
      <c r="L5" s="94"/>
      <c r="M5" s="93"/>
      <c r="N5" s="94"/>
      <c r="O5" s="89"/>
      <c r="P5" s="90"/>
    </row>
    <row r="6" spans="1:16" x14ac:dyDescent="0.25">
      <c r="A6" s="75">
        <f ca="1">TODAY()</f>
        <v>45671</v>
      </c>
      <c r="B6" s="76"/>
      <c r="C6" s="76"/>
      <c r="D6" s="77"/>
      <c r="E6" s="30"/>
      <c r="F6" s="31"/>
      <c r="G6" s="30"/>
      <c r="H6" s="31"/>
      <c r="I6" s="30"/>
      <c r="J6" s="31"/>
      <c r="K6" s="30"/>
      <c r="L6" s="31"/>
      <c r="M6" s="30"/>
      <c r="N6" s="31"/>
      <c r="O6" s="30"/>
      <c r="P6" s="31"/>
    </row>
    <row r="7" spans="1:16" ht="33" customHeight="1" x14ac:dyDescent="0.25">
      <c r="A7" s="8" t="s">
        <v>15</v>
      </c>
      <c r="B7" s="12" t="s">
        <v>16</v>
      </c>
      <c r="C7" s="27" t="s">
        <v>17</v>
      </c>
      <c r="D7" s="12" t="s">
        <v>18</v>
      </c>
      <c r="E7" s="35" t="s">
        <v>19</v>
      </c>
      <c r="F7" s="35" t="s">
        <v>20</v>
      </c>
      <c r="G7" s="35" t="s">
        <v>19</v>
      </c>
      <c r="H7" s="35" t="s">
        <v>20</v>
      </c>
      <c r="I7" s="35" t="s">
        <v>19</v>
      </c>
      <c r="J7" s="35" t="s">
        <v>20</v>
      </c>
      <c r="K7" s="35" t="s">
        <v>19</v>
      </c>
      <c r="L7" s="35" t="s">
        <v>20</v>
      </c>
      <c r="M7" s="35" t="s">
        <v>19</v>
      </c>
      <c r="N7" s="35" t="s">
        <v>20</v>
      </c>
      <c r="O7" s="35" t="s">
        <v>19</v>
      </c>
      <c r="P7" s="35" t="s">
        <v>20</v>
      </c>
    </row>
    <row r="8" spans="1:16" ht="33" customHeight="1" x14ac:dyDescent="0.25">
      <c r="A8" s="9" t="str">
        <f>'Alternate Item List'!A20</f>
        <v>0001</v>
      </c>
      <c r="B8" s="37" t="str">
        <f>'Alternate Item List'!B20</f>
        <v>Mobilization
(Item C-105)</v>
      </c>
      <c r="C8" s="39">
        <f>'Alternate Item List'!C20</f>
        <v>1</v>
      </c>
      <c r="D8" s="13" t="str">
        <f>'Alternate Item List'!D20</f>
        <v>LS</v>
      </c>
      <c r="E8" s="17">
        <v>1905</v>
      </c>
      <c r="F8" s="18">
        <f>C8*E8</f>
        <v>1905</v>
      </c>
      <c r="G8" s="17">
        <v>38677</v>
      </c>
      <c r="H8" s="18">
        <f>C8*G8</f>
        <v>38677</v>
      </c>
      <c r="I8" s="17">
        <v>44000</v>
      </c>
      <c r="J8" s="18">
        <f>C8*I8</f>
        <v>44000</v>
      </c>
      <c r="K8" s="17">
        <v>60000</v>
      </c>
      <c r="L8" s="18">
        <f>C8*K8</f>
        <v>60000</v>
      </c>
      <c r="M8" s="17">
        <v>40000</v>
      </c>
      <c r="N8" s="18">
        <f>C8*M8</f>
        <v>40000</v>
      </c>
      <c r="O8" s="17">
        <v>43960</v>
      </c>
      <c r="P8" s="18">
        <f>O8*C8</f>
        <v>43960</v>
      </c>
    </row>
    <row r="9" spans="1:16" ht="33" customHeight="1" x14ac:dyDescent="0.25">
      <c r="A9" s="9" t="str">
        <f>'Alternate Item List'!A21</f>
        <v>0002</v>
      </c>
      <c r="B9" s="37" t="str">
        <f>'Alternate Item List'!B21</f>
        <v>3-5 Inch Cold Milling
(Item P-101)</v>
      </c>
      <c r="C9" s="39">
        <f>'Alternate Item List'!C21</f>
        <v>7200</v>
      </c>
      <c r="D9" s="13" t="str">
        <f>'Alternate Item List'!D21</f>
        <v>SY</v>
      </c>
      <c r="E9" s="17">
        <v>5.2</v>
      </c>
      <c r="F9" s="18">
        <f t="shared" ref="F9:F18" si="0">C9*E9</f>
        <v>37440</v>
      </c>
      <c r="G9" s="17">
        <v>6.9</v>
      </c>
      <c r="H9" s="18">
        <f t="shared" ref="H9:H18" si="1">C9*G9</f>
        <v>49680</v>
      </c>
      <c r="I9" s="17">
        <v>10</v>
      </c>
      <c r="J9" s="18">
        <f t="shared" ref="J9:J18" si="2">C9*I9</f>
        <v>72000</v>
      </c>
      <c r="K9" s="17">
        <v>5.5</v>
      </c>
      <c r="L9" s="18">
        <f t="shared" ref="L9:L18" si="3">C9*K9</f>
        <v>39600</v>
      </c>
      <c r="M9" s="17">
        <v>7</v>
      </c>
      <c r="N9" s="18">
        <f>C9*M9</f>
        <v>50400</v>
      </c>
      <c r="O9" s="17">
        <v>6.5</v>
      </c>
      <c r="P9" s="18">
        <f>O9*C9</f>
        <v>46800</v>
      </c>
    </row>
    <row r="10" spans="1:16" ht="33" customHeight="1" x14ac:dyDescent="0.25">
      <c r="A10" s="9" t="str">
        <f>'Alternate Item List'!A22</f>
        <v>0003</v>
      </c>
      <c r="B10" s="37" t="str">
        <f>'Alternate Item List'!B22</f>
        <v>Asphalt Surface Course
(Item P-401)</v>
      </c>
      <c r="C10" s="39">
        <f>'Alternate Item List'!C22</f>
        <v>1420</v>
      </c>
      <c r="D10" s="13" t="str">
        <f>'Alternate Item List'!D22</f>
        <v>Ton</v>
      </c>
      <c r="E10" s="17">
        <v>198</v>
      </c>
      <c r="F10" s="18">
        <f t="shared" si="0"/>
        <v>281160</v>
      </c>
      <c r="G10" s="17">
        <v>200.83</v>
      </c>
      <c r="H10" s="18">
        <f t="shared" si="1"/>
        <v>285178.60000000003</v>
      </c>
      <c r="I10" s="17">
        <v>200</v>
      </c>
      <c r="J10" s="18">
        <f t="shared" si="2"/>
        <v>284000</v>
      </c>
      <c r="K10" s="17">
        <v>161.5</v>
      </c>
      <c r="L10" s="18">
        <f t="shared" si="3"/>
        <v>229330</v>
      </c>
      <c r="M10" s="17">
        <v>180</v>
      </c>
      <c r="N10" s="18">
        <f>C10*M10</f>
        <v>255600</v>
      </c>
      <c r="O10" s="17">
        <v>187</v>
      </c>
      <c r="P10" s="18">
        <f>O10*C10</f>
        <v>265540</v>
      </c>
    </row>
    <row r="11" spans="1:16" ht="33" customHeight="1" x14ac:dyDescent="0.25">
      <c r="A11" s="9" t="str">
        <f>'Alternate Item List'!A23</f>
        <v>0004</v>
      </c>
      <c r="B11" s="37" t="str">
        <f>'Alternate Item List'!B23</f>
        <v>Emulsified Asphalt Tack Coat 
(Item P-603)</v>
      </c>
      <c r="C11" s="39">
        <f>'Alternate Item List'!C23</f>
        <v>1520</v>
      </c>
      <c r="D11" s="13" t="str">
        <f>'Alternate Item List'!D23</f>
        <v>Gal</v>
      </c>
      <c r="E11" s="17">
        <v>9</v>
      </c>
      <c r="F11" s="18">
        <f t="shared" si="0"/>
        <v>13680</v>
      </c>
      <c r="G11" s="17">
        <v>6.78</v>
      </c>
      <c r="H11" s="18">
        <f t="shared" si="1"/>
        <v>10305.6</v>
      </c>
      <c r="I11" s="17">
        <v>10</v>
      </c>
      <c r="J11" s="18">
        <f t="shared" si="2"/>
        <v>15200</v>
      </c>
      <c r="K11" s="17">
        <v>7.25</v>
      </c>
      <c r="L11" s="18">
        <f t="shared" si="3"/>
        <v>11020</v>
      </c>
      <c r="M11" s="17">
        <v>10</v>
      </c>
      <c r="N11" s="18">
        <f>C11*M11</f>
        <v>15200</v>
      </c>
      <c r="O11" s="17">
        <v>10</v>
      </c>
      <c r="P11" s="18">
        <f>O11*C11</f>
        <v>15200</v>
      </c>
    </row>
    <row r="12" spans="1:16" ht="33" customHeight="1" x14ac:dyDescent="0.25">
      <c r="A12" s="9" t="str">
        <f>'Alternate Item List'!A24</f>
        <v>0005</v>
      </c>
      <c r="B12" s="37" t="str">
        <f>'Alternate Item List'!B24</f>
        <v>Permanent Pavement Marking 
(Item P-620)</v>
      </c>
      <c r="C12" s="39">
        <f>'Alternate Item List'!C24</f>
        <v>3111</v>
      </c>
      <c r="D12" s="13" t="str">
        <f>'Alternate Item List'!D24</f>
        <v>SF</v>
      </c>
      <c r="E12" s="17">
        <v>3</v>
      </c>
      <c r="F12" s="18">
        <f t="shared" si="0"/>
        <v>9333</v>
      </c>
      <c r="G12" s="17">
        <v>1.42</v>
      </c>
      <c r="H12" s="18">
        <f t="shared" si="1"/>
        <v>4417.62</v>
      </c>
      <c r="I12" s="17">
        <v>2.5</v>
      </c>
      <c r="J12" s="18">
        <f t="shared" si="2"/>
        <v>7777.5</v>
      </c>
      <c r="K12" s="17">
        <v>1.25</v>
      </c>
      <c r="L12" s="18">
        <f t="shared" si="3"/>
        <v>3888.75</v>
      </c>
      <c r="M12" s="17">
        <v>5</v>
      </c>
      <c r="N12" s="18">
        <f>C12*M12</f>
        <v>15555</v>
      </c>
      <c r="O12" s="17">
        <v>6</v>
      </c>
      <c r="P12" s="18">
        <f>O12*C12</f>
        <v>18666</v>
      </c>
    </row>
    <row r="13" spans="1:16" ht="33" customHeight="1" x14ac:dyDescent="0.25">
      <c r="A13" s="9" t="str">
        <f>'Alternate Item List'!A25</f>
        <v>0006</v>
      </c>
      <c r="B13" s="37" t="str">
        <f>'Alternate Item List'!B25</f>
        <v>Reflective Media 
(Item P-620)</v>
      </c>
      <c r="C13" s="39">
        <f>'Alternate Item List'!C25</f>
        <v>86</v>
      </c>
      <c r="D13" s="13" t="str">
        <f>'Alternate Item List'!D25</f>
        <v>LB</v>
      </c>
      <c r="E13" s="17">
        <v>1.5</v>
      </c>
      <c r="F13" s="18">
        <f t="shared" si="0"/>
        <v>129</v>
      </c>
      <c r="G13" s="17">
        <v>1.1299999999999999</v>
      </c>
      <c r="H13" s="18">
        <f t="shared" si="1"/>
        <v>97.179999999999993</v>
      </c>
      <c r="I13" s="17">
        <v>2</v>
      </c>
      <c r="J13" s="18">
        <f t="shared" si="2"/>
        <v>172</v>
      </c>
      <c r="K13" s="17">
        <v>1</v>
      </c>
      <c r="L13" s="18">
        <f t="shared" si="3"/>
        <v>86</v>
      </c>
      <c r="M13" s="17">
        <v>5</v>
      </c>
      <c r="N13" s="18">
        <f>C13*M13</f>
        <v>430</v>
      </c>
      <c r="O13" s="17">
        <v>3.25</v>
      </c>
      <c r="P13" s="18">
        <f>O13*C13</f>
        <v>279.5</v>
      </c>
    </row>
    <row r="14" spans="1:16" ht="33" customHeight="1" x14ac:dyDescent="0.25">
      <c r="A14" s="9" t="str">
        <f>'Alternate Item List'!A26</f>
        <v>0007</v>
      </c>
      <c r="B14" s="37" t="str">
        <f>'Alternate Item List'!B26</f>
        <v>Temporary Pavement Marking 
(Item P-620)</v>
      </c>
      <c r="C14" s="39">
        <f>'Alternate Item List'!C26</f>
        <v>482</v>
      </c>
      <c r="D14" s="13" t="str">
        <f>'Alternate Item List'!D26</f>
        <v>SF</v>
      </c>
      <c r="E14" s="17">
        <v>4.5</v>
      </c>
      <c r="F14" s="18">
        <f t="shared" si="0"/>
        <v>2169</v>
      </c>
      <c r="G14" s="17">
        <v>3.97</v>
      </c>
      <c r="H14" s="18">
        <f t="shared" si="1"/>
        <v>1913.5400000000002</v>
      </c>
      <c r="I14" s="17">
        <v>4</v>
      </c>
      <c r="J14" s="18">
        <f t="shared" si="2"/>
        <v>1928</v>
      </c>
      <c r="K14" s="17">
        <v>3.5</v>
      </c>
      <c r="L14" s="18">
        <f t="shared" si="3"/>
        <v>1687</v>
      </c>
      <c r="M14" s="17">
        <v>10</v>
      </c>
      <c r="N14" s="18">
        <f>C14*M14</f>
        <v>4820</v>
      </c>
      <c r="O14" s="17">
        <v>3</v>
      </c>
      <c r="P14" s="18">
        <f>O14*C14</f>
        <v>1446</v>
      </c>
    </row>
    <row r="15" spans="1:16" ht="33" customHeight="1" x14ac:dyDescent="0.25">
      <c r="A15" s="9" t="str">
        <f>'Alternate Item List'!A27</f>
        <v>0008</v>
      </c>
      <c r="B15" s="37" t="str">
        <f>'Alternate Item List'!B27</f>
        <v>Contaminated Material Excavation and Disposal 
(Section 026100)</v>
      </c>
      <c r="C15" s="39">
        <f>'Alternate Item List'!C27</f>
        <v>50</v>
      </c>
      <c r="D15" s="13" t="str">
        <f>'Alternate Item List'!D27</f>
        <v>Ton</v>
      </c>
      <c r="E15" s="17">
        <v>454</v>
      </c>
      <c r="F15" s="18">
        <f t="shared" si="0"/>
        <v>22700</v>
      </c>
      <c r="G15" s="17">
        <v>297.76</v>
      </c>
      <c r="H15" s="18">
        <f t="shared" si="1"/>
        <v>14888</v>
      </c>
      <c r="I15" s="17">
        <v>75</v>
      </c>
      <c r="J15" s="18">
        <f t="shared" si="2"/>
        <v>3750</v>
      </c>
      <c r="K15" s="17">
        <v>131</v>
      </c>
      <c r="L15" s="18">
        <f t="shared" si="3"/>
        <v>6550</v>
      </c>
      <c r="M15" s="17">
        <v>200</v>
      </c>
      <c r="N15" s="18">
        <f>C15*M15</f>
        <v>10000</v>
      </c>
      <c r="O15" s="17">
        <v>1235</v>
      </c>
      <c r="P15" s="18">
        <f>O15*C15</f>
        <v>61750</v>
      </c>
    </row>
    <row r="16" spans="1:16" ht="33" customHeight="1" x14ac:dyDescent="0.25">
      <c r="A16" s="9" t="str">
        <f>'Alternate Item List'!A28</f>
        <v>0009</v>
      </c>
      <c r="B16" s="37" t="str">
        <f>'Alternate Item List'!B28</f>
        <v>No. 8 AWG, 5kV, L-824, Type C Cable, Installed in Trench, Duct Bank or Conduit 
(Item L-108)</v>
      </c>
      <c r="C16" s="39">
        <f>'Alternate Item List'!C28</f>
        <v>960</v>
      </c>
      <c r="D16" s="13" t="str">
        <f>'Alternate Item List'!D28</f>
        <v>LF</v>
      </c>
      <c r="E16" s="17">
        <v>5.7</v>
      </c>
      <c r="F16" s="18">
        <f t="shared" si="0"/>
        <v>5472</v>
      </c>
      <c r="G16" s="17">
        <v>2.0299999999999998</v>
      </c>
      <c r="H16" s="18">
        <f t="shared" si="1"/>
        <v>1948.7999999999997</v>
      </c>
      <c r="I16" s="17">
        <v>3</v>
      </c>
      <c r="J16" s="18">
        <f t="shared" si="2"/>
        <v>2880</v>
      </c>
      <c r="K16" s="17">
        <v>2</v>
      </c>
      <c r="L16" s="18">
        <f t="shared" si="3"/>
        <v>1920</v>
      </c>
      <c r="M16" s="17">
        <v>6</v>
      </c>
      <c r="N16" s="18">
        <f>C16*M16</f>
        <v>5760</v>
      </c>
      <c r="O16" s="17">
        <v>2</v>
      </c>
      <c r="P16" s="18">
        <f>O16*C16</f>
        <v>1920</v>
      </c>
    </row>
    <row r="17" spans="1:18" ht="33" customHeight="1" x14ac:dyDescent="0.25">
      <c r="A17" s="9" t="str">
        <f>'Alternate Item List'!A29</f>
        <v>0010</v>
      </c>
      <c r="B17" s="37" t="str">
        <f>'Alternate Item List'!B29</f>
        <v>Install Elevated Taxiway Edge Light on Existing Base Can with PF Transformer 
(Section 344300)</v>
      </c>
      <c r="C17" s="39">
        <f>'Alternate Item List'!C29</f>
        <v>18</v>
      </c>
      <c r="D17" s="13" t="str">
        <f>'Alternate Item List'!D29</f>
        <v>Each</v>
      </c>
      <c r="E17" s="17">
        <v>1390</v>
      </c>
      <c r="F17" s="18">
        <f t="shared" si="0"/>
        <v>25020</v>
      </c>
      <c r="G17" s="17">
        <v>370.35</v>
      </c>
      <c r="H17" s="18">
        <f t="shared" si="1"/>
        <v>6666.3</v>
      </c>
      <c r="I17" s="17">
        <v>550</v>
      </c>
      <c r="J17" s="18">
        <f t="shared" si="2"/>
        <v>9900</v>
      </c>
      <c r="K17" s="17">
        <v>365</v>
      </c>
      <c r="L17" s="18">
        <f t="shared" si="3"/>
        <v>6570</v>
      </c>
      <c r="M17" s="17">
        <v>1500</v>
      </c>
      <c r="N17" s="18">
        <f>C17*M17</f>
        <v>27000</v>
      </c>
      <c r="O17" s="17">
        <v>1000</v>
      </c>
      <c r="P17" s="18">
        <f>O17*C17</f>
        <v>18000</v>
      </c>
    </row>
    <row r="18" spans="1:18" ht="33" customHeight="1" x14ac:dyDescent="0.25">
      <c r="A18" s="9" t="str">
        <f>'Alternate Item List'!A30</f>
        <v>0011</v>
      </c>
      <c r="B18" s="37" t="str">
        <f>'Alternate Item List'!B30</f>
        <v xml:space="preserve">Adjust Existing Taxiway Centerline Light to New Finish Elevation 
(Section 344301) </v>
      </c>
      <c r="C18" s="39">
        <f>'Alternate Item List'!C30</f>
        <v>4</v>
      </c>
      <c r="D18" s="13" t="str">
        <f>'Alternate Item List'!D30</f>
        <v>Each</v>
      </c>
      <c r="E18" s="17">
        <v>980</v>
      </c>
      <c r="F18" s="18">
        <f t="shared" si="0"/>
        <v>3920</v>
      </c>
      <c r="G18" s="17">
        <v>872.6</v>
      </c>
      <c r="H18" s="18">
        <f t="shared" si="1"/>
        <v>3490.4</v>
      </c>
      <c r="I18" s="17">
        <v>1000</v>
      </c>
      <c r="J18" s="18">
        <f t="shared" si="2"/>
        <v>4000</v>
      </c>
      <c r="K18" s="17">
        <v>860</v>
      </c>
      <c r="L18" s="18">
        <f t="shared" si="3"/>
        <v>3440</v>
      </c>
      <c r="M18" s="17">
        <v>1000</v>
      </c>
      <c r="N18" s="18">
        <f>C18*M18</f>
        <v>4000</v>
      </c>
      <c r="O18" s="17">
        <v>2500</v>
      </c>
      <c r="P18" s="18">
        <f>O18*C18</f>
        <v>10000</v>
      </c>
    </row>
    <row r="19" spans="1:18" ht="27.75" customHeight="1" x14ac:dyDescent="0.25">
      <c r="A19" s="10"/>
      <c r="B19" s="14" t="s">
        <v>154</v>
      </c>
      <c r="C19" s="28"/>
      <c r="D19" s="15"/>
      <c r="E19" s="19"/>
      <c r="F19" s="96">
        <f>SUM(F8:F18)</f>
        <v>402928</v>
      </c>
      <c r="G19" s="19"/>
      <c r="H19" s="96">
        <f>SUM(H8:H18)</f>
        <v>417263.04</v>
      </c>
      <c r="I19" s="19"/>
      <c r="J19" s="96">
        <f>SUM(J8:J18)</f>
        <v>445607.5</v>
      </c>
      <c r="K19" s="19"/>
      <c r="L19" s="96">
        <f>SUM(L8:L18)</f>
        <v>364091.75</v>
      </c>
      <c r="M19" s="19"/>
      <c r="N19" s="96">
        <f>SUM(N8:N18)</f>
        <v>428765</v>
      </c>
      <c r="O19" s="19"/>
      <c r="P19" s="96">
        <f>SUM(P8:P18)</f>
        <v>483561.5</v>
      </c>
    </row>
    <row r="20" spans="1:18" ht="27.75" customHeight="1" x14ac:dyDescent="0.25">
      <c r="A20" s="10"/>
      <c r="B20" s="38" t="s">
        <v>156</v>
      </c>
      <c r="C20" s="28"/>
      <c r="D20" s="15"/>
      <c r="E20" s="19"/>
      <c r="F20" s="96">
        <f>F19+Total1</f>
        <v>10027274.25</v>
      </c>
      <c r="G20" s="19"/>
      <c r="H20" s="96">
        <f>H19+Total2</f>
        <v>10695258.719999997</v>
      </c>
      <c r="I20" s="19"/>
      <c r="J20" s="96">
        <f>J19+Total3</f>
        <v>10015432.050000001</v>
      </c>
      <c r="K20" s="19"/>
      <c r="L20" s="96">
        <f>L19+Total4</f>
        <v>9649950.8999999985</v>
      </c>
      <c r="M20" s="19"/>
      <c r="N20" s="96">
        <f>N19+Total5</f>
        <v>9419765</v>
      </c>
      <c r="O20" s="19"/>
      <c r="P20" s="96">
        <f>P19+TotalEE</f>
        <v>11693605.75</v>
      </c>
      <c r="Q20" s="19"/>
      <c r="R20" s="19"/>
    </row>
  </sheetData>
  <mergeCells count="12">
    <mergeCell ref="A6:D6"/>
    <mergeCell ref="O1:P5"/>
    <mergeCell ref="E1:F5"/>
    <mergeCell ref="G1:H5"/>
    <mergeCell ref="I1:J5"/>
    <mergeCell ref="A1:D1"/>
    <mergeCell ref="A2:D2"/>
    <mergeCell ref="A3:D3"/>
    <mergeCell ref="A4:D4"/>
    <mergeCell ref="A5:D5"/>
    <mergeCell ref="K1:L5"/>
    <mergeCell ref="M1:N5"/>
  </mergeCells>
  <printOptions horizontalCentered="1"/>
  <pageMargins left="0.5" right="0.5" top="0.5" bottom="0.5" header="0.05" footer="0.5"/>
  <pageSetup orientation="landscape" r:id="rId1"/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6" tint="-0.499984740745262"/>
  </sheetPr>
  <dimension ref="A1:C15"/>
  <sheetViews>
    <sheetView view="pageBreakPreview" zoomScaleNormal="75" zoomScaleSheetLayoutView="100" workbookViewId="0">
      <selection activeCell="C8" sqref="C8"/>
    </sheetView>
  </sheetViews>
  <sheetFormatPr defaultRowHeight="15" x14ac:dyDescent="0.25"/>
  <cols>
    <col min="1" max="1" width="41.5703125" style="11" customWidth="1"/>
    <col min="2" max="2" width="24.28515625" style="33" customWidth="1"/>
    <col min="3" max="3" width="23.5703125" style="33" customWidth="1"/>
  </cols>
  <sheetData>
    <row r="1" spans="1:3" ht="30" customHeight="1" x14ac:dyDescent="0.25">
      <c r="A1" s="45" t="str">
        <f>ProjectLocation</f>
        <v>PORTLAND INTERNATIONAL AIRPORT</v>
      </c>
      <c r="B1" s="47"/>
      <c r="C1" s="47"/>
    </row>
    <row r="2" spans="1:3" ht="15" customHeight="1" x14ac:dyDescent="0.25">
      <c r="A2" s="46" t="s">
        <v>14</v>
      </c>
      <c r="B2" s="48"/>
      <c r="C2" s="48"/>
    </row>
    <row r="3" spans="1:3" ht="15" customHeight="1" x14ac:dyDescent="0.25">
      <c r="A3" s="46"/>
      <c r="B3" s="48"/>
      <c r="C3" s="48"/>
    </row>
    <row r="4" spans="1:3" x14ac:dyDescent="0.25">
      <c r="A4" s="40" t="str">
        <f>EAN</f>
        <v>EAN 2023D011</v>
      </c>
      <c r="B4" s="48"/>
      <c r="C4" s="48"/>
    </row>
    <row r="5" spans="1:3" ht="15" customHeight="1" x14ac:dyDescent="0.25">
      <c r="A5" s="41" t="str">
        <f>SolicitationNo</f>
        <v>Solicitation No. 2023-10218</v>
      </c>
      <c r="B5" s="48"/>
      <c r="C5" s="48"/>
    </row>
    <row r="6" spans="1:3" ht="15" customHeight="1" x14ac:dyDescent="0.25">
      <c r="A6" s="42">
        <f ca="1">TODAY()</f>
        <v>45671</v>
      </c>
      <c r="B6" s="49"/>
      <c r="C6" s="49"/>
    </row>
    <row r="7" spans="1:3" ht="39" customHeight="1" x14ac:dyDescent="0.25">
      <c r="A7" s="43" t="s">
        <v>157</v>
      </c>
      <c r="B7" s="53" t="s">
        <v>175</v>
      </c>
      <c r="C7" s="53" t="s">
        <v>176</v>
      </c>
    </row>
    <row r="8" spans="1:3" ht="33" customHeight="1" x14ac:dyDescent="0.25">
      <c r="A8" s="44" t="str">
        <f>Contractor5</f>
        <v>Tapani, Inc.</v>
      </c>
      <c r="B8" s="50">
        <f>'Base Bid Tabulation'!N77</f>
        <v>8991000</v>
      </c>
      <c r="C8" s="50">
        <f>'Alternate Bid Tabulation'!N19</f>
        <v>428765</v>
      </c>
    </row>
    <row r="9" spans="1:3" ht="33" customHeight="1" x14ac:dyDescent="0.25">
      <c r="A9" s="44" t="str">
        <f>Contractor4</f>
        <v>Kerr Contractors 
Oregon, LLC</v>
      </c>
      <c r="B9" s="50">
        <f>Total4</f>
        <v>9285859.1499999985</v>
      </c>
      <c r="C9" s="50">
        <f>'Alternate Bid Tabulation'!L19</f>
        <v>364091.75</v>
      </c>
    </row>
    <row r="10" spans="1:3" ht="33" customHeight="1" x14ac:dyDescent="0.25">
      <c r="A10" s="44" t="str">
        <f>Contractor3</f>
        <v>K&amp;E Excavating, Inc.</v>
      </c>
      <c r="B10" s="50">
        <f>Total3</f>
        <v>9569824.5500000007</v>
      </c>
      <c r="C10" s="50">
        <f>'Alternate Bid Tabulation'!J19</f>
        <v>445607.5</v>
      </c>
    </row>
    <row r="11" spans="1:3" ht="33" customHeight="1" x14ac:dyDescent="0.25">
      <c r="A11" s="44" t="str">
        <f>Contractor1</f>
        <v>Coffman Excavation</v>
      </c>
      <c r="B11" s="50">
        <f>Total1</f>
        <v>9624346.25</v>
      </c>
      <c r="C11" s="50">
        <f>'Alternate Bid Tabulation'!F19</f>
        <v>402928</v>
      </c>
    </row>
    <row r="12" spans="1:3" ht="33" customHeight="1" x14ac:dyDescent="0.25">
      <c r="A12" s="44" t="str">
        <f>Contractor2</f>
        <v>Granite Construction Company</v>
      </c>
      <c r="B12" s="95" t="s">
        <v>182</v>
      </c>
      <c r="C12" s="50">
        <f>'Alternate Bid Tabulation'!H19</f>
        <v>417263.04</v>
      </c>
    </row>
    <row r="13" spans="1:3" ht="33" customHeight="1" x14ac:dyDescent="0.25">
      <c r="A13" s="51" t="str">
        <f>EngineerEstimate</f>
        <v>Engineer's Estimate</v>
      </c>
      <c r="B13" s="52">
        <f>TotalEE</f>
        <v>11210044.25</v>
      </c>
      <c r="C13" s="52">
        <f>'Alternate Bid Tabulation'!P19</f>
        <v>483561.5</v>
      </c>
    </row>
    <row r="14" spans="1:3" x14ac:dyDescent="0.25">
      <c r="A14" s="34" t="s">
        <v>158</v>
      </c>
    </row>
    <row r="15" spans="1:3" x14ac:dyDescent="0.25">
      <c r="A15" s="34" t="s">
        <v>159</v>
      </c>
    </row>
  </sheetData>
  <sortState xmlns:xlrd2="http://schemas.microsoft.com/office/spreadsheetml/2017/richdata2" ref="A8:C12">
    <sortCondition ref="B8:B12"/>
  </sortState>
  <printOptions horizontalCentered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CC67D0-FA95-4D16-AD9F-6ED94FA9918A}"/>
</file>

<file path=customXml/itemProps2.xml><?xml version="1.0" encoding="utf-8"?>
<ds:datastoreItem xmlns:ds="http://schemas.openxmlformats.org/officeDocument/2006/customXml" ds:itemID="{FEC3C027-64F8-4C61-83BA-07F5057D06A8}"/>
</file>

<file path=customXml/itemProps3.xml><?xml version="1.0" encoding="utf-8"?>
<ds:datastoreItem xmlns:ds="http://schemas.openxmlformats.org/officeDocument/2006/customXml" ds:itemID="{1F47155B-4135-45D3-961F-4609F7D52465}">
  <ds:schemaRefs>
    <ds:schemaRef ds:uri="http://schemas.microsoft.com/office/2006/metadata/properties"/>
    <ds:schemaRef ds:uri="http://schemas.microsoft.com/office/infopath/2007/PartnerControls"/>
    <ds:schemaRef ds:uri="C5FBA9F9-E656-446F-9EDE-A925D9775F27"/>
    <ds:schemaRef ds:uri="c5fba9f9-e656-446f-9ede-a925d9775f27"/>
    <ds:schemaRef ds:uri="112f9622-8391-4282-a7a3-ff35a3c518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26</vt:i4>
      </vt:variant>
    </vt:vector>
  </HeadingPairs>
  <TitlesOfParts>
    <vt:vector size="31" baseType="lpstr">
      <vt:lpstr>Base Bid Item List</vt:lpstr>
      <vt:lpstr>Alternate Item List</vt:lpstr>
      <vt:lpstr>Base Bid Tabulation</vt:lpstr>
      <vt:lpstr>Alternate Bid Tabulation</vt:lpstr>
      <vt:lpstr>Summary</vt:lpstr>
      <vt:lpstr>Contractor1</vt:lpstr>
      <vt:lpstr>Contractor2</vt:lpstr>
      <vt:lpstr>Contractor3</vt:lpstr>
      <vt:lpstr>Contractor4</vt:lpstr>
      <vt:lpstr>Contractor5</vt:lpstr>
      <vt:lpstr>EAN</vt:lpstr>
      <vt:lpstr>EngineerEstimate</vt:lpstr>
      <vt:lpstr>'Alternate Bid Tabulation'!Print_Area</vt:lpstr>
      <vt:lpstr>'Alternate Item List'!Print_Area</vt:lpstr>
      <vt:lpstr>'Base Bid Item List'!Print_Area</vt:lpstr>
      <vt:lpstr>Summary!Print_Area</vt:lpstr>
      <vt:lpstr>'Alternate Bid Tabulation'!Print_Titles</vt:lpstr>
      <vt:lpstr>'Alternate Item List'!Print_Titles</vt:lpstr>
      <vt:lpstr>'Base Bid Item List'!Print_Titles</vt:lpstr>
      <vt:lpstr>'Base Bid Tabulation'!Print_Titles</vt:lpstr>
      <vt:lpstr>ProjectLocation</vt:lpstr>
      <vt:lpstr>ProjectTitle</vt:lpstr>
      <vt:lpstr>ProjectTitle2</vt:lpstr>
      <vt:lpstr>QTY</vt:lpstr>
      <vt:lpstr>SolicitationNo</vt:lpstr>
      <vt:lpstr>Total1</vt:lpstr>
      <vt:lpstr>Total2</vt:lpstr>
      <vt:lpstr>Total3</vt:lpstr>
      <vt:lpstr>Total4</vt:lpstr>
      <vt:lpstr>Total5</vt:lpstr>
      <vt:lpstr>TotalEE</vt:lpstr>
    </vt:vector>
  </TitlesOfParts>
  <Manager/>
  <Company>Port of Portland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Etta Goerl</dc:creator>
  <cp:keywords/>
  <dc:description/>
  <cp:lastModifiedBy>Doherty, Colin</cp:lastModifiedBy>
  <cp:revision/>
  <cp:lastPrinted>2025-01-15T01:10:52Z</cp:lastPrinted>
  <dcterms:created xsi:type="dcterms:W3CDTF">2014-05-02T22:08:37Z</dcterms:created>
  <dcterms:modified xsi:type="dcterms:W3CDTF">2025-01-15T01:13:49Z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5f39c-8218-4425-a791-63c9e13c8708_Enabled">
    <vt:lpwstr>true</vt:lpwstr>
  </property>
  <property fmtid="{D5CDD505-2E9C-101B-9397-08002B2CF9AE}" pid="3" name="MSIP_Label_7d95f39c-8218-4425-a791-63c9e13c8708_SetDate">
    <vt:lpwstr>2024-11-21T16:47:15Z</vt:lpwstr>
  </property>
  <property fmtid="{D5CDD505-2E9C-101B-9397-08002B2CF9AE}" pid="4" name="MSIP_Label_7d95f39c-8218-4425-a791-63c9e13c8708_Method">
    <vt:lpwstr>Privileged</vt:lpwstr>
  </property>
  <property fmtid="{D5CDD505-2E9C-101B-9397-08002B2CF9AE}" pid="5" name="MSIP_Label_7d95f39c-8218-4425-a791-63c9e13c8708_Name">
    <vt:lpwstr>7d95f39c-8218-4425-a791-63c9e13c8708</vt:lpwstr>
  </property>
  <property fmtid="{D5CDD505-2E9C-101B-9397-08002B2CF9AE}" pid="6" name="MSIP_Label_7d95f39c-8218-4425-a791-63c9e13c8708_SiteId">
    <vt:lpwstr>37247798-f42c-42fd-8a37-d49c7128d36b</vt:lpwstr>
  </property>
  <property fmtid="{D5CDD505-2E9C-101B-9397-08002B2CF9AE}" pid="7" name="MSIP_Label_7d95f39c-8218-4425-a791-63c9e13c8708_ActionId">
    <vt:lpwstr>b72f9cc0-4415-4d63-9f81-c631901ac4d7</vt:lpwstr>
  </property>
  <property fmtid="{D5CDD505-2E9C-101B-9397-08002B2CF9AE}" pid="8" name="MSIP_Label_7d95f39c-8218-4425-a791-63c9e13c8708_ContentBits">
    <vt:lpwstr>0</vt:lpwstr>
  </property>
  <property fmtid="{D5CDD505-2E9C-101B-9397-08002B2CF9AE}" pid="9" name="ContentTypeId">
    <vt:lpwstr>0x010100C4C3FC360486C3449A5BF21A412D0E8B</vt:lpwstr>
  </property>
</Properties>
</file>