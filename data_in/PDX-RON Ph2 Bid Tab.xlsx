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2D\027\"/>
    </mc:Choice>
  </mc:AlternateContent>
  <xr:revisionPtr revIDLastSave="0" documentId="13_ncr:1_{87DF7AC9-A6B6-4504-973F-F7C3A556C6AD}" xr6:coauthVersionLast="47" xr6:coauthVersionMax="47" xr10:uidLastSave="{00000000-0000-0000-0000-000000000000}"/>
  <bookViews>
    <workbookView xWindow="-120" yWindow="-120" windowWidth="29040" windowHeight="15990" tabRatio="716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Tabulation'!$O$1</definedName>
    <definedName name="_xlnm.Print_Area" localSheetId="0">'Bid Item List'!$A$14:$F$56</definedName>
    <definedName name="_xlnm.Print_Area" localSheetId="2">Summary!$A$1:$B$14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Tabulation'!$F$44</definedName>
    <definedName name="Total2">'Bid Tabulation'!$H$44</definedName>
    <definedName name="Total3">'Bid Tabulation'!$J$44</definedName>
    <definedName name="Total3A">'Bid Tabulation'!#REF!</definedName>
    <definedName name="Total4">'Bid Tabulation'!$L$44</definedName>
    <definedName name="Total5">'Bid Tabulation'!$N$44</definedName>
    <definedName name="Total6">'Bid Tabulation'!#REF!</definedName>
    <definedName name="Total7">'Bid Tabulation'!#REF!</definedName>
    <definedName name="Total8">'Bid Tabulation'!#REF!</definedName>
    <definedName name="TotalEE">'Bid Tabulation'!$P$44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F17" i="2" l="1"/>
  <c r="H18" i="2"/>
  <c r="L19" i="2"/>
  <c r="L20" i="2"/>
  <c r="L21" i="2"/>
  <c r="L22" i="2"/>
  <c r="L23" i="2"/>
  <c r="F24" i="2"/>
  <c r="H25" i="2"/>
  <c r="L26" i="2"/>
  <c r="L27" i="2"/>
  <c r="L28" i="2"/>
  <c r="N29" i="2"/>
  <c r="F30" i="2"/>
  <c r="H32" i="2"/>
  <c r="H33" i="2"/>
  <c r="F34" i="2"/>
  <c r="L35" i="2"/>
  <c r="J36" i="2"/>
  <c r="H37" i="2"/>
  <c r="F38" i="2"/>
  <c r="H40" i="2"/>
  <c r="H41" i="2"/>
  <c r="F42" i="2"/>
  <c r="L43" i="2"/>
  <c r="J26" i="2" l="1"/>
  <c r="P21" i="2"/>
  <c r="P18" i="2"/>
  <c r="L37" i="2"/>
  <c r="L18" i="2"/>
  <c r="N42" i="2"/>
  <c r="P42" i="2"/>
  <c r="P38" i="2"/>
  <c r="F26" i="2"/>
  <c r="F22" i="2"/>
  <c r="L42" i="2"/>
  <c r="P26" i="2"/>
  <c r="H26" i="2"/>
  <c r="J22" i="2"/>
  <c r="J17" i="2"/>
  <c r="L24" i="2"/>
  <c r="N21" i="2"/>
  <c r="F18" i="2"/>
  <c r="N38" i="2"/>
  <c r="L32" i="2"/>
  <c r="P22" i="2"/>
  <c r="H22" i="2"/>
  <c r="J21" i="2"/>
  <c r="L40" i="2"/>
  <c r="F32" i="2"/>
  <c r="J18" i="2"/>
  <c r="N37" i="2"/>
  <c r="J32" i="2"/>
  <c r="N22" i="2"/>
  <c r="P40" i="2"/>
  <c r="L34" i="2"/>
  <c r="P33" i="2"/>
  <c r="J30" i="2"/>
  <c r="L17" i="2"/>
  <c r="J40" i="2"/>
  <c r="J24" i="2"/>
  <c r="H17" i="2"/>
  <c r="F40" i="2"/>
  <c r="P37" i="2"/>
  <c r="J34" i="2"/>
  <c r="H24" i="2"/>
  <c r="N18" i="2"/>
  <c r="P17" i="2"/>
  <c r="N17" i="2"/>
  <c r="P41" i="2"/>
  <c r="L38" i="2"/>
  <c r="J37" i="2"/>
  <c r="N33" i="2"/>
  <c r="J27" i="2"/>
  <c r="N26" i="2"/>
  <c r="H21" i="2"/>
  <c r="J38" i="2"/>
  <c r="F37" i="2"/>
  <c r="L33" i="2"/>
  <c r="L30" i="2"/>
  <c r="L25" i="2"/>
  <c r="F21" i="2"/>
  <c r="J42" i="2"/>
  <c r="L41" i="2"/>
  <c r="N40" i="2"/>
  <c r="J35" i="2"/>
  <c r="H34" i="2"/>
  <c r="P32" i="2"/>
  <c r="N32" i="2"/>
  <c r="P29" i="2"/>
  <c r="F25" i="2"/>
  <c r="J20" i="2"/>
  <c r="J43" i="2"/>
  <c r="H42" i="2"/>
  <c r="P34" i="2"/>
  <c r="N34" i="2"/>
  <c r="H20" i="2"/>
  <c r="N41" i="2"/>
  <c r="J25" i="2"/>
  <c r="L39" i="2"/>
  <c r="J39" i="2"/>
  <c r="H29" i="2"/>
  <c r="J29" i="2"/>
  <c r="F29" i="2"/>
  <c r="H36" i="2"/>
  <c r="L36" i="2"/>
  <c r="F36" i="2"/>
  <c r="N36" i="2"/>
  <c r="P36" i="2"/>
  <c r="L31" i="2"/>
  <c r="J31" i="2"/>
  <c r="F28" i="2"/>
  <c r="J28" i="2"/>
  <c r="N28" i="2"/>
  <c r="P28" i="2"/>
  <c r="H28" i="2"/>
  <c r="J41" i="2"/>
  <c r="J33" i="2"/>
  <c r="H30" i="2"/>
  <c r="P25" i="2"/>
  <c r="N25" i="2"/>
  <c r="P24" i="2"/>
  <c r="N24" i="2"/>
  <c r="F41" i="2"/>
  <c r="F33" i="2"/>
  <c r="P30" i="2"/>
  <c r="N30" i="2"/>
  <c r="J23" i="2"/>
  <c r="J19" i="2"/>
  <c r="H43" i="2"/>
  <c r="H39" i="2"/>
  <c r="H35" i="2"/>
  <c r="H31" i="2"/>
  <c r="L29" i="2"/>
  <c r="H27" i="2"/>
  <c r="H23" i="2"/>
  <c r="P20" i="2"/>
  <c r="N20" i="2"/>
  <c r="F20" i="2"/>
  <c r="H19" i="2"/>
  <c r="P43" i="2"/>
  <c r="N43" i="2"/>
  <c r="F43" i="2"/>
  <c r="P39" i="2"/>
  <c r="N39" i="2"/>
  <c r="F39" i="2"/>
  <c r="H38" i="2"/>
  <c r="P35" i="2"/>
  <c r="N35" i="2"/>
  <c r="F35" i="2"/>
  <c r="P31" i="2"/>
  <c r="N31" i="2"/>
  <c r="F31" i="2"/>
  <c r="P27" i="2"/>
  <c r="N27" i="2"/>
  <c r="F27" i="2"/>
  <c r="P23" i="2"/>
  <c r="N23" i="2"/>
  <c r="F23" i="2"/>
  <c r="P19" i="2"/>
  <c r="N19" i="2"/>
  <c r="F19" i="2"/>
  <c r="A5" i="5"/>
  <c r="A4" i="5"/>
  <c r="A3" i="5"/>
  <c r="A2" i="5"/>
  <c r="A1" i="5"/>
  <c r="A3" i="2"/>
  <c r="A2" i="2"/>
  <c r="A1" i="2"/>
  <c r="L16" i="2" l="1"/>
  <c r="N16" i="2"/>
  <c r="P16" i="2"/>
  <c r="L15" i="2"/>
  <c r="N15" i="2"/>
  <c r="P15" i="2"/>
  <c r="L14" i="2"/>
  <c r="N14" i="2"/>
  <c r="P14" i="2"/>
  <c r="L13" i="2"/>
  <c r="N13" i="2"/>
  <c r="P13" i="2"/>
  <c r="J16" i="2"/>
  <c r="H16" i="2"/>
  <c r="F16" i="2"/>
  <c r="H15" i="2"/>
  <c r="J15" i="2"/>
  <c r="F15" i="2"/>
  <c r="F14" i="2"/>
  <c r="H14" i="2"/>
  <c r="J14" i="2"/>
  <c r="F13" i="2"/>
  <c r="H13" i="2"/>
  <c r="J13" i="2"/>
  <c r="A13" i="5"/>
  <c r="A8" i="5"/>
  <c r="A11" i="5"/>
  <c r="A9" i="5"/>
  <c r="A10" i="5"/>
  <c r="A12" i="5"/>
  <c r="A6" i="5" l="1"/>
  <c r="D8" i="2"/>
  <c r="C8" i="2"/>
  <c r="B8" i="2"/>
  <c r="A8" i="2"/>
  <c r="A6" i="2"/>
  <c r="L9" i="2" l="1"/>
  <c r="N9" i="2"/>
  <c r="P9" i="2"/>
  <c r="L12" i="2"/>
  <c r="N12" i="2"/>
  <c r="P12" i="2"/>
  <c r="L11" i="2"/>
  <c r="N11" i="2"/>
  <c r="P11" i="2"/>
  <c r="L10" i="2"/>
  <c r="N10" i="2"/>
  <c r="P10" i="2"/>
  <c r="L8" i="2"/>
  <c r="N8" i="2"/>
  <c r="P8" i="2"/>
  <c r="J8" i="2"/>
  <c r="F8" i="2"/>
  <c r="H8" i="2"/>
  <c r="J12" i="2"/>
  <c r="H12" i="2"/>
  <c r="F12" i="2"/>
  <c r="J11" i="2"/>
  <c r="H11" i="2"/>
  <c r="F11" i="2"/>
  <c r="F10" i="2"/>
  <c r="H10" i="2"/>
  <c r="J10" i="2"/>
  <c r="J9" i="2"/>
  <c r="H9" i="2"/>
  <c r="F9" i="2"/>
  <c r="N44" i="2" l="1"/>
  <c r="B8" i="5" s="1"/>
  <c r="H44" i="2"/>
  <c r="B10" i="5" s="1"/>
  <c r="J44" i="2"/>
  <c r="F44" i="2"/>
  <c r="B12" i="5" s="1"/>
  <c r="P44" i="2"/>
  <c r="B13" i="5" s="1"/>
  <c r="L44" i="2"/>
  <c r="B11" i="5" s="1"/>
</calcChain>
</file>

<file path=xl/sharedStrings.xml><?xml version="1.0" encoding="utf-8"?>
<sst xmlns="http://schemas.openxmlformats.org/spreadsheetml/2006/main" count="160" uniqueCount="106">
  <si>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</si>
  <si>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</si>
  <si>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</si>
  <si>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</si>
  <si>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</si>
  <si>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</si>
  <si>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</si>
  <si>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</si>
  <si>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</si>
  <si>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</si>
  <si>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</si>
  <si>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</si>
  <si>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</si>
  <si>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</si>
  <si>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NORTH RAMP RON PARKING RECONSTRUCTION - PHASE 2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</si>
  <si>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</si>
  <si>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</si>
  <si>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</si>
  <si>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</si>
  <si>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</si>
  <si>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</si>
  <si>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</si>
  <si>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Cleanup, and Demobilization
(Section 012200)</t>
  </si>
  <si>
    <t>0002</t>
  </si>
  <si>
    <t>Sweeper
(Section 012200)</t>
  </si>
  <si>
    <t>0003</t>
  </si>
  <si>
    <t>Security Control Monitoring
(Section 012200)</t>
  </si>
  <si>
    <t>0004</t>
  </si>
  <si>
    <t>Work Zone and Traffic Control
(Section 012200)</t>
  </si>
  <si>
    <t>0005</t>
  </si>
  <si>
    <t>Escort
(Section 012200)</t>
  </si>
  <si>
    <t>0006</t>
  </si>
  <si>
    <t>Construction Survey
(Section 012200)</t>
  </si>
  <si>
    <t>0007</t>
  </si>
  <si>
    <t>Inlet Protection
(Section 015713)</t>
  </si>
  <si>
    <t>0008</t>
  </si>
  <si>
    <t>Trench Drain Protection
(Section 015713)</t>
  </si>
  <si>
    <t>0009</t>
  </si>
  <si>
    <t>Building Demolition
(Section 024113)</t>
  </si>
  <si>
    <t>0010</t>
  </si>
  <si>
    <t>Building Slab and Foundation Removal
(Section 024113)</t>
  </si>
  <si>
    <t>0011</t>
  </si>
  <si>
    <t>Contaminated Material Excavation and Disposal
(Section 026100)</t>
  </si>
  <si>
    <t>0012</t>
  </si>
  <si>
    <t>Demolition of Existing Electrical Equipment on Work Site
(Section 260500)</t>
  </si>
  <si>
    <t>0013</t>
  </si>
  <si>
    <t>Install Handholes for Power
(Section 260500)</t>
  </si>
  <si>
    <t>0014</t>
  </si>
  <si>
    <t>Connection to Existing Storm Drainage System
(Section 312300)</t>
  </si>
  <si>
    <t>0015</t>
  </si>
  <si>
    <t>Existing Manhole/Inlet Adjustment to Grade
(Section 312300)</t>
  </si>
  <si>
    <t>0016</t>
  </si>
  <si>
    <t>PCC Pavement Removal - 15-Inch Depth
(Item P-101)</t>
  </si>
  <si>
    <t>0017</t>
  </si>
  <si>
    <t>Asphalt Pavement Removal - 3-5 Inch Depth
(Item P-101)</t>
  </si>
  <si>
    <t>0018</t>
  </si>
  <si>
    <t>Asphalt Pavement Removal - 8 Inch Depth
(Item P-101)</t>
  </si>
  <si>
    <t>0019</t>
  </si>
  <si>
    <t>Removal of Pipe and Other Buried Structures
(Item P-101)</t>
  </si>
  <si>
    <t>0020</t>
  </si>
  <si>
    <t>Unclassified Excavation
(Item P-152)</t>
  </si>
  <si>
    <t>0021</t>
  </si>
  <si>
    <t>Unsuitable Excavation
(Item P-152)</t>
  </si>
  <si>
    <t>0022</t>
  </si>
  <si>
    <t>Separation Geotextile
(Item P-152)</t>
  </si>
  <si>
    <t>0023</t>
  </si>
  <si>
    <t>Controlled Low-Strength Material (CLSM)
(Item P-153)</t>
  </si>
  <si>
    <t>0024</t>
  </si>
  <si>
    <t>Crushed Aggregate Base Course
(Item P-209)</t>
  </si>
  <si>
    <t>0025</t>
  </si>
  <si>
    <t>Asphalt Surface Course
(Item P-401)</t>
  </si>
  <si>
    <t>0026</t>
  </si>
  <si>
    <t>Asphalt Mixture Base Course
(Item P-403)</t>
  </si>
  <si>
    <t>0027</t>
  </si>
  <si>
    <t>19-Inch-Thick Concrete Pavement 
(Item P-501)</t>
  </si>
  <si>
    <t>0028</t>
  </si>
  <si>
    <t>Emulsified Asphalt Tack Coat 
(Item P-603)</t>
  </si>
  <si>
    <t>0029</t>
  </si>
  <si>
    <t>Compression Joint Seals for Concrete Pavements
(Item P-604)</t>
  </si>
  <si>
    <t>0030</t>
  </si>
  <si>
    <t>Joint Sealing Filler
(Item P-605)</t>
  </si>
  <si>
    <t>0031</t>
  </si>
  <si>
    <t>Surface Preparation - New or Existing Pavement Surfaces
(Item P-620)</t>
  </si>
  <si>
    <t>0032</t>
  </si>
  <si>
    <t>Surface Preparation - Remove Existing Markings
(Item P-620)</t>
  </si>
  <si>
    <t>0033</t>
  </si>
  <si>
    <t>Marking
(Item P-620)</t>
  </si>
  <si>
    <t>0034</t>
  </si>
  <si>
    <t>Reflective Media
(Item P-620)</t>
  </si>
  <si>
    <t>0035</t>
  </si>
  <si>
    <t>8-Inch STS 
(Item D-701)</t>
  </si>
  <si>
    <t>0036</t>
  </si>
  <si>
    <t>Trench Drain 
(Item D-751)</t>
  </si>
  <si>
    <t>Total Amount Bid (Basis of Award)</t>
  </si>
  <si>
    <t>$___________</t>
  </si>
  <si>
    <t>Engineer's Estimate</t>
  </si>
  <si>
    <t>Bidder</t>
  </si>
  <si>
    <t>EAN 2022D027</t>
  </si>
  <si>
    <t>Solicitation No. 2023-10352</t>
  </si>
  <si>
    <t>K&amp;E Excavating, Inc.</t>
  </si>
  <si>
    <t>Kodiak Pacific Construction</t>
  </si>
  <si>
    <t>Lee Contractors LLC</t>
  </si>
  <si>
    <t>Nutter Corporation</t>
  </si>
  <si>
    <t>M.J. Hughes 
Construction, Inc.</t>
  </si>
  <si>
    <t>$1,862,355.00*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</si>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</sst>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56"/>
  <sheetViews>
    <sheetView view="pageBreakPreview" topLeftCell="A49" zoomScaleNormal="100" zoomScaleSheetLayoutView="100" workbookViewId="0">
      <selection activeCell="E20" sqref="E20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7" customWidth="1"/>
    <col min="4" max="4" width="8.28515625" customWidth="1"/>
    <col min="5" max="6" width="13.28515625" style="31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1"/>
      <c r="B14" s="61"/>
      <c r="C14" s="61"/>
      <c r="D14" s="61"/>
      <c r="E14" s="55"/>
      <c r="F14" s="55"/>
    </row>
    <row r="15" spans="1:6" x14ac:dyDescent="0.25">
      <c r="A15" s="58" t="s">
        <v>13</v>
      </c>
      <c r="B15" s="58"/>
      <c r="C15" s="58"/>
      <c r="D15" s="58"/>
      <c r="E15" s="56"/>
      <c r="F15" s="56"/>
    </row>
    <row r="16" spans="1:6" x14ac:dyDescent="0.25">
      <c r="A16" s="58" t="s">
        <v>14</v>
      </c>
      <c r="B16" s="58"/>
      <c r="C16" s="58"/>
      <c r="D16" s="58"/>
      <c r="E16" s="56"/>
      <c r="F16" s="56"/>
    </row>
    <row r="17" spans="1:6" x14ac:dyDescent="0.25">
      <c r="A17" s="59"/>
      <c r="B17" s="59"/>
      <c r="C17" s="59"/>
      <c r="D17" s="59"/>
      <c r="E17" s="56"/>
      <c r="F17" s="56"/>
    </row>
    <row r="18" spans="1:6" x14ac:dyDescent="0.25">
      <c r="A18" s="60"/>
      <c r="B18" s="60"/>
      <c r="C18" s="60"/>
      <c r="D18" s="60"/>
      <c r="E18" s="57"/>
      <c r="F18" s="57"/>
    </row>
    <row r="19" spans="1:6" s="2" customFormat="1" ht="24" customHeight="1" x14ac:dyDescent="0.2">
      <c r="A19" s="3" t="s">
        <v>15</v>
      </c>
      <c r="B19" s="3" t="s">
        <v>16</v>
      </c>
      <c r="C19" s="28" t="s">
        <v>17</v>
      </c>
      <c r="D19" s="3" t="s">
        <v>18</v>
      </c>
      <c r="E19" s="32" t="s">
        <v>19</v>
      </c>
      <c r="F19" s="32" t="s">
        <v>20</v>
      </c>
    </row>
    <row r="20" spans="1:6" ht="40.5" customHeight="1" x14ac:dyDescent="0.25">
      <c r="A20" s="4" t="s">
        <v>21</v>
      </c>
      <c r="B20" s="49" t="s">
        <v>22</v>
      </c>
      <c r="C20" s="29">
        <v>1</v>
      </c>
      <c r="D20" s="5" t="s">
        <v>8</v>
      </c>
      <c r="E20" s="33"/>
      <c r="F20" s="33"/>
    </row>
    <row r="21" spans="1:6" ht="40.5" customHeight="1" x14ac:dyDescent="0.25">
      <c r="A21" s="4" t="s">
        <v>23</v>
      </c>
      <c r="B21" s="49" t="s">
        <v>24</v>
      </c>
      <c r="C21" s="29">
        <v>1</v>
      </c>
      <c r="D21" s="5" t="s">
        <v>8</v>
      </c>
      <c r="E21" s="33"/>
      <c r="F21" s="33"/>
    </row>
    <row r="22" spans="1:6" ht="40.5" customHeight="1" x14ac:dyDescent="0.25">
      <c r="A22" s="4" t="s">
        <v>25</v>
      </c>
      <c r="B22" s="49" t="s">
        <v>26</v>
      </c>
      <c r="C22" s="29">
        <v>1</v>
      </c>
      <c r="D22" s="5" t="s">
        <v>8</v>
      </c>
      <c r="E22" s="33"/>
      <c r="F22" s="33"/>
    </row>
    <row r="23" spans="1:6" ht="40.5" customHeight="1" x14ac:dyDescent="0.25">
      <c r="A23" s="4" t="s">
        <v>27</v>
      </c>
      <c r="B23" s="49" t="s">
        <v>28</v>
      </c>
      <c r="C23" s="29">
        <v>1</v>
      </c>
      <c r="D23" s="5" t="s">
        <v>8</v>
      </c>
      <c r="E23" s="33"/>
      <c r="F23" s="33"/>
    </row>
    <row r="24" spans="1:6" ht="40.5" customHeight="1" x14ac:dyDescent="0.25">
      <c r="A24" s="4" t="s">
        <v>29</v>
      </c>
      <c r="B24" s="49" t="s">
        <v>30</v>
      </c>
      <c r="C24" s="29">
        <v>1</v>
      </c>
      <c r="D24" s="5" t="s">
        <v>8</v>
      </c>
      <c r="E24" s="33"/>
      <c r="F24" s="33"/>
    </row>
    <row r="25" spans="1:6" ht="40.5" customHeight="1" x14ac:dyDescent="0.25">
      <c r="A25" s="4" t="s">
        <v>31</v>
      </c>
      <c r="B25" s="49" t="s">
        <v>32</v>
      </c>
      <c r="C25" s="29">
        <v>1</v>
      </c>
      <c r="D25" s="5" t="s">
        <v>8</v>
      </c>
      <c r="E25" s="33"/>
      <c r="F25" s="33"/>
    </row>
    <row r="26" spans="1:6" ht="40.5" customHeight="1" x14ac:dyDescent="0.25">
      <c r="A26" s="4" t="s">
        <v>33</v>
      </c>
      <c r="B26" s="49" t="s">
        <v>34</v>
      </c>
      <c r="C26" s="29">
        <v>4</v>
      </c>
      <c r="D26" s="5" t="s">
        <v>2</v>
      </c>
      <c r="E26" s="33"/>
      <c r="F26" s="33"/>
    </row>
    <row r="27" spans="1:6" ht="40.5" customHeight="1" x14ac:dyDescent="0.25">
      <c r="A27" s="4" t="s">
        <v>35</v>
      </c>
      <c r="B27" s="49" t="s">
        <v>36</v>
      </c>
      <c r="C27" s="29">
        <v>435</v>
      </c>
      <c r="D27" s="5" t="s">
        <v>7</v>
      </c>
      <c r="E27" s="33"/>
      <c r="F27" s="33"/>
    </row>
    <row r="28" spans="1:6" ht="40.5" customHeight="1" x14ac:dyDescent="0.25">
      <c r="A28" s="4" t="s">
        <v>37</v>
      </c>
      <c r="B28" s="49" t="s">
        <v>38</v>
      </c>
      <c r="C28" s="29">
        <v>1</v>
      </c>
      <c r="D28" s="5" t="s">
        <v>8</v>
      </c>
      <c r="E28" s="33"/>
      <c r="F28" s="33"/>
    </row>
    <row r="29" spans="1:6" ht="40.5" customHeight="1" x14ac:dyDescent="0.25">
      <c r="A29" s="4" t="s">
        <v>39</v>
      </c>
      <c r="B29" s="49" t="s">
        <v>40</v>
      </c>
      <c r="C29" s="29">
        <v>1</v>
      </c>
      <c r="D29" s="5" t="s">
        <v>8</v>
      </c>
      <c r="E29" s="33"/>
      <c r="F29" s="33"/>
    </row>
    <row r="30" spans="1:6" ht="40.5" customHeight="1" x14ac:dyDescent="0.25">
      <c r="A30" s="4" t="s">
        <v>41</v>
      </c>
      <c r="B30" s="49" t="s">
        <v>42</v>
      </c>
      <c r="C30" s="29">
        <v>150</v>
      </c>
      <c r="D30" s="5" t="s">
        <v>12</v>
      </c>
      <c r="E30" s="33"/>
      <c r="F30" s="33"/>
    </row>
    <row r="31" spans="1:6" ht="40.5" customHeight="1" x14ac:dyDescent="0.25">
      <c r="A31" s="4" t="s">
        <v>43</v>
      </c>
      <c r="B31" s="49" t="s">
        <v>44</v>
      </c>
      <c r="C31" s="29">
        <v>1</v>
      </c>
      <c r="D31" s="5" t="s">
        <v>8</v>
      </c>
      <c r="E31" s="33"/>
      <c r="F31" s="33"/>
    </row>
    <row r="32" spans="1:6" ht="40.5" customHeight="1" x14ac:dyDescent="0.25">
      <c r="A32" s="4" t="s">
        <v>45</v>
      </c>
      <c r="B32" s="49" t="s">
        <v>46</v>
      </c>
      <c r="C32" s="29">
        <v>1</v>
      </c>
      <c r="D32" s="5" t="s">
        <v>2</v>
      </c>
      <c r="E32" s="33"/>
      <c r="F32" s="33"/>
    </row>
    <row r="33" spans="1:6" ht="40.5" customHeight="1" x14ac:dyDescent="0.25">
      <c r="A33" s="4" t="s">
        <v>47</v>
      </c>
      <c r="B33" s="49" t="s">
        <v>48</v>
      </c>
      <c r="C33" s="29">
        <v>2</v>
      </c>
      <c r="D33" s="5" t="s">
        <v>2</v>
      </c>
      <c r="E33" s="33"/>
      <c r="F33" s="33"/>
    </row>
    <row r="34" spans="1:6" ht="40.5" customHeight="1" x14ac:dyDescent="0.25">
      <c r="A34" s="4" t="s">
        <v>49</v>
      </c>
      <c r="B34" s="49" t="s">
        <v>50</v>
      </c>
      <c r="C34" s="29">
        <v>1</v>
      </c>
      <c r="D34" s="5" t="s">
        <v>2</v>
      </c>
      <c r="E34" s="33"/>
      <c r="F34" s="33"/>
    </row>
    <row r="35" spans="1:6" ht="40.5" customHeight="1" x14ac:dyDescent="0.25">
      <c r="A35" s="4" t="s">
        <v>51</v>
      </c>
      <c r="B35" s="49" t="s">
        <v>52</v>
      </c>
      <c r="C35" s="29">
        <v>70</v>
      </c>
      <c r="D35" s="5" t="s">
        <v>11</v>
      </c>
      <c r="E35" s="33"/>
      <c r="F35" s="33"/>
    </row>
    <row r="36" spans="1:6" ht="40.5" customHeight="1" x14ac:dyDescent="0.25">
      <c r="A36" s="4" t="s">
        <v>53</v>
      </c>
      <c r="B36" s="49" t="s">
        <v>54</v>
      </c>
      <c r="C36" s="50">
        <v>2705</v>
      </c>
      <c r="D36" s="5" t="s">
        <v>11</v>
      </c>
      <c r="E36" s="33"/>
      <c r="F36" s="33"/>
    </row>
    <row r="37" spans="1:6" ht="40.5" customHeight="1" x14ac:dyDescent="0.25">
      <c r="A37" s="4" t="s">
        <v>55</v>
      </c>
      <c r="B37" s="49" t="s">
        <v>56</v>
      </c>
      <c r="C37" s="29">
        <v>205</v>
      </c>
      <c r="D37" s="5" t="s">
        <v>11</v>
      </c>
      <c r="E37" s="33"/>
      <c r="F37" s="33"/>
    </row>
    <row r="38" spans="1:6" ht="40.5" customHeight="1" x14ac:dyDescent="0.25">
      <c r="A38" s="4" t="s">
        <v>57</v>
      </c>
      <c r="B38" s="49" t="s">
        <v>58</v>
      </c>
      <c r="C38" s="29">
        <v>1</v>
      </c>
      <c r="D38" s="5" t="s">
        <v>8</v>
      </c>
      <c r="E38" s="33"/>
      <c r="F38" s="33"/>
    </row>
    <row r="39" spans="1:6" ht="40.5" customHeight="1" x14ac:dyDescent="0.25">
      <c r="A39" s="4" t="s">
        <v>59</v>
      </c>
      <c r="B39" s="49" t="s">
        <v>60</v>
      </c>
      <c r="C39" s="50">
        <v>2700</v>
      </c>
      <c r="D39" s="5" t="s">
        <v>1</v>
      </c>
      <c r="E39" s="33"/>
      <c r="F39" s="33"/>
    </row>
    <row r="40" spans="1:6" ht="40.5" customHeight="1" x14ac:dyDescent="0.25">
      <c r="A40" s="4" t="s">
        <v>61</v>
      </c>
      <c r="B40" s="49" t="s">
        <v>62</v>
      </c>
      <c r="C40" s="29">
        <v>95</v>
      </c>
      <c r="D40" s="5" t="s">
        <v>1</v>
      </c>
      <c r="E40" s="33"/>
      <c r="F40" s="33"/>
    </row>
    <row r="41" spans="1:6" ht="40.5" customHeight="1" x14ac:dyDescent="0.25">
      <c r="A41" s="4" t="s">
        <v>63</v>
      </c>
      <c r="B41" s="49" t="s">
        <v>64</v>
      </c>
      <c r="C41" s="50">
        <v>2750</v>
      </c>
      <c r="D41" s="5" t="s">
        <v>11</v>
      </c>
      <c r="E41" s="33"/>
      <c r="F41" s="33"/>
    </row>
    <row r="42" spans="1:6" ht="40.5" customHeight="1" x14ac:dyDescent="0.25">
      <c r="A42" s="4" t="s">
        <v>65</v>
      </c>
      <c r="B42" s="49" t="s">
        <v>66</v>
      </c>
      <c r="C42" s="29">
        <v>115</v>
      </c>
      <c r="D42" s="5" t="s">
        <v>1</v>
      </c>
      <c r="E42" s="33"/>
      <c r="F42" s="33"/>
    </row>
    <row r="43" spans="1:6" ht="40.5" customHeight="1" x14ac:dyDescent="0.25">
      <c r="A43" s="4" t="s">
        <v>67</v>
      </c>
      <c r="B43" s="49" t="s">
        <v>68</v>
      </c>
      <c r="C43" s="29">
        <v>475</v>
      </c>
      <c r="D43" s="5" t="s">
        <v>1</v>
      </c>
      <c r="E43" s="33"/>
      <c r="F43" s="33"/>
    </row>
    <row r="44" spans="1:6" ht="40.5" customHeight="1" x14ac:dyDescent="0.25">
      <c r="A44" s="4" t="s">
        <v>69</v>
      </c>
      <c r="B44" s="49" t="s">
        <v>70</v>
      </c>
      <c r="C44" s="29">
        <v>85</v>
      </c>
      <c r="D44" s="5" t="s">
        <v>12</v>
      </c>
      <c r="E44" s="33"/>
      <c r="F44" s="33"/>
    </row>
    <row r="45" spans="1:6" ht="40.5" customHeight="1" x14ac:dyDescent="0.25">
      <c r="A45" s="4" t="s">
        <v>71</v>
      </c>
      <c r="B45" s="49" t="s">
        <v>72</v>
      </c>
      <c r="C45" s="29">
        <v>850</v>
      </c>
      <c r="D45" s="5" t="s">
        <v>12</v>
      </c>
      <c r="E45" s="33"/>
      <c r="F45" s="33"/>
    </row>
    <row r="46" spans="1:6" ht="40.5" customHeight="1" x14ac:dyDescent="0.25">
      <c r="A46" s="4" t="s">
        <v>73</v>
      </c>
      <c r="B46" s="49" t="s">
        <v>74</v>
      </c>
      <c r="C46" s="50">
        <v>2550</v>
      </c>
      <c r="D46" s="5" t="s">
        <v>11</v>
      </c>
      <c r="E46" s="33"/>
      <c r="F46" s="33"/>
    </row>
    <row r="47" spans="1:6" ht="40.5" customHeight="1" x14ac:dyDescent="0.25">
      <c r="A47" s="4" t="s">
        <v>75</v>
      </c>
      <c r="B47" s="49" t="s">
        <v>76</v>
      </c>
      <c r="C47" s="29">
        <v>240</v>
      </c>
      <c r="D47" s="5" t="s">
        <v>4</v>
      </c>
      <c r="E47" s="33"/>
      <c r="F47" s="33"/>
    </row>
    <row r="48" spans="1:6" ht="40.5" customHeight="1" x14ac:dyDescent="0.25">
      <c r="A48" s="4" t="s">
        <v>77</v>
      </c>
      <c r="B48" s="49" t="s">
        <v>78</v>
      </c>
      <c r="C48" s="50">
        <v>1970</v>
      </c>
      <c r="D48" s="5" t="s">
        <v>7</v>
      </c>
      <c r="E48" s="33"/>
      <c r="F48" s="33"/>
    </row>
    <row r="49" spans="1:6" ht="40.5" customHeight="1" x14ac:dyDescent="0.25">
      <c r="A49" s="4" t="s">
        <v>79</v>
      </c>
      <c r="B49" s="49" t="s">
        <v>80</v>
      </c>
      <c r="C49" s="29">
        <v>13</v>
      </c>
      <c r="D49" s="5" t="s">
        <v>4</v>
      </c>
      <c r="E49" s="33"/>
      <c r="F49" s="33"/>
    </row>
    <row r="50" spans="1:6" ht="40.5" customHeight="1" x14ac:dyDescent="0.25">
      <c r="A50" s="4" t="s">
        <v>81</v>
      </c>
      <c r="B50" s="49" t="s">
        <v>82</v>
      </c>
      <c r="C50" s="29">
        <v>525</v>
      </c>
      <c r="D50" s="5" t="s">
        <v>10</v>
      </c>
      <c r="E50" s="33"/>
      <c r="F50" s="33"/>
    </row>
    <row r="51" spans="1:6" ht="40.5" customHeight="1" x14ac:dyDescent="0.25">
      <c r="A51" s="4" t="s">
        <v>83</v>
      </c>
      <c r="B51" s="49" t="s">
        <v>84</v>
      </c>
      <c r="C51" s="29">
        <v>140</v>
      </c>
      <c r="D51" s="5" t="s">
        <v>10</v>
      </c>
      <c r="E51" s="33"/>
      <c r="F51" s="33"/>
    </row>
    <row r="52" spans="1:6" ht="40.5" customHeight="1" x14ac:dyDescent="0.25">
      <c r="A52" s="4" t="s">
        <v>85</v>
      </c>
      <c r="B52" s="49" t="s">
        <v>86</v>
      </c>
      <c r="C52" s="29">
        <v>860</v>
      </c>
      <c r="D52" s="5" t="s">
        <v>10</v>
      </c>
      <c r="E52" s="33"/>
      <c r="F52" s="33"/>
    </row>
    <row r="53" spans="1:6" ht="40.5" customHeight="1" x14ac:dyDescent="0.25">
      <c r="A53" s="4" t="s">
        <v>87</v>
      </c>
      <c r="B53" s="49" t="s">
        <v>88</v>
      </c>
      <c r="C53" s="29">
        <v>20</v>
      </c>
      <c r="D53" s="5" t="s">
        <v>6</v>
      </c>
      <c r="E53" s="33"/>
      <c r="F53" s="33"/>
    </row>
    <row r="54" spans="1:6" ht="40.5" customHeight="1" x14ac:dyDescent="0.25">
      <c r="A54" s="4" t="s">
        <v>89</v>
      </c>
      <c r="B54" s="49" t="s">
        <v>90</v>
      </c>
      <c r="C54" s="29">
        <v>20</v>
      </c>
      <c r="D54" s="5" t="s">
        <v>7</v>
      </c>
      <c r="E54" s="33"/>
      <c r="F54" s="33"/>
    </row>
    <row r="55" spans="1:6" ht="40.5" customHeight="1" x14ac:dyDescent="0.25">
      <c r="A55" s="4" t="s">
        <v>91</v>
      </c>
      <c r="B55" s="49" t="s">
        <v>92</v>
      </c>
      <c r="C55" s="29">
        <v>130</v>
      </c>
      <c r="D55" s="5" t="s">
        <v>7</v>
      </c>
      <c r="E55" s="33"/>
      <c r="F55" s="33"/>
    </row>
    <row r="56" spans="1:6" ht="27.75" customHeight="1" x14ac:dyDescent="0.25">
      <c r="A56" s="6"/>
      <c r="B56" s="7" t="s">
        <v>93</v>
      </c>
      <c r="C56" s="30"/>
      <c r="D56" s="6"/>
      <c r="E56" s="34"/>
      <c r="F56" s="34" t="s">
        <v>94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55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P44"/>
  <sheetViews>
    <sheetView topLeftCell="F35" zoomScaleNormal="100" zoomScaleSheetLayoutView="100" workbookViewId="0">
      <selection activeCell="K8" sqref="K8"/>
    </sheetView>
  </sheetViews>
  <sheetFormatPr defaultRowHeight="15" x14ac:dyDescent="0.25"/>
  <cols>
    <col min="1" max="1" width="6.7109375" customWidth="1"/>
    <col min="2" max="2" width="28.85546875" style="21" customWidth="1"/>
    <col min="3" max="3" width="11.28515625" style="38" customWidth="1"/>
    <col min="4" max="4" width="6.7109375" style="21" customWidth="1"/>
    <col min="5" max="5" width="11" style="31" customWidth="1"/>
    <col min="6" max="6" width="13.42578125" style="31" customWidth="1"/>
    <col min="7" max="7" width="11" style="31" customWidth="1"/>
    <col min="8" max="8" width="13.42578125" style="31" customWidth="1"/>
    <col min="9" max="9" width="11" style="31" customWidth="1"/>
    <col min="10" max="10" width="13.42578125" style="31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</cols>
  <sheetData>
    <row r="1" spans="1:16" ht="30" customHeight="1" x14ac:dyDescent="0.25">
      <c r="A1" s="73" t="str">
        <f>ProjectLocation</f>
        <v>PORTLAND INTERNATIONAL AIRPORT</v>
      </c>
      <c r="B1" s="74"/>
      <c r="C1" s="74"/>
      <c r="D1" s="75"/>
      <c r="E1" s="62" t="s">
        <v>99</v>
      </c>
      <c r="F1" s="63"/>
      <c r="G1" s="66" t="s">
        <v>100</v>
      </c>
      <c r="H1" s="67"/>
      <c r="I1" s="66" t="s">
        <v>101</v>
      </c>
      <c r="J1" s="67"/>
      <c r="K1" s="66" t="s">
        <v>103</v>
      </c>
      <c r="L1" s="67"/>
      <c r="M1" s="66" t="s">
        <v>102</v>
      </c>
      <c r="N1" s="67"/>
      <c r="O1" s="62" t="s">
        <v>95</v>
      </c>
      <c r="P1" s="63"/>
    </row>
    <row r="2" spans="1:16" x14ac:dyDescent="0.25">
      <c r="A2" s="76" t="str">
        <f>ProjectTitle</f>
        <v>NORTH RAMP RON PARKING RECONSTRUCTION - PHASE 2</v>
      </c>
      <c r="B2" s="77"/>
      <c r="C2" s="77"/>
      <c r="D2" s="78"/>
      <c r="E2" s="64"/>
      <c r="F2" s="65"/>
      <c r="G2" s="68"/>
      <c r="H2" s="69"/>
      <c r="I2" s="68"/>
      <c r="J2" s="69"/>
      <c r="K2" s="68"/>
      <c r="L2" s="69"/>
      <c r="M2" s="68"/>
      <c r="N2" s="69"/>
      <c r="O2" s="64"/>
      <c r="P2" s="65"/>
    </row>
    <row r="3" spans="1:16" x14ac:dyDescent="0.25">
      <c r="A3" s="76">
        <f>ProjectTitle2</f>
        <v>0</v>
      </c>
      <c r="B3" s="77"/>
      <c r="C3" s="77"/>
      <c r="D3" s="78"/>
      <c r="E3" s="64"/>
      <c r="F3" s="65"/>
      <c r="G3" s="68"/>
      <c r="H3" s="69"/>
      <c r="I3" s="68"/>
      <c r="J3" s="69"/>
      <c r="K3" s="68"/>
      <c r="L3" s="69"/>
      <c r="M3" s="68"/>
      <c r="N3" s="69"/>
      <c r="O3" s="64"/>
      <c r="P3" s="65"/>
    </row>
    <row r="4" spans="1:16" x14ac:dyDescent="0.25">
      <c r="A4" s="79" t="s">
        <v>97</v>
      </c>
      <c r="B4" s="80"/>
      <c r="C4" s="80"/>
      <c r="D4" s="81"/>
      <c r="E4" s="64"/>
      <c r="F4" s="65"/>
      <c r="G4" s="68"/>
      <c r="H4" s="69"/>
      <c r="I4" s="68"/>
      <c r="J4" s="69"/>
      <c r="K4" s="68"/>
      <c r="L4" s="69"/>
      <c r="M4" s="68"/>
      <c r="N4" s="69"/>
      <c r="O4" s="64"/>
      <c r="P4" s="65"/>
    </row>
    <row r="5" spans="1:16" x14ac:dyDescent="0.25">
      <c r="A5" s="79" t="s">
        <v>98</v>
      </c>
      <c r="B5" s="80"/>
      <c r="C5" s="80"/>
      <c r="D5" s="81"/>
      <c r="E5" s="64"/>
      <c r="F5" s="65"/>
      <c r="G5" s="68"/>
      <c r="H5" s="69"/>
      <c r="I5" s="68"/>
      <c r="J5" s="69"/>
      <c r="K5" s="68"/>
      <c r="L5" s="69"/>
      <c r="M5" s="68"/>
      <c r="N5" s="69"/>
      <c r="O5" s="64"/>
      <c r="P5" s="65"/>
    </row>
    <row r="6" spans="1:16" x14ac:dyDescent="0.25">
      <c r="A6" s="70">
        <f ca="1">TODAY()</f>
        <v>45644</v>
      </c>
      <c r="B6" s="71"/>
      <c r="C6" s="71"/>
      <c r="D6" s="72"/>
      <c r="E6" s="39"/>
      <c r="F6" s="40"/>
      <c r="G6" s="39"/>
      <c r="H6" s="40"/>
      <c r="I6" s="39"/>
      <c r="J6" s="40"/>
      <c r="K6" s="39"/>
      <c r="L6" s="40"/>
      <c r="M6" s="39"/>
      <c r="N6" s="40"/>
      <c r="O6" s="39"/>
      <c r="P6" s="40"/>
    </row>
    <row r="7" spans="1:16" ht="32.25" customHeight="1" x14ac:dyDescent="0.25">
      <c r="A7" s="8" t="s">
        <v>15</v>
      </c>
      <c r="B7" s="17" t="s">
        <v>16</v>
      </c>
      <c r="C7" s="35" t="s">
        <v>17</v>
      </c>
      <c r="D7" s="17" t="s">
        <v>18</v>
      </c>
      <c r="E7" s="41" t="s">
        <v>19</v>
      </c>
      <c r="F7" s="41" t="s">
        <v>20</v>
      </c>
      <c r="G7" s="41" t="s">
        <v>19</v>
      </c>
      <c r="H7" s="41" t="s">
        <v>20</v>
      </c>
      <c r="I7" s="41" t="s">
        <v>19</v>
      </c>
      <c r="J7" s="41" t="s">
        <v>20</v>
      </c>
      <c r="K7" s="41" t="s">
        <v>19</v>
      </c>
      <c r="L7" s="41" t="s">
        <v>20</v>
      </c>
      <c r="M7" s="41" t="s">
        <v>19</v>
      </c>
      <c r="N7" s="41" t="s">
        <v>20</v>
      </c>
      <c r="O7" s="41" t="s">
        <v>19</v>
      </c>
      <c r="P7" s="41" t="s">
        <v>20</v>
      </c>
    </row>
    <row r="8" spans="1:16" ht="33" customHeight="1" x14ac:dyDescent="0.25">
      <c r="A8" s="9" t="str">
        <f>'Bid Item List'!A20</f>
        <v>0001</v>
      </c>
      <c r="B8" s="51" t="str">
        <f>'Bid Item List'!B20</f>
        <v>Mobilization, Cleanup, and Demobilization
(Section 012200)</v>
      </c>
      <c r="C8" s="36">
        <f>'Bid Item List'!C20</f>
        <v>1</v>
      </c>
      <c r="D8" s="18" t="str">
        <f>'Bid Item List'!D20</f>
        <v>LS</v>
      </c>
      <c r="E8" s="24">
        <v>255000</v>
      </c>
      <c r="F8" s="25">
        <f t="shared" ref="F8:F16" si="0">QTY*E8</f>
        <v>255000</v>
      </c>
      <c r="G8" s="24">
        <v>210300</v>
      </c>
      <c r="H8" s="25">
        <f t="shared" ref="H8:H16" si="1">QTY*G8</f>
        <v>210300</v>
      </c>
      <c r="I8" s="24">
        <v>15000</v>
      </c>
      <c r="J8" s="25">
        <f t="shared" ref="J8:J16" si="2">QTY*I8</f>
        <v>15000</v>
      </c>
      <c r="K8" s="24">
        <v>235000</v>
      </c>
      <c r="L8" s="25">
        <f t="shared" ref="L8:L16" si="3">QTY*K8</f>
        <v>235000</v>
      </c>
      <c r="M8" s="24">
        <v>150000</v>
      </c>
      <c r="N8" s="25">
        <f t="shared" ref="N8:N16" si="4">QTY*M8</f>
        <v>150000</v>
      </c>
      <c r="O8" s="24">
        <v>142900</v>
      </c>
      <c r="P8" s="25">
        <f t="shared" ref="P8:P16" si="5">QTY*O8</f>
        <v>142900</v>
      </c>
    </row>
    <row r="9" spans="1:16" ht="33" customHeight="1" x14ac:dyDescent="0.25">
      <c r="A9" s="9" t="str">
        <f>'Bid Item List'!A21</f>
        <v>0002</v>
      </c>
      <c r="B9" s="51" t="str">
        <f>'Bid Item List'!B21</f>
        <v>Sweeper
(Section 012200)</v>
      </c>
      <c r="C9" s="36">
        <f>'Bid Item List'!C21</f>
        <v>1</v>
      </c>
      <c r="D9" s="18" t="str">
        <f>'Bid Item List'!D21</f>
        <v>LS</v>
      </c>
      <c r="E9" s="24">
        <v>295000</v>
      </c>
      <c r="F9" s="25">
        <f t="shared" si="0"/>
        <v>295000</v>
      </c>
      <c r="G9" s="24">
        <v>149000</v>
      </c>
      <c r="H9" s="25">
        <f t="shared" si="1"/>
        <v>149000</v>
      </c>
      <c r="I9" s="24">
        <v>10000</v>
      </c>
      <c r="J9" s="25">
        <f t="shared" si="2"/>
        <v>10000</v>
      </c>
      <c r="K9" s="24">
        <v>100000</v>
      </c>
      <c r="L9" s="25">
        <f t="shared" si="3"/>
        <v>100000</v>
      </c>
      <c r="M9" s="24">
        <v>18000</v>
      </c>
      <c r="N9" s="25">
        <f t="shared" si="4"/>
        <v>18000</v>
      </c>
      <c r="O9" s="24">
        <v>50000</v>
      </c>
      <c r="P9" s="25">
        <f t="shared" si="5"/>
        <v>50000</v>
      </c>
    </row>
    <row r="10" spans="1:16" ht="33" customHeight="1" x14ac:dyDescent="0.25">
      <c r="A10" s="9" t="str">
        <f>'Bid Item List'!A22</f>
        <v>0003</v>
      </c>
      <c r="B10" s="51" t="str">
        <f>'Bid Item List'!B22</f>
        <v>Security Control Monitoring
(Section 012200)</v>
      </c>
      <c r="C10" s="36">
        <f>'Bid Item List'!C22</f>
        <v>1</v>
      </c>
      <c r="D10" s="18" t="str">
        <f>'Bid Item List'!D22</f>
        <v>LS</v>
      </c>
      <c r="E10" s="24">
        <v>5000</v>
      </c>
      <c r="F10" s="25">
        <f t="shared" si="0"/>
        <v>5000</v>
      </c>
      <c r="G10" s="24">
        <v>1100</v>
      </c>
      <c r="H10" s="25">
        <f t="shared" si="1"/>
        <v>1100</v>
      </c>
      <c r="I10" s="24">
        <v>10000</v>
      </c>
      <c r="J10" s="25">
        <f t="shared" si="2"/>
        <v>10000</v>
      </c>
      <c r="K10" s="24">
        <v>30000</v>
      </c>
      <c r="L10" s="25">
        <f t="shared" si="3"/>
        <v>30000</v>
      </c>
      <c r="M10" s="24">
        <v>10000</v>
      </c>
      <c r="N10" s="25">
        <f t="shared" si="4"/>
        <v>10000</v>
      </c>
      <c r="O10" s="24">
        <v>10000</v>
      </c>
      <c r="P10" s="25">
        <f t="shared" si="5"/>
        <v>10000</v>
      </c>
    </row>
    <row r="11" spans="1:16" ht="33" customHeight="1" x14ac:dyDescent="0.25">
      <c r="A11" s="9" t="str">
        <f>'Bid Item List'!A23</f>
        <v>0004</v>
      </c>
      <c r="B11" s="51" t="str">
        <f>'Bid Item List'!B23</f>
        <v>Work Zone and Traffic Control
(Section 012200)</v>
      </c>
      <c r="C11" s="36">
        <f>'Bid Item List'!C23</f>
        <v>1</v>
      </c>
      <c r="D11" s="18" t="str">
        <f>'Bid Item List'!D23</f>
        <v>LS</v>
      </c>
      <c r="E11" s="24">
        <v>140000</v>
      </c>
      <c r="F11" s="25">
        <f t="shared" si="0"/>
        <v>140000</v>
      </c>
      <c r="G11" s="24">
        <v>20900</v>
      </c>
      <c r="H11" s="25">
        <f t="shared" si="1"/>
        <v>20900</v>
      </c>
      <c r="I11" s="24">
        <v>50000</v>
      </c>
      <c r="J11" s="25">
        <f t="shared" si="2"/>
        <v>50000</v>
      </c>
      <c r="K11" s="24">
        <v>25000</v>
      </c>
      <c r="L11" s="25">
        <f t="shared" si="3"/>
        <v>25000</v>
      </c>
      <c r="M11" s="24">
        <v>30000</v>
      </c>
      <c r="N11" s="25">
        <f t="shared" si="4"/>
        <v>30000</v>
      </c>
      <c r="O11" s="24">
        <v>40000</v>
      </c>
      <c r="P11" s="25">
        <f t="shared" si="5"/>
        <v>40000</v>
      </c>
    </row>
    <row r="12" spans="1:16" ht="33" customHeight="1" x14ac:dyDescent="0.25">
      <c r="A12" s="9" t="str">
        <f>'Bid Item List'!A24</f>
        <v>0005</v>
      </c>
      <c r="B12" s="51" t="str">
        <f>'Bid Item List'!B24</f>
        <v>Escort
(Section 012200)</v>
      </c>
      <c r="C12" s="36">
        <f>'Bid Item List'!C24</f>
        <v>1</v>
      </c>
      <c r="D12" s="18" t="str">
        <f>'Bid Item List'!D24</f>
        <v>LS</v>
      </c>
      <c r="E12" s="24">
        <v>160000</v>
      </c>
      <c r="F12" s="25">
        <f t="shared" si="0"/>
        <v>160000</v>
      </c>
      <c r="G12" s="24">
        <v>97900</v>
      </c>
      <c r="H12" s="25">
        <f t="shared" si="1"/>
        <v>97900</v>
      </c>
      <c r="I12" s="24">
        <v>10000</v>
      </c>
      <c r="J12" s="25">
        <f t="shared" si="2"/>
        <v>10000</v>
      </c>
      <c r="K12" s="24">
        <v>50000</v>
      </c>
      <c r="L12" s="25">
        <f t="shared" si="3"/>
        <v>50000</v>
      </c>
      <c r="M12" s="24">
        <v>50000</v>
      </c>
      <c r="N12" s="25">
        <f t="shared" si="4"/>
        <v>50000</v>
      </c>
      <c r="O12" s="24">
        <v>75000</v>
      </c>
      <c r="P12" s="25">
        <f t="shared" si="5"/>
        <v>75000</v>
      </c>
    </row>
    <row r="13" spans="1:16" ht="33" customHeight="1" x14ac:dyDescent="0.25">
      <c r="A13" s="9" t="str">
        <f>'Bid Item List'!A25</f>
        <v>0006</v>
      </c>
      <c r="B13" s="51" t="str">
        <f>'Bid Item List'!B25</f>
        <v>Construction Survey
(Section 012200)</v>
      </c>
      <c r="C13" s="36">
        <f>'Bid Item List'!C25</f>
        <v>1</v>
      </c>
      <c r="D13" s="18" t="str">
        <f>'Bid Item List'!D25</f>
        <v>LS</v>
      </c>
      <c r="E13" s="24">
        <v>30000</v>
      </c>
      <c r="F13" s="25">
        <f t="shared" si="0"/>
        <v>30000</v>
      </c>
      <c r="G13" s="24">
        <v>40250</v>
      </c>
      <c r="H13" s="25">
        <f t="shared" si="1"/>
        <v>40250</v>
      </c>
      <c r="I13" s="24">
        <v>30000</v>
      </c>
      <c r="J13" s="25">
        <f t="shared" si="2"/>
        <v>30000</v>
      </c>
      <c r="K13" s="24">
        <v>15000</v>
      </c>
      <c r="L13" s="25">
        <f t="shared" si="3"/>
        <v>15000</v>
      </c>
      <c r="M13" s="24">
        <v>20000</v>
      </c>
      <c r="N13" s="25">
        <f t="shared" si="4"/>
        <v>20000</v>
      </c>
      <c r="O13" s="24">
        <v>50000</v>
      </c>
      <c r="P13" s="25">
        <f t="shared" si="5"/>
        <v>50000</v>
      </c>
    </row>
    <row r="14" spans="1:16" ht="33" customHeight="1" x14ac:dyDescent="0.25">
      <c r="A14" s="9" t="str">
        <f>'Bid Item List'!A26</f>
        <v>0007</v>
      </c>
      <c r="B14" s="51" t="str">
        <f>'Bid Item List'!B26</f>
        <v>Inlet Protection
(Section 015713)</v>
      </c>
      <c r="C14" s="36">
        <f>'Bid Item List'!C26</f>
        <v>4</v>
      </c>
      <c r="D14" s="18" t="str">
        <f>'Bid Item List'!D26</f>
        <v>Each</v>
      </c>
      <c r="E14" s="24">
        <v>100</v>
      </c>
      <c r="F14" s="25">
        <f t="shared" si="0"/>
        <v>400</v>
      </c>
      <c r="G14" s="24">
        <v>356</v>
      </c>
      <c r="H14" s="25">
        <f t="shared" si="1"/>
        <v>1424</v>
      </c>
      <c r="I14" s="24">
        <v>500</v>
      </c>
      <c r="J14" s="25">
        <f t="shared" si="2"/>
        <v>2000</v>
      </c>
      <c r="K14" s="24">
        <v>100</v>
      </c>
      <c r="L14" s="25">
        <f t="shared" si="3"/>
        <v>400</v>
      </c>
      <c r="M14" s="24">
        <v>200</v>
      </c>
      <c r="N14" s="25">
        <f t="shared" si="4"/>
        <v>800</v>
      </c>
      <c r="O14" s="24">
        <v>120</v>
      </c>
      <c r="P14" s="25">
        <f t="shared" si="5"/>
        <v>480</v>
      </c>
    </row>
    <row r="15" spans="1:16" ht="33" customHeight="1" x14ac:dyDescent="0.25">
      <c r="A15" s="9" t="str">
        <f>'Bid Item List'!A27</f>
        <v>0008</v>
      </c>
      <c r="B15" s="51" t="str">
        <f>'Bid Item List'!B27</f>
        <v>Trench Drain Protection
(Section 015713)</v>
      </c>
      <c r="C15" s="36">
        <f>'Bid Item List'!C27</f>
        <v>435</v>
      </c>
      <c r="D15" s="18" t="str">
        <f>'Bid Item List'!D27</f>
        <v>LF</v>
      </c>
      <c r="E15" s="24">
        <v>3</v>
      </c>
      <c r="F15" s="25">
        <f t="shared" si="0"/>
        <v>1305</v>
      </c>
      <c r="G15" s="24">
        <v>8</v>
      </c>
      <c r="H15" s="25">
        <f t="shared" si="1"/>
        <v>3480</v>
      </c>
      <c r="I15" s="24">
        <v>5</v>
      </c>
      <c r="J15" s="25">
        <f t="shared" si="2"/>
        <v>2175</v>
      </c>
      <c r="K15" s="24">
        <v>10</v>
      </c>
      <c r="L15" s="25">
        <f t="shared" si="3"/>
        <v>4350</v>
      </c>
      <c r="M15" s="24">
        <v>10</v>
      </c>
      <c r="N15" s="25">
        <f t="shared" si="4"/>
        <v>4350</v>
      </c>
      <c r="O15" s="24">
        <v>4.25</v>
      </c>
      <c r="P15" s="25">
        <f t="shared" si="5"/>
        <v>1848.75</v>
      </c>
    </row>
    <row r="16" spans="1:16" ht="33" customHeight="1" x14ac:dyDescent="0.25">
      <c r="A16" s="9" t="str">
        <f>'Bid Item List'!A28</f>
        <v>0009</v>
      </c>
      <c r="B16" s="51" t="str">
        <f>'Bid Item List'!B28</f>
        <v>Building Demolition
(Section 024113)</v>
      </c>
      <c r="C16" s="36">
        <f>'Bid Item List'!C28</f>
        <v>1</v>
      </c>
      <c r="D16" s="18" t="str">
        <f>'Bid Item List'!D28</f>
        <v>LS</v>
      </c>
      <c r="E16" s="24">
        <v>12000</v>
      </c>
      <c r="F16" s="25">
        <f t="shared" si="0"/>
        <v>12000</v>
      </c>
      <c r="G16" s="24">
        <v>22300</v>
      </c>
      <c r="H16" s="25">
        <f t="shared" si="1"/>
        <v>22300</v>
      </c>
      <c r="I16" s="24">
        <v>12000</v>
      </c>
      <c r="J16" s="25">
        <f t="shared" si="2"/>
        <v>12000</v>
      </c>
      <c r="K16" s="24">
        <v>150000</v>
      </c>
      <c r="L16" s="25">
        <f t="shared" si="3"/>
        <v>150000</v>
      </c>
      <c r="M16" s="24">
        <v>20000</v>
      </c>
      <c r="N16" s="25">
        <f t="shared" si="4"/>
        <v>20000</v>
      </c>
      <c r="O16" s="24">
        <v>38500</v>
      </c>
      <c r="P16" s="25">
        <f t="shared" si="5"/>
        <v>38500</v>
      </c>
    </row>
    <row r="17" spans="1:16" ht="33" customHeight="1" x14ac:dyDescent="0.25">
      <c r="A17" s="9" t="str">
        <f>'Bid Item List'!A29</f>
        <v>0010</v>
      </c>
      <c r="B17" s="51" t="str">
        <f>'Bid Item List'!B29</f>
        <v>Building Slab and Foundation Removal
(Section 024113)</v>
      </c>
      <c r="C17" s="36">
        <f>'Bid Item List'!C29</f>
        <v>1</v>
      </c>
      <c r="D17" s="18" t="str">
        <f>'Bid Item List'!D29</f>
        <v>LS</v>
      </c>
      <c r="E17" s="24">
        <v>9000</v>
      </c>
      <c r="F17" s="25">
        <f t="shared" ref="F17:F43" si="6">QTY*E17</f>
        <v>9000</v>
      </c>
      <c r="G17" s="24">
        <v>60800</v>
      </c>
      <c r="H17" s="25">
        <f t="shared" ref="H17:H43" si="7">QTY*G17</f>
        <v>60800</v>
      </c>
      <c r="I17" s="24">
        <v>10000</v>
      </c>
      <c r="J17" s="25">
        <f t="shared" ref="J17:J43" si="8">QTY*I17</f>
        <v>10000</v>
      </c>
      <c r="K17" s="24">
        <v>30000</v>
      </c>
      <c r="L17" s="25">
        <f t="shared" ref="L17:L43" si="9">QTY*K17</f>
        <v>30000</v>
      </c>
      <c r="M17" s="24">
        <v>25000</v>
      </c>
      <c r="N17" s="25">
        <f t="shared" ref="N17:N43" si="10">QTY*M17</f>
        <v>25000</v>
      </c>
      <c r="O17" s="24">
        <v>100000</v>
      </c>
      <c r="P17" s="25">
        <f t="shared" ref="P17:P43" si="11">QTY*O17</f>
        <v>100000</v>
      </c>
    </row>
    <row r="18" spans="1:16" ht="33" customHeight="1" x14ac:dyDescent="0.25">
      <c r="A18" s="9" t="str">
        <f>'Bid Item List'!A30</f>
        <v>0011</v>
      </c>
      <c r="B18" s="51" t="str">
        <f>'Bid Item List'!B30</f>
        <v>Contaminated Material Excavation and Disposal
(Section 026100)</v>
      </c>
      <c r="C18" s="36">
        <f>'Bid Item List'!C30</f>
        <v>150</v>
      </c>
      <c r="D18" s="18" t="str">
        <f>'Bid Item List'!D30</f>
        <v>Ton</v>
      </c>
      <c r="E18" s="24">
        <v>110</v>
      </c>
      <c r="F18" s="25">
        <f t="shared" si="6"/>
        <v>16500</v>
      </c>
      <c r="G18" s="24">
        <v>126</v>
      </c>
      <c r="H18" s="25">
        <f t="shared" si="7"/>
        <v>18900</v>
      </c>
      <c r="I18" s="24">
        <v>200</v>
      </c>
      <c r="J18" s="25">
        <f t="shared" si="8"/>
        <v>30000</v>
      </c>
      <c r="K18" s="24">
        <v>60</v>
      </c>
      <c r="L18" s="25">
        <f t="shared" si="9"/>
        <v>9000</v>
      </c>
      <c r="M18" s="24">
        <v>70</v>
      </c>
      <c r="N18" s="25">
        <f t="shared" si="10"/>
        <v>10500</v>
      </c>
      <c r="O18" s="24">
        <v>100</v>
      </c>
      <c r="P18" s="25">
        <f t="shared" si="11"/>
        <v>15000</v>
      </c>
    </row>
    <row r="19" spans="1:16" ht="33" customHeight="1" x14ac:dyDescent="0.25">
      <c r="A19" s="9" t="str">
        <f>'Bid Item List'!A31</f>
        <v>0012</v>
      </c>
      <c r="B19" s="51" t="str">
        <f>'Bid Item List'!B31</f>
        <v>Demolition of Existing Electrical Equipment on Work Site
(Section 260500)</v>
      </c>
      <c r="C19" s="36">
        <f>'Bid Item List'!C31</f>
        <v>1</v>
      </c>
      <c r="D19" s="18" t="str">
        <f>'Bid Item List'!D31</f>
        <v>LS</v>
      </c>
      <c r="E19" s="24">
        <v>1750</v>
      </c>
      <c r="F19" s="25">
        <f t="shared" si="6"/>
        <v>1750</v>
      </c>
      <c r="G19" s="24">
        <v>7200</v>
      </c>
      <c r="H19" s="25">
        <f t="shared" si="7"/>
        <v>7200</v>
      </c>
      <c r="I19" s="24">
        <v>10000</v>
      </c>
      <c r="J19" s="25">
        <f t="shared" si="8"/>
        <v>10000</v>
      </c>
      <c r="K19" s="24">
        <v>5000</v>
      </c>
      <c r="L19" s="25">
        <f t="shared" si="9"/>
        <v>5000</v>
      </c>
      <c r="M19" s="24">
        <v>25000</v>
      </c>
      <c r="N19" s="25">
        <f t="shared" si="10"/>
        <v>25000</v>
      </c>
      <c r="O19" s="24">
        <v>10000</v>
      </c>
      <c r="P19" s="25">
        <f t="shared" si="11"/>
        <v>10000</v>
      </c>
    </row>
    <row r="20" spans="1:16" ht="33" customHeight="1" x14ac:dyDescent="0.25">
      <c r="A20" s="9" t="str">
        <f>'Bid Item List'!A32</f>
        <v>0013</v>
      </c>
      <c r="B20" s="51" t="str">
        <f>'Bid Item List'!B32</f>
        <v>Install Handholes for Power
(Section 260500)</v>
      </c>
      <c r="C20" s="36">
        <f>'Bid Item List'!C32</f>
        <v>1</v>
      </c>
      <c r="D20" s="18" t="str">
        <f>'Bid Item List'!D32</f>
        <v>Each</v>
      </c>
      <c r="E20" s="24">
        <v>2500</v>
      </c>
      <c r="F20" s="25">
        <f t="shared" si="6"/>
        <v>2500</v>
      </c>
      <c r="G20" s="24">
        <v>1900</v>
      </c>
      <c r="H20" s="25">
        <f t="shared" si="7"/>
        <v>1900</v>
      </c>
      <c r="I20" s="24">
        <v>2000</v>
      </c>
      <c r="J20" s="25">
        <f t="shared" si="8"/>
        <v>2000</v>
      </c>
      <c r="K20" s="24">
        <v>5000</v>
      </c>
      <c r="L20" s="25">
        <f t="shared" si="9"/>
        <v>5000</v>
      </c>
      <c r="M20" s="24">
        <v>6000</v>
      </c>
      <c r="N20" s="25">
        <f t="shared" si="10"/>
        <v>6000</v>
      </c>
      <c r="O20" s="24">
        <v>750</v>
      </c>
      <c r="P20" s="25">
        <f t="shared" si="11"/>
        <v>750</v>
      </c>
    </row>
    <row r="21" spans="1:16" ht="33" customHeight="1" x14ac:dyDescent="0.25">
      <c r="A21" s="9" t="str">
        <f>'Bid Item List'!A33</f>
        <v>0014</v>
      </c>
      <c r="B21" s="51" t="str">
        <f>'Bid Item List'!B33</f>
        <v>Connection to Existing Storm Drainage System
(Section 312300)</v>
      </c>
      <c r="C21" s="36">
        <f>'Bid Item List'!C33</f>
        <v>2</v>
      </c>
      <c r="D21" s="18" t="str">
        <f>'Bid Item List'!D33</f>
        <v>Each</v>
      </c>
      <c r="E21" s="24">
        <v>3300</v>
      </c>
      <c r="F21" s="25">
        <f t="shared" si="6"/>
        <v>6600</v>
      </c>
      <c r="G21" s="24">
        <v>4000</v>
      </c>
      <c r="H21" s="25">
        <f t="shared" si="7"/>
        <v>8000</v>
      </c>
      <c r="I21" s="24">
        <v>2000</v>
      </c>
      <c r="J21" s="25">
        <f t="shared" si="8"/>
        <v>4000</v>
      </c>
      <c r="K21" s="24">
        <v>500</v>
      </c>
      <c r="L21" s="25">
        <f t="shared" si="9"/>
        <v>1000</v>
      </c>
      <c r="M21" s="24">
        <v>5000</v>
      </c>
      <c r="N21" s="25">
        <f t="shared" si="10"/>
        <v>10000</v>
      </c>
      <c r="O21" s="24">
        <v>2500</v>
      </c>
      <c r="P21" s="25">
        <f t="shared" si="11"/>
        <v>5000</v>
      </c>
    </row>
    <row r="22" spans="1:16" ht="33" customHeight="1" x14ac:dyDescent="0.25">
      <c r="A22" s="9" t="str">
        <f>'Bid Item List'!A34</f>
        <v>0015</v>
      </c>
      <c r="B22" s="51" t="str">
        <f>'Bid Item List'!B34</f>
        <v>Existing Manhole/Inlet Adjustment to Grade
(Section 312300)</v>
      </c>
      <c r="C22" s="36">
        <f>'Bid Item List'!C34</f>
        <v>1</v>
      </c>
      <c r="D22" s="18" t="str">
        <f>'Bid Item List'!D34</f>
        <v>Each</v>
      </c>
      <c r="E22" s="24">
        <v>2900</v>
      </c>
      <c r="F22" s="25">
        <f t="shared" si="6"/>
        <v>2900</v>
      </c>
      <c r="G22" s="24">
        <v>1800</v>
      </c>
      <c r="H22" s="25">
        <f t="shared" si="7"/>
        <v>1800</v>
      </c>
      <c r="I22" s="24">
        <v>500</v>
      </c>
      <c r="J22" s="25">
        <f t="shared" si="8"/>
        <v>500</v>
      </c>
      <c r="K22" s="24">
        <v>1000</v>
      </c>
      <c r="L22" s="25">
        <f t="shared" si="9"/>
        <v>1000</v>
      </c>
      <c r="M22" s="24">
        <v>1000</v>
      </c>
      <c r="N22" s="25">
        <f t="shared" si="10"/>
        <v>1000</v>
      </c>
      <c r="O22" s="24">
        <v>1750</v>
      </c>
      <c r="P22" s="25">
        <f t="shared" si="11"/>
        <v>1750</v>
      </c>
    </row>
    <row r="23" spans="1:16" ht="33" customHeight="1" x14ac:dyDescent="0.25">
      <c r="A23" s="9" t="str">
        <f>'Bid Item List'!A35</f>
        <v>0016</v>
      </c>
      <c r="B23" s="51" t="str">
        <f>'Bid Item List'!B35</f>
        <v>PCC Pavement Removal - 15-Inch Depth
(Item P-101)</v>
      </c>
      <c r="C23" s="36">
        <f>'Bid Item List'!C35</f>
        <v>70</v>
      </c>
      <c r="D23" s="18" t="str">
        <f>'Bid Item List'!D35</f>
        <v>SY</v>
      </c>
      <c r="E23" s="24">
        <v>130</v>
      </c>
      <c r="F23" s="25">
        <f t="shared" si="6"/>
        <v>9100</v>
      </c>
      <c r="G23" s="24">
        <v>204</v>
      </c>
      <c r="H23" s="25">
        <f t="shared" si="7"/>
        <v>14280</v>
      </c>
      <c r="I23" s="24">
        <v>50</v>
      </c>
      <c r="J23" s="25">
        <f t="shared" si="8"/>
        <v>3500</v>
      </c>
      <c r="K23" s="24">
        <v>80</v>
      </c>
      <c r="L23" s="25">
        <f t="shared" si="9"/>
        <v>5600</v>
      </c>
      <c r="M23" s="24">
        <v>150</v>
      </c>
      <c r="N23" s="25">
        <f t="shared" si="10"/>
        <v>10500</v>
      </c>
      <c r="O23" s="24">
        <v>75</v>
      </c>
      <c r="P23" s="25">
        <f t="shared" si="11"/>
        <v>5250</v>
      </c>
    </row>
    <row r="24" spans="1:16" ht="33" customHeight="1" x14ac:dyDescent="0.25">
      <c r="A24" s="9" t="str">
        <f>'Bid Item List'!A36</f>
        <v>0017</v>
      </c>
      <c r="B24" s="51" t="str">
        <f>'Bid Item List'!B36</f>
        <v>Asphalt Pavement Removal - 3-5 Inch Depth
(Item P-101)</v>
      </c>
      <c r="C24" s="52">
        <f>'Bid Item List'!C36</f>
        <v>2705</v>
      </c>
      <c r="D24" s="18" t="str">
        <f>'Bid Item List'!D36</f>
        <v>SY</v>
      </c>
      <c r="E24" s="24">
        <v>20</v>
      </c>
      <c r="F24" s="25">
        <f t="shared" si="6"/>
        <v>54100</v>
      </c>
      <c r="G24" s="24">
        <v>5</v>
      </c>
      <c r="H24" s="25">
        <f t="shared" si="7"/>
        <v>13525</v>
      </c>
      <c r="I24" s="24">
        <v>40</v>
      </c>
      <c r="J24" s="25">
        <f t="shared" si="8"/>
        <v>108200</v>
      </c>
      <c r="K24" s="24">
        <v>15</v>
      </c>
      <c r="L24" s="25">
        <f t="shared" si="9"/>
        <v>40575</v>
      </c>
      <c r="M24" s="24">
        <v>5</v>
      </c>
      <c r="N24" s="25">
        <f t="shared" si="10"/>
        <v>13525</v>
      </c>
      <c r="O24" s="24">
        <v>5.25</v>
      </c>
      <c r="P24" s="25">
        <f t="shared" si="11"/>
        <v>14201.25</v>
      </c>
    </row>
    <row r="25" spans="1:16" ht="33" customHeight="1" x14ac:dyDescent="0.25">
      <c r="A25" s="9" t="str">
        <f>'Bid Item List'!A37</f>
        <v>0018</v>
      </c>
      <c r="B25" s="51" t="str">
        <f>'Bid Item List'!B37</f>
        <v>Asphalt Pavement Removal - 8 Inch Depth
(Item P-101)</v>
      </c>
      <c r="C25" s="36">
        <f>'Bid Item List'!C37</f>
        <v>205</v>
      </c>
      <c r="D25" s="18" t="str">
        <f>'Bid Item List'!D37</f>
        <v>SY</v>
      </c>
      <c r="E25" s="24">
        <v>25</v>
      </c>
      <c r="F25" s="25">
        <f t="shared" si="6"/>
        <v>5125</v>
      </c>
      <c r="G25" s="24">
        <v>19</v>
      </c>
      <c r="H25" s="25">
        <f t="shared" si="7"/>
        <v>3895</v>
      </c>
      <c r="I25" s="24">
        <v>75</v>
      </c>
      <c r="J25" s="25">
        <f t="shared" si="8"/>
        <v>15375</v>
      </c>
      <c r="K25" s="24">
        <v>25</v>
      </c>
      <c r="L25" s="25">
        <f t="shared" si="9"/>
        <v>5125</v>
      </c>
      <c r="M25" s="24">
        <v>35</v>
      </c>
      <c r="N25" s="25">
        <f t="shared" si="10"/>
        <v>7175</v>
      </c>
      <c r="O25" s="24">
        <v>15</v>
      </c>
      <c r="P25" s="25">
        <f t="shared" si="11"/>
        <v>3075</v>
      </c>
    </row>
    <row r="26" spans="1:16" ht="33" customHeight="1" x14ac:dyDescent="0.25">
      <c r="A26" s="9" t="str">
        <f>'Bid Item List'!A38</f>
        <v>0019</v>
      </c>
      <c r="B26" s="51" t="str">
        <f>'Bid Item List'!B38</f>
        <v>Removal of Pipe and Other Buried Structures
(Item P-101)</v>
      </c>
      <c r="C26" s="36">
        <f>'Bid Item List'!C38</f>
        <v>1</v>
      </c>
      <c r="D26" s="18" t="str">
        <f>'Bid Item List'!D38</f>
        <v>LS</v>
      </c>
      <c r="E26" s="24">
        <v>30000</v>
      </c>
      <c r="F26" s="25">
        <f t="shared" si="6"/>
        <v>30000</v>
      </c>
      <c r="G26" s="24">
        <v>32600</v>
      </c>
      <c r="H26" s="25">
        <f t="shared" si="7"/>
        <v>32600</v>
      </c>
      <c r="I26" s="24">
        <v>10000</v>
      </c>
      <c r="J26" s="25">
        <f t="shared" si="8"/>
        <v>10000</v>
      </c>
      <c r="K26" s="24">
        <v>45000</v>
      </c>
      <c r="L26" s="25">
        <f t="shared" si="9"/>
        <v>45000</v>
      </c>
      <c r="M26" s="24">
        <v>25000</v>
      </c>
      <c r="N26" s="25">
        <f t="shared" si="10"/>
        <v>25000</v>
      </c>
      <c r="O26" s="24">
        <v>15000</v>
      </c>
      <c r="P26" s="25">
        <f t="shared" si="11"/>
        <v>15000</v>
      </c>
    </row>
    <row r="27" spans="1:16" ht="33" customHeight="1" x14ac:dyDescent="0.25">
      <c r="A27" s="9" t="str">
        <f>'Bid Item List'!A39</f>
        <v>0020</v>
      </c>
      <c r="B27" s="51" t="str">
        <f>'Bid Item List'!B39</f>
        <v>Unclassified Excavation
(Item P-152)</v>
      </c>
      <c r="C27" s="52">
        <f>'Bid Item List'!C39</f>
        <v>2700</v>
      </c>
      <c r="D27" s="18" t="str">
        <f>'Bid Item List'!D39</f>
        <v>CY</v>
      </c>
      <c r="E27" s="24">
        <v>36</v>
      </c>
      <c r="F27" s="25">
        <f t="shared" si="6"/>
        <v>97200</v>
      </c>
      <c r="G27" s="24">
        <v>33</v>
      </c>
      <c r="H27" s="25">
        <f t="shared" si="7"/>
        <v>89100</v>
      </c>
      <c r="I27" s="24">
        <v>40</v>
      </c>
      <c r="J27" s="25">
        <f t="shared" si="8"/>
        <v>108000</v>
      </c>
      <c r="K27" s="24">
        <v>60</v>
      </c>
      <c r="L27" s="25">
        <f t="shared" si="9"/>
        <v>162000</v>
      </c>
      <c r="M27" s="24">
        <v>35</v>
      </c>
      <c r="N27" s="25">
        <f t="shared" si="10"/>
        <v>94500</v>
      </c>
      <c r="O27" s="24">
        <v>35</v>
      </c>
      <c r="P27" s="25">
        <f t="shared" si="11"/>
        <v>94500</v>
      </c>
    </row>
    <row r="28" spans="1:16" ht="33" customHeight="1" x14ac:dyDescent="0.25">
      <c r="A28" s="9" t="str">
        <f>'Bid Item List'!A40</f>
        <v>0021</v>
      </c>
      <c r="B28" s="51" t="str">
        <f>'Bid Item List'!B40</f>
        <v>Unsuitable Excavation
(Item P-152)</v>
      </c>
      <c r="C28" s="36">
        <f>'Bid Item List'!C40</f>
        <v>95</v>
      </c>
      <c r="D28" s="18" t="str">
        <f>'Bid Item List'!D40</f>
        <v>CY</v>
      </c>
      <c r="E28" s="24">
        <v>135</v>
      </c>
      <c r="F28" s="25">
        <f t="shared" si="6"/>
        <v>12825</v>
      </c>
      <c r="G28" s="24">
        <v>121</v>
      </c>
      <c r="H28" s="25">
        <f t="shared" si="7"/>
        <v>11495</v>
      </c>
      <c r="I28" s="24">
        <v>120</v>
      </c>
      <c r="J28" s="25">
        <f t="shared" si="8"/>
        <v>11400</v>
      </c>
      <c r="K28" s="24">
        <v>60</v>
      </c>
      <c r="L28" s="25">
        <f t="shared" si="9"/>
        <v>5700</v>
      </c>
      <c r="M28" s="24">
        <v>80</v>
      </c>
      <c r="N28" s="25">
        <f t="shared" si="10"/>
        <v>7600</v>
      </c>
      <c r="O28" s="24">
        <v>75</v>
      </c>
      <c r="P28" s="25">
        <f t="shared" si="11"/>
        <v>7125</v>
      </c>
    </row>
    <row r="29" spans="1:16" ht="33" customHeight="1" x14ac:dyDescent="0.25">
      <c r="A29" s="9" t="str">
        <f>'Bid Item List'!A41</f>
        <v>0022</v>
      </c>
      <c r="B29" s="51" t="str">
        <f>'Bid Item List'!B41</f>
        <v>Separation Geotextile
(Item P-152)</v>
      </c>
      <c r="C29" s="52">
        <f>'Bid Item List'!C41</f>
        <v>2750</v>
      </c>
      <c r="D29" s="18" t="str">
        <f>'Bid Item List'!D41</f>
        <v>SY</v>
      </c>
      <c r="E29" s="24">
        <v>2</v>
      </c>
      <c r="F29" s="25">
        <f t="shared" si="6"/>
        <v>5500</v>
      </c>
      <c r="G29" s="24">
        <v>1.6</v>
      </c>
      <c r="H29" s="25">
        <f t="shared" si="7"/>
        <v>4400</v>
      </c>
      <c r="I29" s="24">
        <v>5</v>
      </c>
      <c r="J29" s="25">
        <f t="shared" si="8"/>
        <v>13750</v>
      </c>
      <c r="K29" s="24">
        <v>2</v>
      </c>
      <c r="L29" s="25">
        <f t="shared" si="9"/>
        <v>5500</v>
      </c>
      <c r="M29" s="24">
        <v>2</v>
      </c>
      <c r="N29" s="25">
        <f t="shared" si="10"/>
        <v>5500</v>
      </c>
      <c r="O29" s="24">
        <v>2</v>
      </c>
      <c r="P29" s="25">
        <f t="shared" si="11"/>
        <v>5500</v>
      </c>
    </row>
    <row r="30" spans="1:16" ht="33" customHeight="1" x14ac:dyDescent="0.25">
      <c r="A30" s="9" t="str">
        <f>'Bid Item List'!A42</f>
        <v>0023</v>
      </c>
      <c r="B30" s="51" t="str">
        <f>'Bid Item List'!B42</f>
        <v>Controlled Low-Strength Material (CLSM)
(Item P-153)</v>
      </c>
      <c r="C30" s="36">
        <f>'Bid Item List'!C42</f>
        <v>115</v>
      </c>
      <c r="D30" s="18" t="str">
        <f>'Bid Item List'!D42</f>
        <v>CY</v>
      </c>
      <c r="E30" s="24">
        <v>250</v>
      </c>
      <c r="F30" s="25">
        <f t="shared" si="6"/>
        <v>28750</v>
      </c>
      <c r="G30" s="24">
        <v>262</v>
      </c>
      <c r="H30" s="25">
        <f t="shared" si="7"/>
        <v>30130</v>
      </c>
      <c r="I30" s="24">
        <v>250</v>
      </c>
      <c r="J30" s="25">
        <f t="shared" si="8"/>
        <v>28750</v>
      </c>
      <c r="K30" s="24">
        <v>200</v>
      </c>
      <c r="L30" s="25">
        <f t="shared" si="9"/>
        <v>23000</v>
      </c>
      <c r="M30" s="24">
        <v>200</v>
      </c>
      <c r="N30" s="25">
        <f t="shared" si="10"/>
        <v>23000</v>
      </c>
      <c r="O30" s="24">
        <v>175</v>
      </c>
      <c r="P30" s="25">
        <f t="shared" si="11"/>
        <v>20125</v>
      </c>
    </row>
    <row r="31" spans="1:16" ht="33" customHeight="1" x14ac:dyDescent="0.25">
      <c r="A31" s="9" t="str">
        <f>'Bid Item List'!A43</f>
        <v>0024</v>
      </c>
      <c r="B31" s="51" t="str">
        <f>'Bid Item List'!B43</f>
        <v>Crushed Aggregate Base Course
(Item P-209)</v>
      </c>
      <c r="C31" s="36">
        <f>'Bid Item List'!C43</f>
        <v>475</v>
      </c>
      <c r="D31" s="18" t="str">
        <f>'Bid Item List'!D43</f>
        <v>CY</v>
      </c>
      <c r="E31" s="24">
        <v>120</v>
      </c>
      <c r="F31" s="25">
        <f t="shared" si="6"/>
        <v>57000</v>
      </c>
      <c r="G31" s="24">
        <v>78</v>
      </c>
      <c r="H31" s="25">
        <f t="shared" si="7"/>
        <v>37050</v>
      </c>
      <c r="I31" s="24">
        <v>100</v>
      </c>
      <c r="J31" s="25">
        <f t="shared" si="8"/>
        <v>47500</v>
      </c>
      <c r="K31" s="24">
        <v>200</v>
      </c>
      <c r="L31" s="25">
        <f t="shared" si="9"/>
        <v>95000</v>
      </c>
      <c r="M31" s="24">
        <v>105</v>
      </c>
      <c r="N31" s="25">
        <f t="shared" si="10"/>
        <v>49875</v>
      </c>
      <c r="O31" s="24">
        <v>100</v>
      </c>
      <c r="P31" s="25">
        <f t="shared" si="11"/>
        <v>47500</v>
      </c>
    </row>
    <row r="32" spans="1:16" ht="33" customHeight="1" x14ac:dyDescent="0.25">
      <c r="A32" s="9" t="str">
        <f>'Bid Item List'!A44</f>
        <v>0025</v>
      </c>
      <c r="B32" s="51" t="str">
        <f>'Bid Item List'!B44</f>
        <v>Asphalt Surface Course
(Item P-401)</v>
      </c>
      <c r="C32" s="36">
        <f>'Bid Item List'!C44</f>
        <v>85</v>
      </c>
      <c r="D32" s="18" t="str">
        <f>'Bid Item List'!D44</f>
        <v>Ton</v>
      </c>
      <c r="E32" s="24">
        <v>220</v>
      </c>
      <c r="F32" s="25">
        <f t="shared" si="6"/>
        <v>18700</v>
      </c>
      <c r="G32" s="24">
        <v>196</v>
      </c>
      <c r="H32" s="25">
        <f t="shared" si="7"/>
        <v>16660</v>
      </c>
      <c r="I32" s="24">
        <v>250</v>
      </c>
      <c r="J32" s="25">
        <f t="shared" si="8"/>
        <v>21250</v>
      </c>
      <c r="K32" s="24">
        <v>200</v>
      </c>
      <c r="L32" s="25">
        <f t="shared" si="9"/>
        <v>17000</v>
      </c>
      <c r="M32" s="24">
        <v>195</v>
      </c>
      <c r="N32" s="25">
        <f t="shared" si="10"/>
        <v>16575</v>
      </c>
      <c r="O32" s="24">
        <v>175</v>
      </c>
      <c r="P32" s="25">
        <f t="shared" si="11"/>
        <v>14875</v>
      </c>
    </row>
    <row r="33" spans="1:16" ht="33" customHeight="1" x14ac:dyDescent="0.25">
      <c r="A33" s="9" t="str">
        <f>'Bid Item List'!A45</f>
        <v>0026</v>
      </c>
      <c r="B33" s="51" t="str">
        <f>'Bid Item List'!B45</f>
        <v>Asphalt Mixture Base Course
(Item P-403)</v>
      </c>
      <c r="C33" s="36">
        <f>'Bid Item List'!C45</f>
        <v>850</v>
      </c>
      <c r="D33" s="18" t="str">
        <f>'Bid Item List'!D45</f>
        <v>Ton</v>
      </c>
      <c r="E33" s="24">
        <v>220</v>
      </c>
      <c r="F33" s="25">
        <f t="shared" si="6"/>
        <v>187000</v>
      </c>
      <c r="G33" s="24">
        <v>196</v>
      </c>
      <c r="H33" s="25">
        <f t="shared" si="7"/>
        <v>166600</v>
      </c>
      <c r="I33" s="24">
        <v>150</v>
      </c>
      <c r="J33" s="25">
        <f t="shared" si="8"/>
        <v>127500</v>
      </c>
      <c r="K33" s="24">
        <v>200</v>
      </c>
      <c r="L33" s="25">
        <f t="shared" si="9"/>
        <v>170000</v>
      </c>
      <c r="M33" s="24">
        <v>195</v>
      </c>
      <c r="N33" s="25">
        <f t="shared" si="10"/>
        <v>165750</v>
      </c>
      <c r="O33" s="24">
        <v>175</v>
      </c>
      <c r="P33" s="25">
        <f t="shared" si="11"/>
        <v>148750</v>
      </c>
    </row>
    <row r="34" spans="1:16" ht="33" customHeight="1" x14ac:dyDescent="0.25">
      <c r="A34" s="9" t="str">
        <f>'Bid Item List'!A46</f>
        <v>0027</v>
      </c>
      <c r="B34" s="51" t="str">
        <f>'Bid Item List'!B46</f>
        <v>19-Inch-Thick Concrete Pavement 
(Item P-501)</v>
      </c>
      <c r="C34" s="52">
        <f>'Bid Item List'!C46</f>
        <v>2550</v>
      </c>
      <c r="D34" s="18" t="str">
        <f>'Bid Item List'!D46</f>
        <v>SY</v>
      </c>
      <c r="E34" s="24">
        <v>320</v>
      </c>
      <c r="F34" s="25">
        <f t="shared" si="6"/>
        <v>816000</v>
      </c>
      <c r="G34" s="24">
        <v>275</v>
      </c>
      <c r="H34" s="25">
        <f t="shared" si="7"/>
        <v>701250</v>
      </c>
      <c r="I34" s="24">
        <v>398</v>
      </c>
      <c r="J34" s="25">
        <f t="shared" si="8"/>
        <v>1014900</v>
      </c>
      <c r="K34" s="24">
        <v>335</v>
      </c>
      <c r="L34" s="25">
        <f t="shared" si="9"/>
        <v>854250</v>
      </c>
      <c r="M34" s="24">
        <v>270</v>
      </c>
      <c r="N34" s="25">
        <f t="shared" si="10"/>
        <v>688500</v>
      </c>
      <c r="O34" s="24">
        <v>200</v>
      </c>
      <c r="P34" s="25">
        <f t="shared" si="11"/>
        <v>510000</v>
      </c>
    </row>
    <row r="35" spans="1:16" ht="33" customHeight="1" x14ac:dyDescent="0.25">
      <c r="A35" s="9" t="str">
        <f>'Bid Item List'!A47</f>
        <v>0028</v>
      </c>
      <c r="B35" s="51" t="str">
        <f>'Bid Item List'!B47</f>
        <v>Emulsified Asphalt Tack Coat 
(Item P-603)</v>
      </c>
      <c r="C35" s="36">
        <f>'Bid Item List'!C47</f>
        <v>240</v>
      </c>
      <c r="D35" s="18" t="str">
        <f>'Bid Item List'!D47</f>
        <v>Gal</v>
      </c>
      <c r="E35" s="24">
        <v>14</v>
      </c>
      <c r="F35" s="25">
        <f t="shared" si="6"/>
        <v>3360</v>
      </c>
      <c r="G35" s="24">
        <v>12</v>
      </c>
      <c r="H35" s="25">
        <f t="shared" si="7"/>
        <v>2880</v>
      </c>
      <c r="I35" s="24">
        <v>5</v>
      </c>
      <c r="J35" s="25">
        <f t="shared" si="8"/>
        <v>1200</v>
      </c>
      <c r="K35" s="24">
        <v>15</v>
      </c>
      <c r="L35" s="25">
        <f t="shared" si="9"/>
        <v>3600</v>
      </c>
      <c r="M35" s="24">
        <v>13</v>
      </c>
      <c r="N35" s="25">
        <f t="shared" si="10"/>
        <v>3120</v>
      </c>
      <c r="O35" s="24">
        <v>5</v>
      </c>
      <c r="P35" s="25">
        <f t="shared" si="11"/>
        <v>1200</v>
      </c>
    </row>
    <row r="36" spans="1:16" ht="33" customHeight="1" x14ac:dyDescent="0.25">
      <c r="A36" s="9" t="str">
        <f>'Bid Item List'!A48</f>
        <v>0029</v>
      </c>
      <c r="B36" s="51" t="str">
        <f>'Bid Item List'!B48</f>
        <v>Compression Joint Seals for Concrete Pavements
(Item P-604)</v>
      </c>
      <c r="C36" s="52">
        <f>'Bid Item List'!C48</f>
        <v>1970</v>
      </c>
      <c r="D36" s="18" t="str">
        <f>'Bid Item List'!D48</f>
        <v>LF</v>
      </c>
      <c r="E36" s="24">
        <v>11</v>
      </c>
      <c r="F36" s="25">
        <f t="shared" si="6"/>
        <v>21670</v>
      </c>
      <c r="G36" s="24">
        <v>10</v>
      </c>
      <c r="H36" s="25">
        <f t="shared" si="7"/>
        <v>19700</v>
      </c>
      <c r="I36" s="24">
        <v>20</v>
      </c>
      <c r="J36" s="25">
        <f t="shared" si="8"/>
        <v>39400</v>
      </c>
      <c r="K36" s="24">
        <v>10</v>
      </c>
      <c r="L36" s="25">
        <f t="shared" si="9"/>
        <v>19700</v>
      </c>
      <c r="M36" s="24">
        <v>10</v>
      </c>
      <c r="N36" s="25">
        <f t="shared" si="10"/>
        <v>19700</v>
      </c>
      <c r="O36" s="24">
        <v>6.5</v>
      </c>
      <c r="P36" s="25">
        <f t="shared" si="11"/>
        <v>12805</v>
      </c>
    </row>
    <row r="37" spans="1:16" ht="33" customHeight="1" x14ac:dyDescent="0.25">
      <c r="A37" s="9" t="str">
        <f>'Bid Item List'!A49</f>
        <v>0030</v>
      </c>
      <c r="B37" s="51" t="str">
        <f>'Bid Item List'!B49</f>
        <v>Joint Sealing Filler
(Item P-605)</v>
      </c>
      <c r="C37" s="36">
        <f>'Bid Item List'!C49</f>
        <v>13</v>
      </c>
      <c r="D37" s="18" t="str">
        <f>'Bid Item List'!D49</f>
        <v>Gal</v>
      </c>
      <c r="E37" s="24">
        <v>595</v>
      </c>
      <c r="F37" s="25">
        <f t="shared" si="6"/>
        <v>7735</v>
      </c>
      <c r="G37" s="24">
        <v>543</v>
      </c>
      <c r="H37" s="25">
        <f t="shared" si="7"/>
        <v>7059</v>
      </c>
      <c r="I37" s="24">
        <v>250</v>
      </c>
      <c r="J37" s="25">
        <f t="shared" si="8"/>
        <v>3250</v>
      </c>
      <c r="K37" s="24">
        <v>600</v>
      </c>
      <c r="L37" s="25">
        <f t="shared" si="9"/>
        <v>7800</v>
      </c>
      <c r="M37" s="24">
        <v>520</v>
      </c>
      <c r="N37" s="25">
        <f t="shared" si="10"/>
        <v>6760</v>
      </c>
      <c r="O37" s="24">
        <v>360</v>
      </c>
      <c r="P37" s="25">
        <f t="shared" si="11"/>
        <v>4680</v>
      </c>
    </row>
    <row r="38" spans="1:16" ht="33" customHeight="1" x14ac:dyDescent="0.25">
      <c r="A38" s="9" t="str">
        <f>'Bid Item List'!A50</f>
        <v>0031</v>
      </c>
      <c r="B38" s="51" t="str">
        <f>'Bid Item List'!B50</f>
        <v>Surface Preparation - New or Existing Pavement Surfaces
(Item P-620)</v>
      </c>
      <c r="C38" s="36">
        <f>'Bid Item List'!C50</f>
        <v>525</v>
      </c>
      <c r="D38" s="18" t="str">
        <f>'Bid Item List'!D50</f>
        <v>SF</v>
      </c>
      <c r="E38" s="24">
        <v>3.6</v>
      </c>
      <c r="F38" s="25">
        <f t="shared" si="6"/>
        <v>1890</v>
      </c>
      <c r="G38" s="24">
        <v>3</v>
      </c>
      <c r="H38" s="25">
        <f t="shared" si="7"/>
        <v>1575</v>
      </c>
      <c r="I38" s="24">
        <v>25</v>
      </c>
      <c r="J38" s="25">
        <f t="shared" si="8"/>
        <v>13125</v>
      </c>
      <c r="K38" s="24">
        <v>4</v>
      </c>
      <c r="L38" s="25">
        <f t="shared" si="9"/>
        <v>2100</v>
      </c>
      <c r="M38" s="24">
        <v>3</v>
      </c>
      <c r="N38" s="25">
        <f t="shared" si="10"/>
        <v>1575</v>
      </c>
      <c r="O38" s="24">
        <v>0.75</v>
      </c>
      <c r="P38" s="25">
        <f t="shared" si="11"/>
        <v>393.75</v>
      </c>
    </row>
    <row r="39" spans="1:16" ht="33" customHeight="1" x14ac:dyDescent="0.25">
      <c r="A39" s="9" t="str">
        <f>'Bid Item List'!A51</f>
        <v>0032</v>
      </c>
      <c r="B39" s="51" t="str">
        <f>'Bid Item List'!B51</f>
        <v>Surface Preparation - Remove Existing Markings
(Item P-620)</v>
      </c>
      <c r="C39" s="36">
        <f>'Bid Item List'!C51</f>
        <v>140</v>
      </c>
      <c r="D39" s="18" t="str">
        <f>'Bid Item List'!D51</f>
        <v>SF</v>
      </c>
      <c r="E39" s="24">
        <v>8.1999999999999993</v>
      </c>
      <c r="F39" s="25">
        <f t="shared" si="6"/>
        <v>1148</v>
      </c>
      <c r="G39" s="24">
        <v>8</v>
      </c>
      <c r="H39" s="25">
        <f t="shared" si="7"/>
        <v>1120</v>
      </c>
      <c r="I39" s="24">
        <v>25</v>
      </c>
      <c r="J39" s="25">
        <f t="shared" si="8"/>
        <v>3500</v>
      </c>
      <c r="K39" s="24">
        <v>10</v>
      </c>
      <c r="L39" s="25">
        <f t="shared" si="9"/>
        <v>1400</v>
      </c>
      <c r="M39" s="24">
        <v>7.5</v>
      </c>
      <c r="N39" s="25">
        <f t="shared" si="10"/>
        <v>1050</v>
      </c>
      <c r="O39" s="24">
        <v>2</v>
      </c>
      <c r="P39" s="25">
        <f t="shared" si="11"/>
        <v>280</v>
      </c>
    </row>
    <row r="40" spans="1:16" ht="33" customHeight="1" x14ac:dyDescent="0.25">
      <c r="A40" s="9" t="str">
        <f>'Bid Item List'!A52</f>
        <v>0033</v>
      </c>
      <c r="B40" s="51" t="str">
        <f>'Bid Item List'!B52</f>
        <v>Marking
(Item P-620)</v>
      </c>
      <c r="C40" s="36">
        <f>'Bid Item List'!C52</f>
        <v>860</v>
      </c>
      <c r="D40" s="18" t="str">
        <f>'Bid Item List'!D52</f>
        <v>SF</v>
      </c>
      <c r="E40" s="24">
        <v>7</v>
      </c>
      <c r="F40" s="25">
        <f t="shared" si="6"/>
        <v>6020</v>
      </c>
      <c r="G40" s="24">
        <v>7</v>
      </c>
      <c r="H40" s="25">
        <f t="shared" si="7"/>
        <v>6020</v>
      </c>
      <c r="I40" s="24">
        <v>3</v>
      </c>
      <c r="J40" s="25">
        <f t="shared" si="8"/>
        <v>2580</v>
      </c>
      <c r="K40" s="24">
        <v>15</v>
      </c>
      <c r="L40" s="25">
        <f t="shared" si="9"/>
        <v>12900</v>
      </c>
      <c r="M40" s="24">
        <v>6.5</v>
      </c>
      <c r="N40" s="25">
        <f t="shared" si="10"/>
        <v>5590</v>
      </c>
      <c r="O40" s="24">
        <v>3.5</v>
      </c>
      <c r="P40" s="25">
        <f t="shared" si="11"/>
        <v>3010</v>
      </c>
    </row>
    <row r="41" spans="1:16" ht="33" customHeight="1" x14ac:dyDescent="0.25">
      <c r="A41" s="9" t="str">
        <f>'Bid Item List'!A53</f>
        <v>0034</v>
      </c>
      <c r="B41" s="51" t="str">
        <f>'Bid Item List'!B53</f>
        <v>Reflective Media
(Item P-620)</v>
      </c>
      <c r="C41" s="36">
        <f>'Bid Item List'!C53</f>
        <v>20</v>
      </c>
      <c r="D41" s="18" t="str">
        <f>'Bid Item List'!D53</f>
        <v>LB</v>
      </c>
      <c r="E41" s="24">
        <v>2</v>
      </c>
      <c r="F41" s="25">
        <f t="shared" si="6"/>
        <v>40</v>
      </c>
      <c r="G41" s="24">
        <v>2</v>
      </c>
      <c r="H41" s="25">
        <f t="shared" si="7"/>
        <v>40</v>
      </c>
      <c r="I41" s="24">
        <v>100</v>
      </c>
      <c r="J41" s="25">
        <f t="shared" si="8"/>
        <v>2000</v>
      </c>
      <c r="K41" s="24">
        <v>5</v>
      </c>
      <c r="L41" s="25">
        <f t="shared" si="9"/>
        <v>100</v>
      </c>
      <c r="M41" s="24">
        <v>1.6</v>
      </c>
      <c r="N41" s="25">
        <f t="shared" si="10"/>
        <v>32</v>
      </c>
      <c r="O41" s="24">
        <v>10</v>
      </c>
      <c r="P41" s="25">
        <f t="shared" si="11"/>
        <v>200</v>
      </c>
    </row>
    <row r="42" spans="1:16" ht="33" customHeight="1" x14ac:dyDescent="0.25">
      <c r="A42" s="9" t="str">
        <f>'Bid Item List'!A54</f>
        <v>0035</v>
      </c>
      <c r="B42" s="51" t="str">
        <f>'Bid Item List'!B54</f>
        <v>8-Inch STS 
(Item D-701)</v>
      </c>
      <c r="C42" s="36">
        <f>'Bid Item List'!C54</f>
        <v>20</v>
      </c>
      <c r="D42" s="18" t="str">
        <f>'Bid Item List'!D54</f>
        <v>LF</v>
      </c>
      <c r="E42" s="24">
        <v>130</v>
      </c>
      <c r="F42" s="25">
        <f t="shared" si="6"/>
        <v>2600</v>
      </c>
      <c r="G42" s="24">
        <v>210</v>
      </c>
      <c r="H42" s="25">
        <f t="shared" si="7"/>
        <v>4200</v>
      </c>
      <c r="I42" s="24">
        <v>250</v>
      </c>
      <c r="J42" s="25">
        <f t="shared" si="8"/>
        <v>5000</v>
      </c>
      <c r="K42" s="24">
        <v>300</v>
      </c>
      <c r="L42" s="25">
        <f t="shared" si="9"/>
        <v>6000</v>
      </c>
      <c r="M42" s="24">
        <v>200</v>
      </c>
      <c r="N42" s="25">
        <f t="shared" si="10"/>
        <v>4000</v>
      </c>
      <c r="O42" s="24">
        <v>180</v>
      </c>
      <c r="P42" s="25">
        <f t="shared" si="11"/>
        <v>3600</v>
      </c>
    </row>
    <row r="43" spans="1:16" ht="33" customHeight="1" x14ac:dyDescent="0.25">
      <c r="A43" s="9" t="str">
        <f>'Bid Item List'!A55</f>
        <v>0036</v>
      </c>
      <c r="B43" s="51" t="str">
        <f>'Bid Item List'!B55</f>
        <v>Trench Drain 
(Item D-751)</v>
      </c>
      <c r="C43" s="36">
        <f>'Bid Item List'!C55</f>
        <v>130</v>
      </c>
      <c r="D43" s="18" t="str">
        <f>'Bid Item List'!D55</f>
        <v>LF</v>
      </c>
      <c r="E43" s="24">
        <v>1900</v>
      </c>
      <c r="F43" s="25">
        <f t="shared" si="6"/>
        <v>247000</v>
      </c>
      <c r="G43" s="24">
        <v>1150</v>
      </c>
      <c r="H43" s="25">
        <f t="shared" si="7"/>
        <v>149500</v>
      </c>
      <c r="I43" s="24">
        <v>650</v>
      </c>
      <c r="J43" s="25">
        <f t="shared" si="8"/>
        <v>84500</v>
      </c>
      <c r="K43" s="24">
        <v>1000</v>
      </c>
      <c r="L43" s="25">
        <f t="shared" si="9"/>
        <v>130000</v>
      </c>
      <c r="M43" s="24">
        <v>700</v>
      </c>
      <c r="N43" s="25">
        <f t="shared" si="10"/>
        <v>91000</v>
      </c>
      <c r="O43" s="24">
        <v>850</v>
      </c>
      <c r="P43" s="25">
        <f t="shared" si="11"/>
        <v>110500</v>
      </c>
    </row>
    <row r="44" spans="1:16" ht="27.75" customHeight="1" x14ac:dyDescent="0.25">
      <c r="A44" s="10"/>
      <c r="B44" s="19" t="s">
        <v>93</v>
      </c>
      <c r="C44" s="37"/>
      <c r="D44" s="20"/>
      <c r="E44" s="26"/>
      <c r="F44" s="26">
        <f>SUM($F8:$F43)</f>
        <v>2550718</v>
      </c>
      <c r="G44" s="26"/>
      <c r="H44" s="26">
        <f>SUM($H8:$H43)</f>
        <v>1958333</v>
      </c>
      <c r="I44" s="26"/>
      <c r="J44" s="26">
        <f>SUM($J8:$J43)</f>
        <v>1862355</v>
      </c>
      <c r="K44" s="26"/>
      <c r="L44" s="26">
        <f>SUM($L8:$L43)</f>
        <v>2273100</v>
      </c>
      <c r="M44" s="26"/>
      <c r="N44" s="26">
        <f>SUM($N8:$N43)</f>
        <v>1620977</v>
      </c>
      <c r="O44" s="26"/>
      <c r="P44" s="26">
        <f>SUM($P8:$P43)</f>
        <v>1563798.75</v>
      </c>
    </row>
  </sheetData>
  <mergeCells count="12">
    <mergeCell ref="O1:P5"/>
    <mergeCell ref="K1:L5"/>
    <mergeCell ref="M1:N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4"/>
  <sheetViews>
    <sheetView tabSelected="1" view="pageBreakPreview" zoomScaleNormal="75" zoomScaleSheetLayoutView="100" workbookViewId="0">
      <selection activeCell="A8" sqref="A8"/>
    </sheetView>
  </sheetViews>
  <sheetFormatPr defaultRowHeight="15" x14ac:dyDescent="0.25"/>
  <cols>
    <col min="1" max="1" width="53.7109375" style="11" customWidth="1"/>
    <col min="2" max="2" width="27" style="46" customWidth="1"/>
  </cols>
  <sheetData>
    <row r="1" spans="1:2" ht="30" customHeight="1" x14ac:dyDescent="0.25">
      <c r="A1" s="22" t="str">
        <f>ProjectLocation</f>
        <v>PORTLAND INTERNATIONAL AIRPORT</v>
      </c>
      <c r="B1" s="42"/>
    </row>
    <row r="2" spans="1:2" ht="15" customHeight="1" x14ac:dyDescent="0.25">
      <c r="A2" s="23" t="str">
        <f>ProjectTitle</f>
        <v>NORTH RAMP RON PARKING RECONSTRUCTION - PHASE 2</v>
      </c>
      <c r="B2" s="43"/>
    </row>
    <row r="3" spans="1:2" ht="15" customHeight="1" x14ac:dyDescent="0.25">
      <c r="A3" s="23">
        <f>ProjectTitle2</f>
        <v>0</v>
      </c>
      <c r="B3" s="43"/>
    </row>
    <row r="4" spans="1:2" x14ac:dyDescent="0.25">
      <c r="A4" s="12" t="str">
        <f>EAN</f>
        <v>EAN 2022D027</v>
      </c>
      <c r="B4" s="43"/>
    </row>
    <row r="5" spans="1:2" ht="15" customHeight="1" x14ac:dyDescent="0.25">
      <c r="A5" s="13" t="str">
        <f>SolicitationNo</f>
        <v>Solicitation No. 2023-10352</v>
      </c>
      <c r="B5" s="43"/>
    </row>
    <row r="6" spans="1:2" ht="15" customHeight="1" x14ac:dyDescent="0.25">
      <c r="A6" s="14">
        <f ca="1">TODAY()</f>
        <v>45644</v>
      </c>
      <c r="B6" s="44"/>
    </row>
    <row r="7" spans="1:2" ht="33" customHeight="1" x14ac:dyDescent="0.25">
      <c r="A7" s="15" t="s">
        <v>96</v>
      </c>
      <c r="B7" s="45" t="s">
        <v>20</v>
      </c>
    </row>
    <row r="8" spans="1:2" ht="33" customHeight="1" x14ac:dyDescent="0.25">
      <c r="A8" s="16" t="str">
        <f>Contractor5</f>
        <v>Nutter Corporation</v>
      </c>
      <c r="B8" s="47">
        <f>Total5</f>
        <v>1620977</v>
      </c>
    </row>
    <row r="9" spans="1:2" ht="33" customHeight="1" x14ac:dyDescent="0.25">
      <c r="A9" s="16" t="str">
        <f>Contractor3</f>
        <v>Lee Contractors LLC</v>
      </c>
      <c r="B9" s="82" t="s">
        <v>104</v>
      </c>
    </row>
    <row r="10" spans="1:2" ht="33" customHeight="1" x14ac:dyDescent="0.25">
      <c r="A10" s="16" t="str">
        <f>Contractor2</f>
        <v>Kodiak Pacific Construction</v>
      </c>
      <c r="B10" s="47">
        <f>Total2</f>
        <v>1958333</v>
      </c>
    </row>
    <row r="11" spans="1:2" ht="33" customHeight="1" x14ac:dyDescent="0.25">
      <c r="A11" s="16" t="str">
        <f>Contractor4</f>
        <v>M.J. Hughes 
Construction, Inc.</v>
      </c>
      <c r="B11" s="47">
        <f>Total4</f>
        <v>2273100</v>
      </c>
    </row>
    <row r="12" spans="1:2" ht="33" customHeight="1" x14ac:dyDescent="0.25">
      <c r="A12" s="16" t="str">
        <f>Contractor1</f>
        <v>K&amp;E Excavating, Inc.</v>
      </c>
      <c r="B12" s="47">
        <f>Total1</f>
        <v>2550718</v>
      </c>
    </row>
    <row r="13" spans="1:2" ht="33" customHeight="1" x14ac:dyDescent="0.25">
      <c r="A13" s="53" t="str">
        <f>EngineerEstimate</f>
        <v>Engineer's Estimate</v>
      </c>
      <c r="B13" s="54">
        <f>TotalEE</f>
        <v>1563798.75</v>
      </c>
    </row>
    <row r="14" spans="1:2" x14ac:dyDescent="0.25">
      <c r="A14" s="48" t="s">
        <v>105</v>
      </c>
    </row>
  </sheetData>
  <sortState xmlns:xlrd2="http://schemas.microsoft.com/office/spreadsheetml/2017/richdata2" ref="A8:B12">
    <sortCondition ref="B8:B12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D5100D-075A-43C9-BE36-08C6B5895355}"/>
</file>

<file path=customXml/itemProps2.xml><?xml version="1.0" encoding="utf-8"?>
<ds:datastoreItem xmlns:ds="http://schemas.openxmlformats.org/officeDocument/2006/customXml" ds:itemID="{10B31C66-3D27-4947-9357-134594E62B06}"/>
</file>

<file path=customXml/itemProps3.xml><?xml version="1.0" encoding="utf-8"?>
<ds:datastoreItem xmlns:ds="http://schemas.openxmlformats.org/officeDocument/2006/customXml" ds:itemID="{C425AEBB-9CA9-4E5C-942D-EBFDF27EEA9C}">
  <ds:schemaRefs>
    <ds:schemaRef ds:uri="http://schemas.microsoft.com/office/2006/metadata/properties"/>
    <ds:schemaRef ds:uri="http://schemas.microsoft.com/office/infopath/2007/PartnerControls"/>
    <ds:schemaRef ds:uri="B991D0CF-DA0B-4466-A43B-A8BF32185C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2024-12-18T21:22:37Z</cp:lastPrinted>
  <dcterms:created xsi:type="dcterms:W3CDTF">2014-05-02T22:08:37Z</dcterms:created>
  <dcterms:modified xsi:type="dcterms:W3CDTF">2024-12-18T21:22:46Z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