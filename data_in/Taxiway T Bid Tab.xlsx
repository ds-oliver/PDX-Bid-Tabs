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18D\027\"/>
    </mc:Choice>
  </mc:AlternateContent>
  <xr:revisionPtr revIDLastSave="0" documentId="13_ncr:1_{7C9387CA-C180-40D3-BE99-64BBF5BBBDD4}" xr6:coauthVersionLast="41" xr6:coauthVersionMax="41" xr10:uidLastSave="{00000000-0000-0000-0000-000000000000}"/>
  <bookViews>
    <workbookView xWindow="25080" yWindow="-120" windowWidth="25440" windowHeight="15540" tabRatio="716" activeTab="3" xr2:uid="{00000000-000D-0000-FFFF-FFFF00000000}"/>
  </bookViews>
  <sheets>
    <sheet name="Bid Schedule A" sheetId="6" r:id="rId1"/>
    <sheet name="Bid Schedule B" sheetId="1" r:id="rId2"/>
    <sheet name="Bid Tab Schedule A" sheetId="2" r:id="rId3"/>
    <sheet name="Bid Tab Schedule B" sheetId="7" r:id="rId4"/>
    <sheet name="Summary" sheetId="5" r:id="rId5"/>
  </sheets>
  <definedNames>
    <definedName name="AQTY">'Bid Tab Schedule A'!$C:$C</definedName>
    <definedName name="ATotal1">'Bid Tab Schedule A'!$F$19</definedName>
    <definedName name="ATotal2">'Bid Tab Schedule A'!$H$19</definedName>
    <definedName name="ATotal3">'Bid Tab Schedule A'!$J$19</definedName>
    <definedName name="ATotal4">'Bid Tab Schedule A'!$L$19</definedName>
    <definedName name="ATotal5">'Bid Tab Schedule A'!$N$19</definedName>
    <definedName name="ATotal6">'Bid Tab Schedule A'!#REF!</definedName>
    <definedName name="ATotal7">'Bid Tab Schedule A'!#REF!</definedName>
    <definedName name="ATotal8">'Bid Tab Schedule A'!#REF!</definedName>
    <definedName name="ATotalEE">'Bid Tab Schedule A'!$P$19</definedName>
    <definedName name="BQTY">'Bid Tab Schedule B'!$C:$C</definedName>
    <definedName name="BTotal1" localSheetId="3">'Bid Tab Schedule B'!$F$19</definedName>
    <definedName name="BTotal2" localSheetId="3">'Bid Tab Schedule B'!$H$19</definedName>
    <definedName name="BTotal3" localSheetId="3">'Bid Tab Schedule B'!$J$19</definedName>
    <definedName name="BTotal4" localSheetId="3">'Bid Tab Schedule B'!$L$19</definedName>
    <definedName name="BTotal5" localSheetId="3">'Bid Tab Schedule B'!$N$19</definedName>
    <definedName name="BTotal6" localSheetId="3">'Bid Tab Schedule B'!#REF!</definedName>
    <definedName name="BTotal7" localSheetId="3">'Bid Tab Schedule B'!#REF!</definedName>
    <definedName name="BTotal8" localSheetId="3">'Bid Tab Schedule B'!#REF!</definedName>
    <definedName name="BTotalEE" localSheetId="3">'Bid Tab Schedule B'!$P$19</definedName>
    <definedName name="Contractor1">'Bid Tab Schedule A'!$E$1</definedName>
    <definedName name="Contractor2">'Bid Tab Schedule A'!$G$1</definedName>
    <definedName name="Contractor3">'Bid Tab Schedule A'!$I$1</definedName>
    <definedName name="Contractor4">'Bid Tab Schedule A'!$K$1</definedName>
    <definedName name="Contractor5">'Bid Tab Schedule A'!$M$1</definedName>
    <definedName name="Contractor6">'Bid Tab Schedule A'!#REF!</definedName>
    <definedName name="Contractor7">'Bid Tab Schedule A'!#REF!</definedName>
    <definedName name="Contractor8">'Bid Tab Schedule A'!#REF!</definedName>
    <definedName name="EAN">'Bid Tab Schedule A'!$A$4</definedName>
    <definedName name="EngineerEstimate">'Bid Tab Schedule A'!$O$1</definedName>
    <definedName name="_xlnm.Print_Area" localSheetId="0">'Bid Schedule A'!$A$14:$F$86</definedName>
    <definedName name="_xlnm.Print_Area" localSheetId="1">'Bid Schedule B'!$A$14:$F$64</definedName>
    <definedName name="_xlnm.Print_Area" localSheetId="2">'Bid Tab Schedule A'!$A$1:$P$74</definedName>
    <definedName name="_xlnm.Print_Area" localSheetId="3">'Bid Tab Schedule B'!$A$1:$P$52</definedName>
    <definedName name="_xlnm.Print_Area" localSheetId="4">Summary!$A$1:$B$14</definedName>
    <definedName name="_xlnm.Print_Titles" localSheetId="0">'Bid Schedule A'!$14:$19</definedName>
    <definedName name="_xlnm.Print_Titles" localSheetId="1">'Bid Schedule B'!$14:$19</definedName>
    <definedName name="_xlnm.Print_Titles" localSheetId="2">'Bid Tab Schedule A'!$A:$D,'Bid Tab Schedule A'!$1:$7</definedName>
    <definedName name="_xlnm.Print_Titles" localSheetId="3">'Bid Tab Schedule B'!$A:$D,'Bid Tab Schedule B'!$1:$7</definedName>
    <definedName name="ProjectLocation">'Bid Schedule A'!$A$15</definedName>
    <definedName name="ProjectTitle">'Bid Schedule A'!$A$16</definedName>
    <definedName name="ProjectTitle2">'Bid Schedule A'!$A$17</definedName>
    <definedName name="SolicitationNo">'Bid Tab Schedule A'!$A$5</definedName>
    <definedName name="Total1">'Bid Tab Schedule B'!$F$20</definedName>
    <definedName name="Total2">'Bid Tab Schedule B'!$H$20</definedName>
    <definedName name="Total3">'Bid Tab Schedule B'!$J$20</definedName>
    <definedName name="Total4">'Bid Tab Schedule B'!$L$20</definedName>
    <definedName name="Total5">'Bid Tab Schedule B'!$N$20</definedName>
    <definedName name="Total6">'Bid Tab Schedule B'!#REF!</definedName>
    <definedName name="Total7">'Bid Tab Schedule B'!#REF!</definedName>
    <definedName name="Total8">'Bid Tab Schedule B'!#REF!</definedName>
    <definedName name="TotalEE">'Bid Tab Schedule B'!$P$20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2" i="7" l="1"/>
  <c r="P26" i="7"/>
  <c r="P46" i="7"/>
  <c r="P11" i="7"/>
  <c r="A9" i="7"/>
  <c r="B9" i="7"/>
  <c r="C9" i="7"/>
  <c r="P9" i="7" s="1"/>
  <c r="D9" i="7"/>
  <c r="A10" i="7"/>
  <c r="B10" i="7"/>
  <c r="C10" i="7"/>
  <c r="P10" i="7" s="1"/>
  <c r="D10" i="7"/>
  <c r="A11" i="7"/>
  <c r="B11" i="7"/>
  <c r="C11" i="7"/>
  <c r="J11" i="7" s="1"/>
  <c r="D11" i="7"/>
  <c r="A12" i="7"/>
  <c r="B12" i="7"/>
  <c r="C12" i="7"/>
  <c r="J12" i="7" s="1"/>
  <c r="D12" i="7"/>
  <c r="A13" i="7"/>
  <c r="B13" i="7"/>
  <c r="C13" i="7"/>
  <c r="D13" i="7"/>
  <c r="A14" i="7"/>
  <c r="B14" i="7"/>
  <c r="C14" i="7"/>
  <c r="P14" i="7" s="1"/>
  <c r="D14" i="7"/>
  <c r="A15" i="7"/>
  <c r="B15" i="7"/>
  <c r="C15" i="7"/>
  <c r="D15" i="7"/>
  <c r="A16" i="7"/>
  <c r="B16" i="7"/>
  <c r="C16" i="7"/>
  <c r="P16" i="7" s="1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P20" i="7" s="1"/>
  <c r="D20" i="7"/>
  <c r="A21" i="7"/>
  <c r="B21" i="7"/>
  <c r="C21" i="7"/>
  <c r="P21" i="7" s="1"/>
  <c r="D21" i="7"/>
  <c r="A22" i="7"/>
  <c r="B22" i="7"/>
  <c r="C22" i="7"/>
  <c r="D22" i="7"/>
  <c r="A23" i="7"/>
  <c r="B23" i="7"/>
  <c r="C23" i="7"/>
  <c r="P23" i="7" s="1"/>
  <c r="D23" i="7"/>
  <c r="A24" i="7"/>
  <c r="B24" i="7"/>
  <c r="C24" i="7"/>
  <c r="D24" i="7"/>
  <c r="A25" i="7"/>
  <c r="B25" i="7"/>
  <c r="C25" i="7"/>
  <c r="D25" i="7"/>
  <c r="A26" i="7"/>
  <c r="B26" i="7"/>
  <c r="C26" i="7"/>
  <c r="D26" i="7"/>
  <c r="A27" i="7"/>
  <c r="B27" i="7"/>
  <c r="C27" i="7"/>
  <c r="D27" i="7"/>
  <c r="A28" i="7"/>
  <c r="B28" i="7"/>
  <c r="C28" i="7"/>
  <c r="P28" i="7" s="1"/>
  <c r="D28" i="7"/>
  <c r="A29" i="7"/>
  <c r="B29" i="7"/>
  <c r="C29" i="7"/>
  <c r="D29" i="7"/>
  <c r="A30" i="7"/>
  <c r="B30" i="7"/>
  <c r="C30" i="7"/>
  <c r="D30" i="7"/>
  <c r="A31" i="7"/>
  <c r="B31" i="7"/>
  <c r="C31" i="7"/>
  <c r="D31" i="7"/>
  <c r="A32" i="7"/>
  <c r="B32" i="7"/>
  <c r="C32" i="7"/>
  <c r="P32" i="7" s="1"/>
  <c r="D32" i="7"/>
  <c r="A33" i="7"/>
  <c r="B33" i="7"/>
  <c r="C33" i="7"/>
  <c r="D33" i="7"/>
  <c r="A34" i="7"/>
  <c r="B34" i="7"/>
  <c r="C34" i="7"/>
  <c r="P34" i="7" s="1"/>
  <c r="D34" i="7"/>
  <c r="A35" i="7"/>
  <c r="B35" i="7"/>
  <c r="C35" i="7"/>
  <c r="P35" i="7" s="1"/>
  <c r="D35" i="7"/>
  <c r="A36" i="7"/>
  <c r="B36" i="7"/>
  <c r="C36" i="7"/>
  <c r="P36" i="7" s="1"/>
  <c r="D36" i="7"/>
  <c r="A37" i="7"/>
  <c r="B37" i="7"/>
  <c r="C37" i="7"/>
  <c r="P37" i="7" s="1"/>
  <c r="D37" i="7"/>
  <c r="A38" i="7"/>
  <c r="B38" i="7"/>
  <c r="C38" i="7"/>
  <c r="P38" i="7" s="1"/>
  <c r="D38" i="7"/>
  <c r="A39" i="7"/>
  <c r="B39" i="7"/>
  <c r="C39" i="7"/>
  <c r="D39" i="7"/>
  <c r="A40" i="7"/>
  <c r="B40" i="7"/>
  <c r="C40" i="7"/>
  <c r="D40" i="7"/>
  <c r="A41" i="7"/>
  <c r="B41" i="7"/>
  <c r="C41" i="7"/>
  <c r="D41" i="7"/>
  <c r="A42" i="7"/>
  <c r="B42" i="7"/>
  <c r="C42" i="7"/>
  <c r="D42" i="7"/>
  <c r="A43" i="7"/>
  <c r="B43" i="7"/>
  <c r="C43" i="7"/>
  <c r="P43" i="7" s="1"/>
  <c r="D43" i="7"/>
  <c r="A44" i="7"/>
  <c r="B44" i="7"/>
  <c r="C44" i="7"/>
  <c r="P44" i="7" s="1"/>
  <c r="D44" i="7"/>
  <c r="A45" i="7"/>
  <c r="B45" i="7"/>
  <c r="C45" i="7"/>
  <c r="D45" i="7"/>
  <c r="A46" i="7"/>
  <c r="B46" i="7"/>
  <c r="C46" i="7"/>
  <c r="D46" i="7"/>
  <c r="A47" i="7"/>
  <c r="B47" i="7"/>
  <c r="C47" i="7"/>
  <c r="P47" i="7" s="1"/>
  <c r="D47" i="7"/>
  <c r="A48" i="7"/>
  <c r="B48" i="7"/>
  <c r="C48" i="7"/>
  <c r="P48" i="7" s="1"/>
  <c r="D48" i="7"/>
  <c r="A49" i="7"/>
  <c r="B49" i="7"/>
  <c r="C49" i="7"/>
  <c r="P49" i="7" s="1"/>
  <c r="D49" i="7"/>
  <c r="A50" i="7"/>
  <c r="B50" i="7"/>
  <c r="C50" i="7"/>
  <c r="P50" i="7" s="1"/>
  <c r="D50" i="7"/>
  <c r="B51" i="7"/>
  <c r="D51" i="7"/>
  <c r="D52" i="7"/>
  <c r="B8" i="7"/>
  <c r="C8" i="7"/>
  <c r="P8" i="7" s="1"/>
  <c r="D8" i="7"/>
  <c r="H10" i="2"/>
  <c r="H12" i="2"/>
  <c r="J12" i="2"/>
  <c r="N12" i="2"/>
  <c r="P12" i="2"/>
  <c r="P14" i="2"/>
  <c r="F15" i="2"/>
  <c r="H15" i="2"/>
  <c r="J15" i="2"/>
  <c r="N15" i="2"/>
  <c r="P15" i="2"/>
  <c r="J17" i="2"/>
  <c r="F18" i="2"/>
  <c r="H18" i="2"/>
  <c r="J18" i="2"/>
  <c r="P19" i="2"/>
  <c r="J21" i="2"/>
  <c r="H22" i="2"/>
  <c r="J24" i="2"/>
  <c r="N24" i="2"/>
  <c r="P24" i="2"/>
  <c r="F27" i="2"/>
  <c r="H27" i="2"/>
  <c r="J27" i="2"/>
  <c r="N27" i="2"/>
  <c r="P27" i="2"/>
  <c r="F30" i="2"/>
  <c r="H30" i="2"/>
  <c r="J30" i="2"/>
  <c r="P31" i="2"/>
  <c r="J33" i="2"/>
  <c r="H34" i="2"/>
  <c r="J36" i="2"/>
  <c r="N36" i="2"/>
  <c r="P36" i="2"/>
  <c r="F39" i="2"/>
  <c r="H39" i="2"/>
  <c r="J39" i="2"/>
  <c r="N39" i="2"/>
  <c r="P39" i="2"/>
  <c r="F42" i="2"/>
  <c r="H42" i="2"/>
  <c r="J42" i="2"/>
  <c r="P43" i="2"/>
  <c r="J45" i="2"/>
  <c r="H46" i="2"/>
  <c r="J48" i="2"/>
  <c r="N48" i="2"/>
  <c r="P48" i="2"/>
  <c r="F51" i="2"/>
  <c r="H51" i="2"/>
  <c r="J51" i="2"/>
  <c r="N51" i="2"/>
  <c r="P51" i="2"/>
  <c r="F54" i="2"/>
  <c r="H54" i="2"/>
  <c r="J54" i="2"/>
  <c r="P55" i="2"/>
  <c r="J57" i="2"/>
  <c r="H58" i="2"/>
  <c r="J60" i="2"/>
  <c r="N60" i="2"/>
  <c r="P60" i="2"/>
  <c r="F63" i="2"/>
  <c r="H63" i="2"/>
  <c r="J63" i="2"/>
  <c r="N63" i="2"/>
  <c r="P63" i="2"/>
  <c r="F66" i="2"/>
  <c r="H66" i="2"/>
  <c r="J66" i="2"/>
  <c r="P67" i="2"/>
  <c r="J69" i="2"/>
  <c r="H70" i="2"/>
  <c r="J72" i="2"/>
  <c r="N72" i="2"/>
  <c r="P72" i="2"/>
  <c r="A9" i="2"/>
  <c r="B9" i="2"/>
  <c r="C9" i="2"/>
  <c r="D9" i="2"/>
  <c r="A10" i="2"/>
  <c r="B10" i="2"/>
  <c r="C10" i="2"/>
  <c r="J10" i="2" s="1"/>
  <c r="D10" i="2"/>
  <c r="A11" i="2"/>
  <c r="B11" i="2"/>
  <c r="C11" i="2"/>
  <c r="L11" i="2" s="1"/>
  <c r="D11" i="2"/>
  <c r="A12" i="2"/>
  <c r="B12" i="2"/>
  <c r="C12" i="2"/>
  <c r="L12" i="2" s="1"/>
  <c r="D12" i="2"/>
  <c r="A13" i="2"/>
  <c r="B13" i="2"/>
  <c r="C13" i="2"/>
  <c r="L13" i="2" s="1"/>
  <c r="D13" i="2"/>
  <c r="A14" i="2"/>
  <c r="B14" i="2"/>
  <c r="C14" i="2"/>
  <c r="L14" i="2" s="1"/>
  <c r="D14" i="2"/>
  <c r="A15" i="2"/>
  <c r="B15" i="2"/>
  <c r="C15" i="2"/>
  <c r="L15" i="2" s="1"/>
  <c r="D15" i="2"/>
  <c r="A16" i="2"/>
  <c r="B16" i="2"/>
  <c r="C16" i="2"/>
  <c r="F16" i="2" s="1"/>
  <c r="D16" i="2"/>
  <c r="A17" i="2"/>
  <c r="B17" i="2"/>
  <c r="C17" i="2"/>
  <c r="L17" i="2" s="1"/>
  <c r="D17" i="2"/>
  <c r="A18" i="2"/>
  <c r="B18" i="2"/>
  <c r="C18" i="2"/>
  <c r="L18" i="2" s="1"/>
  <c r="D18" i="2"/>
  <c r="A19" i="2"/>
  <c r="B19" i="2"/>
  <c r="C19" i="2"/>
  <c r="L19" i="2" s="1"/>
  <c r="D19" i="2"/>
  <c r="A20" i="2"/>
  <c r="B20" i="2"/>
  <c r="C20" i="2"/>
  <c r="L20" i="2" s="1"/>
  <c r="D20" i="2"/>
  <c r="A21" i="2"/>
  <c r="B21" i="2"/>
  <c r="C21" i="2"/>
  <c r="L21" i="2" s="1"/>
  <c r="D21" i="2"/>
  <c r="A22" i="2"/>
  <c r="B22" i="2"/>
  <c r="C22" i="2"/>
  <c r="L22" i="2" s="1"/>
  <c r="D22" i="2"/>
  <c r="A23" i="2"/>
  <c r="B23" i="2"/>
  <c r="C23" i="2"/>
  <c r="L23" i="2" s="1"/>
  <c r="D23" i="2"/>
  <c r="A24" i="2"/>
  <c r="B24" i="2"/>
  <c r="C24" i="2"/>
  <c r="L24" i="2" s="1"/>
  <c r="D24" i="2"/>
  <c r="A25" i="2"/>
  <c r="B25" i="2"/>
  <c r="C25" i="2"/>
  <c r="L25" i="2" s="1"/>
  <c r="D25" i="2"/>
  <c r="A26" i="2"/>
  <c r="B26" i="2"/>
  <c r="C26" i="2"/>
  <c r="L26" i="2" s="1"/>
  <c r="D26" i="2"/>
  <c r="A27" i="2"/>
  <c r="B27" i="2"/>
  <c r="C27" i="2"/>
  <c r="L27" i="2" s="1"/>
  <c r="D27" i="2"/>
  <c r="A28" i="2"/>
  <c r="B28" i="2"/>
  <c r="C28" i="2"/>
  <c r="L28" i="2" s="1"/>
  <c r="D28" i="2"/>
  <c r="A29" i="2"/>
  <c r="B29" i="2"/>
  <c r="C29" i="2"/>
  <c r="L29" i="2" s="1"/>
  <c r="D29" i="2"/>
  <c r="A30" i="2"/>
  <c r="B30" i="2"/>
  <c r="C30" i="2"/>
  <c r="L30" i="2" s="1"/>
  <c r="D30" i="2"/>
  <c r="A31" i="2"/>
  <c r="B31" i="2"/>
  <c r="C31" i="2"/>
  <c r="L31" i="2" s="1"/>
  <c r="D31" i="2"/>
  <c r="A32" i="2"/>
  <c r="B32" i="2"/>
  <c r="C32" i="2"/>
  <c r="L32" i="2" s="1"/>
  <c r="D32" i="2"/>
  <c r="A33" i="2"/>
  <c r="B33" i="2"/>
  <c r="C33" i="2"/>
  <c r="L33" i="2" s="1"/>
  <c r="D33" i="2"/>
  <c r="A34" i="2"/>
  <c r="B34" i="2"/>
  <c r="C34" i="2"/>
  <c r="L34" i="2" s="1"/>
  <c r="D34" i="2"/>
  <c r="A35" i="2"/>
  <c r="B35" i="2"/>
  <c r="C35" i="2"/>
  <c r="L35" i="2" s="1"/>
  <c r="D35" i="2"/>
  <c r="A36" i="2"/>
  <c r="B36" i="2"/>
  <c r="C36" i="2"/>
  <c r="L36" i="2" s="1"/>
  <c r="D36" i="2"/>
  <c r="A37" i="2"/>
  <c r="B37" i="2"/>
  <c r="C37" i="2"/>
  <c r="L37" i="2" s="1"/>
  <c r="D37" i="2"/>
  <c r="A38" i="2"/>
  <c r="B38" i="2"/>
  <c r="C38" i="2"/>
  <c r="L38" i="2" s="1"/>
  <c r="D38" i="2"/>
  <c r="A39" i="2"/>
  <c r="B39" i="2"/>
  <c r="C39" i="2"/>
  <c r="L39" i="2" s="1"/>
  <c r="D39" i="2"/>
  <c r="A40" i="2"/>
  <c r="B40" i="2"/>
  <c r="C40" i="2"/>
  <c r="L40" i="2" s="1"/>
  <c r="D40" i="2"/>
  <c r="A41" i="2"/>
  <c r="B41" i="2"/>
  <c r="C41" i="2"/>
  <c r="L41" i="2" s="1"/>
  <c r="D41" i="2"/>
  <c r="A42" i="2"/>
  <c r="B42" i="2"/>
  <c r="C42" i="2"/>
  <c r="L42" i="2" s="1"/>
  <c r="D42" i="2"/>
  <c r="A43" i="2"/>
  <c r="B43" i="2"/>
  <c r="C43" i="2"/>
  <c r="L43" i="2" s="1"/>
  <c r="D43" i="2"/>
  <c r="A44" i="2"/>
  <c r="B44" i="2"/>
  <c r="C44" i="2"/>
  <c r="L44" i="2" s="1"/>
  <c r="D44" i="2"/>
  <c r="A45" i="2"/>
  <c r="B45" i="2"/>
  <c r="C45" i="2"/>
  <c r="L45" i="2" s="1"/>
  <c r="D45" i="2"/>
  <c r="A46" i="2"/>
  <c r="B46" i="2"/>
  <c r="C46" i="2"/>
  <c r="L46" i="2" s="1"/>
  <c r="D46" i="2"/>
  <c r="A47" i="2"/>
  <c r="B47" i="2"/>
  <c r="C47" i="2"/>
  <c r="L47" i="2" s="1"/>
  <c r="D47" i="2"/>
  <c r="A48" i="2"/>
  <c r="B48" i="2"/>
  <c r="C48" i="2"/>
  <c r="L48" i="2" s="1"/>
  <c r="D48" i="2"/>
  <c r="A49" i="2"/>
  <c r="B49" i="2"/>
  <c r="C49" i="2"/>
  <c r="L49" i="2" s="1"/>
  <c r="D49" i="2"/>
  <c r="A50" i="2"/>
  <c r="B50" i="2"/>
  <c r="C50" i="2"/>
  <c r="L50" i="2" s="1"/>
  <c r="D50" i="2"/>
  <c r="A51" i="2"/>
  <c r="B51" i="2"/>
  <c r="C51" i="2"/>
  <c r="L51" i="2" s="1"/>
  <c r="D51" i="2"/>
  <c r="A52" i="2"/>
  <c r="B52" i="2"/>
  <c r="C52" i="2"/>
  <c r="L52" i="2" s="1"/>
  <c r="D52" i="2"/>
  <c r="A53" i="2"/>
  <c r="B53" i="2"/>
  <c r="C53" i="2"/>
  <c r="L53" i="2" s="1"/>
  <c r="D53" i="2"/>
  <c r="A54" i="2"/>
  <c r="B54" i="2"/>
  <c r="C54" i="2"/>
  <c r="L54" i="2" s="1"/>
  <c r="D54" i="2"/>
  <c r="A55" i="2"/>
  <c r="B55" i="2"/>
  <c r="C55" i="2"/>
  <c r="L55" i="2" s="1"/>
  <c r="D55" i="2"/>
  <c r="A56" i="2"/>
  <c r="B56" i="2"/>
  <c r="C56" i="2"/>
  <c r="L56" i="2" s="1"/>
  <c r="D56" i="2"/>
  <c r="A57" i="2"/>
  <c r="B57" i="2"/>
  <c r="C57" i="2"/>
  <c r="L57" i="2" s="1"/>
  <c r="D57" i="2"/>
  <c r="A58" i="2"/>
  <c r="B58" i="2"/>
  <c r="C58" i="2"/>
  <c r="L58" i="2" s="1"/>
  <c r="D58" i="2"/>
  <c r="A59" i="2"/>
  <c r="B59" i="2"/>
  <c r="C59" i="2"/>
  <c r="L59" i="2" s="1"/>
  <c r="D59" i="2"/>
  <c r="A60" i="2"/>
  <c r="B60" i="2"/>
  <c r="C60" i="2"/>
  <c r="L60" i="2" s="1"/>
  <c r="D60" i="2"/>
  <c r="A61" i="2"/>
  <c r="B61" i="2"/>
  <c r="C61" i="2"/>
  <c r="L61" i="2" s="1"/>
  <c r="D61" i="2"/>
  <c r="A62" i="2"/>
  <c r="B62" i="2"/>
  <c r="C62" i="2"/>
  <c r="L62" i="2" s="1"/>
  <c r="D62" i="2"/>
  <c r="A63" i="2"/>
  <c r="B63" i="2"/>
  <c r="C63" i="2"/>
  <c r="L63" i="2" s="1"/>
  <c r="D63" i="2"/>
  <c r="A64" i="2"/>
  <c r="B64" i="2"/>
  <c r="C64" i="2"/>
  <c r="L64" i="2" s="1"/>
  <c r="D64" i="2"/>
  <c r="A65" i="2"/>
  <c r="B65" i="2"/>
  <c r="C65" i="2"/>
  <c r="L65" i="2" s="1"/>
  <c r="D65" i="2"/>
  <c r="A66" i="2"/>
  <c r="B66" i="2"/>
  <c r="C66" i="2"/>
  <c r="L66" i="2" s="1"/>
  <c r="D66" i="2"/>
  <c r="A67" i="2"/>
  <c r="B67" i="2"/>
  <c r="C67" i="2"/>
  <c r="L67" i="2" s="1"/>
  <c r="D67" i="2"/>
  <c r="A68" i="2"/>
  <c r="B68" i="2"/>
  <c r="C68" i="2"/>
  <c r="L68" i="2" s="1"/>
  <c r="D68" i="2"/>
  <c r="A69" i="2"/>
  <c r="B69" i="2"/>
  <c r="C69" i="2"/>
  <c r="L69" i="2" s="1"/>
  <c r="D69" i="2"/>
  <c r="A70" i="2"/>
  <c r="B70" i="2"/>
  <c r="C70" i="2"/>
  <c r="L70" i="2" s="1"/>
  <c r="D70" i="2"/>
  <c r="A71" i="2"/>
  <c r="B71" i="2"/>
  <c r="C71" i="2"/>
  <c r="L71" i="2" s="1"/>
  <c r="D71" i="2"/>
  <c r="A72" i="2"/>
  <c r="B72" i="2"/>
  <c r="C72" i="2"/>
  <c r="L72" i="2" s="1"/>
  <c r="D72" i="2"/>
  <c r="A73" i="2"/>
  <c r="B73" i="2"/>
  <c r="C73" i="2"/>
  <c r="L73" i="2" s="1"/>
  <c r="D73" i="2"/>
  <c r="B74" i="2"/>
  <c r="D74" i="2"/>
  <c r="J65" i="2" l="1"/>
  <c r="J41" i="2"/>
  <c r="J29" i="2"/>
  <c r="N67" i="2"/>
  <c r="N55" i="2"/>
  <c r="P50" i="2"/>
  <c r="F46" i="2"/>
  <c r="H41" i="2"/>
  <c r="P38" i="2"/>
  <c r="F34" i="2"/>
  <c r="H29" i="2"/>
  <c r="P26" i="2"/>
  <c r="F22" i="2"/>
  <c r="H17" i="2"/>
  <c r="H72" i="2"/>
  <c r="P69" i="2"/>
  <c r="J67" i="2"/>
  <c r="F65" i="2"/>
  <c r="N62" i="2"/>
  <c r="H60" i="2"/>
  <c r="P57" i="2"/>
  <c r="J55" i="2"/>
  <c r="F53" i="2"/>
  <c r="N50" i="2"/>
  <c r="H48" i="2"/>
  <c r="P45" i="2"/>
  <c r="J43" i="2"/>
  <c r="F41" i="2"/>
  <c r="N38" i="2"/>
  <c r="H36" i="2"/>
  <c r="P33" i="2"/>
  <c r="J31" i="2"/>
  <c r="F29" i="2"/>
  <c r="N26" i="2"/>
  <c r="H24" i="2"/>
  <c r="P21" i="2"/>
  <c r="J19" i="2"/>
  <c r="F17" i="2"/>
  <c r="J14" i="2"/>
  <c r="F12" i="2"/>
  <c r="J53" i="2"/>
  <c r="F70" i="2"/>
  <c r="H65" i="2"/>
  <c r="P62" i="2"/>
  <c r="F58" i="2"/>
  <c r="H53" i="2"/>
  <c r="N43" i="2"/>
  <c r="N31" i="2"/>
  <c r="N19" i="2"/>
  <c r="N14" i="2"/>
  <c r="F10" i="2"/>
  <c r="F72" i="2"/>
  <c r="N69" i="2"/>
  <c r="H67" i="2"/>
  <c r="P64" i="2"/>
  <c r="J62" i="2"/>
  <c r="F60" i="2"/>
  <c r="N57" i="2"/>
  <c r="H55" i="2"/>
  <c r="P52" i="2"/>
  <c r="J50" i="2"/>
  <c r="F48" i="2"/>
  <c r="N45" i="2"/>
  <c r="H43" i="2"/>
  <c r="P40" i="2"/>
  <c r="J38" i="2"/>
  <c r="F36" i="2"/>
  <c r="N33" i="2"/>
  <c r="H31" i="2"/>
  <c r="P28" i="2"/>
  <c r="J26" i="2"/>
  <c r="F24" i="2"/>
  <c r="N21" i="2"/>
  <c r="H19" i="2"/>
  <c r="P16" i="2"/>
  <c r="H14" i="2"/>
  <c r="P11" i="2"/>
  <c r="P71" i="2"/>
  <c r="N64" i="2"/>
  <c r="P59" i="2"/>
  <c r="N52" i="2"/>
  <c r="H38" i="2"/>
  <c r="F31" i="2"/>
  <c r="N28" i="2"/>
  <c r="H26" i="2"/>
  <c r="P23" i="2"/>
  <c r="F19" i="2"/>
  <c r="N16" i="2"/>
  <c r="N11" i="2"/>
  <c r="F67" i="2"/>
  <c r="H62" i="2"/>
  <c r="F55" i="2"/>
  <c r="P47" i="2"/>
  <c r="F43" i="2"/>
  <c r="P35" i="2"/>
  <c r="N71" i="2"/>
  <c r="H69" i="2"/>
  <c r="P66" i="2"/>
  <c r="J64" i="2"/>
  <c r="F62" i="2"/>
  <c r="N59" i="2"/>
  <c r="H57" i="2"/>
  <c r="P54" i="2"/>
  <c r="J52" i="2"/>
  <c r="F50" i="2"/>
  <c r="N47" i="2"/>
  <c r="H45" i="2"/>
  <c r="P42" i="2"/>
  <c r="J40" i="2"/>
  <c r="F38" i="2"/>
  <c r="N35" i="2"/>
  <c r="H33" i="2"/>
  <c r="P30" i="2"/>
  <c r="J28" i="2"/>
  <c r="F26" i="2"/>
  <c r="N23" i="2"/>
  <c r="H21" i="2"/>
  <c r="P18" i="2"/>
  <c r="H16" i="2"/>
  <c r="P13" i="2"/>
  <c r="J11" i="2"/>
  <c r="H50" i="2"/>
  <c r="N40" i="2"/>
  <c r="F14" i="2"/>
  <c r="P73" i="2"/>
  <c r="J71" i="2"/>
  <c r="F69" i="2"/>
  <c r="N66" i="2"/>
  <c r="H64" i="2"/>
  <c r="P61" i="2"/>
  <c r="J59" i="2"/>
  <c r="F57" i="2"/>
  <c r="N54" i="2"/>
  <c r="H52" i="2"/>
  <c r="P49" i="2"/>
  <c r="J47" i="2"/>
  <c r="F45" i="2"/>
  <c r="N42" i="2"/>
  <c r="H40" i="2"/>
  <c r="P37" i="2"/>
  <c r="J35" i="2"/>
  <c r="F33" i="2"/>
  <c r="N30" i="2"/>
  <c r="H28" i="2"/>
  <c r="P25" i="2"/>
  <c r="J23" i="2"/>
  <c r="F21" i="2"/>
  <c r="N18" i="2"/>
  <c r="N13" i="2"/>
  <c r="H11" i="2"/>
  <c r="N73" i="2"/>
  <c r="H71" i="2"/>
  <c r="P68" i="2"/>
  <c r="F64" i="2"/>
  <c r="N61" i="2"/>
  <c r="H59" i="2"/>
  <c r="P56" i="2"/>
  <c r="F52" i="2"/>
  <c r="N49" i="2"/>
  <c r="H47" i="2"/>
  <c r="P44" i="2"/>
  <c r="F40" i="2"/>
  <c r="N37" i="2"/>
  <c r="H35" i="2"/>
  <c r="P32" i="2"/>
  <c r="F28" i="2"/>
  <c r="N25" i="2"/>
  <c r="H23" i="2"/>
  <c r="P20" i="2"/>
  <c r="J13" i="2"/>
  <c r="F11" i="2"/>
  <c r="J73" i="2"/>
  <c r="F71" i="2"/>
  <c r="N68" i="2"/>
  <c r="J61" i="2"/>
  <c r="F59" i="2"/>
  <c r="N56" i="2"/>
  <c r="J49" i="2"/>
  <c r="F47" i="2"/>
  <c r="N44" i="2"/>
  <c r="J37" i="2"/>
  <c r="F35" i="2"/>
  <c r="N32" i="2"/>
  <c r="J25" i="2"/>
  <c r="F23" i="2"/>
  <c r="N20" i="2"/>
  <c r="H13" i="2"/>
  <c r="P10" i="2"/>
  <c r="H73" i="2"/>
  <c r="P70" i="2"/>
  <c r="J68" i="2"/>
  <c r="H61" i="2"/>
  <c r="P58" i="2"/>
  <c r="J56" i="2"/>
  <c r="H49" i="2"/>
  <c r="P46" i="2"/>
  <c r="J44" i="2"/>
  <c r="H37" i="2"/>
  <c r="P34" i="2"/>
  <c r="J32" i="2"/>
  <c r="H25" i="2"/>
  <c r="P22" i="2"/>
  <c r="J20" i="2"/>
  <c r="F13" i="2"/>
  <c r="N10" i="2"/>
  <c r="F73" i="2"/>
  <c r="N70" i="2"/>
  <c r="H68" i="2"/>
  <c r="P65" i="2"/>
  <c r="F61" i="2"/>
  <c r="N58" i="2"/>
  <c r="H56" i="2"/>
  <c r="P53" i="2"/>
  <c r="F49" i="2"/>
  <c r="N46" i="2"/>
  <c r="H44" i="2"/>
  <c r="P41" i="2"/>
  <c r="F37" i="2"/>
  <c r="N34" i="2"/>
  <c r="H32" i="2"/>
  <c r="P29" i="2"/>
  <c r="F25" i="2"/>
  <c r="N22" i="2"/>
  <c r="H20" i="2"/>
  <c r="P17" i="2"/>
  <c r="L10" i="2"/>
  <c r="L16" i="2"/>
  <c r="J16" i="2"/>
  <c r="J70" i="2"/>
  <c r="F68" i="2"/>
  <c r="N65" i="2"/>
  <c r="J58" i="2"/>
  <c r="F56" i="2"/>
  <c r="N53" i="2"/>
  <c r="J46" i="2"/>
  <c r="F44" i="2"/>
  <c r="N41" i="2"/>
  <c r="J34" i="2"/>
  <c r="F32" i="2"/>
  <c r="N29" i="2"/>
  <c r="J22" i="2"/>
  <c r="F20" i="2"/>
  <c r="N17" i="2"/>
  <c r="F46" i="7"/>
  <c r="J46" i="7"/>
  <c r="L46" i="7"/>
  <c r="H46" i="7"/>
  <c r="N46" i="7"/>
  <c r="F40" i="7"/>
  <c r="H40" i="7"/>
  <c r="N40" i="7"/>
  <c r="J40" i="7"/>
  <c r="L40" i="7"/>
  <c r="L31" i="7"/>
  <c r="N31" i="7"/>
  <c r="H31" i="7"/>
  <c r="F31" i="7"/>
  <c r="J31" i="7"/>
  <c r="F25" i="7"/>
  <c r="N25" i="7"/>
  <c r="J25" i="7"/>
  <c r="L25" i="7"/>
  <c r="H25" i="7"/>
  <c r="H19" i="7"/>
  <c r="L19" i="7"/>
  <c r="F19" i="7"/>
  <c r="J19" i="7"/>
  <c r="N19" i="7"/>
  <c r="N13" i="7"/>
  <c r="J13" i="7"/>
  <c r="P13" i="7"/>
  <c r="P12" i="7"/>
  <c r="J45" i="7"/>
  <c r="L45" i="7"/>
  <c r="H45" i="7"/>
  <c r="N45" i="7"/>
  <c r="F45" i="7"/>
  <c r="H42" i="7"/>
  <c r="N42" i="7"/>
  <c r="L42" i="7"/>
  <c r="J42" i="7"/>
  <c r="F42" i="7"/>
  <c r="H39" i="7"/>
  <c r="F39" i="7"/>
  <c r="N39" i="7"/>
  <c r="J39" i="7"/>
  <c r="L39" i="7"/>
  <c r="N36" i="7"/>
  <c r="F36" i="7"/>
  <c r="H36" i="7"/>
  <c r="L36" i="7"/>
  <c r="J36" i="7"/>
  <c r="J33" i="7"/>
  <c r="F33" i="7"/>
  <c r="N33" i="7"/>
  <c r="L33" i="7"/>
  <c r="H33" i="7"/>
  <c r="H27" i="7"/>
  <c r="F27" i="7"/>
  <c r="J27" i="7"/>
  <c r="L27" i="7"/>
  <c r="N27" i="7"/>
  <c r="N18" i="7"/>
  <c r="J18" i="7"/>
  <c r="N15" i="7"/>
  <c r="J15" i="7"/>
  <c r="P45" i="7"/>
  <c r="P33" i="7"/>
  <c r="L30" i="7"/>
  <c r="N30" i="7"/>
  <c r="J30" i="7"/>
  <c r="F30" i="7"/>
  <c r="H30" i="7"/>
  <c r="N24" i="7"/>
  <c r="J24" i="7"/>
  <c r="F24" i="7"/>
  <c r="L24" i="7"/>
  <c r="H24" i="7"/>
  <c r="P31" i="7"/>
  <c r="P19" i="7"/>
  <c r="P42" i="7"/>
  <c r="P30" i="7"/>
  <c r="P18" i="7"/>
  <c r="J21" i="7"/>
  <c r="L21" i="7"/>
  <c r="H21" i="7"/>
  <c r="N21" i="7"/>
  <c r="F21" i="7"/>
  <c r="N50" i="7"/>
  <c r="F50" i="7"/>
  <c r="L50" i="7"/>
  <c r="J50" i="7"/>
  <c r="J47" i="7"/>
  <c r="F47" i="7"/>
  <c r="H47" i="7"/>
  <c r="N47" i="7"/>
  <c r="L47" i="7"/>
  <c r="N44" i="7"/>
  <c r="F44" i="7"/>
  <c r="H44" i="7"/>
  <c r="J44" i="7"/>
  <c r="L44" i="7"/>
  <c r="L41" i="7"/>
  <c r="N41" i="7"/>
  <c r="J41" i="7"/>
  <c r="F41" i="7"/>
  <c r="H41" i="7"/>
  <c r="J35" i="7"/>
  <c r="H35" i="7"/>
  <c r="L35" i="7"/>
  <c r="N35" i="7"/>
  <c r="F35" i="7"/>
  <c r="L32" i="7"/>
  <c r="H32" i="7"/>
  <c r="N32" i="7"/>
  <c r="F32" i="7"/>
  <c r="J32" i="7"/>
  <c r="L29" i="7"/>
  <c r="H29" i="7"/>
  <c r="J29" i="7"/>
  <c r="F29" i="7"/>
  <c r="N29" i="7"/>
  <c r="N26" i="7"/>
  <c r="F26" i="7"/>
  <c r="J26" i="7"/>
  <c r="L26" i="7"/>
  <c r="H26" i="7"/>
  <c r="J23" i="7"/>
  <c r="F23" i="7"/>
  <c r="H23" i="7"/>
  <c r="N23" i="7"/>
  <c r="L23" i="7"/>
  <c r="L20" i="7"/>
  <c r="N20" i="7"/>
  <c r="F20" i="7"/>
  <c r="J20" i="7"/>
  <c r="H20" i="7"/>
  <c r="N17" i="7"/>
  <c r="J17" i="7"/>
  <c r="N14" i="7"/>
  <c r="J14" i="7"/>
  <c r="P41" i="7"/>
  <c r="P29" i="7"/>
  <c r="P17" i="7"/>
  <c r="N48" i="7"/>
  <c r="J48" i="7"/>
  <c r="F48" i="7"/>
  <c r="L48" i="7"/>
  <c r="H48" i="7"/>
  <c r="N38" i="7"/>
  <c r="J38" i="7"/>
  <c r="F38" i="7"/>
  <c r="L38" i="7"/>
  <c r="H38" i="7"/>
  <c r="P40" i="7"/>
  <c r="P39" i="7"/>
  <c r="P27" i="7"/>
  <c r="P15" i="7"/>
  <c r="J37" i="7"/>
  <c r="N37" i="7"/>
  <c r="L37" i="7"/>
  <c r="H37" i="7"/>
  <c r="F37" i="7"/>
  <c r="J49" i="7"/>
  <c r="N49" i="7"/>
  <c r="F49" i="7"/>
  <c r="L49" i="7"/>
  <c r="H49" i="7"/>
  <c r="L43" i="7"/>
  <c r="N43" i="7"/>
  <c r="F43" i="7"/>
  <c r="J43" i="7"/>
  <c r="H43" i="7"/>
  <c r="L34" i="7"/>
  <c r="H34" i="7"/>
  <c r="J34" i="7"/>
  <c r="F34" i="7"/>
  <c r="N34" i="7"/>
  <c r="F28" i="7"/>
  <c r="H28" i="7"/>
  <c r="N28" i="7"/>
  <c r="J28" i="7"/>
  <c r="L28" i="7"/>
  <c r="J22" i="7"/>
  <c r="N22" i="7"/>
  <c r="L22" i="7"/>
  <c r="F22" i="7"/>
  <c r="H22" i="7"/>
  <c r="J16" i="7"/>
  <c r="N16" i="7"/>
  <c r="P25" i="7"/>
  <c r="P24" i="7"/>
  <c r="P51" i="7" l="1"/>
  <c r="A17" i="1"/>
  <c r="F9" i="7" l="1"/>
  <c r="L10" i="7"/>
  <c r="F11" i="7"/>
  <c r="H12" i="7"/>
  <c r="F13" i="7"/>
  <c r="L14" i="7"/>
  <c r="H16" i="7"/>
  <c r="F17" i="7"/>
  <c r="L18" i="7"/>
  <c r="J9" i="2"/>
  <c r="A5" i="7"/>
  <c r="A4" i="7"/>
  <c r="A8" i="7"/>
  <c r="A8" i="2"/>
  <c r="L12" i="7" l="1"/>
  <c r="F12" i="7"/>
  <c r="J10" i="7"/>
  <c r="L15" i="7"/>
  <c r="H15" i="7"/>
  <c r="L16" i="7"/>
  <c r="F15" i="7"/>
  <c r="H18" i="7"/>
  <c r="H14" i="7"/>
  <c r="F16" i="7"/>
  <c r="L11" i="7"/>
  <c r="N10" i="7"/>
  <c r="H11" i="7"/>
  <c r="H10" i="7"/>
  <c r="N12" i="7"/>
  <c r="N11" i="7"/>
  <c r="F10" i="7"/>
  <c r="L17" i="7"/>
  <c r="L13" i="7"/>
  <c r="L9" i="7"/>
  <c r="J9" i="7"/>
  <c r="F18" i="7"/>
  <c r="H17" i="7"/>
  <c r="F14" i="7"/>
  <c r="H13" i="7"/>
  <c r="H9" i="7"/>
  <c r="N9" i="7"/>
  <c r="P9" i="2"/>
  <c r="N9" i="2"/>
  <c r="F9" i="2"/>
  <c r="L9" i="2"/>
  <c r="H9" i="2"/>
  <c r="O1" i="7" l="1"/>
  <c r="M1" i="7"/>
  <c r="K1" i="7"/>
  <c r="G1" i="7"/>
  <c r="E1" i="7"/>
  <c r="A6" i="7"/>
  <c r="A3" i="7"/>
  <c r="A2" i="7"/>
  <c r="A1" i="7"/>
  <c r="B8" i="2"/>
  <c r="D8" i="2"/>
  <c r="C8" i="2"/>
  <c r="J8" i="7" l="1"/>
  <c r="F8" i="7"/>
  <c r="L8" i="7"/>
  <c r="H8" i="7"/>
  <c r="N8" i="7"/>
  <c r="P8" i="2"/>
  <c r="P74" i="2" s="1"/>
  <c r="P52" i="7" s="1"/>
  <c r="B13" i="5" s="1"/>
  <c r="N8" i="2"/>
  <c r="N74" i="2" s="1"/>
  <c r="F8" i="2"/>
  <c r="F74" i="2" s="1"/>
  <c r="H8" i="2"/>
  <c r="H74" i="2" s="1"/>
  <c r="L8" i="2"/>
  <c r="L74" i="2" s="1"/>
  <c r="J8" i="2"/>
  <c r="J74" i="2" s="1"/>
  <c r="A5" i="5"/>
  <c r="A4" i="5"/>
  <c r="A3" i="5"/>
  <c r="A2" i="5"/>
  <c r="A1" i="5"/>
  <c r="A3" i="2"/>
  <c r="A2" i="2"/>
  <c r="A13" i="5" l="1"/>
  <c r="A8" i="5"/>
  <c r="A10" i="5"/>
  <c r="A12" i="5"/>
  <c r="A9" i="5"/>
  <c r="A11" i="5"/>
  <c r="A6" i="5" l="1"/>
  <c r="A6" i="2"/>
  <c r="F51" i="7" l="1"/>
  <c r="F52" i="7" s="1"/>
  <c r="B11" i="5" s="1"/>
  <c r="L51" i="7"/>
  <c r="L52" i="7" s="1"/>
  <c r="B10" i="5" s="1"/>
  <c r="H51" i="7"/>
  <c r="H52" i="7" s="1"/>
  <c r="J51" i="7"/>
  <c r="J52" i="7" s="1"/>
  <c r="B12" i="5" s="1"/>
  <c r="N51" i="7"/>
  <c r="N52" i="7" s="1"/>
  <c r="B8" i="5" s="1"/>
</calcChain>
</file>

<file path=xl/sharedStrings.xml><?xml version="1.0" encoding="utf-8"?>
<sst xmlns="http://schemas.openxmlformats.org/spreadsheetml/2006/main" count="420" uniqueCount="182">
  <si>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</si>
  <si>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</si>
  <si>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</si>
  <si>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</si>
  <si>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</si>
  <si>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</si>
  <si>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</si>
  <si>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</si>
  <si>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</si>
  <si>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</si>
  <si>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</si>
  <si>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</si>
  <si>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</si>
  <si>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</si>
  <si>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</si>
  <si>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</si>
  <si>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</si>
  <si>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</si>
  <si>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</si>
  <si>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</si>
  <si>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</si>
  <si>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</si>
  <si>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</si>
  <si>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</si>
  <si>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</si>
  <si>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</si>
  <si>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</si>
  <si>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</si>
  <si>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</si>
  <si>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</si>
  <si>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Bidder</t>
  </si>
  <si>
    <t>Engineer's Estimate</t>
  </si>
  <si>
    <t>0011</t>
  </si>
  <si>
    <t>Total Amount Bid Schedule B</t>
  </si>
  <si>
    <t>Total Amount Bid Schedule A</t>
  </si>
  <si>
    <t>Sweeper
(Section 012200)</t>
  </si>
  <si>
    <t>Security Control Monitoring
(Section 012200)</t>
  </si>
  <si>
    <t>Traffic Control
(Section 012200)</t>
  </si>
  <si>
    <t>Escort
(Section 012200)</t>
  </si>
  <si>
    <t>Jet Blast Control Material
(Section 015713)</t>
  </si>
  <si>
    <t>Inlet Protection
(Section 015713)</t>
  </si>
  <si>
    <t>Ditch Protection/Check Dams
(Section 015713)</t>
  </si>
  <si>
    <t>Installation and Removal of Silt Fence
(Item C-102)</t>
  </si>
  <si>
    <t>Mobilization
(Item C-105)</t>
  </si>
  <si>
    <t>Asphalt Pavement Removal - 4-Inch Depth
(Item P-101)</t>
  </si>
  <si>
    <t>Asphalt Pavement Removal - 6-Inch Depth
(Item P-101)</t>
  </si>
  <si>
    <t>0012</t>
  </si>
  <si>
    <t>Asphalt Pavement Removal - 13.5-Inch Depth
(Item P-101)</t>
  </si>
  <si>
    <t>0013</t>
  </si>
  <si>
    <t>PCC Pavement Removal - 6-Inch Depth
(Item P-101)</t>
  </si>
  <si>
    <t>0014</t>
  </si>
  <si>
    <t>Cold Milling - 3-Inch Depth
(Item P-101)</t>
  </si>
  <si>
    <t>0015</t>
  </si>
  <si>
    <t>Cold Milling - 4-Inch Depth
(Item P-101)</t>
  </si>
  <si>
    <t>0016</t>
  </si>
  <si>
    <t>Cold Milling - 12-Inch Depth
(Item P-101)</t>
  </si>
  <si>
    <t>0017</t>
  </si>
  <si>
    <t>Removal of Pipe and Other Buried Structures
(Item P-101)</t>
  </si>
  <si>
    <t>0018</t>
  </si>
  <si>
    <t>Unclassified Excavation
(Item P-152)</t>
  </si>
  <si>
    <t>0019</t>
  </si>
  <si>
    <t>Unsuitable Excavation
(Item P-152)</t>
  </si>
  <si>
    <t>0020</t>
  </si>
  <si>
    <t>Controlled Low-Strength Material
(Item P-153)</t>
  </si>
  <si>
    <t>0021</t>
  </si>
  <si>
    <t>Subbase Course
(Item P-154)</t>
  </si>
  <si>
    <t>0022</t>
  </si>
  <si>
    <t>Separation Geotextile
(Item P-154)</t>
  </si>
  <si>
    <t>0023</t>
  </si>
  <si>
    <t>Crushed Aggregate Base Course
(Item P-209)</t>
  </si>
  <si>
    <t>0024</t>
  </si>
  <si>
    <t>Asphalt Surface Course
(Item P-401)</t>
  </si>
  <si>
    <t>0025</t>
  </si>
  <si>
    <t>Asphalt Mixture Surface and Base
(Item P-403)</t>
  </si>
  <si>
    <t>0026</t>
  </si>
  <si>
    <t>Emulsified Asphalt Prime Coat
(Item P-602)</t>
  </si>
  <si>
    <t>0027</t>
  </si>
  <si>
    <t>Emulsified Asphalt Tack Coat
(Item P-603)</t>
  </si>
  <si>
    <t>0028</t>
  </si>
  <si>
    <t>Joint Sealing Filler
(Item P-605)</t>
  </si>
  <si>
    <t>0029</t>
  </si>
  <si>
    <t>Adhesive Compound
(Item P-606)</t>
  </si>
  <si>
    <t>0030</t>
  </si>
  <si>
    <t>Asphalt Surface Treatment
(Item P-608)</t>
  </si>
  <si>
    <t>0031</t>
  </si>
  <si>
    <t>Concrete
(Item P-610)</t>
  </si>
  <si>
    <t>0032</t>
  </si>
  <si>
    <t>Surface Preparation - New Pavement Surfaces
(Item P-620)</t>
  </si>
  <si>
    <t>0033</t>
  </si>
  <si>
    <t>Marking
(Item P-620)</t>
  </si>
  <si>
    <t>0034</t>
  </si>
  <si>
    <t>Reflective Media
(Item P-620)</t>
  </si>
  <si>
    <t>0035</t>
  </si>
  <si>
    <t>Temporary Runway and Taxiway Marking
(Item P-620)</t>
  </si>
  <si>
    <t>0036</t>
  </si>
  <si>
    <t>8-Inch STS 
(Item D-701)</t>
  </si>
  <si>
    <t>0037</t>
  </si>
  <si>
    <t>12-Inch STS 
(Item D-701)</t>
  </si>
  <si>
    <t>0038</t>
  </si>
  <si>
    <t>15-Inch STS 
(Item D-701)</t>
  </si>
  <si>
    <t>0039</t>
  </si>
  <si>
    <t>18-Inch STS 
(Item D-701)</t>
  </si>
  <si>
    <t>0040</t>
  </si>
  <si>
    <t>24-Inch STS 
(Item D-701)</t>
  </si>
  <si>
    <t>0041</t>
  </si>
  <si>
    <t>30-Inch STS 
(Item D-701)</t>
  </si>
  <si>
    <t>0042</t>
  </si>
  <si>
    <t>48-Inch Manhole
(Item D-751)</t>
  </si>
  <si>
    <t>0043</t>
  </si>
  <si>
    <t>60-Inch Manhole
(Item D-751)</t>
  </si>
  <si>
    <t>0044</t>
  </si>
  <si>
    <t>Catch Basins
(Item D-751)</t>
  </si>
  <si>
    <t>0045</t>
  </si>
  <si>
    <t>Seeding
(Item T-901)</t>
  </si>
  <si>
    <t>0046</t>
  </si>
  <si>
    <t>Topsoil (Obtained on Site or Removed from Stockpile)
(Item T-905)</t>
  </si>
  <si>
    <t>0047</t>
  </si>
  <si>
    <t>Connection to Existing Storm Drainage System
(Section 312300)</t>
  </si>
  <si>
    <t>0048</t>
  </si>
  <si>
    <t>Existing Manhole/Inlet Adjustment to Grade
(Section 312300)</t>
  </si>
  <si>
    <t>0049</t>
  </si>
  <si>
    <t>Existing Electrical Vault Adjustment to Grade 
(Section 312300)</t>
  </si>
  <si>
    <t>0050</t>
  </si>
  <si>
    <t>Replace Existing Manhole Lid with Open Grated Lid                                        (Section 312300)</t>
  </si>
  <si>
    <t>0051</t>
  </si>
  <si>
    <t>No. 4 GND Conductor
(Item L-108)</t>
  </si>
  <si>
    <t>0052</t>
  </si>
  <si>
    <t>No. 2/0 AWG, 600-Volt Conductor
(Item L-108)</t>
  </si>
  <si>
    <t>0053</t>
  </si>
  <si>
    <t>No. 8 AWG, 5 kV, L-824, Type C Cable Installed in Trench, Duct Bank or Conduit
(Item L-108)</t>
  </si>
  <si>
    <t>0054</t>
  </si>
  <si>
    <t xml:space="preserve">No. 6 AWG, Solid, Bare Counterpoise Wire
(Item L-108) </t>
  </si>
  <si>
    <t>0055</t>
  </si>
  <si>
    <t xml:space="preserve">Counterpoise Ground Rod, 10-Foot Long
(Item L-108) </t>
  </si>
  <si>
    <t>0056</t>
  </si>
  <si>
    <t xml:space="preserve">2-Inch PVC in New Shoulder and Direct Buried
(Item L-110) </t>
  </si>
  <si>
    <t>0057</t>
  </si>
  <si>
    <t xml:space="preserve">2-Inch PVC in CLSM
(Item L-110) </t>
  </si>
  <si>
    <t>0058</t>
  </si>
  <si>
    <t xml:space="preserve">1-Inch GRSC
(Item L-110) </t>
  </si>
  <si>
    <t>0059</t>
  </si>
  <si>
    <t>General Electrical Removal
(Section 260500)</t>
  </si>
  <si>
    <t>0060</t>
  </si>
  <si>
    <t>Temporary Circuit Connection
(Section 260500)</t>
  </si>
  <si>
    <t>0061</t>
  </si>
  <si>
    <t>Reinstall Elevated LED Taxiway Edge Light on PF Base Can, PF Extension, PF Flange Ring, and CF Transformer (Section 344300)</t>
  </si>
  <si>
    <t>0062</t>
  </si>
  <si>
    <t>Reinstall LED Taxiway Centerline Light on PF Base Can, PF Extension, PF Flange Ring, and CF Transformer (Section 344300)</t>
  </si>
  <si>
    <t>0063</t>
  </si>
  <si>
    <t>Install PF In-Pavement Taxiway Edge Light on PF Base Can, PF Extension, PF Flange Ring, and CF Transformer (Section 344300)</t>
  </si>
  <si>
    <t>0064</t>
  </si>
  <si>
    <t>Install PF Cover Plate on Existing Light Base
(Section 344300)</t>
  </si>
  <si>
    <t>0065</t>
  </si>
  <si>
    <t>Adjust Existing Taxiway Centerline Light
(Section 344301)</t>
  </si>
  <si>
    <t>0066</t>
  </si>
  <si>
    <t>Sign B6-11
(Section 344302)</t>
  </si>
  <si>
    <t>PCC Pavement Removal - 15-Inch Depth
(Item P-101)</t>
  </si>
  <si>
    <t>PCC Pavement Removal - 18-Inch Depth
(Item P-101)</t>
  </si>
  <si>
    <t>Asphalt Pavement Removal - 11-Inch Depth
(Item P-101)</t>
  </si>
  <si>
    <t>Asphalt Pavement Removal - 20-Inch Depth
(Item P-101)</t>
  </si>
  <si>
    <t>11-Inch Thick Concrete Pavement
(Item P-501)</t>
  </si>
  <si>
    <t>15-Inch Thick Concrete Pavement
(Item P-501)</t>
  </si>
  <si>
    <t>18-Inch Thick Concrete Pavement
(Item P-501)</t>
  </si>
  <si>
    <t>Compression Joint Seals for Concrete Pavements
(Item P-604)</t>
  </si>
  <si>
    <t>Surface Preparation - Remove Existing Markings
(Item P-620)</t>
  </si>
  <si>
    <t>36-Inch STS 
(Item D-701)</t>
  </si>
  <si>
    <t>72-Inch Manhole
(Item D-751)</t>
  </si>
  <si>
    <t>Remove Existing Manhole Flat Top and Upgrade to Aircraft Rated Structure (Section 312300)</t>
  </si>
  <si>
    <t>Asphalt Pavement Removal - 16-Inch Depth
(Item P-101)</t>
  </si>
  <si>
    <t>Total Amount Bid Schedules A and B
(Basis of Award)</t>
  </si>
  <si>
    <t>Total Amount Bid Schedules A 
and B (Basis of Award)</t>
  </si>
  <si>
    <t>PORTLAND INTERNATIONAL AIRPORT</t>
  </si>
  <si>
    <t>SOUTHEAST TAXIWAY T REHABILITATION</t>
  </si>
  <si>
    <t>EAN 2018D027</t>
  </si>
  <si>
    <t>Solicitation No. 2019-8247</t>
  </si>
  <si>
    <t>Kerr Contractors 
Oregon LLC</t>
  </si>
  <si>
    <t>Kodiak Pacific Construction</t>
  </si>
  <si>
    <t>Nutter Corporation</t>
  </si>
  <si>
    <t>Tapani, Inc.</t>
  </si>
  <si>
    <t>K&amp;E Excavating, Inc.</t>
  </si>
  <si>
    <t>$9,093,272,70*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</si>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</sst>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5" xfId="0" applyNumberFormat="1" applyFont="1" applyBorder="1" applyAlignment="1">
      <alignment horizontal="center" vertical="top"/>
    </xf>
    <xf numFmtId="0" fontId="3" fillId="0" borderId="5" xfId="0" applyNumberFormat="1" applyFont="1" applyBorder="1"/>
    <xf numFmtId="165" fontId="3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165" fontId="7" fillId="0" borderId="5" xfId="0" applyNumberFormat="1" applyFont="1" applyBorder="1" applyAlignment="1">
      <alignment horizontal="left" vertical="top" wrapText="1"/>
    </xf>
    <xf numFmtId="165" fontId="3" fillId="0" borderId="5" xfId="0" applyNumberFormat="1" applyFont="1" applyBorder="1" applyAlignment="1">
      <alignment horizontal="left" wrapText="1"/>
    </xf>
    <xf numFmtId="4" fontId="7" fillId="0" borderId="5" xfId="0" applyNumberFormat="1" applyFont="1" applyBorder="1" applyAlignment="1">
      <alignment horizontal="center" vertical="top"/>
    </xf>
    <xf numFmtId="167" fontId="7" fillId="0" borderId="5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F86"/>
  <sheetViews>
    <sheetView topLeftCell="A14" zoomScaleNormal="100" zoomScaleSheetLayoutView="100" workbookViewId="0">
      <selection activeCell="B23" sqref="B23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2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3"/>
      <c r="B14" s="63"/>
      <c r="C14" s="63"/>
      <c r="D14" s="63"/>
      <c r="E14" s="64"/>
      <c r="F14" s="64"/>
    </row>
    <row r="15" spans="1:6" x14ac:dyDescent="0.25">
      <c r="A15" s="67" t="s">
        <v>171</v>
      </c>
      <c r="B15" s="67"/>
      <c r="C15" s="67"/>
      <c r="D15" s="67"/>
      <c r="E15" s="65"/>
      <c r="F15" s="65"/>
    </row>
    <row r="16" spans="1:6" x14ac:dyDescent="0.25">
      <c r="A16" s="67" t="s">
        <v>172</v>
      </c>
      <c r="B16" s="67"/>
      <c r="C16" s="67"/>
      <c r="D16" s="67"/>
      <c r="E16" s="65"/>
      <c r="F16" s="65"/>
    </row>
    <row r="17" spans="1:6" x14ac:dyDescent="0.25">
      <c r="A17" s="68"/>
      <c r="B17" s="68"/>
      <c r="C17" s="68"/>
      <c r="D17" s="68"/>
      <c r="E17" s="65"/>
      <c r="F17" s="65"/>
    </row>
    <row r="18" spans="1:6" x14ac:dyDescent="0.25">
      <c r="A18" s="69"/>
      <c r="B18" s="69"/>
      <c r="C18" s="69"/>
      <c r="D18" s="69"/>
      <c r="E18" s="66"/>
      <c r="F18" s="66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3" t="s">
        <v>17</v>
      </c>
      <c r="F19" s="33" t="s">
        <v>18</v>
      </c>
    </row>
    <row r="20" spans="1:6" ht="40.5" customHeight="1" x14ac:dyDescent="0.25">
      <c r="A20" s="5" t="s">
        <v>19</v>
      </c>
      <c r="B20" s="53" t="s">
        <v>35</v>
      </c>
      <c r="C20" s="54">
        <v>1</v>
      </c>
      <c r="D20" s="6" t="s">
        <v>8</v>
      </c>
      <c r="E20" s="34"/>
      <c r="F20" s="34"/>
    </row>
    <row r="21" spans="1:6" ht="40.5" customHeight="1" x14ac:dyDescent="0.25">
      <c r="A21" s="5" t="s">
        <v>20</v>
      </c>
      <c r="B21" s="55" t="s">
        <v>36</v>
      </c>
      <c r="C21" s="54">
        <v>1</v>
      </c>
      <c r="D21" s="6" t="s">
        <v>8</v>
      </c>
      <c r="E21" s="34"/>
      <c r="F21" s="34"/>
    </row>
    <row r="22" spans="1:6" ht="40.5" customHeight="1" x14ac:dyDescent="0.25">
      <c r="A22" s="5" t="s">
        <v>21</v>
      </c>
      <c r="B22" s="55" t="s">
        <v>37</v>
      </c>
      <c r="C22" s="54">
        <v>1</v>
      </c>
      <c r="D22" s="6" t="s">
        <v>8</v>
      </c>
      <c r="E22" s="34"/>
      <c r="F22" s="34"/>
    </row>
    <row r="23" spans="1:6" ht="40.5" customHeight="1" x14ac:dyDescent="0.25">
      <c r="A23" s="5" t="s">
        <v>22</v>
      </c>
      <c r="B23" s="55" t="s">
        <v>38</v>
      </c>
      <c r="C23" s="54">
        <v>1</v>
      </c>
      <c r="D23" s="6" t="s">
        <v>8</v>
      </c>
      <c r="E23" s="34"/>
      <c r="F23" s="34"/>
    </row>
    <row r="24" spans="1:6" ht="40.5" customHeight="1" x14ac:dyDescent="0.25">
      <c r="A24" s="5" t="s">
        <v>23</v>
      </c>
      <c r="B24" s="55" t="s">
        <v>39</v>
      </c>
      <c r="C24" s="54">
        <v>3</v>
      </c>
      <c r="D24" s="6" t="s">
        <v>0</v>
      </c>
      <c r="E24" s="34"/>
      <c r="F24" s="34"/>
    </row>
    <row r="25" spans="1:6" ht="40.5" customHeight="1" x14ac:dyDescent="0.25">
      <c r="A25" s="5" t="s">
        <v>24</v>
      </c>
      <c r="B25" s="55" t="s">
        <v>40</v>
      </c>
      <c r="C25" s="54">
        <v>60</v>
      </c>
      <c r="D25" s="6" t="s">
        <v>2</v>
      </c>
      <c r="E25" s="34"/>
      <c r="F25" s="34"/>
    </row>
    <row r="26" spans="1:6" ht="40.5" customHeight="1" x14ac:dyDescent="0.25">
      <c r="A26" s="5" t="s">
        <v>25</v>
      </c>
      <c r="B26" s="55" t="s">
        <v>41</v>
      </c>
      <c r="C26" s="54">
        <v>4</v>
      </c>
      <c r="D26" s="6" t="s">
        <v>2</v>
      </c>
      <c r="E26" s="34"/>
      <c r="F26" s="34"/>
    </row>
    <row r="27" spans="1:6" ht="40.5" customHeight="1" x14ac:dyDescent="0.25">
      <c r="A27" s="5" t="s">
        <v>26</v>
      </c>
      <c r="B27" s="55" t="s">
        <v>42</v>
      </c>
      <c r="C27" s="54">
        <v>4650</v>
      </c>
      <c r="D27" s="6" t="s">
        <v>7</v>
      </c>
      <c r="E27" s="34"/>
      <c r="F27" s="34"/>
    </row>
    <row r="28" spans="1:6" ht="40.5" customHeight="1" x14ac:dyDescent="0.25">
      <c r="A28" s="5" t="s">
        <v>27</v>
      </c>
      <c r="B28" s="55" t="s">
        <v>43</v>
      </c>
      <c r="C28" s="54">
        <v>1</v>
      </c>
      <c r="D28" s="6" t="s">
        <v>8</v>
      </c>
      <c r="E28" s="34"/>
      <c r="F28" s="34"/>
    </row>
    <row r="29" spans="1:6" ht="40.5" customHeight="1" x14ac:dyDescent="0.25">
      <c r="A29" s="5" t="s">
        <v>28</v>
      </c>
      <c r="B29" s="53" t="s">
        <v>44</v>
      </c>
      <c r="C29" s="54">
        <v>2700</v>
      </c>
      <c r="D29" s="6" t="s">
        <v>11</v>
      </c>
      <c r="E29" s="34"/>
      <c r="F29" s="34"/>
    </row>
    <row r="30" spans="1:6" ht="40.5" customHeight="1" x14ac:dyDescent="0.25">
      <c r="A30" s="5" t="s">
        <v>32</v>
      </c>
      <c r="B30" s="53" t="s">
        <v>45</v>
      </c>
      <c r="C30" s="54">
        <v>625</v>
      </c>
      <c r="D30" s="6" t="s">
        <v>11</v>
      </c>
      <c r="E30" s="34"/>
      <c r="F30" s="34"/>
    </row>
    <row r="31" spans="1:6" ht="40.5" customHeight="1" x14ac:dyDescent="0.25">
      <c r="A31" s="5" t="s">
        <v>46</v>
      </c>
      <c r="B31" s="53" t="s">
        <v>47</v>
      </c>
      <c r="C31" s="54">
        <v>1000</v>
      </c>
      <c r="D31" s="6" t="s">
        <v>11</v>
      </c>
      <c r="E31" s="34"/>
      <c r="F31" s="34"/>
    </row>
    <row r="32" spans="1:6" ht="40.5" customHeight="1" x14ac:dyDescent="0.25">
      <c r="A32" s="5" t="s">
        <v>48</v>
      </c>
      <c r="B32" s="53" t="s">
        <v>49</v>
      </c>
      <c r="C32" s="54">
        <v>25</v>
      </c>
      <c r="D32" s="6" t="s">
        <v>11</v>
      </c>
      <c r="E32" s="34"/>
      <c r="F32" s="34"/>
    </row>
    <row r="33" spans="1:6" ht="40.5" customHeight="1" x14ac:dyDescent="0.25">
      <c r="A33" s="5" t="s">
        <v>50</v>
      </c>
      <c r="B33" s="53" t="s">
        <v>51</v>
      </c>
      <c r="C33" s="54">
        <v>3400</v>
      </c>
      <c r="D33" s="6" t="s">
        <v>11</v>
      </c>
      <c r="E33" s="34"/>
      <c r="F33" s="34"/>
    </row>
    <row r="34" spans="1:6" ht="40.5" customHeight="1" x14ac:dyDescent="0.25">
      <c r="A34" s="5" t="s">
        <v>52</v>
      </c>
      <c r="B34" s="53" t="s">
        <v>53</v>
      </c>
      <c r="C34" s="54">
        <v>22300</v>
      </c>
      <c r="D34" s="6" t="s">
        <v>11</v>
      </c>
      <c r="E34" s="34"/>
      <c r="F34" s="34"/>
    </row>
    <row r="35" spans="1:6" ht="40.5" customHeight="1" x14ac:dyDescent="0.25">
      <c r="A35" s="5" t="s">
        <v>54</v>
      </c>
      <c r="B35" s="53" t="s">
        <v>55</v>
      </c>
      <c r="C35" s="54">
        <v>2400</v>
      </c>
      <c r="D35" s="6" t="s">
        <v>11</v>
      </c>
      <c r="E35" s="34"/>
      <c r="F35" s="34"/>
    </row>
    <row r="36" spans="1:6" ht="40.5" customHeight="1" x14ac:dyDescent="0.25">
      <c r="A36" s="5" t="s">
        <v>56</v>
      </c>
      <c r="B36" s="53" t="s">
        <v>57</v>
      </c>
      <c r="C36" s="54">
        <v>1</v>
      </c>
      <c r="D36" s="6" t="s">
        <v>8</v>
      </c>
      <c r="E36" s="34"/>
      <c r="F36" s="34"/>
    </row>
    <row r="37" spans="1:6" ht="40.5" customHeight="1" x14ac:dyDescent="0.25">
      <c r="A37" s="5" t="s">
        <v>58</v>
      </c>
      <c r="B37" s="53" t="s">
        <v>59</v>
      </c>
      <c r="C37" s="54">
        <v>10650</v>
      </c>
      <c r="D37" s="6" t="s">
        <v>1</v>
      </c>
      <c r="E37" s="34"/>
      <c r="F37" s="34"/>
    </row>
    <row r="38" spans="1:6" ht="40.5" customHeight="1" x14ac:dyDescent="0.25">
      <c r="A38" s="5" t="s">
        <v>60</v>
      </c>
      <c r="B38" s="53" t="s">
        <v>61</v>
      </c>
      <c r="C38" s="54">
        <v>1000</v>
      </c>
      <c r="D38" s="6" t="s">
        <v>1</v>
      </c>
      <c r="E38" s="34"/>
      <c r="F38" s="34"/>
    </row>
    <row r="39" spans="1:6" ht="40.5" customHeight="1" x14ac:dyDescent="0.25">
      <c r="A39" s="5" t="s">
        <v>62</v>
      </c>
      <c r="B39" s="53" t="s">
        <v>63</v>
      </c>
      <c r="C39" s="54">
        <v>1750</v>
      </c>
      <c r="D39" s="6" t="s">
        <v>1</v>
      </c>
      <c r="E39" s="34"/>
      <c r="F39" s="34"/>
    </row>
    <row r="40" spans="1:6" ht="40.5" customHeight="1" x14ac:dyDescent="0.25">
      <c r="A40" s="5" t="s">
        <v>64</v>
      </c>
      <c r="B40" s="53" t="s">
        <v>65</v>
      </c>
      <c r="C40" s="54">
        <v>5700</v>
      </c>
      <c r="D40" s="6" t="s">
        <v>1</v>
      </c>
      <c r="E40" s="34"/>
      <c r="F40" s="34"/>
    </row>
    <row r="41" spans="1:6" ht="40.5" customHeight="1" x14ac:dyDescent="0.25">
      <c r="A41" s="5" t="s">
        <v>66</v>
      </c>
      <c r="B41" s="53" t="s">
        <v>67</v>
      </c>
      <c r="C41" s="54">
        <v>14400</v>
      </c>
      <c r="D41" s="6" t="s">
        <v>11</v>
      </c>
      <c r="E41" s="34"/>
      <c r="F41" s="34"/>
    </row>
    <row r="42" spans="1:6" ht="40.5" customHeight="1" x14ac:dyDescent="0.25">
      <c r="A42" s="5" t="s">
        <v>68</v>
      </c>
      <c r="B42" s="53" t="s">
        <v>69</v>
      </c>
      <c r="C42" s="54">
        <v>2600</v>
      </c>
      <c r="D42" s="6" t="s">
        <v>1</v>
      </c>
      <c r="E42" s="34"/>
      <c r="F42" s="34"/>
    </row>
    <row r="43" spans="1:6" ht="40.5" customHeight="1" x14ac:dyDescent="0.25">
      <c r="A43" s="5" t="s">
        <v>70</v>
      </c>
      <c r="B43" s="53" t="s">
        <v>71</v>
      </c>
      <c r="C43" s="54">
        <v>7500</v>
      </c>
      <c r="D43" s="6" t="s">
        <v>12</v>
      </c>
      <c r="E43" s="34"/>
      <c r="F43" s="34"/>
    </row>
    <row r="44" spans="1:6" ht="40.5" customHeight="1" x14ac:dyDescent="0.25">
      <c r="A44" s="5" t="s">
        <v>72</v>
      </c>
      <c r="B44" s="53" t="s">
        <v>73</v>
      </c>
      <c r="C44" s="54">
        <v>6100</v>
      </c>
      <c r="D44" s="6" t="s">
        <v>12</v>
      </c>
      <c r="E44" s="34"/>
      <c r="F44" s="34"/>
    </row>
    <row r="45" spans="1:6" ht="40.5" customHeight="1" x14ac:dyDescent="0.25">
      <c r="A45" s="5" t="s">
        <v>74</v>
      </c>
      <c r="B45" s="53" t="s">
        <v>75</v>
      </c>
      <c r="C45" s="54">
        <v>3600</v>
      </c>
      <c r="D45" s="6" t="s">
        <v>4</v>
      </c>
      <c r="E45" s="34"/>
      <c r="F45" s="34"/>
    </row>
    <row r="46" spans="1:6" ht="40.5" customHeight="1" x14ac:dyDescent="0.25">
      <c r="A46" s="5" t="s">
        <v>76</v>
      </c>
      <c r="B46" s="53" t="s">
        <v>77</v>
      </c>
      <c r="C46" s="54">
        <v>6750</v>
      </c>
      <c r="D46" s="6" t="s">
        <v>4</v>
      </c>
      <c r="E46" s="34"/>
      <c r="F46" s="34"/>
    </row>
    <row r="47" spans="1:6" ht="40.5" customHeight="1" x14ac:dyDescent="0.25">
      <c r="A47" s="5" t="s">
        <v>78</v>
      </c>
      <c r="B47" s="53" t="s">
        <v>79</v>
      </c>
      <c r="C47" s="54">
        <v>82</v>
      </c>
      <c r="D47" s="6" t="s">
        <v>4</v>
      </c>
      <c r="E47" s="34"/>
      <c r="F47" s="34"/>
    </row>
    <row r="48" spans="1:6" ht="40.5" customHeight="1" x14ac:dyDescent="0.25">
      <c r="A48" s="5" t="s">
        <v>80</v>
      </c>
      <c r="B48" s="53" t="s">
        <v>81</v>
      </c>
      <c r="C48" s="54">
        <v>45</v>
      </c>
      <c r="D48" s="6" t="s">
        <v>4</v>
      </c>
      <c r="E48" s="34"/>
      <c r="F48" s="34"/>
    </row>
    <row r="49" spans="1:6" ht="40.5" customHeight="1" x14ac:dyDescent="0.25">
      <c r="A49" s="5" t="s">
        <v>82</v>
      </c>
      <c r="B49" s="53" t="s">
        <v>83</v>
      </c>
      <c r="C49" s="54">
        <v>2800</v>
      </c>
      <c r="D49" s="6" t="s">
        <v>11</v>
      </c>
      <c r="E49" s="34"/>
      <c r="F49" s="34"/>
    </row>
    <row r="50" spans="1:6" ht="40.5" customHeight="1" x14ac:dyDescent="0.25">
      <c r="A50" s="5" t="s">
        <v>84</v>
      </c>
      <c r="B50" s="53" t="s">
        <v>85</v>
      </c>
      <c r="C50" s="54">
        <v>8</v>
      </c>
      <c r="D50" s="6" t="s">
        <v>1</v>
      </c>
      <c r="E50" s="34"/>
      <c r="F50" s="34"/>
    </row>
    <row r="51" spans="1:6" ht="40.5" customHeight="1" x14ac:dyDescent="0.25">
      <c r="A51" s="5" t="s">
        <v>86</v>
      </c>
      <c r="B51" s="53" t="s">
        <v>87</v>
      </c>
      <c r="C51" s="54">
        <v>5300</v>
      </c>
      <c r="D51" s="6" t="s">
        <v>10</v>
      </c>
      <c r="E51" s="34"/>
      <c r="F51" s="34"/>
    </row>
    <row r="52" spans="1:6" ht="40.5" customHeight="1" x14ac:dyDescent="0.25">
      <c r="A52" s="5" t="s">
        <v>88</v>
      </c>
      <c r="B52" s="53" t="s">
        <v>89</v>
      </c>
      <c r="C52" s="54">
        <v>5300</v>
      </c>
      <c r="D52" s="6" t="s">
        <v>10</v>
      </c>
      <c r="E52" s="34"/>
      <c r="F52" s="34"/>
    </row>
    <row r="53" spans="1:6" ht="40.5" customHeight="1" x14ac:dyDescent="0.25">
      <c r="A53" s="5" t="s">
        <v>90</v>
      </c>
      <c r="B53" s="53" t="s">
        <v>91</v>
      </c>
      <c r="C53" s="54">
        <v>263</v>
      </c>
      <c r="D53" s="6" t="s">
        <v>6</v>
      </c>
      <c r="E53" s="34"/>
      <c r="F53" s="34"/>
    </row>
    <row r="54" spans="1:6" ht="40.5" customHeight="1" x14ac:dyDescent="0.25">
      <c r="A54" s="5" t="s">
        <v>92</v>
      </c>
      <c r="B54" s="53" t="s">
        <v>93</v>
      </c>
      <c r="C54" s="54">
        <v>25300</v>
      </c>
      <c r="D54" s="6" t="s">
        <v>10</v>
      </c>
      <c r="E54" s="34"/>
      <c r="F54" s="34"/>
    </row>
    <row r="55" spans="1:6" ht="40.5" customHeight="1" x14ac:dyDescent="0.25">
      <c r="A55" s="5" t="s">
        <v>94</v>
      </c>
      <c r="B55" s="53" t="s">
        <v>95</v>
      </c>
      <c r="C55" s="54">
        <v>46</v>
      </c>
      <c r="D55" s="6" t="s">
        <v>7</v>
      </c>
      <c r="E55" s="34"/>
      <c r="F55" s="34"/>
    </row>
    <row r="56" spans="1:6" ht="40.5" customHeight="1" x14ac:dyDescent="0.25">
      <c r="A56" s="5" t="s">
        <v>96</v>
      </c>
      <c r="B56" s="53" t="s">
        <v>97</v>
      </c>
      <c r="C56" s="54">
        <v>1328</v>
      </c>
      <c r="D56" s="6" t="s">
        <v>7</v>
      </c>
      <c r="E56" s="34"/>
      <c r="F56" s="34"/>
    </row>
    <row r="57" spans="1:6" ht="40.5" customHeight="1" x14ac:dyDescent="0.25">
      <c r="A57" s="5" t="s">
        <v>98</v>
      </c>
      <c r="B57" s="53" t="s">
        <v>99</v>
      </c>
      <c r="C57" s="54">
        <v>251</v>
      </c>
      <c r="D57" s="6" t="s">
        <v>7</v>
      </c>
      <c r="E57" s="34"/>
      <c r="F57" s="34"/>
    </row>
    <row r="58" spans="1:6" ht="40.5" customHeight="1" x14ac:dyDescent="0.25">
      <c r="A58" s="5" t="s">
        <v>100</v>
      </c>
      <c r="B58" s="53" t="s">
        <v>101</v>
      </c>
      <c r="C58" s="54">
        <v>36</v>
      </c>
      <c r="D58" s="6" t="s">
        <v>7</v>
      </c>
      <c r="E58" s="34"/>
      <c r="F58" s="34"/>
    </row>
    <row r="59" spans="1:6" ht="40.5" customHeight="1" x14ac:dyDescent="0.25">
      <c r="A59" s="5" t="s">
        <v>102</v>
      </c>
      <c r="B59" s="53" t="s">
        <v>103</v>
      </c>
      <c r="C59" s="54">
        <v>2286</v>
      </c>
      <c r="D59" s="6" t="s">
        <v>7</v>
      </c>
      <c r="E59" s="34"/>
      <c r="F59" s="34"/>
    </row>
    <row r="60" spans="1:6" ht="40.5" customHeight="1" x14ac:dyDescent="0.25">
      <c r="A60" s="5" t="s">
        <v>104</v>
      </c>
      <c r="B60" s="53" t="s">
        <v>105</v>
      </c>
      <c r="C60" s="54">
        <v>299</v>
      </c>
      <c r="D60" s="6" t="s">
        <v>7</v>
      </c>
      <c r="E60" s="34"/>
      <c r="F60" s="34"/>
    </row>
    <row r="61" spans="1:6" ht="40.5" customHeight="1" x14ac:dyDescent="0.25">
      <c r="A61" s="5" t="s">
        <v>106</v>
      </c>
      <c r="B61" s="53" t="s">
        <v>107</v>
      </c>
      <c r="C61" s="54">
        <v>7</v>
      </c>
      <c r="D61" s="6" t="s">
        <v>2</v>
      </c>
      <c r="E61" s="34"/>
      <c r="F61" s="34"/>
    </row>
    <row r="62" spans="1:6" ht="40.5" customHeight="1" x14ac:dyDescent="0.25">
      <c r="A62" s="5" t="s">
        <v>108</v>
      </c>
      <c r="B62" s="53" t="s">
        <v>109</v>
      </c>
      <c r="C62" s="54">
        <v>2</v>
      </c>
      <c r="D62" s="6" t="s">
        <v>2</v>
      </c>
      <c r="E62" s="34"/>
      <c r="F62" s="34"/>
    </row>
    <row r="63" spans="1:6" ht="40.5" customHeight="1" x14ac:dyDescent="0.25">
      <c r="A63" s="5" t="s">
        <v>110</v>
      </c>
      <c r="B63" s="53" t="s">
        <v>111</v>
      </c>
      <c r="C63" s="54">
        <v>12</v>
      </c>
      <c r="D63" s="6" t="s">
        <v>2</v>
      </c>
      <c r="E63" s="34"/>
      <c r="F63" s="34"/>
    </row>
    <row r="64" spans="1:6" ht="40.5" customHeight="1" x14ac:dyDescent="0.25">
      <c r="A64" s="5" t="s">
        <v>112</v>
      </c>
      <c r="B64" s="53" t="s">
        <v>113</v>
      </c>
      <c r="C64" s="54">
        <v>6</v>
      </c>
      <c r="D64" s="6" t="s">
        <v>0</v>
      </c>
      <c r="E64" s="34"/>
      <c r="F64" s="34"/>
    </row>
    <row r="65" spans="1:6" ht="40.5" customHeight="1" x14ac:dyDescent="0.25">
      <c r="A65" s="5" t="s">
        <v>114</v>
      </c>
      <c r="B65" s="53" t="s">
        <v>115</v>
      </c>
      <c r="C65" s="54">
        <v>1700</v>
      </c>
      <c r="D65" s="6" t="s">
        <v>1</v>
      </c>
      <c r="E65" s="34"/>
      <c r="F65" s="34"/>
    </row>
    <row r="66" spans="1:6" ht="40.5" customHeight="1" x14ac:dyDescent="0.25">
      <c r="A66" s="5" t="s">
        <v>116</v>
      </c>
      <c r="B66" s="53" t="s">
        <v>117</v>
      </c>
      <c r="C66" s="54">
        <v>6</v>
      </c>
      <c r="D66" s="6" t="s">
        <v>2</v>
      </c>
      <c r="E66" s="34"/>
      <c r="F66" s="34"/>
    </row>
    <row r="67" spans="1:6" ht="40.5" customHeight="1" x14ac:dyDescent="0.25">
      <c r="A67" s="5" t="s">
        <v>118</v>
      </c>
      <c r="B67" s="53" t="s">
        <v>119</v>
      </c>
      <c r="C67" s="54">
        <v>9</v>
      </c>
      <c r="D67" s="6" t="s">
        <v>2</v>
      </c>
      <c r="E67" s="34"/>
      <c r="F67" s="34"/>
    </row>
    <row r="68" spans="1:6" ht="40.5" customHeight="1" x14ac:dyDescent="0.25">
      <c r="A68" s="5" t="s">
        <v>120</v>
      </c>
      <c r="B68" s="53" t="s">
        <v>121</v>
      </c>
      <c r="C68" s="54">
        <v>2</v>
      </c>
      <c r="D68" s="6" t="s">
        <v>2</v>
      </c>
      <c r="E68" s="34"/>
      <c r="F68" s="34"/>
    </row>
    <row r="69" spans="1:6" ht="40.5" customHeight="1" x14ac:dyDescent="0.25">
      <c r="A69" s="5" t="s">
        <v>122</v>
      </c>
      <c r="B69" s="53" t="s">
        <v>123</v>
      </c>
      <c r="C69" s="54">
        <v>2</v>
      </c>
      <c r="D69" s="6" t="s">
        <v>2</v>
      </c>
      <c r="E69" s="34"/>
      <c r="F69" s="34"/>
    </row>
    <row r="70" spans="1:6" ht="40.5" customHeight="1" x14ac:dyDescent="0.25">
      <c r="A70" s="5" t="s">
        <v>124</v>
      </c>
      <c r="B70" s="53" t="s">
        <v>125</v>
      </c>
      <c r="C70" s="54">
        <v>450</v>
      </c>
      <c r="D70" s="6" t="s">
        <v>7</v>
      </c>
      <c r="E70" s="34"/>
      <c r="F70" s="34"/>
    </row>
    <row r="71" spans="1:6" ht="40.5" customHeight="1" x14ac:dyDescent="0.25">
      <c r="A71" s="5" t="s">
        <v>126</v>
      </c>
      <c r="B71" s="53" t="s">
        <v>127</v>
      </c>
      <c r="C71" s="54">
        <v>1350</v>
      </c>
      <c r="D71" s="6" t="s">
        <v>7</v>
      </c>
      <c r="E71" s="34"/>
      <c r="F71" s="34"/>
    </row>
    <row r="72" spans="1:6" ht="40.5" customHeight="1" x14ac:dyDescent="0.25">
      <c r="A72" s="5" t="s">
        <v>128</v>
      </c>
      <c r="B72" s="53" t="s">
        <v>129</v>
      </c>
      <c r="C72" s="54">
        <v>8000</v>
      </c>
      <c r="D72" s="6" t="s">
        <v>7</v>
      </c>
      <c r="E72" s="34"/>
      <c r="F72" s="34"/>
    </row>
    <row r="73" spans="1:6" ht="40.5" customHeight="1" x14ac:dyDescent="0.25">
      <c r="A73" s="5" t="s">
        <v>130</v>
      </c>
      <c r="B73" s="53" t="s">
        <v>131</v>
      </c>
      <c r="C73" s="54">
        <v>2000</v>
      </c>
      <c r="D73" s="6" t="s">
        <v>7</v>
      </c>
      <c r="E73" s="34"/>
      <c r="F73" s="34"/>
    </row>
    <row r="74" spans="1:6" ht="40.5" customHeight="1" x14ac:dyDescent="0.25">
      <c r="A74" s="5" t="s">
        <v>132</v>
      </c>
      <c r="B74" s="53" t="s">
        <v>133</v>
      </c>
      <c r="C74" s="54">
        <v>8</v>
      </c>
      <c r="D74" s="6" t="s">
        <v>2</v>
      </c>
      <c r="E74" s="34"/>
      <c r="F74" s="34"/>
    </row>
    <row r="75" spans="1:6" ht="40.5" customHeight="1" x14ac:dyDescent="0.25">
      <c r="A75" s="5" t="s">
        <v>134</v>
      </c>
      <c r="B75" s="53" t="s">
        <v>135</v>
      </c>
      <c r="C75" s="54">
        <v>1700</v>
      </c>
      <c r="D75" s="6" t="s">
        <v>7</v>
      </c>
      <c r="E75" s="34"/>
      <c r="F75" s="34"/>
    </row>
    <row r="76" spans="1:6" ht="40.5" customHeight="1" x14ac:dyDescent="0.25">
      <c r="A76" s="5" t="s">
        <v>136</v>
      </c>
      <c r="B76" s="53" t="s">
        <v>137</v>
      </c>
      <c r="C76" s="54">
        <v>230</v>
      </c>
      <c r="D76" s="6" t="s">
        <v>7</v>
      </c>
      <c r="E76" s="34"/>
      <c r="F76" s="34"/>
    </row>
    <row r="77" spans="1:6" ht="40.5" customHeight="1" x14ac:dyDescent="0.25">
      <c r="A77" s="5" t="s">
        <v>138</v>
      </c>
      <c r="B77" s="53" t="s">
        <v>139</v>
      </c>
      <c r="C77" s="54">
        <v>75</v>
      </c>
      <c r="D77" s="6" t="s">
        <v>7</v>
      </c>
      <c r="E77" s="34"/>
      <c r="F77" s="34"/>
    </row>
    <row r="78" spans="1:6" ht="40.5" customHeight="1" x14ac:dyDescent="0.25">
      <c r="A78" s="5" t="s">
        <v>140</v>
      </c>
      <c r="B78" s="53" t="s">
        <v>141</v>
      </c>
      <c r="C78" s="54">
        <v>1</v>
      </c>
      <c r="D78" s="6" t="s">
        <v>8</v>
      </c>
      <c r="E78" s="34"/>
      <c r="F78" s="34"/>
    </row>
    <row r="79" spans="1:6" ht="40.5" customHeight="1" x14ac:dyDescent="0.25">
      <c r="A79" s="5" t="s">
        <v>142</v>
      </c>
      <c r="B79" s="53" t="s">
        <v>143</v>
      </c>
      <c r="C79" s="54">
        <v>1</v>
      </c>
      <c r="D79" s="6" t="s">
        <v>8</v>
      </c>
      <c r="E79" s="34"/>
      <c r="F79" s="34"/>
    </row>
    <row r="80" spans="1:6" ht="40.5" customHeight="1" x14ac:dyDescent="0.25">
      <c r="A80" s="5" t="s">
        <v>144</v>
      </c>
      <c r="B80" s="53" t="s">
        <v>145</v>
      </c>
      <c r="C80" s="54">
        <v>22</v>
      </c>
      <c r="D80" s="6" t="s">
        <v>2</v>
      </c>
      <c r="E80" s="34"/>
      <c r="F80" s="34"/>
    </row>
    <row r="81" spans="1:6" ht="40.5" customHeight="1" x14ac:dyDescent="0.25">
      <c r="A81" s="5" t="s">
        <v>146</v>
      </c>
      <c r="B81" s="53" t="s">
        <v>147</v>
      </c>
      <c r="C81" s="54">
        <v>6</v>
      </c>
      <c r="D81" s="6" t="s">
        <v>2</v>
      </c>
      <c r="E81" s="34"/>
      <c r="F81" s="34"/>
    </row>
    <row r="82" spans="1:6" ht="40.5" customHeight="1" x14ac:dyDescent="0.25">
      <c r="A82" s="5" t="s">
        <v>148</v>
      </c>
      <c r="B82" s="53" t="s">
        <v>149</v>
      </c>
      <c r="C82" s="54">
        <v>3</v>
      </c>
      <c r="D82" s="6" t="s">
        <v>2</v>
      </c>
      <c r="E82" s="34"/>
      <c r="F82" s="34"/>
    </row>
    <row r="83" spans="1:6" ht="40.5" customHeight="1" x14ac:dyDescent="0.25">
      <c r="A83" s="5" t="s">
        <v>150</v>
      </c>
      <c r="B83" s="53" t="s">
        <v>151</v>
      </c>
      <c r="C83" s="54">
        <v>2</v>
      </c>
      <c r="D83" s="6" t="s">
        <v>2</v>
      </c>
      <c r="E83" s="34"/>
      <c r="F83" s="34"/>
    </row>
    <row r="84" spans="1:6" ht="40.5" customHeight="1" x14ac:dyDescent="0.25">
      <c r="A84" s="5" t="s">
        <v>152</v>
      </c>
      <c r="B84" s="53" t="s">
        <v>153</v>
      </c>
      <c r="C84" s="54">
        <v>24</v>
      </c>
      <c r="D84" s="6" t="s">
        <v>2</v>
      </c>
      <c r="E84" s="34"/>
      <c r="F84" s="34"/>
    </row>
    <row r="85" spans="1:6" ht="40.5" customHeight="1" x14ac:dyDescent="0.25">
      <c r="A85" s="5" t="s">
        <v>154</v>
      </c>
      <c r="B85" s="53" t="s">
        <v>155</v>
      </c>
      <c r="C85" s="54">
        <v>1</v>
      </c>
      <c r="D85" s="6" t="s">
        <v>8</v>
      </c>
      <c r="E85" s="34"/>
      <c r="F85" s="34"/>
    </row>
    <row r="86" spans="1:6" ht="27.75" customHeight="1" x14ac:dyDescent="0.25">
      <c r="A86" s="7"/>
      <c r="B86" s="9" t="s">
        <v>34</v>
      </c>
      <c r="C86" s="31"/>
      <c r="D86" s="7"/>
      <c r="E86" s="35"/>
      <c r="F86" s="35" t="s">
        <v>29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dataValidations disablePrompts="1" count="1">
    <dataValidation type="list" allowBlank="1" showInputMessage="1" showErrorMessage="1" sqref="D20:D85" xr:uid="{61A2139A-C5FE-4CAC-8569-D61D390A3336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&amp;L&amp;"Arial,Bold"SCHEDULE A&amp;R&amp;"Arial,Regular"&amp;10Bidder: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39997558519241921"/>
  </sheetPr>
  <dimension ref="A1:F64"/>
  <sheetViews>
    <sheetView view="pageLayout" topLeftCell="A14" zoomScaleNormal="100" zoomScaleSheetLayoutView="100" workbookViewId="0">
      <selection activeCell="B20" sqref="B20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2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3"/>
      <c r="B14" s="63"/>
      <c r="C14" s="63"/>
      <c r="D14" s="63"/>
      <c r="E14" s="64"/>
      <c r="F14" s="64"/>
    </row>
    <row r="15" spans="1:6" x14ac:dyDescent="0.25">
      <c r="A15" s="67" t="s">
        <v>171</v>
      </c>
      <c r="B15" s="67"/>
      <c r="C15" s="67"/>
      <c r="D15" s="67"/>
      <c r="E15" s="65"/>
      <c r="F15" s="65"/>
    </row>
    <row r="16" spans="1:6" x14ac:dyDescent="0.25">
      <c r="A16" s="67" t="s">
        <v>172</v>
      </c>
      <c r="B16" s="67"/>
      <c r="C16" s="67"/>
      <c r="D16" s="67"/>
      <c r="E16" s="65"/>
      <c r="F16" s="65"/>
    </row>
    <row r="17" spans="1:6" x14ac:dyDescent="0.25">
      <c r="A17" s="68" t="str">
        <f>ProjectTitle2 &amp; ""</f>
        <v/>
      </c>
      <c r="B17" s="68"/>
      <c r="C17" s="68"/>
      <c r="D17" s="68"/>
      <c r="E17" s="65"/>
      <c r="F17" s="65"/>
    </row>
    <row r="18" spans="1:6" x14ac:dyDescent="0.25">
      <c r="A18" s="69"/>
      <c r="B18" s="69"/>
      <c r="C18" s="69"/>
      <c r="D18" s="69"/>
      <c r="E18" s="66"/>
      <c r="F18" s="66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3" t="s">
        <v>17</v>
      </c>
      <c r="F19" s="33" t="s">
        <v>18</v>
      </c>
    </row>
    <row r="20" spans="1:6" ht="40.5" customHeight="1" x14ac:dyDescent="0.25">
      <c r="A20" s="5" t="s">
        <v>19</v>
      </c>
      <c r="B20" s="53" t="s">
        <v>35</v>
      </c>
      <c r="C20" s="54">
        <v>1</v>
      </c>
      <c r="D20" s="6" t="s">
        <v>8</v>
      </c>
      <c r="E20" s="34"/>
      <c r="F20" s="34"/>
    </row>
    <row r="21" spans="1:6" ht="40.5" customHeight="1" x14ac:dyDescent="0.25">
      <c r="A21" s="5" t="s">
        <v>20</v>
      </c>
      <c r="B21" s="55" t="s">
        <v>36</v>
      </c>
      <c r="C21" s="54">
        <v>1</v>
      </c>
      <c r="D21" s="6" t="s">
        <v>8</v>
      </c>
      <c r="E21" s="34"/>
      <c r="F21" s="34"/>
    </row>
    <row r="22" spans="1:6" ht="40.5" customHeight="1" x14ac:dyDescent="0.25">
      <c r="A22" s="5" t="s">
        <v>21</v>
      </c>
      <c r="B22" s="55" t="s">
        <v>37</v>
      </c>
      <c r="C22" s="54">
        <v>1</v>
      </c>
      <c r="D22" s="6" t="s">
        <v>8</v>
      </c>
      <c r="E22" s="34"/>
      <c r="F22" s="34"/>
    </row>
    <row r="23" spans="1:6" ht="40.5" customHeight="1" x14ac:dyDescent="0.25">
      <c r="A23" s="5" t="s">
        <v>22</v>
      </c>
      <c r="B23" s="55" t="s">
        <v>38</v>
      </c>
      <c r="C23" s="54">
        <v>1</v>
      </c>
      <c r="D23" s="6" t="s">
        <v>8</v>
      </c>
      <c r="E23" s="34"/>
      <c r="F23" s="34"/>
    </row>
    <row r="24" spans="1:6" ht="40.5" customHeight="1" x14ac:dyDescent="0.25">
      <c r="A24" s="5" t="s">
        <v>23</v>
      </c>
      <c r="B24" s="55" t="s">
        <v>40</v>
      </c>
      <c r="C24" s="54">
        <v>6</v>
      </c>
      <c r="D24" s="6" t="s">
        <v>2</v>
      </c>
      <c r="E24" s="34"/>
      <c r="F24" s="34"/>
    </row>
    <row r="25" spans="1:6" ht="40.5" customHeight="1" x14ac:dyDescent="0.25">
      <c r="A25" s="5" t="s">
        <v>24</v>
      </c>
      <c r="B25" s="55" t="s">
        <v>43</v>
      </c>
      <c r="C25" s="54">
        <v>1</v>
      </c>
      <c r="D25" s="6" t="s">
        <v>8</v>
      </c>
      <c r="E25" s="34"/>
      <c r="F25" s="34"/>
    </row>
    <row r="26" spans="1:6" ht="40.5" customHeight="1" x14ac:dyDescent="0.25">
      <c r="A26" s="5" t="s">
        <v>25</v>
      </c>
      <c r="B26" s="53" t="s">
        <v>156</v>
      </c>
      <c r="C26" s="54">
        <v>450</v>
      </c>
      <c r="D26" s="6" t="s">
        <v>11</v>
      </c>
      <c r="E26" s="34"/>
      <c r="F26" s="34"/>
    </row>
    <row r="27" spans="1:6" ht="40.5" customHeight="1" x14ac:dyDescent="0.25">
      <c r="A27" s="5" t="s">
        <v>26</v>
      </c>
      <c r="B27" s="53" t="s">
        <v>157</v>
      </c>
      <c r="C27" s="54">
        <v>150</v>
      </c>
      <c r="D27" s="6" t="s">
        <v>11</v>
      </c>
      <c r="E27" s="34"/>
      <c r="F27" s="34"/>
    </row>
    <row r="28" spans="1:6" ht="40.5" customHeight="1" x14ac:dyDescent="0.25">
      <c r="A28" s="5" t="s">
        <v>27</v>
      </c>
      <c r="B28" s="53" t="s">
        <v>158</v>
      </c>
      <c r="C28" s="54">
        <v>5900</v>
      </c>
      <c r="D28" s="6" t="s">
        <v>11</v>
      </c>
      <c r="E28" s="34"/>
      <c r="F28" s="34"/>
    </row>
    <row r="29" spans="1:6" ht="40.5" customHeight="1" x14ac:dyDescent="0.25">
      <c r="A29" s="5" t="s">
        <v>28</v>
      </c>
      <c r="B29" s="53" t="s">
        <v>159</v>
      </c>
      <c r="C29" s="54">
        <v>3600</v>
      </c>
      <c r="D29" s="6" t="s">
        <v>11</v>
      </c>
      <c r="E29" s="34"/>
      <c r="F29" s="34"/>
    </row>
    <row r="30" spans="1:6" ht="40.5" customHeight="1" x14ac:dyDescent="0.25">
      <c r="A30" s="5" t="s">
        <v>32</v>
      </c>
      <c r="B30" s="53" t="s">
        <v>51</v>
      </c>
      <c r="C30" s="54">
        <v>150</v>
      </c>
      <c r="D30" s="6" t="s">
        <v>11</v>
      </c>
      <c r="E30" s="34"/>
      <c r="F30" s="34"/>
    </row>
    <row r="31" spans="1:6" ht="40.5" customHeight="1" x14ac:dyDescent="0.25">
      <c r="A31" s="5" t="s">
        <v>46</v>
      </c>
      <c r="B31" s="53" t="s">
        <v>57</v>
      </c>
      <c r="C31" s="54">
        <v>1</v>
      </c>
      <c r="D31" s="6" t="s">
        <v>8</v>
      </c>
      <c r="E31" s="34"/>
      <c r="F31" s="34"/>
    </row>
    <row r="32" spans="1:6" ht="40.5" customHeight="1" x14ac:dyDescent="0.25">
      <c r="A32" s="5" t="s">
        <v>48</v>
      </c>
      <c r="B32" s="53" t="s">
        <v>59</v>
      </c>
      <c r="C32" s="54">
        <v>13025</v>
      </c>
      <c r="D32" s="6" t="s">
        <v>1</v>
      </c>
      <c r="E32" s="34"/>
      <c r="F32" s="34"/>
    </row>
    <row r="33" spans="1:6" ht="40.5" customHeight="1" x14ac:dyDescent="0.25">
      <c r="A33" s="5" t="s">
        <v>50</v>
      </c>
      <c r="B33" s="53" t="s">
        <v>61</v>
      </c>
      <c r="C33" s="54">
        <v>850</v>
      </c>
      <c r="D33" s="6" t="s">
        <v>1</v>
      </c>
      <c r="E33" s="34"/>
      <c r="F33" s="34"/>
    </row>
    <row r="34" spans="1:6" ht="40.5" customHeight="1" x14ac:dyDescent="0.25">
      <c r="A34" s="5" t="s">
        <v>52</v>
      </c>
      <c r="B34" s="53" t="s">
        <v>63</v>
      </c>
      <c r="C34" s="54">
        <v>1100</v>
      </c>
      <c r="D34" s="6" t="s">
        <v>1</v>
      </c>
      <c r="E34" s="34"/>
      <c r="F34" s="34"/>
    </row>
    <row r="35" spans="1:6" ht="40.5" customHeight="1" x14ac:dyDescent="0.25">
      <c r="A35" s="5" t="s">
        <v>54</v>
      </c>
      <c r="B35" s="53" t="s">
        <v>65</v>
      </c>
      <c r="C35" s="54">
        <v>9100</v>
      </c>
      <c r="D35" s="6" t="s">
        <v>1</v>
      </c>
      <c r="E35" s="34"/>
      <c r="F35" s="34"/>
    </row>
    <row r="36" spans="1:6" ht="40.5" customHeight="1" x14ac:dyDescent="0.25">
      <c r="A36" s="5" t="s">
        <v>56</v>
      </c>
      <c r="B36" s="53" t="s">
        <v>67</v>
      </c>
      <c r="C36" s="54">
        <v>12900</v>
      </c>
      <c r="D36" s="6" t="s">
        <v>11</v>
      </c>
      <c r="E36" s="34"/>
      <c r="F36" s="34"/>
    </row>
    <row r="37" spans="1:6" ht="40.5" customHeight="1" x14ac:dyDescent="0.25">
      <c r="A37" s="5" t="s">
        <v>58</v>
      </c>
      <c r="B37" s="53" t="s">
        <v>69</v>
      </c>
      <c r="C37" s="54">
        <v>2500</v>
      </c>
      <c r="D37" s="6" t="s">
        <v>1</v>
      </c>
      <c r="E37" s="34"/>
      <c r="F37" s="34"/>
    </row>
    <row r="38" spans="1:6" ht="40.5" customHeight="1" x14ac:dyDescent="0.25">
      <c r="A38" s="5" t="s">
        <v>60</v>
      </c>
      <c r="B38" s="53" t="s">
        <v>71</v>
      </c>
      <c r="C38" s="54">
        <v>1800</v>
      </c>
      <c r="D38" s="6" t="s">
        <v>12</v>
      </c>
      <c r="E38" s="34"/>
      <c r="F38" s="34"/>
    </row>
    <row r="39" spans="1:6" ht="40.5" customHeight="1" x14ac:dyDescent="0.25">
      <c r="A39" s="5" t="s">
        <v>62</v>
      </c>
      <c r="B39" s="53" t="s">
        <v>73</v>
      </c>
      <c r="C39" s="54">
        <v>4600</v>
      </c>
      <c r="D39" s="6" t="s">
        <v>12</v>
      </c>
      <c r="E39" s="34"/>
      <c r="F39" s="34"/>
    </row>
    <row r="40" spans="1:6" ht="40.5" customHeight="1" x14ac:dyDescent="0.25">
      <c r="A40" s="5" t="s">
        <v>64</v>
      </c>
      <c r="B40" s="53" t="s">
        <v>160</v>
      </c>
      <c r="C40" s="54">
        <v>1511</v>
      </c>
      <c r="D40" s="6" t="s">
        <v>11</v>
      </c>
      <c r="E40" s="34"/>
      <c r="F40" s="34"/>
    </row>
    <row r="41" spans="1:6" ht="40.5" customHeight="1" x14ac:dyDescent="0.25">
      <c r="A41" s="5" t="s">
        <v>66</v>
      </c>
      <c r="B41" s="53" t="s">
        <v>161</v>
      </c>
      <c r="C41" s="54">
        <v>6259</v>
      </c>
      <c r="D41" s="6" t="s">
        <v>11</v>
      </c>
      <c r="E41" s="34"/>
      <c r="F41" s="34"/>
    </row>
    <row r="42" spans="1:6" ht="40.5" customHeight="1" x14ac:dyDescent="0.25">
      <c r="A42" s="5" t="s">
        <v>68</v>
      </c>
      <c r="B42" s="53" t="s">
        <v>162</v>
      </c>
      <c r="C42" s="54">
        <v>139</v>
      </c>
      <c r="D42" s="6" t="s">
        <v>11</v>
      </c>
      <c r="E42" s="34"/>
      <c r="F42" s="34"/>
    </row>
    <row r="43" spans="1:6" ht="40.5" customHeight="1" x14ac:dyDescent="0.25">
      <c r="A43" s="5" t="s">
        <v>70</v>
      </c>
      <c r="B43" s="53" t="s">
        <v>77</v>
      </c>
      <c r="C43" s="54">
        <v>1800</v>
      </c>
      <c r="D43" s="6" t="s">
        <v>4</v>
      </c>
      <c r="E43" s="34"/>
      <c r="F43" s="34"/>
    </row>
    <row r="44" spans="1:6" ht="40.5" customHeight="1" x14ac:dyDescent="0.25">
      <c r="A44" s="5" t="s">
        <v>72</v>
      </c>
      <c r="B44" s="53" t="s">
        <v>163</v>
      </c>
      <c r="C44" s="54">
        <v>6000</v>
      </c>
      <c r="D44" s="6" t="s">
        <v>7</v>
      </c>
      <c r="E44" s="34"/>
      <c r="F44" s="34"/>
    </row>
    <row r="45" spans="1:6" ht="40.5" customHeight="1" x14ac:dyDescent="0.25">
      <c r="A45" s="5" t="s">
        <v>74</v>
      </c>
      <c r="B45" s="53" t="s">
        <v>79</v>
      </c>
      <c r="C45" s="54">
        <v>100</v>
      </c>
      <c r="D45" s="6" t="s">
        <v>4</v>
      </c>
      <c r="E45" s="34"/>
      <c r="F45" s="34"/>
    </row>
    <row r="46" spans="1:6" ht="40.5" customHeight="1" x14ac:dyDescent="0.25">
      <c r="A46" s="5" t="s">
        <v>76</v>
      </c>
      <c r="B46" s="53" t="s">
        <v>83</v>
      </c>
      <c r="C46" s="54">
        <v>1900</v>
      </c>
      <c r="D46" s="6" t="s">
        <v>11</v>
      </c>
      <c r="E46" s="34"/>
      <c r="F46" s="34"/>
    </row>
    <row r="47" spans="1:6" ht="40.5" customHeight="1" x14ac:dyDescent="0.25">
      <c r="A47" s="5" t="s">
        <v>78</v>
      </c>
      <c r="B47" s="53" t="s">
        <v>87</v>
      </c>
      <c r="C47" s="54">
        <v>5725</v>
      </c>
      <c r="D47" s="6" t="s">
        <v>10</v>
      </c>
      <c r="E47" s="34"/>
      <c r="F47" s="34"/>
    </row>
    <row r="48" spans="1:6" ht="40.5" customHeight="1" x14ac:dyDescent="0.25">
      <c r="A48" s="5" t="s">
        <v>80</v>
      </c>
      <c r="B48" s="53" t="s">
        <v>164</v>
      </c>
      <c r="C48" s="54">
        <v>3200</v>
      </c>
      <c r="D48" s="6" t="s">
        <v>10</v>
      </c>
      <c r="E48" s="34"/>
      <c r="F48" s="34"/>
    </row>
    <row r="49" spans="1:6" ht="40.5" customHeight="1" x14ac:dyDescent="0.25">
      <c r="A49" s="5" t="s">
        <v>82</v>
      </c>
      <c r="B49" s="53" t="s">
        <v>89</v>
      </c>
      <c r="C49" s="54">
        <v>5725</v>
      </c>
      <c r="D49" s="6" t="s">
        <v>10</v>
      </c>
      <c r="E49" s="34"/>
      <c r="F49" s="34"/>
    </row>
    <row r="50" spans="1:6" ht="40.5" customHeight="1" x14ac:dyDescent="0.25">
      <c r="A50" s="5" t="s">
        <v>84</v>
      </c>
      <c r="B50" s="53" t="s">
        <v>91</v>
      </c>
      <c r="C50" s="54">
        <v>250</v>
      </c>
      <c r="D50" s="6" t="s">
        <v>6</v>
      </c>
      <c r="E50" s="34"/>
      <c r="F50" s="34"/>
    </row>
    <row r="51" spans="1:6" ht="40.5" customHeight="1" x14ac:dyDescent="0.25">
      <c r="A51" s="5" t="s">
        <v>86</v>
      </c>
      <c r="B51" s="53" t="s">
        <v>93</v>
      </c>
      <c r="C51" s="54">
        <v>15725</v>
      </c>
      <c r="D51" s="6" t="s">
        <v>10</v>
      </c>
      <c r="E51" s="34"/>
      <c r="F51" s="34"/>
    </row>
    <row r="52" spans="1:6" ht="40.5" customHeight="1" x14ac:dyDescent="0.25">
      <c r="A52" s="5" t="s">
        <v>88</v>
      </c>
      <c r="B52" s="53" t="s">
        <v>97</v>
      </c>
      <c r="C52" s="54">
        <v>160</v>
      </c>
      <c r="D52" s="6" t="s">
        <v>7</v>
      </c>
      <c r="E52" s="34"/>
      <c r="F52" s="34"/>
    </row>
    <row r="53" spans="1:6" ht="40.5" customHeight="1" x14ac:dyDescent="0.25">
      <c r="A53" s="5" t="s">
        <v>90</v>
      </c>
      <c r="B53" s="53" t="s">
        <v>99</v>
      </c>
      <c r="C53" s="54">
        <v>102</v>
      </c>
      <c r="D53" s="6" t="s">
        <v>7</v>
      </c>
      <c r="E53" s="34"/>
      <c r="F53" s="34"/>
    </row>
    <row r="54" spans="1:6" ht="40.5" customHeight="1" x14ac:dyDescent="0.25">
      <c r="A54" s="5" t="s">
        <v>92</v>
      </c>
      <c r="B54" s="53" t="s">
        <v>165</v>
      </c>
      <c r="C54" s="54">
        <v>925</v>
      </c>
      <c r="D54" s="6" t="s">
        <v>7</v>
      </c>
      <c r="E54" s="34"/>
      <c r="F54" s="34"/>
    </row>
    <row r="55" spans="1:6" ht="40.5" customHeight="1" x14ac:dyDescent="0.25">
      <c r="A55" s="5" t="s">
        <v>94</v>
      </c>
      <c r="B55" s="53" t="s">
        <v>109</v>
      </c>
      <c r="C55" s="54">
        <v>4</v>
      </c>
      <c r="D55" s="6" t="s">
        <v>2</v>
      </c>
      <c r="E55" s="34"/>
      <c r="F55" s="34"/>
    </row>
    <row r="56" spans="1:6" ht="40.5" customHeight="1" x14ac:dyDescent="0.25">
      <c r="A56" s="5" t="s">
        <v>96</v>
      </c>
      <c r="B56" s="53" t="s">
        <v>166</v>
      </c>
      <c r="C56" s="54">
        <v>1</v>
      </c>
      <c r="D56" s="6" t="s">
        <v>2</v>
      </c>
      <c r="E56" s="34"/>
      <c r="F56" s="34"/>
    </row>
    <row r="57" spans="1:6" ht="40.5" customHeight="1" x14ac:dyDescent="0.25">
      <c r="A57" s="5" t="s">
        <v>98</v>
      </c>
      <c r="B57" s="53" t="s">
        <v>111</v>
      </c>
      <c r="C57" s="54">
        <v>2</v>
      </c>
      <c r="D57" s="6" t="s">
        <v>2</v>
      </c>
      <c r="E57" s="34"/>
      <c r="F57" s="34"/>
    </row>
    <row r="58" spans="1:6" ht="40.5" customHeight="1" x14ac:dyDescent="0.25">
      <c r="A58" s="5" t="s">
        <v>100</v>
      </c>
      <c r="B58" s="53" t="s">
        <v>117</v>
      </c>
      <c r="C58" s="54">
        <v>4</v>
      </c>
      <c r="D58" s="6" t="s">
        <v>2</v>
      </c>
      <c r="E58" s="34"/>
      <c r="F58" s="34"/>
    </row>
    <row r="59" spans="1:6" ht="40.5" customHeight="1" x14ac:dyDescent="0.25">
      <c r="A59" s="5" t="s">
        <v>102</v>
      </c>
      <c r="B59" s="53" t="s">
        <v>121</v>
      </c>
      <c r="C59" s="54">
        <v>2</v>
      </c>
      <c r="D59" s="6" t="s">
        <v>2</v>
      </c>
      <c r="E59" s="34"/>
      <c r="F59" s="34"/>
    </row>
    <row r="60" spans="1:6" ht="40.5" customHeight="1" x14ac:dyDescent="0.25">
      <c r="A60" s="5" t="s">
        <v>104</v>
      </c>
      <c r="B60" s="53" t="s">
        <v>167</v>
      </c>
      <c r="C60" s="54">
        <v>1</v>
      </c>
      <c r="D60" s="6" t="s">
        <v>2</v>
      </c>
      <c r="E60" s="34"/>
      <c r="F60" s="34"/>
    </row>
    <row r="61" spans="1:6" ht="40.5" customHeight="1" x14ac:dyDescent="0.25">
      <c r="A61" s="5" t="s">
        <v>106</v>
      </c>
      <c r="B61" s="53" t="s">
        <v>141</v>
      </c>
      <c r="C61" s="54">
        <v>1</v>
      </c>
      <c r="D61" s="6" t="s">
        <v>8</v>
      </c>
      <c r="E61" s="34"/>
      <c r="F61" s="34"/>
    </row>
    <row r="62" spans="1:6" ht="40.5" customHeight="1" x14ac:dyDescent="0.25">
      <c r="A62" s="5" t="s">
        <v>108</v>
      </c>
      <c r="B62" s="53" t="s">
        <v>168</v>
      </c>
      <c r="C62" s="54">
        <v>1350</v>
      </c>
      <c r="D62" s="6" t="s">
        <v>11</v>
      </c>
      <c r="E62" s="34"/>
      <c r="F62" s="34"/>
    </row>
    <row r="63" spans="1:6" ht="27.75" customHeight="1" x14ac:dyDescent="0.25">
      <c r="A63" s="7"/>
      <c r="B63" s="56" t="s">
        <v>33</v>
      </c>
      <c r="C63" s="31"/>
      <c r="D63" s="7"/>
      <c r="E63" s="35"/>
      <c r="F63" s="35"/>
    </row>
    <row r="64" spans="1:6" ht="27.75" customHeight="1" x14ac:dyDescent="0.25">
      <c r="A64" s="7"/>
      <c r="B64" s="56" t="s">
        <v>169</v>
      </c>
      <c r="C64" s="31"/>
      <c r="D64" s="7"/>
      <c r="E64" s="35"/>
      <c r="F64" s="35"/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disablePrompts="1" count="1">
    <dataValidation type="list" allowBlank="1" showInputMessage="1" showErrorMessage="1" sqref="D20:D62" xr:uid="{ABD560CB-5376-4EC6-AB60-553FCB938F1C}">
      <formula1>$A$1:$A$13</formula1>
    </dataValidation>
  </dataValidations>
  <printOptions horizontalCentered="1"/>
  <pageMargins left="0.75" right="0.75" top="1" bottom="1" header="0.5" footer="0.7"/>
  <pageSetup firstPageNumber="8" orientation="portrait" useFirstPageNumber="1" r:id="rId1"/>
  <headerFooter>
    <oddHeader>&amp;L&amp;"Arial,Bold"SCHEDULE B&amp;R&amp;"Arial,Regular"&amp;10Bidder: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7" tint="-0.499984740745262"/>
  </sheetPr>
  <dimension ref="A1:P317"/>
  <sheetViews>
    <sheetView zoomScaleNormal="100" zoomScaleSheetLayoutView="100" workbookViewId="0">
      <selection activeCell="E11" sqref="E11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39" customWidth="1"/>
    <col min="4" max="4" width="6.7109375" style="23" customWidth="1"/>
    <col min="5" max="5" width="11" style="32" customWidth="1"/>
    <col min="6" max="6" width="13.42578125" style="32" customWidth="1"/>
    <col min="7" max="7" width="11" style="32" customWidth="1"/>
    <col min="8" max="8" width="13.42578125" style="32" customWidth="1"/>
    <col min="9" max="9" width="11" style="32" customWidth="1"/>
    <col min="10" max="10" width="13.42578125" style="32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</cols>
  <sheetData>
    <row r="1" spans="1:16" s="8" customFormat="1" ht="30" customHeight="1" x14ac:dyDescent="0.25">
      <c r="A1" s="81" t="s">
        <v>171</v>
      </c>
      <c r="B1" s="82"/>
      <c r="C1" s="82"/>
      <c r="D1" s="83"/>
      <c r="E1" s="70" t="s">
        <v>179</v>
      </c>
      <c r="F1" s="71"/>
      <c r="G1" s="74" t="s">
        <v>175</v>
      </c>
      <c r="H1" s="71"/>
      <c r="I1" s="74" t="s">
        <v>176</v>
      </c>
      <c r="J1" s="75"/>
      <c r="K1" s="74" t="s">
        <v>177</v>
      </c>
      <c r="L1" s="75"/>
      <c r="M1" s="74" t="s">
        <v>178</v>
      </c>
      <c r="N1" s="75"/>
      <c r="O1" s="70" t="s">
        <v>31</v>
      </c>
      <c r="P1" s="71"/>
    </row>
    <row r="2" spans="1:16" x14ac:dyDescent="0.25">
      <c r="A2" s="84" t="str">
        <f>ProjectTitle</f>
        <v>SOUTHEAST TAXIWAY T REHABILITATION</v>
      </c>
      <c r="B2" s="85"/>
      <c r="C2" s="85"/>
      <c r="D2" s="86"/>
      <c r="E2" s="72"/>
      <c r="F2" s="73"/>
      <c r="G2" s="72"/>
      <c r="H2" s="73"/>
      <c r="I2" s="76"/>
      <c r="J2" s="77"/>
      <c r="K2" s="76"/>
      <c r="L2" s="77"/>
      <c r="M2" s="76"/>
      <c r="N2" s="77"/>
      <c r="O2" s="72"/>
      <c r="P2" s="73"/>
    </row>
    <row r="3" spans="1:16" x14ac:dyDescent="0.25">
      <c r="A3" s="84">
        <f>ProjectTitle2</f>
        <v>0</v>
      </c>
      <c r="B3" s="85"/>
      <c r="C3" s="85"/>
      <c r="D3" s="86"/>
      <c r="E3" s="72"/>
      <c r="F3" s="73"/>
      <c r="G3" s="72"/>
      <c r="H3" s="73"/>
      <c r="I3" s="76"/>
      <c r="J3" s="77"/>
      <c r="K3" s="76"/>
      <c r="L3" s="77"/>
      <c r="M3" s="76"/>
      <c r="N3" s="77"/>
      <c r="O3" s="72"/>
      <c r="P3" s="73"/>
    </row>
    <row r="4" spans="1:16" x14ac:dyDescent="0.25">
      <c r="A4" s="87" t="s">
        <v>173</v>
      </c>
      <c r="B4" s="88"/>
      <c r="C4" s="88"/>
      <c r="D4" s="89"/>
      <c r="E4" s="72"/>
      <c r="F4" s="73"/>
      <c r="G4" s="72"/>
      <c r="H4" s="73"/>
      <c r="I4" s="76"/>
      <c r="J4" s="77"/>
      <c r="K4" s="76"/>
      <c r="L4" s="77"/>
      <c r="M4" s="76"/>
      <c r="N4" s="77"/>
      <c r="O4" s="72"/>
      <c r="P4" s="73"/>
    </row>
    <row r="5" spans="1:16" x14ac:dyDescent="0.25">
      <c r="A5" s="87" t="s">
        <v>174</v>
      </c>
      <c r="B5" s="88"/>
      <c r="C5" s="88"/>
      <c r="D5" s="89"/>
      <c r="E5" s="72"/>
      <c r="F5" s="73"/>
      <c r="G5" s="72"/>
      <c r="H5" s="73"/>
      <c r="I5" s="76"/>
      <c r="J5" s="77"/>
      <c r="K5" s="76"/>
      <c r="L5" s="77"/>
      <c r="M5" s="76"/>
      <c r="N5" s="77"/>
      <c r="O5" s="72"/>
      <c r="P5" s="73"/>
    </row>
    <row r="6" spans="1:16" x14ac:dyDescent="0.25">
      <c r="A6" s="78">
        <f ca="1">TODAY()</f>
        <v>43846</v>
      </c>
      <c r="B6" s="79"/>
      <c r="C6" s="79"/>
      <c r="D6" s="80"/>
      <c r="E6" s="40"/>
      <c r="F6" s="41"/>
      <c r="G6" s="40"/>
      <c r="H6" s="41"/>
      <c r="I6" s="40"/>
      <c r="J6" s="41"/>
      <c r="K6" s="40"/>
      <c r="L6" s="41"/>
      <c r="M6" s="40"/>
      <c r="N6" s="41"/>
      <c r="O6" s="40"/>
      <c r="P6" s="41"/>
    </row>
    <row r="7" spans="1:16" ht="32.25" customHeight="1" x14ac:dyDescent="0.25">
      <c r="A7" s="10" t="s">
        <v>13</v>
      </c>
      <c r="B7" s="19" t="s">
        <v>14</v>
      </c>
      <c r="C7" s="36" t="s">
        <v>15</v>
      </c>
      <c r="D7" s="19" t="s">
        <v>16</v>
      </c>
      <c r="E7" s="42" t="s">
        <v>17</v>
      </c>
      <c r="F7" s="42" t="s">
        <v>18</v>
      </c>
      <c r="G7" s="42" t="s">
        <v>17</v>
      </c>
      <c r="H7" s="42" t="s">
        <v>18</v>
      </c>
      <c r="I7" s="42" t="s">
        <v>17</v>
      </c>
      <c r="J7" s="42" t="s">
        <v>18</v>
      </c>
      <c r="K7" s="42" t="s">
        <v>17</v>
      </c>
      <c r="L7" s="42" t="s">
        <v>18</v>
      </c>
      <c r="M7" s="42" t="s">
        <v>17</v>
      </c>
      <c r="N7" s="42" t="s">
        <v>18</v>
      </c>
      <c r="O7" s="42" t="s">
        <v>17</v>
      </c>
      <c r="P7" s="42" t="s">
        <v>18</v>
      </c>
    </row>
    <row r="8" spans="1:16" ht="33" customHeight="1" x14ac:dyDescent="0.25">
      <c r="A8" s="50" t="str">
        <f>'Bid Schedule A'!A20</f>
        <v>0001</v>
      </c>
      <c r="B8" s="57" t="str">
        <f>'Bid Schedule A'!B20</f>
        <v>Sweeper
(Section 012200)</v>
      </c>
      <c r="C8" s="37">
        <f>'Bid Schedule A'!C20</f>
        <v>1</v>
      </c>
      <c r="D8" s="21" t="str">
        <f>'Bid Schedule A'!D20</f>
        <v>LS</v>
      </c>
      <c r="E8" s="26">
        <v>180000</v>
      </c>
      <c r="F8" s="27">
        <f t="shared" ref="F8:F9" si="0">AQTY*E8</f>
        <v>180000</v>
      </c>
      <c r="G8" s="26">
        <v>70600</v>
      </c>
      <c r="H8" s="27">
        <f t="shared" ref="H8:H9" si="1">AQTY*G8</f>
        <v>70600</v>
      </c>
      <c r="I8" s="26">
        <v>195000</v>
      </c>
      <c r="J8" s="27">
        <f t="shared" ref="J8:J9" si="2">AQTY*I8</f>
        <v>195000</v>
      </c>
      <c r="K8" s="26">
        <v>150000</v>
      </c>
      <c r="L8" s="27">
        <f t="shared" ref="L8:L9" si="3">AQTY*K8</f>
        <v>150000</v>
      </c>
      <c r="M8" s="26">
        <v>125000</v>
      </c>
      <c r="N8" s="27">
        <f t="shared" ref="N8:N9" si="4">AQTY*M8</f>
        <v>125000</v>
      </c>
      <c r="O8" s="26">
        <v>99750</v>
      </c>
      <c r="P8" s="27">
        <f t="shared" ref="P8:P9" si="5">AQTY*O8</f>
        <v>99750</v>
      </c>
    </row>
    <row r="9" spans="1:16" ht="33" customHeight="1" x14ac:dyDescent="0.25">
      <c r="A9" s="50" t="str">
        <f>'Bid Schedule A'!A21</f>
        <v>0002</v>
      </c>
      <c r="B9" s="57" t="str">
        <f>'Bid Schedule A'!B21</f>
        <v>Security Control Monitoring
(Section 012200)</v>
      </c>
      <c r="C9" s="37">
        <f>'Bid Schedule A'!C21</f>
        <v>1</v>
      </c>
      <c r="D9" s="21" t="str">
        <f>'Bid Schedule A'!D21</f>
        <v>LS</v>
      </c>
      <c r="E9" s="26">
        <v>30000</v>
      </c>
      <c r="F9" s="27">
        <f t="shared" si="0"/>
        <v>30000</v>
      </c>
      <c r="G9" s="26">
        <v>28166</v>
      </c>
      <c r="H9" s="27">
        <f t="shared" si="1"/>
        <v>28166</v>
      </c>
      <c r="I9" s="26">
        <v>6000</v>
      </c>
      <c r="J9" s="27">
        <f t="shared" si="2"/>
        <v>6000</v>
      </c>
      <c r="K9" s="26">
        <v>50000</v>
      </c>
      <c r="L9" s="27">
        <f t="shared" si="3"/>
        <v>50000</v>
      </c>
      <c r="M9" s="26">
        <v>50000</v>
      </c>
      <c r="N9" s="27">
        <f t="shared" si="4"/>
        <v>50000</v>
      </c>
      <c r="O9" s="26">
        <v>15000</v>
      </c>
      <c r="P9" s="27">
        <f t="shared" si="5"/>
        <v>15000</v>
      </c>
    </row>
    <row r="10" spans="1:16" ht="33" customHeight="1" x14ac:dyDescent="0.25">
      <c r="A10" s="50" t="str">
        <f>'Bid Schedule A'!A22</f>
        <v>0003</v>
      </c>
      <c r="B10" s="57" t="str">
        <f>'Bid Schedule A'!B22</f>
        <v>Traffic Control
(Section 012200)</v>
      </c>
      <c r="C10" s="37">
        <f>'Bid Schedule A'!C22</f>
        <v>1</v>
      </c>
      <c r="D10" s="21" t="str">
        <f>'Bid Schedule A'!D22</f>
        <v>LS</v>
      </c>
      <c r="E10" s="26">
        <v>80000</v>
      </c>
      <c r="F10" s="27">
        <f t="shared" ref="F10:F73" si="6">AQTY*E10</f>
        <v>80000</v>
      </c>
      <c r="G10" s="26">
        <v>80125</v>
      </c>
      <c r="H10" s="27">
        <f t="shared" ref="H10:H73" si="7">AQTY*G10</f>
        <v>80125</v>
      </c>
      <c r="I10" s="26">
        <v>160000</v>
      </c>
      <c r="J10" s="27">
        <f t="shared" ref="J10:J73" si="8">AQTY*I10</f>
        <v>160000</v>
      </c>
      <c r="K10" s="26">
        <v>105000</v>
      </c>
      <c r="L10" s="27">
        <f t="shared" ref="L10:L73" si="9">AQTY*K10</f>
        <v>105000</v>
      </c>
      <c r="M10" s="26">
        <v>10000</v>
      </c>
      <c r="N10" s="27">
        <f t="shared" ref="N10:N73" si="10">AQTY*M10</f>
        <v>10000</v>
      </c>
      <c r="O10" s="26">
        <v>70000</v>
      </c>
      <c r="P10" s="27">
        <f t="shared" ref="P10:P73" si="11">AQTY*O10</f>
        <v>70000</v>
      </c>
    </row>
    <row r="11" spans="1:16" ht="33" customHeight="1" x14ac:dyDescent="0.25">
      <c r="A11" s="50" t="str">
        <f>'Bid Schedule A'!A23</f>
        <v>0004</v>
      </c>
      <c r="B11" s="57" t="str">
        <f>'Bid Schedule A'!B23</f>
        <v>Escort
(Section 012200)</v>
      </c>
      <c r="C11" s="37">
        <f>'Bid Schedule A'!C23</f>
        <v>1</v>
      </c>
      <c r="D11" s="21" t="str">
        <f>'Bid Schedule A'!D23</f>
        <v>LS</v>
      </c>
      <c r="E11" s="26">
        <v>210000</v>
      </c>
      <c r="F11" s="27">
        <f t="shared" si="6"/>
        <v>210000</v>
      </c>
      <c r="G11" s="26">
        <v>72495</v>
      </c>
      <c r="H11" s="27">
        <f t="shared" si="7"/>
        <v>72495</v>
      </c>
      <c r="I11" s="26">
        <v>250000</v>
      </c>
      <c r="J11" s="27">
        <f t="shared" si="8"/>
        <v>250000</v>
      </c>
      <c r="K11" s="26">
        <v>94000</v>
      </c>
      <c r="L11" s="27">
        <f t="shared" si="9"/>
        <v>94000</v>
      </c>
      <c r="M11" s="26">
        <v>115000</v>
      </c>
      <c r="N11" s="27">
        <f t="shared" si="10"/>
        <v>115000</v>
      </c>
      <c r="O11" s="26">
        <v>128250</v>
      </c>
      <c r="P11" s="27">
        <f t="shared" si="11"/>
        <v>128250</v>
      </c>
    </row>
    <row r="12" spans="1:16" ht="33" customHeight="1" x14ac:dyDescent="0.25">
      <c r="A12" s="50" t="str">
        <f>'Bid Schedule A'!A24</f>
        <v>0005</v>
      </c>
      <c r="B12" s="57" t="str">
        <f>'Bid Schedule A'!B24</f>
        <v>Jet Blast Control Material
(Section 015713)</v>
      </c>
      <c r="C12" s="37">
        <f>'Bid Schedule A'!C24</f>
        <v>3</v>
      </c>
      <c r="D12" s="21" t="str">
        <f>'Bid Schedule A'!D24</f>
        <v>Acre</v>
      </c>
      <c r="E12" s="26">
        <v>4000</v>
      </c>
      <c r="F12" s="27">
        <f t="shared" si="6"/>
        <v>12000</v>
      </c>
      <c r="G12" s="26">
        <v>3650</v>
      </c>
      <c r="H12" s="27">
        <f t="shared" si="7"/>
        <v>10950</v>
      </c>
      <c r="I12" s="26">
        <v>3750</v>
      </c>
      <c r="J12" s="27">
        <f t="shared" si="8"/>
        <v>11250</v>
      </c>
      <c r="K12" s="26">
        <v>4500</v>
      </c>
      <c r="L12" s="27">
        <f t="shared" si="9"/>
        <v>13500</v>
      </c>
      <c r="M12" s="26">
        <v>4000</v>
      </c>
      <c r="N12" s="27">
        <f t="shared" si="10"/>
        <v>12000</v>
      </c>
      <c r="O12" s="26">
        <v>5500</v>
      </c>
      <c r="P12" s="27">
        <f t="shared" si="11"/>
        <v>16500</v>
      </c>
    </row>
    <row r="13" spans="1:16" ht="33" customHeight="1" x14ac:dyDescent="0.25">
      <c r="A13" s="50" t="str">
        <f>'Bid Schedule A'!A25</f>
        <v>0006</v>
      </c>
      <c r="B13" s="57" t="str">
        <f>'Bid Schedule A'!B25</f>
        <v>Inlet Protection
(Section 015713)</v>
      </c>
      <c r="C13" s="37">
        <f>'Bid Schedule A'!C25</f>
        <v>60</v>
      </c>
      <c r="D13" s="21" t="str">
        <f>'Bid Schedule A'!D25</f>
        <v>Each</v>
      </c>
      <c r="E13" s="26">
        <v>80</v>
      </c>
      <c r="F13" s="27">
        <f t="shared" si="6"/>
        <v>4800</v>
      </c>
      <c r="G13" s="26">
        <v>90</v>
      </c>
      <c r="H13" s="27">
        <f t="shared" si="7"/>
        <v>5400</v>
      </c>
      <c r="I13" s="26">
        <v>100</v>
      </c>
      <c r="J13" s="27">
        <f t="shared" si="8"/>
        <v>6000</v>
      </c>
      <c r="K13" s="26">
        <v>110</v>
      </c>
      <c r="L13" s="27">
        <f t="shared" si="9"/>
        <v>6600</v>
      </c>
      <c r="M13" s="26">
        <v>100</v>
      </c>
      <c r="N13" s="27">
        <f t="shared" si="10"/>
        <v>6000</v>
      </c>
      <c r="O13" s="26">
        <v>100</v>
      </c>
      <c r="P13" s="27">
        <f t="shared" si="11"/>
        <v>6000</v>
      </c>
    </row>
    <row r="14" spans="1:16" ht="33" customHeight="1" x14ac:dyDescent="0.25">
      <c r="A14" s="50" t="str">
        <f>'Bid Schedule A'!A26</f>
        <v>0007</v>
      </c>
      <c r="B14" s="57" t="str">
        <f>'Bid Schedule A'!B26</f>
        <v>Ditch Protection/Check Dams
(Section 015713)</v>
      </c>
      <c r="C14" s="37">
        <f>'Bid Schedule A'!C26</f>
        <v>4</v>
      </c>
      <c r="D14" s="21" t="str">
        <f>'Bid Schedule A'!D26</f>
        <v>Each</v>
      </c>
      <c r="E14" s="26">
        <v>130</v>
      </c>
      <c r="F14" s="27">
        <f t="shared" si="6"/>
        <v>520</v>
      </c>
      <c r="G14" s="26">
        <v>115</v>
      </c>
      <c r="H14" s="27">
        <f t="shared" si="7"/>
        <v>460</v>
      </c>
      <c r="I14" s="26">
        <v>190</v>
      </c>
      <c r="J14" s="27">
        <f t="shared" si="8"/>
        <v>760</v>
      </c>
      <c r="K14" s="26">
        <v>200</v>
      </c>
      <c r="L14" s="27">
        <f t="shared" si="9"/>
        <v>800</v>
      </c>
      <c r="M14" s="26">
        <v>300</v>
      </c>
      <c r="N14" s="27">
        <f t="shared" si="10"/>
        <v>1200</v>
      </c>
      <c r="O14" s="26">
        <v>175</v>
      </c>
      <c r="P14" s="27">
        <f t="shared" si="11"/>
        <v>700</v>
      </c>
    </row>
    <row r="15" spans="1:16" ht="33" customHeight="1" x14ac:dyDescent="0.25">
      <c r="A15" s="50" t="str">
        <f>'Bid Schedule A'!A27</f>
        <v>0008</v>
      </c>
      <c r="B15" s="57" t="str">
        <f>'Bid Schedule A'!B27</f>
        <v>Installation and Removal of Silt Fence
(Item C-102)</v>
      </c>
      <c r="C15" s="60">
        <f>'Bid Schedule A'!C27</f>
        <v>4650</v>
      </c>
      <c r="D15" s="21" t="str">
        <f>'Bid Schedule A'!D27</f>
        <v>LF</v>
      </c>
      <c r="E15" s="26">
        <v>3.5</v>
      </c>
      <c r="F15" s="27">
        <f t="shared" si="6"/>
        <v>16275</v>
      </c>
      <c r="G15" s="26">
        <v>3.2</v>
      </c>
      <c r="H15" s="27">
        <f t="shared" si="7"/>
        <v>14880</v>
      </c>
      <c r="I15" s="26">
        <v>3.25</v>
      </c>
      <c r="J15" s="27">
        <f t="shared" si="8"/>
        <v>15112.5</v>
      </c>
      <c r="K15" s="26">
        <v>3</v>
      </c>
      <c r="L15" s="27">
        <f t="shared" si="9"/>
        <v>13950</v>
      </c>
      <c r="M15" s="26">
        <v>5</v>
      </c>
      <c r="N15" s="27">
        <f t="shared" si="10"/>
        <v>23250</v>
      </c>
      <c r="O15" s="26">
        <v>2.5</v>
      </c>
      <c r="P15" s="27">
        <f t="shared" si="11"/>
        <v>11625</v>
      </c>
    </row>
    <row r="16" spans="1:16" ht="33" customHeight="1" x14ac:dyDescent="0.25">
      <c r="A16" s="50" t="str">
        <f>'Bid Schedule A'!A28</f>
        <v>0009</v>
      </c>
      <c r="B16" s="57" t="str">
        <f>'Bid Schedule A'!B28</f>
        <v>Mobilization
(Item C-105)</v>
      </c>
      <c r="C16" s="60">
        <f>'Bid Schedule A'!C28</f>
        <v>1</v>
      </c>
      <c r="D16" s="21" t="str">
        <f>'Bid Schedule A'!D28</f>
        <v>LS</v>
      </c>
      <c r="E16" s="26">
        <v>867000</v>
      </c>
      <c r="F16" s="27">
        <f t="shared" si="6"/>
        <v>867000</v>
      </c>
      <c r="G16" s="26">
        <v>449065.35</v>
      </c>
      <c r="H16" s="27">
        <f t="shared" si="7"/>
        <v>449065.35</v>
      </c>
      <c r="I16" s="26">
        <v>913783.22</v>
      </c>
      <c r="J16" s="27">
        <f>AQTY*I16</f>
        <v>913783.22</v>
      </c>
      <c r="K16" s="26">
        <v>475000</v>
      </c>
      <c r="L16" s="27">
        <f t="shared" si="9"/>
        <v>475000</v>
      </c>
      <c r="M16" s="26">
        <v>446000.2</v>
      </c>
      <c r="N16" s="27">
        <f t="shared" si="10"/>
        <v>446000.2</v>
      </c>
      <c r="O16" s="26">
        <v>386169</v>
      </c>
      <c r="P16" s="27">
        <f t="shared" si="11"/>
        <v>386169</v>
      </c>
    </row>
    <row r="17" spans="1:16" ht="33" customHeight="1" x14ac:dyDescent="0.25">
      <c r="A17" s="50" t="str">
        <f>'Bid Schedule A'!A29</f>
        <v>0010</v>
      </c>
      <c r="B17" s="57" t="str">
        <f>'Bid Schedule A'!B29</f>
        <v>Asphalt Pavement Removal - 4-Inch Depth
(Item P-101)</v>
      </c>
      <c r="C17" s="60">
        <f>'Bid Schedule A'!C29</f>
        <v>2700</v>
      </c>
      <c r="D17" s="21" t="str">
        <f>'Bid Schedule A'!D29</f>
        <v>SY</v>
      </c>
      <c r="E17" s="26">
        <v>3.6</v>
      </c>
      <c r="F17" s="27">
        <f t="shared" si="6"/>
        <v>9720</v>
      </c>
      <c r="G17" s="26">
        <v>5</v>
      </c>
      <c r="H17" s="27">
        <f t="shared" si="7"/>
        <v>13500</v>
      </c>
      <c r="I17" s="26">
        <v>4.1500000000000004</v>
      </c>
      <c r="J17" s="27">
        <f t="shared" si="8"/>
        <v>11205.000000000002</v>
      </c>
      <c r="K17" s="26">
        <v>2.5</v>
      </c>
      <c r="L17" s="27">
        <f t="shared" si="9"/>
        <v>6750</v>
      </c>
      <c r="M17" s="26">
        <v>2</v>
      </c>
      <c r="N17" s="27">
        <f t="shared" si="10"/>
        <v>5400</v>
      </c>
      <c r="O17" s="26">
        <v>4</v>
      </c>
      <c r="P17" s="27">
        <f t="shared" si="11"/>
        <v>10800</v>
      </c>
    </row>
    <row r="18" spans="1:16" ht="33" customHeight="1" x14ac:dyDescent="0.25">
      <c r="A18" s="50" t="str">
        <f>'Bid Schedule A'!A30</f>
        <v>0011</v>
      </c>
      <c r="B18" s="57" t="str">
        <f>'Bid Schedule A'!B30</f>
        <v>Asphalt Pavement Removal - 6-Inch Depth
(Item P-101)</v>
      </c>
      <c r="C18" s="60">
        <f>'Bid Schedule A'!C30</f>
        <v>625</v>
      </c>
      <c r="D18" s="21" t="str">
        <f>'Bid Schedule A'!D30</f>
        <v>SY</v>
      </c>
      <c r="E18" s="26">
        <v>40</v>
      </c>
      <c r="F18" s="27">
        <f t="shared" si="6"/>
        <v>25000</v>
      </c>
      <c r="G18" s="26">
        <v>5</v>
      </c>
      <c r="H18" s="27">
        <f t="shared" si="7"/>
        <v>3125</v>
      </c>
      <c r="I18" s="26">
        <v>34.65</v>
      </c>
      <c r="J18" s="27">
        <f t="shared" si="8"/>
        <v>21656.25</v>
      </c>
      <c r="K18" s="26">
        <v>4</v>
      </c>
      <c r="L18" s="27">
        <f t="shared" si="9"/>
        <v>2500</v>
      </c>
      <c r="M18" s="26">
        <v>4</v>
      </c>
      <c r="N18" s="27">
        <f t="shared" si="10"/>
        <v>2500</v>
      </c>
      <c r="O18" s="26">
        <v>7</v>
      </c>
      <c r="P18" s="27">
        <f t="shared" si="11"/>
        <v>4375</v>
      </c>
    </row>
    <row r="19" spans="1:16" ht="33" customHeight="1" x14ac:dyDescent="0.25">
      <c r="A19" s="50" t="str">
        <f>'Bid Schedule A'!A31</f>
        <v>0012</v>
      </c>
      <c r="B19" s="57" t="str">
        <f>'Bid Schedule A'!B31</f>
        <v>Asphalt Pavement Removal - 13.5-Inch Depth
(Item P-101)</v>
      </c>
      <c r="C19" s="60">
        <f>'Bid Schedule A'!C31</f>
        <v>1000</v>
      </c>
      <c r="D19" s="21" t="str">
        <f>'Bid Schedule A'!D31</f>
        <v>SY</v>
      </c>
      <c r="E19" s="26">
        <v>15</v>
      </c>
      <c r="F19" s="27">
        <f t="shared" si="6"/>
        <v>15000</v>
      </c>
      <c r="G19" s="26">
        <v>12</v>
      </c>
      <c r="H19" s="27">
        <f t="shared" si="7"/>
        <v>12000</v>
      </c>
      <c r="I19" s="26">
        <v>12.9</v>
      </c>
      <c r="J19" s="27">
        <f t="shared" si="8"/>
        <v>12900</v>
      </c>
      <c r="K19" s="26">
        <v>9</v>
      </c>
      <c r="L19" s="27">
        <f t="shared" si="9"/>
        <v>9000</v>
      </c>
      <c r="M19" s="26">
        <v>9</v>
      </c>
      <c r="N19" s="27">
        <f t="shared" si="10"/>
        <v>9000</v>
      </c>
      <c r="O19" s="26">
        <v>6.5</v>
      </c>
      <c r="P19" s="27">
        <f t="shared" si="11"/>
        <v>6500</v>
      </c>
    </row>
    <row r="20" spans="1:16" ht="33" customHeight="1" x14ac:dyDescent="0.25">
      <c r="A20" s="50" t="str">
        <f>'Bid Schedule A'!A32</f>
        <v>0013</v>
      </c>
      <c r="B20" s="57" t="str">
        <f>'Bid Schedule A'!B32</f>
        <v>PCC Pavement Removal - 6-Inch Depth
(Item P-101)</v>
      </c>
      <c r="C20" s="60">
        <f>'Bid Schedule A'!C32</f>
        <v>25</v>
      </c>
      <c r="D20" s="21" t="str">
        <f>'Bid Schedule A'!D32</f>
        <v>SY</v>
      </c>
      <c r="E20" s="26">
        <v>70</v>
      </c>
      <c r="F20" s="27">
        <f t="shared" si="6"/>
        <v>1750</v>
      </c>
      <c r="G20" s="26">
        <v>25</v>
      </c>
      <c r="H20" s="27">
        <f t="shared" si="7"/>
        <v>625</v>
      </c>
      <c r="I20" s="26">
        <v>48</v>
      </c>
      <c r="J20" s="27">
        <f t="shared" si="8"/>
        <v>1200</v>
      </c>
      <c r="K20" s="26">
        <v>22</v>
      </c>
      <c r="L20" s="27">
        <f t="shared" si="9"/>
        <v>550</v>
      </c>
      <c r="M20" s="26">
        <v>35</v>
      </c>
      <c r="N20" s="27">
        <f t="shared" si="10"/>
        <v>875</v>
      </c>
      <c r="O20" s="26">
        <v>40</v>
      </c>
      <c r="P20" s="27">
        <f t="shared" si="11"/>
        <v>1000</v>
      </c>
    </row>
    <row r="21" spans="1:16" ht="33" customHeight="1" x14ac:dyDescent="0.25">
      <c r="A21" s="50" t="str">
        <f>'Bid Schedule A'!A33</f>
        <v>0014</v>
      </c>
      <c r="B21" s="57" t="str">
        <f>'Bid Schedule A'!B33</f>
        <v>Cold Milling - 3-Inch Depth
(Item P-101)</v>
      </c>
      <c r="C21" s="60">
        <f>'Bid Schedule A'!C33</f>
        <v>3400</v>
      </c>
      <c r="D21" s="21" t="str">
        <f>'Bid Schedule A'!D33</f>
        <v>SY</v>
      </c>
      <c r="E21" s="26">
        <v>3.25</v>
      </c>
      <c r="F21" s="27">
        <f t="shared" si="6"/>
        <v>11050</v>
      </c>
      <c r="G21" s="26">
        <v>3</v>
      </c>
      <c r="H21" s="27">
        <f t="shared" si="7"/>
        <v>10200</v>
      </c>
      <c r="I21" s="26">
        <v>9.6</v>
      </c>
      <c r="J21" s="27">
        <f t="shared" si="8"/>
        <v>32640</v>
      </c>
      <c r="K21" s="26">
        <v>1.8</v>
      </c>
      <c r="L21" s="27">
        <f t="shared" si="9"/>
        <v>6120</v>
      </c>
      <c r="M21" s="26">
        <v>1.6</v>
      </c>
      <c r="N21" s="27">
        <f t="shared" si="10"/>
        <v>5440</v>
      </c>
      <c r="O21" s="26">
        <v>3.5</v>
      </c>
      <c r="P21" s="27">
        <f t="shared" si="11"/>
        <v>11900</v>
      </c>
    </row>
    <row r="22" spans="1:16" ht="33" customHeight="1" x14ac:dyDescent="0.25">
      <c r="A22" s="50" t="str">
        <f>'Bid Schedule A'!A34</f>
        <v>0015</v>
      </c>
      <c r="B22" s="57" t="str">
        <f>'Bid Schedule A'!B34</f>
        <v>Cold Milling - 4-Inch Depth
(Item P-101)</v>
      </c>
      <c r="C22" s="60">
        <f>'Bid Schedule A'!C34</f>
        <v>22300</v>
      </c>
      <c r="D22" s="21" t="str">
        <f>'Bid Schedule A'!D34</f>
        <v>SY</v>
      </c>
      <c r="E22" s="26">
        <v>3.5</v>
      </c>
      <c r="F22" s="27">
        <f t="shared" si="6"/>
        <v>78050</v>
      </c>
      <c r="G22" s="26">
        <v>3.3</v>
      </c>
      <c r="H22" s="27">
        <f t="shared" si="7"/>
        <v>73590</v>
      </c>
      <c r="I22" s="26">
        <v>3.6</v>
      </c>
      <c r="J22" s="27">
        <f t="shared" si="8"/>
        <v>80280</v>
      </c>
      <c r="K22" s="26">
        <v>2.1</v>
      </c>
      <c r="L22" s="27">
        <f t="shared" si="9"/>
        <v>46830</v>
      </c>
      <c r="M22" s="26">
        <v>2</v>
      </c>
      <c r="N22" s="27">
        <f t="shared" si="10"/>
        <v>44600</v>
      </c>
      <c r="O22" s="26">
        <v>4</v>
      </c>
      <c r="P22" s="27">
        <f t="shared" si="11"/>
        <v>89200</v>
      </c>
    </row>
    <row r="23" spans="1:16" ht="33" customHeight="1" x14ac:dyDescent="0.25">
      <c r="A23" s="50" t="str">
        <f>'Bid Schedule A'!A35</f>
        <v>0016</v>
      </c>
      <c r="B23" s="57" t="str">
        <f>'Bid Schedule A'!B35</f>
        <v>Cold Milling - 12-Inch Depth
(Item P-101)</v>
      </c>
      <c r="C23" s="60">
        <f>'Bid Schedule A'!C35</f>
        <v>2400</v>
      </c>
      <c r="D23" s="21" t="str">
        <f>'Bid Schedule A'!D35</f>
        <v>SY</v>
      </c>
      <c r="E23" s="26">
        <v>10.5</v>
      </c>
      <c r="F23" s="27">
        <f t="shared" si="6"/>
        <v>25200</v>
      </c>
      <c r="G23" s="26">
        <v>11.5</v>
      </c>
      <c r="H23" s="27">
        <f t="shared" si="7"/>
        <v>27600</v>
      </c>
      <c r="I23" s="26">
        <v>9.6999999999999993</v>
      </c>
      <c r="J23" s="27">
        <f t="shared" si="8"/>
        <v>23280</v>
      </c>
      <c r="K23" s="26">
        <v>7.5</v>
      </c>
      <c r="L23" s="27">
        <f t="shared" si="9"/>
        <v>18000</v>
      </c>
      <c r="M23" s="26">
        <v>7</v>
      </c>
      <c r="N23" s="27">
        <f t="shared" si="10"/>
        <v>16800</v>
      </c>
      <c r="O23" s="26">
        <v>6</v>
      </c>
      <c r="P23" s="27">
        <f t="shared" si="11"/>
        <v>14400</v>
      </c>
    </row>
    <row r="24" spans="1:16" ht="33" customHeight="1" x14ac:dyDescent="0.25">
      <c r="A24" s="50" t="str">
        <f>'Bid Schedule A'!A36</f>
        <v>0017</v>
      </c>
      <c r="B24" s="57" t="str">
        <f>'Bid Schedule A'!B36</f>
        <v>Removal of Pipe and Other Buried Structures
(Item P-101)</v>
      </c>
      <c r="C24" s="60">
        <f>'Bid Schedule A'!C36</f>
        <v>1</v>
      </c>
      <c r="D24" s="21" t="str">
        <f>'Bid Schedule A'!D36</f>
        <v>LS</v>
      </c>
      <c r="E24" s="26">
        <v>230000</v>
      </c>
      <c r="F24" s="27">
        <f t="shared" si="6"/>
        <v>230000</v>
      </c>
      <c r="G24" s="26">
        <v>75000</v>
      </c>
      <c r="H24" s="27">
        <f t="shared" si="7"/>
        <v>75000</v>
      </c>
      <c r="I24" s="26">
        <v>300000</v>
      </c>
      <c r="J24" s="27">
        <f t="shared" si="8"/>
        <v>300000</v>
      </c>
      <c r="K24" s="26">
        <v>160000.26999999999</v>
      </c>
      <c r="L24" s="27">
        <f t="shared" si="9"/>
        <v>160000.26999999999</v>
      </c>
      <c r="M24" s="26">
        <v>200000</v>
      </c>
      <c r="N24" s="27">
        <f t="shared" si="10"/>
        <v>200000</v>
      </c>
      <c r="O24" s="26">
        <v>93550</v>
      </c>
      <c r="P24" s="27">
        <f t="shared" si="11"/>
        <v>93550</v>
      </c>
    </row>
    <row r="25" spans="1:16" ht="33" customHeight="1" x14ac:dyDescent="0.25">
      <c r="A25" s="50" t="str">
        <f>'Bid Schedule A'!A37</f>
        <v>0018</v>
      </c>
      <c r="B25" s="57" t="str">
        <f>'Bid Schedule A'!B37</f>
        <v>Unclassified Excavation
(Item P-152)</v>
      </c>
      <c r="C25" s="60">
        <f>'Bid Schedule A'!C37</f>
        <v>10650</v>
      </c>
      <c r="D25" s="21" t="str">
        <f>'Bid Schedule A'!D37</f>
        <v>CY</v>
      </c>
      <c r="E25" s="26">
        <v>25</v>
      </c>
      <c r="F25" s="27">
        <f t="shared" si="6"/>
        <v>266250</v>
      </c>
      <c r="G25" s="26">
        <v>24</v>
      </c>
      <c r="H25" s="27">
        <f t="shared" si="7"/>
        <v>255600</v>
      </c>
      <c r="I25" s="26">
        <v>30</v>
      </c>
      <c r="J25" s="27">
        <f t="shared" si="8"/>
        <v>319500</v>
      </c>
      <c r="K25" s="26">
        <v>25</v>
      </c>
      <c r="L25" s="27">
        <f t="shared" si="9"/>
        <v>266250</v>
      </c>
      <c r="M25" s="26">
        <v>14</v>
      </c>
      <c r="N25" s="27">
        <f t="shared" si="10"/>
        <v>149100</v>
      </c>
      <c r="O25" s="26">
        <v>25</v>
      </c>
      <c r="P25" s="27">
        <f t="shared" si="11"/>
        <v>266250</v>
      </c>
    </row>
    <row r="26" spans="1:16" ht="33" customHeight="1" x14ac:dyDescent="0.25">
      <c r="A26" s="50" t="str">
        <f>'Bid Schedule A'!A38</f>
        <v>0019</v>
      </c>
      <c r="B26" s="57" t="str">
        <f>'Bid Schedule A'!B38</f>
        <v>Unsuitable Excavation
(Item P-152)</v>
      </c>
      <c r="C26" s="60">
        <f>'Bid Schedule A'!C38</f>
        <v>1000</v>
      </c>
      <c r="D26" s="21" t="str">
        <f>'Bid Schedule A'!D38</f>
        <v>CY</v>
      </c>
      <c r="E26" s="26">
        <v>80</v>
      </c>
      <c r="F26" s="27">
        <f t="shared" si="6"/>
        <v>80000</v>
      </c>
      <c r="G26" s="26">
        <v>80</v>
      </c>
      <c r="H26" s="27">
        <f t="shared" si="7"/>
        <v>80000</v>
      </c>
      <c r="I26" s="26">
        <v>65</v>
      </c>
      <c r="J26" s="27">
        <f t="shared" si="8"/>
        <v>65000</v>
      </c>
      <c r="K26" s="26">
        <v>89</v>
      </c>
      <c r="L26" s="27">
        <f t="shared" si="9"/>
        <v>89000</v>
      </c>
      <c r="M26" s="26">
        <v>76</v>
      </c>
      <c r="N26" s="27">
        <f t="shared" si="10"/>
        <v>76000</v>
      </c>
      <c r="O26" s="26">
        <v>75</v>
      </c>
      <c r="P26" s="27">
        <f t="shared" si="11"/>
        <v>75000</v>
      </c>
    </row>
    <row r="27" spans="1:16" ht="33" customHeight="1" x14ac:dyDescent="0.25">
      <c r="A27" s="50" t="str">
        <f>'Bid Schedule A'!A39</f>
        <v>0020</v>
      </c>
      <c r="B27" s="57" t="str">
        <f>'Bid Schedule A'!B39</f>
        <v>Controlled Low-Strength Material
(Item P-153)</v>
      </c>
      <c r="C27" s="60">
        <f>'Bid Schedule A'!C39</f>
        <v>1750</v>
      </c>
      <c r="D27" s="21" t="str">
        <f>'Bid Schedule A'!D39</f>
        <v>CY</v>
      </c>
      <c r="E27" s="26">
        <v>160</v>
      </c>
      <c r="F27" s="27">
        <f t="shared" si="6"/>
        <v>280000</v>
      </c>
      <c r="G27" s="26">
        <v>155</v>
      </c>
      <c r="H27" s="27">
        <f t="shared" si="7"/>
        <v>271250</v>
      </c>
      <c r="I27" s="26">
        <v>200</v>
      </c>
      <c r="J27" s="27">
        <f t="shared" si="8"/>
        <v>350000</v>
      </c>
      <c r="K27" s="26">
        <v>145</v>
      </c>
      <c r="L27" s="27">
        <f t="shared" si="9"/>
        <v>253750</v>
      </c>
      <c r="M27" s="26">
        <v>150</v>
      </c>
      <c r="N27" s="27">
        <f t="shared" si="10"/>
        <v>262500</v>
      </c>
      <c r="O27" s="26">
        <v>170</v>
      </c>
      <c r="P27" s="27">
        <f t="shared" si="11"/>
        <v>297500</v>
      </c>
    </row>
    <row r="28" spans="1:16" ht="33" customHeight="1" x14ac:dyDescent="0.25">
      <c r="A28" s="50" t="str">
        <f>'Bid Schedule A'!A40</f>
        <v>0021</v>
      </c>
      <c r="B28" s="57" t="str">
        <f>'Bid Schedule A'!B40</f>
        <v>Subbase Course
(Item P-154)</v>
      </c>
      <c r="C28" s="60">
        <f>'Bid Schedule A'!C40</f>
        <v>5700</v>
      </c>
      <c r="D28" s="21" t="str">
        <f>'Bid Schedule A'!D40</f>
        <v>CY</v>
      </c>
      <c r="E28" s="26">
        <v>40</v>
      </c>
      <c r="F28" s="27">
        <f t="shared" si="6"/>
        <v>228000</v>
      </c>
      <c r="G28" s="26">
        <v>23</v>
      </c>
      <c r="H28" s="27">
        <f t="shared" si="7"/>
        <v>131100</v>
      </c>
      <c r="I28" s="26">
        <v>43</v>
      </c>
      <c r="J28" s="27">
        <f t="shared" si="8"/>
        <v>245100</v>
      </c>
      <c r="K28" s="26">
        <v>29</v>
      </c>
      <c r="L28" s="27">
        <f t="shared" si="9"/>
        <v>165300</v>
      </c>
      <c r="M28" s="26">
        <v>14</v>
      </c>
      <c r="N28" s="27">
        <f t="shared" si="10"/>
        <v>79800</v>
      </c>
      <c r="O28" s="26">
        <v>30</v>
      </c>
      <c r="P28" s="27">
        <f t="shared" si="11"/>
        <v>171000</v>
      </c>
    </row>
    <row r="29" spans="1:16" ht="33" customHeight="1" x14ac:dyDescent="0.25">
      <c r="A29" s="50" t="str">
        <f>'Bid Schedule A'!A41</f>
        <v>0022</v>
      </c>
      <c r="B29" s="57" t="str">
        <f>'Bid Schedule A'!B41</f>
        <v>Separation Geotextile
(Item P-154)</v>
      </c>
      <c r="C29" s="60">
        <f>'Bid Schedule A'!C41</f>
        <v>14400</v>
      </c>
      <c r="D29" s="21" t="str">
        <f>'Bid Schedule A'!D41</f>
        <v>SY</v>
      </c>
      <c r="E29" s="26">
        <v>1</v>
      </c>
      <c r="F29" s="27">
        <f t="shared" si="6"/>
        <v>14400</v>
      </c>
      <c r="G29" s="26">
        <v>1.25</v>
      </c>
      <c r="H29" s="27">
        <f t="shared" si="7"/>
        <v>18000</v>
      </c>
      <c r="I29" s="26">
        <v>1</v>
      </c>
      <c r="J29" s="27">
        <f t="shared" si="8"/>
        <v>14400</v>
      </c>
      <c r="K29" s="26">
        <v>1</v>
      </c>
      <c r="L29" s="27">
        <f t="shared" si="9"/>
        <v>14400</v>
      </c>
      <c r="M29" s="26">
        <v>2</v>
      </c>
      <c r="N29" s="27">
        <f t="shared" si="10"/>
        <v>28800</v>
      </c>
      <c r="O29" s="26">
        <v>1</v>
      </c>
      <c r="P29" s="27">
        <f t="shared" si="11"/>
        <v>14400</v>
      </c>
    </row>
    <row r="30" spans="1:16" ht="33" customHeight="1" x14ac:dyDescent="0.25">
      <c r="A30" s="50" t="str">
        <f>'Bid Schedule A'!A42</f>
        <v>0023</v>
      </c>
      <c r="B30" s="57" t="str">
        <f>'Bid Schedule A'!B42</f>
        <v>Crushed Aggregate Base Course
(Item P-209)</v>
      </c>
      <c r="C30" s="60">
        <f>'Bid Schedule A'!C42</f>
        <v>2600</v>
      </c>
      <c r="D30" s="21" t="str">
        <f>'Bid Schedule A'!D42</f>
        <v>CY</v>
      </c>
      <c r="E30" s="26">
        <v>75</v>
      </c>
      <c r="F30" s="27">
        <f t="shared" si="6"/>
        <v>195000</v>
      </c>
      <c r="G30" s="26">
        <v>80</v>
      </c>
      <c r="H30" s="27">
        <f t="shared" si="7"/>
        <v>208000</v>
      </c>
      <c r="I30" s="26">
        <v>80</v>
      </c>
      <c r="J30" s="27">
        <f t="shared" si="8"/>
        <v>208000</v>
      </c>
      <c r="K30" s="26">
        <v>66</v>
      </c>
      <c r="L30" s="27">
        <f t="shared" si="9"/>
        <v>171600</v>
      </c>
      <c r="M30" s="26">
        <v>61</v>
      </c>
      <c r="N30" s="27">
        <f t="shared" si="10"/>
        <v>158600</v>
      </c>
      <c r="O30" s="26">
        <v>60</v>
      </c>
      <c r="P30" s="27">
        <f t="shared" si="11"/>
        <v>156000</v>
      </c>
    </row>
    <row r="31" spans="1:16" ht="33" customHeight="1" x14ac:dyDescent="0.25">
      <c r="A31" s="50" t="str">
        <f>'Bid Schedule A'!A43</f>
        <v>0024</v>
      </c>
      <c r="B31" s="57" t="str">
        <f>'Bid Schedule A'!B43</f>
        <v>Asphalt Surface Course
(Item P-401)</v>
      </c>
      <c r="C31" s="60">
        <f>'Bid Schedule A'!C43</f>
        <v>7500</v>
      </c>
      <c r="D31" s="21" t="str">
        <f>'Bid Schedule A'!D43</f>
        <v>Ton</v>
      </c>
      <c r="E31" s="26">
        <v>115</v>
      </c>
      <c r="F31" s="27">
        <f t="shared" si="6"/>
        <v>862500</v>
      </c>
      <c r="G31" s="26">
        <v>105</v>
      </c>
      <c r="H31" s="27">
        <f t="shared" si="7"/>
        <v>787500</v>
      </c>
      <c r="I31" s="26">
        <v>106</v>
      </c>
      <c r="J31" s="27">
        <f t="shared" si="8"/>
        <v>795000</v>
      </c>
      <c r="K31" s="26">
        <v>115</v>
      </c>
      <c r="L31" s="27">
        <f t="shared" si="9"/>
        <v>862500</v>
      </c>
      <c r="M31" s="26">
        <v>110</v>
      </c>
      <c r="N31" s="27">
        <f t="shared" si="10"/>
        <v>825000</v>
      </c>
      <c r="O31" s="26">
        <v>110</v>
      </c>
      <c r="P31" s="27">
        <f t="shared" si="11"/>
        <v>825000</v>
      </c>
    </row>
    <row r="32" spans="1:16" ht="33" customHeight="1" x14ac:dyDescent="0.25">
      <c r="A32" s="50" t="str">
        <f>'Bid Schedule A'!A44</f>
        <v>0025</v>
      </c>
      <c r="B32" s="57" t="str">
        <f>'Bid Schedule A'!B44</f>
        <v>Asphalt Mixture Surface and Base
(Item P-403)</v>
      </c>
      <c r="C32" s="60">
        <f>'Bid Schedule A'!C44</f>
        <v>6100</v>
      </c>
      <c r="D32" s="21" t="str">
        <f>'Bid Schedule A'!D44</f>
        <v>Ton</v>
      </c>
      <c r="E32" s="26">
        <v>110</v>
      </c>
      <c r="F32" s="27">
        <f t="shared" si="6"/>
        <v>671000</v>
      </c>
      <c r="G32" s="26">
        <v>105</v>
      </c>
      <c r="H32" s="27">
        <f t="shared" si="7"/>
        <v>640500</v>
      </c>
      <c r="I32" s="26">
        <v>106</v>
      </c>
      <c r="J32" s="27">
        <f t="shared" si="8"/>
        <v>646600</v>
      </c>
      <c r="K32" s="26">
        <v>115</v>
      </c>
      <c r="L32" s="27">
        <f t="shared" si="9"/>
        <v>701500</v>
      </c>
      <c r="M32" s="26">
        <v>110</v>
      </c>
      <c r="N32" s="27">
        <f t="shared" si="10"/>
        <v>671000</v>
      </c>
      <c r="O32" s="26">
        <v>105</v>
      </c>
      <c r="P32" s="27">
        <f t="shared" si="11"/>
        <v>640500</v>
      </c>
    </row>
    <row r="33" spans="1:16" ht="33" customHeight="1" x14ac:dyDescent="0.25">
      <c r="A33" s="50" t="str">
        <f>'Bid Schedule A'!A45</f>
        <v>0026</v>
      </c>
      <c r="B33" s="57" t="str">
        <f>'Bid Schedule A'!B45</f>
        <v>Emulsified Asphalt Prime Coat
(Item P-602)</v>
      </c>
      <c r="C33" s="60">
        <f>'Bid Schedule A'!C45</f>
        <v>3600</v>
      </c>
      <c r="D33" s="21" t="str">
        <f>'Bid Schedule A'!D45</f>
        <v>Gal</v>
      </c>
      <c r="E33" s="26">
        <v>1</v>
      </c>
      <c r="F33" s="27">
        <f t="shared" si="6"/>
        <v>3600</v>
      </c>
      <c r="G33" s="26">
        <v>4</v>
      </c>
      <c r="H33" s="27">
        <f t="shared" si="7"/>
        <v>14400</v>
      </c>
      <c r="I33" s="26">
        <v>1</v>
      </c>
      <c r="J33" s="27">
        <f t="shared" si="8"/>
        <v>3600</v>
      </c>
      <c r="K33" s="26">
        <v>1</v>
      </c>
      <c r="L33" s="27">
        <f t="shared" si="9"/>
        <v>3600</v>
      </c>
      <c r="M33" s="26">
        <v>1</v>
      </c>
      <c r="N33" s="27">
        <f t="shared" si="10"/>
        <v>3600</v>
      </c>
      <c r="O33" s="26">
        <v>6.5</v>
      </c>
      <c r="P33" s="27">
        <f t="shared" si="11"/>
        <v>23400</v>
      </c>
    </row>
    <row r="34" spans="1:16" ht="33" customHeight="1" x14ac:dyDescent="0.25">
      <c r="A34" s="50" t="str">
        <f>'Bid Schedule A'!A46</f>
        <v>0027</v>
      </c>
      <c r="B34" s="57" t="str">
        <f>'Bid Schedule A'!B46</f>
        <v>Emulsified Asphalt Tack Coat
(Item P-603)</v>
      </c>
      <c r="C34" s="60">
        <f>'Bid Schedule A'!C46</f>
        <v>6750</v>
      </c>
      <c r="D34" s="21" t="str">
        <f>'Bid Schedule A'!D46</f>
        <v>Gal</v>
      </c>
      <c r="E34" s="26">
        <v>1</v>
      </c>
      <c r="F34" s="27">
        <f t="shared" si="6"/>
        <v>6750</v>
      </c>
      <c r="G34" s="26">
        <v>1</v>
      </c>
      <c r="H34" s="27">
        <f t="shared" si="7"/>
        <v>6750</v>
      </c>
      <c r="I34" s="26">
        <v>1</v>
      </c>
      <c r="J34" s="27">
        <f t="shared" si="8"/>
        <v>6750</v>
      </c>
      <c r="K34" s="26">
        <v>1</v>
      </c>
      <c r="L34" s="27">
        <f t="shared" si="9"/>
        <v>6750</v>
      </c>
      <c r="M34" s="26">
        <v>1</v>
      </c>
      <c r="N34" s="27">
        <f t="shared" si="10"/>
        <v>6750</v>
      </c>
      <c r="O34" s="26">
        <v>6.5</v>
      </c>
      <c r="P34" s="27">
        <f t="shared" si="11"/>
        <v>43875</v>
      </c>
    </row>
    <row r="35" spans="1:16" ht="33" customHeight="1" x14ac:dyDescent="0.25">
      <c r="A35" s="50" t="str">
        <f>'Bid Schedule A'!A47</f>
        <v>0028</v>
      </c>
      <c r="B35" s="57" t="str">
        <f>'Bid Schedule A'!B47</f>
        <v>Joint Sealing Filler
(Item P-605)</v>
      </c>
      <c r="C35" s="60">
        <f>'Bid Schedule A'!C47</f>
        <v>82</v>
      </c>
      <c r="D35" s="21" t="str">
        <f>'Bid Schedule A'!D47</f>
        <v>Gal</v>
      </c>
      <c r="E35" s="26">
        <v>170</v>
      </c>
      <c r="F35" s="27">
        <f t="shared" si="6"/>
        <v>13940</v>
      </c>
      <c r="G35" s="26">
        <v>99</v>
      </c>
      <c r="H35" s="27">
        <f t="shared" si="7"/>
        <v>8118</v>
      </c>
      <c r="I35" s="26">
        <v>168</v>
      </c>
      <c r="J35" s="27">
        <f t="shared" si="8"/>
        <v>13776</v>
      </c>
      <c r="K35" s="26">
        <v>100</v>
      </c>
      <c r="L35" s="27">
        <f t="shared" si="9"/>
        <v>8200</v>
      </c>
      <c r="M35" s="26">
        <v>185</v>
      </c>
      <c r="N35" s="27">
        <f t="shared" si="10"/>
        <v>15170</v>
      </c>
      <c r="O35" s="26">
        <v>250</v>
      </c>
      <c r="P35" s="27">
        <f t="shared" si="11"/>
        <v>20500</v>
      </c>
    </row>
    <row r="36" spans="1:16" ht="33" customHeight="1" x14ac:dyDescent="0.25">
      <c r="A36" s="50" t="str">
        <f>'Bid Schedule A'!A48</f>
        <v>0029</v>
      </c>
      <c r="B36" s="57" t="str">
        <f>'Bid Schedule A'!B48</f>
        <v>Adhesive Compound
(Item P-606)</v>
      </c>
      <c r="C36" s="60">
        <f>'Bid Schedule A'!C48</f>
        <v>45</v>
      </c>
      <c r="D36" s="21" t="str">
        <f>'Bid Schedule A'!D48</f>
        <v>Gal</v>
      </c>
      <c r="E36" s="26">
        <v>170</v>
      </c>
      <c r="F36" s="27">
        <f t="shared" si="6"/>
        <v>7650</v>
      </c>
      <c r="G36" s="26">
        <v>150</v>
      </c>
      <c r="H36" s="27">
        <f t="shared" si="7"/>
        <v>6750</v>
      </c>
      <c r="I36" s="26">
        <v>178</v>
      </c>
      <c r="J36" s="27">
        <f t="shared" si="8"/>
        <v>8010</v>
      </c>
      <c r="K36" s="26">
        <v>85</v>
      </c>
      <c r="L36" s="27">
        <f t="shared" si="9"/>
        <v>3825</v>
      </c>
      <c r="M36" s="26">
        <v>200</v>
      </c>
      <c r="N36" s="27">
        <f t="shared" si="10"/>
        <v>9000</v>
      </c>
      <c r="O36" s="26">
        <v>250</v>
      </c>
      <c r="P36" s="27">
        <f t="shared" si="11"/>
        <v>11250</v>
      </c>
    </row>
    <row r="37" spans="1:16" ht="33" customHeight="1" x14ac:dyDescent="0.25">
      <c r="A37" s="50" t="str">
        <f>'Bid Schedule A'!A49</f>
        <v>0030</v>
      </c>
      <c r="B37" s="57" t="str">
        <f>'Bid Schedule A'!B49</f>
        <v>Asphalt Surface Treatment
(Item P-608)</v>
      </c>
      <c r="C37" s="60">
        <f>'Bid Schedule A'!C49</f>
        <v>2800</v>
      </c>
      <c r="D37" s="21" t="str">
        <f>'Bid Schedule A'!D49</f>
        <v>SY</v>
      </c>
      <c r="E37" s="26">
        <v>8.5</v>
      </c>
      <c r="F37" s="27">
        <f t="shared" si="6"/>
        <v>23800</v>
      </c>
      <c r="G37" s="26">
        <v>5</v>
      </c>
      <c r="H37" s="27">
        <f t="shared" si="7"/>
        <v>14000</v>
      </c>
      <c r="I37" s="26">
        <v>10.5</v>
      </c>
      <c r="J37" s="27">
        <f t="shared" si="8"/>
        <v>29400</v>
      </c>
      <c r="K37" s="26">
        <v>8.5</v>
      </c>
      <c r="L37" s="27">
        <f t="shared" si="9"/>
        <v>23800</v>
      </c>
      <c r="M37" s="26">
        <v>8</v>
      </c>
      <c r="N37" s="27">
        <f t="shared" si="10"/>
        <v>22400</v>
      </c>
      <c r="O37" s="26">
        <v>4</v>
      </c>
      <c r="P37" s="27">
        <f t="shared" si="11"/>
        <v>11200</v>
      </c>
    </row>
    <row r="38" spans="1:16" ht="33" customHeight="1" x14ac:dyDescent="0.25">
      <c r="A38" s="50" t="str">
        <f>'Bid Schedule A'!A50</f>
        <v>0031</v>
      </c>
      <c r="B38" s="57" t="str">
        <f>'Bid Schedule A'!B50</f>
        <v>Concrete
(Item P-610)</v>
      </c>
      <c r="C38" s="60">
        <f>'Bid Schedule A'!C50</f>
        <v>8</v>
      </c>
      <c r="D38" s="21" t="str">
        <f>'Bid Schedule A'!D50</f>
        <v>CY</v>
      </c>
      <c r="E38" s="26">
        <v>185</v>
      </c>
      <c r="F38" s="27">
        <f t="shared" si="6"/>
        <v>1480</v>
      </c>
      <c r="G38" s="26">
        <v>1000</v>
      </c>
      <c r="H38" s="27">
        <f t="shared" si="7"/>
        <v>8000</v>
      </c>
      <c r="I38" s="26">
        <v>180</v>
      </c>
      <c r="J38" s="27">
        <f t="shared" si="8"/>
        <v>1440</v>
      </c>
      <c r="K38" s="26">
        <v>325</v>
      </c>
      <c r="L38" s="27">
        <f t="shared" si="9"/>
        <v>2600</v>
      </c>
      <c r="M38" s="26">
        <v>200</v>
      </c>
      <c r="N38" s="27">
        <f t="shared" si="10"/>
        <v>1600</v>
      </c>
      <c r="O38" s="26">
        <v>250</v>
      </c>
      <c r="P38" s="27">
        <f t="shared" si="11"/>
        <v>2000</v>
      </c>
    </row>
    <row r="39" spans="1:16" ht="33" customHeight="1" x14ac:dyDescent="0.25">
      <c r="A39" s="50" t="str">
        <f>'Bid Schedule A'!A51</f>
        <v>0032</v>
      </c>
      <c r="B39" s="57" t="str">
        <f>'Bid Schedule A'!B51</f>
        <v>Surface Preparation - New Pavement Surfaces
(Item P-620)</v>
      </c>
      <c r="C39" s="60">
        <f>'Bid Schedule A'!C51</f>
        <v>5300</v>
      </c>
      <c r="D39" s="21" t="str">
        <f>'Bid Schedule A'!D51</f>
        <v>SF</v>
      </c>
      <c r="E39" s="26">
        <v>0.9</v>
      </c>
      <c r="F39" s="27">
        <f t="shared" si="6"/>
        <v>4770</v>
      </c>
      <c r="G39" s="26">
        <v>0.85</v>
      </c>
      <c r="H39" s="27">
        <f t="shared" si="7"/>
        <v>4505</v>
      </c>
      <c r="I39" s="26">
        <v>0.86</v>
      </c>
      <c r="J39" s="27">
        <f t="shared" si="8"/>
        <v>4558</v>
      </c>
      <c r="K39" s="26">
        <v>0.25</v>
      </c>
      <c r="L39" s="27">
        <f t="shared" si="9"/>
        <v>1325</v>
      </c>
      <c r="M39" s="26">
        <v>1</v>
      </c>
      <c r="N39" s="27">
        <f t="shared" si="10"/>
        <v>5300</v>
      </c>
      <c r="O39" s="26">
        <v>0.5</v>
      </c>
      <c r="P39" s="27">
        <f t="shared" si="11"/>
        <v>2650</v>
      </c>
    </row>
    <row r="40" spans="1:16" ht="33" customHeight="1" x14ac:dyDescent="0.25">
      <c r="A40" s="50" t="str">
        <f>'Bid Schedule A'!A52</f>
        <v>0033</v>
      </c>
      <c r="B40" s="57" t="str">
        <f>'Bid Schedule A'!B52</f>
        <v>Marking
(Item P-620)</v>
      </c>
      <c r="C40" s="60">
        <f>'Bid Schedule A'!C52</f>
        <v>5300</v>
      </c>
      <c r="D40" s="21" t="str">
        <f>'Bid Schedule A'!D52</f>
        <v>SF</v>
      </c>
      <c r="E40" s="26">
        <v>2</v>
      </c>
      <c r="F40" s="27">
        <f t="shared" si="6"/>
        <v>10600</v>
      </c>
      <c r="G40" s="26">
        <v>1.95</v>
      </c>
      <c r="H40" s="27">
        <f t="shared" si="7"/>
        <v>10335</v>
      </c>
      <c r="I40" s="26">
        <v>1.98</v>
      </c>
      <c r="J40" s="27">
        <f t="shared" si="8"/>
        <v>10494</v>
      </c>
      <c r="K40" s="26">
        <v>1.25</v>
      </c>
      <c r="L40" s="27">
        <f t="shared" si="9"/>
        <v>6625</v>
      </c>
      <c r="M40" s="26">
        <v>2</v>
      </c>
      <c r="N40" s="27">
        <f t="shared" si="10"/>
        <v>10600</v>
      </c>
      <c r="O40" s="26">
        <v>1</v>
      </c>
      <c r="P40" s="27">
        <f t="shared" si="11"/>
        <v>5300</v>
      </c>
    </row>
    <row r="41" spans="1:16" ht="33" customHeight="1" x14ac:dyDescent="0.25">
      <c r="A41" s="50" t="str">
        <f>'Bid Schedule A'!A53</f>
        <v>0034</v>
      </c>
      <c r="B41" s="57" t="str">
        <f>'Bid Schedule A'!B53</f>
        <v>Reflective Media
(Item P-620)</v>
      </c>
      <c r="C41" s="60">
        <f>'Bid Schedule A'!C53</f>
        <v>263</v>
      </c>
      <c r="D41" s="21" t="str">
        <f>'Bid Schedule A'!D53</f>
        <v>LB</v>
      </c>
      <c r="E41" s="26">
        <v>0.6</v>
      </c>
      <c r="F41" s="27">
        <f t="shared" si="6"/>
        <v>157.79999999999998</v>
      </c>
      <c r="G41" s="26">
        <v>0.55000000000000004</v>
      </c>
      <c r="H41" s="27">
        <f t="shared" si="7"/>
        <v>144.65</v>
      </c>
      <c r="I41" s="26">
        <v>0.56000000000000005</v>
      </c>
      <c r="J41" s="27">
        <f t="shared" si="8"/>
        <v>147.28</v>
      </c>
      <c r="K41" s="26">
        <v>0.65</v>
      </c>
      <c r="L41" s="27">
        <f t="shared" si="9"/>
        <v>170.95000000000002</v>
      </c>
      <c r="M41" s="26">
        <v>0.6</v>
      </c>
      <c r="N41" s="27">
        <f t="shared" si="10"/>
        <v>157.79999999999998</v>
      </c>
      <c r="O41" s="26">
        <v>3.5</v>
      </c>
      <c r="P41" s="27">
        <f t="shared" si="11"/>
        <v>920.5</v>
      </c>
    </row>
    <row r="42" spans="1:16" ht="33" customHeight="1" x14ac:dyDescent="0.25">
      <c r="A42" s="50" t="str">
        <f>'Bid Schedule A'!A54</f>
        <v>0035</v>
      </c>
      <c r="B42" s="57" t="str">
        <f>'Bid Schedule A'!B54</f>
        <v>Temporary Runway and Taxiway Marking
(Item P-620)</v>
      </c>
      <c r="C42" s="60">
        <f>'Bid Schedule A'!C54</f>
        <v>25300</v>
      </c>
      <c r="D42" s="21" t="str">
        <f>'Bid Schedule A'!D54</f>
        <v>SF</v>
      </c>
      <c r="E42" s="26">
        <v>0.6</v>
      </c>
      <c r="F42" s="27">
        <f t="shared" si="6"/>
        <v>15180</v>
      </c>
      <c r="G42" s="26">
        <v>0.55000000000000004</v>
      </c>
      <c r="H42" s="27">
        <f t="shared" si="7"/>
        <v>13915.000000000002</v>
      </c>
      <c r="I42" s="26">
        <v>0.56000000000000005</v>
      </c>
      <c r="J42" s="27">
        <f t="shared" si="8"/>
        <v>14168.000000000002</v>
      </c>
      <c r="K42" s="26">
        <v>1.4</v>
      </c>
      <c r="L42" s="27">
        <f t="shared" si="9"/>
        <v>35420</v>
      </c>
      <c r="M42" s="26">
        <v>0.6</v>
      </c>
      <c r="N42" s="27">
        <f t="shared" si="10"/>
        <v>15180</v>
      </c>
      <c r="O42" s="26">
        <v>1.25</v>
      </c>
      <c r="P42" s="27">
        <f t="shared" si="11"/>
        <v>31625</v>
      </c>
    </row>
    <row r="43" spans="1:16" ht="33" customHeight="1" x14ac:dyDescent="0.25">
      <c r="A43" s="50" t="str">
        <f>'Bid Schedule A'!A55</f>
        <v>0036</v>
      </c>
      <c r="B43" s="57" t="str">
        <f>'Bid Schedule A'!B55</f>
        <v>8-Inch STS 
(Item D-701)</v>
      </c>
      <c r="C43" s="60">
        <f>'Bid Schedule A'!C55</f>
        <v>46</v>
      </c>
      <c r="D43" s="21" t="str">
        <f>'Bid Schedule A'!D55</f>
        <v>LF</v>
      </c>
      <c r="E43" s="26">
        <v>60</v>
      </c>
      <c r="F43" s="27">
        <f t="shared" si="6"/>
        <v>2760</v>
      </c>
      <c r="G43" s="26">
        <v>90</v>
      </c>
      <c r="H43" s="27">
        <f t="shared" si="7"/>
        <v>4140</v>
      </c>
      <c r="I43" s="26">
        <v>56</v>
      </c>
      <c r="J43" s="27">
        <f t="shared" si="8"/>
        <v>2576</v>
      </c>
      <c r="K43" s="26">
        <v>60</v>
      </c>
      <c r="L43" s="27">
        <f t="shared" si="9"/>
        <v>2760</v>
      </c>
      <c r="M43" s="26">
        <v>45</v>
      </c>
      <c r="N43" s="27">
        <f t="shared" si="10"/>
        <v>2070</v>
      </c>
      <c r="O43" s="26">
        <v>60</v>
      </c>
      <c r="P43" s="27">
        <f t="shared" si="11"/>
        <v>2760</v>
      </c>
    </row>
    <row r="44" spans="1:16" ht="33" customHeight="1" x14ac:dyDescent="0.25">
      <c r="A44" s="50" t="str">
        <f>'Bid Schedule A'!A56</f>
        <v>0037</v>
      </c>
      <c r="B44" s="57" t="str">
        <f>'Bid Schedule A'!B56</f>
        <v>12-Inch STS 
(Item D-701)</v>
      </c>
      <c r="C44" s="60">
        <f>'Bid Schedule A'!C56</f>
        <v>1328</v>
      </c>
      <c r="D44" s="21" t="str">
        <f>'Bid Schedule A'!D56</f>
        <v>LF</v>
      </c>
      <c r="E44" s="26">
        <v>60</v>
      </c>
      <c r="F44" s="27">
        <f t="shared" si="6"/>
        <v>79680</v>
      </c>
      <c r="G44" s="26">
        <v>110</v>
      </c>
      <c r="H44" s="27">
        <f t="shared" si="7"/>
        <v>146080</v>
      </c>
      <c r="I44" s="26">
        <v>105</v>
      </c>
      <c r="J44" s="27">
        <f t="shared" si="8"/>
        <v>139440</v>
      </c>
      <c r="K44" s="26">
        <v>65</v>
      </c>
      <c r="L44" s="27">
        <f t="shared" si="9"/>
        <v>86320</v>
      </c>
      <c r="M44" s="26">
        <v>110</v>
      </c>
      <c r="N44" s="27">
        <f t="shared" si="10"/>
        <v>146080</v>
      </c>
      <c r="O44" s="26">
        <v>80</v>
      </c>
      <c r="P44" s="27">
        <f t="shared" si="11"/>
        <v>106240</v>
      </c>
    </row>
    <row r="45" spans="1:16" ht="33" customHeight="1" x14ac:dyDescent="0.25">
      <c r="A45" s="50" t="str">
        <f>'Bid Schedule A'!A57</f>
        <v>0038</v>
      </c>
      <c r="B45" s="57" t="str">
        <f>'Bid Schedule A'!B57</f>
        <v>15-Inch STS 
(Item D-701)</v>
      </c>
      <c r="C45" s="60">
        <f>'Bid Schedule A'!C57</f>
        <v>251</v>
      </c>
      <c r="D45" s="21" t="str">
        <f>'Bid Schedule A'!D57</f>
        <v>LF</v>
      </c>
      <c r="E45" s="26">
        <v>90</v>
      </c>
      <c r="F45" s="27">
        <f t="shared" si="6"/>
        <v>22590</v>
      </c>
      <c r="G45" s="26">
        <v>110</v>
      </c>
      <c r="H45" s="27">
        <f t="shared" si="7"/>
        <v>27610</v>
      </c>
      <c r="I45" s="26">
        <v>110</v>
      </c>
      <c r="J45" s="27">
        <f t="shared" si="8"/>
        <v>27610</v>
      </c>
      <c r="K45" s="26">
        <v>195</v>
      </c>
      <c r="L45" s="27">
        <f t="shared" si="9"/>
        <v>48945</v>
      </c>
      <c r="M45" s="26">
        <v>80</v>
      </c>
      <c r="N45" s="27">
        <f t="shared" si="10"/>
        <v>20080</v>
      </c>
      <c r="O45" s="26">
        <v>120</v>
      </c>
      <c r="P45" s="27">
        <f t="shared" si="11"/>
        <v>30120</v>
      </c>
    </row>
    <row r="46" spans="1:16" ht="33" customHeight="1" x14ac:dyDescent="0.25">
      <c r="A46" s="50" t="str">
        <f>'Bid Schedule A'!A58</f>
        <v>0039</v>
      </c>
      <c r="B46" s="57" t="str">
        <f>'Bid Schedule A'!B58</f>
        <v>18-Inch STS 
(Item D-701)</v>
      </c>
      <c r="C46" s="60">
        <f>'Bid Schedule A'!C58</f>
        <v>36</v>
      </c>
      <c r="D46" s="21" t="str">
        <f>'Bid Schedule A'!D58</f>
        <v>LF</v>
      </c>
      <c r="E46" s="26">
        <v>100</v>
      </c>
      <c r="F46" s="27">
        <f t="shared" si="6"/>
        <v>3600</v>
      </c>
      <c r="G46" s="26">
        <v>130</v>
      </c>
      <c r="H46" s="27">
        <f t="shared" si="7"/>
        <v>4680</v>
      </c>
      <c r="I46" s="26">
        <v>136</v>
      </c>
      <c r="J46" s="27">
        <f t="shared" si="8"/>
        <v>4896</v>
      </c>
      <c r="K46" s="26">
        <v>240</v>
      </c>
      <c r="L46" s="27">
        <f t="shared" si="9"/>
        <v>8640</v>
      </c>
      <c r="M46" s="26">
        <v>105</v>
      </c>
      <c r="N46" s="27">
        <f t="shared" si="10"/>
        <v>3780</v>
      </c>
      <c r="O46" s="26">
        <v>135</v>
      </c>
      <c r="P46" s="27">
        <f t="shared" si="11"/>
        <v>4860</v>
      </c>
    </row>
    <row r="47" spans="1:16" ht="33" customHeight="1" x14ac:dyDescent="0.25">
      <c r="A47" s="50" t="str">
        <f>'Bid Schedule A'!A59</f>
        <v>0040</v>
      </c>
      <c r="B47" s="57" t="str">
        <f>'Bid Schedule A'!B59</f>
        <v>24-Inch STS 
(Item D-701)</v>
      </c>
      <c r="C47" s="60">
        <f>'Bid Schedule A'!C59</f>
        <v>2286</v>
      </c>
      <c r="D47" s="21" t="str">
        <f>'Bid Schedule A'!D59</f>
        <v>LF</v>
      </c>
      <c r="E47" s="26">
        <v>130</v>
      </c>
      <c r="F47" s="27">
        <f t="shared" si="6"/>
        <v>297180</v>
      </c>
      <c r="G47" s="26">
        <v>155</v>
      </c>
      <c r="H47" s="27">
        <f t="shared" si="7"/>
        <v>354330</v>
      </c>
      <c r="I47" s="26">
        <v>148</v>
      </c>
      <c r="J47" s="27">
        <f t="shared" si="8"/>
        <v>338328</v>
      </c>
      <c r="K47" s="26">
        <v>242</v>
      </c>
      <c r="L47" s="27">
        <f t="shared" si="9"/>
        <v>553212</v>
      </c>
      <c r="M47" s="26">
        <v>215</v>
      </c>
      <c r="N47" s="27">
        <f t="shared" si="10"/>
        <v>491490</v>
      </c>
      <c r="O47" s="26">
        <v>150</v>
      </c>
      <c r="P47" s="27">
        <f t="shared" si="11"/>
        <v>342900</v>
      </c>
    </row>
    <row r="48" spans="1:16" ht="33" customHeight="1" x14ac:dyDescent="0.25">
      <c r="A48" s="50" t="str">
        <f>'Bid Schedule A'!A60</f>
        <v>0041</v>
      </c>
      <c r="B48" s="57" t="str">
        <f>'Bid Schedule A'!B60</f>
        <v>30-Inch STS 
(Item D-701)</v>
      </c>
      <c r="C48" s="60">
        <f>'Bid Schedule A'!C60</f>
        <v>299</v>
      </c>
      <c r="D48" s="21" t="str">
        <f>'Bid Schedule A'!D60</f>
        <v>LF</v>
      </c>
      <c r="E48" s="26">
        <v>170</v>
      </c>
      <c r="F48" s="27">
        <f t="shared" si="6"/>
        <v>50830</v>
      </c>
      <c r="G48" s="26">
        <v>174</v>
      </c>
      <c r="H48" s="27">
        <f t="shared" si="7"/>
        <v>52026</v>
      </c>
      <c r="I48" s="26">
        <v>162</v>
      </c>
      <c r="J48" s="27">
        <f t="shared" si="8"/>
        <v>48438</v>
      </c>
      <c r="K48" s="26">
        <v>315</v>
      </c>
      <c r="L48" s="27">
        <f t="shared" si="9"/>
        <v>94185</v>
      </c>
      <c r="M48" s="26">
        <v>155</v>
      </c>
      <c r="N48" s="27">
        <f t="shared" si="10"/>
        <v>46345</v>
      </c>
      <c r="O48" s="26">
        <v>234</v>
      </c>
      <c r="P48" s="27">
        <f t="shared" si="11"/>
        <v>69966</v>
      </c>
    </row>
    <row r="49" spans="1:16" ht="33" customHeight="1" x14ac:dyDescent="0.25">
      <c r="A49" s="50" t="str">
        <f>'Bid Schedule A'!A61</f>
        <v>0042</v>
      </c>
      <c r="B49" s="57" t="str">
        <f>'Bid Schedule A'!B61</f>
        <v>48-Inch Manhole
(Item D-751)</v>
      </c>
      <c r="C49" s="60">
        <f>'Bid Schedule A'!C61</f>
        <v>7</v>
      </c>
      <c r="D49" s="21" t="str">
        <f>'Bid Schedule A'!D61</f>
        <v>Each</v>
      </c>
      <c r="E49" s="26">
        <v>7700</v>
      </c>
      <c r="F49" s="27">
        <f t="shared" si="6"/>
        <v>53900</v>
      </c>
      <c r="G49" s="26">
        <v>8270</v>
      </c>
      <c r="H49" s="27">
        <f t="shared" si="7"/>
        <v>57890</v>
      </c>
      <c r="I49" s="26">
        <v>9700</v>
      </c>
      <c r="J49" s="27">
        <f t="shared" si="8"/>
        <v>67900</v>
      </c>
      <c r="K49" s="26">
        <v>4500</v>
      </c>
      <c r="L49" s="27">
        <f t="shared" si="9"/>
        <v>31500</v>
      </c>
      <c r="M49" s="26">
        <v>8000</v>
      </c>
      <c r="N49" s="27">
        <f t="shared" si="10"/>
        <v>56000</v>
      </c>
      <c r="O49" s="26">
        <v>8900</v>
      </c>
      <c r="P49" s="27">
        <f t="shared" si="11"/>
        <v>62300</v>
      </c>
    </row>
    <row r="50" spans="1:16" ht="33" customHeight="1" x14ac:dyDescent="0.25">
      <c r="A50" s="50" t="str">
        <f>'Bid Schedule A'!A62</f>
        <v>0043</v>
      </c>
      <c r="B50" s="57" t="str">
        <f>'Bid Schedule A'!B62</f>
        <v>60-Inch Manhole
(Item D-751)</v>
      </c>
      <c r="C50" s="60">
        <f>'Bid Schedule A'!C62</f>
        <v>2</v>
      </c>
      <c r="D50" s="21" t="str">
        <f>'Bid Schedule A'!D62</f>
        <v>Each</v>
      </c>
      <c r="E50" s="26">
        <v>19000</v>
      </c>
      <c r="F50" s="27">
        <f t="shared" si="6"/>
        <v>38000</v>
      </c>
      <c r="G50" s="26">
        <v>8990</v>
      </c>
      <c r="H50" s="27">
        <f t="shared" si="7"/>
        <v>17980</v>
      </c>
      <c r="I50" s="26">
        <v>16800</v>
      </c>
      <c r="J50" s="27">
        <f t="shared" si="8"/>
        <v>33600</v>
      </c>
      <c r="K50" s="26">
        <v>8000</v>
      </c>
      <c r="L50" s="27">
        <f t="shared" si="9"/>
        <v>16000</v>
      </c>
      <c r="M50" s="26">
        <v>11000</v>
      </c>
      <c r="N50" s="27">
        <f t="shared" si="10"/>
        <v>22000</v>
      </c>
      <c r="O50" s="26">
        <v>9700</v>
      </c>
      <c r="P50" s="27">
        <f t="shared" si="11"/>
        <v>19400</v>
      </c>
    </row>
    <row r="51" spans="1:16" ht="33" customHeight="1" x14ac:dyDescent="0.25">
      <c r="A51" s="50" t="str">
        <f>'Bid Schedule A'!A63</f>
        <v>0044</v>
      </c>
      <c r="B51" s="57" t="str">
        <f>'Bid Schedule A'!B63</f>
        <v>Catch Basins
(Item D-751)</v>
      </c>
      <c r="C51" s="60">
        <f>'Bid Schedule A'!C63</f>
        <v>12</v>
      </c>
      <c r="D51" s="21" t="str">
        <f>'Bid Schedule A'!D63</f>
        <v>Each</v>
      </c>
      <c r="E51" s="26">
        <v>5200</v>
      </c>
      <c r="F51" s="27">
        <f t="shared" si="6"/>
        <v>62400</v>
      </c>
      <c r="G51" s="26">
        <v>5690</v>
      </c>
      <c r="H51" s="27">
        <f t="shared" si="7"/>
        <v>68280</v>
      </c>
      <c r="I51" s="26">
        <v>6600</v>
      </c>
      <c r="J51" s="27">
        <f t="shared" si="8"/>
        <v>79200</v>
      </c>
      <c r="K51" s="26">
        <v>1800</v>
      </c>
      <c r="L51" s="27">
        <f t="shared" si="9"/>
        <v>21600</v>
      </c>
      <c r="M51" s="26">
        <v>5000</v>
      </c>
      <c r="N51" s="27">
        <f t="shared" si="10"/>
        <v>60000</v>
      </c>
      <c r="O51" s="26">
        <v>5000</v>
      </c>
      <c r="P51" s="27">
        <f t="shared" si="11"/>
        <v>60000</v>
      </c>
    </row>
    <row r="52" spans="1:16" ht="33" customHeight="1" x14ac:dyDescent="0.25">
      <c r="A52" s="50" t="str">
        <f>'Bid Schedule A'!A64</f>
        <v>0045</v>
      </c>
      <c r="B52" s="57" t="str">
        <f>'Bid Schedule A'!B64</f>
        <v>Seeding
(Item T-901)</v>
      </c>
      <c r="C52" s="60">
        <f>'Bid Schedule A'!C64</f>
        <v>6</v>
      </c>
      <c r="D52" s="21" t="str">
        <f>'Bid Schedule A'!D64</f>
        <v>Acre</v>
      </c>
      <c r="E52" s="26">
        <v>2500</v>
      </c>
      <c r="F52" s="27">
        <f t="shared" si="6"/>
        <v>15000</v>
      </c>
      <c r="G52" s="26">
        <v>2250</v>
      </c>
      <c r="H52" s="27">
        <f t="shared" si="7"/>
        <v>13500</v>
      </c>
      <c r="I52" s="26">
        <v>2275</v>
      </c>
      <c r="J52" s="27">
        <f t="shared" si="8"/>
        <v>13650</v>
      </c>
      <c r="K52" s="26">
        <v>2600</v>
      </c>
      <c r="L52" s="27">
        <f t="shared" si="9"/>
        <v>15600</v>
      </c>
      <c r="M52" s="26">
        <v>2400</v>
      </c>
      <c r="N52" s="27">
        <f t="shared" si="10"/>
        <v>14400</v>
      </c>
      <c r="O52" s="26">
        <v>3500</v>
      </c>
      <c r="P52" s="27">
        <f t="shared" si="11"/>
        <v>21000</v>
      </c>
    </row>
    <row r="53" spans="1:16" ht="33" customHeight="1" x14ac:dyDescent="0.25">
      <c r="A53" s="50" t="str">
        <f>'Bid Schedule A'!A65</f>
        <v>0046</v>
      </c>
      <c r="B53" s="57" t="str">
        <f>'Bid Schedule A'!B65</f>
        <v>Topsoil (Obtained on Site or Removed from Stockpile)
(Item T-905)</v>
      </c>
      <c r="C53" s="60">
        <f>'Bid Schedule A'!C65</f>
        <v>1700</v>
      </c>
      <c r="D53" s="21" t="str">
        <f>'Bid Schedule A'!D65</f>
        <v>CY</v>
      </c>
      <c r="E53" s="26">
        <v>20</v>
      </c>
      <c r="F53" s="27">
        <f t="shared" si="6"/>
        <v>34000</v>
      </c>
      <c r="G53" s="26">
        <v>17</v>
      </c>
      <c r="H53" s="27">
        <f t="shared" si="7"/>
        <v>28900</v>
      </c>
      <c r="I53" s="26">
        <v>45</v>
      </c>
      <c r="J53" s="27">
        <f t="shared" si="8"/>
        <v>76500</v>
      </c>
      <c r="K53" s="26">
        <v>18</v>
      </c>
      <c r="L53" s="27">
        <f t="shared" si="9"/>
        <v>30600</v>
      </c>
      <c r="M53" s="26">
        <v>17</v>
      </c>
      <c r="N53" s="27">
        <f t="shared" si="10"/>
        <v>28900</v>
      </c>
      <c r="O53" s="26">
        <v>35</v>
      </c>
      <c r="P53" s="27">
        <f t="shared" si="11"/>
        <v>59500</v>
      </c>
    </row>
    <row r="54" spans="1:16" ht="33" customHeight="1" x14ac:dyDescent="0.25">
      <c r="A54" s="50" t="str">
        <f>'Bid Schedule A'!A66</f>
        <v>0047</v>
      </c>
      <c r="B54" s="57" t="str">
        <f>'Bid Schedule A'!B66</f>
        <v>Connection to Existing Storm Drainage System
(Section 312300)</v>
      </c>
      <c r="C54" s="60">
        <f>'Bid Schedule A'!C66</f>
        <v>6</v>
      </c>
      <c r="D54" s="21" t="str">
        <f>'Bid Schedule A'!D66</f>
        <v>Each</v>
      </c>
      <c r="E54" s="26">
        <v>2100</v>
      </c>
      <c r="F54" s="27">
        <f t="shared" si="6"/>
        <v>12600</v>
      </c>
      <c r="G54" s="26">
        <v>1200</v>
      </c>
      <c r="H54" s="27">
        <f t="shared" si="7"/>
        <v>7200</v>
      </c>
      <c r="I54" s="26">
        <v>2400</v>
      </c>
      <c r="J54" s="27">
        <f t="shared" si="8"/>
        <v>14400</v>
      </c>
      <c r="K54" s="26">
        <v>1300</v>
      </c>
      <c r="L54" s="27">
        <f t="shared" si="9"/>
        <v>7800</v>
      </c>
      <c r="M54" s="26">
        <v>3000</v>
      </c>
      <c r="N54" s="27">
        <f t="shared" si="10"/>
        <v>18000</v>
      </c>
      <c r="O54" s="26">
        <v>2500</v>
      </c>
      <c r="P54" s="27">
        <f t="shared" si="11"/>
        <v>15000</v>
      </c>
    </row>
    <row r="55" spans="1:16" ht="33" customHeight="1" x14ac:dyDescent="0.25">
      <c r="A55" s="50" t="str">
        <f>'Bid Schedule A'!A67</f>
        <v>0048</v>
      </c>
      <c r="B55" s="57" t="str">
        <f>'Bid Schedule A'!B67</f>
        <v>Existing Manhole/Inlet Adjustment to Grade
(Section 312300)</v>
      </c>
      <c r="C55" s="60">
        <f>'Bid Schedule A'!C67</f>
        <v>9</v>
      </c>
      <c r="D55" s="21" t="str">
        <f>'Bid Schedule A'!D67</f>
        <v>Each</v>
      </c>
      <c r="E55" s="26">
        <v>1500</v>
      </c>
      <c r="F55" s="27">
        <f t="shared" si="6"/>
        <v>13500</v>
      </c>
      <c r="G55" s="26">
        <v>700</v>
      </c>
      <c r="H55" s="27">
        <f t="shared" si="7"/>
        <v>6300</v>
      </c>
      <c r="I55" s="26">
        <v>2000</v>
      </c>
      <c r="J55" s="27">
        <f t="shared" si="8"/>
        <v>18000</v>
      </c>
      <c r="K55" s="26">
        <v>550</v>
      </c>
      <c r="L55" s="27">
        <f t="shared" si="9"/>
        <v>4950</v>
      </c>
      <c r="M55" s="26">
        <v>400</v>
      </c>
      <c r="N55" s="27">
        <f t="shared" si="10"/>
        <v>3600</v>
      </c>
      <c r="O55" s="26">
        <v>1000</v>
      </c>
      <c r="P55" s="27">
        <f t="shared" si="11"/>
        <v>9000</v>
      </c>
    </row>
    <row r="56" spans="1:16" ht="33" customHeight="1" x14ac:dyDescent="0.25">
      <c r="A56" s="50" t="str">
        <f>'Bid Schedule A'!A68</f>
        <v>0049</v>
      </c>
      <c r="B56" s="57" t="str">
        <f>'Bid Schedule A'!B68</f>
        <v>Existing Electrical Vault Adjustment to Grade 
(Section 312300)</v>
      </c>
      <c r="C56" s="60">
        <f>'Bid Schedule A'!C68</f>
        <v>2</v>
      </c>
      <c r="D56" s="21" t="str">
        <f>'Bid Schedule A'!D68</f>
        <v>Each</v>
      </c>
      <c r="E56" s="26">
        <v>2100</v>
      </c>
      <c r="F56" s="27">
        <f t="shared" si="6"/>
        <v>4200</v>
      </c>
      <c r="G56" s="26">
        <v>1300</v>
      </c>
      <c r="H56" s="27">
        <f t="shared" si="7"/>
        <v>2600</v>
      </c>
      <c r="I56" s="26">
        <v>2000</v>
      </c>
      <c r="J56" s="27">
        <f t="shared" si="8"/>
        <v>4000</v>
      </c>
      <c r="K56" s="26">
        <v>550</v>
      </c>
      <c r="L56" s="27">
        <f t="shared" si="9"/>
        <v>1100</v>
      </c>
      <c r="M56" s="26">
        <v>1200</v>
      </c>
      <c r="N56" s="27">
        <f t="shared" si="10"/>
        <v>2400</v>
      </c>
      <c r="O56" s="26">
        <v>3500</v>
      </c>
      <c r="P56" s="27">
        <f t="shared" si="11"/>
        <v>7000</v>
      </c>
    </row>
    <row r="57" spans="1:16" ht="33" customHeight="1" x14ac:dyDescent="0.25">
      <c r="A57" s="50" t="str">
        <f>'Bid Schedule A'!A69</f>
        <v>0050</v>
      </c>
      <c r="B57" s="57" t="str">
        <f>'Bid Schedule A'!B69</f>
        <v>Replace Existing Manhole Lid with Open Grated Lid                                        (Section 312300)</v>
      </c>
      <c r="C57" s="60">
        <f>'Bid Schedule A'!C69</f>
        <v>2</v>
      </c>
      <c r="D57" s="21" t="str">
        <f>'Bid Schedule A'!D69</f>
        <v>Each</v>
      </c>
      <c r="E57" s="26">
        <v>2700</v>
      </c>
      <c r="F57" s="27">
        <f t="shared" si="6"/>
        <v>5400</v>
      </c>
      <c r="G57" s="26">
        <v>2345</v>
      </c>
      <c r="H57" s="27">
        <f t="shared" si="7"/>
        <v>4690</v>
      </c>
      <c r="I57" s="26">
        <v>2000</v>
      </c>
      <c r="J57" s="27">
        <f t="shared" si="8"/>
        <v>4000</v>
      </c>
      <c r="K57" s="26">
        <v>550</v>
      </c>
      <c r="L57" s="27">
        <f t="shared" si="9"/>
        <v>1100</v>
      </c>
      <c r="M57" s="26">
        <v>500</v>
      </c>
      <c r="N57" s="27">
        <f t="shared" si="10"/>
        <v>1000</v>
      </c>
      <c r="O57" s="26">
        <v>250</v>
      </c>
      <c r="P57" s="27">
        <f t="shared" si="11"/>
        <v>500</v>
      </c>
    </row>
    <row r="58" spans="1:16" ht="33" customHeight="1" x14ac:dyDescent="0.25">
      <c r="A58" s="50" t="str">
        <f>'Bid Schedule A'!A70</f>
        <v>0051</v>
      </c>
      <c r="B58" s="57" t="str">
        <f>'Bid Schedule A'!B70</f>
        <v>No. 4 GND Conductor
(Item L-108)</v>
      </c>
      <c r="C58" s="60">
        <f>'Bid Schedule A'!C70</f>
        <v>450</v>
      </c>
      <c r="D58" s="21" t="str">
        <f>'Bid Schedule A'!D70</f>
        <v>LF</v>
      </c>
      <c r="E58" s="26">
        <v>1.6</v>
      </c>
      <c r="F58" s="27">
        <f t="shared" si="6"/>
        <v>720</v>
      </c>
      <c r="G58" s="26">
        <v>5</v>
      </c>
      <c r="H58" s="27">
        <f t="shared" si="7"/>
        <v>2250</v>
      </c>
      <c r="I58" s="26">
        <v>1.58</v>
      </c>
      <c r="J58" s="27">
        <f t="shared" si="8"/>
        <v>711</v>
      </c>
      <c r="K58" s="26">
        <v>5</v>
      </c>
      <c r="L58" s="27">
        <f t="shared" si="9"/>
        <v>2250</v>
      </c>
      <c r="M58" s="26">
        <v>1.75</v>
      </c>
      <c r="N58" s="27">
        <f t="shared" si="10"/>
        <v>787.5</v>
      </c>
      <c r="O58" s="26">
        <v>2</v>
      </c>
      <c r="P58" s="27">
        <f t="shared" si="11"/>
        <v>900</v>
      </c>
    </row>
    <row r="59" spans="1:16" ht="33" customHeight="1" x14ac:dyDescent="0.25">
      <c r="A59" s="50" t="str">
        <f>'Bid Schedule A'!A71</f>
        <v>0052</v>
      </c>
      <c r="B59" s="57" t="str">
        <f>'Bid Schedule A'!B71</f>
        <v>No. 2/0 AWG, 600-Volt Conductor
(Item L-108)</v>
      </c>
      <c r="C59" s="60">
        <f>'Bid Schedule A'!C71</f>
        <v>1350</v>
      </c>
      <c r="D59" s="21" t="str">
        <f>'Bid Schedule A'!D71</f>
        <v>LF</v>
      </c>
      <c r="E59" s="26">
        <v>3.6</v>
      </c>
      <c r="F59" s="27">
        <f t="shared" si="6"/>
        <v>4860</v>
      </c>
      <c r="G59" s="26">
        <v>8</v>
      </c>
      <c r="H59" s="27">
        <f t="shared" si="7"/>
        <v>10800</v>
      </c>
      <c r="I59" s="26">
        <v>3.55</v>
      </c>
      <c r="J59" s="27">
        <f t="shared" si="8"/>
        <v>4792.5</v>
      </c>
      <c r="K59" s="26">
        <v>8</v>
      </c>
      <c r="L59" s="27">
        <f t="shared" si="9"/>
        <v>10800</v>
      </c>
      <c r="M59" s="26">
        <v>3.7</v>
      </c>
      <c r="N59" s="27">
        <f t="shared" si="10"/>
        <v>4995</v>
      </c>
      <c r="O59" s="26">
        <v>4.5</v>
      </c>
      <c r="P59" s="27">
        <f t="shared" si="11"/>
        <v>6075</v>
      </c>
    </row>
    <row r="60" spans="1:16" ht="33" customHeight="1" x14ac:dyDescent="0.25">
      <c r="A60" s="50" t="str">
        <f>'Bid Schedule A'!A72</f>
        <v>0053</v>
      </c>
      <c r="B60" s="57" t="str">
        <f>'Bid Schedule A'!B72</f>
        <v>No. 8 AWG, 5 kV, L-824, Type C Cable Installed in Trench, Duct Bank or Conduit
(Item L-108)</v>
      </c>
      <c r="C60" s="60">
        <f>'Bid Schedule A'!C72</f>
        <v>8000</v>
      </c>
      <c r="D60" s="21" t="str">
        <f>'Bid Schedule A'!D72</f>
        <v>LF</v>
      </c>
      <c r="E60" s="26">
        <v>1.55</v>
      </c>
      <c r="F60" s="27">
        <f t="shared" si="6"/>
        <v>12400</v>
      </c>
      <c r="G60" s="26">
        <v>4</v>
      </c>
      <c r="H60" s="27">
        <f t="shared" si="7"/>
        <v>32000</v>
      </c>
      <c r="I60" s="26">
        <v>1.55</v>
      </c>
      <c r="J60" s="27">
        <f t="shared" si="8"/>
        <v>12400</v>
      </c>
      <c r="K60" s="26">
        <v>4</v>
      </c>
      <c r="L60" s="27">
        <f t="shared" si="9"/>
        <v>32000</v>
      </c>
      <c r="M60" s="26">
        <v>1.6</v>
      </c>
      <c r="N60" s="27">
        <f t="shared" si="10"/>
        <v>12800</v>
      </c>
      <c r="O60" s="26">
        <v>1.75</v>
      </c>
      <c r="P60" s="27">
        <f t="shared" si="11"/>
        <v>14000</v>
      </c>
    </row>
    <row r="61" spans="1:16" ht="33" customHeight="1" x14ac:dyDescent="0.25">
      <c r="A61" s="50" t="str">
        <f>'Bid Schedule A'!A73</f>
        <v>0054</v>
      </c>
      <c r="B61" s="57" t="str">
        <f>'Bid Schedule A'!B73</f>
        <v xml:space="preserve">No. 6 AWG, Solid, Bare Counterpoise Wire
(Item L-108) </v>
      </c>
      <c r="C61" s="60">
        <f>'Bid Schedule A'!C73</f>
        <v>2000</v>
      </c>
      <c r="D61" s="21" t="str">
        <f>'Bid Schedule A'!D73</f>
        <v>LF</v>
      </c>
      <c r="E61" s="26">
        <v>1.1499999999999999</v>
      </c>
      <c r="F61" s="27">
        <f t="shared" si="6"/>
        <v>2300</v>
      </c>
      <c r="G61" s="26">
        <v>5</v>
      </c>
      <c r="H61" s="27">
        <f t="shared" si="7"/>
        <v>10000</v>
      </c>
      <c r="I61" s="26">
        <v>1.1499999999999999</v>
      </c>
      <c r="J61" s="27">
        <f t="shared" si="8"/>
        <v>2300</v>
      </c>
      <c r="K61" s="26">
        <v>5</v>
      </c>
      <c r="L61" s="27">
        <f t="shared" si="9"/>
        <v>10000</v>
      </c>
      <c r="M61" s="26">
        <v>1.2</v>
      </c>
      <c r="N61" s="27">
        <f t="shared" si="10"/>
        <v>2400</v>
      </c>
      <c r="O61" s="26">
        <v>1.5</v>
      </c>
      <c r="P61" s="27">
        <f t="shared" si="11"/>
        <v>3000</v>
      </c>
    </row>
    <row r="62" spans="1:16" ht="33" customHeight="1" x14ac:dyDescent="0.25">
      <c r="A62" s="50" t="str">
        <f>'Bid Schedule A'!A74</f>
        <v>0055</v>
      </c>
      <c r="B62" s="57" t="str">
        <f>'Bid Schedule A'!B74</f>
        <v xml:space="preserve">Counterpoise Ground Rod, 10-Foot Long
(Item L-108) </v>
      </c>
      <c r="C62" s="60">
        <f>'Bid Schedule A'!C74</f>
        <v>8</v>
      </c>
      <c r="D62" s="21" t="str">
        <f>'Bid Schedule A'!D74</f>
        <v>Each</v>
      </c>
      <c r="E62" s="26">
        <v>310</v>
      </c>
      <c r="F62" s="27">
        <f t="shared" si="6"/>
        <v>2480</v>
      </c>
      <c r="G62" s="26">
        <v>350</v>
      </c>
      <c r="H62" s="27">
        <f t="shared" si="7"/>
        <v>2800</v>
      </c>
      <c r="I62" s="26">
        <v>305</v>
      </c>
      <c r="J62" s="27">
        <f t="shared" si="8"/>
        <v>2440</v>
      </c>
      <c r="K62" s="26">
        <v>350</v>
      </c>
      <c r="L62" s="27">
        <f t="shared" si="9"/>
        <v>2800</v>
      </c>
      <c r="M62" s="26">
        <v>320</v>
      </c>
      <c r="N62" s="27">
        <f t="shared" si="10"/>
        <v>2560</v>
      </c>
      <c r="O62" s="26">
        <v>250</v>
      </c>
      <c r="P62" s="27">
        <f t="shared" si="11"/>
        <v>2000</v>
      </c>
    </row>
    <row r="63" spans="1:16" ht="33" customHeight="1" x14ac:dyDescent="0.25">
      <c r="A63" s="50" t="str">
        <f>'Bid Schedule A'!A75</f>
        <v>0056</v>
      </c>
      <c r="B63" s="57" t="str">
        <f>'Bid Schedule A'!B75</f>
        <v xml:space="preserve">2-Inch PVC in New Shoulder and Direct Buried
(Item L-110) </v>
      </c>
      <c r="C63" s="60">
        <f>'Bid Schedule A'!C75</f>
        <v>1700</v>
      </c>
      <c r="D63" s="21" t="str">
        <f>'Bid Schedule A'!D75</f>
        <v>LF</v>
      </c>
      <c r="E63" s="26">
        <v>16</v>
      </c>
      <c r="F63" s="27">
        <f t="shared" si="6"/>
        <v>27200</v>
      </c>
      <c r="G63" s="26">
        <v>25</v>
      </c>
      <c r="H63" s="27">
        <f t="shared" si="7"/>
        <v>42500</v>
      </c>
      <c r="I63" s="26">
        <v>15.15</v>
      </c>
      <c r="J63" s="27">
        <f t="shared" si="8"/>
        <v>25755</v>
      </c>
      <c r="K63" s="26">
        <v>25</v>
      </c>
      <c r="L63" s="27">
        <f t="shared" si="9"/>
        <v>42500</v>
      </c>
      <c r="M63" s="26">
        <v>16</v>
      </c>
      <c r="N63" s="27">
        <f t="shared" si="10"/>
        <v>27200</v>
      </c>
      <c r="O63" s="26">
        <v>15</v>
      </c>
      <c r="P63" s="27">
        <f t="shared" si="11"/>
        <v>25500</v>
      </c>
    </row>
    <row r="64" spans="1:16" ht="33" customHeight="1" x14ac:dyDescent="0.25">
      <c r="A64" s="50" t="str">
        <f>'Bid Schedule A'!A76</f>
        <v>0057</v>
      </c>
      <c r="B64" s="57" t="str">
        <f>'Bid Schedule A'!B76</f>
        <v xml:space="preserve">2-Inch PVC in CLSM
(Item L-110) </v>
      </c>
      <c r="C64" s="60">
        <f>'Bid Schedule A'!C76</f>
        <v>230</v>
      </c>
      <c r="D64" s="21" t="str">
        <f>'Bid Schedule A'!D76</f>
        <v>LF</v>
      </c>
      <c r="E64" s="26">
        <v>18</v>
      </c>
      <c r="F64" s="27">
        <f t="shared" si="6"/>
        <v>4140</v>
      </c>
      <c r="G64" s="26">
        <v>200</v>
      </c>
      <c r="H64" s="27">
        <f t="shared" si="7"/>
        <v>46000</v>
      </c>
      <c r="I64" s="26">
        <v>17.149999999999999</v>
      </c>
      <c r="J64" s="27">
        <f t="shared" si="8"/>
        <v>3944.4999999999995</v>
      </c>
      <c r="K64" s="26">
        <v>200</v>
      </c>
      <c r="L64" s="27">
        <f t="shared" si="9"/>
        <v>46000</v>
      </c>
      <c r="M64" s="26">
        <v>18</v>
      </c>
      <c r="N64" s="27">
        <f t="shared" si="10"/>
        <v>4140</v>
      </c>
      <c r="O64" s="26">
        <v>25</v>
      </c>
      <c r="P64" s="27">
        <f t="shared" si="11"/>
        <v>5750</v>
      </c>
    </row>
    <row r="65" spans="1:16" ht="33" customHeight="1" x14ac:dyDescent="0.25">
      <c r="A65" s="50" t="str">
        <f>'Bid Schedule A'!A77</f>
        <v>0058</v>
      </c>
      <c r="B65" s="57" t="str">
        <f>'Bid Schedule A'!B77</f>
        <v xml:space="preserve">1-Inch GRSC
(Item L-110) </v>
      </c>
      <c r="C65" s="60">
        <f>'Bid Schedule A'!C77</f>
        <v>75</v>
      </c>
      <c r="D65" s="21" t="str">
        <f>'Bid Schedule A'!D77</f>
        <v>LF</v>
      </c>
      <c r="E65" s="26">
        <v>23</v>
      </c>
      <c r="F65" s="27">
        <f t="shared" si="6"/>
        <v>1725</v>
      </c>
      <c r="G65" s="26">
        <v>100</v>
      </c>
      <c r="H65" s="27">
        <f t="shared" si="7"/>
        <v>7500</v>
      </c>
      <c r="I65" s="26">
        <v>22.25</v>
      </c>
      <c r="J65" s="27">
        <f t="shared" si="8"/>
        <v>1668.75</v>
      </c>
      <c r="K65" s="26">
        <v>100</v>
      </c>
      <c r="L65" s="27">
        <f t="shared" si="9"/>
        <v>7500</v>
      </c>
      <c r="M65" s="26">
        <v>23</v>
      </c>
      <c r="N65" s="27">
        <f t="shared" si="10"/>
        <v>1725</v>
      </c>
      <c r="O65" s="26">
        <v>30</v>
      </c>
      <c r="P65" s="27">
        <f t="shared" si="11"/>
        <v>2250</v>
      </c>
    </row>
    <row r="66" spans="1:16" ht="33" customHeight="1" x14ac:dyDescent="0.25">
      <c r="A66" s="50" t="str">
        <f>'Bid Schedule A'!A78</f>
        <v>0059</v>
      </c>
      <c r="B66" s="57" t="str">
        <f>'Bid Schedule A'!B78</f>
        <v>General Electrical Removal
(Section 260500)</v>
      </c>
      <c r="C66" s="60">
        <f>'Bid Schedule A'!C78</f>
        <v>1</v>
      </c>
      <c r="D66" s="21" t="str">
        <f>'Bid Schedule A'!D78</f>
        <v>LS</v>
      </c>
      <c r="E66" s="26">
        <v>40000</v>
      </c>
      <c r="F66" s="27">
        <f t="shared" si="6"/>
        <v>40000</v>
      </c>
      <c r="G66" s="26">
        <v>35000</v>
      </c>
      <c r="H66" s="27">
        <f t="shared" si="7"/>
        <v>35000</v>
      </c>
      <c r="I66" s="26">
        <v>14140</v>
      </c>
      <c r="J66" s="27">
        <f t="shared" si="8"/>
        <v>14140</v>
      </c>
      <c r="K66" s="26">
        <v>38000</v>
      </c>
      <c r="L66" s="27">
        <f t="shared" si="9"/>
        <v>38000</v>
      </c>
      <c r="M66" s="26">
        <v>15000</v>
      </c>
      <c r="N66" s="27">
        <f t="shared" si="10"/>
        <v>15000</v>
      </c>
      <c r="O66" s="26">
        <v>40000</v>
      </c>
      <c r="P66" s="27">
        <f t="shared" si="11"/>
        <v>40000</v>
      </c>
    </row>
    <row r="67" spans="1:16" ht="33" customHeight="1" x14ac:dyDescent="0.25">
      <c r="A67" s="50" t="str">
        <f>'Bid Schedule A'!A79</f>
        <v>0060</v>
      </c>
      <c r="B67" s="57" t="str">
        <f>'Bid Schedule A'!B79</f>
        <v>Temporary Circuit Connection
(Section 260500)</v>
      </c>
      <c r="C67" s="60">
        <f>'Bid Schedule A'!C79</f>
        <v>1</v>
      </c>
      <c r="D67" s="21" t="str">
        <f>'Bid Schedule A'!D79</f>
        <v>LS</v>
      </c>
      <c r="E67" s="26">
        <v>5500</v>
      </c>
      <c r="F67" s="27">
        <f t="shared" si="6"/>
        <v>5500</v>
      </c>
      <c r="G67" s="26">
        <v>25000</v>
      </c>
      <c r="H67" s="27">
        <f t="shared" si="7"/>
        <v>25000</v>
      </c>
      <c r="I67" s="26">
        <v>5300</v>
      </c>
      <c r="J67" s="27">
        <f t="shared" si="8"/>
        <v>5300</v>
      </c>
      <c r="K67" s="26">
        <v>25000</v>
      </c>
      <c r="L67" s="27">
        <f t="shared" si="9"/>
        <v>25000</v>
      </c>
      <c r="M67" s="26">
        <v>5500</v>
      </c>
      <c r="N67" s="27">
        <f t="shared" si="10"/>
        <v>5500</v>
      </c>
      <c r="O67" s="26">
        <v>17500</v>
      </c>
      <c r="P67" s="27">
        <f t="shared" si="11"/>
        <v>17500</v>
      </c>
    </row>
    <row r="68" spans="1:16" ht="33" customHeight="1" x14ac:dyDescent="0.25">
      <c r="A68" s="50" t="str">
        <f>'Bid Schedule A'!A80</f>
        <v>0061</v>
      </c>
      <c r="B68" s="57" t="str">
        <f>'Bid Schedule A'!B80</f>
        <v>Reinstall Elevated LED Taxiway Edge Light on PF Base Can, PF Extension, PF Flange Ring, and CF Transformer (Section 344300)</v>
      </c>
      <c r="C68" s="60">
        <f>'Bid Schedule A'!C80</f>
        <v>22</v>
      </c>
      <c r="D68" s="21" t="str">
        <f>'Bid Schedule A'!D80</f>
        <v>Each</v>
      </c>
      <c r="E68" s="26">
        <v>1400</v>
      </c>
      <c r="F68" s="27">
        <f t="shared" si="6"/>
        <v>30800</v>
      </c>
      <c r="G68" s="26">
        <v>2500</v>
      </c>
      <c r="H68" s="27">
        <f t="shared" si="7"/>
        <v>55000</v>
      </c>
      <c r="I68" s="26">
        <v>1375</v>
      </c>
      <c r="J68" s="27">
        <f t="shared" si="8"/>
        <v>30250</v>
      </c>
      <c r="K68" s="26">
        <v>2500</v>
      </c>
      <c r="L68" s="27">
        <f t="shared" si="9"/>
        <v>55000</v>
      </c>
      <c r="M68" s="26">
        <v>1400</v>
      </c>
      <c r="N68" s="27">
        <f t="shared" si="10"/>
        <v>30800</v>
      </c>
      <c r="O68" s="26">
        <v>1250</v>
      </c>
      <c r="P68" s="27">
        <f t="shared" si="11"/>
        <v>27500</v>
      </c>
    </row>
    <row r="69" spans="1:16" ht="33" customHeight="1" x14ac:dyDescent="0.25">
      <c r="A69" s="50" t="str">
        <f>'Bid Schedule A'!A81</f>
        <v>0062</v>
      </c>
      <c r="B69" s="57" t="str">
        <f>'Bid Schedule A'!B81</f>
        <v>Reinstall LED Taxiway Centerline Light on PF Base Can, PF Extension, PF Flange Ring, and CF Transformer (Section 344300)</v>
      </c>
      <c r="C69" s="60">
        <f>'Bid Schedule A'!C81</f>
        <v>6</v>
      </c>
      <c r="D69" s="21" t="str">
        <f>'Bid Schedule A'!D81</f>
        <v>Each</v>
      </c>
      <c r="E69" s="26">
        <v>1450</v>
      </c>
      <c r="F69" s="27">
        <f t="shared" si="6"/>
        <v>8700</v>
      </c>
      <c r="G69" s="26">
        <v>2500</v>
      </c>
      <c r="H69" s="27">
        <f t="shared" si="7"/>
        <v>15000</v>
      </c>
      <c r="I69" s="26">
        <v>1415</v>
      </c>
      <c r="J69" s="27">
        <f t="shared" si="8"/>
        <v>8490</v>
      </c>
      <c r="K69" s="26">
        <v>2500</v>
      </c>
      <c r="L69" s="27">
        <f t="shared" si="9"/>
        <v>15000</v>
      </c>
      <c r="M69" s="26">
        <v>1400</v>
      </c>
      <c r="N69" s="27">
        <f t="shared" si="10"/>
        <v>8400</v>
      </c>
      <c r="O69" s="26">
        <v>1600</v>
      </c>
      <c r="P69" s="27">
        <f t="shared" si="11"/>
        <v>9600</v>
      </c>
    </row>
    <row r="70" spans="1:16" ht="33" customHeight="1" x14ac:dyDescent="0.25">
      <c r="A70" s="50" t="str">
        <f>'Bid Schedule A'!A82</f>
        <v>0063</v>
      </c>
      <c r="B70" s="57" t="str">
        <f>'Bid Schedule A'!B82</f>
        <v>Install PF In-Pavement Taxiway Edge Light on PF Base Can, PF Extension, PF Flange Ring, and CF Transformer (Section 344300)</v>
      </c>
      <c r="C70" s="60">
        <f>'Bid Schedule A'!C82</f>
        <v>3</v>
      </c>
      <c r="D70" s="21" t="str">
        <f>'Bid Schedule A'!D82</f>
        <v>Each</v>
      </c>
      <c r="E70" s="26">
        <v>1550</v>
      </c>
      <c r="F70" s="27">
        <f t="shared" si="6"/>
        <v>4650</v>
      </c>
      <c r="G70" s="26">
        <v>3000</v>
      </c>
      <c r="H70" s="27">
        <f t="shared" si="7"/>
        <v>9000</v>
      </c>
      <c r="I70" s="26">
        <v>1515</v>
      </c>
      <c r="J70" s="27">
        <f t="shared" si="8"/>
        <v>4545</v>
      </c>
      <c r="K70" s="26">
        <v>3000</v>
      </c>
      <c r="L70" s="27">
        <f t="shared" si="9"/>
        <v>9000</v>
      </c>
      <c r="M70" s="26">
        <v>1600</v>
      </c>
      <c r="N70" s="27">
        <f t="shared" si="10"/>
        <v>4800</v>
      </c>
      <c r="O70" s="26">
        <v>1600</v>
      </c>
      <c r="P70" s="27">
        <f t="shared" si="11"/>
        <v>4800</v>
      </c>
    </row>
    <row r="71" spans="1:16" ht="33" customHeight="1" x14ac:dyDescent="0.25">
      <c r="A71" s="50" t="str">
        <f>'Bid Schedule A'!A83</f>
        <v>0064</v>
      </c>
      <c r="B71" s="57" t="str">
        <f>'Bid Schedule A'!B83</f>
        <v>Install PF Cover Plate on Existing Light Base
(Section 344300)</v>
      </c>
      <c r="C71" s="60">
        <f>'Bid Schedule A'!C83</f>
        <v>2</v>
      </c>
      <c r="D71" s="21" t="str">
        <f>'Bid Schedule A'!D83</f>
        <v>Each</v>
      </c>
      <c r="E71" s="26">
        <v>200</v>
      </c>
      <c r="F71" s="27">
        <f t="shared" si="6"/>
        <v>400</v>
      </c>
      <c r="G71" s="26">
        <v>1000</v>
      </c>
      <c r="H71" s="27">
        <f t="shared" si="7"/>
        <v>2000</v>
      </c>
      <c r="I71" s="26">
        <v>192</v>
      </c>
      <c r="J71" s="27">
        <f t="shared" si="8"/>
        <v>384</v>
      </c>
      <c r="K71" s="26">
        <v>1000</v>
      </c>
      <c r="L71" s="27">
        <f t="shared" si="9"/>
        <v>2000</v>
      </c>
      <c r="M71" s="26">
        <v>200</v>
      </c>
      <c r="N71" s="27">
        <f t="shared" si="10"/>
        <v>400</v>
      </c>
      <c r="O71" s="26">
        <v>175</v>
      </c>
      <c r="P71" s="27">
        <f t="shared" si="11"/>
        <v>350</v>
      </c>
    </row>
    <row r="72" spans="1:16" ht="33" customHeight="1" x14ac:dyDescent="0.25">
      <c r="A72" s="50" t="str">
        <f>'Bid Schedule A'!A84</f>
        <v>0065</v>
      </c>
      <c r="B72" s="57" t="str">
        <f>'Bid Schedule A'!B84</f>
        <v>Adjust Existing Taxiway Centerline Light
(Section 344301)</v>
      </c>
      <c r="C72" s="60">
        <f>'Bid Schedule A'!C84</f>
        <v>24</v>
      </c>
      <c r="D72" s="21" t="str">
        <f>'Bid Schedule A'!D84</f>
        <v>Each</v>
      </c>
      <c r="E72" s="26">
        <v>625</v>
      </c>
      <c r="F72" s="27">
        <f t="shared" si="6"/>
        <v>15000</v>
      </c>
      <c r="G72" s="26">
        <v>2500</v>
      </c>
      <c r="H72" s="27">
        <f t="shared" si="7"/>
        <v>60000</v>
      </c>
      <c r="I72" s="26">
        <v>610</v>
      </c>
      <c r="J72" s="27">
        <f t="shared" si="8"/>
        <v>14640</v>
      </c>
      <c r="K72" s="26">
        <v>2500</v>
      </c>
      <c r="L72" s="27">
        <f t="shared" si="9"/>
        <v>60000</v>
      </c>
      <c r="M72" s="26">
        <v>625</v>
      </c>
      <c r="N72" s="27">
        <f t="shared" si="10"/>
        <v>15000</v>
      </c>
      <c r="O72" s="26">
        <v>875</v>
      </c>
      <c r="P72" s="27">
        <f t="shared" si="11"/>
        <v>21000</v>
      </c>
    </row>
    <row r="73" spans="1:16" ht="33" customHeight="1" x14ac:dyDescent="0.25">
      <c r="A73" s="50" t="str">
        <f>'Bid Schedule A'!A85</f>
        <v>0066</v>
      </c>
      <c r="B73" s="57" t="str">
        <f>'Bid Schedule A'!B85</f>
        <v>Sign B6-11
(Section 344302)</v>
      </c>
      <c r="C73" s="60">
        <f>'Bid Schedule A'!C85</f>
        <v>1</v>
      </c>
      <c r="D73" s="21" t="str">
        <f>'Bid Schedule A'!D85</f>
        <v>LS</v>
      </c>
      <c r="E73" s="26">
        <v>6800</v>
      </c>
      <c r="F73" s="27">
        <f t="shared" si="6"/>
        <v>6800</v>
      </c>
      <c r="G73" s="26">
        <v>6500</v>
      </c>
      <c r="H73" s="27">
        <f t="shared" si="7"/>
        <v>6500</v>
      </c>
      <c r="I73" s="26">
        <v>6660</v>
      </c>
      <c r="J73" s="27">
        <f t="shared" si="8"/>
        <v>6660</v>
      </c>
      <c r="K73" s="26">
        <v>6500</v>
      </c>
      <c r="L73" s="27">
        <f t="shared" si="9"/>
        <v>6500</v>
      </c>
      <c r="M73" s="26">
        <v>7000</v>
      </c>
      <c r="N73" s="27">
        <f t="shared" si="10"/>
        <v>7000</v>
      </c>
      <c r="O73" s="26">
        <v>6000</v>
      </c>
      <c r="P73" s="27">
        <f t="shared" si="11"/>
        <v>6000</v>
      </c>
    </row>
    <row r="74" spans="1:16" ht="27.75" customHeight="1" x14ac:dyDescent="0.25">
      <c r="A74" s="12"/>
      <c r="B74" s="52" t="str">
        <f>'Bid Schedule A'!B86</f>
        <v>Total Amount Bid Schedule A</v>
      </c>
      <c r="C74" s="38"/>
      <c r="D74" s="22">
        <f>'Bid Schedule A'!D86</f>
        <v>0</v>
      </c>
      <c r="E74" s="28"/>
      <c r="F74" s="28">
        <f>SUM(F8:F73)</f>
        <v>5344757.8</v>
      </c>
      <c r="G74" s="28"/>
      <c r="H74" s="28">
        <f>SUM(H8:H73)</f>
        <v>4584205</v>
      </c>
      <c r="I74" s="28"/>
      <c r="J74" s="28">
        <f>SUM(J8:J73)</f>
        <v>5787969</v>
      </c>
      <c r="K74" s="28"/>
      <c r="L74" s="28">
        <f>SUM(L8:L73)</f>
        <v>5063878.2200000007</v>
      </c>
      <c r="M74" s="28"/>
      <c r="N74" s="28">
        <f>SUM(N8:N73)</f>
        <v>4473275.5</v>
      </c>
      <c r="O74" s="28"/>
      <c r="P74" s="28">
        <f>SUM(P8:P73)</f>
        <v>4560860.5</v>
      </c>
    </row>
    <row r="75" spans="1:16" x14ac:dyDescent="0.25">
      <c r="A75" s="50"/>
      <c r="B75" s="20"/>
      <c r="C75" s="37"/>
      <c r="D75" s="21"/>
      <c r="E75" s="26"/>
      <c r="F75" s="27"/>
      <c r="G75" s="26"/>
      <c r="H75" s="27"/>
      <c r="I75" s="26"/>
      <c r="J75" s="27"/>
      <c r="K75" s="26"/>
      <c r="L75" s="27"/>
      <c r="M75" s="26"/>
      <c r="N75" s="27"/>
      <c r="O75" s="26"/>
      <c r="P75" s="27"/>
    </row>
    <row r="76" spans="1:16" x14ac:dyDescent="0.25">
      <c r="A76" s="50"/>
      <c r="B76" s="20"/>
      <c r="C76" s="37"/>
      <c r="D76" s="21"/>
      <c r="E76" s="26"/>
      <c r="F76" s="27"/>
      <c r="G76" s="26"/>
      <c r="H76" s="27"/>
      <c r="I76" s="26"/>
      <c r="J76" s="27"/>
      <c r="K76" s="26"/>
      <c r="L76" s="27"/>
      <c r="M76" s="26"/>
      <c r="N76" s="27"/>
      <c r="O76" s="26"/>
      <c r="P76" s="27"/>
    </row>
    <row r="77" spans="1:16" x14ac:dyDescent="0.25">
      <c r="A77" s="50"/>
      <c r="B77" s="20"/>
      <c r="C77" s="37"/>
      <c r="D77" s="21"/>
      <c r="E77" s="26"/>
      <c r="F77" s="27"/>
      <c r="G77" s="26"/>
      <c r="H77" s="27"/>
      <c r="I77" s="26"/>
      <c r="J77" s="27"/>
      <c r="K77" s="26"/>
      <c r="L77" s="27"/>
      <c r="M77" s="26"/>
      <c r="N77" s="27"/>
      <c r="O77" s="26"/>
      <c r="P77" s="27"/>
    </row>
    <row r="78" spans="1:16" x14ac:dyDescent="0.25">
      <c r="A78" s="50"/>
      <c r="B78" s="20"/>
      <c r="C78" s="37"/>
      <c r="D78" s="21"/>
      <c r="E78" s="26"/>
      <c r="F78" s="27"/>
      <c r="G78" s="26"/>
      <c r="H78" s="27"/>
      <c r="I78" s="26"/>
      <c r="J78" s="27"/>
      <c r="K78" s="26"/>
      <c r="L78" s="27"/>
      <c r="M78" s="26"/>
      <c r="N78" s="27"/>
      <c r="O78" s="26"/>
      <c r="P78" s="27"/>
    </row>
    <row r="79" spans="1:16" x14ac:dyDescent="0.25">
      <c r="A79" s="50"/>
      <c r="B79" s="20"/>
      <c r="C79" s="37"/>
      <c r="D79" s="21"/>
      <c r="E79" s="26"/>
      <c r="F79" s="27"/>
      <c r="G79" s="26"/>
      <c r="H79" s="27"/>
      <c r="I79" s="26"/>
      <c r="J79" s="27"/>
      <c r="K79" s="26"/>
      <c r="L79" s="27"/>
      <c r="M79" s="26"/>
      <c r="N79" s="27"/>
      <c r="O79" s="26"/>
      <c r="P79" s="27"/>
    </row>
    <row r="80" spans="1:16" x14ac:dyDescent="0.25">
      <c r="A80" s="50"/>
      <c r="B80" s="20"/>
      <c r="C80" s="37"/>
      <c r="D80" s="21"/>
      <c r="E80" s="26"/>
      <c r="F80" s="27"/>
      <c r="G80" s="26"/>
      <c r="H80" s="27"/>
      <c r="I80" s="26"/>
      <c r="J80" s="27"/>
      <c r="K80" s="26"/>
      <c r="L80" s="27"/>
      <c r="M80" s="26"/>
      <c r="N80" s="27"/>
      <c r="O80" s="26"/>
      <c r="P80" s="27"/>
    </row>
    <row r="81" spans="1:16" x14ac:dyDescent="0.25">
      <c r="A81" s="50"/>
      <c r="B81" s="20"/>
      <c r="C81" s="37"/>
      <c r="D81" s="21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</row>
    <row r="82" spans="1:16" x14ac:dyDescent="0.25">
      <c r="A82" s="50"/>
      <c r="B82" s="20"/>
      <c r="C82" s="37"/>
      <c r="D82" s="21"/>
      <c r="E82" s="26"/>
      <c r="F82" s="27"/>
      <c r="G82" s="26"/>
      <c r="H82" s="27"/>
      <c r="I82" s="26"/>
      <c r="J82" s="27"/>
      <c r="K82" s="26"/>
      <c r="L82" s="27"/>
      <c r="M82" s="26"/>
      <c r="N82" s="27"/>
      <c r="O82" s="26"/>
      <c r="P82" s="27"/>
    </row>
    <row r="83" spans="1:16" x14ac:dyDescent="0.25">
      <c r="A83" s="50"/>
      <c r="B83" s="20"/>
      <c r="C83" s="37"/>
      <c r="D83" s="21"/>
      <c r="E83" s="26"/>
      <c r="F83" s="27"/>
      <c r="G83" s="26"/>
      <c r="H83" s="27"/>
      <c r="I83" s="26"/>
      <c r="J83" s="27"/>
      <c r="K83" s="26"/>
      <c r="L83" s="27"/>
      <c r="M83" s="26"/>
      <c r="N83" s="27"/>
      <c r="O83" s="26"/>
      <c r="P83" s="27"/>
    </row>
    <row r="84" spans="1:16" x14ac:dyDescent="0.25">
      <c r="A84" s="50"/>
      <c r="B84" s="20"/>
      <c r="C84" s="37"/>
      <c r="D84" s="21"/>
      <c r="E84" s="26"/>
      <c r="F84" s="27"/>
      <c r="G84" s="26"/>
      <c r="H84" s="27"/>
      <c r="I84" s="26"/>
      <c r="J84" s="27"/>
      <c r="K84" s="26"/>
      <c r="L84" s="27"/>
      <c r="M84" s="26"/>
      <c r="N84" s="27"/>
      <c r="O84" s="26"/>
      <c r="P84" s="27"/>
    </row>
    <row r="85" spans="1:16" x14ac:dyDescent="0.25">
      <c r="A85" s="50"/>
      <c r="B85" s="20"/>
      <c r="C85" s="37"/>
      <c r="D85" s="21"/>
      <c r="E85" s="26"/>
      <c r="F85" s="27"/>
      <c r="G85" s="26"/>
      <c r="H85" s="27"/>
      <c r="I85" s="26"/>
      <c r="J85" s="27"/>
      <c r="K85" s="26"/>
      <c r="L85" s="27"/>
      <c r="M85" s="26"/>
      <c r="N85" s="27"/>
      <c r="O85" s="26"/>
      <c r="P85" s="27"/>
    </row>
    <row r="86" spans="1:16" x14ac:dyDescent="0.25">
      <c r="A86" s="50"/>
      <c r="B86" s="20"/>
      <c r="C86" s="37"/>
      <c r="D86" s="21"/>
      <c r="E86" s="26"/>
      <c r="F86" s="27"/>
      <c r="G86" s="26"/>
      <c r="H86" s="27"/>
      <c r="I86" s="26"/>
      <c r="J86" s="27"/>
      <c r="K86" s="26"/>
      <c r="L86" s="27"/>
      <c r="M86" s="26"/>
      <c r="N86" s="27"/>
      <c r="O86" s="26"/>
      <c r="P86" s="27"/>
    </row>
    <row r="87" spans="1:16" x14ac:dyDescent="0.25">
      <c r="A87" s="50"/>
      <c r="B87" s="20"/>
      <c r="C87" s="37"/>
      <c r="D87" s="21"/>
      <c r="E87" s="26"/>
      <c r="F87" s="27"/>
      <c r="G87" s="26"/>
      <c r="H87" s="27"/>
      <c r="I87" s="26"/>
      <c r="J87" s="27"/>
      <c r="K87" s="26"/>
      <c r="L87" s="27"/>
      <c r="M87" s="26"/>
      <c r="N87" s="27"/>
      <c r="O87" s="26"/>
      <c r="P87" s="27"/>
    </row>
    <row r="88" spans="1:16" x14ac:dyDescent="0.25">
      <c r="A88" s="50"/>
      <c r="B88" s="20"/>
      <c r="C88" s="37"/>
      <c r="D88" s="21"/>
      <c r="E88" s="26"/>
      <c r="F88" s="27"/>
      <c r="G88" s="26"/>
      <c r="H88" s="27"/>
      <c r="I88" s="26"/>
      <c r="J88" s="27"/>
      <c r="K88" s="26"/>
      <c r="L88" s="27"/>
      <c r="M88" s="26"/>
      <c r="N88" s="27"/>
      <c r="O88" s="26"/>
      <c r="P88" s="27"/>
    </row>
    <row r="89" spans="1:16" x14ac:dyDescent="0.25">
      <c r="A89" s="50"/>
      <c r="B89" s="20"/>
      <c r="C89" s="37"/>
      <c r="D89" s="21"/>
      <c r="E89" s="26"/>
      <c r="F89" s="27"/>
      <c r="G89" s="26"/>
      <c r="H89" s="27"/>
      <c r="I89" s="26"/>
      <c r="J89" s="27"/>
      <c r="K89" s="26"/>
      <c r="L89" s="27"/>
      <c r="M89" s="26"/>
      <c r="N89" s="27"/>
      <c r="O89" s="26"/>
      <c r="P89" s="27"/>
    </row>
    <row r="90" spans="1:16" x14ac:dyDescent="0.25">
      <c r="A90" s="50"/>
      <c r="B90" s="20"/>
      <c r="C90" s="37"/>
      <c r="D90" s="21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</row>
    <row r="91" spans="1:16" x14ac:dyDescent="0.25">
      <c r="A91" s="50"/>
      <c r="B91" s="20"/>
      <c r="C91" s="37"/>
      <c r="D91" s="21"/>
      <c r="E91" s="26"/>
      <c r="F91" s="27"/>
      <c r="G91" s="26"/>
      <c r="H91" s="27"/>
      <c r="I91" s="26"/>
      <c r="J91" s="27"/>
      <c r="K91" s="26"/>
      <c r="L91" s="27"/>
      <c r="M91" s="26"/>
      <c r="N91" s="27"/>
      <c r="O91" s="26"/>
      <c r="P91" s="27"/>
    </row>
    <row r="92" spans="1:16" x14ac:dyDescent="0.25">
      <c r="A92" s="50"/>
      <c r="B92" s="20"/>
      <c r="C92" s="37"/>
      <c r="D92" s="21"/>
      <c r="E92" s="26"/>
      <c r="F92" s="27"/>
      <c r="G92" s="26"/>
      <c r="H92" s="27"/>
      <c r="I92" s="26"/>
      <c r="J92" s="27"/>
      <c r="K92" s="26"/>
      <c r="L92" s="27"/>
      <c r="M92" s="26"/>
      <c r="N92" s="27"/>
      <c r="O92" s="26"/>
      <c r="P92" s="27"/>
    </row>
    <row r="93" spans="1:16" x14ac:dyDescent="0.25">
      <c r="A93" s="50"/>
      <c r="B93" s="20"/>
      <c r="C93" s="37"/>
      <c r="D93" s="21"/>
      <c r="E93" s="26"/>
      <c r="F93" s="27"/>
      <c r="G93" s="26"/>
      <c r="H93" s="27"/>
      <c r="I93" s="26"/>
      <c r="J93" s="27"/>
      <c r="K93" s="26"/>
      <c r="L93" s="27"/>
      <c r="M93" s="26"/>
      <c r="N93" s="27"/>
      <c r="O93" s="26"/>
      <c r="P93" s="27"/>
    </row>
    <row r="94" spans="1:16" x14ac:dyDescent="0.25">
      <c r="A94" s="50"/>
      <c r="B94" s="20"/>
      <c r="C94" s="37"/>
      <c r="D94" s="21"/>
      <c r="E94" s="26"/>
      <c r="F94" s="27"/>
      <c r="G94" s="26"/>
      <c r="H94" s="27"/>
      <c r="I94" s="26"/>
      <c r="J94" s="27"/>
      <c r="K94" s="26"/>
      <c r="L94" s="27"/>
      <c r="M94" s="26"/>
      <c r="N94" s="27"/>
      <c r="O94" s="26"/>
      <c r="P94" s="27"/>
    </row>
    <row r="95" spans="1:16" x14ac:dyDescent="0.25">
      <c r="A95" s="50"/>
      <c r="B95" s="20"/>
      <c r="C95" s="37"/>
      <c r="D95" s="21"/>
      <c r="E95" s="26"/>
      <c r="F95" s="27"/>
      <c r="G95" s="26"/>
      <c r="H95" s="27"/>
      <c r="I95" s="26"/>
      <c r="J95" s="27"/>
      <c r="K95" s="26"/>
      <c r="L95" s="27"/>
      <c r="M95" s="26"/>
      <c r="N95" s="27"/>
      <c r="O95" s="26"/>
      <c r="P95" s="27"/>
    </row>
    <row r="96" spans="1:16" x14ac:dyDescent="0.25">
      <c r="A96" s="50"/>
      <c r="B96" s="20"/>
      <c r="C96" s="37"/>
      <c r="D96" s="21"/>
    </row>
    <row r="97" spans="1:4" x14ac:dyDescent="0.25">
      <c r="A97" s="50"/>
      <c r="B97" s="20"/>
      <c r="C97" s="37"/>
      <c r="D97" s="21"/>
    </row>
    <row r="98" spans="1:4" x14ac:dyDescent="0.25">
      <c r="A98" s="50"/>
      <c r="B98" s="20"/>
      <c r="C98" s="37"/>
      <c r="D98" s="21"/>
    </row>
    <row r="99" spans="1:4" x14ac:dyDescent="0.25">
      <c r="A99" s="50"/>
      <c r="B99" s="20"/>
      <c r="C99" s="37"/>
      <c r="D99" s="21"/>
    </row>
    <row r="100" spans="1:4" x14ac:dyDescent="0.25">
      <c r="A100" s="50"/>
      <c r="B100" s="20"/>
      <c r="C100" s="37"/>
      <c r="D100" s="21"/>
    </row>
    <row r="101" spans="1:4" x14ac:dyDescent="0.25">
      <c r="A101" s="50"/>
      <c r="B101" s="20"/>
      <c r="C101" s="37"/>
      <c r="D101" s="21"/>
    </row>
    <row r="102" spans="1:4" x14ac:dyDescent="0.25">
      <c r="A102" s="50"/>
      <c r="B102" s="20"/>
      <c r="C102" s="37"/>
      <c r="D102" s="21"/>
    </row>
    <row r="103" spans="1:4" x14ac:dyDescent="0.25">
      <c r="A103" s="50"/>
      <c r="B103" s="20"/>
      <c r="C103" s="37"/>
      <c r="D103" s="21"/>
    </row>
    <row r="104" spans="1:4" x14ac:dyDescent="0.25">
      <c r="A104" s="50"/>
      <c r="B104" s="20"/>
      <c r="C104" s="37"/>
      <c r="D104" s="21"/>
    </row>
    <row r="105" spans="1:4" x14ac:dyDescent="0.25">
      <c r="A105" s="50"/>
      <c r="B105" s="20"/>
      <c r="C105" s="37"/>
      <c r="D105" s="21"/>
    </row>
    <row r="106" spans="1:4" x14ac:dyDescent="0.25">
      <c r="A106" s="50"/>
      <c r="B106" s="20"/>
      <c r="C106" s="37"/>
      <c r="D106" s="21"/>
    </row>
    <row r="107" spans="1:4" x14ac:dyDescent="0.25">
      <c r="A107" s="50"/>
      <c r="B107" s="20"/>
      <c r="C107" s="37"/>
      <c r="D107" s="21"/>
    </row>
    <row r="108" spans="1:4" x14ac:dyDescent="0.25">
      <c r="A108" s="50"/>
      <c r="B108" s="20"/>
      <c r="C108" s="37"/>
      <c r="D108" s="21"/>
    </row>
    <row r="109" spans="1:4" x14ac:dyDescent="0.25">
      <c r="A109" s="50"/>
      <c r="B109" s="20"/>
      <c r="C109" s="37"/>
      <c r="D109" s="21"/>
    </row>
    <row r="110" spans="1:4" x14ac:dyDescent="0.25">
      <c r="A110" s="50"/>
      <c r="B110" s="20"/>
      <c r="C110" s="37"/>
      <c r="D110" s="21"/>
    </row>
    <row r="111" spans="1:4" x14ac:dyDescent="0.25">
      <c r="A111" s="50"/>
      <c r="B111" s="20"/>
      <c r="C111" s="37"/>
      <c r="D111" s="21"/>
    </row>
    <row r="112" spans="1:4" x14ac:dyDescent="0.25">
      <c r="A112" s="50"/>
      <c r="B112" s="20"/>
      <c r="C112" s="37"/>
      <c r="D112" s="21"/>
    </row>
    <row r="113" spans="1:4" x14ac:dyDescent="0.25">
      <c r="A113" s="50"/>
      <c r="B113" s="20"/>
      <c r="C113" s="37"/>
      <c r="D113" s="21"/>
    </row>
    <row r="114" spans="1:4" x14ac:dyDescent="0.25">
      <c r="A114" s="50"/>
      <c r="B114" s="20"/>
      <c r="C114" s="37"/>
      <c r="D114" s="21"/>
    </row>
    <row r="115" spans="1:4" x14ac:dyDescent="0.25">
      <c r="A115" s="50"/>
      <c r="B115" s="20"/>
      <c r="C115" s="37"/>
      <c r="D115" s="21"/>
    </row>
    <row r="116" spans="1:4" x14ac:dyDescent="0.25">
      <c r="A116" s="50"/>
      <c r="B116" s="20"/>
      <c r="C116" s="37"/>
      <c r="D116" s="21"/>
    </row>
    <row r="117" spans="1:4" x14ac:dyDescent="0.25">
      <c r="A117" s="50"/>
      <c r="B117" s="20"/>
      <c r="C117" s="37"/>
      <c r="D117" s="21"/>
    </row>
    <row r="118" spans="1:4" x14ac:dyDescent="0.25">
      <c r="A118" s="50"/>
      <c r="B118" s="20"/>
      <c r="C118" s="37"/>
      <c r="D118" s="21"/>
    </row>
    <row r="119" spans="1:4" x14ac:dyDescent="0.25">
      <c r="A119" s="50"/>
      <c r="B119" s="20"/>
      <c r="C119" s="37"/>
      <c r="D119" s="21"/>
    </row>
    <row r="120" spans="1:4" x14ac:dyDescent="0.25">
      <c r="A120" s="50"/>
      <c r="B120" s="20"/>
      <c r="C120" s="37"/>
      <c r="D120" s="21"/>
    </row>
    <row r="121" spans="1:4" x14ac:dyDescent="0.25">
      <c r="A121" s="50"/>
      <c r="B121" s="20"/>
      <c r="C121" s="37"/>
      <c r="D121" s="21"/>
    </row>
    <row r="122" spans="1:4" x14ac:dyDescent="0.25">
      <c r="A122" s="50"/>
      <c r="B122" s="20"/>
      <c r="C122" s="37"/>
      <c r="D122" s="21"/>
    </row>
    <row r="123" spans="1:4" x14ac:dyDescent="0.25">
      <c r="A123" s="50"/>
      <c r="B123" s="20"/>
      <c r="C123" s="37"/>
      <c r="D123" s="21"/>
    </row>
    <row r="124" spans="1:4" x14ac:dyDescent="0.25">
      <c r="A124" s="50"/>
      <c r="B124" s="20"/>
      <c r="C124" s="37"/>
      <c r="D124" s="21"/>
    </row>
    <row r="125" spans="1:4" x14ac:dyDescent="0.25">
      <c r="A125" s="50"/>
      <c r="B125" s="20"/>
      <c r="C125" s="37"/>
      <c r="D125" s="21"/>
    </row>
    <row r="126" spans="1:4" x14ac:dyDescent="0.25">
      <c r="A126" s="50"/>
      <c r="B126" s="20"/>
      <c r="C126" s="37"/>
      <c r="D126" s="21"/>
    </row>
    <row r="127" spans="1:4" x14ac:dyDescent="0.25">
      <c r="A127" s="50"/>
      <c r="B127" s="20"/>
      <c r="C127" s="37"/>
      <c r="D127" s="21"/>
    </row>
    <row r="128" spans="1:4" x14ac:dyDescent="0.25">
      <c r="A128" s="50"/>
      <c r="B128" s="20"/>
      <c r="C128" s="37"/>
      <c r="D128" s="21"/>
    </row>
    <row r="129" spans="1:4" x14ac:dyDescent="0.25">
      <c r="A129" s="50"/>
      <c r="B129" s="20"/>
      <c r="C129" s="37"/>
      <c r="D129" s="21"/>
    </row>
    <row r="130" spans="1:4" x14ac:dyDescent="0.25">
      <c r="A130" s="50"/>
      <c r="B130" s="20"/>
      <c r="C130" s="37"/>
      <c r="D130" s="21"/>
    </row>
    <row r="131" spans="1:4" x14ac:dyDescent="0.25">
      <c r="A131" s="50"/>
      <c r="B131" s="20"/>
      <c r="C131" s="37"/>
      <c r="D131" s="21"/>
    </row>
    <row r="132" spans="1:4" x14ac:dyDescent="0.25">
      <c r="A132" s="50"/>
      <c r="B132" s="20"/>
      <c r="C132" s="37"/>
      <c r="D132" s="21"/>
    </row>
    <row r="133" spans="1:4" x14ac:dyDescent="0.25">
      <c r="A133" s="50"/>
      <c r="B133" s="20"/>
      <c r="C133" s="37"/>
      <c r="D133" s="21"/>
    </row>
    <row r="134" spans="1:4" x14ac:dyDescent="0.25">
      <c r="A134" s="50"/>
      <c r="B134" s="20"/>
      <c r="C134" s="37"/>
      <c r="D134" s="21"/>
    </row>
    <row r="135" spans="1:4" x14ac:dyDescent="0.25">
      <c r="A135" s="50"/>
      <c r="B135" s="20"/>
      <c r="C135" s="37"/>
      <c r="D135" s="21"/>
    </row>
    <row r="136" spans="1:4" x14ac:dyDescent="0.25">
      <c r="A136" s="50"/>
      <c r="B136" s="20"/>
      <c r="C136" s="37"/>
      <c r="D136" s="21"/>
    </row>
    <row r="137" spans="1:4" x14ac:dyDescent="0.25">
      <c r="A137" s="50"/>
      <c r="B137" s="20"/>
      <c r="C137" s="37"/>
      <c r="D137" s="21"/>
    </row>
    <row r="138" spans="1:4" x14ac:dyDescent="0.25">
      <c r="A138" s="50"/>
      <c r="B138" s="20"/>
      <c r="C138" s="37"/>
      <c r="D138" s="21"/>
    </row>
    <row r="139" spans="1:4" x14ac:dyDescent="0.25">
      <c r="A139" s="50"/>
      <c r="B139" s="20"/>
      <c r="C139" s="37"/>
      <c r="D139" s="21"/>
    </row>
    <row r="140" spans="1:4" x14ac:dyDescent="0.25">
      <c r="A140" s="50"/>
      <c r="B140" s="20"/>
      <c r="C140" s="37"/>
      <c r="D140" s="21"/>
    </row>
    <row r="141" spans="1:4" x14ac:dyDescent="0.25">
      <c r="A141" s="50"/>
      <c r="B141" s="20"/>
      <c r="C141" s="37"/>
      <c r="D141" s="21"/>
    </row>
    <row r="142" spans="1:4" x14ac:dyDescent="0.25">
      <c r="A142" s="50"/>
      <c r="B142" s="20"/>
      <c r="C142" s="37"/>
      <c r="D142" s="21"/>
    </row>
    <row r="143" spans="1:4" x14ac:dyDescent="0.25">
      <c r="A143" s="50"/>
      <c r="B143" s="20"/>
      <c r="C143" s="37"/>
      <c r="D143" s="21"/>
    </row>
    <row r="144" spans="1:4" x14ac:dyDescent="0.25">
      <c r="A144" s="50"/>
      <c r="B144" s="20"/>
      <c r="C144" s="37"/>
      <c r="D144" s="21"/>
    </row>
    <row r="145" spans="1:4" x14ac:dyDescent="0.25">
      <c r="A145" s="50"/>
      <c r="B145" s="20"/>
      <c r="C145" s="37"/>
      <c r="D145" s="21"/>
    </row>
    <row r="146" spans="1:4" x14ac:dyDescent="0.25">
      <c r="A146" s="50"/>
      <c r="B146" s="20"/>
      <c r="C146" s="37"/>
      <c r="D146" s="21"/>
    </row>
    <row r="147" spans="1:4" x14ac:dyDescent="0.25">
      <c r="A147" s="50"/>
      <c r="B147" s="20"/>
      <c r="C147" s="37"/>
      <c r="D147" s="21"/>
    </row>
    <row r="148" spans="1:4" x14ac:dyDescent="0.25">
      <c r="A148" s="50"/>
      <c r="B148" s="20"/>
      <c r="C148" s="37"/>
      <c r="D148" s="21"/>
    </row>
    <row r="149" spans="1:4" x14ac:dyDescent="0.25">
      <c r="A149" s="50"/>
      <c r="B149" s="20"/>
      <c r="C149" s="37"/>
      <c r="D149" s="21"/>
    </row>
    <row r="150" spans="1:4" x14ac:dyDescent="0.25">
      <c r="A150" s="50"/>
      <c r="B150" s="20"/>
      <c r="C150" s="37"/>
      <c r="D150" s="21"/>
    </row>
    <row r="151" spans="1:4" x14ac:dyDescent="0.25">
      <c r="A151" s="50"/>
      <c r="B151" s="20"/>
      <c r="C151" s="37"/>
      <c r="D151" s="21"/>
    </row>
    <row r="152" spans="1:4" x14ac:dyDescent="0.25">
      <c r="A152" s="50"/>
      <c r="B152" s="20"/>
      <c r="C152" s="37"/>
      <c r="D152" s="21"/>
    </row>
    <row r="153" spans="1:4" x14ac:dyDescent="0.25">
      <c r="A153" s="50"/>
      <c r="B153" s="20"/>
      <c r="C153" s="37"/>
      <c r="D153" s="21"/>
    </row>
    <row r="154" spans="1:4" x14ac:dyDescent="0.25">
      <c r="A154" s="50"/>
      <c r="B154" s="20"/>
      <c r="C154" s="37"/>
      <c r="D154" s="21"/>
    </row>
    <row r="155" spans="1:4" x14ac:dyDescent="0.25">
      <c r="A155" s="50"/>
      <c r="B155" s="20"/>
      <c r="C155" s="37"/>
      <c r="D155" s="21"/>
    </row>
    <row r="156" spans="1:4" x14ac:dyDescent="0.25">
      <c r="A156" s="50"/>
      <c r="B156" s="20"/>
      <c r="C156" s="37"/>
      <c r="D156" s="21"/>
    </row>
    <row r="157" spans="1:4" x14ac:dyDescent="0.25">
      <c r="A157" s="50"/>
      <c r="B157" s="20"/>
      <c r="C157" s="37"/>
      <c r="D157" s="21"/>
    </row>
    <row r="158" spans="1:4" x14ac:dyDescent="0.25">
      <c r="A158" s="50"/>
      <c r="B158" s="20"/>
      <c r="C158" s="37"/>
      <c r="D158" s="21"/>
    </row>
    <row r="159" spans="1:4" x14ac:dyDescent="0.25">
      <c r="A159" s="50"/>
      <c r="B159" s="20"/>
      <c r="C159" s="37"/>
      <c r="D159" s="21"/>
    </row>
    <row r="160" spans="1:4" x14ac:dyDescent="0.25">
      <c r="A160" s="50"/>
      <c r="B160" s="20"/>
      <c r="C160" s="37"/>
      <c r="D160" s="21"/>
    </row>
    <row r="161" spans="1:4" x14ac:dyDescent="0.25">
      <c r="A161" s="50"/>
      <c r="B161" s="20"/>
      <c r="C161" s="37"/>
      <c r="D161" s="21"/>
    </row>
    <row r="162" spans="1:4" x14ac:dyDescent="0.25">
      <c r="A162" s="50"/>
      <c r="B162" s="20"/>
      <c r="C162" s="37"/>
      <c r="D162" s="21"/>
    </row>
    <row r="163" spans="1:4" x14ac:dyDescent="0.25">
      <c r="A163" s="50"/>
      <c r="B163" s="20"/>
      <c r="C163" s="37"/>
      <c r="D163" s="21"/>
    </row>
    <row r="164" spans="1:4" x14ac:dyDescent="0.25">
      <c r="A164" s="50"/>
      <c r="B164" s="20"/>
      <c r="C164" s="37"/>
      <c r="D164" s="21"/>
    </row>
    <row r="165" spans="1:4" x14ac:dyDescent="0.25">
      <c r="A165" s="50"/>
      <c r="B165" s="20"/>
      <c r="C165" s="37"/>
      <c r="D165" s="21"/>
    </row>
    <row r="166" spans="1:4" x14ac:dyDescent="0.25">
      <c r="A166" s="50"/>
      <c r="B166" s="20"/>
      <c r="C166" s="37"/>
      <c r="D166" s="21"/>
    </row>
    <row r="167" spans="1:4" x14ac:dyDescent="0.25">
      <c r="A167" s="50"/>
      <c r="B167" s="20"/>
      <c r="C167" s="37"/>
      <c r="D167" s="21"/>
    </row>
    <row r="168" spans="1:4" x14ac:dyDescent="0.25">
      <c r="A168" s="50"/>
      <c r="B168" s="20"/>
      <c r="C168" s="37"/>
      <c r="D168" s="21"/>
    </row>
    <row r="169" spans="1:4" x14ac:dyDescent="0.25">
      <c r="A169" s="50"/>
      <c r="B169" s="20"/>
      <c r="C169" s="37"/>
      <c r="D169" s="21"/>
    </row>
    <row r="170" spans="1:4" x14ac:dyDescent="0.25">
      <c r="A170" s="50"/>
      <c r="B170" s="20"/>
      <c r="C170" s="37"/>
      <c r="D170" s="21"/>
    </row>
    <row r="171" spans="1:4" x14ac:dyDescent="0.25">
      <c r="A171" s="50"/>
      <c r="B171" s="20"/>
      <c r="C171" s="37"/>
      <c r="D171" s="21"/>
    </row>
    <row r="172" spans="1:4" x14ac:dyDescent="0.25">
      <c r="A172" s="50"/>
      <c r="B172" s="20"/>
      <c r="C172" s="37"/>
      <c r="D172" s="21"/>
    </row>
    <row r="173" spans="1:4" x14ac:dyDescent="0.25">
      <c r="A173" s="50"/>
      <c r="B173" s="20"/>
      <c r="C173" s="37"/>
      <c r="D173" s="21"/>
    </row>
    <row r="174" spans="1:4" x14ac:dyDescent="0.25">
      <c r="A174" s="50"/>
      <c r="B174" s="20"/>
      <c r="C174" s="37"/>
      <c r="D174" s="21"/>
    </row>
    <row r="175" spans="1:4" x14ac:dyDescent="0.25">
      <c r="A175" s="50"/>
      <c r="B175" s="20"/>
      <c r="C175" s="37"/>
      <c r="D175" s="21"/>
    </row>
    <row r="176" spans="1:4" x14ac:dyDescent="0.25">
      <c r="A176" s="50"/>
      <c r="B176" s="20"/>
      <c r="C176" s="37"/>
      <c r="D176" s="21"/>
    </row>
    <row r="177" spans="1:4" x14ac:dyDescent="0.25">
      <c r="A177" s="50"/>
      <c r="B177" s="20"/>
      <c r="C177" s="37"/>
      <c r="D177" s="21"/>
    </row>
    <row r="178" spans="1:4" x14ac:dyDescent="0.25">
      <c r="A178" s="50"/>
      <c r="B178" s="20"/>
      <c r="C178" s="37"/>
      <c r="D178" s="21"/>
    </row>
    <row r="179" spans="1:4" x14ac:dyDescent="0.25">
      <c r="A179" s="50"/>
      <c r="B179" s="20"/>
      <c r="C179" s="37"/>
      <c r="D179" s="21"/>
    </row>
    <row r="180" spans="1:4" x14ac:dyDescent="0.25">
      <c r="A180" s="50"/>
      <c r="B180" s="20"/>
      <c r="C180" s="37"/>
      <c r="D180" s="21"/>
    </row>
    <row r="181" spans="1:4" x14ac:dyDescent="0.25">
      <c r="A181" s="50"/>
      <c r="B181" s="20"/>
      <c r="C181" s="37"/>
      <c r="D181" s="21"/>
    </row>
    <row r="182" spans="1:4" x14ac:dyDescent="0.25">
      <c r="A182" s="50"/>
      <c r="B182" s="20"/>
      <c r="C182" s="37"/>
      <c r="D182" s="21"/>
    </row>
    <row r="183" spans="1:4" x14ac:dyDescent="0.25">
      <c r="A183" s="50"/>
      <c r="B183" s="20"/>
      <c r="C183" s="37"/>
      <c r="D183" s="21"/>
    </row>
    <row r="184" spans="1:4" x14ac:dyDescent="0.25">
      <c r="A184" s="50"/>
      <c r="B184" s="20"/>
      <c r="C184" s="37"/>
      <c r="D184" s="21"/>
    </row>
    <row r="185" spans="1:4" x14ac:dyDescent="0.25">
      <c r="A185" s="50"/>
      <c r="B185" s="20"/>
      <c r="C185" s="37"/>
      <c r="D185" s="21"/>
    </row>
    <row r="186" spans="1:4" x14ac:dyDescent="0.25">
      <c r="A186" s="50"/>
      <c r="B186" s="20"/>
      <c r="C186" s="37"/>
      <c r="D186" s="21"/>
    </row>
    <row r="187" spans="1:4" x14ac:dyDescent="0.25">
      <c r="A187" s="50"/>
      <c r="B187" s="20"/>
      <c r="C187" s="37"/>
      <c r="D187" s="21"/>
    </row>
    <row r="188" spans="1:4" x14ac:dyDescent="0.25">
      <c r="A188" s="50"/>
      <c r="B188" s="20"/>
      <c r="C188" s="37"/>
      <c r="D188" s="21"/>
    </row>
    <row r="189" spans="1:4" x14ac:dyDescent="0.25">
      <c r="A189" s="50"/>
      <c r="B189" s="20"/>
      <c r="C189" s="37"/>
      <c r="D189" s="21"/>
    </row>
    <row r="190" spans="1:4" x14ac:dyDescent="0.25">
      <c r="A190" s="50"/>
      <c r="B190" s="20"/>
      <c r="C190" s="37"/>
      <c r="D190" s="21"/>
    </row>
    <row r="191" spans="1:4" x14ac:dyDescent="0.25">
      <c r="A191" s="50"/>
      <c r="B191" s="20"/>
      <c r="C191" s="37"/>
      <c r="D191" s="21"/>
    </row>
    <row r="192" spans="1:4" x14ac:dyDescent="0.25">
      <c r="A192" s="50"/>
      <c r="B192" s="20"/>
      <c r="C192" s="37"/>
      <c r="D192" s="21"/>
    </row>
    <row r="193" spans="1:4" x14ac:dyDescent="0.25">
      <c r="A193" s="50"/>
      <c r="B193" s="20"/>
      <c r="C193" s="37"/>
      <c r="D193" s="21"/>
    </row>
    <row r="194" spans="1:4" x14ac:dyDescent="0.25">
      <c r="A194" s="50"/>
      <c r="B194" s="20"/>
      <c r="C194" s="37"/>
      <c r="D194" s="21"/>
    </row>
    <row r="195" spans="1:4" x14ac:dyDescent="0.25">
      <c r="A195" s="50"/>
      <c r="B195" s="20"/>
      <c r="C195" s="37"/>
      <c r="D195" s="21"/>
    </row>
    <row r="196" spans="1:4" x14ac:dyDescent="0.25">
      <c r="A196" s="50"/>
      <c r="B196" s="20"/>
      <c r="C196" s="37"/>
      <c r="D196" s="21"/>
    </row>
    <row r="197" spans="1:4" x14ac:dyDescent="0.25">
      <c r="A197" s="50"/>
      <c r="B197" s="20"/>
      <c r="C197" s="37"/>
      <c r="D197" s="21"/>
    </row>
    <row r="198" spans="1:4" x14ac:dyDescent="0.25">
      <c r="A198" s="50"/>
      <c r="B198" s="20"/>
      <c r="C198" s="37"/>
      <c r="D198" s="21"/>
    </row>
    <row r="199" spans="1:4" x14ac:dyDescent="0.25">
      <c r="A199" s="50"/>
      <c r="B199" s="20"/>
      <c r="C199" s="37"/>
      <c r="D199" s="21"/>
    </row>
    <row r="200" spans="1:4" x14ac:dyDescent="0.25">
      <c r="A200" s="50"/>
      <c r="B200" s="20"/>
      <c r="C200" s="37"/>
      <c r="D200" s="21"/>
    </row>
    <row r="201" spans="1:4" x14ac:dyDescent="0.25">
      <c r="A201" s="50"/>
      <c r="B201" s="20"/>
      <c r="C201" s="37"/>
      <c r="D201" s="21"/>
    </row>
    <row r="202" spans="1:4" x14ac:dyDescent="0.25">
      <c r="A202" s="50"/>
      <c r="B202" s="20"/>
      <c r="C202" s="37"/>
      <c r="D202" s="21"/>
    </row>
    <row r="203" spans="1:4" x14ac:dyDescent="0.25">
      <c r="A203" s="50"/>
      <c r="B203" s="20"/>
      <c r="C203" s="37"/>
      <c r="D203" s="21"/>
    </row>
    <row r="204" spans="1:4" x14ac:dyDescent="0.25">
      <c r="A204" s="50"/>
      <c r="B204" s="20"/>
      <c r="C204" s="37"/>
      <c r="D204" s="21"/>
    </row>
    <row r="205" spans="1:4" x14ac:dyDescent="0.25">
      <c r="A205" s="50"/>
      <c r="B205" s="20"/>
      <c r="C205" s="37"/>
      <c r="D205" s="21"/>
    </row>
    <row r="206" spans="1:4" x14ac:dyDescent="0.25">
      <c r="A206" s="50"/>
      <c r="B206" s="20"/>
      <c r="C206" s="37"/>
      <c r="D206" s="21"/>
    </row>
    <row r="207" spans="1:4" x14ac:dyDescent="0.25">
      <c r="A207" s="50"/>
      <c r="B207" s="20"/>
      <c r="C207" s="37"/>
      <c r="D207" s="21"/>
    </row>
    <row r="208" spans="1:4" x14ac:dyDescent="0.25">
      <c r="A208" s="50"/>
      <c r="B208" s="20"/>
      <c r="C208" s="37"/>
      <c r="D208" s="21"/>
    </row>
    <row r="209" spans="1:4" x14ac:dyDescent="0.25">
      <c r="A209" s="50"/>
      <c r="B209" s="20"/>
      <c r="C209" s="37"/>
      <c r="D209" s="21"/>
    </row>
    <row r="210" spans="1:4" x14ac:dyDescent="0.25">
      <c r="A210" s="50"/>
      <c r="B210" s="20"/>
      <c r="C210" s="37"/>
      <c r="D210" s="21"/>
    </row>
    <row r="211" spans="1:4" x14ac:dyDescent="0.25">
      <c r="A211" s="50"/>
      <c r="B211" s="20"/>
      <c r="C211" s="37"/>
      <c r="D211" s="21"/>
    </row>
    <row r="212" spans="1:4" x14ac:dyDescent="0.25">
      <c r="A212" s="50"/>
      <c r="B212" s="20"/>
      <c r="C212" s="37"/>
      <c r="D212" s="21"/>
    </row>
    <row r="213" spans="1:4" x14ac:dyDescent="0.25">
      <c r="A213" s="50"/>
      <c r="B213" s="20"/>
      <c r="C213" s="37"/>
      <c r="D213" s="21"/>
    </row>
    <row r="214" spans="1:4" x14ac:dyDescent="0.25">
      <c r="A214" s="50"/>
      <c r="B214" s="20"/>
      <c r="C214" s="37"/>
      <c r="D214" s="21"/>
    </row>
    <row r="215" spans="1:4" x14ac:dyDescent="0.25">
      <c r="A215" s="50"/>
      <c r="B215" s="20"/>
      <c r="C215" s="37"/>
      <c r="D215" s="21"/>
    </row>
    <row r="216" spans="1:4" x14ac:dyDescent="0.25">
      <c r="A216" s="50"/>
      <c r="B216" s="20"/>
      <c r="C216" s="37"/>
      <c r="D216" s="21"/>
    </row>
    <row r="217" spans="1:4" x14ac:dyDescent="0.25">
      <c r="A217" s="50"/>
      <c r="B217" s="20"/>
      <c r="C217" s="37"/>
      <c r="D217" s="21"/>
    </row>
    <row r="218" spans="1:4" x14ac:dyDescent="0.25">
      <c r="A218" s="50"/>
      <c r="B218" s="20"/>
      <c r="C218" s="37"/>
      <c r="D218" s="21"/>
    </row>
    <row r="219" spans="1:4" x14ac:dyDescent="0.25">
      <c r="A219" s="50"/>
      <c r="B219" s="20"/>
      <c r="C219" s="37"/>
      <c r="D219" s="21"/>
    </row>
    <row r="220" spans="1:4" x14ac:dyDescent="0.25">
      <c r="A220" s="50"/>
      <c r="B220" s="20"/>
      <c r="C220" s="37"/>
      <c r="D220" s="21"/>
    </row>
    <row r="221" spans="1:4" x14ac:dyDescent="0.25">
      <c r="A221" s="50"/>
      <c r="B221" s="20"/>
      <c r="C221" s="37"/>
      <c r="D221" s="21"/>
    </row>
    <row r="222" spans="1:4" x14ac:dyDescent="0.25">
      <c r="A222" s="50"/>
      <c r="B222" s="20"/>
      <c r="C222" s="37"/>
      <c r="D222" s="21"/>
    </row>
    <row r="223" spans="1:4" x14ac:dyDescent="0.25">
      <c r="A223" s="50"/>
      <c r="B223" s="20"/>
      <c r="C223" s="37"/>
      <c r="D223" s="21"/>
    </row>
    <row r="224" spans="1:4" x14ac:dyDescent="0.25">
      <c r="A224" s="50"/>
      <c r="B224" s="20"/>
      <c r="C224" s="37"/>
      <c r="D224" s="21"/>
    </row>
    <row r="225" spans="1:4" x14ac:dyDescent="0.25">
      <c r="A225" s="50"/>
      <c r="B225" s="20"/>
      <c r="C225" s="37"/>
      <c r="D225" s="21"/>
    </row>
    <row r="226" spans="1:4" x14ac:dyDescent="0.25">
      <c r="A226" s="50"/>
      <c r="B226" s="20"/>
      <c r="C226" s="37"/>
      <c r="D226" s="21"/>
    </row>
    <row r="227" spans="1:4" x14ac:dyDescent="0.25">
      <c r="A227" s="50"/>
      <c r="B227" s="20"/>
      <c r="C227" s="37"/>
      <c r="D227" s="21"/>
    </row>
    <row r="228" spans="1:4" x14ac:dyDescent="0.25">
      <c r="A228" s="50"/>
      <c r="B228" s="20"/>
      <c r="C228" s="37"/>
      <c r="D228" s="21"/>
    </row>
    <row r="229" spans="1:4" x14ac:dyDescent="0.25">
      <c r="A229" s="50"/>
      <c r="B229" s="20"/>
      <c r="C229" s="37"/>
      <c r="D229" s="21"/>
    </row>
    <row r="230" spans="1:4" x14ac:dyDescent="0.25">
      <c r="A230" s="50"/>
      <c r="B230" s="20"/>
      <c r="C230" s="37"/>
      <c r="D230" s="21"/>
    </row>
    <row r="231" spans="1:4" x14ac:dyDescent="0.25">
      <c r="A231" s="50"/>
      <c r="B231" s="20"/>
      <c r="C231" s="37"/>
      <c r="D231" s="21"/>
    </row>
    <row r="232" spans="1:4" x14ac:dyDescent="0.25">
      <c r="A232" s="50"/>
      <c r="B232" s="20"/>
      <c r="C232" s="37"/>
      <c r="D232" s="21"/>
    </row>
    <row r="233" spans="1:4" x14ac:dyDescent="0.25">
      <c r="A233" s="50"/>
      <c r="B233" s="20"/>
      <c r="C233" s="37"/>
      <c r="D233" s="21"/>
    </row>
    <row r="234" spans="1:4" x14ac:dyDescent="0.25">
      <c r="A234" s="50"/>
      <c r="B234" s="20"/>
      <c r="C234" s="37"/>
      <c r="D234" s="21"/>
    </row>
    <row r="235" spans="1:4" x14ac:dyDescent="0.25">
      <c r="A235" s="50"/>
      <c r="B235" s="20"/>
      <c r="C235" s="37"/>
      <c r="D235" s="21"/>
    </row>
    <row r="236" spans="1:4" x14ac:dyDescent="0.25">
      <c r="A236" s="50"/>
      <c r="B236" s="20"/>
      <c r="C236" s="37"/>
      <c r="D236" s="21"/>
    </row>
    <row r="237" spans="1:4" x14ac:dyDescent="0.25">
      <c r="A237" s="50"/>
      <c r="B237" s="20"/>
      <c r="C237" s="37"/>
      <c r="D237" s="21"/>
    </row>
    <row r="238" spans="1:4" x14ac:dyDescent="0.25">
      <c r="A238" s="50"/>
      <c r="B238" s="20"/>
      <c r="C238" s="37"/>
      <c r="D238" s="21"/>
    </row>
    <row r="239" spans="1:4" x14ac:dyDescent="0.25">
      <c r="A239" s="50"/>
      <c r="B239" s="20"/>
      <c r="C239" s="37"/>
      <c r="D239" s="21"/>
    </row>
    <row r="240" spans="1:4" x14ac:dyDescent="0.25">
      <c r="A240" s="50"/>
      <c r="B240" s="20"/>
      <c r="C240" s="37"/>
      <c r="D240" s="21"/>
    </row>
    <row r="241" spans="1:4" x14ac:dyDescent="0.25">
      <c r="A241" s="50"/>
      <c r="B241" s="20"/>
      <c r="C241" s="37"/>
      <c r="D241" s="21"/>
    </row>
    <row r="242" spans="1:4" x14ac:dyDescent="0.25">
      <c r="A242" s="50"/>
      <c r="B242" s="20"/>
      <c r="C242" s="37"/>
      <c r="D242" s="21"/>
    </row>
    <row r="243" spans="1:4" x14ac:dyDescent="0.25">
      <c r="A243" s="50"/>
      <c r="B243" s="20"/>
      <c r="C243" s="37"/>
      <c r="D243" s="21"/>
    </row>
    <row r="244" spans="1:4" x14ac:dyDescent="0.25">
      <c r="A244" s="50"/>
      <c r="B244" s="20"/>
      <c r="C244" s="37"/>
      <c r="D244" s="21"/>
    </row>
    <row r="245" spans="1:4" x14ac:dyDescent="0.25">
      <c r="A245" s="50"/>
      <c r="B245" s="20"/>
      <c r="C245" s="37"/>
      <c r="D245" s="21"/>
    </row>
    <row r="246" spans="1:4" x14ac:dyDescent="0.25">
      <c r="A246" s="50"/>
      <c r="B246" s="20"/>
      <c r="C246" s="37"/>
      <c r="D246" s="21"/>
    </row>
    <row r="247" spans="1:4" x14ac:dyDescent="0.25">
      <c r="A247" s="50"/>
      <c r="B247" s="20"/>
      <c r="C247" s="37"/>
      <c r="D247" s="21"/>
    </row>
    <row r="248" spans="1:4" x14ac:dyDescent="0.25">
      <c r="A248" s="50"/>
      <c r="B248" s="20"/>
      <c r="C248" s="37"/>
      <c r="D248" s="21"/>
    </row>
    <row r="249" spans="1:4" x14ac:dyDescent="0.25">
      <c r="A249" s="50"/>
      <c r="B249" s="20"/>
      <c r="C249" s="37"/>
      <c r="D249" s="21"/>
    </row>
    <row r="250" spans="1:4" x14ac:dyDescent="0.25">
      <c r="A250" s="50"/>
      <c r="B250" s="20"/>
      <c r="C250" s="37"/>
      <c r="D250" s="21"/>
    </row>
    <row r="251" spans="1:4" x14ac:dyDescent="0.25">
      <c r="A251" s="50"/>
      <c r="B251" s="20"/>
      <c r="C251" s="37"/>
      <c r="D251" s="21"/>
    </row>
    <row r="252" spans="1:4" x14ac:dyDescent="0.25">
      <c r="A252" s="50"/>
      <c r="B252" s="20"/>
      <c r="C252" s="37"/>
      <c r="D252" s="21"/>
    </row>
    <row r="253" spans="1:4" x14ac:dyDescent="0.25">
      <c r="A253" s="50"/>
      <c r="B253" s="20"/>
      <c r="C253" s="37"/>
      <c r="D253" s="21"/>
    </row>
    <row r="254" spans="1:4" x14ac:dyDescent="0.25">
      <c r="A254" s="50"/>
      <c r="B254" s="20"/>
      <c r="C254" s="37"/>
      <c r="D254" s="21"/>
    </row>
    <row r="255" spans="1:4" x14ac:dyDescent="0.25">
      <c r="A255" s="50"/>
      <c r="B255" s="20"/>
      <c r="C255" s="37"/>
      <c r="D255" s="21"/>
    </row>
    <row r="256" spans="1:4" x14ac:dyDescent="0.25">
      <c r="A256" s="50"/>
      <c r="B256" s="20"/>
      <c r="C256" s="37"/>
      <c r="D256" s="21"/>
    </row>
    <row r="257" spans="1:4" x14ac:dyDescent="0.25">
      <c r="A257" s="50"/>
      <c r="B257" s="20"/>
      <c r="C257" s="37"/>
      <c r="D257" s="21"/>
    </row>
    <row r="258" spans="1:4" x14ac:dyDescent="0.25">
      <c r="A258" s="50"/>
      <c r="B258" s="20"/>
      <c r="C258" s="37"/>
      <c r="D258" s="21"/>
    </row>
    <row r="259" spans="1:4" x14ac:dyDescent="0.25">
      <c r="A259" s="50"/>
      <c r="B259" s="20"/>
      <c r="C259" s="37"/>
      <c r="D259" s="21"/>
    </row>
    <row r="260" spans="1:4" x14ac:dyDescent="0.25">
      <c r="A260" s="50"/>
      <c r="B260" s="20"/>
      <c r="C260" s="37"/>
      <c r="D260" s="21"/>
    </row>
    <row r="261" spans="1:4" x14ac:dyDescent="0.25">
      <c r="A261" s="50"/>
      <c r="B261" s="20"/>
      <c r="C261" s="37"/>
      <c r="D261" s="21"/>
    </row>
    <row r="262" spans="1:4" x14ac:dyDescent="0.25">
      <c r="A262" s="50"/>
      <c r="B262" s="20"/>
      <c r="C262" s="37"/>
      <c r="D262" s="21"/>
    </row>
    <row r="263" spans="1:4" x14ac:dyDescent="0.25">
      <c r="A263" s="50"/>
      <c r="B263" s="20"/>
      <c r="C263" s="37"/>
      <c r="D263" s="21"/>
    </row>
    <row r="264" spans="1:4" x14ac:dyDescent="0.25">
      <c r="A264" s="50"/>
      <c r="B264" s="20"/>
      <c r="C264" s="37"/>
      <c r="D264" s="21"/>
    </row>
    <row r="265" spans="1:4" x14ac:dyDescent="0.25">
      <c r="A265" s="50"/>
      <c r="B265" s="20"/>
      <c r="C265" s="37"/>
      <c r="D265" s="21"/>
    </row>
    <row r="266" spans="1:4" x14ac:dyDescent="0.25">
      <c r="A266" s="50"/>
      <c r="B266" s="20"/>
      <c r="C266" s="37"/>
      <c r="D266" s="21"/>
    </row>
    <row r="267" spans="1:4" x14ac:dyDescent="0.25">
      <c r="A267" s="50"/>
      <c r="B267" s="20"/>
      <c r="C267" s="37"/>
      <c r="D267" s="21"/>
    </row>
    <row r="268" spans="1:4" x14ac:dyDescent="0.25">
      <c r="A268" s="50"/>
      <c r="B268" s="20"/>
      <c r="C268" s="37"/>
      <c r="D268" s="21"/>
    </row>
    <row r="269" spans="1:4" x14ac:dyDescent="0.25">
      <c r="A269" s="50"/>
      <c r="B269" s="20"/>
      <c r="C269" s="37"/>
      <c r="D269" s="21"/>
    </row>
    <row r="270" spans="1:4" x14ac:dyDescent="0.25">
      <c r="A270" s="50"/>
      <c r="B270" s="20"/>
      <c r="C270" s="37"/>
      <c r="D270" s="21"/>
    </row>
    <row r="271" spans="1:4" x14ac:dyDescent="0.25">
      <c r="A271" s="50"/>
      <c r="B271" s="20"/>
      <c r="C271" s="37"/>
      <c r="D271" s="21"/>
    </row>
    <row r="272" spans="1:4" x14ac:dyDescent="0.25">
      <c r="A272" s="50"/>
      <c r="B272" s="20"/>
      <c r="C272" s="37"/>
      <c r="D272" s="21"/>
    </row>
    <row r="273" spans="1:4" x14ac:dyDescent="0.25">
      <c r="A273" s="50"/>
      <c r="B273" s="20"/>
      <c r="C273" s="37"/>
      <c r="D273" s="21"/>
    </row>
    <row r="274" spans="1:4" x14ac:dyDescent="0.25">
      <c r="A274" s="50"/>
      <c r="B274" s="20"/>
      <c r="C274" s="37"/>
      <c r="D274" s="21"/>
    </row>
    <row r="275" spans="1:4" x14ac:dyDescent="0.25">
      <c r="A275" s="50"/>
      <c r="B275" s="20"/>
      <c r="C275" s="37"/>
      <c r="D275" s="21"/>
    </row>
    <row r="276" spans="1:4" x14ac:dyDescent="0.25">
      <c r="A276" s="50"/>
      <c r="B276" s="20"/>
      <c r="C276" s="37"/>
      <c r="D276" s="21"/>
    </row>
    <row r="277" spans="1:4" x14ac:dyDescent="0.25">
      <c r="A277" s="50"/>
      <c r="B277" s="20"/>
      <c r="C277" s="37"/>
      <c r="D277" s="21"/>
    </row>
    <row r="278" spans="1:4" x14ac:dyDescent="0.25">
      <c r="A278" s="50"/>
      <c r="B278" s="20"/>
      <c r="C278" s="37"/>
      <c r="D278" s="21"/>
    </row>
    <row r="279" spans="1:4" x14ac:dyDescent="0.25">
      <c r="A279" s="50"/>
      <c r="B279" s="20"/>
      <c r="C279" s="37"/>
      <c r="D279" s="21"/>
    </row>
    <row r="280" spans="1:4" x14ac:dyDescent="0.25">
      <c r="A280" s="50"/>
      <c r="B280" s="20"/>
      <c r="C280" s="37"/>
      <c r="D280" s="21"/>
    </row>
    <row r="281" spans="1:4" x14ac:dyDescent="0.25">
      <c r="A281" s="50"/>
      <c r="B281" s="20"/>
      <c r="C281" s="37"/>
      <c r="D281" s="21"/>
    </row>
    <row r="282" spans="1:4" x14ac:dyDescent="0.25">
      <c r="A282" s="50"/>
      <c r="B282" s="20"/>
      <c r="C282" s="37"/>
      <c r="D282" s="21"/>
    </row>
    <row r="283" spans="1:4" x14ac:dyDescent="0.25">
      <c r="A283" s="50"/>
      <c r="B283" s="20"/>
      <c r="C283" s="37"/>
      <c r="D283" s="21"/>
    </row>
    <row r="284" spans="1:4" x14ac:dyDescent="0.25">
      <c r="A284" s="50"/>
      <c r="B284" s="20"/>
      <c r="C284" s="37"/>
      <c r="D284" s="21"/>
    </row>
    <row r="285" spans="1:4" x14ac:dyDescent="0.25">
      <c r="A285" s="50"/>
      <c r="B285" s="20"/>
      <c r="C285" s="37"/>
      <c r="D285" s="21"/>
    </row>
    <row r="286" spans="1:4" x14ac:dyDescent="0.25">
      <c r="A286" s="50"/>
      <c r="B286" s="20"/>
      <c r="C286" s="37"/>
      <c r="D286" s="21"/>
    </row>
    <row r="287" spans="1:4" x14ac:dyDescent="0.25">
      <c r="A287" s="50"/>
      <c r="B287" s="20"/>
      <c r="C287" s="37"/>
      <c r="D287" s="21"/>
    </row>
    <row r="288" spans="1:4" x14ac:dyDescent="0.25">
      <c r="A288" s="50"/>
      <c r="B288" s="20"/>
      <c r="C288" s="37"/>
      <c r="D288" s="21"/>
    </row>
    <row r="289" spans="1:4" x14ac:dyDescent="0.25">
      <c r="A289" s="50"/>
      <c r="B289" s="20"/>
      <c r="C289" s="37"/>
      <c r="D289" s="21"/>
    </row>
    <row r="290" spans="1:4" x14ac:dyDescent="0.25">
      <c r="A290" s="50"/>
      <c r="B290" s="20"/>
      <c r="C290" s="37"/>
      <c r="D290" s="21"/>
    </row>
    <row r="291" spans="1:4" x14ac:dyDescent="0.25">
      <c r="A291" s="50"/>
      <c r="B291" s="20"/>
      <c r="C291" s="37"/>
      <c r="D291" s="21"/>
    </row>
    <row r="292" spans="1:4" x14ac:dyDescent="0.25">
      <c r="A292" s="50"/>
      <c r="B292" s="20"/>
      <c r="C292" s="37"/>
      <c r="D292" s="21"/>
    </row>
    <row r="293" spans="1:4" x14ac:dyDescent="0.25">
      <c r="A293" s="50"/>
      <c r="B293" s="20"/>
      <c r="C293" s="37"/>
      <c r="D293" s="21"/>
    </row>
    <row r="294" spans="1:4" x14ac:dyDescent="0.25">
      <c r="A294" s="50"/>
      <c r="B294" s="20"/>
      <c r="C294" s="37"/>
      <c r="D294" s="21"/>
    </row>
    <row r="295" spans="1:4" x14ac:dyDescent="0.25">
      <c r="A295" s="50"/>
      <c r="B295" s="20"/>
      <c r="C295" s="37"/>
      <c r="D295" s="21"/>
    </row>
    <row r="296" spans="1:4" x14ac:dyDescent="0.25">
      <c r="A296" s="50"/>
      <c r="B296" s="20"/>
      <c r="C296" s="37"/>
      <c r="D296" s="21"/>
    </row>
    <row r="297" spans="1:4" x14ac:dyDescent="0.25">
      <c r="A297" s="50"/>
      <c r="B297" s="20"/>
      <c r="C297" s="37"/>
      <c r="D297" s="21"/>
    </row>
    <row r="298" spans="1:4" x14ac:dyDescent="0.25">
      <c r="A298" s="50"/>
      <c r="B298" s="20"/>
      <c r="C298" s="37"/>
      <c r="D298" s="21"/>
    </row>
    <row r="299" spans="1:4" x14ac:dyDescent="0.25">
      <c r="A299" s="50"/>
      <c r="B299" s="20"/>
      <c r="C299" s="37"/>
      <c r="D299" s="21"/>
    </row>
    <row r="300" spans="1:4" x14ac:dyDescent="0.25">
      <c r="A300" s="50"/>
      <c r="B300" s="20"/>
      <c r="C300" s="37"/>
      <c r="D300" s="21"/>
    </row>
    <row r="301" spans="1:4" x14ac:dyDescent="0.25">
      <c r="A301" s="50"/>
      <c r="B301" s="20"/>
      <c r="C301" s="37"/>
      <c r="D301" s="21"/>
    </row>
    <row r="302" spans="1:4" x14ac:dyDescent="0.25">
      <c r="A302" s="50"/>
      <c r="B302" s="20"/>
      <c r="C302" s="37"/>
      <c r="D302" s="21"/>
    </row>
    <row r="303" spans="1:4" x14ac:dyDescent="0.25">
      <c r="A303" s="50"/>
      <c r="B303" s="20"/>
      <c r="C303" s="37"/>
      <c r="D303" s="21"/>
    </row>
    <row r="304" spans="1:4" x14ac:dyDescent="0.25">
      <c r="A304" s="50"/>
      <c r="B304" s="20"/>
      <c r="C304" s="37"/>
      <c r="D304" s="21"/>
    </row>
    <row r="305" spans="1:4" x14ac:dyDescent="0.25">
      <c r="A305" s="50"/>
      <c r="B305" s="20"/>
      <c r="C305" s="37"/>
      <c r="D305" s="21"/>
    </row>
    <row r="306" spans="1:4" x14ac:dyDescent="0.25">
      <c r="A306" s="50"/>
      <c r="B306" s="20"/>
      <c r="C306" s="37"/>
      <c r="D306" s="21"/>
    </row>
    <row r="307" spans="1:4" x14ac:dyDescent="0.25">
      <c r="A307" s="50"/>
      <c r="B307" s="20"/>
      <c r="C307" s="37"/>
      <c r="D307" s="21"/>
    </row>
    <row r="308" spans="1:4" x14ac:dyDescent="0.25">
      <c r="A308" s="50"/>
      <c r="B308" s="20"/>
      <c r="C308" s="37"/>
      <c r="D308" s="21"/>
    </row>
    <row r="309" spans="1:4" x14ac:dyDescent="0.25">
      <c r="A309" s="50"/>
      <c r="B309" s="20"/>
      <c r="C309" s="37"/>
      <c r="D309" s="21"/>
    </row>
    <row r="310" spans="1:4" x14ac:dyDescent="0.25">
      <c r="A310" s="50"/>
      <c r="B310" s="20"/>
      <c r="C310" s="37"/>
      <c r="D310" s="21"/>
    </row>
    <row r="311" spans="1:4" x14ac:dyDescent="0.25">
      <c r="A311" s="50"/>
      <c r="B311" s="20"/>
      <c r="C311" s="37"/>
      <c r="D311" s="21"/>
    </row>
    <row r="312" spans="1:4" x14ac:dyDescent="0.25">
      <c r="A312" s="50"/>
      <c r="B312" s="20"/>
      <c r="C312" s="37"/>
      <c r="D312" s="21"/>
    </row>
    <row r="313" spans="1:4" x14ac:dyDescent="0.25">
      <c r="A313" s="50"/>
      <c r="B313" s="20"/>
      <c r="C313" s="37"/>
      <c r="D313" s="21"/>
    </row>
    <row r="314" spans="1:4" x14ac:dyDescent="0.25">
      <c r="A314" s="50"/>
      <c r="B314" s="20"/>
      <c r="C314" s="37"/>
      <c r="D314" s="21"/>
    </row>
    <row r="315" spans="1:4" x14ac:dyDescent="0.25">
      <c r="A315" s="50"/>
      <c r="B315" s="20"/>
      <c r="C315" s="37"/>
      <c r="D315" s="21"/>
    </row>
    <row r="316" spans="1:4" x14ac:dyDescent="0.25">
      <c r="A316" s="50"/>
      <c r="B316" s="20"/>
      <c r="C316" s="37"/>
      <c r="D316" s="21"/>
    </row>
    <row r="317" spans="1:4" x14ac:dyDescent="0.25">
      <c r="A317" s="50"/>
      <c r="B317" s="20"/>
      <c r="C317" s="37"/>
      <c r="D317" s="21"/>
    </row>
  </sheetData>
  <sheetProtection selectLockedCells="1" selectUnlockedCells="1"/>
  <mergeCells count="12">
    <mergeCell ref="O1:P5"/>
    <mergeCell ref="K1:L5"/>
    <mergeCell ref="M1:N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P250"/>
  <sheetViews>
    <sheetView tabSelected="1" zoomScaleNormal="100" zoomScaleSheetLayoutView="100" workbookViewId="0">
      <selection activeCell="F15" sqref="F15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39" customWidth="1"/>
    <col min="4" max="4" width="6.7109375" style="23" customWidth="1"/>
    <col min="5" max="5" width="11" style="32" customWidth="1"/>
    <col min="6" max="6" width="13.42578125" style="32" customWidth="1"/>
    <col min="7" max="7" width="11" style="32" customWidth="1"/>
    <col min="8" max="8" width="13.42578125" style="32" customWidth="1"/>
    <col min="9" max="9" width="11" style="32" customWidth="1"/>
    <col min="10" max="10" width="13.42578125" style="32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  <col min="21" max="21" width="11" customWidth="1"/>
    <col min="22" max="22" width="13.42578125" customWidth="1"/>
  </cols>
  <sheetData>
    <row r="1" spans="1:16" s="8" customFormat="1" ht="30" customHeight="1" x14ac:dyDescent="0.25">
      <c r="A1" s="81" t="str">
        <f>ProjectLocation</f>
        <v>PORTLAND INTERNATIONAL AIRPORT</v>
      </c>
      <c r="B1" s="82"/>
      <c r="C1" s="82"/>
      <c r="D1" s="83"/>
      <c r="E1" s="70" t="str">
        <f>Contractor1</f>
        <v>K&amp;E Excavating, Inc.</v>
      </c>
      <c r="F1" s="71"/>
      <c r="G1" s="74" t="str">
        <f>Contractor2</f>
        <v>Kerr Contractors 
Oregon LLC</v>
      </c>
      <c r="H1" s="75"/>
      <c r="I1" s="74" t="s">
        <v>176</v>
      </c>
      <c r="J1" s="75"/>
      <c r="K1" s="74" t="str">
        <f>Contractor4</f>
        <v>Nutter Corporation</v>
      </c>
      <c r="L1" s="75"/>
      <c r="M1" s="74" t="str">
        <f>Contractor5</f>
        <v>Tapani, Inc.</v>
      </c>
      <c r="N1" s="75"/>
      <c r="O1" s="70" t="str">
        <f>EngineerEstimate</f>
        <v>Engineer's Estimate</v>
      </c>
      <c r="P1" s="71"/>
    </row>
    <row r="2" spans="1:16" x14ac:dyDescent="0.25">
      <c r="A2" s="84" t="str">
        <f>ProjectTitle</f>
        <v>SOUTHEAST TAXIWAY T REHABILITATION</v>
      </c>
      <c r="B2" s="85"/>
      <c r="C2" s="85"/>
      <c r="D2" s="86"/>
      <c r="E2" s="72"/>
      <c r="F2" s="73"/>
      <c r="G2" s="76"/>
      <c r="H2" s="77"/>
      <c r="I2" s="76"/>
      <c r="J2" s="77"/>
      <c r="K2" s="76"/>
      <c r="L2" s="77"/>
      <c r="M2" s="76"/>
      <c r="N2" s="77"/>
      <c r="O2" s="72"/>
      <c r="P2" s="73"/>
    </row>
    <row r="3" spans="1:16" x14ac:dyDescent="0.25">
      <c r="A3" s="84">
        <f>ProjectTitle2</f>
        <v>0</v>
      </c>
      <c r="B3" s="85"/>
      <c r="C3" s="85"/>
      <c r="D3" s="86"/>
      <c r="E3" s="72"/>
      <c r="F3" s="73"/>
      <c r="G3" s="76"/>
      <c r="H3" s="77"/>
      <c r="I3" s="76"/>
      <c r="J3" s="77"/>
      <c r="K3" s="76"/>
      <c r="L3" s="77"/>
      <c r="M3" s="76"/>
      <c r="N3" s="77"/>
      <c r="O3" s="72"/>
      <c r="P3" s="73"/>
    </row>
    <row r="4" spans="1:16" x14ac:dyDescent="0.25">
      <c r="A4" s="87" t="str">
        <f>EAN</f>
        <v>EAN 2018D027</v>
      </c>
      <c r="B4" s="88"/>
      <c r="C4" s="88"/>
      <c r="D4" s="89"/>
      <c r="E4" s="72"/>
      <c r="F4" s="73"/>
      <c r="G4" s="76"/>
      <c r="H4" s="77"/>
      <c r="I4" s="76"/>
      <c r="J4" s="77"/>
      <c r="K4" s="76"/>
      <c r="L4" s="77"/>
      <c r="M4" s="76"/>
      <c r="N4" s="77"/>
      <c r="O4" s="72"/>
      <c r="P4" s="73"/>
    </row>
    <row r="5" spans="1:16" x14ac:dyDescent="0.25">
      <c r="A5" s="87" t="str">
        <f>SolicitationNo</f>
        <v>Solicitation No. 2019-8247</v>
      </c>
      <c r="B5" s="88"/>
      <c r="C5" s="88"/>
      <c r="D5" s="89"/>
      <c r="E5" s="72"/>
      <c r="F5" s="73"/>
      <c r="G5" s="76"/>
      <c r="H5" s="77"/>
      <c r="I5" s="76"/>
      <c r="J5" s="77"/>
      <c r="K5" s="76"/>
      <c r="L5" s="77"/>
      <c r="M5" s="76"/>
      <c r="N5" s="77"/>
      <c r="O5" s="72"/>
      <c r="P5" s="73"/>
    </row>
    <row r="6" spans="1:16" x14ac:dyDescent="0.25">
      <c r="A6" s="78">
        <f ca="1">TODAY()</f>
        <v>43846</v>
      </c>
      <c r="B6" s="79"/>
      <c r="C6" s="79"/>
      <c r="D6" s="80"/>
      <c r="E6" s="40"/>
      <c r="F6" s="41"/>
      <c r="G6" s="40"/>
      <c r="H6" s="41"/>
      <c r="I6" s="40"/>
      <c r="J6" s="41"/>
      <c r="K6" s="40"/>
      <c r="L6" s="41"/>
      <c r="M6" s="40"/>
      <c r="N6" s="41"/>
      <c r="O6" s="40"/>
      <c r="P6" s="41"/>
    </row>
    <row r="7" spans="1:16" ht="32.25" customHeight="1" x14ac:dyDescent="0.25">
      <c r="A7" s="10" t="s">
        <v>13</v>
      </c>
      <c r="B7" s="19" t="s">
        <v>14</v>
      </c>
      <c r="C7" s="36" t="s">
        <v>15</v>
      </c>
      <c r="D7" s="19" t="s">
        <v>16</v>
      </c>
      <c r="E7" s="42" t="s">
        <v>17</v>
      </c>
      <c r="F7" s="42" t="s">
        <v>18</v>
      </c>
      <c r="G7" s="42" t="s">
        <v>17</v>
      </c>
      <c r="H7" s="42" t="s">
        <v>18</v>
      </c>
      <c r="I7" s="42" t="s">
        <v>17</v>
      </c>
      <c r="J7" s="42" t="s">
        <v>18</v>
      </c>
      <c r="K7" s="42" t="s">
        <v>17</v>
      </c>
      <c r="L7" s="42" t="s">
        <v>18</v>
      </c>
      <c r="M7" s="42" t="s">
        <v>17</v>
      </c>
      <c r="N7" s="42" t="s">
        <v>18</v>
      </c>
      <c r="O7" s="42" t="s">
        <v>17</v>
      </c>
      <c r="P7" s="42" t="s">
        <v>18</v>
      </c>
    </row>
    <row r="8" spans="1:16" ht="33" customHeight="1" x14ac:dyDescent="0.25">
      <c r="A8" s="11" t="str">
        <f>'Bid Schedule B'!A20</f>
        <v>0001</v>
      </c>
      <c r="B8" s="57" t="str">
        <f>'Bid Schedule B'!B20</f>
        <v>Sweeper
(Section 012200)</v>
      </c>
      <c r="C8" s="11">
        <f>'Bid Schedule B'!C20</f>
        <v>1</v>
      </c>
      <c r="D8" s="11" t="str">
        <f>'Bid Schedule B'!D20</f>
        <v>LS</v>
      </c>
      <c r="E8" s="26">
        <v>130000</v>
      </c>
      <c r="F8" s="27">
        <f t="shared" ref="F8:F50" si="0">BQTY*E8</f>
        <v>130000</v>
      </c>
      <c r="G8" s="26">
        <v>127080</v>
      </c>
      <c r="H8" s="27">
        <f t="shared" ref="H8:H49" si="1">BQTY*G8</f>
        <v>127080</v>
      </c>
      <c r="I8" s="26">
        <v>125000</v>
      </c>
      <c r="J8" s="27">
        <f t="shared" ref="J8:J50" si="2">BQTY*I8</f>
        <v>125000</v>
      </c>
      <c r="K8" s="26">
        <v>60000</v>
      </c>
      <c r="L8" s="27">
        <f t="shared" ref="L8:L50" si="3">BQTY*K8</f>
        <v>60000</v>
      </c>
      <c r="M8" s="26">
        <v>30000</v>
      </c>
      <c r="N8" s="27">
        <f t="shared" ref="N8:N50" si="4">BQTY*M8</f>
        <v>30000</v>
      </c>
      <c r="O8" s="26">
        <v>75250</v>
      </c>
      <c r="P8" s="27">
        <f t="shared" ref="P8:P23" si="5">BQTY*O8</f>
        <v>75250</v>
      </c>
    </row>
    <row r="9" spans="1:16" ht="33" customHeight="1" x14ac:dyDescent="0.25">
      <c r="A9" s="11" t="str">
        <f>'Bid Schedule B'!A21</f>
        <v>0002</v>
      </c>
      <c r="B9" s="57" t="str">
        <f>'Bid Schedule B'!B21</f>
        <v>Security Control Monitoring
(Section 012200)</v>
      </c>
      <c r="C9" s="11">
        <f>'Bid Schedule B'!C21</f>
        <v>1</v>
      </c>
      <c r="D9" s="11" t="str">
        <f>'Bid Schedule B'!D21</f>
        <v>LS</v>
      </c>
      <c r="E9" s="26">
        <v>20000</v>
      </c>
      <c r="F9" s="27">
        <f t="shared" si="0"/>
        <v>20000</v>
      </c>
      <c r="G9" s="26">
        <v>50700</v>
      </c>
      <c r="H9" s="27">
        <f t="shared" si="1"/>
        <v>50700</v>
      </c>
      <c r="I9" s="26">
        <v>6000</v>
      </c>
      <c r="J9" s="27">
        <f t="shared" si="2"/>
        <v>6000</v>
      </c>
      <c r="K9" s="26">
        <v>30000</v>
      </c>
      <c r="L9" s="27">
        <f t="shared" si="3"/>
        <v>30000</v>
      </c>
      <c r="M9" s="26">
        <v>25000</v>
      </c>
      <c r="N9" s="27">
        <f t="shared" si="4"/>
        <v>25000</v>
      </c>
      <c r="O9" s="26">
        <v>10000</v>
      </c>
      <c r="P9" s="27">
        <f t="shared" si="5"/>
        <v>10000</v>
      </c>
    </row>
    <row r="10" spans="1:16" ht="33" customHeight="1" x14ac:dyDescent="0.25">
      <c r="A10" s="11" t="str">
        <f>'Bid Schedule B'!A22</f>
        <v>0003</v>
      </c>
      <c r="B10" s="57" t="str">
        <f>'Bid Schedule B'!B22</f>
        <v>Traffic Control
(Section 012200)</v>
      </c>
      <c r="C10" s="11">
        <f>'Bid Schedule B'!C22</f>
        <v>1</v>
      </c>
      <c r="D10" s="11" t="str">
        <f>'Bid Schedule B'!D22</f>
        <v>LS</v>
      </c>
      <c r="E10" s="26">
        <v>40000</v>
      </c>
      <c r="F10" s="27">
        <f t="shared" si="0"/>
        <v>40000</v>
      </c>
      <c r="G10" s="26">
        <v>58200</v>
      </c>
      <c r="H10" s="27">
        <f t="shared" si="1"/>
        <v>58200</v>
      </c>
      <c r="I10" s="26">
        <v>40000</v>
      </c>
      <c r="J10" s="27">
        <f t="shared" si="2"/>
        <v>40000</v>
      </c>
      <c r="K10" s="26">
        <v>65000</v>
      </c>
      <c r="L10" s="27">
        <f t="shared" si="3"/>
        <v>65000</v>
      </c>
      <c r="M10" s="26">
        <v>5000</v>
      </c>
      <c r="N10" s="27">
        <f t="shared" si="4"/>
        <v>5000</v>
      </c>
      <c r="O10" s="26">
        <v>55000</v>
      </c>
      <c r="P10" s="27">
        <f t="shared" si="5"/>
        <v>55000</v>
      </c>
    </row>
    <row r="11" spans="1:16" ht="33" customHeight="1" x14ac:dyDescent="0.25">
      <c r="A11" s="11" t="str">
        <f>'Bid Schedule B'!A23</f>
        <v>0004</v>
      </c>
      <c r="B11" s="57" t="str">
        <f>'Bid Schedule B'!B23</f>
        <v>Escort
(Section 012200)</v>
      </c>
      <c r="C11" s="11">
        <f>'Bid Schedule B'!C23</f>
        <v>1</v>
      </c>
      <c r="D11" s="11" t="str">
        <f>'Bid Schedule B'!D23</f>
        <v>LS</v>
      </c>
      <c r="E11" s="26">
        <v>160000</v>
      </c>
      <c r="F11" s="27">
        <f t="shared" si="0"/>
        <v>160000</v>
      </c>
      <c r="G11" s="26">
        <v>130490</v>
      </c>
      <c r="H11" s="27">
        <f t="shared" si="1"/>
        <v>130490</v>
      </c>
      <c r="I11" s="26">
        <v>95000</v>
      </c>
      <c r="J11" s="27">
        <f t="shared" si="2"/>
        <v>95000</v>
      </c>
      <c r="K11" s="26">
        <v>60000</v>
      </c>
      <c r="L11" s="27">
        <f t="shared" si="3"/>
        <v>60000</v>
      </c>
      <c r="M11" s="26">
        <v>40000</v>
      </c>
      <c r="N11" s="27">
        <f t="shared" si="4"/>
        <v>40000</v>
      </c>
      <c r="O11" s="26">
        <v>96750</v>
      </c>
      <c r="P11" s="27">
        <f t="shared" si="5"/>
        <v>96750</v>
      </c>
    </row>
    <row r="12" spans="1:16" ht="33" customHeight="1" x14ac:dyDescent="0.25">
      <c r="A12" s="11" t="str">
        <f>'Bid Schedule B'!A24</f>
        <v>0005</v>
      </c>
      <c r="B12" s="57" t="str">
        <f>'Bid Schedule B'!B24</f>
        <v>Inlet Protection
(Section 015713)</v>
      </c>
      <c r="C12" s="11">
        <f>'Bid Schedule B'!C24</f>
        <v>6</v>
      </c>
      <c r="D12" s="11" t="str">
        <f>'Bid Schedule B'!D24</f>
        <v>Each</v>
      </c>
      <c r="E12" s="26">
        <v>80</v>
      </c>
      <c r="F12" s="27">
        <f t="shared" si="0"/>
        <v>480</v>
      </c>
      <c r="G12" s="26">
        <v>90</v>
      </c>
      <c r="H12" s="27">
        <f t="shared" si="1"/>
        <v>540</v>
      </c>
      <c r="I12" s="26">
        <v>100</v>
      </c>
      <c r="J12" s="27">
        <f t="shared" si="2"/>
        <v>600</v>
      </c>
      <c r="K12" s="26">
        <v>110</v>
      </c>
      <c r="L12" s="27">
        <f t="shared" si="3"/>
        <v>660</v>
      </c>
      <c r="M12" s="26">
        <v>100</v>
      </c>
      <c r="N12" s="27">
        <f t="shared" si="4"/>
        <v>600</v>
      </c>
      <c r="O12" s="26">
        <v>100</v>
      </c>
      <c r="P12" s="27">
        <f t="shared" si="5"/>
        <v>600</v>
      </c>
    </row>
    <row r="13" spans="1:16" ht="33" customHeight="1" x14ac:dyDescent="0.25">
      <c r="A13" s="11" t="str">
        <f>'Bid Schedule B'!A25</f>
        <v>0006</v>
      </c>
      <c r="B13" s="57" t="str">
        <f>'Bid Schedule B'!B25</f>
        <v>Mobilization
(Item C-105)</v>
      </c>
      <c r="C13" s="11">
        <f>'Bid Schedule B'!C25</f>
        <v>1</v>
      </c>
      <c r="D13" s="11" t="str">
        <f>'Bid Schedule B'!D25</f>
        <v>LS</v>
      </c>
      <c r="E13" s="26">
        <v>498000</v>
      </c>
      <c r="F13" s="27">
        <f t="shared" si="0"/>
        <v>498000</v>
      </c>
      <c r="G13" s="26">
        <v>442285.45</v>
      </c>
      <c r="H13" s="27">
        <f t="shared" si="1"/>
        <v>442285.45</v>
      </c>
      <c r="I13" s="26">
        <v>196202</v>
      </c>
      <c r="J13" s="27">
        <f t="shared" si="2"/>
        <v>196202</v>
      </c>
      <c r="K13" s="26">
        <v>432999</v>
      </c>
      <c r="L13" s="27">
        <f t="shared" si="3"/>
        <v>432999</v>
      </c>
      <c r="M13" s="26">
        <v>410000</v>
      </c>
      <c r="N13" s="27">
        <f t="shared" si="4"/>
        <v>410000</v>
      </c>
      <c r="O13" s="26">
        <v>323522</v>
      </c>
      <c r="P13" s="27">
        <f t="shared" si="5"/>
        <v>323522</v>
      </c>
    </row>
    <row r="14" spans="1:16" ht="33" customHeight="1" x14ac:dyDescent="0.25">
      <c r="A14" s="11" t="str">
        <f>'Bid Schedule B'!A26</f>
        <v>0007</v>
      </c>
      <c r="B14" s="57" t="str">
        <f>'Bid Schedule B'!B26</f>
        <v>PCC Pavement Removal - 15-Inch Depth
(Item P-101)</v>
      </c>
      <c r="C14" s="11">
        <f>'Bid Schedule B'!C26</f>
        <v>450</v>
      </c>
      <c r="D14" s="11" t="str">
        <f>'Bid Schedule B'!D26</f>
        <v>SY</v>
      </c>
      <c r="E14" s="26">
        <v>40</v>
      </c>
      <c r="F14" s="27">
        <f t="shared" si="0"/>
        <v>18000</v>
      </c>
      <c r="G14" s="26">
        <v>20</v>
      </c>
      <c r="H14" s="27">
        <f t="shared" si="1"/>
        <v>9000</v>
      </c>
      <c r="I14" s="26">
        <v>128</v>
      </c>
      <c r="J14" s="27">
        <f t="shared" si="2"/>
        <v>57600</v>
      </c>
      <c r="K14" s="26">
        <v>16</v>
      </c>
      <c r="L14" s="27">
        <f t="shared" si="3"/>
        <v>7200</v>
      </c>
      <c r="M14" s="26">
        <v>42</v>
      </c>
      <c r="N14" s="27">
        <f t="shared" si="4"/>
        <v>18900</v>
      </c>
      <c r="O14" s="26">
        <v>18</v>
      </c>
      <c r="P14" s="27">
        <f t="shared" si="5"/>
        <v>8100</v>
      </c>
    </row>
    <row r="15" spans="1:16" ht="33" customHeight="1" x14ac:dyDescent="0.25">
      <c r="A15" s="11" t="str">
        <f>'Bid Schedule B'!A27</f>
        <v>0008</v>
      </c>
      <c r="B15" s="57" t="str">
        <f>'Bid Schedule B'!B27</f>
        <v>PCC Pavement Removal - 18-Inch Depth
(Item P-101)</v>
      </c>
      <c r="C15" s="11">
        <f>'Bid Schedule B'!C27</f>
        <v>150</v>
      </c>
      <c r="D15" s="11" t="str">
        <f>'Bid Schedule B'!D27</f>
        <v>SY</v>
      </c>
      <c r="E15" s="26">
        <v>80</v>
      </c>
      <c r="F15" s="27">
        <f t="shared" si="0"/>
        <v>12000</v>
      </c>
      <c r="G15" s="26">
        <v>50</v>
      </c>
      <c r="H15" s="27">
        <f t="shared" si="1"/>
        <v>7500</v>
      </c>
      <c r="I15" s="26">
        <v>150</v>
      </c>
      <c r="J15" s="27">
        <f t="shared" si="2"/>
        <v>22500</v>
      </c>
      <c r="K15" s="26">
        <v>24</v>
      </c>
      <c r="L15" s="27">
        <f t="shared" si="3"/>
        <v>3600</v>
      </c>
      <c r="M15" s="26">
        <v>71</v>
      </c>
      <c r="N15" s="27">
        <f t="shared" si="4"/>
        <v>10650</v>
      </c>
      <c r="O15" s="26">
        <v>20</v>
      </c>
      <c r="P15" s="27">
        <f t="shared" si="5"/>
        <v>3000</v>
      </c>
    </row>
    <row r="16" spans="1:16" ht="33" customHeight="1" x14ac:dyDescent="0.25">
      <c r="A16" s="11" t="str">
        <f>'Bid Schedule B'!A28</f>
        <v>0009</v>
      </c>
      <c r="B16" s="57" t="str">
        <f>'Bid Schedule B'!B28</f>
        <v>Asphalt Pavement Removal - 11-Inch Depth
(Item P-101)</v>
      </c>
      <c r="C16" s="59">
        <f>'Bid Schedule B'!C28</f>
        <v>5900</v>
      </c>
      <c r="D16" s="11" t="str">
        <f>'Bid Schedule B'!D28</f>
        <v>SY</v>
      </c>
      <c r="E16" s="26">
        <v>9.5</v>
      </c>
      <c r="F16" s="27">
        <f t="shared" si="0"/>
        <v>56050</v>
      </c>
      <c r="G16" s="26">
        <v>8</v>
      </c>
      <c r="H16" s="27">
        <f t="shared" si="1"/>
        <v>47200</v>
      </c>
      <c r="I16" s="26">
        <v>11</v>
      </c>
      <c r="J16" s="27">
        <f t="shared" si="2"/>
        <v>64900</v>
      </c>
      <c r="K16" s="26">
        <v>7</v>
      </c>
      <c r="L16" s="27">
        <f t="shared" si="3"/>
        <v>41300</v>
      </c>
      <c r="M16" s="26">
        <v>6.5</v>
      </c>
      <c r="N16" s="27">
        <f t="shared" si="4"/>
        <v>38350</v>
      </c>
      <c r="O16" s="26">
        <v>6</v>
      </c>
      <c r="P16" s="27">
        <f t="shared" si="5"/>
        <v>35400</v>
      </c>
    </row>
    <row r="17" spans="1:16" ht="33" customHeight="1" x14ac:dyDescent="0.25">
      <c r="A17" s="11" t="str">
        <f>'Bid Schedule B'!A29</f>
        <v>0010</v>
      </c>
      <c r="B17" s="57" t="str">
        <f>'Bid Schedule B'!B29</f>
        <v>Asphalt Pavement Removal - 20-Inch Depth
(Item P-101)</v>
      </c>
      <c r="C17" s="59">
        <f>'Bid Schedule B'!C29</f>
        <v>3600</v>
      </c>
      <c r="D17" s="11" t="str">
        <f>'Bid Schedule B'!D29</f>
        <v>SY</v>
      </c>
      <c r="E17" s="26">
        <v>15</v>
      </c>
      <c r="F17" s="27">
        <f t="shared" si="0"/>
        <v>54000</v>
      </c>
      <c r="G17" s="26">
        <v>15</v>
      </c>
      <c r="H17" s="27">
        <f t="shared" si="1"/>
        <v>54000</v>
      </c>
      <c r="I17" s="26">
        <v>17.5</v>
      </c>
      <c r="J17" s="27">
        <f t="shared" si="2"/>
        <v>63000</v>
      </c>
      <c r="K17" s="26">
        <v>10</v>
      </c>
      <c r="L17" s="27">
        <f t="shared" si="3"/>
        <v>36000</v>
      </c>
      <c r="M17" s="26">
        <v>8.5</v>
      </c>
      <c r="N17" s="27">
        <f t="shared" si="4"/>
        <v>30600</v>
      </c>
      <c r="O17" s="26">
        <v>9</v>
      </c>
      <c r="P17" s="27">
        <f t="shared" si="5"/>
        <v>32400</v>
      </c>
    </row>
    <row r="18" spans="1:16" ht="33" customHeight="1" x14ac:dyDescent="0.25">
      <c r="A18" s="11" t="str">
        <f>'Bid Schedule B'!A30</f>
        <v>0011</v>
      </c>
      <c r="B18" s="57" t="str">
        <f>'Bid Schedule B'!B30</f>
        <v>Cold Milling - 3-Inch Depth
(Item P-101)</v>
      </c>
      <c r="C18" s="59">
        <f>'Bid Schedule B'!C30</f>
        <v>150</v>
      </c>
      <c r="D18" s="11" t="str">
        <f>'Bid Schedule B'!D30</f>
        <v>SY</v>
      </c>
      <c r="E18" s="26">
        <v>12</v>
      </c>
      <c r="F18" s="27">
        <f t="shared" si="0"/>
        <v>1800</v>
      </c>
      <c r="G18" s="26">
        <v>3</v>
      </c>
      <c r="H18" s="27">
        <f t="shared" si="1"/>
        <v>450</v>
      </c>
      <c r="I18" s="26">
        <v>48</v>
      </c>
      <c r="J18" s="27">
        <f t="shared" si="2"/>
        <v>7200</v>
      </c>
      <c r="K18" s="26">
        <v>4</v>
      </c>
      <c r="L18" s="27">
        <f t="shared" si="3"/>
        <v>600</v>
      </c>
      <c r="M18" s="26">
        <v>2</v>
      </c>
      <c r="N18" s="27">
        <f t="shared" si="4"/>
        <v>300</v>
      </c>
      <c r="O18" s="26">
        <v>3.5</v>
      </c>
      <c r="P18" s="27">
        <f t="shared" si="5"/>
        <v>525</v>
      </c>
    </row>
    <row r="19" spans="1:16" ht="33" customHeight="1" x14ac:dyDescent="0.25">
      <c r="A19" s="11" t="str">
        <f>'Bid Schedule B'!A31</f>
        <v>0012</v>
      </c>
      <c r="B19" s="57" t="str">
        <f>'Bid Schedule B'!B31</f>
        <v>Removal of Pipe and Other Buried Structures
(Item P-101)</v>
      </c>
      <c r="C19" s="59">
        <f>'Bid Schedule B'!C31</f>
        <v>1</v>
      </c>
      <c r="D19" s="11" t="str">
        <f>'Bid Schedule B'!D31</f>
        <v>LS</v>
      </c>
      <c r="E19" s="26">
        <v>10000</v>
      </c>
      <c r="F19" s="27">
        <f t="shared" si="0"/>
        <v>10000</v>
      </c>
      <c r="G19" s="26">
        <v>40000</v>
      </c>
      <c r="H19" s="27">
        <f t="shared" si="1"/>
        <v>40000</v>
      </c>
      <c r="I19" s="26">
        <v>100000</v>
      </c>
      <c r="J19" s="27">
        <f t="shared" si="2"/>
        <v>100000</v>
      </c>
      <c r="K19" s="26">
        <v>10000</v>
      </c>
      <c r="L19" s="27">
        <f t="shared" si="3"/>
        <v>10000</v>
      </c>
      <c r="M19" s="26">
        <v>75000</v>
      </c>
      <c r="N19" s="27">
        <f t="shared" si="4"/>
        <v>75000</v>
      </c>
      <c r="O19" s="26">
        <v>66450</v>
      </c>
      <c r="P19" s="27">
        <f t="shared" si="5"/>
        <v>66450</v>
      </c>
    </row>
    <row r="20" spans="1:16" ht="33" customHeight="1" x14ac:dyDescent="0.25">
      <c r="A20" s="11" t="str">
        <f>'Bid Schedule B'!A32</f>
        <v>0013</v>
      </c>
      <c r="B20" s="57" t="str">
        <f>'Bid Schedule B'!B32</f>
        <v>Unclassified Excavation
(Item P-152)</v>
      </c>
      <c r="C20" s="59">
        <f>'Bid Schedule B'!C32</f>
        <v>13025</v>
      </c>
      <c r="D20" s="11" t="str">
        <f>'Bid Schedule B'!D32</f>
        <v>CY</v>
      </c>
      <c r="E20" s="26">
        <v>25</v>
      </c>
      <c r="F20" s="27">
        <f t="shared" si="0"/>
        <v>325625</v>
      </c>
      <c r="G20" s="26">
        <v>24</v>
      </c>
      <c r="H20" s="27">
        <f t="shared" si="1"/>
        <v>312600</v>
      </c>
      <c r="I20" s="26">
        <v>30</v>
      </c>
      <c r="J20" s="27">
        <f t="shared" si="2"/>
        <v>390750</v>
      </c>
      <c r="K20" s="26">
        <v>25</v>
      </c>
      <c r="L20" s="27">
        <f t="shared" si="3"/>
        <v>325625</v>
      </c>
      <c r="M20" s="26">
        <v>14</v>
      </c>
      <c r="N20" s="27">
        <f t="shared" si="4"/>
        <v>182350</v>
      </c>
      <c r="O20" s="26">
        <v>25</v>
      </c>
      <c r="P20" s="27">
        <f t="shared" si="5"/>
        <v>325625</v>
      </c>
    </row>
    <row r="21" spans="1:16" ht="33" customHeight="1" x14ac:dyDescent="0.25">
      <c r="A21" s="11" t="str">
        <f>'Bid Schedule B'!A33</f>
        <v>0014</v>
      </c>
      <c r="B21" s="57" t="str">
        <f>'Bid Schedule B'!B33</f>
        <v>Unsuitable Excavation
(Item P-152)</v>
      </c>
      <c r="C21" s="59">
        <f>'Bid Schedule B'!C33</f>
        <v>850</v>
      </c>
      <c r="D21" s="11" t="str">
        <f>'Bid Schedule B'!D33</f>
        <v>CY</v>
      </c>
      <c r="E21" s="26">
        <v>80</v>
      </c>
      <c r="F21" s="27">
        <f t="shared" si="0"/>
        <v>68000</v>
      </c>
      <c r="G21" s="26">
        <v>80</v>
      </c>
      <c r="H21" s="27">
        <f t="shared" si="1"/>
        <v>68000</v>
      </c>
      <c r="I21" s="26">
        <v>65</v>
      </c>
      <c r="J21" s="27">
        <f t="shared" si="2"/>
        <v>55250</v>
      </c>
      <c r="K21" s="26">
        <v>89</v>
      </c>
      <c r="L21" s="27">
        <f t="shared" si="3"/>
        <v>75650</v>
      </c>
      <c r="M21" s="26">
        <v>71</v>
      </c>
      <c r="N21" s="27">
        <f t="shared" si="4"/>
        <v>60350</v>
      </c>
      <c r="O21" s="26">
        <v>75</v>
      </c>
      <c r="P21" s="27">
        <f t="shared" si="5"/>
        <v>63750</v>
      </c>
    </row>
    <row r="22" spans="1:16" ht="33" customHeight="1" x14ac:dyDescent="0.25">
      <c r="A22" s="11" t="str">
        <f>'Bid Schedule B'!A34</f>
        <v>0015</v>
      </c>
      <c r="B22" s="57" t="str">
        <f>'Bid Schedule B'!B34</f>
        <v>Controlled Low-Strength Material
(Item P-153)</v>
      </c>
      <c r="C22" s="59">
        <f>'Bid Schedule B'!C34</f>
        <v>1100</v>
      </c>
      <c r="D22" s="11" t="str">
        <f>'Bid Schedule B'!D34</f>
        <v>CY</v>
      </c>
      <c r="E22" s="26">
        <v>160</v>
      </c>
      <c r="F22" s="27">
        <f t="shared" si="0"/>
        <v>176000</v>
      </c>
      <c r="G22" s="26">
        <v>155</v>
      </c>
      <c r="H22" s="27">
        <f t="shared" si="1"/>
        <v>170500</v>
      </c>
      <c r="I22" s="26">
        <v>200</v>
      </c>
      <c r="J22" s="27">
        <f t="shared" si="2"/>
        <v>220000</v>
      </c>
      <c r="K22" s="26">
        <v>145</v>
      </c>
      <c r="L22" s="27">
        <f t="shared" si="3"/>
        <v>159500</v>
      </c>
      <c r="M22" s="26">
        <v>140</v>
      </c>
      <c r="N22" s="27">
        <f t="shared" si="4"/>
        <v>154000</v>
      </c>
      <c r="O22" s="26">
        <v>170</v>
      </c>
      <c r="P22" s="27">
        <f t="shared" si="5"/>
        <v>187000</v>
      </c>
    </row>
    <row r="23" spans="1:16" ht="33" customHeight="1" x14ac:dyDescent="0.25">
      <c r="A23" s="11" t="str">
        <f>'Bid Schedule B'!A35</f>
        <v>0016</v>
      </c>
      <c r="B23" s="57" t="str">
        <f>'Bid Schedule B'!B35</f>
        <v>Subbase Course
(Item P-154)</v>
      </c>
      <c r="C23" s="59">
        <f>'Bid Schedule B'!C35</f>
        <v>9100</v>
      </c>
      <c r="D23" s="11" t="str">
        <f>'Bid Schedule B'!D35</f>
        <v>CY</v>
      </c>
      <c r="E23" s="26">
        <v>40</v>
      </c>
      <c r="F23" s="27">
        <f t="shared" si="0"/>
        <v>364000</v>
      </c>
      <c r="G23" s="26">
        <v>23</v>
      </c>
      <c r="H23" s="27">
        <f t="shared" si="1"/>
        <v>209300</v>
      </c>
      <c r="I23" s="26">
        <v>45</v>
      </c>
      <c r="J23" s="27">
        <f t="shared" si="2"/>
        <v>409500</v>
      </c>
      <c r="K23" s="26">
        <v>29</v>
      </c>
      <c r="L23" s="27">
        <f t="shared" si="3"/>
        <v>263900</v>
      </c>
      <c r="M23" s="26">
        <v>12.5</v>
      </c>
      <c r="N23" s="27">
        <f t="shared" si="4"/>
        <v>113750</v>
      </c>
      <c r="O23" s="26">
        <v>30</v>
      </c>
      <c r="P23" s="27">
        <f t="shared" si="5"/>
        <v>273000</v>
      </c>
    </row>
    <row r="24" spans="1:16" ht="33" customHeight="1" x14ac:dyDescent="0.25">
      <c r="A24" s="11" t="str">
        <f>'Bid Schedule B'!A36</f>
        <v>0017</v>
      </c>
      <c r="B24" s="57" t="str">
        <f>'Bid Schedule B'!B36</f>
        <v>Separation Geotextile
(Item P-154)</v>
      </c>
      <c r="C24" s="59">
        <f>'Bid Schedule B'!C36</f>
        <v>12900</v>
      </c>
      <c r="D24" s="11" t="str">
        <f>'Bid Schedule B'!D36</f>
        <v>SY</v>
      </c>
      <c r="E24" s="26">
        <v>1</v>
      </c>
      <c r="F24" s="27">
        <f t="shared" si="0"/>
        <v>12900</v>
      </c>
      <c r="G24" s="26">
        <v>1.25</v>
      </c>
      <c r="H24" s="27">
        <f t="shared" si="1"/>
        <v>16125</v>
      </c>
      <c r="I24" s="26">
        <v>1</v>
      </c>
      <c r="J24" s="27">
        <f t="shared" si="2"/>
        <v>12900</v>
      </c>
      <c r="K24" s="26">
        <v>1</v>
      </c>
      <c r="L24" s="27">
        <f t="shared" si="3"/>
        <v>12900</v>
      </c>
      <c r="M24" s="26">
        <v>1.5</v>
      </c>
      <c r="N24" s="27">
        <f t="shared" si="4"/>
        <v>19350</v>
      </c>
      <c r="O24" s="26">
        <v>1</v>
      </c>
      <c r="P24" s="27">
        <f t="shared" ref="P24:P50" si="6">BQTY*O24</f>
        <v>12900</v>
      </c>
    </row>
    <row r="25" spans="1:16" ht="33" customHeight="1" x14ac:dyDescent="0.25">
      <c r="A25" s="11" t="str">
        <f>'Bid Schedule B'!A37</f>
        <v>0018</v>
      </c>
      <c r="B25" s="57" t="str">
        <f>'Bid Schedule B'!B37</f>
        <v>Crushed Aggregate Base Course
(Item P-209)</v>
      </c>
      <c r="C25" s="59">
        <f>'Bid Schedule B'!C37</f>
        <v>2500</v>
      </c>
      <c r="D25" s="11" t="str">
        <f>'Bid Schedule B'!D37</f>
        <v>CY</v>
      </c>
      <c r="E25" s="26">
        <v>75</v>
      </c>
      <c r="F25" s="27">
        <f t="shared" si="0"/>
        <v>187500</v>
      </c>
      <c r="G25" s="26">
        <v>80</v>
      </c>
      <c r="H25" s="27">
        <f t="shared" si="1"/>
        <v>200000</v>
      </c>
      <c r="I25" s="26">
        <v>80</v>
      </c>
      <c r="J25" s="27">
        <f t="shared" si="2"/>
        <v>200000</v>
      </c>
      <c r="K25" s="26">
        <v>66</v>
      </c>
      <c r="L25" s="27">
        <f t="shared" si="3"/>
        <v>165000</v>
      </c>
      <c r="M25" s="26">
        <v>60</v>
      </c>
      <c r="N25" s="27">
        <f t="shared" si="4"/>
        <v>150000</v>
      </c>
      <c r="O25" s="26">
        <v>60</v>
      </c>
      <c r="P25" s="27">
        <f t="shared" si="6"/>
        <v>150000</v>
      </c>
    </row>
    <row r="26" spans="1:16" ht="33" customHeight="1" x14ac:dyDescent="0.25">
      <c r="A26" s="11" t="str">
        <f>'Bid Schedule B'!A38</f>
        <v>0019</v>
      </c>
      <c r="B26" s="57" t="str">
        <f>'Bid Schedule B'!B38</f>
        <v>Asphalt Surface Course
(Item P-401)</v>
      </c>
      <c r="C26" s="59">
        <f>'Bid Schedule B'!C38</f>
        <v>1800</v>
      </c>
      <c r="D26" s="11" t="str">
        <f>'Bid Schedule B'!D38</f>
        <v>Ton</v>
      </c>
      <c r="E26" s="26">
        <v>115</v>
      </c>
      <c r="F26" s="27">
        <f t="shared" si="0"/>
        <v>207000</v>
      </c>
      <c r="G26" s="26">
        <v>105</v>
      </c>
      <c r="H26" s="27">
        <f t="shared" si="1"/>
        <v>189000</v>
      </c>
      <c r="I26" s="26">
        <v>106</v>
      </c>
      <c r="J26" s="27">
        <f t="shared" si="2"/>
        <v>190800</v>
      </c>
      <c r="K26" s="26">
        <v>115</v>
      </c>
      <c r="L26" s="27">
        <f t="shared" si="3"/>
        <v>207000</v>
      </c>
      <c r="M26" s="26">
        <v>110</v>
      </c>
      <c r="N26" s="27">
        <f t="shared" si="4"/>
        <v>198000</v>
      </c>
      <c r="O26" s="26">
        <v>110</v>
      </c>
      <c r="P26" s="27">
        <f t="shared" si="6"/>
        <v>198000</v>
      </c>
    </row>
    <row r="27" spans="1:16" ht="33" customHeight="1" x14ac:dyDescent="0.25">
      <c r="A27" s="11" t="str">
        <f>'Bid Schedule B'!A39</f>
        <v>0020</v>
      </c>
      <c r="B27" s="57" t="str">
        <f>'Bid Schedule B'!B39</f>
        <v>Asphalt Mixture Surface and Base
(Item P-403)</v>
      </c>
      <c r="C27" s="59">
        <f>'Bid Schedule B'!C39</f>
        <v>4600</v>
      </c>
      <c r="D27" s="11" t="str">
        <f>'Bid Schedule B'!D39</f>
        <v>Ton</v>
      </c>
      <c r="E27" s="26">
        <v>110</v>
      </c>
      <c r="F27" s="27">
        <f t="shared" si="0"/>
        <v>506000</v>
      </c>
      <c r="G27" s="26">
        <v>105</v>
      </c>
      <c r="H27" s="27">
        <f t="shared" si="1"/>
        <v>483000</v>
      </c>
      <c r="I27" s="26">
        <v>106</v>
      </c>
      <c r="J27" s="27">
        <f t="shared" si="2"/>
        <v>487600</v>
      </c>
      <c r="K27" s="26">
        <v>115</v>
      </c>
      <c r="L27" s="27">
        <f t="shared" si="3"/>
        <v>529000</v>
      </c>
      <c r="M27" s="26">
        <v>110</v>
      </c>
      <c r="N27" s="27">
        <f t="shared" si="4"/>
        <v>506000</v>
      </c>
      <c r="O27" s="26">
        <v>105</v>
      </c>
      <c r="P27" s="27">
        <f t="shared" si="6"/>
        <v>483000</v>
      </c>
    </row>
    <row r="28" spans="1:16" ht="33" customHeight="1" x14ac:dyDescent="0.25">
      <c r="A28" s="11" t="str">
        <f>'Bid Schedule B'!A40</f>
        <v>0021</v>
      </c>
      <c r="B28" s="57" t="str">
        <f>'Bid Schedule B'!B40</f>
        <v>11-Inch Thick Concrete Pavement
(Item P-501)</v>
      </c>
      <c r="C28" s="59">
        <f>'Bid Schedule B'!C40</f>
        <v>1511</v>
      </c>
      <c r="D28" s="11" t="str">
        <f>'Bid Schedule B'!D40</f>
        <v>SY</v>
      </c>
      <c r="E28" s="26">
        <v>180</v>
      </c>
      <c r="F28" s="27">
        <f t="shared" si="0"/>
        <v>271980</v>
      </c>
      <c r="G28" s="26">
        <v>173.5</v>
      </c>
      <c r="H28" s="27">
        <f t="shared" si="1"/>
        <v>262158.5</v>
      </c>
      <c r="I28" s="26">
        <v>175</v>
      </c>
      <c r="J28" s="27">
        <f t="shared" si="2"/>
        <v>264425</v>
      </c>
      <c r="K28" s="26">
        <v>185</v>
      </c>
      <c r="L28" s="27">
        <f t="shared" si="3"/>
        <v>279535</v>
      </c>
      <c r="M28" s="26">
        <v>185</v>
      </c>
      <c r="N28" s="27">
        <f t="shared" si="4"/>
        <v>279535</v>
      </c>
      <c r="O28" s="26">
        <v>110</v>
      </c>
      <c r="P28" s="27">
        <f t="shared" si="6"/>
        <v>166210</v>
      </c>
    </row>
    <row r="29" spans="1:16" ht="33" customHeight="1" x14ac:dyDescent="0.25">
      <c r="A29" s="11" t="str">
        <f>'Bid Schedule B'!A41</f>
        <v>0022</v>
      </c>
      <c r="B29" s="57" t="str">
        <f>'Bid Schedule B'!B41</f>
        <v>15-Inch Thick Concrete Pavement
(Item P-501)</v>
      </c>
      <c r="C29" s="59">
        <f>'Bid Schedule B'!C41</f>
        <v>6259</v>
      </c>
      <c r="D29" s="11" t="str">
        <f>'Bid Schedule B'!D41</f>
        <v>SY</v>
      </c>
      <c r="E29" s="26">
        <v>185</v>
      </c>
      <c r="F29" s="27">
        <f t="shared" si="0"/>
        <v>1157915</v>
      </c>
      <c r="G29" s="26">
        <v>180.5</v>
      </c>
      <c r="H29" s="27">
        <f t="shared" si="1"/>
        <v>1129749.5</v>
      </c>
      <c r="I29" s="26">
        <v>180</v>
      </c>
      <c r="J29" s="27">
        <f t="shared" si="2"/>
        <v>1126620</v>
      </c>
      <c r="K29" s="26">
        <v>190</v>
      </c>
      <c r="L29" s="27">
        <f t="shared" si="3"/>
        <v>1189210</v>
      </c>
      <c r="M29" s="26">
        <v>190</v>
      </c>
      <c r="N29" s="27">
        <f t="shared" si="4"/>
        <v>1189210</v>
      </c>
      <c r="O29" s="26">
        <v>115</v>
      </c>
      <c r="P29" s="27">
        <f t="shared" si="6"/>
        <v>719785</v>
      </c>
    </row>
    <row r="30" spans="1:16" ht="33" customHeight="1" x14ac:dyDescent="0.25">
      <c r="A30" s="11" t="str">
        <f>'Bid Schedule B'!A42</f>
        <v>0023</v>
      </c>
      <c r="B30" s="57" t="str">
        <f>'Bid Schedule B'!B42</f>
        <v>18-Inch Thick Concrete Pavement
(Item P-501)</v>
      </c>
      <c r="C30" s="59">
        <f>'Bid Schedule B'!C42</f>
        <v>139</v>
      </c>
      <c r="D30" s="11" t="str">
        <f>'Bid Schedule B'!D42</f>
        <v>SY</v>
      </c>
      <c r="E30" s="26">
        <v>260</v>
      </c>
      <c r="F30" s="27">
        <f t="shared" si="0"/>
        <v>36140</v>
      </c>
      <c r="G30" s="26">
        <v>247</v>
      </c>
      <c r="H30" s="27">
        <f t="shared" si="1"/>
        <v>34333</v>
      </c>
      <c r="I30" s="26">
        <v>248</v>
      </c>
      <c r="J30" s="27">
        <f t="shared" si="2"/>
        <v>34472</v>
      </c>
      <c r="K30" s="26">
        <v>260</v>
      </c>
      <c r="L30" s="27">
        <f t="shared" si="3"/>
        <v>36140</v>
      </c>
      <c r="M30" s="26">
        <v>265</v>
      </c>
      <c r="N30" s="27">
        <f t="shared" si="4"/>
        <v>36835</v>
      </c>
      <c r="O30" s="26">
        <v>130</v>
      </c>
      <c r="P30" s="27">
        <f t="shared" si="6"/>
        <v>18070</v>
      </c>
    </row>
    <row r="31" spans="1:16" ht="33" customHeight="1" x14ac:dyDescent="0.25">
      <c r="A31" s="11" t="str">
        <f>'Bid Schedule B'!A43</f>
        <v>0024</v>
      </c>
      <c r="B31" s="57" t="str">
        <f>'Bid Schedule B'!B43</f>
        <v>Emulsified Asphalt Tack Coat
(Item P-603)</v>
      </c>
      <c r="C31" s="59">
        <f>'Bid Schedule B'!C43</f>
        <v>1800</v>
      </c>
      <c r="D31" s="11" t="str">
        <f>'Bid Schedule B'!D43</f>
        <v>Gal</v>
      </c>
      <c r="E31" s="26">
        <v>1</v>
      </c>
      <c r="F31" s="27">
        <f t="shared" si="0"/>
        <v>1800</v>
      </c>
      <c r="G31" s="26">
        <v>1</v>
      </c>
      <c r="H31" s="27">
        <f t="shared" si="1"/>
        <v>1800</v>
      </c>
      <c r="I31" s="26">
        <v>1</v>
      </c>
      <c r="J31" s="27">
        <f t="shared" si="2"/>
        <v>1800</v>
      </c>
      <c r="K31" s="26">
        <v>1</v>
      </c>
      <c r="L31" s="27">
        <f t="shared" si="3"/>
        <v>1800</v>
      </c>
      <c r="M31" s="26">
        <v>1</v>
      </c>
      <c r="N31" s="27">
        <f t="shared" si="4"/>
        <v>1800</v>
      </c>
      <c r="O31" s="26">
        <v>6.5</v>
      </c>
      <c r="P31" s="27">
        <f t="shared" si="6"/>
        <v>11700</v>
      </c>
    </row>
    <row r="32" spans="1:16" ht="33" customHeight="1" x14ac:dyDescent="0.25">
      <c r="A32" s="11" t="str">
        <f>'Bid Schedule B'!A44</f>
        <v>0025</v>
      </c>
      <c r="B32" s="57" t="str">
        <f>'Bid Schedule B'!B44</f>
        <v>Compression Joint Seals for Concrete Pavements
(Item P-604)</v>
      </c>
      <c r="C32" s="59">
        <f>'Bid Schedule B'!C44</f>
        <v>6000</v>
      </c>
      <c r="D32" s="11" t="str">
        <f>'Bid Schedule B'!D44</f>
        <v>LF</v>
      </c>
      <c r="E32" s="26">
        <v>6</v>
      </c>
      <c r="F32" s="27">
        <f t="shared" si="0"/>
        <v>36000</v>
      </c>
      <c r="G32" s="26">
        <v>5.92</v>
      </c>
      <c r="H32" s="27">
        <f t="shared" si="1"/>
        <v>35520</v>
      </c>
      <c r="I32" s="26">
        <v>9.15</v>
      </c>
      <c r="J32" s="27">
        <f t="shared" si="2"/>
        <v>54900</v>
      </c>
      <c r="K32" s="26">
        <v>6</v>
      </c>
      <c r="L32" s="27">
        <f t="shared" si="3"/>
        <v>36000</v>
      </c>
      <c r="M32" s="26">
        <v>6</v>
      </c>
      <c r="N32" s="27">
        <f t="shared" si="4"/>
        <v>36000</v>
      </c>
      <c r="O32" s="26">
        <v>8</v>
      </c>
      <c r="P32" s="27">
        <f t="shared" si="6"/>
        <v>48000</v>
      </c>
    </row>
    <row r="33" spans="1:16" ht="33" customHeight="1" x14ac:dyDescent="0.25">
      <c r="A33" s="11" t="str">
        <f>'Bid Schedule B'!A45</f>
        <v>0026</v>
      </c>
      <c r="B33" s="57" t="str">
        <f>'Bid Schedule B'!B45</f>
        <v>Joint Sealing Filler
(Item P-605)</v>
      </c>
      <c r="C33" s="59">
        <f>'Bid Schedule B'!C45</f>
        <v>100</v>
      </c>
      <c r="D33" s="11" t="str">
        <f>'Bid Schedule B'!D45</f>
        <v>Gal</v>
      </c>
      <c r="E33" s="26">
        <v>110</v>
      </c>
      <c r="F33" s="27">
        <f t="shared" si="0"/>
        <v>11000</v>
      </c>
      <c r="G33" s="26">
        <v>99</v>
      </c>
      <c r="H33" s="27">
        <f t="shared" si="1"/>
        <v>9900</v>
      </c>
      <c r="I33" s="26">
        <v>170</v>
      </c>
      <c r="J33" s="27">
        <f t="shared" si="2"/>
        <v>17000</v>
      </c>
      <c r="K33" s="26">
        <v>100</v>
      </c>
      <c r="L33" s="27">
        <f t="shared" si="3"/>
        <v>10000</v>
      </c>
      <c r="M33" s="26">
        <v>100</v>
      </c>
      <c r="N33" s="27">
        <f t="shared" si="4"/>
        <v>10000</v>
      </c>
      <c r="O33" s="26">
        <v>250</v>
      </c>
      <c r="P33" s="27">
        <f t="shared" si="6"/>
        <v>25000</v>
      </c>
    </row>
    <row r="34" spans="1:16" ht="33" customHeight="1" x14ac:dyDescent="0.25">
      <c r="A34" s="11" t="str">
        <f>'Bid Schedule B'!A46</f>
        <v>0027</v>
      </c>
      <c r="B34" s="57" t="str">
        <f>'Bid Schedule B'!B46</f>
        <v>Asphalt Surface Treatment
(Item P-608)</v>
      </c>
      <c r="C34" s="59">
        <f>'Bid Schedule B'!C46</f>
        <v>1900</v>
      </c>
      <c r="D34" s="11" t="str">
        <f>'Bid Schedule B'!D46</f>
        <v>SY</v>
      </c>
      <c r="E34" s="26">
        <v>9</v>
      </c>
      <c r="F34" s="27">
        <f t="shared" si="0"/>
        <v>17100</v>
      </c>
      <c r="G34" s="26">
        <v>5</v>
      </c>
      <c r="H34" s="27">
        <f t="shared" si="1"/>
        <v>9500</v>
      </c>
      <c r="I34" s="26">
        <v>11.5</v>
      </c>
      <c r="J34" s="27">
        <f t="shared" si="2"/>
        <v>21850</v>
      </c>
      <c r="K34" s="26">
        <v>9</v>
      </c>
      <c r="L34" s="27">
        <f t="shared" si="3"/>
        <v>17100</v>
      </c>
      <c r="M34" s="26">
        <v>9</v>
      </c>
      <c r="N34" s="27">
        <f t="shared" si="4"/>
        <v>17100</v>
      </c>
      <c r="O34" s="26">
        <v>4</v>
      </c>
      <c r="P34" s="27">
        <f t="shared" si="6"/>
        <v>7600</v>
      </c>
    </row>
    <row r="35" spans="1:16" ht="33" customHeight="1" x14ac:dyDescent="0.25">
      <c r="A35" s="11" t="str">
        <f>'Bid Schedule B'!A47</f>
        <v>0028</v>
      </c>
      <c r="B35" s="57" t="str">
        <f>'Bid Schedule B'!B47</f>
        <v>Surface Preparation - New Pavement Surfaces
(Item P-620)</v>
      </c>
      <c r="C35" s="59">
        <f>'Bid Schedule B'!C47</f>
        <v>5725</v>
      </c>
      <c r="D35" s="11" t="str">
        <f>'Bid Schedule B'!D47</f>
        <v>SF</v>
      </c>
      <c r="E35" s="26">
        <v>0.9</v>
      </c>
      <c r="F35" s="27">
        <f t="shared" si="0"/>
        <v>5152.5</v>
      </c>
      <c r="G35" s="26">
        <v>0.85</v>
      </c>
      <c r="H35" s="27">
        <f t="shared" si="1"/>
        <v>4866.25</v>
      </c>
      <c r="I35" s="26">
        <v>0.86</v>
      </c>
      <c r="J35" s="27">
        <f t="shared" si="2"/>
        <v>4923.5</v>
      </c>
      <c r="K35" s="26">
        <v>0.25</v>
      </c>
      <c r="L35" s="27">
        <f t="shared" si="3"/>
        <v>1431.25</v>
      </c>
      <c r="M35" s="26">
        <v>0.9</v>
      </c>
      <c r="N35" s="27">
        <f t="shared" si="4"/>
        <v>5152.5</v>
      </c>
      <c r="O35" s="26">
        <v>0.5</v>
      </c>
      <c r="P35" s="27">
        <f t="shared" si="6"/>
        <v>2862.5</v>
      </c>
    </row>
    <row r="36" spans="1:16" ht="33" customHeight="1" x14ac:dyDescent="0.25">
      <c r="A36" s="11" t="str">
        <f>'Bid Schedule B'!A48</f>
        <v>0029</v>
      </c>
      <c r="B36" s="57" t="str">
        <f>'Bid Schedule B'!B48</f>
        <v>Surface Preparation - Remove Existing Markings
(Item P-620)</v>
      </c>
      <c r="C36" s="59">
        <f>'Bid Schedule B'!C48</f>
        <v>3200</v>
      </c>
      <c r="D36" s="11" t="str">
        <f>'Bid Schedule B'!D48</f>
        <v>SF</v>
      </c>
      <c r="E36" s="26">
        <v>4.5</v>
      </c>
      <c r="F36" s="27">
        <f t="shared" si="0"/>
        <v>14400</v>
      </c>
      <c r="G36" s="26">
        <v>1.05</v>
      </c>
      <c r="H36" s="27">
        <f t="shared" si="1"/>
        <v>3360</v>
      </c>
      <c r="I36" s="26">
        <v>1.05</v>
      </c>
      <c r="J36" s="27">
        <f t="shared" si="2"/>
        <v>3360</v>
      </c>
      <c r="K36" s="26">
        <v>1</v>
      </c>
      <c r="L36" s="27">
        <f t="shared" si="3"/>
        <v>3200</v>
      </c>
      <c r="M36" s="26">
        <v>1</v>
      </c>
      <c r="N36" s="27">
        <f t="shared" si="4"/>
        <v>3200</v>
      </c>
      <c r="O36" s="26">
        <v>2</v>
      </c>
      <c r="P36" s="27">
        <f t="shared" si="6"/>
        <v>6400</v>
      </c>
    </row>
    <row r="37" spans="1:16" ht="33" customHeight="1" x14ac:dyDescent="0.25">
      <c r="A37" s="11" t="str">
        <f>'Bid Schedule B'!A49</f>
        <v>0030</v>
      </c>
      <c r="B37" s="57" t="str">
        <f>'Bid Schedule B'!B49</f>
        <v>Marking
(Item P-620)</v>
      </c>
      <c r="C37" s="59">
        <f>'Bid Schedule B'!C49</f>
        <v>5725</v>
      </c>
      <c r="D37" s="11" t="str">
        <f>'Bid Schedule B'!D49</f>
        <v>SF</v>
      </c>
      <c r="E37" s="26">
        <v>2</v>
      </c>
      <c r="F37" s="27">
        <f t="shared" si="0"/>
        <v>11450</v>
      </c>
      <c r="G37" s="26">
        <v>1.95</v>
      </c>
      <c r="H37" s="27">
        <f t="shared" si="1"/>
        <v>11163.75</v>
      </c>
      <c r="I37" s="26">
        <v>1.98</v>
      </c>
      <c r="J37" s="27">
        <f t="shared" si="2"/>
        <v>11335.5</v>
      </c>
      <c r="K37" s="26">
        <v>1.25</v>
      </c>
      <c r="L37" s="27">
        <f t="shared" si="3"/>
        <v>7156.25</v>
      </c>
      <c r="M37" s="26">
        <v>2</v>
      </c>
      <c r="N37" s="27">
        <f t="shared" si="4"/>
        <v>11450</v>
      </c>
      <c r="O37" s="26">
        <v>1</v>
      </c>
      <c r="P37" s="27">
        <f t="shared" si="6"/>
        <v>5725</v>
      </c>
    </row>
    <row r="38" spans="1:16" ht="33" customHeight="1" x14ac:dyDescent="0.25">
      <c r="A38" s="11" t="str">
        <f>'Bid Schedule B'!A50</f>
        <v>0031</v>
      </c>
      <c r="B38" s="57" t="str">
        <f>'Bid Schedule B'!B50</f>
        <v>Reflective Media
(Item P-620)</v>
      </c>
      <c r="C38" s="59">
        <f>'Bid Schedule B'!C50</f>
        <v>250</v>
      </c>
      <c r="D38" s="11" t="str">
        <f>'Bid Schedule B'!D50</f>
        <v>LB</v>
      </c>
      <c r="E38" s="26">
        <v>0.6</v>
      </c>
      <c r="F38" s="27">
        <f t="shared" si="0"/>
        <v>150</v>
      </c>
      <c r="G38" s="26">
        <v>0.55000000000000004</v>
      </c>
      <c r="H38" s="27">
        <f t="shared" si="1"/>
        <v>137.5</v>
      </c>
      <c r="I38" s="26">
        <v>0.56000000000000005</v>
      </c>
      <c r="J38" s="27">
        <f t="shared" si="2"/>
        <v>140</v>
      </c>
      <c r="K38" s="26">
        <v>0.65</v>
      </c>
      <c r="L38" s="27">
        <f t="shared" si="3"/>
        <v>162.5</v>
      </c>
      <c r="M38" s="26">
        <v>0.6</v>
      </c>
      <c r="N38" s="27">
        <f t="shared" si="4"/>
        <v>150</v>
      </c>
      <c r="O38" s="26">
        <v>3.5</v>
      </c>
      <c r="P38" s="27">
        <f t="shared" si="6"/>
        <v>875</v>
      </c>
    </row>
    <row r="39" spans="1:16" ht="33" customHeight="1" x14ac:dyDescent="0.25">
      <c r="A39" s="11" t="str">
        <f>'Bid Schedule B'!A51</f>
        <v>0032</v>
      </c>
      <c r="B39" s="57" t="str">
        <f>'Bid Schedule B'!B51</f>
        <v>Temporary Runway and Taxiway Marking
(Item P-620)</v>
      </c>
      <c r="C39" s="59">
        <f>'Bid Schedule B'!C51</f>
        <v>15725</v>
      </c>
      <c r="D39" s="11" t="str">
        <f>'Bid Schedule B'!D51</f>
        <v>SF</v>
      </c>
      <c r="E39" s="26">
        <v>0.6</v>
      </c>
      <c r="F39" s="27">
        <f t="shared" si="0"/>
        <v>9435</v>
      </c>
      <c r="G39" s="26">
        <v>0.55000000000000004</v>
      </c>
      <c r="H39" s="27">
        <f t="shared" si="1"/>
        <v>8648.75</v>
      </c>
      <c r="I39" s="26">
        <v>0.56000000000000005</v>
      </c>
      <c r="J39" s="27">
        <f t="shared" si="2"/>
        <v>8806</v>
      </c>
      <c r="K39" s="26">
        <v>1.4</v>
      </c>
      <c r="L39" s="27">
        <f t="shared" si="3"/>
        <v>22015</v>
      </c>
      <c r="M39" s="26">
        <v>0.6</v>
      </c>
      <c r="N39" s="27">
        <f t="shared" si="4"/>
        <v>9435</v>
      </c>
      <c r="O39" s="26">
        <v>1.25</v>
      </c>
      <c r="P39" s="27">
        <f t="shared" si="6"/>
        <v>19656.25</v>
      </c>
    </row>
    <row r="40" spans="1:16" ht="33" customHeight="1" x14ac:dyDescent="0.25">
      <c r="A40" s="11" t="str">
        <f>'Bid Schedule B'!A52</f>
        <v>0033</v>
      </c>
      <c r="B40" s="57" t="str">
        <f>'Bid Schedule B'!B52</f>
        <v>12-Inch STS 
(Item D-701)</v>
      </c>
      <c r="C40" s="59">
        <f>'Bid Schedule B'!C52</f>
        <v>160</v>
      </c>
      <c r="D40" s="11" t="str">
        <f>'Bid Schedule B'!D52</f>
        <v>LF</v>
      </c>
      <c r="E40" s="26">
        <v>60</v>
      </c>
      <c r="F40" s="27">
        <f t="shared" si="0"/>
        <v>9600</v>
      </c>
      <c r="G40" s="26">
        <v>110</v>
      </c>
      <c r="H40" s="27">
        <f t="shared" si="1"/>
        <v>17600</v>
      </c>
      <c r="I40" s="26">
        <v>78</v>
      </c>
      <c r="J40" s="27">
        <f t="shared" si="2"/>
        <v>12480</v>
      </c>
      <c r="K40" s="26">
        <v>65</v>
      </c>
      <c r="L40" s="27">
        <f t="shared" si="3"/>
        <v>10400</v>
      </c>
      <c r="M40" s="26">
        <v>60</v>
      </c>
      <c r="N40" s="27">
        <f t="shared" si="4"/>
        <v>9600</v>
      </c>
      <c r="O40" s="26">
        <v>80</v>
      </c>
      <c r="P40" s="27">
        <f t="shared" si="6"/>
        <v>12800</v>
      </c>
    </row>
    <row r="41" spans="1:16" ht="33" customHeight="1" x14ac:dyDescent="0.25">
      <c r="A41" s="11" t="str">
        <f>'Bid Schedule B'!A53</f>
        <v>0034</v>
      </c>
      <c r="B41" s="57" t="str">
        <f>'Bid Schedule B'!B53</f>
        <v>15-Inch STS 
(Item D-701)</v>
      </c>
      <c r="C41" s="59">
        <f>'Bid Schedule B'!C53</f>
        <v>102</v>
      </c>
      <c r="D41" s="11" t="str">
        <f>'Bid Schedule B'!D53</f>
        <v>LF</v>
      </c>
      <c r="E41" s="26">
        <v>110</v>
      </c>
      <c r="F41" s="27">
        <f t="shared" si="0"/>
        <v>11220</v>
      </c>
      <c r="G41" s="26">
        <v>110</v>
      </c>
      <c r="H41" s="27">
        <f t="shared" si="1"/>
        <v>11220</v>
      </c>
      <c r="I41" s="26">
        <v>100</v>
      </c>
      <c r="J41" s="27">
        <f t="shared" si="2"/>
        <v>10200</v>
      </c>
      <c r="K41" s="26">
        <v>195</v>
      </c>
      <c r="L41" s="27">
        <f t="shared" si="3"/>
        <v>19890</v>
      </c>
      <c r="M41" s="26">
        <v>85</v>
      </c>
      <c r="N41" s="27">
        <f t="shared" si="4"/>
        <v>8670</v>
      </c>
      <c r="O41" s="26">
        <v>120</v>
      </c>
      <c r="P41" s="27">
        <f t="shared" si="6"/>
        <v>12240</v>
      </c>
    </row>
    <row r="42" spans="1:16" ht="33" customHeight="1" x14ac:dyDescent="0.25">
      <c r="A42" s="11" t="str">
        <f>'Bid Schedule B'!A54</f>
        <v>0035</v>
      </c>
      <c r="B42" s="57" t="str">
        <f>'Bid Schedule B'!B54</f>
        <v>36-Inch STS 
(Item D-701)</v>
      </c>
      <c r="C42" s="59">
        <f>'Bid Schedule B'!C54</f>
        <v>925</v>
      </c>
      <c r="D42" s="11" t="str">
        <f>'Bid Schedule B'!D54</f>
        <v>LF</v>
      </c>
      <c r="E42" s="26">
        <v>230</v>
      </c>
      <c r="F42" s="27">
        <f t="shared" si="0"/>
        <v>212750</v>
      </c>
      <c r="G42" s="26">
        <v>270</v>
      </c>
      <c r="H42" s="27">
        <f t="shared" si="1"/>
        <v>249750</v>
      </c>
      <c r="I42" s="26">
        <v>290</v>
      </c>
      <c r="J42" s="27">
        <f t="shared" si="2"/>
        <v>268250</v>
      </c>
      <c r="K42" s="26">
        <v>360</v>
      </c>
      <c r="L42" s="27">
        <f t="shared" si="3"/>
        <v>333000</v>
      </c>
      <c r="M42" s="26">
        <v>355</v>
      </c>
      <c r="N42" s="27">
        <f t="shared" si="4"/>
        <v>328375</v>
      </c>
      <c r="O42" s="26">
        <v>250</v>
      </c>
      <c r="P42" s="27">
        <f t="shared" si="6"/>
        <v>231250</v>
      </c>
    </row>
    <row r="43" spans="1:16" ht="33" customHeight="1" x14ac:dyDescent="0.25">
      <c r="A43" s="11" t="str">
        <f>'Bid Schedule B'!A55</f>
        <v>0036</v>
      </c>
      <c r="B43" s="57" t="str">
        <f>'Bid Schedule B'!B55</f>
        <v>60-Inch Manhole
(Item D-751)</v>
      </c>
      <c r="C43" s="59">
        <f>'Bid Schedule B'!C55</f>
        <v>4</v>
      </c>
      <c r="D43" s="11" t="str">
        <f>'Bid Schedule B'!D55</f>
        <v>Each</v>
      </c>
      <c r="E43" s="26">
        <v>25000</v>
      </c>
      <c r="F43" s="27">
        <f t="shared" si="0"/>
        <v>100000</v>
      </c>
      <c r="G43" s="26">
        <v>11400</v>
      </c>
      <c r="H43" s="27">
        <f t="shared" si="1"/>
        <v>45600</v>
      </c>
      <c r="I43" s="26">
        <v>25600</v>
      </c>
      <c r="J43" s="27">
        <f t="shared" si="2"/>
        <v>102400</v>
      </c>
      <c r="K43" s="26">
        <v>8000</v>
      </c>
      <c r="L43" s="27">
        <f t="shared" si="3"/>
        <v>32000</v>
      </c>
      <c r="M43" s="26">
        <v>11000</v>
      </c>
      <c r="N43" s="27">
        <f t="shared" si="4"/>
        <v>44000</v>
      </c>
      <c r="O43" s="26">
        <v>9700</v>
      </c>
      <c r="P43" s="27">
        <f t="shared" si="6"/>
        <v>38800</v>
      </c>
    </row>
    <row r="44" spans="1:16" ht="33" customHeight="1" x14ac:dyDescent="0.25">
      <c r="A44" s="11" t="str">
        <f>'Bid Schedule B'!A56</f>
        <v>0037</v>
      </c>
      <c r="B44" s="57" t="str">
        <f>'Bid Schedule B'!B56</f>
        <v>72-Inch Manhole
(Item D-751)</v>
      </c>
      <c r="C44" s="59">
        <f>'Bid Schedule B'!C56</f>
        <v>1</v>
      </c>
      <c r="D44" s="11" t="str">
        <f>'Bid Schedule B'!D56</f>
        <v>Each</v>
      </c>
      <c r="E44" s="26">
        <v>27000</v>
      </c>
      <c r="F44" s="27">
        <f t="shared" si="0"/>
        <v>27000</v>
      </c>
      <c r="G44" s="26">
        <v>15000</v>
      </c>
      <c r="H44" s="27">
        <f t="shared" si="1"/>
        <v>15000</v>
      </c>
      <c r="I44" s="26">
        <v>27500</v>
      </c>
      <c r="J44" s="27">
        <f t="shared" si="2"/>
        <v>27500</v>
      </c>
      <c r="K44" s="26">
        <v>14000</v>
      </c>
      <c r="L44" s="27">
        <f t="shared" si="3"/>
        <v>14000</v>
      </c>
      <c r="M44" s="26">
        <v>14000</v>
      </c>
      <c r="N44" s="27">
        <f t="shared" si="4"/>
        <v>14000</v>
      </c>
      <c r="O44" s="26">
        <v>15700</v>
      </c>
      <c r="P44" s="27">
        <f t="shared" si="6"/>
        <v>15700</v>
      </c>
    </row>
    <row r="45" spans="1:16" ht="33" customHeight="1" x14ac:dyDescent="0.25">
      <c r="A45" s="11" t="str">
        <f>'Bid Schedule B'!A57</f>
        <v>0038</v>
      </c>
      <c r="B45" s="57" t="str">
        <f>'Bid Schedule B'!B57</f>
        <v>Catch Basins
(Item D-751)</v>
      </c>
      <c r="C45" s="59">
        <f>'Bid Schedule B'!C57</f>
        <v>2</v>
      </c>
      <c r="D45" s="11" t="str">
        <f>'Bid Schedule B'!D57</f>
        <v>Each</v>
      </c>
      <c r="E45" s="26">
        <v>5200</v>
      </c>
      <c r="F45" s="27">
        <f t="shared" si="0"/>
        <v>10400</v>
      </c>
      <c r="G45" s="26">
        <v>5690</v>
      </c>
      <c r="H45" s="27">
        <f t="shared" si="1"/>
        <v>11380</v>
      </c>
      <c r="I45" s="26">
        <v>6600</v>
      </c>
      <c r="J45" s="27">
        <f t="shared" si="2"/>
        <v>13200</v>
      </c>
      <c r="K45" s="26">
        <v>1800</v>
      </c>
      <c r="L45" s="27">
        <f t="shared" si="3"/>
        <v>3600</v>
      </c>
      <c r="M45" s="26">
        <v>5000</v>
      </c>
      <c r="N45" s="27">
        <f t="shared" si="4"/>
        <v>10000</v>
      </c>
      <c r="O45" s="26">
        <v>5000</v>
      </c>
      <c r="P45" s="27">
        <f t="shared" si="6"/>
        <v>10000</v>
      </c>
    </row>
    <row r="46" spans="1:16" ht="33" customHeight="1" x14ac:dyDescent="0.25">
      <c r="A46" s="11" t="str">
        <f>'Bid Schedule B'!A58</f>
        <v>0039</v>
      </c>
      <c r="B46" s="57" t="str">
        <f>'Bid Schedule B'!B58</f>
        <v>Connection to Existing Storm Drainage System
(Section 312300)</v>
      </c>
      <c r="C46" s="59">
        <f>'Bid Schedule B'!C58</f>
        <v>4</v>
      </c>
      <c r="D46" s="11" t="str">
        <f>'Bid Schedule B'!D58</f>
        <v>Each</v>
      </c>
      <c r="E46" s="26">
        <v>2700</v>
      </c>
      <c r="F46" s="27">
        <f t="shared" si="0"/>
        <v>10800</v>
      </c>
      <c r="G46" s="26">
        <v>1200</v>
      </c>
      <c r="H46" s="27">
        <f t="shared" si="1"/>
        <v>4800</v>
      </c>
      <c r="I46" s="26">
        <v>2400</v>
      </c>
      <c r="J46" s="27">
        <f t="shared" si="2"/>
        <v>9600</v>
      </c>
      <c r="K46" s="26">
        <v>1300</v>
      </c>
      <c r="L46" s="27">
        <f t="shared" si="3"/>
        <v>5200</v>
      </c>
      <c r="M46" s="26">
        <v>3000</v>
      </c>
      <c r="N46" s="27">
        <f t="shared" si="4"/>
        <v>12000</v>
      </c>
      <c r="O46" s="26">
        <v>2500</v>
      </c>
      <c r="P46" s="27">
        <f t="shared" si="6"/>
        <v>10000</v>
      </c>
    </row>
    <row r="47" spans="1:16" ht="33" customHeight="1" x14ac:dyDescent="0.25">
      <c r="A47" s="11" t="str">
        <f>'Bid Schedule B'!A59</f>
        <v>0040</v>
      </c>
      <c r="B47" s="57" t="str">
        <f>'Bid Schedule B'!B59</f>
        <v>Existing Electrical Vault Adjustment to Grade 
(Section 312300)</v>
      </c>
      <c r="C47" s="59">
        <f>'Bid Schedule B'!C59</f>
        <v>2</v>
      </c>
      <c r="D47" s="11" t="str">
        <f>'Bid Schedule B'!D59</f>
        <v>Each</v>
      </c>
      <c r="E47" s="26">
        <v>2100</v>
      </c>
      <c r="F47" s="27">
        <f t="shared" si="0"/>
        <v>4200</v>
      </c>
      <c r="G47" s="26">
        <v>1300</v>
      </c>
      <c r="H47" s="27">
        <f t="shared" si="1"/>
        <v>2600</v>
      </c>
      <c r="I47" s="26">
        <v>2000</v>
      </c>
      <c r="J47" s="27">
        <f t="shared" si="2"/>
        <v>4000</v>
      </c>
      <c r="K47" s="26">
        <v>550</v>
      </c>
      <c r="L47" s="27">
        <f t="shared" si="3"/>
        <v>1100</v>
      </c>
      <c r="M47" s="26">
        <v>2000</v>
      </c>
      <c r="N47" s="27">
        <f t="shared" si="4"/>
        <v>4000</v>
      </c>
      <c r="O47" s="26">
        <v>3500</v>
      </c>
      <c r="P47" s="27">
        <f t="shared" si="6"/>
        <v>7000</v>
      </c>
    </row>
    <row r="48" spans="1:16" ht="33" customHeight="1" x14ac:dyDescent="0.25">
      <c r="A48" s="11" t="str">
        <f>'Bid Schedule B'!A60</f>
        <v>0041</v>
      </c>
      <c r="B48" s="57" t="str">
        <f>'Bid Schedule B'!B60</f>
        <v>Remove Existing Manhole Flat Top and Upgrade to Aircraft Rated Structure (Section 312300)</v>
      </c>
      <c r="C48" s="59">
        <f>'Bid Schedule B'!C60</f>
        <v>1</v>
      </c>
      <c r="D48" s="11" t="str">
        <f>'Bid Schedule B'!D60</f>
        <v>Each</v>
      </c>
      <c r="E48" s="26">
        <v>4000</v>
      </c>
      <c r="F48" s="27">
        <f t="shared" si="0"/>
        <v>4000</v>
      </c>
      <c r="G48" s="26">
        <v>3210</v>
      </c>
      <c r="H48" s="27">
        <f t="shared" si="1"/>
        <v>3210</v>
      </c>
      <c r="I48" s="26">
        <v>5400</v>
      </c>
      <c r="J48" s="27">
        <f t="shared" si="2"/>
        <v>5400</v>
      </c>
      <c r="K48" s="26">
        <v>1500</v>
      </c>
      <c r="L48" s="27">
        <f t="shared" si="3"/>
        <v>1500</v>
      </c>
      <c r="M48" s="26">
        <v>800</v>
      </c>
      <c r="N48" s="27">
        <f t="shared" si="4"/>
        <v>800</v>
      </c>
      <c r="O48" s="26">
        <v>2500</v>
      </c>
      <c r="P48" s="27">
        <f t="shared" si="6"/>
        <v>2500</v>
      </c>
    </row>
    <row r="49" spans="1:16" ht="33" customHeight="1" x14ac:dyDescent="0.25">
      <c r="A49" s="11" t="str">
        <f>'Bid Schedule B'!A61</f>
        <v>0042</v>
      </c>
      <c r="B49" s="57" t="str">
        <f>'Bid Schedule B'!B61</f>
        <v>General Electrical Removal
(Section 260500)</v>
      </c>
      <c r="C49" s="59">
        <f>'Bid Schedule B'!C61</f>
        <v>1</v>
      </c>
      <c r="D49" s="11" t="str">
        <f>'Bid Schedule B'!D61</f>
        <v>LS</v>
      </c>
      <c r="E49" s="26">
        <v>5000</v>
      </c>
      <c r="F49" s="27">
        <f t="shared" si="0"/>
        <v>5000</v>
      </c>
      <c r="G49" s="26">
        <v>10000</v>
      </c>
      <c r="H49" s="27">
        <f t="shared" si="1"/>
        <v>10000</v>
      </c>
      <c r="I49" s="26">
        <v>3550</v>
      </c>
      <c r="J49" s="27">
        <f t="shared" si="2"/>
        <v>3550</v>
      </c>
      <c r="K49" s="26">
        <v>10500</v>
      </c>
      <c r="L49" s="27">
        <f t="shared" si="3"/>
        <v>10500</v>
      </c>
      <c r="M49" s="26">
        <v>3500</v>
      </c>
      <c r="N49" s="27">
        <f t="shared" si="4"/>
        <v>3500</v>
      </c>
      <c r="O49" s="26">
        <v>12500</v>
      </c>
      <c r="P49" s="27">
        <f t="shared" si="6"/>
        <v>12500</v>
      </c>
    </row>
    <row r="50" spans="1:16" ht="33" customHeight="1" x14ac:dyDescent="0.25">
      <c r="A50" s="11" t="str">
        <f>'Bid Schedule B'!A62</f>
        <v>0043</v>
      </c>
      <c r="B50" s="57" t="str">
        <f>'Bid Schedule B'!B62</f>
        <v>Asphalt Pavement Removal - 16-Inch Depth
(Item P-101)</v>
      </c>
      <c r="C50" s="59">
        <f>'Bid Schedule B'!C62</f>
        <v>1350</v>
      </c>
      <c r="D50" s="11" t="str">
        <f>'Bid Schedule B'!D62</f>
        <v>SY</v>
      </c>
      <c r="E50" s="26">
        <v>13</v>
      </c>
      <c r="F50" s="27">
        <f t="shared" si="0"/>
        <v>17550</v>
      </c>
      <c r="G50" s="26"/>
      <c r="H50" s="27">
        <v>10800</v>
      </c>
      <c r="I50" s="26">
        <v>14.5</v>
      </c>
      <c r="J50" s="27">
        <f t="shared" si="2"/>
        <v>19575</v>
      </c>
      <c r="K50" s="26">
        <v>9</v>
      </c>
      <c r="L50" s="27">
        <f t="shared" si="3"/>
        <v>12150</v>
      </c>
      <c r="M50" s="26">
        <v>9</v>
      </c>
      <c r="N50" s="27">
        <f t="shared" si="4"/>
        <v>12150</v>
      </c>
      <c r="O50" s="26">
        <v>8</v>
      </c>
      <c r="P50" s="27">
        <f t="shared" si="6"/>
        <v>10800</v>
      </c>
    </row>
    <row r="51" spans="1:16" ht="27.75" customHeight="1" x14ac:dyDescent="0.25">
      <c r="A51" s="51"/>
      <c r="B51" s="52" t="str">
        <f>'Bid Schedule B'!B63</f>
        <v>Total Amount Bid Schedule B</v>
      </c>
      <c r="C51" s="38"/>
      <c r="D51" s="22">
        <f>'Bid Schedule B'!D63</f>
        <v>0</v>
      </c>
      <c r="E51" s="28"/>
      <c r="F51" s="28">
        <f>SUM(F8:F50)</f>
        <v>4832397.5</v>
      </c>
      <c r="G51" s="28"/>
      <c r="H51" s="28">
        <f>SUM(H8:H50)</f>
        <v>4509067.7</v>
      </c>
      <c r="I51" s="28"/>
      <c r="J51" s="28">
        <f>SUM(J8:J50)</f>
        <v>4770589</v>
      </c>
      <c r="K51" s="28"/>
      <c r="L51" s="28">
        <f>SUM(L8:L50)</f>
        <v>4533024</v>
      </c>
      <c r="M51" s="28"/>
      <c r="N51" s="28">
        <f>SUM(N8:N50)</f>
        <v>4115162.5</v>
      </c>
      <c r="O51" s="28"/>
      <c r="P51" s="28">
        <f>SUM(P8:P50)</f>
        <v>3795745.75</v>
      </c>
    </row>
    <row r="52" spans="1:16" ht="27.75" customHeight="1" x14ac:dyDescent="0.25">
      <c r="A52" s="51"/>
      <c r="B52" s="58" t="s">
        <v>170</v>
      </c>
      <c r="C52" s="38"/>
      <c r="D52" s="22">
        <f>'Bid Schedule B'!D64</f>
        <v>0</v>
      </c>
      <c r="E52" s="28"/>
      <c r="F52" s="28">
        <f>SUM('Bid Tab Schedule A'!F74,'Bid Tab Schedule B'!F51)</f>
        <v>10177155.300000001</v>
      </c>
      <c r="G52" s="28"/>
      <c r="H52" s="28">
        <f>SUM('Bid Tab Schedule A'!H74,'Bid Tab Schedule B'!H51)</f>
        <v>9093272.6999999993</v>
      </c>
      <c r="I52" s="28"/>
      <c r="J52" s="28">
        <f>SUM('Bid Tab Schedule A'!J74,'Bid Tab Schedule B'!J51)</f>
        <v>10558558</v>
      </c>
      <c r="K52" s="28"/>
      <c r="L52" s="28">
        <f>SUM('Bid Tab Schedule A'!L74,'Bid Tab Schedule B'!L51)</f>
        <v>9596902.2200000007</v>
      </c>
      <c r="M52" s="28"/>
      <c r="N52" s="28">
        <f>SUM('Bid Tab Schedule A'!N74,'Bid Tab Schedule B'!N51)</f>
        <v>8588438</v>
      </c>
      <c r="O52" s="28"/>
      <c r="P52" s="28">
        <f>SUM('Bid Tab Schedule A'!P74,'Bid Tab Schedule B'!P51)</f>
        <v>8356606.25</v>
      </c>
    </row>
    <row r="53" spans="1:16" x14ac:dyDescent="0.25">
      <c r="A53" s="11"/>
      <c r="B53" s="11"/>
      <c r="C53" s="11"/>
      <c r="D53" s="11"/>
    </row>
    <row r="54" spans="1:16" x14ac:dyDescent="0.25">
      <c r="A54" s="11"/>
      <c r="B54" s="11"/>
      <c r="C54" s="11"/>
      <c r="D54" s="11"/>
    </row>
    <row r="55" spans="1:16" x14ac:dyDescent="0.25">
      <c r="A55" s="11"/>
      <c r="B55" s="11"/>
      <c r="C55" s="11"/>
      <c r="D55" s="11"/>
    </row>
    <row r="56" spans="1:16" x14ac:dyDescent="0.25">
      <c r="A56" s="11"/>
      <c r="B56" s="11"/>
      <c r="C56" s="11"/>
      <c r="D56" s="11"/>
    </row>
    <row r="57" spans="1:16" x14ac:dyDescent="0.25">
      <c r="A57" s="11"/>
      <c r="B57" s="11"/>
      <c r="C57" s="11"/>
      <c r="D57" s="11"/>
    </row>
    <row r="58" spans="1:16" x14ac:dyDescent="0.25">
      <c r="A58" s="11"/>
      <c r="B58" s="11"/>
      <c r="C58" s="11"/>
      <c r="D58" s="11"/>
    </row>
    <row r="59" spans="1:16" x14ac:dyDescent="0.25">
      <c r="A59" s="11"/>
      <c r="B59" s="11"/>
      <c r="C59" s="11"/>
      <c r="D59" s="11"/>
    </row>
    <row r="60" spans="1:16" x14ac:dyDescent="0.25">
      <c r="A60" s="11"/>
      <c r="B60" s="11"/>
      <c r="C60" s="11"/>
      <c r="D60" s="11"/>
    </row>
    <row r="61" spans="1:16" x14ac:dyDescent="0.25">
      <c r="A61" s="11"/>
      <c r="B61" s="11"/>
      <c r="C61" s="11"/>
      <c r="D61" s="11"/>
    </row>
    <row r="62" spans="1:16" x14ac:dyDescent="0.25">
      <c r="A62" s="11"/>
      <c r="B62" s="11"/>
      <c r="C62" s="11"/>
      <c r="D62" s="11"/>
    </row>
    <row r="63" spans="1:16" x14ac:dyDescent="0.25">
      <c r="A63" s="11"/>
      <c r="B63" s="11"/>
      <c r="C63" s="11"/>
      <c r="D63" s="11"/>
    </row>
    <row r="64" spans="1:16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1" spans="1:4" x14ac:dyDescent="0.25">
      <c r="A101" s="11"/>
      <c r="B101" s="11"/>
      <c r="C101" s="11"/>
      <c r="D101" s="11"/>
    </row>
    <row r="102" spans="1:4" x14ac:dyDescent="0.25">
      <c r="A102" s="11"/>
      <c r="B102" s="11"/>
      <c r="C102" s="11"/>
      <c r="D102" s="11"/>
    </row>
    <row r="103" spans="1:4" x14ac:dyDescent="0.25">
      <c r="A103" s="11"/>
      <c r="B103" s="11"/>
      <c r="C103" s="11"/>
      <c r="D103" s="11"/>
    </row>
    <row r="104" spans="1:4" x14ac:dyDescent="0.25">
      <c r="A104" s="11"/>
      <c r="B104" s="11"/>
      <c r="C104" s="11"/>
      <c r="D104" s="11"/>
    </row>
    <row r="105" spans="1:4" x14ac:dyDescent="0.25">
      <c r="A105" s="11"/>
      <c r="B105" s="11"/>
      <c r="C105" s="11"/>
      <c r="D105" s="11"/>
    </row>
    <row r="106" spans="1:4" x14ac:dyDescent="0.25">
      <c r="A106" s="11"/>
      <c r="B106" s="11"/>
      <c r="C106" s="11"/>
      <c r="D106" s="11"/>
    </row>
    <row r="107" spans="1:4" x14ac:dyDescent="0.25">
      <c r="A107" s="11"/>
      <c r="B107" s="11"/>
      <c r="C107" s="11"/>
      <c r="D107" s="11"/>
    </row>
    <row r="108" spans="1:4" x14ac:dyDescent="0.25">
      <c r="A108" s="11"/>
      <c r="B108" s="11"/>
      <c r="C108" s="11"/>
      <c r="D108" s="11"/>
    </row>
    <row r="109" spans="1:4" x14ac:dyDescent="0.25">
      <c r="A109" s="11"/>
      <c r="B109" s="11"/>
      <c r="C109" s="11"/>
      <c r="D109" s="11"/>
    </row>
    <row r="110" spans="1:4" x14ac:dyDescent="0.25">
      <c r="A110" s="11"/>
      <c r="B110" s="11"/>
      <c r="C110" s="11"/>
      <c r="D110" s="11"/>
    </row>
    <row r="111" spans="1:4" x14ac:dyDescent="0.25">
      <c r="A111" s="11"/>
      <c r="B111" s="11"/>
      <c r="C111" s="11"/>
      <c r="D111" s="11"/>
    </row>
    <row r="112" spans="1:4" x14ac:dyDescent="0.25">
      <c r="A112" s="11"/>
      <c r="B112" s="11"/>
      <c r="C112" s="11"/>
      <c r="D112" s="11"/>
    </row>
    <row r="113" spans="1:4" x14ac:dyDescent="0.25">
      <c r="A113" s="11"/>
      <c r="B113" s="11"/>
      <c r="C113" s="11"/>
      <c r="D113" s="11"/>
    </row>
    <row r="114" spans="1:4" x14ac:dyDescent="0.25">
      <c r="A114" s="11"/>
      <c r="B114" s="11"/>
      <c r="C114" s="11"/>
      <c r="D114" s="11"/>
    </row>
    <row r="115" spans="1:4" x14ac:dyDescent="0.25">
      <c r="A115" s="11"/>
      <c r="B115" s="11"/>
      <c r="C115" s="11"/>
      <c r="D115" s="11"/>
    </row>
    <row r="116" spans="1:4" x14ac:dyDescent="0.25">
      <c r="A116" s="11"/>
      <c r="B116" s="11"/>
      <c r="C116" s="11"/>
      <c r="D116" s="11"/>
    </row>
    <row r="117" spans="1:4" x14ac:dyDescent="0.25">
      <c r="A117" s="11"/>
      <c r="B117" s="11"/>
      <c r="C117" s="11"/>
      <c r="D117" s="11"/>
    </row>
    <row r="118" spans="1:4" x14ac:dyDescent="0.25">
      <c r="A118" s="11"/>
      <c r="B118" s="11"/>
      <c r="C118" s="11"/>
      <c r="D118" s="11"/>
    </row>
    <row r="119" spans="1:4" x14ac:dyDescent="0.25">
      <c r="A119" s="11"/>
      <c r="B119" s="11"/>
      <c r="C119" s="11"/>
      <c r="D119" s="11"/>
    </row>
    <row r="120" spans="1:4" x14ac:dyDescent="0.25">
      <c r="A120" s="11"/>
      <c r="B120" s="11"/>
      <c r="C120" s="11"/>
      <c r="D120" s="11"/>
    </row>
    <row r="121" spans="1:4" x14ac:dyDescent="0.25">
      <c r="A121" s="11"/>
      <c r="B121" s="11"/>
      <c r="C121" s="11"/>
      <c r="D121" s="11"/>
    </row>
    <row r="122" spans="1:4" x14ac:dyDescent="0.25">
      <c r="A122" s="11"/>
      <c r="B122" s="11"/>
      <c r="C122" s="11"/>
      <c r="D122" s="11"/>
    </row>
    <row r="123" spans="1:4" x14ac:dyDescent="0.25">
      <c r="A123" s="11"/>
      <c r="B123" s="11"/>
      <c r="C123" s="11"/>
      <c r="D123" s="11"/>
    </row>
    <row r="124" spans="1:4" x14ac:dyDescent="0.25">
      <c r="A124" s="11"/>
      <c r="B124" s="11"/>
      <c r="C124" s="11"/>
      <c r="D124" s="11"/>
    </row>
    <row r="125" spans="1:4" x14ac:dyDescent="0.25">
      <c r="A125" s="11"/>
      <c r="B125" s="11"/>
      <c r="C125" s="11"/>
      <c r="D125" s="11"/>
    </row>
    <row r="126" spans="1:4" x14ac:dyDescent="0.25">
      <c r="A126" s="11"/>
      <c r="B126" s="11"/>
      <c r="C126" s="11"/>
      <c r="D126" s="11"/>
    </row>
    <row r="127" spans="1:4" x14ac:dyDescent="0.25">
      <c r="A127" s="11"/>
      <c r="B127" s="11"/>
      <c r="C127" s="11"/>
      <c r="D127" s="11"/>
    </row>
    <row r="128" spans="1:4" x14ac:dyDescent="0.25">
      <c r="A128" s="11"/>
      <c r="B128" s="11"/>
      <c r="C128" s="11"/>
      <c r="D128" s="11"/>
    </row>
    <row r="129" spans="1:4" x14ac:dyDescent="0.25">
      <c r="A129" s="11"/>
      <c r="B129" s="11"/>
      <c r="C129" s="11"/>
      <c r="D129" s="11"/>
    </row>
    <row r="130" spans="1:4" x14ac:dyDescent="0.25">
      <c r="A130" s="11"/>
      <c r="B130" s="11"/>
      <c r="C130" s="11"/>
      <c r="D130" s="11"/>
    </row>
    <row r="131" spans="1:4" x14ac:dyDescent="0.25">
      <c r="A131" s="11"/>
      <c r="B131" s="11"/>
      <c r="C131" s="11"/>
      <c r="D131" s="11"/>
    </row>
    <row r="132" spans="1:4" x14ac:dyDescent="0.25">
      <c r="A132" s="11"/>
      <c r="B132" s="11"/>
      <c r="C132" s="11"/>
      <c r="D132" s="11"/>
    </row>
    <row r="133" spans="1:4" x14ac:dyDescent="0.25">
      <c r="A133" s="11"/>
      <c r="B133" s="11"/>
      <c r="C133" s="11"/>
      <c r="D133" s="11"/>
    </row>
    <row r="134" spans="1:4" x14ac:dyDescent="0.25">
      <c r="A134" s="11"/>
      <c r="B134" s="11"/>
      <c r="C134" s="11"/>
      <c r="D134" s="11"/>
    </row>
    <row r="135" spans="1:4" x14ac:dyDescent="0.25">
      <c r="A135" s="11"/>
      <c r="B135" s="11"/>
      <c r="C135" s="11"/>
      <c r="D135" s="11"/>
    </row>
    <row r="136" spans="1:4" x14ac:dyDescent="0.25">
      <c r="A136" s="11"/>
      <c r="B136" s="11"/>
      <c r="C136" s="11"/>
      <c r="D136" s="11"/>
    </row>
    <row r="137" spans="1:4" x14ac:dyDescent="0.25">
      <c r="A137" s="11"/>
      <c r="B137" s="11"/>
      <c r="C137" s="11"/>
      <c r="D137" s="11"/>
    </row>
    <row r="138" spans="1:4" x14ac:dyDescent="0.25">
      <c r="A138" s="11"/>
      <c r="B138" s="11"/>
      <c r="C138" s="11"/>
      <c r="D138" s="11"/>
    </row>
    <row r="139" spans="1:4" x14ac:dyDescent="0.25">
      <c r="A139" s="11"/>
      <c r="B139" s="11"/>
      <c r="C139" s="11"/>
      <c r="D139" s="11"/>
    </row>
    <row r="140" spans="1:4" x14ac:dyDescent="0.25">
      <c r="A140" s="11"/>
      <c r="B140" s="11"/>
      <c r="C140" s="11"/>
      <c r="D140" s="11"/>
    </row>
    <row r="141" spans="1:4" x14ac:dyDescent="0.25">
      <c r="A141" s="11"/>
      <c r="B141" s="11"/>
      <c r="C141" s="11"/>
      <c r="D141" s="11"/>
    </row>
    <row r="142" spans="1:4" x14ac:dyDescent="0.25">
      <c r="A142" s="11"/>
      <c r="B142" s="11"/>
      <c r="C142" s="11"/>
      <c r="D142" s="11"/>
    </row>
    <row r="143" spans="1:4" x14ac:dyDescent="0.25">
      <c r="A143" s="11"/>
      <c r="B143" s="11"/>
      <c r="C143" s="11"/>
      <c r="D143" s="11"/>
    </row>
    <row r="144" spans="1:4" x14ac:dyDescent="0.25">
      <c r="A144" s="11"/>
      <c r="B144" s="11"/>
      <c r="C144" s="11"/>
      <c r="D144" s="11"/>
    </row>
    <row r="145" spans="1:4" x14ac:dyDescent="0.25">
      <c r="A145" s="11"/>
      <c r="B145" s="11"/>
      <c r="C145" s="11"/>
      <c r="D145" s="11"/>
    </row>
    <row r="146" spans="1:4" x14ac:dyDescent="0.25">
      <c r="A146" s="11"/>
      <c r="B146" s="11"/>
      <c r="C146" s="11"/>
      <c r="D146" s="11"/>
    </row>
    <row r="147" spans="1:4" x14ac:dyDescent="0.25">
      <c r="A147" s="11"/>
      <c r="B147" s="11"/>
      <c r="C147" s="11"/>
      <c r="D147" s="11"/>
    </row>
    <row r="148" spans="1:4" x14ac:dyDescent="0.25">
      <c r="A148" s="11"/>
      <c r="B148" s="11"/>
      <c r="C148" s="11"/>
      <c r="D148" s="11"/>
    </row>
    <row r="149" spans="1:4" x14ac:dyDescent="0.25">
      <c r="A149" s="11"/>
      <c r="B149" s="11"/>
      <c r="C149" s="11"/>
      <c r="D149" s="11"/>
    </row>
    <row r="150" spans="1:4" x14ac:dyDescent="0.25">
      <c r="A150" s="11"/>
      <c r="B150" s="11"/>
      <c r="C150" s="11"/>
      <c r="D150" s="11"/>
    </row>
    <row r="151" spans="1:4" x14ac:dyDescent="0.25">
      <c r="A151" s="11"/>
      <c r="B151" s="11"/>
      <c r="C151" s="11"/>
      <c r="D151" s="11"/>
    </row>
    <row r="152" spans="1:4" x14ac:dyDescent="0.25">
      <c r="A152" s="11"/>
      <c r="B152" s="11"/>
      <c r="C152" s="11"/>
      <c r="D152" s="11"/>
    </row>
    <row r="153" spans="1:4" x14ac:dyDescent="0.25">
      <c r="A153" s="11"/>
      <c r="B153" s="11"/>
      <c r="C153" s="11"/>
      <c r="D153" s="11"/>
    </row>
    <row r="154" spans="1:4" x14ac:dyDescent="0.25">
      <c r="A154" s="11"/>
      <c r="B154" s="11"/>
      <c r="C154" s="11"/>
      <c r="D154" s="11"/>
    </row>
    <row r="155" spans="1:4" x14ac:dyDescent="0.25">
      <c r="A155" s="11"/>
      <c r="B155" s="11"/>
      <c r="C155" s="11"/>
      <c r="D155" s="11"/>
    </row>
    <row r="156" spans="1:4" x14ac:dyDescent="0.25">
      <c r="A156" s="11"/>
      <c r="B156" s="11"/>
      <c r="C156" s="11"/>
      <c r="D156" s="11"/>
    </row>
    <row r="157" spans="1:4" x14ac:dyDescent="0.25">
      <c r="A157" s="11"/>
      <c r="B157" s="11"/>
      <c r="C157" s="11"/>
      <c r="D157" s="11"/>
    </row>
    <row r="158" spans="1:4" x14ac:dyDescent="0.25">
      <c r="A158" s="11"/>
      <c r="B158" s="11"/>
      <c r="C158" s="11"/>
      <c r="D158" s="11"/>
    </row>
    <row r="159" spans="1:4" x14ac:dyDescent="0.25">
      <c r="A159" s="11"/>
      <c r="B159" s="11"/>
      <c r="C159" s="11"/>
      <c r="D159" s="11"/>
    </row>
    <row r="160" spans="1:4" x14ac:dyDescent="0.25">
      <c r="A160" s="11"/>
      <c r="B160" s="11"/>
      <c r="C160" s="11"/>
      <c r="D160" s="11"/>
    </row>
    <row r="161" spans="1:4" x14ac:dyDescent="0.25">
      <c r="A161" s="11"/>
      <c r="B161" s="11"/>
      <c r="C161" s="11"/>
      <c r="D161" s="11"/>
    </row>
    <row r="162" spans="1:4" x14ac:dyDescent="0.25">
      <c r="A162" s="11"/>
      <c r="B162" s="11"/>
      <c r="C162" s="11"/>
      <c r="D162" s="11"/>
    </row>
    <row r="163" spans="1:4" x14ac:dyDescent="0.25">
      <c r="A163" s="11"/>
      <c r="B163" s="11"/>
      <c r="C163" s="11"/>
      <c r="D163" s="11"/>
    </row>
    <row r="164" spans="1:4" x14ac:dyDescent="0.25">
      <c r="A164" s="11"/>
      <c r="B164" s="11"/>
      <c r="C164" s="11"/>
      <c r="D164" s="11"/>
    </row>
    <row r="165" spans="1:4" x14ac:dyDescent="0.25">
      <c r="A165" s="11"/>
      <c r="B165" s="11"/>
      <c r="C165" s="11"/>
      <c r="D165" s="11"/>
    </row>
    <row r="166" spans="1:4" x14ac:dyDescent="0.25">
      <c r="A166" s="11"/>
      <c r="B166" s="11"/>
      <c r="C166" s="11"/>
      <c r="D166" s="11"/>
    </row>
    <row r="167" spans="1:4" x14ac:dyDescent="0.25">
      <c r="A167" s="11"/>
      <c r="B167" s="11"/>
      <c r="C167" s="11"/>
      <c r="D167" s="11"/>
    </row>
    <row r="168" spans="1:4" x14ac:dyDescent="0.25">
      <c r="A168" s="11"/>
      <c r="B168" s="11"/>
      <c r="C168" s="11"/>
      <c r="D168" s="11"/>
    </row>
    <row r="169" spans="1:4" x14ac:dyDescent="0.25">
      <c r="A169" s="11"/>
      <c r="B169" s="11"/>
      <c r="C169" s="11"/>
      <c r="D169" s="11"/>
    </row>
    <row r="170" spans="1:4" x14ac:dyDescent="0.25">
      <c r="A170" s="11"/>
      <c r="B170" s="11"/>
      <c r="C170" s="11"/>
      <c r="D170" s="11"/>
    </row>
    <row r="171" spans="1:4" x14ac:dyDescent="0.25">
      <c r="A171" s="11"/>
      <c r="B171" s="11"/>
      <c r="C171" s="11"/>
      <c r="D171" s="11"/>
    </row>
    <row r="172" spans="1:4" x14ac:dyDescent="0.25">
      <c r="A172" s="11"/>
      <c r="B172" s="11"/>
      <c r="C172" s="11"/>
      <c r="D172" s="11"/>
    </row>
    <row r="173" spans="1:4" x14ac:dyDescent="0.25">
      <c r="A173" s="11"/>
      <c r="B173" s="11"/>
      <c r="C173" s="11"/>
      <c r="D173" s="11"/>
    </row>
    <row r="174" spans="1:4" x14ac:dyDescent="0.25">
      <c r="A174" s="11"/>
      <c r="B174" s="11"/>
      <c r="C174" s="11"/>
      <c r="D174" s="11"/>
    </row>
    <row r="175" spans="1:4" x14ac:dyDescent="0.25">
      <c r="A175" s="11"/>
      <c r="B175" s="11"/>
      <c r="C175" s="11"/>
      <c r="D175" s="11"/>
    </row>
    <row r="176" spans="1:4" x14ac:dyDescent="0.25">
      <c r="A176" s="11"/>
      <c r="B176" s="11"/>
      <c r="C176" s="11"/>
      <c r="D176" s="11"/>
    </row>
    <row r="177" spans="1:4" x14ac:dyDescent="0.25">
      <c r="A177" s="11"/>
      <c r="B177" s="11"/>
      <c r="C177" s="11"/>
      <c r="D177" s="11"/>
    </row>
    <row r="178" spans="1:4" x14ac:dyDescent="0.25">
      <c r="A178" s="11"/>
      <c r="B178" s="11"/>
      <c r="C178" s="11"/>
      <c r="D178" s="11"/>
    </row>
    <row r="179" spans="1:4" x14ac:dyDescent="0.25">
      <c r="A179" s="11"/>
      <c r="B179" s="11"/>
      <c r="C179" s="11"/>
      <c r="D179" s="11"/>
    </row>
    <row r="180" spans="1:4" x14ac:dyDescent="0.25">
      <c r="A180" s="11"/>
      <c r="B180" s="11"/>
      <c r="C180" s="11"/>
      <c r="D180" s="11"/>
    </row>
    <row r="181" spans="1:4" x14ac:dyDescent="0.25">
      <c r="A181" s="11"/>
      <c r="B181" s="11"/>
      <c r="C181" s="11"/>
      <c r="D181" s="11"/>
    </row>
    <row r="182" spans="1:4" x14ac:dyDescent="0.25">
      <c r="A182" s="11"/>
      <c r="B182" s="11"/>
      <c r="C182" s="11"/>
      <c r="D182" s="11"/>
    </row>
    <row r="183" spans="1:4" x14ac:dyDescent="0.25">
      <c r="A183" s="11"/>
      <c r="B183" s="11"/>
      <c r="C183" s="11"/>
      <c r="D183" s="11"/>
    </row>
    <row r="184" spans="1:4" x14ac:dyDescent="0.25">
      <c r="A184" s="11"/>
      <c r="B184" s="11"/>
      <c r="C184" s="11"/>
      <c r="D184" s="11"/>
    </row>
    <row r="185" spans="1:4" x14ac:dyDescent="0.25">
      <c r="A185" s="11"/>
      <c r="B185" s="11"/>
      <c r="C185" s="11"/>
      <c r="D185" s="11"/>
    </row>
    <row r="186" spans="1:4" x14ac:dyDescent="0.25">
      <c r="A186" s="11"/>
      <c r="B186" s="11"/>
      <c r="C186" s="11"/>
      <c r="D186" s="11"/>
    </row>
    <row r="187" spans="1:4" x14ac:dyDescent="0.25">
      <c r="A187" s="11"/>
      <c r="B187" s="11"/>
      <c r="C187" s="11"/>
      <c r="D187" s="11"/>
    </row>
    <row r="188" spans="1:4" x14ac:dyDescent="0.25">
      <c r="A188" s="11"/>
      <c r="B188" s="11"/>
      <c r="C188" s="11"/>
      <c r="D188" s="11"/>
    </row>
    <row r="189" spans="1:4" x14ac:dyDescent="0.25">
      <c r="A189" s="11"/>
      <c r="B189" s="11"/>
      <c r="C189" s="11"/>
      <c r="D189" s="11"/>
    </row>
    <row r="190" spans="1:4" x14ac:dyDescent="0.25">
      <c r="A190" s="11"/>
      <c r="B190" s="11"/>
      <c r="C190" s="11"/>
      <c r="D190" s="11"/>
    </row>
    <row r="191" spans="1:4" x14ac:dyDescent="0.25">
      <c r="A191" s="11"/>
      <c r="B191" s="11"/>
      <c r="C191" s="11"/>
      <c r="D191" s="11"/>
    </row>
    <row r="192" spans="1:4" x14ac:dyDescent="0.25">
      <c r="A192" s="11"/>
      <c r="B192" s="11"/>
      <c r="C192" s="11"/>
      <c r="D192" s="11"/>
    </row>
    <row r="193" spans="1:4" x14ac:dyDescent="0.25">
      <c r="A193" s="11"/>
      <c r="B193" s="11"/>
      <c r="C193" s="11"/>
      <c r="D193" s="11"/>
    </row>
    <row r="194" spans="1:4" x14ac:dyDescent="0.25">
      <c r="A194" s="11"/>
      <c r="B194" s="11"/>
      <c r="C194" s="11"/>
      <c r="D194" s="11"/>
    </row>
    <row r="195" spans="1:4" x14ac:dyDescent="0.25">
      <c r="A195" s="11"/>
      <c r="B195" s="11"/>
      <c r="C195" s="11"/>
      <c r="D195" s="11"/>
    </row>
    <row r="196" spans="1:4" x14ac:dyDescent="0.25">
      <c r="A196" s="11"/>
      <c r="B196" s="11"/>
      <c r="C196" s="11"/>
      <c r="D196" s="11"/>
    </row>
    <row r="197" spans="1:4" x14ac:dyDescent="0.25">
      <c r="A197" s="11"/>
      <c r="B197" s="11"/>
      <c r="C197" s="11"/>
      <c r="D197" s="11"/>
    </row>
    <row r="198" spans="1:4" x14ac:dyDescent="0.25">
      <c r="A198" s="11"/>
      <c r="B198" s="11"/>
      <c r="C198" s="11"/>
      <c r="D198" s="11"/>
    </row>
    <row r="199" spans="1:4" x14ac:dyDescent="0.25">
      <c r="A199" s="11"/>
      <c r="B199" s="11"/>
      <c r="C199" s="11"/>
      <c r="D199" s="11"/>
    </row>
    <row r="200" spans="1:4" x14ac:dyDescent="0.25">
      <c r="A200" s="11"/>
      <c r="B200" s="11"/>
      <c r="C200" s="11"/>
      <c r="D200" s="11"/>
    </row>
    <row r="201" spans="1:4" x14ac:dyDescent="0.25">
      <c r="A201" s="11"/>
      <c r="B201" s="11"/>
      <c r="C201" s="11"/>
      <c r="D201" s="11"/>
    </row>
    <row r="202" spans="1:4" x14ac:dyDescent="0.25">
      <c r="A202" s="11"/>
      <c r="B202" s="11"/>
      <c r="C202" s="11"/>
      <c r="D202" s="11"/>
    </row>
    <row r="203" spans="1:4" x14ac:dyDescent="0.25">
      <c r="A203" s="11"/>
      <c r="B203" s="11"/>
      <c r="C203" s="11"/>
      <c r="D203" s="11"/>
    </row>
    <row r="204" spans="1:4" x14ac:dyDescent="0.25">
      <c r="A204" s="11"/>
      <c r="B204" s="11"/>
      <c r="C204" s="11"/>
      <c r="D204" s="11"/>
    </row>
    <row r="205" spans="1:4" x14ac:dyDescent="0.25">
      <c r="A205" s="11"/>
      <c r="B205" s="11"/>
      <c r="C205" s="11"/>
      <c r="D205" s="11"/>
    </row>
    <row r="206" spans="1:4" x14ac:dyDescent="0.25">
      <c r="A206" s="11"/>
      <c r="B206" s="11"/>
      <c r="C206" s="11"/>
      <c r="D206" s="11"/>
    </row>
    <row r="207" spans="1:4" x14ac:dyDescent="0.25">
      <c r="A207" s="11"/>
      <c r="B207" s="11"/>
      <c r="C207" s="11"/>
      <c r="D207" s="11"/>
    </row>
    <row r="208" spans="1:4" x14ac:dyDescent="0.25">
      <c r="A208" s="11"/>
      <c r="B208" s="11"/>
      <c r="C208" s="11"/>
      <c r="D208" s="11"/>
    </row>
    <row r="209" spans="1:4" x14ac:dyDescent="0.25">
      <c r="A209" s="11"/>
      <c r="B209" s="11"/>
      <c r="C209" s="11"/>
      <c r="D209" s="11"/>
    </row>
    <row r="210" spans="1:4" x14ac:dyDescent="0.25">
      <c r="A210" s="11"/>
      <c r="B210" s="11"/>
      <c r="C210" s="11"/>
      <c r="D210" s="11"/>
    </row>
    <row r="211" spans="1:4" x14ac:dyDescent="0.25">
      <c r="A211" s="11"/>
      <c r="B211" s="11"/>
      <c r="C211" s="11"/>
      <c r="D211" s="11"/>
    </row>
    <row r="212" spans="1:4" x14ac:dyDescent="0.25">
      <c r="A212" s="11"/>
      <c r="B212" s="11"/>
      <c r="C212" s="11"/>
      <c r="D212" s="11"/>
    </row>
    <row r="213" spans="1:4" x14ac:dyDescent="0.25">
      <c r="A213" s="11"/>
      <c r="B213" s="11"/>
      <c r="C213" s="11"/>
      <c r="D213" s="11"/>
    </row>
    <row r="214" spans="1:4" x14ac:dyDescent="0.25">
      <c r="A214" s="11"/>
      <c r="B214" s="11"/>
      <c r="C214" s="11"/>
      <c r="D214" s="11"/>
    </row>
    <row r="215" spans="1:4" x14ac:dyDescent="0.25">
      <c r="A215" s="11"/>
      <c r="B215" s="11"/>
      <c r="C215" s="11"/>
      <c r="D215" s="11"/>
    </row>
    <row r="216" spans="1:4" x14ac:dyDescent="0.25">
      <c r="A216" s="11"/>
      <c r="B216" s="11"/>
      <c r="C216" s="11"/>
      <c r="D216" s="11"/>
    </row>
    <row r="217" spans="1:4" x14ac:dyDescent="0.25">
      <c r="A217" s="11"/>
      <c r="B217" s="11"/>
      <c r="C217" s="11"/>
      <c r="D217" s="11"/>
    </row>
    <row r="218" spans="1:4" x14ac:dyDescent="0.25">
      <c r="A218" s="11"/>
      <c r="B218" s="11"/>
      <c r="C218" s="11"/>
      <c r="D218" s="11"/>
    </row>
    <row r="219" spans="1:4" x14ac:dyDescent="0.25">
      <c r="A219" s="11"/>
      <c r="B219" s="11"/>
      <c r="C219" s="11"/>
      <c r="D219" s="11"/>
    </row>
    <row r="220" spans="1:4" x14ac:dyDescent="0.25">
      <c r="A220" s="11"/>
      <c r="B220" s="11"/>
      <c r="C220" s="11"/>
      <c r="D220" s="11"/>
    </row>
    <row r="221" spans="1:4" x14ac:dyDescent="0.25">
      <c r="A221" s="11"/>
      <c r="B221" s="11"/>
      <c r="C221" s="11"/>
      <c r="D221" s="11"/>
    </row>
    <row r="222" spans="1:4" x14ac:dyDescent="0.25">
      <c r="A222" s="11"/>
      <c r="B222" s="11"/>
      <c r="C222" s="11"/>
      <c r="D222" s="11"/>
    </row>
    <row r="223" spans="1:4" x14ac:dyDescent="0.25">
      <c r="A223" s="11"/>
      <c r="B223" s="11"/>
      <c r="C223" s="11"/>
      <c r="D223" s="11"/>
    </row>
    <row r="224" spans="1:4" x14ac:dyDescent="0.25">
      <c r="A224" s="11"/>
      <c r="B224" s="11"/>
      <c r="C224" s="11"/>
      <c r="D224" s="11"/>
    </row>
    <row r="225" spans="1:4" x14ac:dyDescent="0.25">
      <c r="A225" s="11"/>
      <c r="B225" s="11"/>
      <c r="C225" s="11"/>
      <c r="D225" s="11"/>
    </row>
    <row r="226" spans="1:4" x14ac:dyDescent="0.25">
      <c r="A226" s="11"/>
      <c r="B226" s="11"/>
      <c r="C226" s="11"/>
      <c r="D226" s="11"/>
    </row>
    <row r="227" spans="1:4" x14ac:dyDescent="0.25">
      <c r="A227" s="11"/>
      <c r="B227" s="11"/>
      <c r="C227" s="11"/>
      <c r="D227" s="11"/>
    </row>
    <row r="228" spans="1:4" x14ac:dyDescent="0.25">
      <c r="A228" s="11"/>
      <c r="B228" s="11"/>
      <c r="C228" s="11"/>
      <c r="D228" s="11"/>
    </row>
    <row r="229" spans="1:4" x14ac:dyDescent="0.25">
      <c r="A229" s="11"/>
      <c r="B229" s="11"/>
      <c r="C229" s="11"/>
      <c r="D229" s="11"/>
    </row>
    <row r="230" spans="1:4" x14ac:dyDescent="0.25">
      <c r="A230" s="11"/>
      <c r="B230" s="11"/>
      <c r="C230" s="11"/>
      <c r="D230" s="11"/>
    </row>
    <row r="231" spans="1:4" x14ac:dyDescent="0.25">
      <c r="A231" s="11"/>
      <c r="B231" s="11"/>
      <c r="C231" s="11"/>
      <c r="D231" s="11"/>
    </row>
    <row r="232" spans="1:4" x14ac:dyDescent="0.25">
      <c r="A232" s="11"/>
      <c r="B232" s="11"/>
      <c r="C232" s="11"/>
      <c r="D232" s="11"/>
    </row>
    <row r="233" spans="1:4" x14ac:dyDescent="0.25">
      <c r="A233" s="11"/>
      <c r="B233" s="11"/>
      <c r="C233" s="11"/>
      <c r="D233" s="11"/>
    </row>
    <row r="234" spans="1:4" x14ac:dyDescent="0.25">
      <c r="A234" s="11"/>
      <c r="B234" s="11"/>
      <c r="C234" s="11"/>
      <c r="D234" s="11"/>
    </row>
    <row r="235" spans="1:4" x14ac:dyDescent="0.25">
      <c r="A235" s="11"/>
      <c r="B235" s="11"/>
      <c r="C235" s="11"/>
      <c r="D235" s="11"/>
    </row>
    <row r="236" spans="1:4" x14ac:dyDescent="0.25">
      <c r="A236" s="11"/>
      <c r="B236" s="11"/>
      <c r="C236" s="11"/>
      <c r="D236" s="11"/>
    </row>
    <row r="237" spans="1:4" x14ac:dyDescent="0.25">
      <c r="A237" s="11"/>
      <c r="B237" s="11"/>
      <c r="C237" s="11"/>
      <c r="D237" s="11"/>
    </row>
    <row r="238" spans="1:4" x14ac:dyDescent="0.25">
      <c r="A238" s="11"/>
      <c r="B238" s="11"/>
      <c r="C238" s="11"/>
      <c r="D238" s="11"/>
    </row>
    <row r="239" spans="1:4" x14ac:dyDescent="0.25">
      <c r="A239" s="11"/>
      <c r="B239" s="11"/>
      <c r="C239" s="11"/>
      <c r="D239" s="11"/>
    </row>
    <row r="240" spans="1:4" x14ac:dyDescent="0.25">
      <c r="A240" s="11"/>
      <c r="B240" s="11"/>
      <c r="C240" s="11"/>
      <c r="D240" s="11"/>
    </row>
    <row r="241" spans="1:4" x14ac:dyDescent="0.25">
      <c r="A241" s="11"/>
      <c r="B241" s="11"/>
      <c r="C241" s="11"/>
      <c r="D241" s="11"/>
    </row>
    <row r="242" spans="1:4" x14ac:dyDescent="0.25">
      <c r="A242" s="11"/>
      <c r="B242" s="11"/>
      <c r="C242" s="11"/>
      <c r="D242" s="11"/>
    </row>
    <row r="243" spans="1:4" x14ac:dyDescent="0.25">
      <c r="A243" s="11"/>
      <c r="B243" s="11"/>
      <c r="C243" s="11"/>
      <c r="D243" s="11"/>
    </row>
    <row r="244" spans="1:4" x14ac:dyDescent="0.25">
      <c r="A244" s="11"/>
      <c r="B244" s="11"/>
      <c r="C244" s="11"/>
      <c r="D244" s="11"/>
    </row>
    <row r="245" spans="1:4" x14ac:dyDescent="0.25">
      <c r="A245" s="11"/>
      <c r="B245" s="11"/>
      <c r="C245" s="11"/>
      <c r="D245" s="11"/>
    </row>
    <row r="246" spans="1:4" x14ac:dyDescent="0.25">
      <c r="A246" s="11"/>
      <c r="B246" s="11"/>
      <c r="C246" s="11"/>
      <c r="D246" s="11"/>
    </row>
    <row r="247" spans="1:4" x14ac:dyDescent="0.25">
      <c r="A247" s="11"/>
      <c r="B247" s="11"/>
      <c r="C247" s="11"/>
      <c r="D247" s="11"/>
    </row>
    <row r="248" spans="1:4" x14ac:dyDescent="0.25">
      <c r="A248" s="11"/>
      <c r="B248" s="11"/>
      <c r="C248" s="11"/>
      <c r="D248" s="11"/>
    </row>
    <row r="249" spans="1:4" x14ac:dyDescent="0.25">
      <c r="A249" s="11"/>
      <c r="B249" s="11"/>
      <c r="C249" s="11"/>
      <c r="D249" s="11"/>
    </row>
    <row r="250" spans="1:4" x14ac:dyDescent="0.25">
      <c r="A250" s="11"/>
      <c r="B250" s="11"/>
      <c r="C250" s="11"/>
      <c r="D250" s="11"/>
    </row>
  </sheetData>
  <mergeCells count="12">
    <mergeCell ref="A6:D6"/>
    <mergeCell ref="O1:P5"/>
    <mergeCell ref="A2:D2"/>
    <mergeCell ref="A3:D3"/>
    <mergeCell ref="A4:D4"/>
    <mergeCell ref="A5:D5"/>
    <mergeCell ref="A1:D1"/>
    <mergeCell ref="E1:F5"/>
    <mergeCell ref="G1:H5"/>
    <mergeCell ref="I1:J5"/>
    <mergeCell ref="K1:L5"/>
    <mergeCell ref="M1:N5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B14"/>
  <sheetViews>
    <sheetView view="pageBreakPreview" zoomScaleNormal="75" zoomScaleSheetLayoutView="100" workbookViewId="0">
      <selection activeCell="B22" sqref="B22"/>
    </sheetView>
  </sheetViews>
  <sheetFormatPr defaultRowHeight="15" x14ac:dyDescent="0.25"/>
  <cols>
    <col min="1" max="1" width="53.7109375" style="13" customWidth="1"/>
    <col min="2" max="2" width="27" style="47" customWidth="1"/>
  </cols>
  <sheetData>
    <row r="1" spans="1:2" ht="30" customHeight="1" x14ac:dyDescent="0.25">
      <c r="A1" s="24" t="str">
        <f>ProjectLocation</f>
        <v>PORTLAND INTERNATIONAL AIRPORT</v>
      </c>
      <c r="B1" s="43"/>
    </row>
    <row r="2" spans="1:2" ht="15" customHeight="1" x14ac:dyDescent="0.25">
      <c r="A2" s="25" t="str">
        <f>ProjectTitle</f>
        <v>SOUTHEAST TAXIWAY T REHABILITATION</v>
      </c>
      <c r="B2" s="44"/>
    </row>
    <row r="3" spans="1:2" ht="15" customHeight="1" x14ac:dyDescent="0.25">
      <c r="A3" s="25">
        <f>ProjectTitle2</f>
        <v>0</v>
      </c>
      <c r="B3" s="44"/>
    </row>
    <row r="4" spans="1:2" x14ac:dyDescent="0.25">
      <c r="A4" s="14" t="str">
        <f>EAN</f>
        <v>EAN 2018D027</v>
      </c>
      <c r="B4" s="44"/>
    </row>
    <row r="5" spans="1:2" ht="15" customHeight="1" x14ac:dyDescent="0.25">
      <c r="A5" s="15" t="str">
        <f>SolicitationNo</f>
        <v>Solicitation No. 2019-8247</v>
      </c>
      <c r="B5" s="44"/>
    </row>
    <row r="6" spans="1:2" ht="15" customHeight="1" x14ac:dyDescent="0.25">
      <c r="A6" s="16">
        <f ca="1">TODAY()</f>
        <v>43846</v>
      </c>
      <c r="B6" s="45"/>
    </row>
    <row r="7" spans="1:2" ht="33" customHeight="1" x14ac:dyDescent="0.25">
      <c r="A7" s="17" t="s">
        <v>30</v>
      </c>
      <c r="B7" s="46" t="s">
        <v>18</v>
      </c>
    </row>
    <row r="8" spans="1:2" ht="33" customHeight="1" x14ac:dyDescent="0.25">
      <c r="A8" s="18" t="str">
        <f>Contractor5</f>
        <v>Tapani, Inc.</v>
      </c>
      <c r="B8" s="48">
        <f>'Bid Tab Schedule B'!N52</f>
        <v>8588438</v>
      </c>
    </row>
    <row r="9" spans="1:2" ht="33" customHeight="1" x14ac:dyDescent="0.25">
      <c r="A9" s="18" t="str">
        <f>Contractor2</f>
        <v>Kerr Contractors 
Oregon LLC</v>
      </c>
      <c r="B9" s="48" t="s">
        <v>180</v>
      </c>
    </row>
    <row r="10" spans="1:2" ht="33" customHeight="1" x14ac:dyDescent="0.25">
      <c r="A10" s="18" t="str">
        <f>Contractor4</f>
        <v>Nutter Corporation</v>
      </c>
      <c r="B10" s="48">
        <f>'Bid Tab Schedule B'!L52</f>
        <v>9596902.2200000007</v>
      </c>
    </row>
    <row r="11" spans="1:2" ht="33" customHeight="1" x14ac:dyDescent="0.25">
      <c r="A11" s="18" t="str">
        <f>Contractor1</f>
        <v>K&amp;E Excavating, Inc.</v>
      </c>
      <c r="B11" s="48">
        <f>'Bid Tab Schedule B'!F52</f>
        <v>10177155.300000001</v>
      </c>
    </row>
    <row r="12" spans="1:2" ht="33" customHeight="1" x14ac:dyDescent="0.25">
      <c r="A12" s="18" t="str">
        <f>Contractor3</f>
        <v>Kodiak Pacific Construction</v>
      </c>
      <c r="B12" s="48">
        <f>'Bid Tab Schedule B'!J52</f>
        <v>10558558</v>
      </c>
    </row>
    <row r="13" spans="1:2" ht="33" customHeight="1" x14ac:dyDescent="0.25">
      <c r="A13" s="61" t="str">
        <f>EngineerEstimate</f>
        <v>Engineer's Estimate</v>
      </c>
      <c r="B13" s="62">
        <f>'Bid Tab Schedule B'!P52</f>
        <v>8356606.25</v>
      </c>
    </row>
    <row r="14" spans="1:2" x14ac:dyDescent="0.25">
      <c r="A14" s="49" t="s">
        <v>181</v>
      </c>
    </row>
  </sheetData>
  <sortState xmlns:xlrd2="http://schemas.microsoft.com/office/spreadsheetml/2017/richdata2" ref="A8:B12">
    <sortCondition ref="B8:B12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9C4E04-45AF-4C31-AFBB-0B60AAA57F21}"/>
</file>

<file path=customXml/itemProps2.xml><?xml version="1.0" encoding="utf-8"?>
<ds:datastoreItem xmlns:ds="http://schemas.openxmlformats.org/officeDocument/2006/customXml" ds:itemID="{6FE1F6BA-C94A-4148-8821-E069598B3183}"/>
</file>

<file path=customXml/itemProps3.xml><?xml version="1.0" encoding="utf-8"?>
<ds:datastoreItem xmlns:ds="http://schemas.openxmlformats.org/officeDocument/2006/customXml" ds:itemID="{325D7F77-CC22-4E68-8C1A-3DA1015333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40</vt:i4>
      </vt:variant>
    </vt:vector>
  </HeadingPairs>
  <TitlesOfParts>
    <vt:vector size="45" baseType="lpstr">
      <vt:lpstr>Bid Schedule A</vt:lpstr>
      <vt:lpstr>Bid Schedule B</vt:lpstr>
      <vt:lpstr>Bid Tab Schedule A</vt:lpstr>
      <vt:lpstr>Bid Tab Schedule B</vt:lpstr>
      <vt:lpstr>Summary</vt:lpstr>
      <vt:lpstr>AQTY</vt:lpstr>
      <vt:lpstr>ATotal1</vt:lpstr>
      <vt:lpstr>ATotal2</vt:lpstr>
      <vt:lpstr>ATotal3</vt:lpstr>
      <vt:lpstr>ATotal4</vt:lpstr>
      <vt:lpstr>ATotal5</vt:lpstr>
      <vt:lpstr>ATotalEE</vt:lpstr>
      <vt:lpstr>BQTY</vt:lpstr>
      <vt:lpstr>'Bid Tab Schedule B'!BTotal1</vt:lpstr>
      <vt:lpstr>'Bid Tab Schedule B'!BTotal2</vt:lpstr>
      <vt:lpstr>'Bid Tab Schedule B'!BTotal3</vt:lpstr>
      <vt:lpstr>'Bid Tab Schedule B'!BTotal4</vt:lpstr>
      <vt:lpstr>'Bid Tab Schedule B'!BTotal5</vt:lpstr>
      <vt:lpstr>'Bid Tab Schedule B'!BTotalEE</vt:lpstr>
      <vt:lpstr>Contractor1</vt:lpstr>
      <vt:lpstr>Contractor2</vt:lpstr>
      <vt:lpstr>Contractor3</vt:lpstr>
      <vt:lpstr>Contractor4</vt:lpstr>
      <vt:lpstr>Contractor5</vt:lpstr>
      <vt:lpstr>EAN</vt:lpstr>
      <vt:lpstr>EngineerEstimate</vt:lpstr>
      <vt:lpstr>'Bid Schedule A'!Print_Area</vt:lpstr>
      <vt:lpstr>'Bid Schedule B'!Print_Area</vt:lpstr>
      <vt:lpstr>'Bid Tab Schedule A'!Print_Area</vt:lpstr>
      <vt:lpstr>'Bid Tab Schedule B'!Print_Area</vt:lpstr>
      <vt:lpstr>Summary!Print_Area</vt:lpstr>
      <vt:lpstr>'Bid Schedule A'!Print_Titles</vt:lpstr>
      <vt:lpstr>'Bid Schedule B'!Print_Titles</vt:lpstr>
      <vt:lpstr>'Bid Tab Schedule A'!Print_Titles</vt:lpstr>
      <vt:lpstr>'Bid Tab Schedule B'!Print_Titles</vt:lpstr>
      <vt:lpstr>ProjectLocation</vt:lpstr>
      <vt:lpstr>ProjectTitle</vt:lpstr>
      <vt:lpstr>ProjectTitle2</vt:lpstr>
      <vt:lpstr>SolicitationNo</vt:lpstr>
      <vt:lpstr>Total1</vt:lpstr>
      <vt:lpstr>Total2</vt:lpstr>
      <vt:lpstr>Total3</vt:lpstr>
      <vt:lpstr>Total4</vt:lpstr>
      <vt:lpstr>Total5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2020-01-11T00:17:24Z</cp:lastPrinted>
  <dcterms:created xsi:type="dcterms:W3CDTF">2014-05-02T22:08:37Z</dcterms:created>
  <dcterms:modified xsi:type="dcterms:W3CDTF">2020-01-17T00:04:19Z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