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HIO\23D\018\Re-Bid\"/>
    </mc:Choice>
  </mc:AlternateContent>
  <xr:revisionPtr revIDLastSave="15" documentId="13_ncr:1_{F83F5491-A2AD-45CC-A066-F0D7F83B4553}" xr6:coauthVersionLast="47" xr6:coauthVersionMax="47" xr10:uidLastSave="{2DFFCABB-DC56-4AE4-AEB1-C5E91518F4BE}"/>
  <bookViews>
    <workbookView xWindow="-120" yWindow="-120" windowWidth="25440" windowHeight="15540" tabRatio="716" xr2:uid="{00000000-000D-0000-FFFF-FFFF00000000}"/>
  </bookViews>
  <sheets>
    <sheet name="Base Bid Item List" sheetId="1" r:id="rId1"/>
    <sheet name="Alternate Item List" sheetId="6" r:id="rId2"/>
    <sheet name="Base Bid Tabulation" sheetId="2" r:id="rId3"/>
    <sheet name="Alternate Bid Tabulation" sheetId="7" r:id="rId4"/>
    <sheet name="Summary" sheetId="5" r:id="rId5"/>
  </sheets>
  <externalReferences>
    <externalReference r:id="rId6"/>
  </externalReferences>
  <definedNames>
    <definedName name="AQTY">'[1]Bid Tab Schedule A'!$C:$C</definedName>
    <definedName name="ATotal1">'[1]Bid Tab Schedule A'!$F$19</definedName>
    <definedName name="ATotal2">'[1]Bid Tab Schedule A'!$H$19</definedName>
    <definedName name="ATotal3">'[1]Bid Tab Schedule A'!$J$19</definedName>
    <definedName name="ATotal4">'[1]Bid Tab Schedule A'!$L$19</definedName>
    <definedName name="ATotal5">'[1]Bid Tab Schedule A'!$N$19</definedName>
    <definedName name="ATotal6">'[1]Bid Tab Schedule A'!$P$19</definedName>
    <definedName name="ATotal7">'[1]Bid Tab Schedule A'!$R$19</definedName>
    <definedName name="ATotal8">'[1]Bid Tab Schedule A'!$T$19</definedName>
    <definedName name="ATotalEE">'[1]Bid Tab Schedule A'!$V$19</definedName>
    <definedName name="BQTY">'[1]Bid Tab Schedule B'!$C:$C</definedName>
    <definedName name="Contractor1">'Base Bid Tabulation'!$E$1</definedName>
    <definedName name="Contractor2">'Base Bid Tabulation'!$I$1</definedName>
    <definedName name="Contractor3">'Base Bid Tabulation'!#REF!</definedName>
    <definedName name="Contractor4">'Base Bid Tabulation'!#REF!</definedName>
    <definedName name="Contractor5">'Base Bid Tabulation'!#REF!</definedName>
    <definedName name="Contractor6">'Base Bid Tabulation'!#REF!</definedName>
    <definedName name="Contractor7">'Base Bid Tabulation'!#REF!</definedName>
    <definedName name="Contractor8">'Base Bid Tabulation'!#REF!</definedName>
    <definedName name="EAN">'Base Bid Tabulation'!$A$4</definedName>
    <definedName name="EngineerEstimate">'Base Bid Tabulation'!$K$1</definedName>
    <definedName name="_xlnm.Print_Area" localSheetId="3">'Alternate Bid Tabulation'!$A$1:$L$17</definedName>
    <definedName name="_xlnm.Print_Area" localSheetId="1">'Alternate Item List'!$A$14:$F$29</definedName>
    <definedName name="_xlnm.Print_Area" localSheetId="0">'Base Bid Item List'!$A$14:$F$29</definedName>
    <definedName name="_xlnm.Print_Area" localSheetId="4">Summary!$A$1:$C$11</definedName>
    <definedName name="_xlnm.Print_Titles" localSheetId="3">'Alternate Bid Tabulation'!$A:$D,'Alternate Bid Tabulation'!$1:$7</definedName>
    <definedName name="_xlnm.Print_Titles" localSheetId="0">'Base Bid Item List'!$14:$19</definedName>
    <definedName name="_xlnm.Print_Titles" localSheetId="2">'Base Bid Tabulation'!$A:$D,'Base Bid Tabulation'!$1:$7</definedName>
    <definedName name="ProjectLocation">'Base Bid Item List'!$A$15</definedName>
    <definedName name="ProjectTitle">'Base Bid Item List'!$A$16</definedName>
    <definedName name="ProjectTitle2">'Base Bid Item List'!$A$17</definedName>
    <definedName name="QTY">'Base Bid Tabulation'!$C:$C</definedName>
    <definedName name="SolicitationNo">'Base Bid Tabulation'!$A$5</definedName>
    <definedName name="Total1">'Base Bid Tabulation'!$F$17</definedName>
    <definedName name="Total2">'Base Bid Tabulation'!$J$17</definedName>
    <definedName name="Total3">'Base Bid Tabulation'!#REF!</definedName>
    <definedName name="Total4">'Base Bid Tabulation'!#REF!</definedName>
    <definedName name="Total5">'Base Bid Tabulation'!#REF!</definedName>
    <definedName name="Total6">'Base Bid Tabulation'!#REF!</definedName>
    <definedName name="Total7">'Base Bid Tabulation'!#REF!</definedName>
    <definedName name="Total8">'Base Bid Tabulation'!#REF!</definedName>
    <definedName name="TotalEE">'Base Bid Tabulation'!$L$17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G23" i="1"/>
  <c r="G24" i="1"/>
  <c r="G25" i="1"/>
  <c r="G26" i="1"/>
  <c r="G27" i="1"/>
  <c r="G28" i="1"/>
  <c r="G20" i="1"/>
  <c r="C9" i="5"/>
  <c r="H10" i="7"/>
  <c r="H11" i="7"/>
  <c r="H12" i="7"/>
  <c r="H13" i="7"/>
  <c r="H9" i="7"/>
  <c r="H8" i="7"/>
  <c r="H15" i="7"/>
  <c r="H14" i="7"/>
  <c r="A8" i="5"/>
  <c r="A10" i="5"/>
  <c r="I1" i="7"/>
  <c r="A9" i="7"/>
  <c r="A10" i="7"/>
  <c r="A11" i="7"/>
  <c r="A12" i="7"/>
  <c r="A13" i="7"/>
  <c r="A14" i="7"/>
  <c r="A15" i="7"/>
  <c r="A16" i="7"/>
  <c r="H16" i="7" s="1"/>
  <c r="A5" i="5"/>
  <c r="E1" i="7"/>
  <c r="A9" i="2"/>
  <c r="B9" i="2"/>
  <c r="C9" i="2"/>
  <c r="F9" i="2" s="1"/>
  <c r="D9" i="2"/>
  <c r="A10" i="2"/>
  <c r="B10" i="2"/>
  <c r="C10" i="2"/>
  <c r="F10" i="2" s="1"/>
  <c r="D10" i="2"/>
  <c r="A11" i="2"/>
  <c r="B11" i="2"/>
  <c r="C11" i="2"/>
  <c r="H11" i="2" s="1"/>
  <c r="D11" i="2"/>
  <c r="A12" i="2"/>
  <c r="B12" i="2"/>
  <c r="C12" i="2"/>
  <c r="H12" i="2" s="1"/>
  <c r="D12" i="2"/>
  <c r="A13" i="2"/>
  <c r="B13" i="2"/>
  <c r="C13" i="2"/>
  <c r="L13" i="2" s="1"/>
  <c r="D13" i="2"/>
  <c r="A14" i="2"/>
  <c r="B14" i="2"/>
  <c r="C14" i="2"/>
  <c r="H14" i="2" s="1"/>
  <c r="D14" i="2"/>
  <c r="A15" i="2"/>
  <c r="B15" i="2"/>
  <c r="C15" i="2"/>
  <c r="F15" i="2" s="1"/>
  <c r="D15" i="2"/>
  <c r="A16" i="2"/>
  <c r="B16" i="2"/>
  <c r="C16" i="2"/>
  <c r="H16" i="2" s="1"/>
  <c r="D16" i="2"/>
  <c r="J9" i="2"/>
  <c r="F12" i="2"/>
  <c r="J12" i="2"/>
  <c r="L12" i="2"/>
  <c r="H9" i="2" l="1"/>
  <c r="H10" i="2"/>
  <c r="H13" i="2"/>
  <c r="H15" i="2"/>
  <c r="J13" i="2"/>
  <c r="F13" i="2"/>
  <c r="J16" i="2"/>
  <c r="F16" i="2"/>
  <c r="L15" i="2"/>
  <c r="L16" i="2"/>
  <c r="J15" i="2"/>
  <c r="L9" i="2"/>
  <c r="J10" i="2"/>
  <c r="J14" i="2"/>
  <c r="J11" i="2"/>
  <c r="F14" i="2"/>
  <c r="F11" i="2"/>
  <c r="L14" i="2"/>
  <c r="L11" i="2"/>
  <c r="A6" i="7" l="1"/>
  <c r="C16" i="7"/>
  <c r="B9" i="7" l="1"/>
  <c r="C9" i="7"/>
  <c r="F9" i="7" s="1"/>
  <c r="D9" i="7"/>
  <c r="B10" i="7"/>
  <c r="C10" i="7"/>
  <c r="D10" i="7"/>
  <c r="B11" i="7"/>
  <c r="C11" i="7"/>
  <c r="D11" i="7"/>
  <c r="B12" i="7"/>
  <c r="C12" i="7"/>
  <c r="J12" i="7" s="1"/>
  <c r="D12" i="7"/>
  <c r="B13" i="7"/>
  <c r="C13" i="7"/>
  <c r="F13" i="7" s="1"/>
  <c r="D13" i="7"/>
  <c r="B14" i="7"/>
  <c r="C14" i="7"/>
  <c r="D14" i="7"/>
  <c r="B15" i="7"/>
  <c r="C15" i="7"/>
  <c r="D15" i="7"/>
  <c r="B16" i="7"/>
  <c r="J16" i="7"/>
  <c r="D16" i="7"/>
  <c r="L15" i="7" l="1"/>
  <c r="J14" i="7"/>
  <c r="L11" i="7"/>
  <c r="J10" i="7"/>
  <c r="F15" i="7"/>
  <c r="F11" i="7"/>
  <c r="L16" i="7"/>
  <c r="F16" i="7"/>
  <c r="J15" i="7"/>
  <c r="L12" i="7"/>
  <c r="F12" i="7"/>
  <c r="J11" i="7"/>
  <c r="L14" i="7"/>
  <c r="F14" i="7"/>
  <c r="J13" i="7"/>
  <c r="L10" i="7"/>
  <c r="F10" i="7"/>
  <c r="J9" i="7"/>
  <c r="L13" i="7"/>
  <c r="L9" i="7"/>
  <c r="C8" i="7"/>
  <c r="A8" i="7"/>
  <c r="H17" i="7" s="1"/>
  <c r="D8" i="7"/>
  <c r="B8" i="7"/>
  <c r="K1" i="7"/>
  <c r="K8" i="7" l="1"/>
  <c r="L8" i="7"/>
  <c r="F8" i="7"/>
  <c r="F17" i="7" s="1"/>
  <c r="C8" i="5" s="1"/>
  <c r="J8" i="7"/>
  <c r="A17" i="6"/>
  <c r="A16" i="6"/>
  <c r="A15" i="6"/>
  <c r="A4" i="5" l="1"/>
  <c r="A3" i="5"/>
  <c r="A2" i="5"/>
  <c r="A1" i="5"/>
  <c r="A11" i="5" l="1"/>
  <c r="A6" i="5" l="1"/>
  <c r="D8" i="2"/>
  <c r="C8" i="2"/>
  <c r="H8" i="2" s="1"/>
  <c r="H17" i="2" s="1"/>
  <c r="B9" i="5" s="1"/>
  <c r="B8" i="2"/>
  <c r="A8" i="2"/>
  <c r="A6" i="2"/>
  <c r="L8" i="2" l="1"/>
  <c r="F8" i="2"/>
  <c r="F17" i="2" s="1"/>
  <c r="B8" i="5" s="1"/>
  <c r="J8" i="2"/>
  <c r="J17" i="2" s="1"/>
  <c r="L17" i="7"/>
  <c r="C11" i="5" s="1"/>
  <c r="J17" i="7"/>
  <c r="C10" i="5" s="1"/>
  <c r="K10" i="2" l="1"/>
  <c r="L10" i="2" s="1"/>
  <c r="L17" i="2" s="1"/>
  <c r="B11" i="5" s="1"/>
  <c r="B10" i="5"/>
</calcChain>
</file>

<file path=xl/sharedStrings.xml><?xml version="1.0" encoding="utf-8"?>
<sst xmlns="http://schemas.openxmlformats.org/spreadsheetml/2006/main" count="143" uniqueCount="59">
  <si>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</si>
  <si>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</si>
  <si>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</si>
  <si>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</si>
  <si>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</si>
  <si>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</si>
  <si>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</si>
  <si>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</si>
  <si>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</si>
  <si>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</si>
  <si>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</si>
  <si>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</si>
  <si>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</si>
  <si>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HILLSBORO AIRPORT</t>
  </si>
  <si>
    <t>RUNWAY AND TAXIWAY SEALS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</si>
  <si>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</si>
  <si>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</si>
  <si>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</si>
  <si>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</si>
  <si>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</si>
  <si>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</si>
  <si>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</si>
  <si>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Sweeper
(Section 012200)</t>
  </si>
  <si>
    <t>012200</t>
  </si>
  <si>
    <t>0002</t>
  </si>
  <si>
    <t>Work Zone and Traffic Control 
(Section 012200)</t>
  </si>
  <si>
    <t>0003</t>
  </si>
  <si>
    <t>Mobilization
(Item C-105)</t>
  </si>
  <si>
    <t>C-105</t>
  </si>
  <si>
    <t>0004</t>
  </si>
  <si>
    <t>Runway and High Speed Exit Taxiway Friction Testing
(Item P-608)</t>
  </si>
  <si>
    <t>P-608</t>
  </si>
  <si>
    <t>0005</t>
  </si>
  <si>
    <t>Asphalt Surface Treatment
(Item P-608)</t>
  </si>
  <si>
    <t>0006</t>
  </si>
  <si>
    <t>Surface Preparation - Remove Existing Markings
(Item P-620)</t>
  </si>
  <si>
    <t>P-620</t>
  </si>
  <si>
    <t>0007</t>
  </si>
  <si>
    <t>Marking
(Item P-620)</t>
  </si>
  <si>
    <t>0008</t>
  </si>
  <si>
    <t>Temporary Runway and Taxiway Marking
(Item P-620)</t>
  </si>
  <si>
    <t>0009</t>
  </si>
  <si>
    <t>Reflective Media
(Item P-620)</t>
  </si>
  <si>
    <t>Total Amount Base Bid (Basis of Award)</t>
  </si>
  <si>
    <t>$___________</t>
  </si>
  <si>
    <t>Total Amount Additive Alternate A</t>
  </si>
  <si>
    <t>American Road Maintenance</t>
  </si>
  <si>
    <t>C.R. Contracting, LLC</t>
  </si>
  <si>
    <t>Specialized Pavement Marking, LLC</t>
  </si>
  <si>
    <t>Engineer's Estimate</t>
  </si>
  <si>
    <t>RUNWAY AND TAXIWAY SEALS (RE-BID)</t>
  </si>
  <si>
    <t>EAN 2023D018</t>
  </si>
  <si>
    <t>Solicitation No. 2024-10519</t>
  </si>
  <si>
    <t>Total Amount Base Bid
(Basis of Award)</t>
  </si>
  <si>
    <t>Bidder</t>
  </si>
  <si>
    <t>Total Base Bid Price</t>
  </si>
  <si>
    <t>Total Additive 
Alternate A</t>
  </si>
  <si>
    <t>*Corrected Bid Total</t>
  </si>
  <si>
    <t>^Corrected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</si>
</sst>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3" fillId="0" borderId="16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49" fontId="0" fillId="0" borderId="0" xfId="0" applyNumberFormat="1"/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00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s/Bid%20Lists/BidTab%20-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Schedule A"/>
      <sheetName val="Bid Schedule B"/>
      <sheetName val="Bid Tab Schedule A"/>
      <sheetName val="Bid Tab Schedule B"/>
      <sheetName val="Summa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000"/>
  </sheetPr>
  <dimension ref="A1:H29"/>
  <sheetViews>
    <sheetView tabSelected="1" view="pageLayout" topLeftCell="A14" zoomScaleNormal="100" zoomScaleSheetLayoutView="100" workbookViewId="0">
      <selection activeCell="N24" sqref="N24:N25"/>
    </sheetView>
  </sheetViews>
  <sheetFormatPr defaultColWidth="8.85546875" defaultRowHeight="15"/>
  <cols>
    <col min="1" max="1" width="6.5703125" customWidth="1"/>
    <col min="2" max="2" width="36.7109375" customWidth="1"/>
    <col min="3" max="3" width="10.5703125" style="20" customWidth="1"/>
    <col min="4" max="4" width="8.28515625" customWidth="1"/>
    <col min="5" max="6" width="13.28515625" style="23" customWidth="1"/>
    <col min="7" max="7" width="29" customWidth="1"/>
    <col min="8" max="8" width="23.42578125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1" t="s">
        <v>2</v>
      </c>
    </row>
    <row r="4" spans="1:6" hidden="1">
      <c r="A4" s="1" t="s">
        <v>3</v>
      </c>
    </row>
    <row r="5" spans="1:6" hidden="1">
      <c r="A5" s="1" t="s">
        <v>4</v>
      </c>
    </row>
    <row r="6" spans="1:6" hidden="1">
      <c r="A6" s="1" t="s">
        <v>5</v>
      </c>
    </row>
    <row r="7" spans="1:6" hidden="1">
      <c r="A7" s="1" t="s">
        <v>6</v>
      </c>
    </row>
    <row r="8" spans="1:6" hidden="1">
      <c r="A8" s="1" t="s">
        <v>7</v>
      </c>
    </row>
    <row r="9" spans="1:6" hidden="1">
      <c r="A9" s="1" t="s">
        <v>8</v>
      </c>
    </row>
    <row r="10" spans="1:6" hidden="1">
      <c r="A10" s="1" t="s">
        <v>9</v>
      </c>
    </row>
    <row r="11" spans="1:6" hidden="1">
      <c r="A11" s="1" t="s">
        <v>10</v>
      </c>
    </row>
    <row r="12" spans="1:6" hidden="1">
      <c r="A12" s="1" t="s">
        <v>11</v>
      </c>
    </row>
    <row r="13" spans="1:6" hidden="1">
      <c r="A13" s="1" t="s">
        <v>12</v>
      </c>
    </row>
    <row r="14" spans="1:6">
      <c r="A14" s="64"/>
      <c r="B14" s="64"/>
      <c r="C14" s="64"/>
      <c r="D14" s="64"/>
      <c r="E14" s="58"/>
      <c r="F14" s="58"/>
    </row>
    <row r="15" spans="1:6">
      <c r="A15" s="61" t="s">
        <v>13</v>
      </c>
      <c r="B15" s="61"/>
      <c r="C15" s="61"/>
      <c r="D15" s="61"/>
      <c r="E15" s="59"/>
      <c r="F15" s="59"/>
    </row>
    <row r="16" spans="1:6">
      <c r="A16" s="61" t="s">
        <v>14</v>
      </c>
      <c r="B16" s="61"/>
      <c r="C16" s="61"/>
      <c r="D16" s="61"/>
      <c r="E16" s="59"/>
      <c r="F16" s="59"/>
    </row>
    <row r="17" spans="1:8">
      <c r="A17" s="62"/>
      <c r="B17" s="62"/>
      <c r="C17" s="62"/>
      <c r="D17" s="62"/>
      <c r="E17" s="59"/>
      <c r="F17" s="59"/>
    </row>
    <row r="18" spans="1:8">
      <c r="A18" s="63"/>
      <c r="B18" s="63"/>
      <c r="C18" s="63"/>
      <c r="D18" s="63"/>
      <c r="E18" s="60"/>
      <c r="F18" s="60"/>
    </row>
    <row r="19" spans="1:8" s="2" customFormat="1" ht="24" customHeight="1">
      <c r="A19" s="3" t="s">
        <v>15</v>
      </c>
      <c r="B19" s="3" t="s">
        <v>16</v>
      </c>
      <c r="C19" s="21" t="s">
        <v>17</v>
      </c>
      <c r="D19" s="3" t="s">
        <v>18</v>
      </c>
      <c r="E19" s="24" t="s">
        <v>19</v>
      </c>
      <c r="F19" s="24" t="s">
        <v>20</v>
      </c>
    </row>
    <row r="20" spans="1:8" ht="40.5" customHeight="1">
      <c r="A20" s="4" t="s">
        <v>21</v>
      </c>
      <c r="B20" s="36" t="s">
        <v>22</v>
      </c>
      <c r="C20" s="37">
        <v>1</v>
      </c>
      <c r="D20" s="5" t="s">
        <v>8</v>
      </c>
      <c r="E20" s="25"/>
      <c r="F20" s="25"/>
      <c r="G20" t="str">
        <f>MID(B20,FIND("(",B20)+1,FIND(")",B20)-FIND("(",B20)-1)</f>
        <v>Section 012200</v>
      </c>
      <c r="H20" s="57" t="s">
        <v>23</v>
      </c>
    </row>
    <row r="21" spans="1:8" ht="40.5" customHeight="1">
      <c r="A21" s="4" t="s">
        <v>24</v>
      </c>
      <c r="B21" s="36" t="s">
        <v>25</v>
      </c>
      <c r="C21" s="37">
        <v>1</v>
      </c>
      <c r="D21" s="5" t="s">
        <v>8</v>
      </c>
      <c r="E21" s="25"/>
      <c r="F21" s="25"/>
      <c r="G21" t="str">
        <f t="shared" ref="G21:G28" si="0">MID(B21,FIND("(",B21)+1,FIND(")",B21)-FIND("(",B21)-1)</f>
        <v>Section 012200</v>
      </c>
      <c r="H21" s="57" t="s">
        <v>23</v>
      </c>
    </row>
    <row r="22" spans="1:8" ht="40.5" customHeight="1">
      <c r="A22" s="4" t="s">
        <v>26</v>
      </c>
      <c r="B22" s="36" t="s">
        <v>27</v>
      </c>
      <c r="C22" s="37">
        <v>1</v>
      </c>
      <c r="D22" s="5" t="s">
        <v>8</v>
      </c>
      <c r="E22" s="25"/>
      <c r="F22" s="25"/>
      <c r="G22" t="str">
        <f t="shared" si="0"/>
        <v>Item C-105</v>
      </c>
      <c r="H22" t="s">
        <v>28</v>
      </c>
    </row>
    <row r="23" spans="1:8" ht="40.5" customHeight="1">
      <c r="A23" s="4" t="s">
        <v>29</v>
      </c>
      <c r="B23" s="36" t="s">
        <v>30</v>
      </c>
      <c r="C23" s="37">
        <v>1</v>
      </c>
      <c r="D23" s="5" t="s">
        <v>8</v>
      </c>
      <c r="E23" s="25"/>
      <c r="F23" s="25"/>
      <c r="G23" t="str">
        <f t="shared" si="0"/>
        <v>Item P-608</v>
      </c>
      <c r="H23" t="s">
        <v>31</v>
      </c>
    </row>
    <row r="24" spans="1:8" ht="40.5" customHeight="1">
      <c r="A24" s="4" t="s">
        <v>32</v>
      </c>
      <c r="B24" s="36" t="s">
        <v>33</v>
      </c>
      <c r="C24" s="37">
        <v>163800</v>
      </c>
      <c r="D24" s="5" t="s">
        <v>11</v>
      </c>
      <c r="E24" s="25"/>
      <c r="F24" s="25"/>
      <c r="G24" t="str">
        <f t="shared" si="0"/>
        <v>Item P-608</v>
      </c>
      <c r="H24" t="s">
        <v>31</v>
      </c>
    </row>
    <row r="25" spans="1:8" ht="40.5" customHeight="1">
      <c r="A25" s="4" t="s">
        <v>34</v>
      </c>
      <c r="B25" s="36" t="s">
        <v>35</v>
      </c>
      <c r="C25" s="37">
        <v>69500</v>
      </c>
      <c r="D25" s="5" t="s">
        <v>10</v>
      </c>
      <c r="E25" s="25"/>
      <c r="F25" s="25"/>
      <c r="G25" t="str">
        <f t="shared" si="0"/>
        <v>Item P-620</v>
      </c>
      <c r="H25" t="s">
        <v>36</v>
      </c>
    </row>
    <row r="26" spans="1:8" ht="40.5" customHeight="1">
      <c r="A26" s="4" t="s">
        <v>37</v>
      </c>
      <c r="B26" s="36" t="s">
        <v>38</v>
      </c>
      <c r="C26" s="37">
        <v>69500</v>
      </c>
      <c r="D26" s="5" t="s">
        <v>10</v>
      </c>
      <c r="E26" s="25"/>
      <c r="F26" s="25"/>
      <c r="G26" t="str">
        <f t="shared" si="0"/>
        <v>Item P-620</v>
      </c>
      <c r="H26" t="s">
        <v>36</v>
      </c>
    </row>
    <row r="27" spans="1:8" ht="40.5" customHeight="1">
      <c r="A27" s="4" t="s">
        <v>39</v>
      </c>
      <c r="B27" s="36" t="s">
        <v>40</v>
      </c>
      <c r="C27" s="37">
        <v>69500</v>
      </c>
      <c r="D27" s="5" t="s">
        <v>10</v>
      </c>
      <c r="E27" s="25"/>
      <c r="F27" s="25"/>
      <c r="G27" t="str">
        <f t="shared" si="0"/>
        <v>Item P-620</v>
      </c>
      <c r="H27" t="s">
        <v>36</v>
      </c>
    </row>
    <row r="28" spans="1:8" ht="40.5" customHeight="1">
      <c r="A28" s="4" t="s">
        <v>41</v>
      </c>
      <c r="B28" s="36" t="s">
        <v>42</v>
      </c>
      <c r="C28" s="37">
        <v>4300</v>
      </c>
      <c r="D28" s="5" t="s">
        <v>6</v>
      </c>
      <c r="E28" s="25"/>
      <c r="F28" s="25"/>
      <c r="G28" t="str">
        <f t="shared" si="0"/>
        <v>Item P-620</v>
      </c>
      <c r="H28" t="s">
        <v>36</v>
      </c>
    </row>
    <row r="29" spans="1:8" ht="27.75" customHeight="1">
      <c r="A29" s="6"/>
      <c r="B29" s="7" t="s">
        <v>43</v>
      </c>
      <c r="C29" s="22"/>
      <c r="D29" s="6"/>
      <c r="E29" s="26"/>
      <c r="F29" s="26" t="s">
        <v>44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disablePrompts="1" count="1">
    <dataValidation type="list" allowBlank="1" showInputMessage="1" showErrorMessage="1" sqref="D20:D28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&amp;L&amp;"Arial,Bold"BASE BID (AIP-ELIGIBLE ITEMS)&amp;R&amp;"Arial,Regular"&amp;10Bidder: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</sheetPr>
  <dimension ref="A1:F29"/>
  <sheetViews>
    <sheetView view="pageLayout" topLeftCell="A14" zoomScaleNormal="100" zoomScaleSheetLayoutView="100" workbookViewId="0">
      <selection activeCell="O20" sqref="O20"/>
    </sheetView>
  </sheetViews>
  <sheetFormatPr defaultRowHeight="1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1" t="s">
        <v>2</v>
      </c>
    </row>
    <row r="4" spans="1:6" hidden="1">
      <c r="A4" s="1" t="s">
        <v>3</v>
      </c>
    </row>
    <row r="5" spans="1:6" hidden="1">
      <c r="A5" s="1" t="s">
        <v>4</v>
      </c>
    </row>
    <row r="6" spans="1:6" hidden="1">
      <c r="A6" s="1" t="s">
        <v>5</v>
      </c>
    </row>
    <row r="7" spans="1:6" hidden="1">
      <c r="A7" s="1" t="s">
        <v>6</v>
      </c>
    </row>
    <row r="8" spans="1:6" hidden="1">
      <c r="A8" s="1" t="s">
        <v>7</v>
      </c>
    </row>
    <row r="9" spans="1:6" hidden="1">
      <c r="A9" s="1" t="s">
        <v>8</v>
      </c>
    </row>
    <row r="10" spans="1:6" hidden="1">
      <c r="A10" s="1" t="s">
        <v>9</v>
      </c>
    </row>
    <row r="11" spans="1:6" hidden="1">
      <c r="A11" s="1" t="s">
        <v>10</v>
      </c>
    </row>
    <row r="12" spans="1:6" hidden="1">
      <c r="A12" s="1" t="s">
        <v>11</v>
      </c>
    </row>
    <row r="13" spans="1:6" hidden="1">
      <c r="A13" s="1" t="s">
        <v>12</v>
      </c>
    </row>
    <row r="14" spans="1:6">
      <c r="A14" s="64"/>
      <c r="B14" s="64"/>
      <c r="C14" s="64"/>
      <c r="D14" s="64"/>
      <c r="E14" s="58"/>
      <c r="F14" s="58"/>
    </row>
    <row r="15" spans="1:6">
      <c r="A15" s="61" t="str">
        <f>ProjectLocation</f>
        <v>HILLSBORO AIRPORT</v>
      </c>
      <c r="B15" s="61"/>
      <c r="C15" s="61"/>
      <c r="D15" s="61"/>
      <c r="E15" s="59"/>
      <c r="F15" s="59"/>
    </row>
    <row r="16" spans="1:6">
      <c r="A16" s="61" t="str">
        <f>ProjectTitle</f>
        <v>RUNWAY AND TAXIWAY SEALS</v>
      </c>
      <c r="B16" s="61"/>
      <c r="C16" s="61"/>
      <c r="D16" s="61"/>
      <c r="E16" s="59"/>
      <c r="F16" s="59"/>
    </row>
    <row r="17" spans="1:6">
      <c r="A17" s="62" t="str">
        <f>ProjectTitle2 &amp; ""</f>
        <v/>
      </c>
      <c r="B17" s="62"/>
      <c r="C17" s="62"/>
      <c r="D17" s="62"/>
      <c r="E17" s="59"/>
      <c r="F17" s="59"/>
    </row>
    <row r="18" spans="1:6">
      <c r="A18" s="63"/>
      <c r="B18" s="63"/>
      <c r="C18" s="63"/>
      <c r="D18" s="63"/>
      <c r="E18" s="60"/>
      <c r="F18" s="60"/>
    </row>
    <row r="19" spans="1:6" s="2" customFormat="1" ht="24" customHeight="1">
      <c r="A19" s="3" t="s">
        <v>15</v>
      </c>
      <c r="B19" s="3" t="s">
        <v>16</v>
      </c>
      <c r="C19" s="21" t="s">
        <v>17</v>
      </c>
      <c r="D19" s="3" t="s">
        <v>18</v>
      </c>
      <c r="E19" s="24" t="s">
        <v>19</v>
      </c>
      <c r="F19" s="24" t="s">
        <v>20</v>
      </c>
    </row>
    <row r="20" spans="1:6" ht="40.5" customHeight="1">
      <c r="A20" s="4" t="s">
        <v>21</v>
      </c>
      <c r="B20" s="36" t="s">
        <v>27</v>
      </c>
      <c r="C20" s="37">
        <v>1</v>
      </c>
      <c r="D20" s="5" t="s">
        <v>8</v>
      </c>
      <c r="E20" s="25"/>
      <c r="F20" s="25"/>
    </row>
    <row r="21" spans="1:6" ht="40.5" customHeight="1">
      <c r="A21" s="4" t="s">
        <v>24</v>
      </c>
      <c r="B21" s="56" t="s">
        <v>33</v>
      </c>
      <c r="C21" s="37">
        <v>8600</v>
      </c>
      <c r="D21" s="5" t="s">
        <v>11</v>
      </c>
      <c r="E21" s="25"/>
      <c r="F21" s="25"/>
    </row>
    <row r="22" spans="1:6" ht="40.5" customHeight="1">
      <c r="A22" s="4" t="s">
        <v>26</v>
      </c>
      <c r="B22" s="56" t="s">
        <v>35</v>
      </c>
      <c r="C22" s="37">
        <v>1840</v>
      </c>
      <c r="D22" s="5" t="s">
        <v>10</v>
      </c>
      <c r="E22" s="25"/>
      <c r="F22" s="25"/>
    </row>
    <row r="23" spans="1:6" ht="40.5" customHeight="1">
      <c r="A23" s="4" t="s">
        <v>29</v>
      </c>
      <c r="B23" s="56" t="s">
        <v>38</v>
      </c>
      <c r="C23" s="37">
        <v>1840</v>
      </c>
      <c r="D23" s="5" t="s">
        <v>10</v>
      </c>
      <c r="E23" s="25"/>
      <c r="F23" s="25"/>
    </row>
    <row r="24" spans="1:6" ht="40.5" customHeight="1">
      <c r="A24" s="4" t="s">
        <v>32</v>
      </c>
      <c r="B24" s="56" t="s">
        <v>40</v>
      </c>
      <c r="C24" s="37">
        <v>1840</v>
      </c>
      <c r="D24" s="5" t="s">
        <v>10</v>
      </c>
      <c r="E24" s="25"/>
      <c r="F24" s="25"/>
    </row>
    <row r="25" spans="1:6" ht="40.5" customHeight="1">
      <c r="A25" s="4" t="s">
        <v>34</v>
      </c>
      <c r="B25" s="56" t="s">
        <v>42</v>
      </c>
      <c r="C25" s="37">
        <v>120</v>
      </c>
      <c r="D25" s="5" t="s">
        <v>6</v>
      </c>
      <c r="E25" s="25"/>
      <c r="F25" s="25"/>
    </row>
    <row r="26" spans="1:6" ht="40.5" hidden="1" customHeight="1">
      <c r="A26" s="4"/>
      <c r="B26" s="36"/>
      <c r="C26" s="37"/>
      <c r="D26" s="5"/>
      <c r="E26" s="25"/>
      <c r="F26" s="25"/>
    </row>
    <row r="27" spans="1:6" ht="40.5" hidden="1" customHeight="1">
      <c r="A27" s="4"/>
      <c r="B27" s="36"/>
      <c r="C27" s="37"/>
      <c r="D27" s="5"/>
      <c r="E27" s="25"/>
      <c r="F27" s="25"/>
    </row>
    <row r="28" spans="1:6" ht="40.5" hidden="1" customHeight="1">
      <c r="A28" s="4"/>
      <c r="B28" s="36"/>
      <c r="C28" s="37"/>
      <c r="D28" s="5"/>
      <c r="E28" s="25"/>
      <c r="F28" s="25"/>
    </row>
    <row r="29" spans="1:6" ht="27.75" customHeight="1">
      <c r="A29" s="6"/>
      <c r="B29" s="7" t="s">
        <v>45</v>
      </c>
      <c r="C29" s="22"/>
      <c r="D29" s="6"/>
      <c r="E29" s="26"/>
      <c r="F29" s="26" t="s">
        <v>44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dataValidations disablePrompts="1" count="1">
    <dataValidation type="list" allowBlank="1" showInputMessage="1" showErrorMessage="1" sqref="D20:D28" xr:uid="{811E101B-CA3B-4445-A417-67669438350A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&amp;L&amp;"Arial,Bold"ADDITIVE ALTERNATE A (NON-AIP-ELIGIBLE ITEMS)&amp;R&amp;"Arial,Regular"&amp;10Bidder: _________________________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4" tint="-0.499984740745262"/>
  </sheetPr>
  <dimension ref="A1:L17"/>
  <sheetViews>
    <sheetView zoomScaleNormal="100" zoomScaleSheetLayoutView="100" workbookViewId="0">
      <selection activeCell="E8" sqref="E8:F16"/>
    </sheetView>
  </sheetViews>
  <sheetFormatPr defaultRowHeight="15"/>
  <cols>
    <col min="1" max="1" width="6.7109375" customWidth="1"/>
    <col min="2" max="2" width="28.85546875" style="16" customWidth="1"/>
    <col min="3" max="3" width="11.28515625" style="29" customWidth="1"/>
    <col min="4" max="4" width="6.7109375" style="16" customWidth="1"/>
    <col min="5" max="5" width="11" style="23" customWidth="1"/>
    <col min="6" max="6" width="13.42578125" style="23" customWidth="1"/>
    <col min="7" max="7" width="11" style="23" customWidth="1"/>
    <col min="8" max="8" width="13.42578125" style="23" customWidth="1"/>
    <col min="9" max="9" width="11" style="23" customWidth="1"/>
    <col min="10" max="10" width="13.42578125" style="23" customWidth="1"/>
    <col min="11" max="11" width="11" customWidth="1"/>
    <col min="12" max="12" width="13.42578125" customWidth="1"/>
  </cols>
  <sheetData>
    <row r="1" spans="1:12" ht="30" customHeight="1">
      <c r="A1" s="76" t="s">
        <v>13</v>
      </c>
      <c r="B1" s="77"/>
      <c r="C1" s="77"/>
      <c r="D1" s="78"/>
      <c r="E1" s="72" t="s">
        <v>46</v>
      </c>
      <c r="F1" s="73"/>
      <c r="G1" s="72" t="s">
        <v>47</v>
      </c>
      <c r="H1" s="73"/>
      <c r="I1" s="72" t="s">
        <v>48</v>
      </c>
      <c r="J1" s="73"/>
      <c r="K1" s="65" t="s">
        <v>49</v>
      </c>
      <c r="L1" s="66"/>
    </row>
    <row r="2" spans="1:12">
      <c r="A2" s="79" t="s">
        <v>50</v>
      </c>
      <c r="B2" s="80"/>
      <c r="C2" s="80"/>
      <c r="D2" s="81"/>
      <c r="E2" s="74"/>
      <c r="F2" s="75"/>
      <c r="G2" s="74"/>
      <c r="H2" s="75"/>
      <c r="I2" s="74"/>
      <c r="J2" s="75"/>
      <c r="K2" s="67"/>
      <c r="L2" s="68"/>
    </row>
    <row r="3" spans="1:12">
      <c r="A3" s="79"/>
      <c r="B3" s="80"/>
      <c r="C3" s="80"/>
      <c r="D3" s="81"/>
      <c r="E3" s="74"/>
      <c r="F3" s="75"/>
      <c r="G3" s="74"/>
      <c r="H3" s="75"/>
      <c r="I3" s="74"/>
      <c r="J3" s="75"/>
      <c r="K3" s="67"/>
      <c r="L3" s="68"/>
    </row>
    <row r="4" spans="1:12">
      <c r="A4" s="82" t="s">
        <v>51</v>
      </c>
      <c r="B4" s="83"/>
      <c r="C4" s="83"/>
      <c r="D4" s="84"/>
      <c r="E4" s="74"/>
      <c r="F4" s="75"/>
      <c r="G4" s="74"/>
      <c r="H4" s="75"/>
      <c r="I4" s="74"/>
      <c r="J4" s="75"/>
      <c r="K4" s="67"/>
      <c r="L4" s="68"/>
    </row>
    <row r="5" spans="1:12">
      <c r="A5" s="82" t="s">
        <v>52</v>
      </c>
      <c r="B5" s="83"/>
      <c r="C5" s="83"/>
      <c r="D5" s="84"/>
      <c r="E5" s="74"/>
      <c r="F5" s="75"/>
      <c r="G5" s="74"/>
      <c r="H5" s="75"/>
      <c r="I5" s="74"/>
      <c r="J5" s="75"/>
      <c r="K5" s="67"/>
      <c r="L5" s="68"/>
    </row>
    <row r="6" spans="1:12">
      <c r="A6" s="69">
        <f ca="1">TODAY()</f>
        <v>46048</v>
      </c>
      <c r="B6" s="70"/>
      <c r="C6" s="70"/>
      <c r="D6" s="71"/>
      <c r="E6" s="30"/>
      <c r="F6" s="31"/>
      <c r="G6" s="30"/>
      <c r="H6" s="31"/>
      <c r="I6" s="30"/>
      <c r="J6" s="31"/>
      <c r="K6" s="30"/>
      <c r="L6" s="31"/>
    </row>
    <row r="7" spans="1:12" ht="32.25" customHeight="1">
      <c r="A7" s="8" t="s">
        <v>15</v>
      </c>
      <c r="B7" s="12" t="s">
        <v>16</v>
      </c>
      <c r="C7" s="27" t="s">
        <v>17</v>
      </c>
      <c r="D7" s="12" t="s">
        <v>18</v>
      </c>
      <c r="E7" s="32" t="s">
        <v>19</v>
      </c>
      <c r="F7" s="32" t="s">
        <v>20</v>
      </c>
      <c r="G7" s="32" t="s">
        <v>19</v>
      </c>
      <c r="H7" s="32" t="s">
        <v>20</v>
      </c>
      <c r="I7" s="32" t="s">
        <v>19</v>
      </c>
      <c r="J7" s="32" t="s">
        <v>20</v>
      </c>
      <c r="K7" s="32" t="s">
        <v>19</v>
      </c>
      <c r="L7" s="32" t="s">
        <v>20</v>
      </c>
    </row>
    <row r="8" spans="1:12" ht="33" customHeight="1">
      <c r="A8" s="9" t="str">
        <f>'Base Bid Item List'!A21</f>
        <v>0002</v>
      </c>
      <c r="B8" s="38" t="str">
        <f>'Base Bid Item List'!B21</f>
        <v>Work Zone and Traffic Control 
(Section 012200)</v>
      </c>
      <c r="C8" s="39">
        <f>'Base Bid Item List'!C21</f>
        <v>1</v>
      </c>
      <c r="D8" s="13" t="str">
        <f>'Base Bid Item List'!D21</f>
        <v>LS</v>
      </c>
      <c r="E8" s="17">
        <v>15000</v>
      </c>
      <c r="F8" s="18">
        <f t="shared" ref="F8:F11" si="0">QTY*E8</f>
        <v>15000</v>
      </c>
      <c r="G8" s="17">
        <v>97630</v>
      </c>
      <c r="H8" s="18">
        <f t="shared" ref="H8:H16" si="1">QTY*G8</f>
        <v>97630</v>
      </c>
      <c r="I8" s="17">
        <v>65000</v>
      </c>
      <c r="J8" s="18">
        <f t="shared" ref="J8:J11" si="2">QTY*I8</f>
        <v>65000</v>
      </c>
      <c r="K8" s="17">
        <v>25000</v>
      </c>
      <c r="L8" s="18">
        <f t="shared" ref="L8:L11" si="3">QTY*K8</f>
        <v>25000</v>
      </c>
    </row>
    <row r="9" spans="1:12" ht="33" customHeight="1">
      <c r="A9" s="9" t="str">
        <f>'Base Bid Item List'!A20</f>
        <v>0001</v>
      </c>
      <c r="B9" s="38" t="str">
        <f>'Base Bid Item List'!B20</f>
        <v>Sweeper
(Section 012200)</v>
      </c>
      <c r="C9" s="39">
        <f>'Base Bid Item List'!C20</f>
        <v>1</v>
      </c>
      <c r="D9" s="13" t="str">
        <f>'Base Bid Item List'!D20</f>
        <v>LS</v>
      </c>
      <c r="E9" s="17">
        <v>95000</v>
      </c>
      <c r="F9" s="18">
        <f t="shared" si="0"/>
        <v>95000</v>
      </c>
      <c r="G9" s="17">
        <v>148855</v>
      </c>
      <c r="H9" s="18">
        <f t="shared" si="1"/>
        <v>148855</v>
      </c>
      <c r="I9" s="17">
        <v>170000</v>
      </c>
      <c r="J9" s="18">
        <f t="shared" si="2"/>
        <v>170000</v>
      </c>
      <c r="K9" s="17">
        <v>50000</v>
      </c>
      <c r="L9" s="18">
        <f t="shared" si="3"/>
        <v>50000</v>
      </c>
    </row>
    <row r="10" spans="1:12" ht="33" customHeight="1">
      <c r="A10" s="9" t="str">
        <f>'Base Bid Item List'!A22</f>
        <v>0003</v>
      </c>
      <c r="B10" s="38" t="str">
        <f>'Base Bid Item List'!B22</f>
        <v>Mobilization
(Item C-105)</v>
      </c>
      <c r="C10" s="39">
        <f>'Base Bid Item List'!C22</f>
        <v>1</v>
      </c>
      <c r="D10" s="13" t="str">
        <f>'Base Bid Item List'!D22</f>
        <v>LS</v>
      </c>
      <c r="E10" s="17">
        <v>55000</v>
      </c>
      <c r="F10" s="18">
        <f t="shared" si="0"/>
        <v>55000</v>
      </c>
      <c r="G10" s="17">
        <v>139500</v>
      </c>
      <c r="H10" s="18">
        <f t="shared" si="1"/>
        <v>139500</v>
      </c>
      <c r="I10" s="17">
        <v>119250</v>
      </c>
      <c r="J10" s="18">
        <f t="shared" si="2"/>
        <v>119250</v>
      </c>
      <c r="K10" s="17">
        <f>ROUNDUP(SUM(L8:L9,L11:L16)*0.1,0)</f>
        <v>135498</v>
      </c>
      <c r="L10" s="18">
        <f t="shared" si="3"/>
        <v>135498</v>
      </c>
    </row>
    <row r="11" spans="1:12" ht="33" customHeight="1">
      <c r="A11" s="9" t="str">
        <f>'Base Bid Item List'!A23</f>
        <v>0004</v>
      </c>
      <c r="B11" s="38" t="str">
        <f>'Base Bid Item List'!B23</f>
        <v>Runway and High Speed Exit Taxiway Friction Testing
(Item P-608)</v>
      </c>
      <c r="C11" s="39">
        <f>'Base Bid Item List'!C23</f>
        <v>1</v>
      </c>
      <c r="D11" s="13" t="str">
        <f>'Base Bid Item List'!D23</f>
        <v>LS</v>
      </c>
      <c r="E11" s="17">
        <v>5000</v>
      </c>
      <c r="F11" s="18">
        <f t="shared" si="0"/>
        <v>5000</v>
      </c>
      <c r="G11" s="17">
        <v>40000</v>
      </c>
      <c r="H11" s="18">
        <f t="shared" si="1"/>
        <v>40000</v>
      </c>
      <c r="I11" s="17">
        <v>24500</v>
      </c>
      <c r="J11" s="18">
        <f t="shared" si="2"/>
        <v>24500</v>
      </c>
      <c r="K11" s="17">
        <v>30000</v>
      </c>
      <c r="L11" s="18">
        <f t="shared" si="3"/>
        <v>30000</v>
      </c>
    </row>
    <row r="12" spans="1:12" ht="33" customHeight="1">
      <c r="A12" s="9" t="str">
        <f>'Base Bid Item List'!A24</f>
        <v>0005</v>
      </c>
      <c r="B12" s="38" t="str">
        <f>'Base Bid Item List'!B24</f>
        <v>Asphalt Surface Treatment
(Item P-608)</v>
      </c>
      <c r="C12" s="39">
        <f>'Base Bid Item List'!C24</f>
        <v>163800</v>
      </c>
      <c r="D12" s="13" t="str">
        <f>'Base Bid Item List'!D24</f>
        <v>SY</v>
      </c>
      <c r="E12" s="17">
        <v>2.9</v>
      </c>
      <c r="F12" s="18">
        <f t="shared" ref="F12:F16" si="4">QTY*E12</f>
        <v>475020</v>
      </c>
      <c r="G12" s="17">
        <v>2.93</v>
      </c>
      <c r="H12" s="18">
        <f t="shared" si="1"/>
        <v>479934</v>
      </c>
      <c r="I12" s="17">
        <v>3.25</v>
      </c>
      <c r="J12" s="18">
        <f t="shared" ref="J12:J16" si="5">QTY*I12</f>
        <v>532350</v>
      </c>
      <c r="K12" s="17">
        <v>5</v>
      </c>
      <c r="L12" s="18">
        <f t="shared" ref="L12:L16" si="6">QTY*K12</f>
        <v>819000</v>
      </c>
    </row>
    <row r="13" spans="1:12" ht="33" customHeight="1">
      <c r="A13" s="9" t="str">
        <f>'Base Bid Item List'!A25</f>
        <v>0006</v>
      </c>
      <c r="B13" s="38" t="str">
        <f>'Base Bid Item List'!B25</f>
        <v>Surface Preparation - Remove Existing Markings
(Item P-620)</v>
      </c>
      <c r="C13" s="39">
        <f>'Base Bid Item List'!C25</f>
        <v>69500</v>
      </c>
      <c r="D13" s="13" t="str">
        <f>'Base Bid Item List'!D25</f>
        <v>SF</v>
      </c>
      <c r="E13" s="17">
        <v>1.25</v>
      </c>
      <c r="F13" s="18">
        <f t="shared" si="4"/>
        <v>86875</v>
      </c>
      <c r="G13" s="17">
        <v>1</v>
      </c>
      <c r="H13" s="18">
        <f t="shared" si="1"/>
        <v>69500</v>
      </c>
      <c r="I13" s="17">
        <v>0.95</v>
      </c>
      <c r="J13" s="18">
        <f t="shared" si="5"/>
        <v>66025</v>
      </c>
      <c r="K13" s="17">
        <v>2</v>
      </c>
      <c r="L13" s="18">
        <f t="shared" si="6"/>
        <v>139000</v>
      </c>
    </row>
    <row r="14" spans="1:12" ht="33" customHeight="1">
      <c r="A14" s="9" t="str">
        <f>'Base Bid Item List'!A26</f>
        <v>0007</v>
      </c>
      <c r="B14" s="38" t="str">
        <f>'Base Bid Item List'!B26</f>
        <v>Marking
(Item P-620)</v>
      </c>
      <c r="C14" s="39">
        <f>'Base Bid Item List'!C26</f>
        <v>69500</v>
      </c>
      <c r="D14" s="13" t="str">
        <f>'Base Bid Item List'!D26</f>
        <v>SF</v>
      </c>
      <c r="E14" s="17">
        <v>1.25</v>
      </c>
      <c r="F14" s="18">
        <f t="shared" si="4"/>
        <v>86875</v>
      </c>
      <c r="G14" s="17">
        <v>1.85</v>
      </c>
      <c r="H14" s="18">
        <f t="shared" si="1"/>
        <v>128575</v>
      </c>
      <c r="I14" s="17">
        <v>2.48</v>
      </c>
      <c r="J14" s="18">
        <f t="shared" si="5"/>
        <v>172360</v>
      </c>
      <c r="K14" s="17">
        <v>2.25</v>
      </c>
      <c r="L14" s="18">
        <f t="shared" si="6"/>
        <v>156375</v>
      </c>
    </row>
    <row r="15" spans="1:12" ht="33" customHeight="1">
      <c r="A15" s="9" t="str">
        <f>'Base Bid Item List'!A27</f>
        <v>0008</v>
      </c>
      <c r="B15" s="38" t="str">
        <f>'Base Bid Item List'!B27</f>
        <v>Temporary Runway and Taxiway Marking
(Item P-620)</v>
      </c>
      <c r="C15" s="39">
        <f>'Base Bid Item List'!C27</f>
        <v>69500</v>
      </c>
      <c r="D15" s="13" t="str">
        <f>'Base Bid Item List'!D27</f>
        <v>SF</v>
      </c>
      <c r="E15" s="17">
        <v>1.25</v>
      </c>
      <c r="F15" s="18">
        <f t="shared" si="4"/>
        <v>86875</v>
      </c>
      <c r="G15" s="17">
        <v>1.85</v>
      </c>
      <c r="H15" s="18">
        <f t="shared" si="1"/>
        <v>128575</v>
      </c>
      <c r="I15" s="17">
        <v>2.1</v>
      </c>
      <c r="J15" s="18">
        <f t="shared" si="5"/>
        <v>145950</v>
      </c>
      <c r="K15" s="17">
        <v>1.75</v>
      </c>
      <c r="L15" s="18">
        <f t="shared" si="6"/>
        <v>121625</v>
      </c>
    </row>
    <row r="16" spans="1:12" ht="33" customHeight="1">
      <c r="A16" s="9" t="str">
        <f>'Base Bid Item List'!A28</f>
        <v>0009</v>
      </c>
      <c r="B16" s="38" t="str">
        <f>'Base Bid Item List'!B28</f>
        <v>Reflective Media
(Item P-620)</v>
      </c>
      <c r="C16" s="39">
        <f>'Base Bid Item List'!C28</f>
        <v>4300</v>
      </c>
      <c r="D16" s="13" t="str">
        <f>'Base Bid Item List'!D28</f>
        <v>LB</v>
      </c>
      <c r="E16" s="17">
        <v>1.25</v>
      </c>
      <c r="F16" s="18">
        <f t="shared" si="4"/>
        <v>5375</v>
      </c>
      <c r="G16" s="17">
        <v>1</v>
      </c>
      <c r="H16" s="18">
        <f t="shared" si="1"/>
        <v>4300</v>
      </c>
      <c r="I16" s="17">
        <v>4.5</v>
      </c>
      <c r="J16" s="18">
        <f t="shared" si="5"/>
        <v>19350</v>
      </c>
      <c r="K16" s="17">
        <v>3.25</v>
      </c>
      <c r="L16" s="18">
        <f t="shared" si="6"/>
        <v>13975</v>
      </c>
    </row>
    <row r="17" spans="1:12" ht="27.75" customHeight="1">
      <c r="A17" s="10"/>
      <c r="B17" s="55" t="s">
        <v>53</v>
      </c>
      <c r="C17" s="28"/>
      <c r="D17" s="15"/>
      <c r="E17" s="19"/>
      <c r="F17" s="19">
        <f>SUM(F8:F16)</f>
        <v>911020</v>
      </c>
      <c r="G17" s="19"/>
      <c r="H17" s="19">
        <f>SUM(H8:H16)</f>
        <v>1236869</v>
      </c>
      <c r="I17" s="19"/>
      <c r="J17" s="19">
        <f>SUM(J8:J16)</f>
        <v>1314785</v>
      </c>
      <c r="K17" s="19"/>
      <c r="L17" s="19">
        <f>SUM(L8:L16)</f>
        <v>1490473</v>
      </c>
    </row>
  </sheetData>
  <mergeCells count="10">
    <mergeCell ref="K1:L5"/>
    <mergeCell ref="A6:D6"/>
    <mergeCell ref="E1:F5"/>
    <mergeCell ref="I1:J5"/>
    <mergeCell ref="A1:D1"/>
    <mergeCell ref="A2:D2"/>
    <mergeCell ref="A3:D3"/>
    <mergeCell ref="A4:D4"/>
    <mergeCell ref="A5:D5"/>
    <mergeCell ref="G1:H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L17"/>
  <sheetViews>
    <sheetView zoomScaleNormal="100" zoomScaleSheetLayoutView="100" workbookViewId="0">
      <selection activeCell="A5" sqref="A5:D5"/>
    </sheetView>
  </sheetViews>
  <sheetFormatPr defaultRowHeight="15"/>
  <cols>
    <col min="1" max="1" width="6.7109375" customWidth="1"/>
    <col min="2" max="2" width="28.85546875" customWidth="1"/>
    <col min="3" max="3" width="11.28515625" customWidth="1"/>
    <col min="4" max="4" width="6.7109375" customWidth="1"/>
    <col min="5" max="5" width="11" customWidth="1"/>
    <col min="6" max="6" width="13.42578125" customWidth="1"/>
    <col min="7" max="7" width="11" customWidth="1"/>
    <col min="8" max="8" width="13.42578125" customWidth="1"/>
    <col min="9" max="9" width="11" customWidth="1"/>
    <col min="10" max="10" width="13.42578125" customWidth="1"/>
    <col min="11" max="11" width="11" customWidth="1"/>
    <col min="12" max="12" width="13.42578125" customWidth="1"/>
  </cols>
  <sheetData>
    <row r="1" spans="1:12" ht="30" customHeight="1">
      <c r="A1" s="76" t="s">
        <v>13</v>
      </c>
      <c r="B1" s="77"/>
      <c r="C1" s="77"/>
      <c r="D1" s="78"/>
      <c r="E1" s="89" t="str">
        <f>Contractor1</f>
        <v>American Road Maintenance</v>
      </c>
      <c r="F1" s="90"/>
      <c r="G1" s="89" t="s">
        <v>47</v>
      </c>
      <c r="H1" s="90"/>
      <c r="I1" s="89" t="str">
        <f>Contractor2</f>
        <v>Specialized Pavement Marking, LLC</v>
      </c>
      <c r="J1" s="90"/>
      <c r="K1" s="85" t="str">
        <f>EngineerEstimate</f>
        <v>Engineer's Estimate</v>
      </c>
      <c r="L1" s="86"/>
    </row>
    <row r="2" spans="1:12">
      <c r="A2" s="79" t="s">
        <v>50</v>
      </c>
      <c r="B2" s="80"/>
      <c r="C2" s="80"/>
      <c r="D2" s="81"/>
      <c r="E2" s="91"/>
      <c r="F2" s="92"/>
      <c r="G2" s="91"/>
      <c r="H2" s="92"/>
      <c r="I2" s="91"/>
      <c r="J2" s="92"/>
      <c r="K2" s="87"/>
      <c r="L2" s="88"/>
    </row>
    <row r="3" spans="1:12">
      <c r="A3" s="79"/>
      <c r="B3" s="80"/>
      <c r="C3" s="80"/>
      <c r="D3" s="81"/>
      <c r="E3" s="91"/>
      <c r="F3" s="92"/>
      <c r="G3" s="91"/>
      <c r="H3" s="92"/>
      <c r="I3" s="91"/>
      <c r="J3" s="92"/>
      <c r="K3" s="87"/>
      <c r="L3" s="88"/>
    </row>
    <row r="4" spans="1:12">
      <c r="A4" s="82" t="s">
        <v>51</v>
      </c>
      <c r="B4" s="83"/>
      <c r="C4" s="83"/>
      <c r="D4" s="84"/>
      <c r="E4" s="91"/>
      <c r="F4" s="92"/>
      <c r="G4" s="91"/>
      <c r="H4" s="92"/>
      <c r="I4" s="91"/>
      <c r="J4" s="92"/>
      <c r="K4" s="87"/>
      <c r="L4" s="88"/>
    </row>
    <row r="5" spans="1:12">
      <c r="A5" s="82" t="s">
        <v>52</v>
      </c>
      <c r="B5" s="83"/>
      <c r="C5" s="83"/>
      <c r="D5" s="84"/>
      <c r="E5" s="91"/>
      <c r="F5" s="92"/>
      <c r="G5" s="91"/>
      <c r="H5" s="92"/>
      <c r="I5" s="91"/>
      <c r="J5" s="92"/>
      <c r="K5" s="87"/>
      <c r="L5" s="88"/>
    </row>
    <row r="6" spans="1:12">
      <c r="A6" s="69">
        <f ca="1">TODAY()</f>
        <v>46048</v>
      </c>
      <c r="B6" s="70"/>
      <c r="C6" s="70"/>
      <c r="D6" s="71"/>
      <c r="E6" s="30"/>
      <c r="F6" s="31"/>
      <c r="G6" s="30"/>
      <c r="H6" s="31"/>
      <c r="I6" s="30"/>
      <c r="J6" s="31"/>
      <c r="K6" s="30"/>
      <c r="L6" s="31"/>
    </row>
    <row r="7" spans="1:12" ht="33" customHeight="1">
      <c r="A7" s="8" t="s">
        <v>15</v>
      </c>
      <c r="B7" s="12" t="s">
        <v>16</v>
      </c>
      <c r="C7" s="27" t="s">
        <v>17</v>
      </c>
      <c r="D7" s="12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  <c r="K7" s="35" t="s">
        <v>19</v>
      </c>
      <c r="L7" s="35" t="s">
        <v>20</v>
      </c>
    </row>
    <row r="8" spans="1:12" ht="33" customHeight="1">
      <c r="A8" s="9" t="str">
        <f>'Alternate Item List'!A20</f>
        <v>0001</v>
      </c>
      <c r="B8" s="38" t="str">
        <f>'Alternate Item List'!B20</f>
        <v>Mobilization
(Item C-105)</v>
      </c>
      <c r="C8" s="39">
        <f>'Alternate Item List'!C20</f>
        <v>1</v>
      </c>
      <c r="D8" s="13" t="str">
        <f>'Alternate Item List'!D20</f>
        <v>LS</v>
      </c>
      <c r="E8" s="17">
        <v>2500</v>
      </c>
      <c r="F8" s="18">
        <f>C8*E8</f>
        <v>2500</v>
      </c>
      <c r="G8" s="17">
        <v>4000</v>
      </c>
      <c r="H8" s="18">
        <f>C8*G8</f>
        <v>4000</v>
      </c>
      <c r="I8" s="17">
        <v>10000</v>
      </c>
      <c r="J8" s="18">
        <f>C8*I8</f>
        <v>10000</v>
      </c>
      <c r="K8" s="17">
        <f>ROUNDUP(SUM(L9:L13)*0.1,0)</f>
        <v>5443</v>
      </c>
      <c r="L8" s="18">
        <f t="shared" ref="L8:L16" si="0">K8*C8</f>
        <v>5443</v>
      </c>
    </row>
    <row r="9" spans="1:12" ht="33" customHeight="1">
      <c r="A9" s="9" t="str">
        <f>'Alternate Item List'!A21</f>
        <v>0002</v>
      </c>
      <c r="B9" s="38" t="str">
        <f>'Alternate Item List'!B21</f>
        <v>Asphalt Surface Treatment
(Item P-608)</v>
      </c>
      <c r="C9" s="39">
        <f>'Alternate Item List'!C21</f>
        <v>8600</v>
      </c>
      <c r="D9" s="13" t="str">
        <f>'Alternate Item List'!D21</f>
        <v>SY</v>
      </c>
      <c r="E9" s="17">
        <v>2.9</v>
      </c>
      <c r="F9" s="18">
        <f t="shared" ref="F9:F16" si="1">C9*E9</f>
        <v>24940</v>
      </c>
      <c r="G9" s="17">
        <v>2.93</v>
      </c>
      <c r="H9" s="18">
        <f>C9*G9</f>
        <v>25198</v>
      </c>
      <c r="I9" s="17">
        <v>3.1</v>
      </c>
      <c r="J9" s="18">
        <f t="shared" ref="J9:J16" si="2">C9*I9</f>
        <v>26660</v>
      </c>
      <c r="K9" s="17">
        <v>5</v>
      </c>
      <c r="L9" s="18">
        <f t="shared" si="0"/>
        <v>43000</v>
      </c>
    </row>
    <row r="10" spans="1:12" ht="33" customHeight="1">
      <c r="A10" s="9" t="str">
        <f>'Alternate Item List'!A22</f>
        <v>0003</v>
      </c>
      <c r="B10" s="38" t="str">
        <f>'Alternate Item List'!B22</f>
        <v>Surface Preparation - Remove Existing Markings
(Item P-620)</v>
      </c>
      <c r="C10" s="39">
        <f>'Alternate Item List'!C22</f>
        <v>1840</v>
      </c>
      <c r="D10" s="13" t="str">
        <f>'Alternate Item List'!D22</f>
        <v>SF</v>
      </c>
      <c r="E10" s="17">
        <v>1.25</v>
      </c>
      <c r="F10" s="18">
        <f t="shared" si="1"/>
        <v>2300</v>
      </c>
      <c r="G10" s="17">
        <v>2</v>
      </c>
      <c r="H10" s="18">
        <f t="shared" ref="H10:H13" si="3">C10*G10</f>
        <v>3680</v>
      </c>
      <c r="I10" s="17">
        <v>2.75</v>
      </c>
      <c r="J10" s="18">
        <f t="shared" si="2"/>
        <v>5060</v>
      </c>
      <c r="K10" s="17">
        <v>2</v>
      </c>
      <c r="L10" s="18">
        <f t="shared" si="0"/>
        <v>3680</v>
      </c>
    </row>
    <row r="11" spans="1:12" ht="33" customHeight="1">
      <c r="A11" s="9" t="str">
        <f>'Alternate Item List'!A23</f>
        <v>0004</v>
      </c>
      <c r="B11" s="38" t="str">
        <f>'Alternate Item List'!B23</f>
        <v>Marking
(Item P-620)</v>
      </c>
      <c r="C11" s="39">
        <f>'Alternate Item List'!C23</f>
        <v>1840</v>
      </c>
      <c r="D11" s="13" t="str">
        <f>'Alternate Item List'!D23</f>
        <v>SF</v>
      </c>
      <c r="E11" s="17">
        <v>1.25</v>
      </c>
      <c r="F11" s="18">
        <f t="shared" si="1"/>
        <v>2300</v>
      </c>
      <c r="G11" s="17">
        <v>1.85</v>
      </c>
      <c r="H11" s="18">
        <f t="shared" si="3"/>
        <v>3404</v>
      </c>
      <c r="I11" s="17">
        <v>2.48</v>
      </c>
      <c r="J11" s="18">
        <f t="shared" si="2"/>
        <v>4563.2</v>
      </c>
      <c r="K11" s="17">
        <v>2.25</v>
      </c>
      <c r="L11" s="18">
        <f t="shared" si="0"/>
        <v>4140</v>
      </c>
    </row>
    <row r="12" spans="1:12" ht="33" customHeight="1">
      <c r="A12" s="9" t="str">
        <f>'Alternate Item List'!A24</f>
        <v>0005</v>
      </c>
      <c r="B12" s="38" t="str">
        <f>'Alternate Item List'!B24</f>
        <v>Temporary Runway and Taxiway Marking
(Item P-620)</v>
      </c>
      <c r="C12" s="39">
        <f>'Alternate Item List'!C24</f>
        <v>1840</v>
      </c>
      <c r="D12" s="13" t="str">
        <f>'Alternate Item List'!D24</f>
        <v>SF</v>
      </c>
      <c r="E12" s="17">
        <v>1.25</v>
      </c>
      <c r="F12" s="18">
        <f t="shared" si="1"/>
        <v>2300</v>
      </c>
      <c r="G12" s="17">
        <v>1.85</v>
      </c>
      <c r="H12" s="18">
        <f t="shared" si="3"/>
        <v>3404</v>
      </c>
      <c r="I12" s="17">
        <v>3.5</v>
      </c>
      <c r="J12" s="18">
        <f t="shared" si="2"/>
        <v>6440</v>
      </c>
      <c r="K12" s="17">
        <v>1.75</v>
      </c>
      <c r="L12" s="18">
        <f t="shared" si="0"/>
        <v>3220</v>
      </c>
    </row>
    <row r="13" spans="1:12" ht="33" customHeight="1">
      <c r="A13" s="9" t="str">
        <f>'Alternate Item List'!A25</f>
        <v>0006</v>
      </c>
      <c r="B13" s="38" t="str">
        <f>'Alternate Item List'!B25</f>
        <v>Reflective Media
(Item P-620)</v>
      </c>
      <c r="C13" s="39">
        <f>'Alternate Item List'!C25</f>
        <v>120</v>
      </c>
      <c r="D13" s="13" t="str">
        <f>'Alternate Item List'!D25</f>
        <v>LB</v>
      </c>
      <c r="E13" s="17">
        <v>1.25</v>
      </c>
      <c r="F13" s="18">
        <f t="shared" si="1"/>
        <v>150</v>
      </c>
      <c r="G13" s="17">
        <v>1</v>
      </c>
      <c r="H13" s="18">
        <f t="shared" si="3"/>
        <v>120</v>
      </c>
      <c r="I13" s="17">
        <v>0.65</v>
      </c>
      <c r="J13" s="18">
        <f t="shared" si="2"/>
        <v>78</v>
      </c>
      <c r="K13" s="17">
        <v>3.25</v>
      </c>
      <c r="L13" s="18">
        <f t="shared" si="0"/>
        <v>390</v>
      </c>
    </row>
    <row r="14" spans="1:12" ht="33" hidden="1" customHeight="1">
      <c r="A14" s="9">
        <f>'Alternate Item List'!A26</f>
        <v>0</v>
      </c>
      <c r="B14" s="38">
        <f>'Alternate Item List'!B26</f>
        <v>0</v>
      </c>
      <c r="C14" s="39">
        <f>'Alternate Item List'!C26</f>
        <v>0</v>
      </c>
      <c r="D14" s="13">
        <f>'Alternate Item List'!D26</f>
        <v>0</v>
      </c>
      <c r="E14" s="17"/>
      <c r="F14" s="18">
        <f t="shared" si="1"/>
        <v>0</v>
      </c>
      <c r="G14" s="17"/>
      <c r="H14" s="18">
        <f t="shared" ref="H14:H16" si="4">A14*G14</f>
        <v>0</v>
      </c>
      <c r="I14" s="17"/>
      <c r="J14" s="18">
        <f t="shared" si="2"/>
        <v>0</v>
      </c>
      <c r="K14" s="17"/>
      <c r="L14" s="18">
        <f t="shared" si="0"/>
        <v>0</v>
      </c>
    </row>
    <row r="15" spans="1:12" ht="33" hidden="1" customHeight="1">
      <c r="A15" s="9">
        <f>'Alternate Item List'!A27</f>
        <v>0</v>
      </c>
      <c r="B15" s="38">
        <f>'Alternate Item List'!B27</f>
        <v>0</v>
      </c>
      <c r="C15" s="39">
        <f>'Alternate Item List'!C27</f>
        <v>0</v>
      </c>
      <c r="D15" s="13">
        <f>'Alternate Item List'!D27</f>
        <v>0</v>
      </c>
      <c r="E15" s="17"/>
      <c r="F15" s="18">
        <f t="shared" si="1"/>
        <v>0</v>
      </c>
      <c r="G15" s="17"/>
      <c r="H15" s="18">
        <f t="shared" si="4"/>
        <v>0</v>
      </c>
      <c r="I15" s="17"/>
      <c r="J15" s="18">
        <f t="shared" si="2"/>
        <v>0</v>
      </c>
      <c r="K15" s="17"/>
      <c r="L15" s="18">
        <f t="shared" si="0"/>
        <v>0</v>
      </c>
    </row>
    <row r="16" spans="1:12" ht="33" hidden="1" customHeight="1">
      <c r="A16" s="9">
        <f>'Alternate Item List'!A28</f>
        <v>0</v>
      </c>
      <c r="B16" s="38">
        <f>'Alternate Item List'!B28</f>
        <v>0</v>
      </c>
      <c r="C16" s="39">
        <f>'Alternate Item List'!C28</f>
        <v>0</v>
      </c>
      <c r="D16" s="13">
        <f>'Alternate Item List'!D28</f>
        <v>0</v>
      </c>
      <c r="E16" s="17"/>
      <c r="F16" s="18">
        <f t="shared" si="1"/>
        <v>0</v>
      </c>
      <c r="G16" s="17"/>
      <c r="H16" s="18">
        <f t="shared" si="4"/>
        <v>0</v>
      </c>
      <c r="I16" s="17"/>
      <c r="J16" s="18">
        <f t="shared" si="2"/>
        <v>0</v>
      </c>
      <c r="K16" s="17"/>
      <c r="L16" s="18">
        <f t="shared" si="0"/>
        <v>0</v>
      </c>
    </row>
    <row r="17" spans="1:12" ht="27.75" customHeight="1">
      <c r="A17" s="10"/>
      <c r="B17" s="14" t="s">
        <v>45</v>
      </c>
      <c r="C17" s="28"/>
      <c r="D17" s="15"/>
      <c r="E17" s="19"/>
      <c r="F17" s="19">
        <f>SUM(F8:F16)</f>
        <v>34490</v>
      </c>
      <c r="G17" s="19"/>
      <c r="H17" s="19">
        <f>SUM(H8:H16)</f>
        <v>39806</v>
      </c>
      <c r="I17" s="19"/>
      <c r="J17" s="19">
        <f>SUM(J8:J16)</f>
        <v>52801.2</v>
      </c>
      <c r="K17" s="19"/>
      <c r="L17" s="19">
        <f>SUM(L8:L16)</f>
        <v>59873</v>
      </c>
    </row>
  </sheetData>
  <mergeCells count="10">
    <mergeCell ref="A6:D6"/>
    <mergeCell ref="K1:L5"/>
    <mergeCell ref="E1:F5"/>
    <mergeCell ref="I1:J5"/>
    <mergeCell ref="A1:D1"/>
    <mergeCell ref="A2:D2"/>
    <mergeCell ref="A3:D3"/>
    <mergeCell ref="A4:D4"/>
    <mergeCell ref="A5:D5"/>
    <mergeCell ref="G1:H5"/>
  </mergeCells>
  <printOptions horizontalCentered="1"/>
  <pageMargins left="0.5" right="0.5" top="0.5" bottom="0.5" header="0.0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6" tint="-0.499984740745262"/>
  </sheetPr>
  <dimension ref="A1:D13"/>
  <sheetViews>
    <sheetView view="pageBreakPreview" zoomScaleNormal="75" zoomScaleSheetLayoutView="100" workbookViewId="0">
      <selection activeCell="D11" sqref="D11"/>
    </sheetView>
  </sheetViews>
  <sheetFormatPr defaultRowHeight="15"/>
  <cols>
    <col min="1" max="1" width="41.5703125" style="11" customWidth="1"/>
    <col min="2" max="2" width="24.28515625" style="33" customWidth="1"/>
    <col min="3" max="3" width="23.5703125" style="33" customWidth="1"/>
    <col min="4" max="4" width="14" bestFit="1" customWidth="1"/>
  </cols>
  <sheetData>
    <row r="1" spans="1:4" ht="30" customHeight="1">
      <c r="A1" s="45" t="str">
        <f>ProjectLocation</f>
        <v>HILLSBORO AIRPORT</v>
      </c>
      <c r="B1" s="47"/>
      <c r="C1" s="47"/>
    </row>
    <row r="2" spans="1:4" ht="15" customHeight="1">
      <c r="A2" s="46" t="str">
        <f>ProjectTitle</f>
        <v>RUNWAY AND TAXIWAY SEALS</v>
      </c>
      <c r="B2" s="48"/>
      <c r="C2" s="48"/>
    </row>
    <row r="3" spans="1:4" ht="15" customHeight="1">
      <c r="A3" s="46">
        <f>ProjectTitle2</f>
        <v>0</v>
      </c>
      <c r="B3" s="48"/>
      <c r="C3" s="48"/>
    </row>
    <row r="4" spans="1:4">
      <c r="A4" s="40" t="str">
        <f>EAN</f>
        <v>EAN 2023D018</v>
      </c>
      <c r="B4" s="48"/>
      <c r="C4" s="48"/>
    </row>
    <row r="5" spans="1:4" ht="15" customHeight="1">
      <c r="A5" s="41" t="str">
        <f>SolicitationNo</f>
        <v>Solicitation No. 2024-10519</v>
      </c>
      <c r="B5" s="48"/>
      <c r="C5" s="48"/>
    </row>
    <row r="6" spans="1:4" ht="15" customHeight="1">
      <c r="A6" s="42">
        <f ca="1">TODAY()</f>
        <v>46048</v>
      </c>
      <c r="B6" s="49"/>
      <c r="C6" s="49"/>
    </row>
    <row r="7" spans="1:4" ht="33" customHeight="1">
      <c r="A7" s="43" t="s">
        <v>54</v>
      </c>
      <c r="B7" s="50" t="s">
        <v>55</v>
      </c>
      <c r="C7" s="54" t="s">
        <v>56</v>
      </c>
    </row>
    <row r="8" spans="1:4" ht="33" customHeight="1">
      <c r="A8" s="44" t="str">
        <f>Contractor1</f>
        <v>American Road Maintenance</v>
      </c>
      <c r="B8" s="51">
        <f>Total1</f>
        <v>911020</v>
      </c>
      <c r="C8" s="51">
        <f>'Alternate Bid Tabulation'!F17</f>
        <v>34490</v>
      </c>
      <c r="D8">
        <v>1</v>
      </c>
    </row>
    <row r="9" spans="1:4" ht="33" customHeight="1">
      <c r="A9" s="44" t="s">
        <v>47</v>
      </c>
      <c r="B9" s="51">
        <f>'Base Bid Tabulation'!H17</f>
        <v>1236869</v>
      </c>
      <c r="C9" s="51">
        <f>'Alternate Bid Tabulation'!H17</f>
        <v>39806</v>
      </c>
      <c r="D9">
        <v>2</v>
      </c>
    </row>
    <row r="10" spans="1:4" ht="33" customHeight="1">
      <c r="A10" s="44" t="str">
        <f>Contractor2</f>
        <v>Specialized Pavement Marking, LLC</v>
      </c>
      <c r="B10" s="51">
        <f>Total2</f>
        <v>1314785</v>
      </c>
      <c r="C10" s="51">
        <f>'Alternate Bid Tabulation'!J17</f>
        <v>52801.2</v>
      </c>
      <c r="D10">
        <v>3</v>
      </c>
    </row>
    <row r="11" spans="1:4" ht="33" customHeight="1">
      <c r="A11" s="52" t="str">
        <f>EngineerEstimate</f>
        <v>Engineer's Estimate</v>
      </c>
      <c r="B11" s="53">
        <f>TotalEE</f>
        <v>1490473</v>
      </c>
      <c r="C11" s="53">
        <f>'Alternate Bid Tabulation'!L17</f>
        <v>59873</v>
      </c>
      <c r="D11" s="23"/>
    </row>
    <row r="12" spans="1:4">
      <c r="A12" s="34" t="s">
        <v>57</v>
      </c>
    </row>
    <row r="13" spans="1:4">
      <c r="A13" s="34" t="s">
        <v>58</v>
      </c>
    </row>
  </sheetData>
  <sortState xmlns:xlrd2="http://schemas.microsoft.com/office/spreadsheetml/2017/richdata2" ref="A8:D10">
    <sortCondition ref="B8:B10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674E47-D146-41C7-A2F6-E289CBB06418}"/>
</file>

<file path=customXml/itemProps2.xml><?xml version="1.0" encoding="utf-8"?>
<ds:datastoreItem xmlns:ds="http://schemas.openxmlformats.org/officeDocument/2006/customXml" ds:itemID="{E6F4DF75-AB1B-4D23-88A1-1A1FE3B450D0}"/>
</file>

<file path=customXml/itemProps3.xml><?xml version="1.0" encoding="utf-8"?>
<ds:datastoreItem xmlns:ds="http://schemas.openxmlformats.org/officeDocument/2006/customXml" ds:itemID="{DEE5DFEF-3FA8-45FD-85A2-A89058AFB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Jennifer Daeges</cp:lastModifiedBy>
  <cp:revision/>
  <dcterms:created xsi:type="dcterms:W3CDTF">2014-05-02T22:08:37Z</dcterms:created>
  <dcterms:modified xsi:type="dcterms:W3CDTF">2026-01-27T01:55:15Z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