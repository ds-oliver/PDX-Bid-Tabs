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69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dx\16D\015\"/>
    </mc:Choice>
  </mc:AlternateContent>
  <bookViews>
    <workbookView xWindow="-15" yWindow="45" windowWidth="12600" windowHeight="12930" tabRatio="352" activeTab="2"/>
  </bookViews>
  <sheets>
    <sheet name="Bid Item List" sheetId="1" r:id="rId1"/>
    <sheet name="Bid Tabulation" sheetId="2" r:id="rId2"/>
    <sheet name="Summary" sheetId="5" r:id="rId3"/>
  </sheets>
  <definedNames>
    <definedName name="Contractor1">'Bid Tabulation'!$E$1</definedName>
    <definedName name="Contractor2">'Bid Tabulation'!$G$1</definedName>
    <definedName name="Contractor3">'Bid Tabulation'!$I$1</definedName>
    <definedName name="Contractor3A">'Bid Tabulation'!#REF!</definedName>
    <definedName name="Contractor4">'Bid Tabulation'!$K$1</definedName>
    <definedName name="Contractor5">'Bid Tabulation'!$M$1</definedName>
    <definedName name="Contractor6">'Bid Tabulation'!$O$1</definedName>
    <definedName name="Contractor7">'Bid Tabulation'!$Q$1</definedName>
    <definedName name="Contractor8">'Bid Tabulation'!#REF!</definedName>
    <definedName name="EAN">'Bid Tabulation'!$A$4</definedName>
    <definedName name="EngineerEstimate">'Bid Tabulation'!$S$1</definedName>
    <definedName name="_xlnm.Print_Area" localSheetId="0">'Bid Item List'!$A$14:$F$58</definedName>
    <definedName name="_xlnm.Print_Area" localSheetId="2">Summary!$A$1:$B$16</definedName>
    <definedName name="_xlnm.Print_Titles" localSheetId="0">'Bid Item List'!$14:$19</definedName>
    <definedName name="_xlnm.Print_Titles" localSheetId="1">'Bid Tabulation'!$A:$D,'Bid Tabulation'!$1:$7</definedName>
    <definedName name="ProjectLocation">'Bid Item List'!$A$15</definedName>
    <definedName name="ProjectTitle">'Bid Item List'!$A$16</definedName>
    <definedName name="ProjectTitle2">'Bid Item List'!$A$17</definedName>
    <definedName name="QTY">'Bid Tabulation'!$C:$C</definedName>
    <definedName name="SolicitationNo">'Bid Tabulation'!$A$5</definedName>
    <definedName name="Total1">'Bid Tabulation'!$F$46</definedName>
    <definedName name="Total2">'Bid Tabulation'!$H$46</definedName>
    <definedName name="Total3">'Bid Tabulation'!$J$46</definedName>
    <definedName name="Total3A">'Bid Tabulation'!#REF!</definedName>
    <definedName name="Total4">'Bid Tabulation'!$L$46</definedName>
    <definedName name="Total5">'Bid Tabulation'!$N$46</definedName>
    <definedName name="Total6">'Bid Tabulation'!$P$46</definedName>
    <definedName name="Total7">'Bid Tabulation'!$R$46</definedName>
    <definedName name="Total8">'Bid Tabulation'!#REF!</definedName>
    <definedName name="TotalEE">'Bid Tabulation'!$T$46</definedName>
  </definedNames>
  <calcPr calcId="171027"/>
</workbook>
</file>

<file path=xl/calcChain.xml><?xml version="1.0" encoding="utf-8"?>
<calcChain xmlns="http://schemas.openxmlformats.org/spreadsheetml/2006/main">
  <c r="F23" i="1" l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22" i="1"/>
  <c r="F21" i="1"/>
  <c r="F58" i="1"/>
  <c r="A11" i="2" l="1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T18" i="2" l="1"/>
  <c r="L19" i="2"/>
  <c r="J20" i="2"/>
  <c r="R22" i="2"/>
  <c r="J23" i="2"/>
  <c r="T24" i="2"/>
  <c r="F24" i="2"/>
  <c r="H25" i="2"/>
  <c r="H26" i="2"/>
  <c r="R27" i="2"/>
  <c r="T28" i="2"/>
  <c r="H29" i="2"/>
  <c r="J30" i="2"/>
  <c r="F30" i="2"/>
  <c r="F31" i="2"/>
  <c r="H32" i="2"/>
  <c r="H33" i="2"/>
  <c r="N34" i="2"/>
  <c r="L35" i="2"/>
  <c r="F36" i="2"/>
  <c r="F37" i="2"/>
  <c r="H37" i="2"/>
  <c r="F38" i="2"/>
  <c r="R39" i="2"/>
  <c r="P40" i="2"/>
  <c r="H40" i="2"/>
  <c r="T41" i="2"/>
  <c r="H41" i="2"/>
  <c r="N42" i="2"/>
  <c r="F42" i="2"/>
  <c r="L43" i="2"/>
  <c r="R44" i="2"/>
  <c r="F45" i="2"/>
  <c r="P20" i="2"/>
  <c r="T38" i="2"/>
  <c r="P38" i="2"/>
  <c r="L24" i="2"/>
  <c r="N38" i="2"/>
  <c r="L40" i="2"/>
  <c r="J40" i="2"/>
  <c r="F40" i="2"/>
  <c r="L38" i="2"/>
  <c r="R37" i="2"/>
  <c r="N33" i="2"/>
  <c r="R38" i="2"/>
  <c r="J38" i="2"/>
  <c r="L33" i="2"/>
  <c r="J35" i="2"/>
  <c r="H20" i="2"/>
  <c r="H44" i="2"/>
  <c r="L31" i="2"/>
  <c r="R31" i="2"/>
  <c r="J31" i="2"/>
  <c r="R33" i="2"/>
  <c r="F33" i="2"/>
  <c r="T30" i="2"/>
  <c r="N30" i="2"/>
  <c r="N43" i="2"/>
  <c r="H38" i="2"/>
  <c r="T35" i="2"/>
  <c r="N35" i="2"/>
  <c r="F35" i="2"/>
  <c r="T31" i="2"/>
  <c r="N31" i="2"/>
  <c r="N23" i="2"/>
  <c r="P33" i="2"/>
  <c r="A5" i="5"/>
  <c r="A4" i="5"/>
  <c r="A3" i="5"/>
  <c r="A2" i="5"/>
  <c r="A1" i="5"/>
  <c r="A3" i="2"/>
  <c r="A2" i="2"/>
  <c r="A1" i="2"/>
  <c r="P13" i="2"/>
  <c r="T14" i="2"/>
  <c r="P16" i="2"/>
  <c r="N13" i="2"/>
  <c r="A15" i="5"/>
  <c r="A8" i="5"/>
  <c r="A13" i="5"/>
  <c r="A11" i="5"/>
  <c r="A14" i="5"/>
  <c r="A10" i="5"/>
  <c r="A12" i="5"/>
  <c r="A9" i="5"/>
  <c r="A6" i="5"/>
  <c r="A9" i="2"/>
  <c r="B9" i="2"/>
  <c r="C9" i="2"/>
  <c r="P9" i="2" s="1"/>
  <c r="D9" i="2"/>
  <c r="A10" i="2"/>
  <c r="B10" i="2"/>
  <c r="C10" i="2"/>
  <c r="R10" i="2" s="1"/>
  <c r="D10" i="2"/>
  <c r="P12" i="2"/>
  <c r="D8" i="2"/>
  <c r="C8" i="2"/>
  <c r="L8" i="2" s="1"/>
  <c r="B8" i="2"/>
  <c r="A8" i="2"/>
  <c r="A6" i="2"/>
  <c r="L42" i="2" l="1"/>
  <c r="R42" i="2"/>
  <c r="N40" i="2"/>
  <c r="T40" i="2"/>
  <c r="R40" i="2"/>
  <c r="H12" i="2"/>
  <c r="J43" i="2"/>
  <c r="L14" i="2"/>
  <c r="F23" i="2"/>
  <c r="F43" i="2"/>
  <c r="P24" i="2"/>
  <c r="T17" i="2"/>
  <c r="L23" i="2"/>
  <c r="J12" i="2"/>
  <c r="P23" i="2"/>
  <c r="R28" i="2"/>
  <c r="L36" i="2"/>
  <c r="R45" i="2"/>
  <c r="L45" i="2"/>
  <c r="H16" i="2"/>
  <c r="H23" i="2"/>
  <c r="H43" i="2"/>
  <c r="R23" i="2"/>
  <c r="J28" i="2"/>
  <c r="P17" i="2"/>
  <c r="T43" i="2"/>
  <c r="F16" i="2"/>
  <c r="R43" i="2"/>
  <c r="J45" i="2"/>
  <c r="T19" i="2"/>
  <c r="P43" i="2"/>
  <c r="F28" i="2"/>
  <c r="L32" i="2"/>
  <c r="H31" i="2"/>
  <c r="P31" i="2"/>
  <c r="J18" i="2"/>
  <c r="T25" i="2"/>
  <c r="H11" i="2"/>
  <c r="T23" i="2"/>
  <c r="H21" i="2"/>
  <c r="T27" i="2"/>
  <c r="N39" i="2"/>
  <c r="H30" i="2"/>
  <c r="R25" i="2"/>
  <c r="R21" i="2"/>
  <c r="R35" i="2"/>
  <c r="P25" i="2"/>
  <c r="F41" i="2"/>
  <c r="P30" i="2"/>
  <c r="F44" i="2"/>
  <c r="P21" i="2"/>
  <c r="T37" i="2"/>
  <c r="F32" i="2"/>
  <c r="R30" i="2"/>
  <c r="T11" i="2"/>
  <c r="H35" i="2"/>
  <c r="H28" i="2"/>
  <c r="L44" i="2"/>
  <c r="N32" i="2"/>
  <c r="L30" i="2"/>
  <c r="T21" i="2"/>
  <c r="H45" i="2"/>
  <c r="N29" i="2"/>
  <c r="L20" i="2"/>
  <c r="H27" i="2"/>
  <c r="T9" i="2"/>
  <c r="F19" i="2"/>
  <c r="P35" i="2"/>
  <c r="N28" i="2"/>
  <c r="P44" i="2"/>
  <c r="J25" i="2"/>
  <c r="T32" i="2"/>
  <c r="R18" i="2"/>
  <c r="F34" i="2"/>
  <c r="L27" i="2"/>
  <c r="H18" i="2"/>
  <c r="N11" i="2"/>
  <c r="J16" i="2"/>
  <c r="R16" i="2"/>
  <c r="R36" i="2"/>
  <c r="N41" i="2"/>
  <c r="L11" i="2"/>
  <c r="H9" i="2"/>
  <c r="H14" i="2"/>
  <c r="F11" i="2"/>
  <c r="N10" i="2"/>
  <c r="N12" i="2"/>
  <c r="F14" i="2"/>
  <c r="N14" i="2"/>
  <c r="L16" i="2"/>
  <c r="N27" i="2"/>
  <c r="T20" i="2"/>
  <c r="N25" i="2"/>
  <c r="L39" i="2"/>
  <c r="F25" i="2"/>
  <c r="N37" i="2"/>
  <c r="J36" i="2"/>
  <c r="N9" i="2"/>
  <c r="P36" i="2"/>
  <c r="F9" i="2"/>
  <c r="L9" i="2"/>
  <c r="N8" i="2"/>
  <c r="R11" i="2"/>
  <c r="R9" i="2"/>
  <c r="R14" i="2"/>
  <c r="T16" i="2"/>
  <c r="P41" i="2"/>
  <c r="J41" i="2"/>
  <c r="T36" i="2"/>
  <c r="N18" i="2"/>
  <c r="L18" i="2"/>
  <c r="R41" i="2"/>
  <c r="P27" i="2"/>
  <c r="P11" i="2"/>
  <c r="J14" i="2"/>
  <c r="N16" i="2"/>
  <c r="F20" i="2"/>
  <c r="N36" i="2"/>
  <c r="F18" i="2"/>
  <c r="J11" i="2"/>
  <c r="H36" i="2"/>
  <c r="R20" i="2"/>
  <c r="L25" i="2"/>
  <c r="J9" i="2"/>
  <c r="P14" i="2"/>
  <c r="H10" i="2"/>
  <c r="F27" i="2"/>
  <c r="N20" i="2"/>
  <c r="L41" i="2"/>
  <c r="P32" i="2"/>
  <c r="R32" i="2"/>
  <c r="P18" i="2"/>
  <c r="P15" i="2"/>
  <c r="R15" i="2"/>
  <c r="T15" i="2"/>
  <c r="N15" i="2"/>
  <c r="T39" i="2"/>
  <c r="L34" i="2"/>
  <c r="J34" i="2"/>
  <c r="H39" i="2"/>
  <c r="R34" i="2"/>
  <c r="J44" i="2"/>
  <c r="T44" i="2"/>
  <c r="J37" i="2"/>
  <c r="L37" i="2"/>
  <c r="P37" i="2"/>
  <c r="J15" i="2"/>
  <c r="R12" i="2"/>
  <c r="F12" i="2"/>
  <c r="L12" i="2"/>
  <c r="P39" i="2"/>
  <c r="H34" i="2"/>
  <c r="T42" i="2"/>
  <c r="J42" i="2"/>
  <c r="P42" i="2"/>
  <c r="H42" i="2"/>
  <c r="L21" i="2"/>
  <c r="N21" i="2"/>
  <c r="J21" i="2"/>
  <c r="F21" i="2"/>
  <c r="T13" i="2"/>
  <c r="F13" i="2"/>
  <c r="T8" i="2"/>
  <c r="R8" i="2"/>
  <c r="J8" i="2"/>
  <c r="L13" i="2"/>
  <c r="F15" i="2"/>
  <c r="T10" i="2"/>
  <c r="P10" i="2"/>
  <c r="H15" i="2"/>
  <c r="L15" i="2"/>
  <c r="J10" i="2"/>
  <c r="H8" i="2"/>
  <c r="L10" i="2"/>
  <c r="T12" i="2"/>
  <c r="J13" i="2"/>
  <c r="P34" i="2"/>
  <c r="F8" i="2"/>
  <c r="H13" i="2"/>
  <c r="L26" i="2"/>
  <c r="T26" i="2"/>
  <c r="P26" i="2"/>
  <c r="J26" i="2"/>
  <c r="R26" i="2"/>
  <c r="F26" i="2"/>
  <c r="N26" i="2"/>
  <c r="J19" i="2"/>
  <c r="P19" i="2"/>
  <c r="F10" i="2"/>
  <c r="P8" i="2"/>
  <c r="N19" i="2"/>
  <c r="F39" i="2"/>
  <c r="H19" i="2"/>
  <c r="R19" i="2"/>
  <c r="J39" i="2"/>
  <c r="T34" i="2"/>
  <c r="N24" i="2"/>
  <c r="H24" i="2"/>
  <c r="R24" i="2"/>
  <c r="J24" i="2"/>
  <c r="J33" i="2"/>
  <c r="N45" i="2"/>
  <c r="T45" i="2"/>
  <c r="P28" i="2"/>
  <c r="J27" i="2"/>
  <c r="T33" i="2"/>
  <c r="J32" i="2"/>
  <c r="L28" i="2"/>
  <c r="P45" i="2"/>
  <c r="R29" i="2"/>
  <c r="F29" i="2"/>
  <c r="L29" i="2"/>
  <c r="P29" i="2"/>
  <c r="J29" i="2"/>
  <c r="T29" i="2"/>
  <c r="F22" i="2"/>
  <c r="H22" i="2"/>
  <c r="J22" i="2"/>
  <c r="T22" i="2"/>
  <c r="P22" i="2"/>
  <c r="L22" i="2"/>
  <c r="N22" i="2"/>
  <c r="N17" i="2"/>
  <c r="F17" i="2"/>
  <c r="R17" i="2"/>
  <c r="H17" i="2"/>
  <c r="L17" i="2"/>
  <c r="J17" i="2"/>
  <c r="R13" i="2"/>
  <c r="F46" i="2" l="1"/>
  <c r="B9" i="5" s="1"/>
  <c r="T46" i="2"/>
  <c r="H46" i="2"/>
  <c r="R46" i="2"/>
  <c r="P46" i="2"/>
  <c r="B13" i="5" s="1"/>
  <c r="N46" i="2"/>
  <c r="B11" i="5" s="1"/>
  <c r="L46" i="2"/>
  <c r="B14" i="5" s="1"/>
  <c r="J46" i="2"/>
  <c r="B10" i="5" s="1"/>
  <c r="B15" i="5"/>
  <c r="B12" i="5"/>
</calcChain>
</file>

<file path=xl/sharedStrings.xml><?xml version="1.0" encoding="utf-8"?>
<sst xmlns="http://schemas.openxmlformats.org/spreadsheetml/2006/main" count="171" uniqueCount="111">
  <si>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</si>
  <si>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</si>
  <si>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</si>
  <si>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</si>
  <si>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</si>
  <si>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</si>
  <si>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</si>
  <si>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</si>
  <si>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</si>
  <si>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</si>
  <si>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</si>
  <si>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</si>
  <si>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</si>
  <si>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</si>
  <si>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</si>
  <si>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</si>
  <si>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</si>
  <si>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</si>
  <si>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</si>
  <si>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</si>
  <si>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Mobilization, Cleanup, and Demobilization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</si>
  <si>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</si>
  <si>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</si>
  <si>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</si>
  <si>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</si>
  <si>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</si>
  <si>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</si>
  <si>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</si>
  <si>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</si>
  <si>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</si>
  <si>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Total Amount Bid (Basis of Award)</t>
  </si>
  <si>
    <t>Bidder</t>
  </si>
  <si>
    <t>Engineer's Estimate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</si>
  <si>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</si>
  <si>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</si>
  <si>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</si>
  <si>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</si>
  <si>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</si>
  <si>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</si>
  <si>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</si>
  <si>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</si>
  <si>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</si>
  <si>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</si>
  <si>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</si>
  <si>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</si>
  <si>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</si>
  <si>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</si>
  <si>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</si>
  <si>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</si>
  <si>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</si>
  <si>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</si>
  <si>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</si>
  <si>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</si>
  <si>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</si>
  <si>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</si>
  <si>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</si>
  <si>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</si>
  <si>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</si>
  <si>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</si>
  <si>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PORTLAND INTERNATIONAL AIRPORT</t>
  </si>
  <si>
    <t>Sweeper</t>
  </si>
  <si>
    <t>Security Control Monitoring</t>
  </si>
  <si>
    <t>Escort</t>
  </si>
  <si>
    <t>Construction Survey</t>
  </si>
  <si>
    <t>Sediment Fence</t>
  </si>
  <si>
    <t>Inlet Protection</t>
  </si>
  <si>
    <t>Stabilized Construction Entrance</t>
  </si>
  <si>
    <t>Pavement Removal</t>
  </si>
  <si>
    <t>Common Excavation</t>
  </si>
  <si>
    <t>Unsuitable Excavation and Disposal</t>
  </si>
  <si>
    <t>Contaminated Soil Excavation and Disposal</t>
  </si>
  <si>
    <t>Trench Stabilization</t>
  </si>
  <si>
    <t>Aggregate Base Course</t>
  </si>
  <si>
    <t>Adjustment of Existing Structures (H-20 Rated Vaults)</t>
  </si>
  <si>
    <t>12-Inch Storm Sewer Pipe</t>
  </si>
  <si>
    <t>21-Inch Storm Sewer Pipe</t>
  </si>
  <si>
    <t>48-Inch Manhole</t>
  </si>
  <si>
    <t>60-Inch Manhole</t>
  </si>
  <si>
    <t>72-Inch Manhole</t>
  </si>
  <si>
    <t>72-Inch Corrugated Metal Riser</t>
  </si>
  <si>
    <t>Concrete Curb Removal</t>
  </si>
  <si>
    <t>Area Seeding</t>
  </si>
  <si>
    <t>Geotextile</t>
  </si>
  <si>
    <t>Removal of Existing Storm Pipe, Manholes, Pumps, Valves, Hangers, Vaults, and Brackets</t>
  </si>
  <si>
    <t>24-Inch Storm Sewer (Force Main) Pipe</t>
  </si>
  <si>
    <t>BASIN 7 REGIONAL STORMWATER FACILITY</t>
  </si>
  <si>
    <t>Removal of Existing Lid from Stormwater Treatment Vault</t>
  </si>
  <si>
    <t>Stormwater Treatment Vaults</t>
  </si>
  <si>
    <t>Stormwater Treatment Vault Cover</t>
  </si>
  <si>
    <t>15-Inch Storm Sewer Pipe</t>
  </si>
  <si>
    <t>21-Inch Storm Sewer Pipe (RCP)</t>
  </si>
  <si>
    <t xml:space="preserve">24-Inch Storm Sewer Pipe </t>
  </si>
  <si>
    <t>Modifications to Existing Wet Well</t>
  </si>
  <si>
    <t xml:space="preserve">Hand Rail </t>
  </si>
  <si>
    <t>Concrete Wall Removal</t>
  </si>
  <si>
    <t>0037</t>
  </si>
  <si>
    <t>0038</t>
  </si>
  <si>
    <t>Electrical Modifications</t>
  </si>
  <si>
    <t>EAN 2016D015</t>
  </si>
  <si>
    <t>Solicitation No. 2017-7254</t>
  </si>
  <si>
    <t>Stormwater Pump Station</t>
  </si>
  <si>
    <t>Bollard</t>
  </si>
  <si>
    <t>Goodfellow Bros., Inc.</t>
  </si>
  <si>
    <t>James W. Fowler Co.</t>
  </si>
  <si>
    <t>K&amp;E Excavating, Inc.</t>
  </si>
  <si>
    <t>Kodiak Pacific Construction</t>
  </si>
  <si>
    <t>McClure and Sons, Inc.</t>
  </si>
  <si>
    <t>Moore Excavation, Inc.</t>
  </si>
  <si>
    <t>TEK Construction, Inc.</t>
  </si>
  <si>
    <t>$1,800,000.00*</t>
  </si>
  <si>
    <t>*Non-responsive to the small business requirements of this solicitation.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</si>
</sst>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6">
    <xf numFmtId="0" fontId="0" fillId="0" borderId="0" xfId="0"/>
    <xf numFmtId="0" fontId="2" fillId="0" borderId="0" xfId="0" applyFont="1" applyBorder="1" applyProtection="1">
      <protection hidden="1"/>
    </xf>
    <xf numFmtId="0" fontId="2" fillId="0" borderId="0" xfId="0" applyFont="1" applyFill="1" applyBorder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0" fillId="0" borderId="0" xfId="0" applyAlignment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left" vertical="top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vertical="top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3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166" fontId="4" fillId="0" borderId="1" xfId="0" applyNumberFormat="1" applyFont="1" applyFill="1" applyBorder="1" applyAlignment="1">
      <alignment horizontal="center" vertical="top"/>
    </xf>
    <xf numFmtId="0" fontId="4" fillId="3" borderId="5" xfId="0" applyFont="1" applyFill="1" applyBorder="1" applyAlignment="1">
      <alignment horizontal="left" vertical="center"/>
    </xf>
    <xf numFmtId="166" fontId="4" fillId="3" borderId="5" xfId="0" applyNumberFormat="1" applyFont="1" applyFill="1" applyBorder="1" applyAlignment="1">
      <alignment horizontal="center" vertical="center"/>
    </xf>
    <xf numFmtId="166" fontId="0" fillId="3" borderId="12" xfId="0" applyNumberFormat="1" applyFill="1" applyBorder="1"/>
    <xf numFmtId="166" fontId="0" fillId="3" borderId="13" xfId="0" applyNumberFormat="1" applyFill="1" applyBorder="1"/>
    <xf numFmtId="166" fontId="3" fillId="3" borderId="5" xfId="0" applyNumberFormat="1" applyFont="1" applyFill="1" applyBorder="1" applyAlignment="1">
      <alignment horizontal="center" wrapText="1"/>
    </xf>
    <xf numFmtId="166" fontId="7" fillId="3" borderId="5" xfId="0" applyNumberFormat="1" applyFont="1" applyFill="1" applyBorder="1" applyAlignment="1">
      <alignment horizontal="center" vertical="top"/>
    </xf>
    <xf numFmtId="166" fontId="7" fillId="3" borderId="5" xfId="1" applyNumberFormat="1" applyFont="1" applyFill="1" applyBorder="1" applyAlignment="1">
      <alignment horizontal="center" vertical="top"/>
    </xf>
    <xf numFmtId="166" fontId="3" fillId="3" borderId="5" xfId="0" applyNumberFormat="1" applyFont="1" applyFill="1" applyBorder="1"/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Fill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66" fontId="5" fillId="3" borderId="8" xfId="0" applyNumberFormat="1" applyFont="1" applyFill="1" applyBorder="1" applyAlignment="1">
      <alignment horizontal="center"/>
    </xf>
    <xf numFmtId="166" fontId="5" fillId="3" borderId="9" xfId="0" applyNumberFormat="1" applyFont="1" applyFill="1" applyBorder="1" applyAlignment="1">
      <alignment horizontal="center"/>
    </xf>
    <xf numFmtId="166" fontId="5" fillId="3" borderId="10" xfId="0" applyNumberFormat="1" applyFont="1" applyFill="1" applyBorder="1" applyAlignment="1">
      <alignment horizontal="center"/>
    </xf>
    <xf numFmtId="166" fontId="5" fillId="3" borderId="11" xfId="0" applyNumberFormat="1" applyFont="1" applyFill="1" applyBorder="1" applyAlignment="1">
      <alignment horizont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5" tint="-0.499984740745262"/>
  </sheetPr>
  <dimension ref="A1:F58"/>
  <sheetViews>
    <sheetView topLeftCell="A44" zoomScaleNormal="100" zoomScaleSheetLayoutView="100" workbookViewId="0">
      <selection activeCell="E20" sqref="E20:E57"/>
    </sheetView>
  </sheetViews>
  <sheetFormatPr defaultRowHeight="15" x14ac:dyDescent="0.25"/>
  <cols>
    <col min="1" max="1" width="6.5703125" customWidth="1"/>
    <col min="2" max="2" width="36.7109375" customWidth="1"/>
    <col min="3" max="3" width="10.7109375" style="30" customWidth="1"/>
    <col min="4" max="4" width="8.28515625" customWidth="1"/>
    <col min="5" max="6" width="13.28515625" style="34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2" t="s">
        <v>2</v>
      </c>
    </row>
    <row r="4" spans="1:6" hidden="1" x14ac:dyDescent="0.25">
      <c r="A4" s="2" t="s">
        <v>3</v>
      </c>
    </row>
    <row r="5" spans="1:6" hidden="1" x14ac:dyDescent="0.25">
      <c r="A5" s="2" t="s">
        <v>4</v>
      </c>
    </row>
    <row r="6" spans="1:6" hidden="1" x14ac:dyDescent="0.25">
      <c r="A6" s="2" t="s">
        <v>5</v>
      </c>
    </row>
    <row r="7" spans="1:6" hidden="1" x14ac:dyDescent="0.25">
      <c r="A7" s="2" t="s">
        <v>6</v>
      </c>
    </row>
    <row r="8" spans="1:6" hidden="1" x14ac:dyDescent="0.25">
      <c r="A8" s="2" t="s">
        <v>7</v>
      </c>
    </row>
    <row r="9" spans="1:6" hidden="1" x14ac:dyDescent="0.25">
      <c r="A9" s="1" t="s">
        <v>8</v>
      </c>
    </row>
    <row r="10" spans="1:6" hidden="1" x14ac:dyDescent="0.25">
      <c r="A10" s="2" t="s">
        <v>9</v>
      </c>
    </row>
    <row r="11" spans="1:6" hidden="1" x14ac:dyDescent="0.25">
      <c r="A11" s="2" t="s">
        <v>10</v>
      </c>
    </row>
    <row r="12" spans="1:6" hidden="1" x14ac:dyDescent="0.25">
      <c r="A12" s="2" t="s">
        <v>11</v>
      </c>
    </row>
    <row r="13" spans="1:6" hidden="1" x14ac:dyDescent="0.25">
      <c r="A13" s="2" t="s">
        <v>12</v>
      </c>
    </row>
    <row r="14" spans="1:6" x14ac:dyDescent="0.25">
      <c r="A14" s="71"/>
      <c r="B14" s="71"/>
      <c r="C14" s="71"/>
      <c r="D14" s="71"/>
      <c r="E14" s="65"/>
      <c r="F14" s="65"/>
    </row>
    <row r="15" spans="1:6" x14ac:dyDescent="0.25">
      <c r="A15" s="68" t="s">
        <v>59</v>
      </c>
      <c r="B15" s="68"/>
      <c r="C15" s="68"/>
      <c r="D15" s="68"/>
      <c r="E15" s="66"/>
      <c r="F15" s="66"/>
    </row>
    <row r="16" spans="1:6" x14ac:dyDescent="0.25">
      <c r="A16" s="68" t="s">
        <v>85</v>
      </c>
      <c r="B16" s="68"/>
      <c r="C16" s="68"/>
      <c r="D16" s="68"/>
      <c r="E16" s="66"/>
      <c r="F16" s="66"/>
    </row>
    <row r="17" spans="1:6" x14ac:dyDescent="0.25">
      <c r="A17" s="69"/>
      <c r="B17" s="69"/>
      <c r="C17" s="69"/>
      <c r="D17" s="69"/>
      <c r="E17" s="66"/>
      <c r="F17" s="66"/>
    </row>
    <row r="18" spans="1:6" x14ac:dyDescent="0.25">
      <c r="A18" s="70"/>
      <c r="B18" s="70"/>
      <c r="C18" s="70"/>
      <c r="D18" s="70"/>
      <c r="E18" s="67"/>
      <c r="F18" s="67"/>
    </row>
    <row r="19" spans="1:6" s="3" customFormat="1" ht="24" customHeight="1" x14ac:dyDescent="0.2">
      <c r="A19" s="4" t="s">
        <v>13</v>
      </c>
      <c r="B19" s="4" t="s">
        <v>14</v>
      </c>
      <c r="C19" s="31" t="s">
        <v>15</v>
      </c>
      <c r="D19" s="4" t="s">
        <v>16</v>
      </c>
      <c r="E19" s="35" t="s">
        <v>17</v>
      </c>
      <c r="F19" s="35" t="s">
        <v>18</v>
      </c>
    </row>
    <row r="20" spans="1:6" ht="40.5" customHeight="1" x14ac:dyDescent="0.25">
      <c r="A20" s="5" t="s">
        <v>19</v>
      </c>
      <c r="B20" s="53" t="s">
        <v>20</v>
      </c>
      <c r="C20" s="32">
        <v>1</v>
      </c>
      <c r="D20" s="6" t="s">
        <v>8</v>
      </c>
      <c r="E20" s="36">
        <v>178000</v>
      </c>
      <c r="F20" s="56">
        <v>178000</v>
      </c>
    </row>
    <row r="21" spans="1:6" ht="40.5" customHeight="1" x14ac:dyDescent="0.25">
      <c r="A21" s="5" t="s">
        <v>21</v>
      </c>
      <c r="B21" s="53" t="s">
        <v>60</v>
      </c>
      <c r="C21" s="32">
        <v>1</v>
      </c>
      <c r="D21" s="6" t="s">
        <v>8</v>
      </c>
      <c r="E21" s="36">
        <v>60000</v>
      </c>
      <c r="F21" s="36">
        <f>E21*C21</f>
        <v>60000</v>
      </c>
    </row>
    <row r="22" spans="1:6" ht="40.5" customHeight="1" x14ac:dyDescent="0.25">
      <c r="A22" s="5" t="s">
        <v>22</v>
      </c>
      <c r="B22" s="53" t="s">
        <v>61</v>
      </c>
      <c r="C22" s="32">
        <v>1</v>
      </c>
      <c r="D22" s="6" t="s">
        <v>8</v>
      </c>
      <c r="E22" s="36">
        <v>25000</v>
      </c>
      <c r="F22" s="36">
        <f>E22*C22</f>
        <v>25000</v>
      </c>
    </row>
    <row r="23" spans="1:6" ht="40.5" customHeight="1" x14ac:dyDescent="0.25">
      <c r="A23" s="5" t="s">
        <v>23</v>
      </c>
      <c r="B23" s="53" t="s">
        <v>62</v>
      </c>
      <c r="C23" s="32">
        <v>1</v>
      </c>
      <c r="D23" s="6" t="s">
        <v>8</v>
      </c>
      <c r="E23" s="36">
        <v>72000</v>
      </c>
      <c r="F23" s="36">
        <f t="shared" ref="F23:F57" si="0">E23*C23</f>
        <v>72000</v>
      </c>
    </row>
    <row r="24" spans="1:6" ht="40.5" customHeight="1" x14ac:dyDescent="0.25">
      <c r="A24" s="5" t="s">
        <v>24</v>
      </c>
      <c r="B24" s="53" t="s">
        <v>63</v>
      </c>
      <c r="C24" s="32">
        <v>1</v>
      </c>
      <c r="D24" s="6" t="s">
        <v>8</v>
      </c>
      <c r="E24" s="36">
        <v>40000</v>
      </c>
      <c r="F24" s="36">
        <f t="shared" si="0"/>
        <v>40000</v>
      </c>
    </row>
    <row r="25" spans="1:6" ht="40.5" customHeight="1" x14ac:dyDescent="0.25">
      <c r="A25" s="5" t="s">
        <v>25</v>
      </c>
      <c r="B25" s="53" t="s">
        <v>64</v>
      </c>
      <c r="C25" s="32">
        <v>750</v>
      </c>
      <c r="D25" s="6" t="s">
        <v>7</v>
      </c>
      <c r="E25" s="36">
        <v>4</v>
      </c>
      <c r="F25" s="36">
        <f t="shared" si="0"/>
        <v>3000</v>
      </c>
    </row>
    <row r="26" spans="1:6" ht="40.5" customHeight="1" x14ac:dyDescent="0.25">
      <c r="A26" s="5" t="s">
        <v>26</v>
      </c>
      <c r="B26" s="53" t="s">
        <v>65</v>
      </c>
      <c r="C26" s="32">
        <v>2</v>
      </c>
      <c r="D26" s="6" t="s">
        <v>2</v>
      </c>
      <c r="E26" s="36">
        <v>200</v>
      </c>
      <c r="F26" s="36">
        <f t="shared" si="0"/>
        <v>400</v>
      </c>
    </row>
    <row r="27" spans="1:6" ht="40.5" customHeight="1" x14ac:dyDescent="0.25">
      <c r="A27" s="5" t="s">
        <v>27</v>
      </c>
      <c r="B27" s="53" t="s">
        <v>66</v>
      </c>
      <c r="C27" s="32">
        <v>1</v>
      </c>
      <c r="D27" s="6" t="s">
        <v>2</v>
      </c>
      <c r="E27" s="36">
        <v>5000</v>
      </c>
      <c r="F27" s="36">
        <f t="shared" si="0"/>
        <v>5000</v>
      </c>
    </row>
    <row r="28" spans="1:6" ht="40.5" customHeight="1" x14ac:dyDescent="0.25">
      <c r="A28" s="5" t="s">
        <v>28</v>
      </c>
      <c r="B28" s="53" t="s">
        <v>67</v>
      </c>
      <c r="C28" s="32">
        <v>20</v>
      </c>
      <c r="D28" s="6" t="s">
        <v>1</v>
      </c>
      <c r="E28" s="36">
        <v>250</v>
      </c>
      <c r="F28" s="36">
        <f t="shared" si="0"/>
        <v>5000</v>
      </c>
    </row>
    <row r="29" spans="1:6" ht="40.5" customHeight="1" x14ac:dyDescent="0.25">
      <c r="A29" s="5" t="s">
        <v>29</v>
      </c>
      <c r="B29" s="53" t="s">
        <v>68</v>
      </c>
      <c r="C29" s="32">
        <v>1500</v>
      </c>
      <c r="D29" s="6" t="s">
        <v>1</v>
      </c>
      <c r="E29" s="36">
        <v>40</v>
      </c>
      <c r="F29" s="36">
        <f t="shared" si="0"/>
        <v>60000</v>
      </c>
    </row>
    <row r="30" spans="1:6" ht="40.5" customHeight="1" x14ac:dyDescent="0.25">
      <c r="A30" s="5" t="s">
        <v>33</v>
      </c>
      <c r="B30" s="53" t="s">
        <v>69</v>
      </c>
      <c r="C30" s="32">
        <v>40</v>
      </c>
      <c r="D30" s="6" t="s">
        <v>1</v>
      </c>
      <c r="E30" s="36">
        <v>50</v>
      </c>
      <c r="F30" s="36">
        <f t="shared" si="0"/>
        <v>2000</v>
      </c>
    </row>
    <row r="31" spans="1:6" ht="40.5" customHeight="1" x14ac:dyDescent="0.25">
      <c r="A31" s="5" t="s">
        <v>34</v>
      </c>
      <c r="B31" s="53" t="s">
        <v>70</v>
      </c>
      <c r="C31" s="32">
        <v>50</v>
      </c>
      <c r="D31" s="6" t="s">
        <v>1</v>
      </c>
      <c r="E31" s="36">
        <v>100</v>
      </c>
      <c r="F31" s="36">
        <f t="shared" si="0"/>
        <v>5000</v>
      </c>
    </row>
    <row r="32" spans="1:6" ht="40.5" customHeight="1" x14ac:dyDescent="0.25">
      <c r="A32" s="5" t="s">
        <v>35</v>
      </c>
      <c r="B32" s="53" t="s">
        <v>71</v>
      </c>
      <c r="C32" s="32">
        <v>10</v>
      </c>
      <c r="D32" s="6" t="s">
        <v>1</v>
      </c>
      <c r="E32" s="36">
        <v>100</v>
      </c>
      <c r="F32" s="36">
        <f t="shared" si="0"/>
        <v>1000</v>
      </c>
    </row>
    <row r="33" spans="1:6" ht="40.5" customHeight="1" x14ac:dyDescent="0.25">
      <c r="A33" s="5" t="s">
        <v>36</v>
      </c>
      <c r="B33" s="53" t="s">
        <v>82</v>
      </c>
      <c r="C33" s="32">
        <v>650</v>
      </c>
      <c r="D33" s="6" t="s">
        <v>11</v>
      </c>
      <c r="E33" s="36">
        <v>5</v>
      </c>
      <c r="F33" s="36">
        <f t="shared" si="0"/>
        <v>3250</v>
      </c>
    </row>
    <row r="34" spans="1:6" ht="40.5" customHeight="1" x14ac:dyDescent="0.25">
      <c r="A34" s="5" t="s">
        <v>37</v>
      </c>
      <c r="B34" s="53" t="s">
        <v>72</v>
      </c>
      <c r="C34" s="32">
        <v>400</v>
      </c>
      <c r="D34" s="6" t="s">
        <v>1</v>
      </c>
      <c r="E34" s="36">
        <v>80</v>
      </c>
      <c r="F34" s="36">
        <f t="shared" si="0"/>
        <v>32000</v>
      </c>
    </row>
    <row r="35" spans="1:6" ht="40.5" customHeight="1" x14ac:dyDescent="0.25">
      <c r="A35" s="5" t="s">
        <v>38</v>
      </c>
      <c r="B35" s="54" t="s">
        <v>83</v>
      </c>
      <c r="C35" s="32">
        <v>1</v>
      </c>
      <c r="D35" s="6" t="s">
        <v>8</v>
      </c>
      <c r="E35" s="36">
        <v>50000</v>
      </c>
      <c r="F35" s="36">
        <f t="shared" si="0"/>
        <v>50000</v>
      </c>
    </row>
    <row r="36" spans="1:6" ht="40.5" customHeight="1" x14ac:dyDescent="0.25">
      <c r="A36" s="5" t="s">
        <v>39</v>
      </c>
      <c r="B36" s="54" t="s">
        <v>86</v>
      </c>
      <c r="C36" s="32">
        <v>1</v>
      </c>
      <c r="D36" s="6" t="s">
        <v>8</v>
      </c>
      <c r="E36" s="36">
        <v>20000</v>
      </c>
      <c r="F36" s="36">
        <f t="shared" si="0"/>
        <v>20000</v>
      </c>
    </row>
    <row r="37" spans="1:6" ht="40.5" customHeight="1" x14ac:dyDescent="0.25">
      <c r="A37" s="5" t="s">
        <v>40</v>
      </c>
      <c r="B37" s="53" t="s">
        <v>92</v>
      </c>
      <c r="C37" s="32">
        <v>1</v>
      </c>
      <c r="D37" s="6" t="s">
        <v>8</v>
      </c>
      <c r="E37" s="36">
        <v>75000</v>
      </c>
      <c r="F37" s="36">
        <f t="shared" si="0"/>
        <v>75000</v>
      </c>
    </row>
    <row r="38" spans="1:6" ht="40.5" customHeight="1" x14ac:dyDescent="0.25">
      <c r="A38" s="5" t="s">
        <v>41</v>
      </c>
      <c r="B38" s="54" t="s">
        <v>73</v>
      </c>
      <c r="C38" s="32">
        <v>4</v>
      </c>
      <c r="D38" s="6" t="s">
        <v>2</v>
      </c>
      <c r="E38" s="36">
        <v>4000</v>
      </c>
      <c r="F38" s="36">
        <f t="shared" si="0"/>
        <v>16000</v>
      </c>
    </row>
    <row r="39" spans="1:6" ht="40.5" customHeight="1" x14ac:dyDescent="0.25">
      <c r="A39" s="5" t="s">
        <v>42</v>
      </c>
      <c r="B39" s="53" t="s">
        <v>84</v>
      </c>
      <c r="C39" s="32">
        <v>23</v>
      </c>
      <c r="D39" s="6" t="s">
        <v>7</v>
      </c>
      <c r="E39" s="36">
        <v>200</v>
      </c>
      <c r="F39" s="36">
        <f t="shared" si="0"/>
        <v>4600</v>
      </c>
    </row>
    <row r="40" spans="1:6" ht="40.5" customHeight="1" x14ac:dyDescent="0.25">
      <c r="A40" s="5" t="s">
        <v>43</v>
      </c>
      <c r="B40" s="53" t="s">
        <v>74</v>
      </c>
      <c r="C40" s="32">
        <v>51</v>
      </c>
      <c r="D40" s="6" t="s">
        <v>7</v>
      </c>
      <c r="E40" s="36">
        <v>120</v>
      </c>
      <c r="F40" s="36">
        <f t="shared" si="0"/>
        <v>6120</v>
      </c>
    </row>
    <row r="41" spans="1:6" ht="40.5" customHeight="1" x14ac:dyDescent="0.25">
      <c r="A41" s="5" t="s">
        <v>44</v>
      </c>
      <c r="B41" s="53" t="s">
        <v>89</v>
      </c>
      <c r="C41" s="32">
        <v>22</v>
      </c>
      <c r="D41" s="6" t="s">
        <v>7</v>
      </c>
      <c r="E41" s="36">
        <v>120</v>
      </c>
      <c r="F41" s="36">
        <f t="shared" si="0"/>
        <v>2640</v>
      </c>
    </row>
    <row r="42" spans="1:6" ht="40.5" customHeight="1" x14ac:dyDescent="0.25">
      <c r="A42" s="5" t="s">
        <v>45</v>
      </c>
      <c r="B42" s="53" t="s">
        <v>75</v>
      </c>
      <c r="C42" s="32">
        <v>23</v>
      </c>
      <c r="D42" s="6" t="s">
        <v>7</v>
      </c>
      <c r="E42" s="36">
        <v>150</v>
      </c>
      <c r="F42" s="36">
        <f t="shared" si="0"/>
        <v>3450</v>
      </c>
    </row>
    <row r="43" spans="1:6" ht="40.5" customHeight="1" x14ac:dyDescent="0.25">
      <c r="A43" s="5" t="s">
        <v>46</v>
      </c>
      <c r="B43" s="53" t="s">
        <v>90</v>
      </c>
      <c r="C43" s="32">
        <v>70</v>
      </c>
      <c r="D43" s="6" t="s">
        <v>7</v>
      </c>
      <c r="E43" s="36">
        <v>175</v>
      </c>
      <c r="F43" s="36">
        <f t="shared" si="0"/>
        <v>12250</v>
      </c>
    </row>
    <row r="44" spans="1:6" ht="40.5" customHeight="1" x14ac:dyDescent="0.25">
      <c r="A44" s="5" t="s">
        <v>47</v>
      </c>
      <c r="B44" s="53" t="s">
        <v>91</v>
      </c>
      <c r="C44" s="32">
        <v>85</v>
      </c>
      <c r="D44" s="6" t="s">
        <v>7</v>
      </c>
      <c r="E44" s="36">
        <v>175</v>
      </c>
      <c r="F44" s="36">
        <f t="shared" si="0"/>
        <v>14875</v>
      </c>
    </row>
    <row r="45" spans="1:6" ht="40.5" customHeight="1" x14ac:dyDescent="0.25">
      <c r="A45" s="5" t="s">
        <v>48</v>
      </c>
      <c r="B45" s="53" t="s">
        <v>76</v>
      </c>
      <c r="C45" s="32">
        <v>1</v>
      </c>
      <c r="D45" s="6" t="s">
        <v>2</v>
      </c>
      <c r="E45" s="36">
        <v>8000</v>
      </c>
      <c r="F45" s="36">
        <f t="shared" si="0"/>
        <v>8000</v>
      </c>
    </row>
    <row r="46" spans="1:6" ht="40.5" customHeight="1" x14ac:dyDescent="0.25">
      <c r="A46" s="5" t="s">
        <v>49</v>
      </c>
      <c r="B46" s="53" t="s">
        <v>77</v>
      </c>
      <c r="C46" s="32">
        <v>1</v>
      </c>
      <c r="D46" s="6" t="s">
        <v>2</v>
      </c>
      <c r="E46" s="36">
        <v>10000</v>
      </c>
      <c r="F46" s="36">
        <f t="shared" si="0"/>
        <v>10000</v>
      </c>
    </row>
    <row r="47" spans="1:6" ht="40.5" customHeight="1" x14ac:dyDescent="0.25">
      <c r="A47" s="5" t="s">
        <v>50</v>
      </c>
      <c r="B47" s="53" t="s">
        <v>78</v>
      </c>
      <c r="C47" s="32">
        <v>2</v>
      </c>
      <c r="D47" s="6" t="s">
        <v>2</v>
      </c>
      <c r="E47" s="36">
        <v>12000</v>
      </c>
      <c r="F47" s="36">
        <f t="shared" si="0"/>
        <v>24000</v>
      </c>
    </row>
    <row r="48" spans="1:6" ht="40.5" customHeight="1" x14ac:dyDescent="0.25">
      <c r="A48" s="5" t="s">
        <v>51</v>
      </c>
      <c r="B48" s="53" t="s">
        <v>79</v>
      </c>
      <c r="C48" s="32">
        <v>1</v>
      </c>
      <c r="D48" s="6" t="s">
        <v>2</v>
      </c>
      <c r="E48" s="36">
        <v>7000</v>
      </c>
      <c r="F48" s="36">
        <f t="shared" si="0"/>
        <v>7000</v>
      </c>
    </row>
    <row r="49" spans="1:6" ht="40.5" customHeight="1" x14ac:dyDescent="0.25">
      <c r="A49" s="5" t="s">
        <v>52</v>
      </c>
      <c r="B49" s="53" t="s">
        <v>100</v>
      </c>
      <c r="C49" s="32">
        <v>1</v>
      </c>
      <c r="D49" s="6" t="s">
        <v>8</v>
      </c>
      <c r="E49" s="36">
        <v>270000</v>
      </c>
      <c r="F49" s="36">
        <f t="shared" si="0"/>
        <v>270000</v>
      </c>
    </row>
    <row r="50" spans="1:6" ht="40.5" customHeight="1" x14ac:dyDescent="0.25">
      <c r="A50" s="5" t="s">
        <v>53</v>
      </c>
      <c r="B50" s="53" t="s">
        <v>87</v>
      </c>
      <c r="C50" s="32">
        <v>3</v>
      </c>
      <c r="D50" s="6" t="s">
        <v>2</v>
      </c>
      <c r="E50" s="36">
        <v>300000</v>
      </c>
      <c r="F50" s="36">
        <f t="shared" si="0"/>
        <v>900000</v>
      </c>
    </row>
    <row r="51" spans="1:6" ht="40.5" customHeight="1" x14ac:dyDescent="0.25">
      <c r="A51" s="5" t="s">
        <v>54</v>
      </c>
      <c r="B51" s="53" t="s">
        <v>88</v>
      </c>
      <c r="C51" s="32">
        <v>1500</v>
      </c>
      <c r="D51" s="6" t="s">
        <v>10</v>
      </c>
      <c r="E51" s="36">
        <v>10</v>
      </c>
      <c r="F51" s="36">
        <f t="shared" si="0"/>
        <v>15000</v>
      </c>
    </row>
    <row r="52" spans="1:6" ht="40.5" customHeight="1" x14ac:dyDescent="0.25">
      <c r="A52" s="5" t="s">
        <v>55</v>
      </c>
      <c r="B52" s="53" t="s">
        <v>93</v>
      </c>
      <c r="C52" s="32">
        <v>350</v>
      </c>
      <c r="D52" s="6" t="s">
        <v>7</v>
      </c>
      <c r="E52" s="36">
        <v>100</v>
      </c>
      <c r="F52" s="36">
        <f t="shared" si="0"/>
        <v>35000</v>
      </c>
    </row>
    <row r="53" spans="1:6" ht="40.5" customHeight="1" x14ac:dyDescent="0.25">
      <c r="A53" s="5" t="s">
        <v>56</v>
      </c>
      <c r="B53" s="55" t="s">
        <v>94</v>
      </c>
      <c r="C53" s="32">
        <v>8</v>
      </c>
      <c r="D53" s="6" t="s">
        <v>7</v>
      </c>
      <c r="E53" s="36">
        <v>650</v>
      </c>
      <c r="F53" s="36">
        <f t="shared" si="0"/>
        <v>5200</v>
      </c>
    </row>
    <row r="54" spans="1:6" ht="40.5" customHeight="1" x14ac:dyDescent="0.25">
      <c r="A54" s="5" t="s">
        <v>57</v>
      </c>
      <c r="B54" s="53" t="s">
        <v>80</v>
      </c>
      <c r="C54" s="32">
        <v>8</v>
      </c>
      <c r="D54" s="6" t="s">
        <v>7</v>
      </c>
      <c r="E54" s="36">
        <v>75</v>
      </c>
      <c r="F54" s="36">
        <f t="shared" si="0"/>
        <v>600</v>
      </c>
    </row>
    <row r="55" spans="1:6" ht="40.5" customHeight="1" x14ac:dyDescent="0.25">
      <c r="A55" s="5" t="s">
        <v>58</v>
      </c>
      <c r="B55" s="53" t="s">
        <v>101</v>
      </c>
      <c r="C55" s="32">
        <v>4</v>
      </c>
      <c r="D55" s="6" t="s">
        <v>2</v>
      </c>
      <c r="E55" s="36">
        <v>1000</v>
      </c>
      <c r="F55" s="36">
        <f t="shared" si="0"/>
        <v>4000</v>
      </c>
    </row>
    <row r="56" spans="1:6" ht="40.5" customHeight="1" x14ac:dyDescent="0.25">
      <c r="A56" s="5" t="s">
        <v>95</v>
      </c>
      <c r="B56" s="53" t="s">
        <v>81</v>
      </c>
      <c r="C56" s="32">
        <v>7.0000000000000007E-2</v>
      </c>
      <c r="D56" s="6" t="s">
        <v>0</v>
      </c>
      <c r="E56" s="36">
        <v>20000</v>
      </c>
      <c r="F56" s="36">
        <f t="shared" si="0"/>
        <v>1400.0000000000002</v>
      </c>
    </row>
    <row r="57" spans="1:6" ht="40.5" customHeight="1" x14ac:dyDescent="0.25">
      <c r="A57" s="5" t="s">
        <v>96</v>
      </c>
      <c r="B57" s="55" t="s">
        <v>97</v>
      </c>
      <c r="C57" s="32">
        <v>1</v>
      </c>
      <c r="D57" s="52" t="s">
        <v>8</v>
      </c>
      <c r="E57" s="36">
        <v>15000</v>
      </c>
      <c r="F57" s="36">
        <f t="shared" si="0"/>
        <v>15000</v>
      </c>
    </row>
    <row r="58" spans="1:6" ht="27.75" customHeight="1" x14ac:dyDescent="0.25">
      <c r="A58" s="7"/>
      <c r="B58" s="9" t="s">
        <v>30</v>
      </c>
      <c r="C58" s="33"/>
      <c r="D58" s="7"/>
      <c r="E58" s="37"/>
      <c r="F58" s="37">
        <f>SUM(F20:F57)</f>
        <v>1991785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dataValidations disablePrompts="1" count="1">
    <dataValidation type="list" allowBlank="1" showInputMessage="1" showErrorMessage="1" sqref="D20:D56">
      <formula1>$A$1:$A$13</formula1>
    </dataValidation>
  </dataValidations>
  <printOptions horizontalCentered="1"/>
  <pageMargins left="0.75" right="0.75" top="1" bottom="1" header="0.5" footer="0.7"/>
  <pageSetup firstPageNumber="2" orientation="portrait" useFirstPageNumber="1" r:id="rId1"/>
  <headerFooter>
    <oddHeader>&amp;RENGINEER'S ESTIMATE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499984740745262"/>
  </sheetPr>
  <dimension ref="A1:T46"/>
  <sheetViews>
    <sheetView topLeftCell="C37" zoomScaleNormal="100" zoomScaleSheetLayoutView="100" workbookViewId="0">
      <selection activeCell="O40" sqref="O40"/>
    </sheetView>
  </sheetViews>
  <sheetFormatPr defaultRowHeight="15" x14ac:dyDescent="0.25"/>
  <cols>
    <col min="1" max="1" width="6.7109375" customWidth="1"/>
    <col min="2" max="2" width="28.85546875" style="24" customWidth="1"/>
    <col min="3" max="3" width="11.28515625" style="41" customWidth="1"/>
    <col min="4" max="4" width="6.7109375" style="24" customWidth="1"/>
    <col min="5" max="5" width="11" style="34" customWidth="1"/>
    <col min="6" max="6" width="13.42578125" style="34" customWidth="1"/>
    <col min="7" max="7" width="11" style="34" customWidth="1"/>
    <col min="8" max="8" width="13.42578125" style="34" customWidth="1"/>
    <col min="9" max="9" width="11" style="34" customWidth="1"/>
    <col min="10" max="10" width="13.42578125" style="34" customWidth="1"/>
    <col min="11" max="11" width="11" customWidth="1"/>
    <col min="12" max="12" width="13.42578125" customWidth="1"/>
    <col min="13" max="13" width="11" customWidth="1"/>
    <col min="14" max="14" width="13.42578125" customWidth="1"/>
    <col min="15" max="15" width="11" customWidth="1"/>
    <col min="16" max="16" width="13.42578125" customWidth="1"/>
    <col min="17" max="17" width="11" customWidth="1"/>
    <col min="18" max="18" width="13.42578125" customWidth="1"/>
    <col min="19" max="19" width="11" customWidth="1"/>
    <col min="20" max="20" width="13.42578125" customWidth="1"/>
  </cols>
  <sheetData>
    <row r="1" spans="1:20" s="8" customFormat="1" ht="30" customHeight="1" x14ac:dyDescent="0.25">
      <c r="A1" s="87" t="str">
        <f>ProjectLocation</f>
        <v>PORTLAND INTERNATIONAL AIRPORT</v>
      </c>
      <c r="B1" s="88"/>
      <c r="C1" s="88"/>
      <c r="D1" s="89"/>
      <c r="E1" s="72" t="s">
        <v>102</v>
      </c>
      <c r="F1" s="73"/>
      <c r="G1" s="72" t="s">
        <v>103</v>
      </c>
      <c r="H1" s="73"/>
      <c r="I1" s="72" t="s">
        <v>104</v>
      </c>
      <c r="J1" s="73"/>
      <c r="K1" s="80" t="s">
        <v>105</v>
      </c>
      <c r="L1" s="81"/>
      <c r="M1" s="72" t="s">
        <v>106</v>
      </c>
      <c r="N1" s="73"/>
      <c r="O1" s="72" t="s">
        <v>107</v>
      </c>
      <c r="P1" s="73"/>
      <c r="Q1" s="72" t="s">
        <v>108</v>
      </c>
      <c r="R1" s="73"/>
      <c r="S1" s="76" t="s">
        <v>32</v>
      </c>
      <c r="T1" s="77"/>
    </row>
    <row r="2" spans="1:20" x14ac:dyDescent="0.25">
      <c r="A2" s="90" t="str">
        <f>ProjectTitle</f>
        <v>BASIN 7 REGIONAL STORMWATER FACILITY</v>
      </c>
      <c r="B2" s="91"/>
      <c r="C2" s="91"/>
      <c r="D2" s="92"/>
      <c r="E2" s="74"/>
      <c r="F2" s="75"/>
      <c r="G2" s="74"/>
      <c r="H2" s="75"/>
      <c r="I2" s="74"/>
      <c r="J2" s="75"/>
      <c r="K2" s="82"/>
      <c r="L2" s="83"/>
      <c r="M2" s="74"/>
      <c r="N2" s="75"/>
      <c r="O2" s="74"/>
      <c r="P2" s="75"/>
      <c r="Q2" s="74"/>
      <c r="R2" s="75"/>
      <c r="S2" s="78"/>
      <c r="T2" s="79"/>
    </row>
    <row r="3" spans="1:20" x14ac:dyDescent="0.25">
      <c r="A3" s="90">
        <f>ProjectTitle2</f>
        <v>0</v>
      </c>
      <c r="B3" s="91"/>
      <c r="C3" s="91"/>
      <c r="D3" s="92"/>
      <c r="E3" s="74"/>
      <c r="F3" s="75"/>
      <c r="G3" s="74"/>
      <c r="H3" s="75"/>
      <c r="I3" s="74"/>
      <c r="J3" s="75"/>
      <c r="K3" s="82"/>
      <c r="L3" s="83"/>
      <c r="M3" s="74"/>
      <c r="N3" s="75"/>
      <c r="O3" s="74"/>
      <c r="P3" s="75"/>
      <c r="Q3" s="74"/>
      <c r="R3" s="75"/>
      <c r="S3" s="78"/>
      <c r="T3" s="79"/>
    </row>
    <row r="4" spans="1:20" x14ac:dyDescent="0.25">
      <c r="A4" s="93" t="s">
        <v>98</v>
      </c>
      <c r="B4" s="94"/>
      <c r="C4" s="94"/>
      <c r="D4" s="95"/>
      <c r="E4" s="74"/>
      <c r="F4" s="75"/>
      <c r="G4" s="74"/>
      <c r="H4" s="75"/>
      <c r="I4" s="74"/>
      <c r="J4" s="75"/>
      <c r="K4" s="82"/>
      <c r="L4" s="83"/>
      <c r="M4" s="74"/>
      <c r="N4" s="75"/>
      <c r="O4" s="74"/>
      <c r="P4" s="75"/>
      <c r="Q4" s="74"/>
      <c r="R4" s="75"/>
      <c r="S4" s="78"/>
      <c r="T4" s="79"/>
    </row>
    <row r="5" spans="1:20" x14ac:dyDescent="0.25">
      <c r="A5" s="93" t="s">
        <v>99</v>
      </c>
      <c r="B5" s="94"/>
      <c r="C5" s="94"/>
      <c r="D5" s="95"/>
      <c r="E5" s="74"/>
      <c r="F5" s="75"/>
      <c r="G5" s="74"/>
      <c r="H5" s="75"/>
      <c r="I5" s="74"/>
      <c r="J5" s="75"/>
      <c r="K5" s="82"/>
      <c r="L5" s="83"/>
      <c r="M5" s="74"/>
      <c r="N5" s="75"/>
      <c r="O5" s="74"/>
      <c r="P5" s="75"/>
      <c r="Q5" s="74"/>
      <c r="R5" s="75"/>
      <c r="S5" s="78"/>
      <c r="T5" s="79"/>
    </row>
    <row r="6" spans="1:20" x14ac:dyDescent="0.25">
      <c r="A6" s="84">
        <f ca="1">TODAY()</f>
        <v>42880</v>
      </c>
      <c r="B6" s="85"/>
      <c r="C6" s="85"/>
      <c r="D6" s="86"/>
      <c r="E6" s="42"/>
      <c r="F6" s="43"/>
      <c r="G6" s="42"/>
      <c r="H6" s="43"/>
      <c r="I6" s="42"/>
      <c r="J6" s="43"/>
      <c r="K6" s="42"/>
      <c r="L6" s="43"/>
      <c r="M6" s="42"/>
      <c r="N6" s="43"/>
      <c r="O6" s="42"/>
      <c r="P6" s="43"/>
      <c r="Q6" s="42"/>
      <c r="R6" s="43"/>
      <c r="S6" s="59"/>
      <c r="T6" s="60"/>
    </row>
    <row r="7" spans="1:20" ht="32.25" customHeight="1" x14ac:dyDescent="0.25">
      <c r="A7" s="10" t="s">
        <v>13</v>
      </c>
      <c r="B7" s="19" t="s">
        <v>14</v>
      </c>
      <c r="C7" s="38" t="s">
        <v>15</v>
      </c>
      <c r="D7" s="19" t="s">
        <v>16</v>
      </c>
      <c r="E7" s="44" t="s">
        <v>17</v>
      </c>
      <c r="F7" s="44" t="s">
        <v>18</v>
      </c>
      <c r="G7" s="44" t="s">
        <v>17</v>
      </c>
      <c r="H7" s="44" t="s">
        <v>18</v>
      </c>
      <c r="I7" s="44" t="s">
        <v>17</v>
      </c>
      <c r="J7" s="44" t="s">
        <v>18</v>
      </c>
      <c r="K7" s="44" t="s">
        <v>17</v>
      </c>
      <c r="L7" s="44" t="s">
        <v>18</v>
      </c>
      <c r="M7" s="44" t="s">
        <v>17</v>
      </c>
      <c r="N7" s="44" t="s">
        <v>18</v>
      </c>
      <c r="O7" s="44" t="s">
        <v>17</v>
      </c>
      <c r="P7" s="44" t="s">
        <v>18</v>
      </c>
      <c r="Q7" s="44" t="s">
        <v>17</v>
      </c>
      <c r="R7" s="44" t="s">
        <v>18</v>
      </c>
      <c r="S7" s="61" t="s">
        <v>17</v>
      </c>
      <c r="T7" s="61" t="s">
        <v>18</v>
      </c>
    </row>
    <row r="8" spans="1:20" ht="33" customHeight="1" x14ac:dyDescent="0.25">
      <c r="A8" s="11" t="str">
        <f>'Bid Item List'!A20</f>
        <v>0001</v>
      </c>
      <c r="B8" s="20" t="str">
        <f>'Bid Item List'!B20</f>
        <v>Mobilization, Cleanup, and Demobilization</v>
      </c>
      <c r="C8" s="39">
        <f>'Bid Item List'!C20</f>
        <v>1</v>
      </c>
      <c r="D8" s="21" t="str">
        <f>'Bid Item List'!D20</f>
        <v>LS</v>
      </c>
      <c r="E8" s="27">
        <v>158500</v>
      </c>
      <c r="F8" s="28">
        <f t="shared" ref="F8:F16" si="0">QTY*E8</f>
        <v>158500</v>
      </c>
      <c r="G8" s="27">
        <v>210000</v>
      </c>
      <c r="H8" s="28">
        <f t="shared" ref="H8:H16" si="1">QTY*G8</f>
        <v>210000</v>
      </c>
      <c r="I8" s="27">
        <v>167000</v>
      </c>
      <c r="J8" s="28">
        <f t="shared" ref="J8:J16" si="2">QTY*I8</f>
        <v>167000</v>
      </c>
      <c r="K8" s="27">
        <v>69245</v>
      </c>
      <c r="L8" s="28">
        <f t="shared" ref="L8:L16" si="3">QTY*K8</f>
        <v>69245</v>
      </c>
      <c r="M8" s="27">
        <v>165000</v>
      </c>
      <c r="N8" s="28">
        <f t="shared" ref="N8:N16" si="4">QTY*M8</f>
        <v>165000</v>
      </c>
      <c r="O8" s="27">
        <v>220000</v>
      </c>
      <c r="P8" s="28">
        <f t="shared" ref="P8:P16" si="5">QTY*O8</f>
        <v>220000</v>
      </c>
      <c r="Q8" s="27">
        <v>175000</v>
      </c>
      <c r="R8" s="28">
        <f t="shared" ref="R8:R16" si="6">QTY*Q8</f>
        <v>175000</v>
      </c>
      <c r="S8" s="62">
        <v>178000</v>
      </c>
      <c r="T8" s="63">
        <f t="shared" ref="T8:T16" si="7">QTY*S8</f>
        <v>178000</v>
      </c>
    </row>
    <row r="9" spans="1:20" ht="33" customHeight="1" x14ac:dyDescent="0.25">
      <c r="A9" s="11" t="str">
        <f>'Bid Item List'!A21</f>
        <v>0002</v>
      </c>
      <c r="B9" s="20" t="str">
        <f>'Bid Item List'!B21</f>
        <v>Sweeper</v>
      </c>
      <c r="C9" s="39">
        <f>'Bid Item List'!C21</f>
        <v>1</v>
      </c>
      <c r="D9" s="21" t="str">
        <f>'Bid Item List'!D21</f>
        <v>LS</v>
      </c>
      <c r="E9" s="27">
        <v>7000</v>
      </c>
      <c r="F9" s="28">
        <f t="shared" si="0"/>
        <v>7000</v>
      </c>
      <c r="G9" s="27">
        <v>75000</v>
      </c>
      <c r="H9" s="28">
        <f t="shared" si="1"/>
        <v>75000</v>
      </c>
      <c r="I9" s="27">
        <v>35000</v>
      </c>
      <c r="J9" s="28">
        <f t="shared" si="2"/>
        <v>35000</v>
      </c>
      <c r="K9" s="27">
        <v>85000</v>
      </c>
      <c r="L9" s="28">
        <f t="shared" si="3"/>
        <v>85000</v>
      </c>
      <c r="M9" s="27">
        <v>37500</v>
      </c>
      <c r="N9" s="28">
        <f t="shared" si="4"/>
        <v>37500</v>
      </c>
      <c r="O9" s="27">
        <v>45000</v>
      </c>
      <c r="P9" s="28">
        <f t="shared" si="5"/>
        <v>45000</v>
      </c>
      <c r="Q9" s="27">
        <v>10000</v>
      </c>
      <c r="R9" s="28">
        <f t="shared" si="6"/>
        <v>10000</v>
      </c>
      <c r="S9" s="62">
        <v>60000</v>
      </c>
      <c r="T9" s="63">
        <f t="shared" si="7"/>
        <v>60000</v>
      </c>
    </row>
    <row r="10" spans="1:20" ht="33" customHeight="1" x14ac:dyDescent="0.25">
      <c r="A10" s="11" t="str">
        <f>'Bid Item List'!A22</f>
        <v>0003</v>
      </c>
      <c r="B10" s="20" t="str">
        <f>'Bid Item List'!B22</f>
        <v>Security Control Monitoring</v>
      </c>
      <c r="C10" s="39">
        <f>'Bid Item List'!C22</f>
        <v>1</v>
      </c>
      <c r="D10" s="21" t="str">
        <f>'Bid Item List'!D22</f>
        <v>LS</v>
      </c>
      <c r="E10" s="27">
        <v>9000</v>
      </c>
      <c r="F10" s="28">
        <f t="shared" si="0"/>
        <v>9000</v>
      </c>
      <c r="G10" s="27">
        <v>5000</v>
      </c>
      <c r="H10" s="28">
        <f t="shared" si="1"/>
        <v>5000</v>
      </c>
      <c r="I10" s="27">
        <v>5000</v>
      </c>
      <c r="J10" s="28">
        <f t="shared" si="2"/>
        <v>5000</v>
      </c>
      <c r="K10" s="27">
        <v>20000</v>
      </c>
      <c r="L10" s="28">
        <f t="shared" si="3"/>
        <v>20000</v>
      </c>
      <c r="M10" s="27">
        <v>18000</v>
      </c>
      <c r="N10" s="28">
        <f t="shared" si="4"/>
        <v>18000</v>
      </c>
      <c r="O10" s="27">
        <v>25000</v>
      </c>
      <c r="P10" s="28">
        <f t="shared" si="5"/>
        <v>25000</v>
      </c>
      <c r="Q10" s="27">
        <v>10000</v>
      </c>
      <c r="R10" s="28">
        <f t="shared" si="6"/>
        <v>10000</v>
      </c>
      <c r="S10" s="62">
        <v>25000</v>
      </c>
      <c r="T10" s="63">
        <f t="shared" si="7"/>
        <v>25000</v>
      </c>
    </row>
    <row r="11" spans="1:20" ht="33" customHeight="1" x14ac:dyDescent="0.25">
      <c r="A11" s="11" t="str">
        <f>'Bid Item List'!A23</f>
        <v>0004</v>
      </c>
      <c r="B11" s="20" t="str">
        <f>'Bid Item List'!B23</f>
        <v>Escort</v>
      </c>
      <c r="C11" s="39">
        <f>'Bid Item List'!C23</f>
        <v>1</v>
      </c>
      <c r="D11" s="21" t="str">
        <f>'Bid Item List'!D23</f>
        <v>LS</v>
      </c>
      <c r="E11" s="27">
        <v>8000</v>
      </c>
      <c r="F11" s="28">
        <f t="shared" si="0"/>
        <v>8000</v>
      </c>
      <c r="G11" s="27">
        <v>55000</v>
      </c>
      <c r="H11" s="28">
        <f t="shared" si="1"/>
        <v>55000</v>
      </c>
      <c r="I11" s="27">
        <v>40000</v>
      </c>
      <c r="J11" s="28">
        <f t="shared" si="2"/>
        <v>40000</v>
      </c>
      <c r="K11" s="27">
        <v>82000</v>
      </c>
      <c r="L11" s="28">
        <f t="shared" si="3"/>
        <v>82000</v>
      </c>
      <c r="M11" s="27">
        <v>16000</v>
      </c>
      <c r="N11" s="28">
        <f t="shared" si="4"/>
        <v>16000</v>
      </c>
      <c r="O11" s="27">
        <v>39000</v>
      </c>
      <c r="P11" s="28">
        <f t="shared" si="5"/>
        <v>39000</v>
      </c>
      <c r="Q11" s="27">
        <v>5000</v>
      </c>
      <c r="R11" s="28">
        <f t="shared" si="6"/>
        <v>5000</v>
      </c>
      <c r="S11" s="62">
        <v>72000</v>
      </c>
      <c r="T11" s="63">
        <f t="shared" si="7"/>
        <v>72000</v>
      </c>
    </row>
    <row r="12" spans="1:20" ht="33" customHeight="1" x14ac:dyDescent="0.25">
      <c r="A12" s="11" t="str">
        <f>'Bid Item List'!A24</f>
        <v>0005</v>
      </c>
      <c r="B12" s="20" t="str">
        <f>'Bid Item List'!B24</f>
        <v>Construction Survey</v>
      </c>
      <c r="C12" s="39">
        <f>'Bid Item List'!C24</f>
        <v>1</v>
      </c>
      <c r="D12" s="21" t="str">
        <f>'Bid Item List'!D24</f>
        <v>LS</v>
      </c>
      <c r="E12" s="27">
        <v>8500</v>
      </c>
      <c r="F12" s="28">
        <f t="shared" si="0"/>
        <v>8500</v>
      </c>
      <c r="G12" s="27">
        <v>8000</v>
      </c>
      <c r="H12" s="28">
        <f t="shared" si="1"/>
        <v>8000</v>
      </c>
      <c r="I12" s="27">
        <v>25000</v>
      </c>
      <c r="J12" s="28">
        <f t="shared" si="2"/>
        <v>25000</v>
      </c>
      <c r="K12" s="27">
        <v>8000</v>
      </c>
      <c r="L12" s="28">
        <f t="shared" si="3"/>
        <v>8000</v>
      </c>
      <c r="M12" s="27">
        <v>8500</v>
      </c>
      <c r="N12" s="28">
        <f t="shared" si="4"/>
        <v>8500</v>
      </c>
      <c r="O12" s="27">
        <v>8000</v>
      </c>
      <c r="P12" s="28">
        <f t="shared" si="5"/>
        <v>8000</v>
      </c>
      <c r="Q12" s="27">
        <v>10000</v>
      </c>
      <c r="R12" s="28">
        <f t="shared" si="6"/>
        <v>10000</v>
      </c>
      <c r="S12" s="62">
        <v>40000</v>
      </c>
      <c r="T12" s="63">
        <f t="shared" si="7"/>
        <v>40000</v>
      </c>
    </row>
    <row r="13" spans="1:20" ht="33" customHeight="1" x14ac:dyDescent="0.25">
      <c r="A13" s="11" t="str">
        <f>'Bid Item List'!A25</f>
        <v>0006</v>
      </c>
      <c r="B13" s="20" t="str">
        <f>'Bid Item List'!B25</f>
        <v>Sediment Fence</v>
      </c>
      <c r="C13" s="39">
        <f>'Bid Item List'!C25</f>
        <v>750</v>
      </c>
      <c r="D13" s="21" t="str">
        <f>'Bid Item List'!D25</f>
        <v>LF</v>
      </c>
      <c r="E13" s="27">
        <v>4.5</v>
      </c>
      <c r="F13" s="28">
        <f t="shared" si="0"/>
        <v>3375</v>
      </c>
      <c r="G13" s="27">
        <v>4</v>
      </c>
      <c r="H13" s="28">
        <f t="shared" si="1"/>
        <v>3000</v>
      </c>
      <c r="I13" s="27">
        <v>3</v>
      </c>
      <c r="J13" s="28">
        <f t="shared" si="2"/>
        <v>2250</v>
      </c>
      <c r="K13" s="27">
        <v>8.6</v>
      </c>
      <c r="L13" s="28">
        <f t="shared" si="3"/>
        <v>6450</v>
      </c>
      <c r="M13" s="27">
        <v>3</v>
      </c>
      <c r="N13" s="28">
        <f t="shared" si="4"/>
        <v>2250</v>
      </c>
      <c r="O13" s="27">
        <v>3</v>
      </c>
      <c r="P13" s="28">
        <f t="shared" si="5"/>
        <v>2250</v>
      </c>
      <c r="Q13" s="27">
        <v>10</v>
      </c>
      <c r="R13" s="28">
        <f t="shared" si="6"/>
        <v>7500</v>
      </c>
      <c r="S13" s="62">
        <v>4</v>
      </c>
      <c r="T13" s="63">
        <f t="shared" si="7"/>
        <v>3000</v>
      </c>
    </row>
    <row r="14" spans="1:20" ht="33" customHeight="1" x14ac:dyDescent="0.25">
      <c r="A14" s="11" t="str">
        <f>'Bid Item List'!A26</f>
        <v>0007</v>
      </c>
      <c r="B14" s="20" t="str">
        <f>'Bid Item List'!B26</f>
        <v>Inlet Protection</v>
      </c>
      <c r="C14" s="39">
        <f>'Bid Item List'!C26</f>
        <v>2</v>
      </c>
      <c r="D14" s="21" t="str">
        <f>'Bid Item List'!D26</f>
        <v>Each</v>
      </c>
      <c r="E14" s="27">
        <v>100</v>
      </c>
      <c r="F14" s="28">
        <f t="shared" si="0"/>
        <v>200</v>
      </c>
      <c r="G14" s="27">
        <v>100</v>
      </c>
      <c r="H14" s="28">
        <f t="shared" si="1"/>
        <v>200</v>
      </c>
      <c r="I14" s="27">
        <v>90</v>
      </c>
      <c r="J14" s="28">
        <f t="shared" si="2"/>
        <v>180</v>
      </c>
      <c r="K14" s="27">
        <v>475</v>
      </c>
      <c r="L14" s="28">
        <f t="shared" si="3"/>
        <v>950</v>
      </c>
      <c r="M14" s="27">
        <v>100</v>
      </c>
      <c r="N14" s="28">
        <f t="shared" si="4"/>
        <v>200</v>
      </c>
      <c r="O14" s="27">
        <v>85</v>
      </c>
      <c r="P14" s="28">
        <f t="shared" si="5"/>
        <v>170</v>
      </c>
      <c r="Q14" s="27">
        <v>200</v>
      </c>
      <c r="R14" s="28">
        <f t="shared" si="6"/>
        <v>400</v>
      </c>
      <c r="S14" s="62">
        <v>200</v>
      </c>
      <c r="T14" s="63">
        <f t="shared" si="7"/>
        <v>400</v>
      </c>
    </row>
    <row r="15" spans="1:20" ht="33" customHeight="1" x14ac:dyDescent="0.25">
      <c r="A15" s="11" t="str">
        <f>'Bid Item List'!A27</f>
        <v>0008</v>
      </c>
      <c r="B15" s="20" t="str">
        <f>'Bid Item List'!B27</f>
        <v>Stabilized Construction Entrance</v>
      </c>
      <c r="C15" s="39">
        <f>'Bid Item List'!C27</f>
        <v>1</v>
      </c>
      <c r="D15" s="21" t="str">
        <f>'Bid Item List'!D27</f>
        <v>Each</v>
      </c>
      <c r="E15" s="27">
        <v>3800</v>
      </c>
      <c r="F15" s="28">
        <f t="shared" si="0"/>
        <v>3800</v>
      </c>
      <c r="G15" s="27">
        <v>3500</v>
      </c>
      <c r="H15" s="28">
        <f t="shared" si="1"/>
        <v>3500</v>
      </c>
      <c r="I15" s="27">
        <v>1500</v>
      </c>
      <c r="J15" s="28">
        <f t="shared" si="2"/>
        <v>1500</v>
      </c>
      <c r="K15" s="27">
        <v>3600</v>
      </c>
      <c r="L15" s="28">
        <f t="shared" si="3"/>
        <v>3600</v>
      </c>
      <c r="M15" s="27">
        <v>2000</v>
      </c>
      <c r="N15" s="28">
        <f t="shared" si="4"/>
        <v>2000</v>
      </c>
      <c r="O15" s="27">
        <v>1500</v>
      </c>
      <c r="P15" s="28">
        <f t="shared" si="5"/>
        <v>1500</v>
      </c>
      <c r="Q15" s="27">
        <v>5000</v>
      </c>
      <c r="R15" s="28">
        <f t="shared" si="6"/>
        <v>5000</v>
      </c>
      <c r="S15" s="62">
        <v>5000</v>
      </c>
      <c r="T15" s="63">
        <f t="shared" si="7"/>
        <v>5000</v>
      </c>
    </row>
    <row r="16" spans="1:20" ht="33" customHeight="1" x14ac:dyDescent="0.25">
      <c r="A16" s="11" t="str">
        <f>'Bid Item List'!A28</f>
        <v>0009</v>
      </c>
      <c r="B16" s="20" t="str">
        <f>'Bid Item List'!B28</f>
        <v>Pavement Removal</v>
      </c>
      <c r="C16" s="39">
        <f>'Bid Item List'!C28</f>
        <v>20</v>
      </c>
      <c r="D16" s="21" t="str">
        <f>'Bid Item List'!D28</f>
        <v>CY</v>
      </c>
      <c r="E16" s="27">
        <v>85</v>
      </c>
      <c r="F16" s="28">
        <f t="shared" si="0"/>
        <v>1700</v>
      </c>
      <c r="G16" s="27">
        <v>75</v>
      </c>
      <c r="H16" s="28">
        <f t="shared" si="1"/>
        <v>1500</v>
      </c>
      <c r="I16" s="27">
        <v>90</v>
      </c>
      <c r="J16" s="28">
        <f t="shared" si="2"/>
        <v>1800</v>
      </c>
      <c r="K16" s="27">
        <v>133</v>
      </c>
      <c r="L16" s="28">
        <f t="shared" si="3"/>
        <v>2660</v>
      </c>
      <c r="M16" s="27">
        <v>90</v>
      </c>
      <c r="N16" s="28">
        <f t="shared" si="4"/>
        <v>1800</v>
      </c>
      <c r="O16" s="27">
        <v>45</v>
      </c>
      <c r="P16" s="28">
        <f t="shared" si="5"/>
        <v>900</v>
      </c>
      <c r="Q16" s="27">
        <v>200</v>
      </c>
      <c r="R16" s="28">
        <f t="shared" si="6"/>
        <v>4000</v>
      </c>
      <c r="S16" s="62">
        <v>250</v>
      </c>
      <c r="T16" s="63">
        <f t="shared" si="7"/>
        <v>5000</v>
      </c>
    </row>
    <row r="17" spans="1:20" ht="33" customHeight="1" x14ac:dyDescent="0.25">
      <c r="A17" s="11" t="str">
        <f>'Bid Item List'!A29</f>
        <v>0010</v>
      </c>
      <c r="B17" s="20" t="str">
        <f>'Bid Item List'!B29</f>
        <v>Common Excavation</v>
      </c>
      <c r="C17" s="39">
        <f>'Bid Item List'!C29</f>
        <v>1500</v>
      </c>
      <c r="D17" s="21" t="str">
        <f>'Bid Item List'!D29</f>
        <v>CY</v>
      </c>
      <c r="E17" s="27">
        <v>23.5</v>
      </c>
      <c r="F17" s="28">
        <f t="shared" ref="F17:F45" si="8">QTY*E17</f>
        <v>35250</v>
      </c>
      <c r="G17" s="27">
        <v>28</v>
      </c>
      <c r="H17" s="28">
        <f t="shared" ref="H17:H45" si="9">QTY*G17</f>
        <v>42000</v>
      </c>
      <c r="I17" s="27">
        <v>24</v>
      </c>
      <c r="J17" s="28">
        <f t="shared" ref="J17:J45" si="10">QTY*I17</f>
        <v>36000</v>
      </c>
      <c r="K17" s="27">
        <v>41</v>
      </c>
      <c r="L17" s="28">
        <f t="shared" ref="L17:L45" si="11">QTY*K17</f>
        <v>61500</v>
      </c>
      <c r="M17" s="27">
        <v>30</v>
      </c>
      <c r="N17" s="28">
        <f t="shared" ref="N17:N45" si="12">QTY*M17</f>
        <v>45000</v>
      </c>
      <c r="O17" s="27">
        <v>20</v>
      </c>
      <c r="P17" s="28">
        <f t="shared" ref="P17:P45" si="13">QTY*O17</f>
        <v>30000</v>
      </c>
      <c r="Q17" s="27">
        <v>30</v>
      </c>
      <c r="R17" s="28">
        <f t="shared" ref="R17:R45" si="14">QTY*Q17</f>
        <v>45000</v>
      </c>
      <c r="S17" s="62">
        <v>40</v>
      </c>
      <c r="T17" s="63">
        <f t="shared" ref="T17:T45" si="15">QTY*S17</f>
        <v>60000</v>
      </c>
    </row>
    <row r="18" spans="1:20" ht="33" customHeight="1" x14ac:dyDescent="0.25">
      <c r="A18" s="11" t="str">
        <f>'Bid Item List'!A30</f>
        <v>0011</v>
      </c>
      <c r="B18" s="20" t="str">
        <f>'Bid Item List'!B30</f>
        <v>Unsuitable Excavation and Disposal</v>
      </c>
      <c r="C18" s="39">
        <f>'Bid Item List'!C30</f>
        <v>40</v>
      </c>
      <c r="D18" s="21" t="str">
        <f>'Bid Item List'!D30</f>
        <v>CY</v>
      </c>
      <c r="E18" s="27">
        <v>60</v>
      </c>
      <c r="F18" s="28">
        <f t="shared" si="8"/>
        <v>2400</v>
      </c>
      <c r="G18" s="27">
        <v>50</v>
      </c>
      <c r="H18" s="28">
        <f t="shared" si="9"/>
        <v>2000</v>
      </c>
      <c r="I18" s="27">
        <v>40</v>
      </c>
      <c r="J18" s="28">
        <f t="shared" si="10"/>
        <v>1600</v>
      </c>
      <c r="K18" s="27">
        <v>135</v>
      </c>
      <c r="L18" s="28">
        <f t="shared" si="11"/>
        <v>5400</v>
      </c>
      <c r="M18" s="27">
        <v>50</v>
      </c>
      <c r="N18" s="28">
        <f t="shared" si="12"/>
        <v>2000</v>
      </c>
      <c r="O18" s="27">
        <v>95</v>
      </c>
      <c r="P18" s="28">
        <f t="shared" si="13"/>
        <v>3800</v>
      </c>
      <c r="Q18" s="27">
        <v>25</v>
      </c>
      <c r="R18" s="28">
        <f t="shared" si="14"/>
        <v>1000</v>
      </c>
      <c r="S18" s="62">
        <v>50</v>
      </c>
      <c r="T18" s="63">
        <f t="shared" si="15"/>
        <v>2000</v>
      </c>
    </row>
    <row r="19" spans="1:20" ht="33" customHeight="1" x14ac:dyDescent="0.25">
      <c r="A19" s="11" t="str">
        <f>'Bid Item List'!A31</f>
        <v>0012</v>
      </c>
      <c r="B19" s="20" t="str">
        <f>'Bid Item List'!B31</f>
        <v>Contaminated Soil Excavation and Disposal</v>
      </c>
      <c r="C19" s="39">
        <f>'Bid Item List'!C31</f>
        <v>50</v>
      </c>
      <c r="D19" s="21" t="str">
        <f>'Bid Item List'!D31</f>
        <v>CY</v>
      </c>
      <c r="E19" s="27">
        <v>245</v>
      </c>
      <c r="F19" s="28">
        <f t="shared" si="8"/>
        <v>12250</v>
      </c>
      <c r="G19" s="27">
        <v>100</v>
      </c>
      <c r="H19" s="28">
        <f t="shared" si="9"/>
        <v>5000</v>
      </c>
      <c r="I19" s="27">
        <v>90</v>
      </c>
      <c r="J19" s="28">
        <f t="shared" si="10"/>
        <v>4500</v>
      </c>
      <c r="K19" s="27">
        <v>159</v>
      </c>
      <c r="L19" s="28">
        <f t="shared" si="11"/>
        <v>7950</v>
      </c>
      <c r="M19" s="27">
        <v>70</v>
      </c>
      <c r="N19" s="28">
        <f t="shared" si="12"/>
        <v>3500</v>
      </c>
      <c r="O19" s="27">
        <v>190</v>
      </c>
      <c r="P19" s="28">
        <f t="shared" si="13"/>
        <v>9500</v>
      </c>
      <c r="Q19" s="27">
        <v>200</v>
      </c>
      <c r="R19" s="28">
        <f t="shared" si="14"/>
        <v>10000</v>
      </c>
      <c r="S19" s="62">
        <v>100</v>
      </c>
      <c r="T19" s="63">
        <f t="shared" si="15"/>
        <v>5000</v>
      </c>
    </row>
    <row r="20" spans="1:20" ht="33" customHeight="1" x14ac:dyDescent="0.25">
      <c r="A20" s="11" t="str">
        <f>'Bid Item List'!A32</f>
        <v>0013</v>
      </c>
      <c r="B20" s="20" t="str">
        <f>'Bid Item List'!B32</f>
        <v>Trench Stabilization</v>
      </c>
      <c r="C20" s="39">
        <f>'Bid Item List'!C32</f>
        <v>10</v>
      </c>
      <c r="D20" s="21" t="str">
        <f>'Bid Item List'!D32</f>
        <v>CY</v>
      </c>
      <c r="E20" s="27">
        <v>190</v>
      </c>
      <c r="F20" s="28">
        <f t="shared" si="8"/>
        <v>1900</v>
      </c>
      <c r="G20" s="27">
        <v>110</v>
      </c>
      <c r="H20" s="28">
        <f t="shared" si="9"/>
        <v>1100</v>
      </c>
      <c r="I20" s="27">
        <v>60</v>
      </c>
      <c r="J20" s="28">
        <f t="shared" si="10"/>
        <v>600</v>
      </c>
      <c r="K20" s="27">
        <v>365</v>
      </c>
      <c r="L20" s="28">
        <f t="shared" si="11"/>
        <v>3650</v>
      </c>
      <c r="M20" s="27">
        <v>6000</v>
      </c>
      <c r="N20" s="28">
        <f t="shared" si="12"/>
        <v>60000</v>
      </c>
      <c r="O20" s="27">
        <v>100</v>
      </c>
      <c r="P20" s="28">
        <f t="shared" si="13"/>
        <v>1000</v>
      </c>
      <c r="Q20" s="27">
        <v>120</v>
      </c>
      <c r="R20" s="28">
        <f t="shared" si="14"/>
        <v>1200</v>
      </c>
      <c r="S20" s="62">
        <v>100</v>
      </c>
      <c r="T20" s="63">
        <f t="shared" si="15"/>
        <v>1000</v>
      </c>
    </row>
    <row r="21" spans="1:20" ht="33" customHeight="1" x14ac:dyDescent="0.25">
      <c r="A21" s="11" t="str">
        <f>'Bid Item List'!A33</f>
        <v>0014</v>
      </c>
      <c r="B21" s="20" t="str">
        <f>'Bid Item List'!B33</f>
        <v>Geotextile</v>
      </c>
      <c r="C21" s="39">
        <f>'Bid Item List'!C33</f>
        <v>650</v>
      </c>
      <c r="D21" s="21" t="str">
        <f>'Bid Item List'!D33</f>
        <v>SY</v>
      </c>
      <c r="E21" s="27">
        <v>2</v>
      </c>
      <c r="F21" s="28">
        <f t="shared" si="8"/>
        <v>1300</v>
      </c>
      <c r="G21" s="27">
        <v>1</v>
      </c>
      <c r="H21" s="28">
        <f t="shared" si="9"/>
        <v>650</v>
      </c>
      <c r="I21" s="27">
        <v>2</v>
      </c>
      <c r="J21" s="28">
        <f t="shared" si="10"/>
        <v>1300</v>
      </c>
      <c r="K21" s="27">
        <v>7.8</v>
      </c>
      <c r="L21" s="28">
        <f t="shared" si="11"/>
        <v>5070</v>
      </c>
      <c r="M21" s="27">
        <v>3</v>
      </c>
      <c r="N21" s="28">
        <f t="shared" si="12"/>
        <v>1950</v>
      </c>
      <c r="O21" s="27">
        <v>2</v>
      </c>
      <c r="P21" s="28">
        <f t="shared" si="13"/>
        <v>1300</v>
      </c>
      <c r="Q21" s="27">
        <v>2</v>
      </c>
      <c r="R21" s="28">
        <f t="shared" si="14"/>
        <v>1300</v>
      </c>
      <c r="S21" s="62">
        <v>5</v>
      </c>
      <c r="T21" s="63">
        <f t="shared" si="15"/>
        <v>3250</v>
      </c>
    </row>
    <row r="22" spans="1:20" ht="33" customHeight="1" x14ac:dyDescent="0.25">
      <c r="A22" s="11" t="str">
        <f>'Bid Item List'!A34</f>
        <v>0015</v>
      </c>
      <c r="B22" s="20" t="str">
        <f>'Bid Item List'!B34</f>
        <v>Aggregate Base Course</v>
      </c>
      <c r="C22" s="39">
        <f>'Bid Item List'!C34</f>
        <v>400</v>
      </c>
      <c r="D22" s="21" t="str">
        <f>'Bid Item List'!D34</f>
        <v>CY</v>
      </c>
      <c r="E22" s="27">
        <v>48</v>
      </c>
      <c r="F22" s="28">
        <f t="shared" si="8"/>
        <v>19200</v>
      </c>
      <c r="G22" s="27">
        <v>70</v>
      </c>
      <c r="H22" s="28">
        <f t="shared" si="9"/>
        <v>28000</v>
      </c>
      <c r="I22" s="27">
        <v>48</v>
      </c>
      <c r="J22" s="28">
        <f t="shared" si="10"/>
        <v>19200</v>
      </c>
      <c r="K22" s="27">
        <v>77</v>
      </c>
      <c r="L22" s="28">
        <f t="shared" si="11"/>
        <v>30800</v>
      </c>
      <c r="M22" s="27">
        <v>40</v>
      </c>
      <c r="N22" s="28">
        <f t="shared" si="12"/>
        <v>16000</v>
      </c>
      <c r="O22" s="27">
        <v>58</v>
      </c>
      <c r="P22" s="28">
        <f t="shared" si="13"/>
        <v>23200</v>
      </c>
      <c r="Q22" s="27">
        <v>50</v>
      </c>
      <c r="R22" s="28">
        <f t="shared" si="14"/>
        <v>20000</v>
      </c>
      <c r="S22" s="62">
        <v>80</v>
      </c>
      <c r="T22" s="63">
        <f t="shared" si="15"/>
        <v>32000</v>
      </c>
    </row>
    <row r="23" spans="1:20" ht="33" customHeight="1" x14ac:dyDescent="0.25">
      <c r="A23" s="11" t="str">
        <f>'Bid Item List'!A35</f>
        <v>0016</v>
      </c>
      <c r="B23" s="20" t="str">
        <f>'Bid Item List'!B35</f>
        <v>Removal of Existing Storm Pipe, Manholes, Pumps, Valves, Hangers, Vaults, and Brackets</v>
      </c>
      <c r="C23" s="39">
        <f>'Bid Item List'!C35</f>
        <v>1</v>
      </c>
      <c r="D23" s="21" t="str">
        <f>'Bid Item List'!D35</f>
        <v>LS</v>
      </c>
      <c r="E23" s="27">
        <v>17000</v>
      </c>
      <c r="F23" s="28">
        <f t="shared" si="8"/>
        <v>17000</v>
      </c>
      <c r="G23" s="27">
        <v>40000</v>
      </c>
      <c r="H23" s="28">
        <f t="shared" si="9"/>
        <v>40000</v>
      </c>
      <c r="I23" s="27">
        <v>19000</v>
      </c>
      <c r="J23" s="28">
        <f t="shared" si="10"/>
        <v>19000</v>
      </c>
      <c r="K23" s="27">
        <v>70500</v>
      </c>
      <c r="L23" s="28">
        <f t="shared" si="11"/>
        <v>70500</v>
      </c>
      <c r="M23" s="27">
        <v>26500</v>
      </c>
      <c r="N23" s="28">
        <f t="shared" si="12"/>
        <v>26500</v>
      </c>
      <c r="O23" s="27">
        <v>15200</v>
      </c>
      <c r="P23" s="28">
        <f t="shared" si="13"/>
        <v>15200</v>
      </c>
      <c r="Q23" s="27">
        <v>10000</v>
      </c>
      <c r="R23" s="28">
        <f t="shared" si="14"/>
        <v>10000</v>
      </c>
      <c r="S23" s="62">
        <v>50000</v>
      </c>
      <c r="T23" s="63">
        <f t="shared" si="15"/>
        <v>50000</v>
      </c>
    </row>
    <row r="24" spans="1:20" ht="33" customHeight="1" x14ac:dyDescent="0.25">
      <c r="A24" s="11" t="str">
        <f>'Bid Item List'!A36</f>
        <v>0017</v>
      </c>
      <c r="B24" s="20" t="str">
        <f>'Bid Item List'!B36</f>
        <v>Removal of Existing Lid from Stormwater Treatment Vault</v>
      </c>
      <c r="C24" s="39">
        <f>'Bid Item List'!C36</f>
        <v>1</v>
      </c>
      <c r="D24" s="21" t="str">
        <f>'Bid Item List'!D36</f>
        <v>LS</v>
      </c>
      <c r="E24" s="27">
        <v>12000</v>
      </c>
      <c r="F24" s="28">
        <f t="shared" si="8"/>
        <v>12000</v>
      </c>
      <c r="G24" s="27">
        <v>7500</v>
      </c>
      <c r="H24" s="28">
        <f t="shared" si="9"/>
        <v>7500</v>
      </c>
      <c r="I24" s="27">
        <v>7000</v>
      </c>
      <c r="J24" s="28">
        <f t="shared" si="10"/>
        <v>7000</v>
      </c>
      <c r="K24" s="27">
        <v>7500</v>
      </c>
      <c r="L24" s="28">
        <f t="shared" si="11"/>
        <v>7500</v>
      </c>
      <c r="M24" s="27">
        <v>8500</v>
      </c>
      <c r="N24" s="28">
        <f t="shared" si="12"/>
        <v>8500</v>
      </c>
      <c r="O24" s="27">
        <v>4500</v>
      </c>
      <c r="P24" s="28">
        <f t="shared" si="13"/>
        <v>4500</v>
      </c>
      <c r="Q24" s="27">
        <v>5000</v>
      </c>
      <c r="R24" s="28">
        <f t="shared" si="14"/>
        <v>5000</v>
      </c>
      <c r="S24" s="62">
        <v>20000</v>
      </c>
      <c r="T24" s="63">
        <f t="shared" si="15"/>
        <v>20000</v>
      </c>
    </row>
    <row r="25" spans="1:20" ht="33" customHeight="1" x14ac:dyDescent="0.25">
      <c r="A25" s="11" t="str">
        <f>'Bid Item List'!A37</f>
        <v>0018</v>
      </c>
      <c r="B25" s="20" t="str">
        <f>'Bid Item List'!B37</f>
        <v>Modifications to Existing Wet Well</v>
      </c>
      <c r="C25" s="39">
        <f>'Bid Item List'!C37</f>
        <v>1</v>
      </c>
      <c r="D25" s="21" t="str">
        <f>'Bid Item List'!D37</f>
        <v>LS</v>
      </c>
      <c r="E25" s="27">
        <v>90000</v>
      </c>
      <c r="F25" s="28">
        <f t="shared" si="8"/>
        <v>90000</v>
      </c>
      <c r="G25" s="27">
        <v>40000</v>
      </c>
      <c r="H25" s="28">
        <f t="shared" si="9"/>
        <v>40000</v>
      </c>
      <c r="I25" s="27">
        <v>42000</v>
      </c>
      <c r="J25" s="28">
        <f t="shared" si="10"/>
        <v>42000</v>
      </c>
      <c r="K25" s="27">
        <v>79000</v>
      </c>
      <c r="L25" s="28">
        <f t="shared" si="11"/>
        <v>79000</v>
      </c>
      <c r="M25" s="27">
        <v>32000</v>
      </c>
      <c r="N25" s="28">
        <f t="shared" si="12"/>
        <v>32000</v>
      </c>
      <c r="O25" s="27">
        <v>85000</v>
      </c>
      <c r="P25" s="28">
        <f t="shared" si="13"/>
        <v>85000</v>
      </c>
      <c r="Q25" s="27">
        <v>10000</v>
      </c>
      <c r="R25" s="28">
        <f t="shared" si="14"/>
        <v>10000</v>
      </c>
      <c r="S25" s="62">
        <v>75000</v>
      </c>
      <c r="T25" s="63">
        <f t="shared" si="15"/>
        <v>75000</v>
      </c>
    </row>
    <row r="26" spans="1:20" ht="33" customHeight="1" x14ac:dyDescent="0.25">
      <c r="A26" s="11" t="str">
        <f>'Bid Item List'!A38</f>
        <v>0019</v>
      </c>
      <c r="B26" s="20" t="str">
        <f>'Bid Item List'!B38</f>
        <v>Adjustment of Existing Structures (H-20 Rated Vaults)</v>
      </c>
      <c r="C26" s="39">
        <f>'Bid Item List'!C38</f>
        <v>4</v>
      </c>
      <c r="D26" s="21" t="str">
        <f>'Bid Item List'!D38</f>
        <v>Each</v>
      </c>
      <c r="E26" s="27">
        <v>950</v>
      </c>
      <c r="F26" s="28">
        <f t="shared" si="8"/>
        <v>3800</v>
      </c>
      <c r="G26" s="27">
        <v>1200</v>
      </c>
      <c r="H26" s="28">
        <f t="shared" si="9"/>
        <v>4800</v>
      </c>
      <c r="I26" s="27">
        <v>2000</v>
      </c>
      <c r="J26" s="28">
        <f t="shared" si="10"/>
        <v>8000</v>
      </c>
      <c r="K26" s="27">
        <v>2500</v>
      </c>
      <c r="L26" s="28">
        <f t="shared" si="11"/>
        <v>10000</v>
      </c>
      <c r="M26" s="27">
        <v>6500</v>
      </c>
      <c r="N26" s="28">
        <f t="shared" si="12"/>
        <v>26000</v>
      </c>
      <c r="O26" s="27">
        <v>1720</v>
      </c>
      <c r="P26" s="28">
        <f t="shared" si="13"/>
        <v>6880</v>
      </c>
      <c r="Q26" s="27">
        <v>10000</v>
      </c>
      <c r="R26" s="28">
        <f t="shared" si="14"/>
        <v>40000</v>
      </c>
      <c r="S26" s="62">
        <v>4000</v>
      </c>
      <c r="T26" s="63">
        <f t="shared" si="15"/>
        <v>16000</v>
      </c>
    </row>
    <row r="27" spans="1:20" ht="33" customHeight="1" x14ac:dyDescent="0.25">
      <c r="A27" s="11" t="str">
        <f>'Bid Item List'!A39</f>
        <v>0020</v>
      </c>
      <c r="B27" s="20" t="str">
        <f>'Bid Item List'!B39</f>
        <v>24-Inch Storm Sewer (Force Main) Pipe</v>
      </c>
      <c r="C27" s="39">
        <f>'Bid Item List'!C39</f>
        <v>23</v>
      </c>
      <c r="D27" s="21" t="str">
        <f>'Bid Item List'!D39</f>
        <v>LF</v>
      </c>
      <c r="E27" s="27">
        <v>650</v>
      </c>
      <c r="F27" s="28">
        <f t="shared" si="8"/>
        <v>14950</v>
      </c>
      <c r="G27" s="27">
        <v>250</v>
      </c>
      <c r="H27" s="28">
        <f t="shared" si="9"/>
        <v>5750</v>
      </c>
      <c r="I27" s="27">
        <v>680</v>
      </c>
      <c r="J27" s="28">
        <f t="shared" si="10"/>
        <v>15640</v>
      </c>
      <c r="K27" s="27">
        <v>690</v>
      </c>
      <c r="L27" s="28">
        <f t="shared" si="11"/>
        <v>15870</v>
      </c>
      <c r="M27" s="27">
        <v>730</v>
      </c>
      <c r="N27" s="28">
        <f t="shared" si="12"/>
        <v>16790</v>
      </c>
      <c r="O27" s="27">
        <v>880</v>
      </c>
      <c r="P27" s="28">
        <f t="shared" si="13"/>
        <v>20240</v>
      </c>
      <c r="Q27" s="27">
        <v>900</v>
      </c>
      <c r="R27" s="28">
        <f t="shared" si="14"/>
        <v>20700</v>
      </c>
      <c r="S27" s="62">
        <v>200</v>
      </c>
      <c r="T27" s="63">
        <f t="shared" si="15"/>
        <v>4600</v>
      </c>
    </row>
    <row r="28" spans="1:20" ht="33" customHeight="1" x14ac:dyDescent="0.25">
      <c r="A28" s="11" t="str">
        <f>'Bid Item List'!A40</f>
        <v>0021</v>
      </c>
      <c r="B28" s="20" t="str">
        <f>'Bid Item List'!B40</f>
        <v>12-Inch Storm Sewer Pipe</v>
      </c>
      <c r="C28" s="39">
        <f>'Bid Item List'!C40</f>
        <v>51</v>
      </c>
      <c r="D28" s="21" t="str">
        <f>'Bid Item List'!D40</f>
        <v>LF</v>
      </c>
      <c r="E28" s="27">
        <v>100</v>
      </c>
      <c r="F28" s="28">
        <f t="shared" si="8"/>
        <v>5100</v>
      </c>
      <c r="G28" s="27">
        <v>215</v>
      </c>
      <c r="H28" s="28">
        <f t="shared" si="9"/>
        <v>10965</v>
      </c>
      <c r="I28" s="27">
        <v>140</v>
      </c>
      <c r="J28" s="28">
        <f t="shared" si="10"/>
        <v>7140</v>
      </c>
      <c r="K28" s="27">
        <v>160</v>
      </c>
      <c r="L28" s="28">
        <f t="shared" si="11"/>
        <v>8160</v>
      </c>
      <c r="M28" s="27">
        <v>42</v>
      </c>
      <c r="N28" s="28">
        <f t="shared" si="12"/>
        <v>2142</v>
      </c>
      <c r="O28" s="27">
        <v>245</v>
      </c>
      <c r="P28" s="28">
        <f t="shared" si="13"/>
        <v>12495</v>
      </c>
      <c r="Q28" s="27">
        <v>200</v>
      </c>
      <c r="R28" s="28">
        <f t="shared" si="14"/>
        <v>10200</v>
      </c>
      <c r="S28" s="62">
        <v>120</v>
      </c>
      <c r="T28" s="63">
        <f t="shared" si="15"/>
        <v>6120</v>
      </c>
    </row>
    <row r="29" spans="1:20" ht="33" customHeight="1" x14ac:dyDescent="0.25">
      <c r="A29" s="11" t="str">
        <f>'Bid Item List'!A41</f>
        <v>0022</v>
      </c>
      <c r="B29" s="20" t="str">
        <f>'Bid Item List'!B41</f>
        <v>15-Inch Storm Sewer Pipe</v>
      </c>
      <c r="C29" s="39">
        <f>'Bid Item List'!C41</f>
        <v>22</v>
      </c>
      <c r="D29" s="21" t="str">
        <f>'Bid Item List'!D41</f>
        <v>LF</v>
      </c>
      <c r="E29" s="27">
        <v>195</v>
      </c>
      <c r="F29" s="28">
        <f t="shared" si="8"/>
        <v>4290</v>
      </c>
      <c r="G29" s="27">
        <v>300</v>
      </c>
      <c r="H29" s="28">
        <f t="shared" si="9"/>
        <v>6600</v>
      </c>
      <c r="I29" s="27">
        <v>95</v>
      </c>
      <c r="J29" s="28">
        <f t="shared" si="10"/>
        <v>2090</v>
      </c>
      <c r="K29" s="27">
        <v>300</v>
      </c>
      <c r="L29" s="28">
        <f t="shared" si="11"/>
        <v>6600</v>
      </c>
      <c r="M29" s="27">
        <v>145</v>
      </c>
      <c r="N29" s="28">
        <f t="shared" si="12"/>
        <v>3190</v>
      </c>
      <c r="O29" s="27">
        <v>360</v>
      </c>
      <c r="P29" s="28">
        <f t="shared" si="13"/>
        <v>7920</v>
      </c>
      <c r="Q29" s="27">
        <v>300</v>
      </c>
      <c r="R29" s="28">
        <f t="shared" si="14"/>
        <v>6600</v>
      </c>
      <c r="S29" s="62">
        <v>120</v>
      </c>
      <c r="T29" s="63">
        <f t="shared" si="15"/>
        <v>2640</v>
      </c>
    </row>
    <row r="30" spans="1:20" ht="33" customHeight="1" x14ac:dyDescent="0.25">
      <c r="A30" s="11" t="str">
        <f>'Bid Item List'!A42</f>
        <v>0023</v>
      </c>
      <c r="B30" s="20" t="str">
        <f>'Bid Item List'!B42</f>
        <v>21-Inch Storm Sewer Pipe</v>
      </c>
      <c r="C30" s="39">
        <f>'Bid Item List'!C42</f>
        <v>23</v>
      </c>
      <c r="D30" s="21" t="str">
        <f>'Bid Item List'!D42</f>
        <v>LF</v>
      </c>
      <c r="E30" s="27">
        <v>225</v>
      </c>
      <c r="F30" s="28">
        <f t="shared" si="8"/>
        <v>5175</v>
      </c>
      <c r="G30" s="27">
        <v>250</v>
      </c>
      <c r="H30" s="28">
        <f t="shared" si="9"/>
        <v>5750</v>
      </c>
      <c r="I30" s="27">
        <v>190</v>
      </c>
      <c r="J30" s="28">
        <f t="shared" si="10"/>
        <v>4370</v>
      </c>
      <c r="K30" s="27">
        <v>240</v>
      </c>
      <c r="L30" s="28">
        <f t="shared" si="11"/>
        <v>5520</v>
      </c>
      <c r="M30" s="27">
        <v>105</v>
      </c>
      <c r="N30" s="28">
        <f t="shared" si="12"/>
        <v>2415</v>
      </c>
      <c r="O30" s="27">
        <v>230</v>
      </c>
      <c r="P30" s="28">
        <f t="shared" si="13"/>
        <v>5290</v>
      </c>
      <c r="Q30" s="27">
        <v>300</v>
      </c>
      <c r="R30" s="28">
        <f t="shared" si="14"/>
        <v>6900</v>
      </c>
      <c r="S30" s="62">
        <v>150</v>
      </c>
      <c r="T30" s="63">
        <f t="shared" si="15"/>
        <v>3450</v>
      </c>
    </row>
    <row r="31" spans="1:20" ht="33" customHeight="1" x14ac:dyDescent="0.25">
      <c r="A31" s="11" t="str">
        <f>'Bid Item List'!A43</f>
        <v>0024</v>
      </c>
      <c r="B31" s="20" t="str">
        <f>'Bid Item List'!B43</f>
        <v>21-Inch Storm Sewer Pipe (RCP)</v>
      </c>
      <c r="C31" s="39">
        <f>'Bid Item List'!C43</f>
        <v>70</v>
      </c>
      <c r="D31" s="21" t="str">
        <f>'Bid Item List'!D43</f>
        <v>LF</v>
      </c>
      <c r="E31" s="27">
        <v>140</v>
      </c>
      <c r="F31" s="28">
        <f t="shared" si="8"/>
        <v>9800</v>
      </c>
      <c r="G31" s="27">
        <v>125</v>
      </c>
      <c r="H31" s="28">
        <f t="shared" si="9"/>
        <v>8750</v>
      </c>
      <c r="I31" s="27">
        <v>120</v>
      </c>
      <c r="J31" s="28">
        <f t="shared" si="10"/>
        <v>8400</v>
      </c>
      <c r="K31" s="27">
        <v>137</v>
      </c>
      <c r="L31" s="28">
        <f t="shared" si="11"/>
        <v>9590</v>
      </c>
      <c r="M31" s="27">
        <v>60</v>
      </c>
      <c r="N31" s="28">
        <f t="shared" si="12"/>
        <v>4200</v>
      </c>
      <c r="O31" s="27">
        <v>125</v>
      </c>
      <c r="P31" s="28">
        <f t="shared" si="13"/>
        <v>8750</v>
      </c>
      <c r="Q31" s="27">
        <v>300</v>
      </c>
      <c r="R31" s="28">
        <f t="shared" si="14"/>
        <v>21000</v>
      </c>
      <c r="S31" s="62">
        <v>175</v>
      </c>
      <c r="T31" s="63">
        <f t="shared" si="15"/>
        <v>12250</v>
      </c>
    </row>
    <row r="32" spans="1:20" ht="33" customHeight="1" x14ac:dyDescent="0.25">
      <c r="A32" s="11" t="str">
        <f>'Bid Item List'!A44</f>
        <v>0025</v>
      </c>
      <c r="B32" s="20" t="str">
        <f>'Bid Item List'!B44</f>
        <v xml:space="preserve">24-Inch Storm Sewer Pipe </v>
      </c>
      <c r="C32" s="39">
        <f>'Bid Item List'!C44</f>
        <v>85</v>
      </c>
      <c r="D32" s="21" t="str">
        <f>'Bid Item List'!D44</f>
        <v>LF</v>
      </c>
      <c r="E32" s="27">
        <v>200</v>
      </c>
      <c r="F32" s="28">
        <f t="shared" si="8"/>
        <v>17000</v>
      </c>
      <c r="G32" s="27">
        <v>200</v>
      </c>
      <c r="H32" s="28">
        <f t="shared" si="9"/>
        <v>17000</v>
      </c>
      <c r="I32" s="27">
        <v>190</v>
      </c>
      <c r="J32" s="28">
        <f t="shared" si="10"/>
        <v>16150</v>
      </c>
      <c r="K32" s="27">
        <v>168</v>
      </c>
      <c r="L32" s="28">
        <f t="shared" si="11"/>
        <v>14280</v>
      </c>
      <c r="M32" s="27">
        <v>125</v>
      </c>
      <c r="N32" s="28">
        <f t="shared" si="12"/>
        <v>10625</v>
      </c>
      <c r="O32" s="27">
        <v>225</v>
      </c>
      <c r="P32" s="28">
        <f t="shared" si="13"/>
        <v>19125</v>
      </c>
      <c r="Q32" s="27">
        <v>500</v>
      </c>
      <c r="R32" s="28">
        <f t="shared" si="14"/>
        <v>42500</v>
      </c>
      <c r="S32" s="62">
        <v>175</v>
      </c>
      <c r="T32" s="63">
        <f t="shared" si="15"/>
        <v>14875</v>
      </c>
    </row>
    <row r="33" spans="1:20" ht="33" customHeight="1" x14ac:dyDescent="0.25">
      <c r="A33" s="11" t="str">
        <f>'Bid Item List'!A45</f>
        <v>0026</v>
      </c>
      <c r="B33" s="20" t="str">
        <f>'Bid Item List'!B45</f>
        <v>48-Inch Manhole</v>
      </c>
      <c r="C33" s="39">
        <f>'Bid Item List'!C45</f>
        <v>1</v>
      </c>
      <c r="D33" s="21" t="str">
        <f>'Bid Item List'!D45</f>
        <v>Each</v>
      </c>
      <c r="E33" s="27">
        <v>4700</v>
      </c>
      <c r="F33" s="28">
        <f t="shared" si="8"/>
        <v>4700</v>
      </c>
      <c r="G33" s="27">
        <v>4600</v>
      </c>
      <c r="H33" s="28">
        <f t="shared" si="9"/>
        <v>4600</v>
      </c>
      <c r="I33" s="27">
        <v>4200</v>
      </c>
      <c r="J33" s="28">
        <f t="shared" si="10"/>
        <v>4200</v>
      </c>
      <c r="K33" s="27">
        <v>8000</v>
      </c>
      <c r="L33" s="28">
        <f t="shared" si="11"/>
        <v>8000</v>
      </c>
      <c r="M33" s="27">
        <v>5000</v>
      </c>
      <c r="N33" s="28">
        <f t="shared" si="12"/>
        <v>5000</v>
      </c>
      <c r="O33" s="27">
        <v>5215</v>
      </c>
      <c r="P33" s="28">
        <f t="shared" si="13"/>
        <v>5215</v>
      </c>
      <c r="Q33" s="27">
        <v>2000</v>
      </c>
      <c r="R33" s="28">
        <f t="shared" si="14"/>
        <v>2000</v>
      </c>
      <c r="S33" s="62">
        <v>8000</v>
      </c>
      <c r="T33" s="63">
        <f t="shared" si="15"/>
        <v>8000</v>
      </c>
    </row>
    <row r="34" spans="1:20" ht="33" customHeight="1" x14ac:dyDescent="0.25">
      <c r="A34" s="11" t="str">
        <f>'Bid Item List'!A46</f>
        <v>0027</v>
      </c>
      <c r="B34" s="20" t="str">
        <f>'Bid Item List'!B46</f>
        <v>60-Inch Manhole</v>
      </c>
      <c r="C34" s="39">
        <f>'Bid Item List'!C46</f>
        <v>1</v>
      </c>
      <c r="D34" s="21" t="str">
        <f>'Bid Item List'!D46</f>
        <v>Each</v>
      </c>
      <c r="E34" s="27">
        <v>6000</v>
      </c>
      <c r="F34" s="28">
        <f t="shared" si="8"/>
        <v>6000</v>
      </c>
      <c r="G34" s="27">
        <v>8600</v>
      </c>
      <c r="H34" s="28">
        <f t="shared" si="9"/>
        <v>8600</v>
      </c>
      <c r="I34" s="27">
        <v>8300</v>
      </c>
      <c r="J34" s="28">
        <f t="shared" si="10"/>
        <v>8300</v>
      </c>
      <c r="K34" s="27">
        <v>11500</v>
      </c>
      <c r="L34" s="28">
        <f t="shared" si="11"/>
        <v>11500</v>
      </c>
      <c r="M34" s="27">
        <v>6500</v>
      </c>
      <c r="N34" s="28">
        <f t="shared" si="12"/>
        <v>6500</v>
      </c>
      <c r="O34" s="27">
        <v>7245</v>
      </c>
      <c r="P34" s="28">
        <f t="shared" si="13"/>
        <v>7245</v>
      </c>
      <c r="Q34" s="27">
        <v>4000</v>
      </c>
      <c r="R34" s="28">
        <f t="shared" si="14"/>
        <v>4000</v>
      </c>
      <c r="S34" s="62">
        <v>10000</v>
      </c>
      <c r="T34" s="63">
        <f t="shared" si="15"/>
        <v>10000</v>
      </c>
    </row>
    <row r="35" spans="1:20" ht="33" customHeight="1" x14ac:dyDescent="0.25">
      <c r="A35" s="11" t="str">
        <f>'Bid Item List'!A47</f>
        <v>0028</v>
      </c>
      <c r="B35" s="20" t="str">
        <f>'Bid Item List'!B47</f>
        <v>72-Inch Manhole</v>
      </c>
      <c r="C35" s="39">
        <f>'Bid Item List'!C47</f>
        <v>2</v>
      </c>
      <c r="D35" s="21" t="str">
        <f>'Bid Item List'!D47</f>
        <v>Each</v>
      </c>
      <c r="E35" s="27">
        <v>8200</v>
      </c>
      <c r="F35" s="28">
        <f t="shared" si="8"/>
        <v>16400</v>
      </c>
      <c r="G35" s="27">
        <v>12000</v>
      </c>
      <c r="H35" s="28">
        <f t="shared" si="9"/>
        <v>24000</v>
      </c>
      <c r="I35" s="27">
        <v>12000</v>
      </c>
      <c r="J35" s="28">
        <f t="shared" si="10"/>
        <v>24000</v>
      </c>
      <c r="K35" s="27">
        <v>15500</v>
      </c>
      <c r="L35" s="28">
        <f t="shared" si="11"/>
        <v>31000</v>
      </c>
      <c r="M35" s="27">
        <v>7250</v>
      </c>
      <c r="N35" s="28">
        <f t="shared" si="12"/>
        <v>14500</v>
      </c>
      <c r="O35" s="27">
        <v>9425</v>
      </c>
      <c r="P35" s="28">
        <f t="shared" si="13"/>
        <v>18850</v>
      </c>
      <c r="Q35" s="27">
        <v>5000</v>
      </c>
      <c r="R35" s="28">
        <f t="shared" si="14"/>
        <v>10000</v>
      </c>
      <c r="S35" s="62">
        <v>12000</v>
      </c>
      <c r="T35" s="63">
        <f t="shared" si="15"/>
        <v>24000</v>
      </c>
    </row>
    <row r="36" spans="1:20" ht="33" customHeight="1" x14ac:dyDescent="0.25">
      <c r="A36" s="11" t="str">
        <f>'Bid Item List'!A48</f>
        <v>0029</v>
      </c>
      <c r="B36" s="20" t="str">
        <f>'Bid Item List'!B48</f>
        <v>72-Inch Corrugated Metal Riser</v>
      </c>
      <c r="C36" s="39">
        <f>'Bid Item List'!C48</f>
        <v>1</v>
      </c>
      <c r="D36" s="21" t="str">
        <f>'Bid Item List'!D48</f>
        <v>Each</v>
      </c>
      <c r="E36" s="27">
        <v>13000</v>
      </c>
      <c r="F36" s="28">
        <f t="shared" si="8"/>
        <v>13000</v>
      </c>
      <c r="G36" s="27">
        <v>30000</v>
      </c>
      <c r="H36" s="28">
        <f t="shared" si="9"/>
        <v>30000</v>
      </c>
      <c r="I36" s="27">
        <v>15000</v>
      </c>
      <c r="J36" s="28">
        <f t="shared" si="10"/>
        <v>15000</v>
      </c>
      <c r="K36" s="27">
        <v>42500</v>
      </c>
      <c r="L36" s="28">
        <f t="shared" si="11"/>
        <v>42500</v>
      </c>
      <c r="M36" s="27">
        <v>7500</v>
      </c>
      <c r="N36" s="28">
        <f t="shared" si="12"/>
        <v>7500</v>
      </c>
      <c r="O36" s="27">
        <v>28700</v>
      </c>
      <c r="P36" s="28">
        <f t="shared" si="13"/>
        <v>28700</v>
      </c>
      <c r="Q36" s="27">
        <v>3000</v>
      </c>
      <c r="R36" s="28">
        <f t="shared" si="14"/>
        <v>3000</v>
      </c>
      <c r="S36" s="62">
        <v>7000</v>
      </c>
      <c r="T36" s="63">
        <f t="shared" si="15"/>
        <v>7000</v>
      </c>
    </row>
    <row r="37" spans="1:20" ht="33" customHeight="1" x14ac:dyDescent="0.25">
      <c r="A37" s="11" t="str">
        <f>'Bid Item List'!A49</f>
        <v>0030</v>
      </c>
      <c r="B37" s="20" t="str">
        <f>'Bid Item List'!B49</f>
        <v>Stormwater Pump Station</v>
      </c>
      <c r="C37" s="39">
        <f>'Bid Item List'!C49</f>
        <v>1</v>
      </c>
      <c r="D37" s="21" t="str">
        <f>'Bid Item List'!D49</f>
        <v>LS</v>
      </c>
      <c r="E37" s="27">
        <v>295000</v>
      </c>
      <c r="F37" s="28">
        <f t="shared" si="8"/>
        <v>295000</v>
      </c>
      <c r="G37" s="27">
        <v>282088</v>
      </c>
      <c r="H37" s="28">
        <f t="shared" si="9"/>
        <v>282088</v>
      </c>
      <c r="I37" s="27">
        <v>240000</v>
      </c>
      <c r="J37" s="28">
        <f t="shared" si="10"/>
        <v>240000</v>
      </c>
      <c r="K37" s="27">
        <v>275000</v>
      </c>
      <c r="L37" s="28">
        <f t="shared" si="11"/>
        <v>275000</v>
      </c>
      <c r="M37" s="27">
        <v>329700</v>
      </c>
      <c r="N37" s="28">
        <f t="shared" si="12"/>
        <v>329700</v>
      </c>
      <c r="O37" s="27">
        <v>241750</v>
      </c>
      <c r="P37" s="28">
        <f t="shared" si="13"/>
        <v>241750</v>
      </c>
      <c r="Q37" s="27">
        <v>245100</v>
      </c>
      <c r="R37" s="28">
        <f t="shared" si="14"/>
        <v>245100</v>
      </c>
      <c r="S37" s="62">
        <v>270000</v>
      </c>
      <c r="T37" s="63">
        <f t="shared" si="15"/>
        <v>270000</v>
      </c>
    </row>
    <row r="38" spans="1:20" ht="33" customHeight="1" x14ac:dyDescent="0.25">
      <c r="A38" s="11" t="str">
        <f>'Bid Item List'!A50</f>
        <v>0031</v>
      </c>
      <c r="B38" s="20" t="str">
        <f>'Bid Item List'!B50</f>
        <v>Stormwater Treatment Vaults</v>
      </c>
      <c r="C38" s="39">
        <f>'Bid Item List'!C50</f>
        <v>3</v>
      </c>
      <c r="D38" s="21" t="str">
        <f>'Bid Item List'!D50</f>
        <v>Each</v>
      </c>
      <c r="E38" s="27">
        <v>350000</v>
      </c>
      <c r="F38" s="28">
        <f t="shared" si="8"/>
        <v>1050000</v>
      </c>
      <c r="G38" s="27">
        <v>365000</v>
      </c>
      <c r="H38" s="28">
        <f t="shared" si="9"/>
        <v>1095000</v>
      </c>
      <c r="I38" s="27">
        <v>390000</v>
      </c>
      <c r="J38" s="28">
        <f t="shared" si="10"/>
        <v>1170000</v>
      </c>
      <c r="K38" s="27">
        <v>405000</v>
      </c>
      <c r="L38" s="28">
        <f t="shared" si="11"/>
        <v>1215000</v>
      </c>
      <c r="M38" s="27">
        <v>389000</v>
      </c>
      <c r="N38" s="28">
        <f t="shared" si="12"/>
        <v>1167000</v>
      </c>
      <c r="O38" s="27">
        <v>375000</v>
      </c>
      <c r="P38" s="28">
        <f t="shared" si="13"/>
        <v>1125000</v>
      </c>
      <c r="Q38" s="27">
        <v>300000</v>
      </c>
      <c r="R38" s="28">
        <f t="shared" si="14"/>
        <v>900000</v>
      </c>
      <c r="S38" s="62">
        <v>300000</v>
      </c>
      <c r="T38" s="63">
        <f t="shared" si="15"/>
        <v>900000</v>
      </c>
    </row>
    <row r="39" spans="1:20" ht="33" customHeight="1" x14ac:dyDescent="0.25">
      <c r="A39" s="11" t="str">
        <f>'Bid Item List'!A51</f>
        <v>0032</v>
      </c>
      <c r="B39" s="20" t="str">
        <f>'Bid Item List'!B51</f>
        <v>Stormwater Treatment Vault Cover</v>
      </c>
      <c r="C39" s="39">
        <f>'Bid Item List'!C51</f>
        <v>1500</v>
      </c>
      <c r="D39" s="21" t="str">
        <f>'Bid Item List'!D51</f>
        <v>SF</v>
      </c>
      <c r="E39" s="27">
        <v>16</v>
      </c>
      <c r="F39" s="28">
        <f t="shared" si="8"/>
        <v>24000</v>
      </c>
      <c r="G39" s="27">
        <v>15</v>
      </c>
      <c r="H39" s="28">
        <f t="shared" si="9"/>
        <v>22500</v>
      </c>
      <c r="I39" s="27">
        <v>15</v>
      </c>
      <c r="J39" s="28">
        <f t="shared" si="10"/>
        <v>22500</v>
      </c>
      <c r="K39" s="27">
        <v>14</v>
      </c>
      <c r="L39" s="28">
        <f t="shared" si="11"/>
        <v>21000</v>
      </c>
      <c r="M39" s="27">
        <v>6</v>
      </c>
      <c r="N39" s="28">
        <f t="shared" si="12"/>
        <v>9000</v>
      </c>
      <c r="O39" s="27">
        <v>17</v>
      </c>
      <c r="P39" s="28">
        <f t="shared" si="13"/>
        <v>25500</v>
      </c>
      <c r="Q39" s="27">
        <v>15</v>
      </c>
      <c r="R39" s="28">
        <f t="shared" si="14"/>
        <v>22500</v>
      </c>
      <c r="S39" s="62">
        <v>10</v>
      </c>
      <c r="T39" s="63">
        <f t="shared" si="15"/>
        <v>15000</v>
      </c>
    </row>
    <row r="40" spans="1:20" ht="33" customHeight="1" x14ac:dyDescent="0.25">
      <c r="A40" s="11" t="str">
        <f>'Bid Item List'!A52</f>
        <v>0033</v>
      </c>
      <c r="B40" s="20" t="str">
        <f>'Bid Item List'!B52</f>
        <v xml:space="preserve">Hand Rail </v>
      </c>
      <c r="C40" s="39">
        <f>'Bid Item List'!C52</f>
        <v>350</v>
      </c>
      <c r="D40" s="21" t="str">
        <f>'Bid Item List'!D52</f>
        <v>LF</v>
      </c>
      <c r="E40" s="27">
        <v>80</v>
      </c>
      <c r="F40" s="28">
        <f t="shared" si="8"/>
        <v>28000</v>
      </c>
      <c r="G40" s="27">
        <v>70</v>
      </c>
      <c r="H40" s="28">
        <f t="shared" si="9"/>
        <v>24500</v>
      </c>
      <c r="I40" s="27">
        <v>180</v>
      </c>
      <c r="J40" s="28">
        <f t="shared" si="10"/>
        <v>63000</v>
      </c>
      <c r="K40" s="27">
        <v>127</v>
      </c>
      <c r="L40" s="28">
        <f t="shared" si="11"/>
        <v>44450</v>
      </c>
      <c r="M40" s="27">
        <v>64.5</v>
      </c>
      <c r="N40" s="28">
        <f t="shared" si="12"/>
        <v>22575</v>
      </c>
      <c r="O40" s="27">
        <v>335</v>
      </c>
      <c r="P40" s="28">
        <f t="shared" si="13"/>
        <v>117250</v>
      </c>
      <c r="Q40" s="27">
        <v>120</v>
      </c>
      <c r="R40" s="28">
        <f t="shared" si="14"/>
        <v>42000</v>
      </c>
      <c r="S40" s="62">
        <v>100</v>
      </c>
      <c r="T40" s="63">
        <f t="shared" si="15"/>
        <v>35000</v>
      </c>
    </row>
    <row r="41" spans="1:20" ht="33" customHeight="1" x14ac:dyDescent="0.25">
      <c r="A41" s="11" t="str">
        <f>'Bid Item List'!A53</f>
        <v>0034</v>
      </c>
      <c r="B41" s="20" t="str">
        <f>'Bid Item List'!B53</f>
        <v>Concrete Wall Removal</v>
      </c>
      <c r="C41" s="39">
        <f>'Bid Item List'!C53</f>
        <v>8</v>
      </c>
      <c r="D41" s="21" t="str">
        <f>'Bid Item List'!D53</f>
        <v>LF</v>
      </c>
      <c r="E41" s="27">
        <v>500</v>
      </c>
      <c r="F41" s="28">
        <f t="shared" si="8"/>
        <v>4000</v>
      </c>
      <c r="G41" s="27">
        <v>200</v>
      </c>
      <c r="H41" s="28">
        <f t="shared" si="9"/>
        <v>1600</v>
      </c>
      <c r="I41" s="27">
        <v>220</v>
      </c>
      <c r="J41" s="28">
        <f t="shared" si="10"/>
        <v>1760</v>
      </c>
      <c r="K41" s="27">
        <v>500</v>
      </c>
      <c r="L41" s="28">
        <f t="shared" si="11"/>
        <v>4000</v>
      </c>
      <c r="M41" s="27">
        <v>815</v>
      </c>
      <c r="N41" s="28">
        <f t="shared" si="12"/>
        <v>6520</v>
      </c>
      <c r="O41" s="27">
        <v>460</v>
      </c>
      <c r="P41" s="28">
        <f t="shared" si="13"/>
        <v>3680</v>
      </c>
      <c r="Q41" s="27">
        <v>200</v>
      </c>
      <c r="R41" s="28">
        <f t="shared" si="14"/>
        <v>1600</v>
      </c>
      <c r="S41" s="62">
        <v>650</v>
      </c>
      <c r="T41" s="63">
        <f t="shared" si="15"/>
        <v>5200</v>
      </c>
    </row>
    <row r="42" spans="1:20" ht="33" customHeight="1" x14ac:dyDescent="0.25">
      <c r="A42" s="11" t="str">
        <f>'Bid Item List'!A54</f>
        <v>0035</v>
      </c>
      <c r="B42" s="20" t="str">
        <f>'Bid Item List'!B54</f>
        <v>Concrete Curb Removal</v>
      </c>
      <c r="C42" s="39">
        <f>'Bid Item List'!C54</f>
        <v>8</v>
      </c>
      <c r="D42" s="21" t="str">
        <f>'Bid Item List'!D54</f>
        <v>LF</v>
      </c>
      <c r="E42" s="27">
        <v>330</v>
      </c>
      <c r="F42" s="28">
        <f t="shared" si="8"/>
        <v>2640</v>
      </c>
      <c r="G42" s="27">
        <v>20</v>
      </c>
      <c r="H42" s="28">
        <f t="shared" si="9"/>
        <v>160</v>
      </c>
      <c r="I42" s="27">
        <v>60</v>
      </c>
      <c r="J42" s="28">
        <f t="shared" si="10"/>
        <v>480</v>
      </c>
      <c r="K42" s="27">
        <v>120</v>
      </c>
      <c r="L42" s="28">
        <f t="shared" si="11"/>
        <v>960</v>
      </c>
      <c r="M42" s="27">
        <v>215</v>
      </c>
      <c r="N42" s="28">
        <f t="shared" si="12"/>
        <v>1720</v>
      </c>
      <c r="O42" s="27">
        <v>55</v>
      </c>
      <c r="P42" s="28">
        <f t="shared" si="13"/>
        <v>440</v>
      </c>
      <c r="Q42" s="27">
        <v>50</v>
      </c>
      <c r="R42" s="28">
        <f t="shared" si="14"/>
        <v>400</v>
      </c>
      <c r="S42" s="62">
        <v>75</v>
      </c>
      <c r="T42" s="63">
        <f t="shared" si="15"/>
        <v>600</v>
      </c>
    </row>
    <row r="43" spans="1:20" ht="33" customHeight="1" x14ac:dyDescent="0.25">
      <c r="A43" s="11" t="str">
        <f>'Bid Item List'!A55</f>
        <v>0036</v>
      </c>
      <c r="B43" s="20" t="str">
        <f>'Bid Item List'!B55</f>
        <v>Bollard</v>
      </c>
      <c r="C43" s="39">
        <f>'Bid Item List'!C55</f>
        <v>4</v>
      </c>
      <c r="D43" s="21" t="str">
        <f>'Bid Item List'!D55</f>
        <v>Each</v>
      </c>
      <c r="E43" s="27">
        <v>1000</v>
      </c>
      <c r="F43" s="28">
        <f t="shared" si="8"/>
        <v>4000</v>
      </c>
      <c r="G43" s="27">
        <v>500</v>
      </c>
      <c r="H43" s="28">
        <f t="shared" si="9"/>
        <v>2000</v>
      </c>
      <c r="I43" s="27">
        <v>1100</v>
      </c>
      <c r="J43" s="28">
        <f t="shared" si="10"/>
        <v>4400</v>
      </c>
      <c r="K43" s="27">
        <v>2900</v>
      </c>
      <c r="L43" s="28">
        <f t="shared" si="11"/>
        <v>11600</v>
      </c>
      <c r="M43" s="27">
        <v>750</v>
      </c>
      <c r="N43" s="28">
        <f t="shared" si="12"/>
        <v>3000</v>
      </c>
      <c r="O43" s="27">
        <v>750</v>
      </c>
      <c r="P43" s="28">
        <f t="shared" si="13"/>
        <v>3000</v>
      </c>
      <c r="Q43" s="27">
        <v>100</v>
      </c>
      <c r="R43" s="28">
        <f t="shared" si="14"/>
        <v>400</v>
      </c>
      <c r="S43" s="62">
        <v>1000</v>
      </c>
      <c r="T43" s="63">
        <f t="shared" si="15"/>
        <v>4000</v>
      </c>
    </row>
    <row r="44" spans="1:20" ht="33" customHeight="1" x14ac:dyDescent="0.25">
      <c r="A44" s="11" t="str">
        <f>'Bid Item List'!A56</f>
        <v>0037</v>
      </c>
      <c r="B44" s="20" t="str">
        <f>'Bid Item List'!B56</f>
        <v>Area Seeding</v>
      </c>
      <c r="C44" s="39">
        <f>'Bid Item List'!C56</f>
        <v>7.0000000000000007E-2</v>
      </c>
      <c r="D44" s="21" t="str">
        <f>'Bid Item List'!D56</f>
        <v>Acre</v>
      </c>
      <c r="E44" s="27">
        <v>95000</v>
      </c>
      <c r="F44" s="28">
        <f t="shared" si="8"/>
        <v>6650.0000000000009</v>
      </c>
      <c r="G44" s="27">
        <v>102500</v>
      </c>
      <c r="H44" s="28">
        <f t="shared" si="9"/>
        <v>7175.0000000000009</v>
      </c>
      <c r="I44" s="27">
        <v>20000</v>
      </c>
      <c r="J44" s="28">
        <f t="shared" si="10"/>
        <v>1400.0000000000002</v>
      </c>
      <c r="K44" s="27">
        <v>16500</v>
      </c>
      <c r="L44" s="28">
        <f t="shared" si="11"/>
        <v>1155</v>
      </c>
      <c r="M44" s="27"/>
      <c r="N44" s="28">
        <v>2500</v>
      </c>
      <c r="O44" s="27">
        <v>50000</v>
      </c>
      <c r="P44" s="28">
        <f t="shared" si="13"/>
        <v>3500.0000000000005</v>
      </c>
      <c r="Q44" s="27">
        <v>10000</v>
      </c>
      <c r="R44" s="28">
        <f t="shared" si="14"/>
        <v>700.00000000000011</v>
      </c>
      <c r="S44" s="62">
        <v>20000</v>
      </c>
      <c r="T44" s="63">
        <f t="shared" si="15"/>
        <v>1400.0000000000002</v>
      </c>
    </row>
    <row r="45" spans="1:20" ht="33" customHeight="1" x14ac:dyDescent="0.25">
      <c r="A45" s="11" t="str">
        <f>'Bid Item List'!A57</f>
        <v>0038</v>
      </c>
      <c r="B45" s="20" t="str">
        <f>'Bid Item List'!B57</f>
        <v>Electrical Modifications</v>
      </c>
      <c r="C45" s="39">
        <f>'Bid Item List'!C57</f>
        <v>1</v>
      </c>
      <c r="D45" s="21" t="str">
        <f>'Bid Item List'!D57</f>
        <v>LS</v>
      </c>
      <c r="E45" s="27">
        <v>175000</v>
      </c>
      <c r="F45" s="28">
        <f t="shared" si="8"/>
        <v>175000</v>
      </c>
      <c r="G45" s="27">
        <v>93000</v>
      </c>
      <c r="H45" s="28">
        <f t="shared" si="9"/>
        <v>93000</v>
      </c>
      <c r="I45" s="27">
        <v>80000</v>
      </c>
      <c r="J45" s="28">
        <f t="shared" si="10"/>
        <v>80000</v>
      </c>
      <c r="K45" s="27">
        <v>175000</v>
      </c>
      <c r="L45" s="28">
        <f t="shared" si="11"/>
        <v>175000</v>
      </c>
      <c r="M45" s="27">
        <v>60000</v>
      </c>
      <c r="N45" s="28">
        <f t="shared" si="12"/>
        <v>60000</v>
      </c>
      <c r="O45" s="27">
        <v>110000</v>
      </c>
      <c r="P45" s="28">
        <f t="shared" si="13"/>
        <v>110000</v>
      </c>
      <c r="Q45" s="27">
        <v>90000</v>
      </c>
      <c r="R45" s="28">
        <f t="shared" si="14"/>
        <v>90000</v>
      </c>
      <c r="S45" s="62">
        <v>15000</v>
      </c>
      <c r="T45" s="63">
        <f t="shared" si="15"/>
        <v>15000</v>
      </c>
    </row>
    <row r="46" spans="1:20" ht="27.75" customHeight="1" x14ac:dyDescent="0.25">
      <c r="A46" s="12"/>
      <c r="B46" s="22" t="s">
        <v>30</v>
      </c>
      <c r="C46" s="40"/>
      <c r="D46" s="23"/>
      <c r="E46" s="29"/>
      <c r="F46" s="29">
        <f>SUM(F8:F45)</f>
        <v>2080880</v>
      </c>
      <c r="G46" s="29"/>
      <c r="H46" s="29">
        <f>SUM(H8:H45)</f>
        <v>2182288</v>
      </c>
      <c r="I46" s="29"/>
      <c r="J46" s="29">
        <f>SUM(J8:J45)</f>
        <v>2105760</v>
      </c>
      <c r="K46" s="29"/>
      <c r="L46" s="29">
        <f>SUM(L8:L45)</f>
        <v>2460460</v>
      </c>
      <c r="M46" s="29"/>
      <c r="N46" s="29">
        <f>SUM(N8:N45)</f>
        <v>2147577</v>
      </c>
      <c r="O46" s="29"/>
      <c r="P46" s="29">
        <f>SUM(P8:P45)</f>
        <v>2286150</v>
      </c>
      <c r="Q46" s="29"/>
      <c r="R46" s="29">
        <f>SUM(R8:R45)</f>
        <v>1800000</v>
      </c>
      <c r="S46" s="64"/>
      <c r="T46" s="64">
        <f>SUM(T8:T45)</f>
        <v>1991785</v>
      </c>
    </row>
  </sheetData>
  <mergeCells count="14">
    <mergeCell ref="A6:D6"/>
    <mergeCell ref="E1:F5"/>
    <mergeCell ref="G1:H5"/>
    <mergeCell ref="I1:J5"/>
    <mergeCell ref="A1:D1"/>
    <mergeCell ref="A2:D2"/>
    <mergeCell ref="A3:D3"/>
    <mergeCell ref="A4:D4"/>
    <mergeCell ref="A5:D5"/>
    <mergeCell ref="Q1:R5"/>
    <mergeCell ref="S1:T5"/>
    <mergeCell ref="K1:L5"/>
    <mergeCell ref="M1:N5"/>
    <mergeCell ref="O1:P5"/>
  </mergeCells>
  <printOptions horizontalCentered="1"/>
  <pageMargins left="0.5" right="0.5" top="0.5" bottom="0.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6" tint="-0.499984740745262"/>
  </sheetPr>
  <dimension ref="A1:B16"/>
  <sheetViews>
    <sheetView tabSelected="1" view="pageBreakPreview" zoomScaleNormal="75" zoomScaleSheetLayoutView="100" workbookViewId="0">
      <selection activeCell="A17" sqref="A17"/>
    </sheetView>
  </sheetViews>
  <sheetFormatPr defaultRowHeight="15" x14ac:dyDescent="0.25"/>
  <cols>
    <col min="1" max="1" width="53.7109375" style="13" customWidth="1"/>
    <col min="2" max="2" width="27" style="49" customWidth="1"/>
  </cols>
  <sheetData>
    <row r="1" spans="1:2" ht="30" customHeight="1" x14ac:dyDescent="0.25">
      <c r="A1" s="25" t="str">
        <f>ProjectLocation</f>
        <v>PORTLAND INTERNATIONAL AIRPORT</v>
      </c>
      <c r="B1" s="45"/>
    </row>
    <row r="2" spans="1:2" ht="15" customHeight="1" x14ac:dyDescent="0.25">
      <c r="A2" s="26" t="str">
        <f>ProjectTitle</f>
        <v>BASIN 7 REGIONAL STORMWATER FACILITY</v>
      </c>
      <c r="B2" s="46"/>
    </row>
    <row r="3" spans="1:2" ht="15" customHeight="1" x14ac:dyDescent="0.25">
      <c r="A3" s="26">
        <f>ProjectTitle2</f>
        <v>0</v>
      </c>
      <c r="B3" s="46"/>
    </row>
    <row r="4" spans="1:2" x14ac:dyDescent="0.25">
      <c r="A4" s="14" t="str">
        <f>EAN</f>
        <v>EAN 2016D015</v>
      </c>
      <c r="B4" s="46"/>
    </row>
    <row r="5" spans="1:2" ht="15" customHeight="1" x14ac:dyDescent="0.25">
      <c r="A5" s="15" t="str">
        <f>SolicitationNo</f>
        <v>Solicitation No. 2017-7254</v>
      </c>
      <c r="B5" s="46"/>
    </row>
    <row r="6" spans="1:2" ht="15" customHeight="1" x14ac:dyDescent="0.25">
      <c r="A6" s="16">
        <f ca="1">TODAY()</f>
        <v>42880</v>
      </c>
      <c r="B6" s="47"/>
    </row>
    <row r="7" spans="1:2" ht="33" customHeight="1" x14ac:dyDescent="0.25">
      <c r="A7" s="17" t="s">
        <v>31</v>
      </c>
      <c r="B7" s="48" t="s">
        <v>18</v>
      </c>
    </row>
    <row r="8" spans="1:2" ht="33" customHeight="1" x14ac:dyDescent="0.25">
      <c r="A8" s="18" t="str">
        <f>Contractor7</f>
        <v>TEK Construction, Inc.</v>
      </c>
      <c r="B8" s="50" t="s">
        <v>109</v>
      </c>
    </row>
    <row r="9" spans="1:2" ht="33" customHeight="1" x14ac:dyDescent="0.25">
      <c r="A9" s="18" t="str">
        <f>Contractor1</f>
        <v>Goodfellow Bros., Inc.</v>
      </c>
      <c r="B9" s="50">
        <f>Total1</f>
        <v>2080880</v>
      </c>
    </row>
    <row r="10" spans="1:2" ht="33" customHeight="1" x14ac:dyDescent="0.25">
      <c r="A10" s="18" t="str">
        <f>Contractor3</f>
        <v>K&amp;E Excavating, Inc.</v>
      </c>
      <c r="B10" s="50">
        <f>Total3</f>
        <v>2105760</v>
      </c>
    </row>
    <row r="11" spans="1:2" ht="33" customHeight="1" x14ac:dyDescent="0.25">
      <c r="A11" s="18" t="str">
        <f>Contractor5</f>
        <v>McClure and Sons, Inc.</v>
      </c>
      <c r="B11" s="50">
        <f>Total5</f>
        <v>2147577</v>
      </c>
    </row>
    <row r="12" spans="1:2" ht="33" customHeight="1" x14ac:dyDescent="0.25">
      <c r="A12" s="18" t="str">
        <f>Contractor2</f>
        <v>James W. Fowler Co.</v>
      </c>
      <c r="B12" s="50">
        <f>Total2</f>
        <v>2182288</v>
      </c>
    </row>
    <row r="13" spans="1:2" ht="33" customHeight="1" x14ac:dyDescent="0.25">
      <c r="A13" s="18" t="str">
        <f>Contractor6</f>
        <v>Moore Excavation, Inc.</v>
      </c>
      <c r="B13" s="50">
        <f>Total6</f>
        <v>2286150</v>
      </c>
    </row>
    <row r="14" spans="1:2" ht="33" customHeight="1" x14ac:dyDescent="0.25">
      <c r="A14" s="18" t="str">
        <f>Contractor4</f>
        <v>Kodiak Pacific Construction</v>
      </c>
      <c r="B14" s="50">
        <f>Total4</f>
        <v>2460460</v>
      </c>
    </row>
    <row r="15" spans="1:2" ht="33" customHeight="1" x14ac:dyDescent="0.25">
      <c r="A15" s="57" t="str">
        <f>EngineerEstimate</f>
        <v>Engineer's Estimate</v>
      </c>
      <c r="B15" s="58">
        <f>TotalEE</f>
        <v>1991785</v>
      </c>
    </row>
    <row r="16" spans="1:2" x14ac:dyDescent="0.25">
      <c r="A16" s="51" t="s">
        <v>110</v>
      </c>
    </row>
  </sheetData>
  <sortState ref="A8:B14">
    <sortCondition ref="B8:B14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14876F-3862-442C-AFBC-AE1420CA92A0}"/>
</file>

<file path=customXml/itemProps2.xml><?xml version="1.0" encoding="utf-8"?>
<ds:datastoreItem xmlns:ds="http://schemas.openxmlformats.org/officeDocument/2006/customXml" ds:itemID="{100A16F5-F7B5-411C-89A2-A6E79A93EA08}"/>
</file>

<file path=customXml/itemProps3.xml><?xml version="1.0" encoding="utf-8"?>
<ds:datastoreItem xmlns:ds="http://schemas.openxmlformats.org/officeDocument/2006/customXml" ds:itemID="{879224D0-A4B3-49EB-83C7-C02E89344A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26</vt:i4>
      </vt:variant>
    </vt:vector>
  </HeadingPairs>
  <TitlesOfParts>
    <vt:vector size="29" baseType="lpstr">
      <vt:lpstr>Bid Item List</vt:lpstr>
      <vt:lpstr>Bid Tabulation</vt:lpstr>
      <vt:lpstr>Summary</vt:lpstr>
      <vt:lpstr>Contractor1</vt:lpstr>
      <vt:lpstr>Contractor2</vt:lpstr>
      <vt:lpstr>Contractor3</vt:lpstr>
      <vt:lpstr>Contractor4</vt:lpstr>
      <vt:lpstr>Contractor5</vt:lpstr>
      <vt:lpstr>Contractor6</vt:lpstr>
      <vt:lpstr>Contractor7</vt:lpstr>
      <vt:lpstr>EAN</vt:lpstr>
      <vt:lpstr>EngineerEstimate</vt:lpstr>
      <vt:lpstr>'Bid Item List'!Print_Area</vt:lpstr>
      <vt:lpstr>Summary!Print_Area</vt:lpstr>
      <vt:lpstr>'Bid Item List'!Print_Titles</vt:lpstr>
      <vt:lpstr>'Bid Tabulation'!Print_Titles</vt:lpstr>
      <vt:lpstr>ProjectLocation</vt:lpstr>
      <vt:lpstr>ProjectTitle</vt:lpstr>
      <vt:lpstr>ProjectTitle2</vt:lpstr>
      <vt:lpstr>QTY</vt:lpstr>
      <vt:lpstr>SolicitationNo</vt:lpstr>
      <vt:lpstr>Total1</vt:lpstr>
      <vt:lpstr>Total2</vt:lpstr>
      <vt:lpstr>Total3</vt:lpstr>
      <vt:lpstr>Total4</vt:lpstr>
      <vt:lpstr>Total5</vt:lpstr>
      <vt:lpstr>Total6</vt:lpstr>
      <vt:lpstr>Total7</vt:lpstr>
      <vt:lpstr>TotalEE</vt:lpstr>
    </vt:vector>
  </TitlesOfParts>
  <Company>Port of Portland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Etta Goerl</dc:creator>
  <cp:lastModifiedBy>Etta Goerl</cp:lastModifiedBy>
  <cp:lastPrinted>2017-04-21T16:11:08Z</cp:lastPrinted>
  <dcterms:created xsi:type="dcterms:W3CDTF">2014-05-02T22:08:37Z</dcterms:created>
  <dcterms:modified xsi:type="dcterms:W3CDTF">2017-05-25T17:41:42Z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