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dx\16D\018\"/>
    </mc:Choice>
  </mc:AlternateContent>
  <xr:revisionPtr revIDLastSave="0" documentId="11_5CB16BD0395197670C3C818B20762A143FCFB465" xr6:coauthVersionLast="47" xr6:coauthVersionMax="47" xr10:uidLastSave="{00000000-0000-0000-0000-000000000000}"/>
  <bookViews>
    <workbookView xWindow="12585" yWindow="-15" windowWidth="12630" windowHeight="12555" tabRatio="716" firstSheet="1" activeTab="1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Tabulation'!$M$1</definedName>
    <definedName name="_xlnm.Print_Area" localSheetId="0">'Bid Item List'!$A$14:$F$39</definedName>
    <definedName name="_xlnm.Print_Area" localSheetId="2">Summary!$A$1:$B$12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Tabulation'!$F$27</definedName>
    <definedName name="Total2">'Bid Tabulation'!$H$27</definedName>
    <definedName name="Total3">'Bid Tabulation'!$J$27</definedName>
    <definedName name="Total3A">'Bid Tabulation'!#REF!</definedName>
    <definedName name="Total4">'Bid Tabulation'!$L$27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Tabulation'!$N$27</definedName>
  </definedNames>
  <calcPr calcId="171027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5" l="1"/>
  <c r="N10" i="2"/>
  <c r="N14" i="2"/>
  <c r="N18" i="2"/>
  <c r="N22" i="2"/>
  <c r="N26" i="2"/>
  <c r="A10" i="2"/>
  <c r="B10" i="2"/>
  <c r="C10" i="2"/>
  <c r="D10" i="2"/>
  <c r="A11" i="2"/>
  <c r="B11" i="2"/>
  <c r="C11" i="2"/>
  <c r="N11" i="2" s="1"/>
  <c r="D11" i="2"/>
  <c r="A12" i="2"/>
  <c r="B12" i="2"/>
  <c r="C12" i="2"/>
  <c r="N12" i="2" s="1"/>
  <c r="D12" i="2"/>
  <c r="A13" i="2"/>
  <c r="B13" i="2"/>
  <c r="C13" i="2"/>
  <c r="N13" i="2" s="1"/>
  <c r="D13" i="2"/>
  <c r="A14" i="2"/>
  <c r="B14" i="2"/>
  <c r="C14" i="2"/>
  <c r="D14" i="2"/>
  <c r="A15" i="2"/>
  <c r="B15" i="2"/>
  <c r="C15" i="2"/>
  <c r="N15" i="2" s="1"/>
  <c r="D15" i="2"/>
  <c r="A16" i="2"/>
  <c r="B16" i="2"/>
  <c r="C16" i="2"/>
  <c r="N16" i="2" s="1"/>
  <c r="D16" i="2"/>
  <c r="A17" i="2"/>
  <c r="B17" i="2"/>
  <c r="C17" i="2"/>
  <c r="N17" i="2" s="1"/>
  <c r="D17" i="2"/>
  <c r="A18" i="2"/>
  <c r="B18" i="2"/>
  <c r="C18" i="2"/>
  <c r="D18" i="2"/>
  <c r="A19" i="2"/>
  <c r="B19" i="2"/>
  <c r="C19" i="2"/>
  <c r="N19" i="2" s="1"/>
  <c r="D19" i="2"/>
  <c r="A20" i="2"/>
  <c r="B20" i="2"/>
  <c r="C20" i="2"/>
  <c r="N20" i="2" s="1"/>
  <c r="D20" i="2"/>
  <c r="A21" i="2"/>
  <c r="B21" i="2"/>
  <c r="C21" i="2"/>
  <c r="N21" i="2" s="1"/>
  <c r="D21" i="2"/>
  <c r="A22" i="2"/>
  <c r="B22" i="2"/>
  <c r="C22" i="2"/>
  <c r="D22" i="2"/>
  <c r="A23" i="2"/>
  <c r="B23" i="2"/>
  <c r="C23" i="2"/>
  <c r="N23" i="2" s="1"/>
  <c r="D23" i="2"/>
  <c r="A24" i="2"/>
  <c r="B24" i="2"/>
  <c r="C24" i="2"/>
  <c r="N24" i="2" s="1"/>
  <c r="D24" i="2"/>
  <c r="A25" i="2"/>
  <c r="B25" i="2"/>
  <c r="C25" i="2"/>
  <c r="N25" i="2" s="1"/>
  <c r="D25" i="2"/>
  <c r="A26" i="2"/>
  <c r="B26" i="2"/>
  <c r="C26" i="2"/>
  <c r="D26" i="2"/>
  <c r="L17" i="2" l="1"/>
  <c r="H18" i="2"/>
  <c r="L19" i="2"/>
  <c r="L20" i="2"/>
  <c r="L22" i="2"/>
  <c r="H23" i="2"/>
  <c r="L23" i="2"/>
  <c r="H24" i="2"/>
  <c r="F24" i="2"/>
  <c r="L26" i="2"/>
  <c r="J26" i="2"/>
  <c r="L18" i="2"/>
  <c r="F26" i="2"/>
  <c r="F22" i="2"/>
  <c r="H26" i="2"/>
  <c r="J22" i="2"/>
  <c r="J17" i="2"/>
  <c r="F18" i="2"/>
  <c r="H22" i="2"/>
  <c r="J18" i="2"/>
  <c r="J24" i="2"/>
  <c r="H17" i="2"/>
  <c r="H20" i="2"/>
  <c r="J25" i="2"/>
  <c r="J23" i="2"/>
  <c r="J19" i="2"/>
  <c r="F20" i="2"/>
  <c r="H19" i="2"/>
  <c r="A5" i="5"/>
  <c r="A3" i="5"/>
  <c r="A2" i="5"/>
  <c r="A1" i="5"/>
  <c r="A3" i="2"/>
  <c r="A2" i="2"/>
  <c r="A1" i="2"/>
  <c r="L16" i="2"/>
  <c r="L15" i="2"/>
  <c r="L14" i="2"/>
  <c r="L13" i="2"/>
  <c r="J16" i="2"/>
  <c r="F16" i="2"/>
  <c r="H15" i="2"/>
  <c r="J15" i="2"/>
  <c r="F14" i="2"/>
  <c r="H14" i="2"/>
  <c r="J14" i="2"/>
  <c r="H13" i="2"/>
  <c r="J13" i="2"/>
  <c r="A12" i="5"/>
  <c r="A11" i="5"/>
  <c r="A10" i="5"/>
  <c r="A8" i="5"/>
  <c r="A9" i="5"/>
  <c r="A6" i="5"/>
  <c r="A9" i="2"/>
  <c r="B9" i="2"/>
  <c r="C9" i="2"/>
  <c r="N9" i="2" s="1"/>
  <c r="D9" i="2"/>
  <c r="D8" i="2"/>
  <c r="C8" i="2"/>
  <c r="B8" i="2"/>
  <c r="A8" i="2"/>
  <c r="A6" i="2"/>
  <c r="L8" i="2"/>
  <c r="H8" i="2"/>
  <c r="J12" i="2"/>
  <c r="H11" i="2"/>
  <c r="J10" i="2"/>
  <c r="F8" i="2" l="1"/>
  <c r="N8" i="2"/>
  <c r="N27" i="2" s="1"/>
  <c r="B12" i="5" s="1"/>
  <c r="H10" i="2"/>
  <c r="J11" i="2"/>
  <c r="F25" i="2"/>
  <c r="J21" i="2"/>
  <c r="H9" i="2"/>
  <c r="H27" i="2" s="1"/>
  <c r="F12" i="2"/>
  <c r="J9" i="2"/>
  <c r="F11" i="2"/>
  <c r="H12" i="2"/>
  <c r="J8" i="2"/>
  <c r="L10" i="2"/>
  <c r="L11" i="2"/>
  <c r="L12" i="2"/>
  <c r="L9" i="2"/>
  <c r="F13" i="2"/>
  <c r="F15" i="2"/>
  <c r="H16" i="2"/>
  <c r="F19" i="2"/>
  <c r="F23" i="2"/>
  <c r="J20" i="2"/>
  <c r="F21" i="2"/>
  <c r="L24" i="2"/>
  <c r="H25" i="2"/>
  <c r="L21" i="2"/>
  <c r="F17" i="2"/>
  <c r="F9" i="2"/>
  <c r="L25" i="2"/>
  <c r="F10" i="2"/>
  <c r="H21" i="2"/>
  <c r="F27" i="2" l="1"/>
  <c r="B9" i="5" s="1"/>
  <c r="L27" i="2"/>
  <c r="B11" i="5" s="1"/>
  <c r="J27" i="2"/>
  <c r="B10" i="5" s="1"/>
  <c r="B8" i="5"/>
</calcChain>
</file>

<file path=xl/sharedStrings.xml><?xml version="1.0" encoding="utf-8"?>
<sst xmlns="http://schemas.openxmlformats.org/spreadsheetml/2006/main" count="105" uniqueCount="70">
  <si>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</si>
  <si>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</si>
  <si>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</si>
  <si>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</si>
  <si>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</si>
  <si>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</si>
  <si>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</si>
  <si>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</si>
  <si>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</si>
  <si>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</si>
  <si>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</si>
  <si>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</si>
  <si>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</si>
  <si>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</si>
  <si>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AIRPORT WAY AND FRONTAGE ROAD REHABILITATION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</si>
  <si>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</si>
  <si>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</si>
  <si>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</si>
  <si>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</si>
  <si>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</si>
  <si>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</si>
  <si>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</si>
  <si>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Cleanup, and Demobilization</t>
  </si>
  <si>
    <t>0002</t>
  </si>
  <si>
    <t>Sweeper</t>
  </si>
  <si>
    <t>0003</t>
  </si>
  <si>
    <t>Work Zone Traffic Control</t>
  </si>
  <si>
    <t>0004</t>
  </si>
  <si>
    <t>Construction Survey</t>
  </si>
  <si>
    <t>0005</t>
  </si>
  <si>
    <t>Inlet Protection</t>
  </si>
  <si>
    <t>0006</t>
  </si>
  <si>
    <t>Cold Plane Pavement Removal (0-3 Inch Maximum)</t>
  </si>
  <si>
    <t>0007</t>
  </si>
  <si>
    <t>Cold Plane Pavement Removal (3-5 Inch Maximum)</t>
  </si>
  <si>
    <t>0008</t>
  </si>
  <si>
    <t>Pavement Removal</t>
  </si>
  <si>
    <t>0009</t>
  </si>
  <si>
    <t>Common Excavation</t>
  </si>
  <si>
    <t>0010</t>
  </si>
  <si>
    <t>Unsuitable Excavation and Disposal</t>
  </si>
  <si>
    <t>0011</t>
  </si>
  <si>
    <t>Contaminated Soil Excavation and Disposal</t>
  </si>
  <si>
    <t>0012</t>
  </si>
  <si>
    <t>Geotextile</t>
  </si>
  <si>
    <t>0013</t>
  </si>
  <si>
    <t>Aggregate Base Course</t>
  </si>
  <si>
    <t>0014</t>
  </si>
  <si>
    <t>Utility Adjustments to Grade</t>
  </si>
  <si>
    <t>0015</t>
  </si>
  <si>
    <t>Pavement Marking, Thermoplastic</t>
  </si>
  <si>
    <t>0016</t>
  </si>
  <si>
    <t>Pavement Marking, Painted</t>
  </si>
  <si>
    <t>0017</t>
  </si>
  <si>
    <t>Pavement Marking, Temporary</t>
  </si>
  <si>
    <t>0018</t>
  </si>
  <si>
    <t>Vehicle Detection Loops</t>
  </si>
  <si>
    <t>0019</t>
  </si>
  <si>
    <t>Level 3, 1/2-Inch Dense HMAC</t>
  </si>
  <si>
    <t>Total Amount Bid (Basis of Award)</t>
  </si>
  <si>
    <t>$___________</t>
  </si>
  <si>
    <t>Granite Construction Company</t>
  </si>
  <si>
    <t>K&amp;E Excavating, Inc.</t>
  </si>
  <si>
    <t>Kerr Contractors 
Oregon, Inc.</t>
  </si>
  <si>
    <t>Kodiak Pacific Construction</t>
  </si>
  <si>
    <t>Engineer's Estimate</t>
  </si>
  <si>
    <t>EAN 2016D18</t>
  </si>
  <si>
    <t>Solicitation No. 2017-7319</t>
  </si>
  <si>
    <t>Bidder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</si>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</sst>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General;\–General;"/>
    <numFmt numFmtId="166" formatCode="&quot;$&quot;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43" fontId="3" fillId="0" borderId="1" xfId="2" applyFont="1" applyBorder="1" applyAlignment="1">
      <alignment horizontal="center" wrapText="1"/>
    </xf>
    <xf numFmtId="43" fontId="0" fillId="0" borderId="0" xfId="2" applyFont="1" applyAlignment="1">
      <alignment horizontal="center"/>
    </xf>
    <xf numFmtId="43" fontId="4" fillId="0" borderId="1" xfId="2" applyFont="1" applyBorder="1" applyAlignment="1">
      <alignment horizontal="center"/>
    </xf>
    <xf numFmtId="2" fontId="4" fillId="0" borderId="1" xfId="2" applyNumberFormat="1" applyFont="1" applyBorder="1" applyAlignment="1">
      <alignment horizontal="center" vertical="top"/>
    </xf>
    <xf numFmtId="2" fontId="4" fillId="2" borderId="1" xfId="2" applyNumberFormat="1" applyFont="1" applyFill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6" fontId="0" fillId="3" borderId="12" xfId="0" applyNumberFormat="1" applyFill="1" applyBorder="1"/>
    <xf numFmtId="166" fontId="0" fillId="3" borderId="13" xfId="0" applyNumberFormat="1" applyFill="1" applyBorder="1"/>
    <xf numFmtId="166" fontId="3" fillId="3" borderId="5" xfId="0" applyNumberFormat="1" applyFont="1" applyFill="1" applyBorder="1" applyAlignment="1">
      <alignment horizontal="center" wrapText="1"/>
    </xf>
    <xf numFmtId="166" fontId="7" fillId="3" borderId="5" xfId="0" applyNumberFormat="1" applyFont="1" applyFill="1" applyBorder="1" applyAlignment="1">
      <alignment horizontal="center" vertical="top"/>
    </xf>
    <xf numFmtId="166" fontId="7" fillId="3" borderId="5" xfId="1" applyNumberFormat="1" applyFont="1" applyFill="1" applyBorder="1" applyAlignment="1">
      <alignment horizontal="center" vertical="top"/>
    </xf>
    <xf numFmtId="166" fontId="3" fillId="3" borderId="5" xfId="0" applyNumberFormat="1" applyFont="1" applyFill="1" applyBorder="1"/>
    <xf numFmtId="0" fontId="4" fillId="3" borderId="5" xfId="0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3" borderId="8" xfId="0" applyNumberFormat="1" applyFont="1" applyFill="1" applyBorder="1" applyAlignment="1">
      <alignment horizontal="center"/>
    </xf>
    <xf numFmtId="166" fontId="5" fillId="3" borderId="9" xfId="0" applyNumberFormat="1" applyFont="1" applyFill="1" applyBorder="1" applyAlignment="1">
      <alignment horizontal="center"/>
    </xf>
    <xf numFmtId="166" fontId="5" fillId="3" borderId="10" xfId="0" applyNumberFormat="1" applyFont="1" applyFill="1" applyBorder="1" applyAlignment="1">
      <alignment horizontal="center"/>
    </xf>
    <xf numFmtId="166" fontId="5" fillId="3" borderId="11" xfId="0" applyNumberFormat="1" applyFont="1" applyFill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39"/>
  <sheetViews>
    <sheetView topLeftCell="A35" zoomScaleNormal="100" zoomScaleSheetLayoutView="100" workbookViewId="0">
      <selection activeCell="F40" sqref="F40"/>
    </sheetView>
  </sheetViews>
  <sheetFormatPr defaultRowHeight="15"/>
  <cols>
    <col min="1" max="1" width="6.5703125" customWidth="1"/>
    <col min="2" max="2" width="36.7109375" customWidth="1"/>
    <col min="3" max="3" width="10.7109375" style="51" customWidth="1"/>
    <col min="4" max="4" width="8.28515625" customWidth="1"/>
    <col min="5" max="6" width="13.28515625" style="29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2" t="s">
        <v>2</v>
      </c>
    </row>
    <row r="4" spans="1:6" hidden="1">
      <c r="A4" s="2" t="s">
        <v>3</v>
      </c>
    </row>
    <row r="5" spans="1:6" hidden="1">
      <c r="A5" s="2" t="s">
        <v>4</v>
      </c>
    </row>
    <row r="6" spans="1:6" hidden="1">
      <c r="A6" s="2" t="s">
        <v>5</v>
      </c>
    </row>
    <row r="7" spans="1:6" hidden="1">
      <c r="A7" s="2" t="s">
        <v>6</v>
      </c>
    </row>
    <row r="8" spans="1:6" hidden="1">
      <c r="A8" s="2" t="s">
        <v>7</v>
      </c>
    </row>
    <row r="9" spans="1:6" hidden="1">
      <c r="A9" s="1" t="s">
        <v>8</v>
      </c>
    </row>
    <row r="10" spans="1:6" hidden="1">
      <c r="A10" s="2" t="s">
        <v>9</v>
      </c>
    </row>
    <row r="11" spans="1:6" hidden="1">
      <c r="A11" s="2" t="s">
        <v>10</v>
      </c>
    </row>
    <row r="12" spans="1:6" hidden="1">
      <c r="A12" s="2" t="s">
        <v>11</v>
      </c>
    </row>
    <row r="13" spans="1:6" hidden="1">
      <c r="A13" s="2" t="s">
        <v>12</v>
      </c>
    </row>
    <row r="14" spans="1:6">
      <c r="A14" s="70"/>
      <c r="B14" s="70"/>
      <c r="C14" s="70"/>
      <c r="D14" s="70"/>
      <c r="E14" s="64"/>
      <c r="F14" s="64"/>
    </row>
    <row r="15" spans="1:6">
      <c r="A15" s="67" t="s">
        <v>13</v>
      </c>
      <c r="B15" s="67"/>
      <c r="C15" s="67"/>
      <c r="D15" s="67"/>
      <c r="E15" s="65"/>
      <c r="F15" s="65"/>
    </row>
    <row r="16" spans="1:6">
      <c r="A16" s="67" t="s">
        <v>14</v>
      </c>
      <c r="B16" s="67"/>
      <c r="C16" s="67"/>
      <c r="D16" s="67"/>
      <c r="E16" s="65"/>
      <c r="F16" s="65"/>
    </row>
    <row r="17" spans="1:6">
      <c r="A17" s="68"/>
      <c r="B17" s="68"/>
      <c r="C17" s="68"/>
      <c r="D17" s="68"/>
      <c r="E17" s="65"/>
      <c r="F17" s="65"/>
    </row>
    <row r="18" spans="1:6">
      <c r="A18" s="69"/>
      <c r="B18" s="69"/>
      <c r="C18" s="69"/>
      <c r="D18" s="69"/>
      <c r="E18" s="66"/>
      <c r="F18" s="66"/>
    </row>
    <row r="19" spans="1:6" s="3" customFormat="1" ht="24" customHeight="1">
      <c r="A19" s="4" t="s">
        <v>15</v>
      </c>
      <c r="B19" s="4" t="s">
        <v>16</v>
      </c>
      <c r="C19" s="50" t="s">
        <v>17</v>
      </c>
      <c r="D19" s="4" t="s">
        <v>18</v>
      </c>
      <c r="E19" s="30" t="s">
        <v>19</v>
      </c>
      <c r="F19" s="30" t="s">
        <v>20</v>
      </c>
    </row>
    <row r="20" spans="1:6" ht="40.5" customHeight="1">
      <c r="A20" s="5" t="s">
        <v>21</v>
      </c>
      <c r="B20" s="48" t="s">
        <v>22</v>
      </c>
      <c r="C20" s="53">
        <v>1</v>
      </c>
      <c r="D20" s="6" t="s">
        <v>8</v>
      </c>
      <c r="E20" s="31"/>
      <c r="F20" s="31"/>
    </row>
    <row r="21" spans="1:6" ht="40.5" customHeight="1">
      <c r="A21" s="5" t="s">
        <v>23</v>
      </c>
      <c r="B21" s="48" t="s">
        <v>24</v>
      </c>
      <c r="C21" s="53">
        <v>1</v>
      </c>
      <c r="D21" s="6" t="s">
        <v>8</v>
      </c>
      <c r="E21" s="31"/>
      <c r="F21" s="31"/>
    </row>
    <row r="22" spans="1:6" ht="40.5" customHeight="1">
      <c r="A22" s="5" t="s">
        <v>25</v>
      </c>
      <c r="B22" s="48" t="s">
        <v>26</v>
      </c>
      <c r="C22" s="53">
        <v>1</v>
      </c>
      <c r="D22" s="6" t="s">
        <v>8</v>
      </c>
      <c r="E22" s="31"/>
      <c r="F22" s="31"/>
    </row>
    <row r="23" spans="1:6" ht="40.5" customHeight="1">
      <c r="A23" s="5" t="s">
        <v>27</v>
      </c>
      <c r="B23" s="48" t="s">
        <v>28</v>
      </c>
      <c r="C23" s="53">
        <v>1</v>
      </c>
      <c r="D23" s="6" t="s">
        <v>8</v>
      </c>
      <c r="E23" s="31"/>
      <c r="F23" s="31"/>
    </row>
    <row r="24" spans="1:6" ht="40.5" customHeight="1">
      <c r="A24" s="5" t="s">
        <v>29</v>
      </c>
      <c r="B24" s="48" t="s">
        <v>30</v>
      </c>
      <c r="C24" s="53">
        <v>96</v>
      </c>
      <c r="D24" s="6" t="s">
        <v>2</v>
      </c>
      <c r="E24" s="31"/>
      <c r="F24" s="31"/>
    </row>
    <row r="25" spans="1:6" ht="40.5" customHeight="1">
      <c r="A25" s="5" t="s">
        <v>31</v>
      </c>
      <c r="B25" s="48" t="s">
        <v>32</v>
      </c>
      <c r="C25" s="53">
        <v>59000</v>
      </c>
      <c r="D25" s="6" t="s">
        <v>11</v>
      </c>
      <c r="E25" s="31"/>
      <c r="F25" s="31"/>
    </row>
    <row r="26" spans="1:6" ht="40.5" customHeight="1">
      <c r="A26" s="5" t="s">
        <v>33</v>
      </c>
      <c r="B26" s="48" t="s">
        <v>34</v>
      </c>
      <c r="C26" s="53">
        <v>5500</v>
      </c>
      <c r="D26" s="6" t="s">
        <v>11</v>
      </c>
      <c r="E26" s="31"/>
      <c r="F26" s="31"/>
    </row>
    <row r="27" spans="1:6" ht="40.5" customHeight="1">
      <c r="A27" s="5" t="s">
        <v>35</v>
      </c>
      <c r="B27" s="49" t="s">
        <v>36</v>
      </c>
      <c r="C27" s="53">
        <v>800</v>
      </c>
      <c r="D27" s="47" t="s">
        <v>1</v>
      </c>
      <c r="E27" s="31"/>
      <c r="F27" s="31"/>
    </row>
    <row r="28" spans="1:6" ht="40.5" customHeight="1">
      <c r="A28" s="5" t="s">
        <v>37</v>
      </c>
      <c r="B28" s="48" t="s">
        <v>38</v>
      </c>
      <c r="C28" s="53">
        <v>500</v>
      </c>
      <c r="D28" s="6" t="s">
        <v>1</v>
      </c>
      <c r="E28" s="31"/>
      <c r="F28" s="31"/>
    </row>
    <row r="29" spans="1:6" ht="40.5" customHeight="1">
      <c r="A29" s="5" t="s">
        <v>39</v>
      </c>
      <c r="B29" s="48" t="s">
        <v>40</v>
      </c>
      <c r="C29" s="53">
        <v>200</v>
      </c>
      <c r="D29" s="6" t="s">
        <v>1</v>
      </c>
      <c r="E29" s="31"/>
      <c r="F29" s="31"/>
    </row>
    <row r="30" spans="1:6" ht="40.5" customHeight="1">
      <c r="A30" s="5" t="s">
        <v>41</v>
      </c>
      <c r="B30" s="48" t="s">
        <v>42</v>
      </c>
      <c r="C30" s="53">
        <v>50</v>
      </c>
      <c r="D30" s="6" t="s">
        <v>1</v>
      </c>
      <c r="E30" s="31"/>
      <c r="F30" s="31"/>
    </row>
    <row r="31" spans="1:6" ht="40.5" customHeight="1">
      <c r="A31" s="5" t="s">
        <v>43</v>
      </c>
      <c r="B31" s="48" t="s">
        <v>44</v>
      </c>
      <c r="C31" s="53">
        <v>650</v>
      </c>
      <c r="D31" s="6" t="s">
        <v>11</v>
      </c>
      <c r="E31" s="31"/>
      <c r="F31" s="31"/>
    </row>
    <row r="32" spans="1:6" ht="40.5" customHeight="1">
      <c r="A32" s="5" t="s">
        <v>45</v>
      </c>
      <c r="B32" s="48" t="s">
        <v>46</v>
      </c>
      <c r="C32" s="53">
        <v>170</v>
      </c>
      <c r="D32" s="6" t="s">
        <v>1</v>
      </c>
      <c r="E32" s="31"/>
      <c r="F32" s="31"/>
    </row>
    <row r="33" spans="1:6" ht="40.5" customHeight="1">
      <c r="A33" s="5" t="s">
        <v>47</v>
      </c>
      <c r="B33" s="48" t="s">
        <v>48</v>
      </c>
      <c r="C33" s="53">
        <v>12</v>
      </c>
      <c r="D33" s="6" t="s">
        <v>2</v>
      </c>
      <c r="E33" s="31"/>
      <c r="F33" s="31"/>
    </row>
    <row r="34" spans="1:6" ht="40.5" customHeight="1">
      <c r="A34" s="5" t="s">
        <v>49</v>
      </c>
      <c r="B34" s="48" t="s">
        <v>50</v>
      </c>
      <c r="C34" s="54">
        <v>3200</v>
      </c>
      <c r="D34" s="6" t="s">
        <v>10</v>
      </c>
      <c r="E34" s="31"/>
      <c r="F34" s="31"/>
    </row>
    <row r="35" spans="1:6" ht="40.5" customHeight="1">
      <c r="A35" s="5" t="s">
        <v>51</v>
      </c>
      <c r="B35" s="48" t="s">
        <v>52</v>
      </c>
      <c r="C35" s="54">
        <v>11000</v>
      </c>
      <c r="D35" s="6" t="s">
        <v>10</v>
      </c>
      <c r="E35" s="31"/>
      <c r="F35" s="31"/>
    </row>
    <row r="36" spans="1:6" ht="40.5" customHeight="1">
      <c r="A36" s="5" t="s">
        <v>53</v>
      </c>
      <c r="B36" s="48" t="s">
        <v>54</v>
      </c>
      <c r="C36" s="53">
        <v>6000</v>
      </c>
      <c r="D36" s="6" t="s">
        <v>10</v>
      </c>
      <c r="E36" s="31"/>
      <c r="F36" s="31"/>
    </row>
    <row r="37" spans="1:6" ht="40.5" customHeight="1">
      <c r="A37" s="5" t="s">
        <v>55</v>
      </c>
      <c r="B37" s="48" t="s">
        <v>56</v>
      </c>
      <c r="C37" s="54">
        <v>1</v>
      </c>
      <c r="D37" s="6" t="s">
        <v>8</v>
      </c>
      <c r="E37" s="31"/>
      <c r="F37" s="31"/>
    </row>
    <row r="38" spans="1:6" ht="40.5" customHeight="1">
      <c r="A38" s="5" t="s">
        <v>57</v>
      </c>
      <c r="B38" s="48" t="s">
        <v>58</v>
      </c>
      <c r="C38" s="53">
        <v>16200</v>
      </c>
      <c r="D38" s="6" t="s">
        <v>12</v>
      </c>
      <c r="E38" s="31"/>
      <c r="F38" s="31"/>
    </row>
    <row r="39" spans="1:6" ht="27.75" customHeight="1">
      <c r="A39" s="7"/>
      <c r="B39" s="9" t="s">
        <v>59</v>
      </c>
      <c r="C39" s="52"/>
      <c r="D39" s="7"/>
      <c r="E39" s="32"/>
      <c r="F39" s="32" t="s">
        <v>60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disablePrompts="1" count="1">
    <dataValidation type="list" allowBlank="1" showInputMessage="1" showErrorMessage="1" sqref="D20:D26 D28:D38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N27"/>
  <sheetViews>
    <sheetView tabSelected="1" zoomScaleNormal="100" zoomScaleSheetLayoutView="100" workbookViewId="0">
      <selection activeCell="H13" sqref="H13"/>
    </sheetView>
  </sheetViews>
  <sheetFormatPr defaultRowHeight="15"/>
  <cols>
    <col min="1" max="1" width="6.7109375" customWidth="1"/>
    <col min="2" max="2" width="28.7109375" style="23" customWidth="1"/>
    <col min="3" max="3" width="11.28515625" style="36" customWidth="1"/>
    <col min="4" max="4" width="6.7109375" style="23" customWidth="1"/>
    <col min="5" max="5" width="11" style="29" customWidth="1"/>
    <col min="6" max="6" width="13.42578125" style="29" customWidth="1"/>
    <col min="7" max="7" width="11" style="29" customWidth="1"/>
    <col min="8" max="8" width="13.42578125" style="29" customWidth="1"/>
    <col min="9" max="9" width="11" style="29" customWidth="1"/>
    <col min="10" max="10" width="13.42578125" style="29" customWidth="1"/>
    <col min="11" max="11" width="11" customWidth="1"/>
    <col min="12" max="12" width="13.42578125" customWidth="1"/>
    <col min="13" max="13" width="11" customWidth="1"/>
    <col min="14" max="14" width="13.42578125" customWidth="1"/>
  </cols>
  <sheetData>
    <row r="1" spans="1:14" s="8" customFormat="1" ht="30" customHeight="1">
      <c r="A1" s="82" t="str">
        <f>ProjectLocation</f>
        <v>PORTLAND INTERNATIONAL AIRPORT</v>
      </c>
      <c r="B1" s="83"/>
      <c r="C1" s="83"/>
      <c r="D1" s="84"/>
      <c r="E1" s="74" t="s">
        <v>61</v>
      </c>
      <c r="F1" s="75"/>
      <c r="G1" s="78" t="s">
        <v>62</v>
      </c>
      <c r="H1" s="79"/>
      <c r="I1" s="74" t="s">
        <v>63</v>
      </c>
      <c r="J1" s="75"/>
      <c r="K1" s="74" t="s">
        <v>64</v>
      </c>
      <c r="L1" s="75"/>
      <c r="M1" s="91" t="s">
        <v>65</v>
      </c>
      <c r="N1" s="92"/>
    </row>
    <row r="2" spans="1:14">
      <c r="A2" s="85" t="str">
        <f>ProjectTitle</f>
        <v>AIRPORT WAY AND FRONTAGE ROAD REHABILITATION</v>
      </c>
      <c r="B2" s="86"/>
      <c r="C2" s="86"/>
      <c r="D2" s="87"/>
      <c r="E2" s="76"/>
      <c r="F2" s="77"/>
      <c r="G2" s="80"/>
      <c r="H2" s="81"/>
      <c r="I2" s="76"/>
      <c r="J2" s="77"/>
      <c r="K2" s="76"/>
      <c r="L2" s="77"/>
      <c r="M2" s="93"/>
      <c r="N2" s="94"/>
    </row>
    <row r="3" spans="1:14">
      <c r="A3" s="85">
        <f>ProjectTitle2</f>
        <v>0</v>
      </c>
      <c r="B3" s="86"/>
      <c r="C3" s="86"/>
      <c r="D3" s="87"/>
      <c r="E3" s="76"/>
      <c r="F3" s="77"/>
      <c r="G3" s="80"/>
      <c r="H3" s="81"/>
      <c r="I3" s="76"/>
      <c r="J3" s="77"/>
      <c r="K3" s="76"/>
      <c r="L3" s="77"/>
      <c r="M3" s="93"/>
      <c r="N3" s="94"/>
    </row>
    <row r="4" spans="1:14">
      <c r="A4" s="88" t="s">
        <v>66</v>
      </c>
      <c r="B4" s="89"/>
      <c r="C4" s="89"/>
      <c r="D4" s="90"/>
      <c r="E4" s="76"/>
      <c r="F4" s="77"/>
      <c r="G4" s="80"/>
      <c r="H4" s="81"/>
      <c r="I4" s="76"/>
      <c r="J4" s="77"/>
      <c r="K4" s="76"/>
      <c r="L4" s="77"/>
      <c r="M4" s="93"/>
      <c r="N4" s="94"/>
    </row>
    <row r="5" spans="1:14">
      <c r="A5" s="88" t="s">
        <v>67</v>
      </c>
      <c r="B5" s="89"/>
      <c r="C5" s="89"/>
      <c r="D5" s="90"/>
      <c r="E5" s="76"/>
      <c r="F5" s="77"/>
      <c r="G5" s="80"/>
      <c r="H5" s="81"/>
      <c r="I5" s="76"/>
      <c r="J5" s="77"/>
      <c r="K5" s="76"/>
      <c r="L5" s="77"/>
      <c r="M5" s="93"/>
      <c r="N5" s="94"/>
    </row>
    <row r="6" spans="1:14">
      <c r="A6" s="71">
        <f ca="1">TODAY()</f>
        <v>42885</v>
      </c>
      <c r="B6" s="72"/>
      <c r="C6" s="72"/>
      <c r="D6" s="73"/>
      <c r="E6" s="37"/>
      <c r="F6" s="38"/>
      <c r="G6" s="37"/>
      <c r="H6" s="38"/>
      <c r="I6" s="37"/>
      <c r="J6" s="38"/>
      <c r="K6" s="37"/>
      <c r="L6" s="38"/>
      <c r="M6" s="56"/>
      <c r="N6" s="57"/>
    </row>
    <row r="7" spans="1:14" ht="32.25" customHeight="1">
      <c r="A7" s="10" t="s">
        <v>15</v>
      </c>
      <c r="B7" s="19" t="s">
        <v>16</v>
      </c>
      <c r="C7" s="33" t="s">
        <v>17</v>
      </c>
      <c r="D7" s="19" t="s">
        <v>18</v>
      </c>
      <c r="E7" s="39" t="s">
        <v>19</v>
      </c>
      <c r="F7" s="39" t="s">
        <v>20</v>
      </c>
      <c r="G7" s="39" t="s">
        <v>19</v>
      </c>
      <c r="H7" s="39" t="s">
        <v>20</v>
      </c>
      <c r="I7" s="39" t="s">
        <v>19</v>
      </c>
      <c r="J7" s="39" t="s">
        <v>20</v>
      </c>
      <c r="K7" s="39" t="s">
        <v>19</v>
      </c>
      <c r="L7" s="39" t="s">
        <v>20</v>
      </c>
      <c r="M7" s="58" t="s">
        <v>19</v>
      </c>
      <c r="N7" s="58" t="s">
        <v>20</v>
      </c>
    </row>
    <row r="8" spans="1:14" ht="33" customHeight="1">
      <c r="A8" s="11" t="str">
        <f>'Bid Item List'!A20</f>
        <v>0001</v>
      </c>
      <c r="B8" s="55" t="str">
        <f>'Bid Item List'!B20</f>
        <v>Mobilization, Cleanup, and Demobilization</v>
      </c>
      <c r="C8" s="34">
        <f>'Bid Item List'!C20</f>
        <v>1</v>
      </c>
      <c r="D8" s="20" t="str">
        <f>'Bid Item List'!D20</f>
        <v>LS</v>
      </c>
      <c r="E8" s="26">
        <v>273830</v>
      </c>
      <c r="F8" s="27">
        <f t="shared" ref="F8:F16" si="0">QTY*E8</f>
        <v>273830</v>
      </c>
      <c r="G8" s="26">
        <v>281000</v>
      </c>
      <c r="H8" s="27">
        <f t="shared" ref="H8:H16" si="1">QTY*G8</f>
        <v>281000</v>
      </c>
      <c r="I8" s="26">
        <v>300000</v>
      </c>
      <c r="J8" s="27">
        <f t="shared" ref="J8:J16" si="2">QTY*I8</f>
        <v>300000</v>
      </c>
      <c r="K8" s="26">
        <v>168000</v>
      </c>
      <c r="L8" s="27">
        <f t="shared" ref="L8:L16" si="3">QTY*K8</f>
        <v>168000</v>
      </c>
      <c r="M8" s="59">
        <v>506000</v>
      </c>
      <c r="N8" s="60">
        <f>C8*M8</f>
        <v>506000</v>
      </c>
    </row>
    <row r="9" spans="1:14" ht="33" customHeight="1">
      <c r="A9" s="11" t="str">
        <f>'Bid Item List'!A21</f>
        <v>0002</v>
      </c>
      <c r="B9" s="55" t="str">
        <f>'Bid Item List'!B21</f>
        <v>Sweeper</v>
      </c>
      <c r="C9" s="34">
        <f>'Bid Item List'!C21</f>
        <v>1</v>
      </c>
      <c r="D9" s="20" t="str">
        <f>'Bid Item List'!D21</f>
        <v>LS</v>
      </c>
      <c r="E9" s="26">
        <v>75000</v>
      </c>
      <c r="F9" s="27">
        <f t="shared" si="0"/>
        <v>75000</v>
      </c>
      <c r="G9" s="26">
        <v>40000</v>
      </c>
      <c r="H9" s="27">
        <f t="shared" si="1"/>
        <v>40000</v>
      </c>
      <c r="I9" s="26">
        <v>110000</v>
      </c>
      <c r="J9" s="27">
        <f t="shared" si="2"/>
        <v>110000</v>
      </c>
      <c r="K9" s="26">
        <v>140000</v>
      </c>
      <c r="L9" s="27">
        <f t="shared" si="3"/>
        <v>140000</v>
      </c>
      <c r="M9" s="59">
        <v>60000</v>
      </c>
      <c r="N9" s="60">
        <f>C9*M9</f>
        <v>60000</v>
      </c>
    </row>
    <row r="10" spans="1:14" ht="33" customHeight="1">
      <c r="A10" s="11" t="str">
        <f>'Bid Item List'!A22</f>
        <v>0003</v>
      </c>
      <c r="B10" s="55" t="str">
        <f>'Bid Item List'!B22</f>
        <v>Work Zone Traffic Control</v>
      </c>
      <c r="C10" s="34">
        <f>'Bid Item List'!C22</f>
        <v>1</v>
      </c>
      <c r="D10" s="20" t="str">
        <f>'Bid Item List'!D22</f>
        <v>LS</v>
      </c>
      <c r="E10" s="26">
        <v>350000</v>
      </c>
      <c r="F10" s="27">
        <f t="shared" si="0"/>
        <v>350000</v>
      </c>
      <c r="G10" s="26">
        <v>193300</v>
      </c>
      <c r="H10" s="27">
        <f t="shared" si="1"/>
        <v>193300</v>
      </c>
      <c r="I10" s="26">
        <v>711000</v>
      </c>
      <c r="J10" s="27">
        <f t="shared" si="2"/>
        <v>711000</v>
      </c>
      <c r="K10" s="26">
        <v>633203.5</v>
      </c>
      <c r="L10" s="27">
        <f t="shared" si="3"/>
        <v>633203.5</v>
      </c>
      <c r="M10" s="59">
        <v>250000</v>
      </c>
      <c r="N10" s="60">
        <f>C10*M10</f>
        <v>250000</v>
      </c>
    </row>
    <row r="11" spans="1:14" ht="33" customHeight="1">
      <c r="A11" s="11" t="str">
        <f>'Bid Item List'!A23</f>
        <v>0004</v>
      </c>
      <c r="B11" s="55" t="str">
        <f>'Bid Item List'!B23</f>
        <v>Construction Survey</v>
      </c>
      <c r="C11" s="34">
        <f>'Bid Item List'!C23</f>
        <v>1</v>
      </c>
      <c r="D11" s="20" t="str">
        <f>'Bid Item List'!D23</f>
        <v>LS</v>
      </c>
      <c r="E11" s="26">
        <v>50000</v>
      </c>
      <c r="F11" s="27">
        <f t="shared" si="0"/>
        <v>50000</v>
      </c>
      <c r="G11" s="26">
        <v>45000</v>
      </c>
      <c r="H11" s="27">
        <f t="shared" si="1"/>
        <v>45000</v>
      </c>
      <c r="I11" s="26">
        <v>32000</v>
      </c>
      <c r="J11" s="27">
        <f t="shared" si="2"/>
        <v>32000</v>
      </c>
      <c r="K11" s="26">
        <v>160000</v>
      </c>
      <c r="L11" s="27">
        <f t="shared" si="3"/>
        <v>160000</v>
      </c>
      <c r="M11" s="59">
        <v>49000</v>
      </c>
      <c r="N11" s="60">
        <f>C11*M11</f>
        <v>49000</v>
      </c>
    </row>
    <row r="12" spans="1:14" ht="33" customHeight="1">
      <c r="A12" s="11" t="str">
        <f>'Bid Item List'!A24</f>
        <v>0005</v>
      </c>
      <c r="B12" s="55" t="str">
        <f>'Bid Item List'!B24</f>
        <v>Inlet Protection</v>
      </c>
      <c r="C12" s="34">
        <f>'Bid Item List'!C24</f>
        <v>96</v>
      </c>
      <c r="D12" s="20" t="str">
        <f>'Bid Item List'!D24</f>
        <v>Each</v>
      </c>
      <c r="E12" s="26">
        <v>75</v>
      </c>
      <c r="F12" s="27">
        <f t="shared" si="0"/>
        <v>7200</v>
      </c>
      <c r="G12" s="26">
        <v>85</v>
      </c>
      <c r="H12" s="27">
        <f t="shared" si="1"/>
        <v>8160</v>
      </c>
      <c r="I12" s="26">
        <v>68</v>
      </c>
      <c r="J12" s="27">
        <f t="shared" si="2"/>
        <v>6528</v>
      </c>
      <c r="K12" s="26">
        <v>200</v>
      </c>
      <c r="L12" s="27">
        <f t="shared" si="3"/>
        <v>19200</v>
      </c>
      <c r="M12" s="59">
        <v>150</v>
      </c>
      <c r="N12" s="60">
        <f>C12*M12</f>
        <v>14400</v>
      </c>
    </row>
    <row r="13" spans="1:14" ht="33" customHeight="1">
      <c r="A13" s="11" t="str">
        <f>'Bid Item List'!A25</f>
        <v>0006</v>
      </c>
      <c r="B13" s="55" t="str">
        <f>'Bid Item List'!B25</f>
        <v>Cold Plane Pavement Removal (0-3 Inch Maximum)</v>
      </c>
      <c r="C13" s="34">
        <f>'Bid Item List'!C25</f>
        <v>59000</v>
      </c>
      <c r="D13" s="20" t="str">
        <f>'Bid Item List'!D25</f>
        <v>SY</v>
      </c>
      <c r="E13" s="26">
        <v>4.5</v>
      </c>
      <c r="F13" s="27">
        <f t="shared" si="0"/>
        <v>265500</v>
      </c>
      <c r="G13" s="26">
        <v>4.5999999999999996</v>
      </c>
      <c r="H13" s="27">
        <f t="shared" si="1"/>
        <v>271400</v>
      </c>
      <c r="I13" s="26">
        <v>3.9</v>
      </c>
      <c r="J13" s="27">
        <f t="shared" si="2"/>
        <v>230100</v>
      </c>
      <c r="K13" s="26">
        <v>6.15</v>
      </c>
      <c r="L13" s="27">
        <f t="shared" si="3"/>
        <v>362850</v>
      </c>
      <c r="M13" s="59">
        <v>12</v>
      </c>
      <c r="N13" s="60">
        <f>C13*M13</f>
        <v>708000</v>
      </c>
    </row>
    <row r="14" spans="1:14" ht="33" customHeight="1">
      <c r="A14" s="11" t="str">
        <f>'Bid Item List'!A26</f>
        <v>0007</v>
      </c>
      <c r="B14" s="55" t="str">
        <f>'Bid Item List'!B26</f>
        <v>Cold Plane Pavement Removal (3-5 Inch Maximum)</v>
      </c>
      <c r="C14" s="34">
        <f>'Bid Item List'!C26</f>
        <v>5500</v>
      </c>
      <c r="D14" s="20" t="str">
        <f>'Bid Item List'!D26</f>
        <v>SY</v>
      </c>
      <c r="E14" s="26">
        <v>6</v>
      </c>
      <c r="F14" s="27">
        <f t="shared" si="0"/>
        <v>33000</v>
      </c>
      <c r="G14" s="26">
        <v>6.6</v>
      </c>
      <c r="H14" s="27">
        <f t="shared" si="1"/>
        <v>36300</v>
      </c>
      <c r="I14" s="26">
        <v>7.5</v>
      </c>
      <c r="J14" s="27">
        <f t="shared" si="2"/>
        <v>41250</v>
      </c>
      <c r="K14" s="26">
        <v>16.25</v>
      </c>
      <c r="L14" s="27">
        <f t="shared" si="3"/>
        <v>89375</v>
      </c>
      <c r="M14" s="59">
        <v>14</v>
      </c>
      <c r="N14" s="60">
        <f>C14*M14</f>
        <v>77000</v>
      </c>
    </row>
    <row r="15" spans="1:14" ht="33" customHeight="1">
      <c r="A15" s="11" t="str">
        <f>'Bid Item List'!A27</f>
        <v>0008</v>
      </c>
      <c r="B15" s="55" t="str">
        <f>'Bid Item List'!B27</f>
        <v>Pavement Removal</v>
      </c>
      <c r="C15" s="34">
        <f>'Bid Item List'!C27</f>
        <v>800</v>
      </c>
      <c r="D15" s="20" t="str">
        <f>'Bid Item List'!D27</f>
        <v>CY</v>
      </c>
      <c r="E15" s="26">
        <v>50</v>
      </c>
      <c r="F15" s="27">
        <f t="shared" si="0"/>
        <v>40000</v>
      </c>
      <c r="G15" s="26">
        <v>48</v>
      </c>
      <c r="H15" s="27">
        <f t="shared" si="1"/>
        <v>38400</v>
      </c>
      <c r="I15" s="26">
        <v>108</v>
      </c>
      <c r="J15" s="27">
        <f t="shared" si="2"/>
        <v>86400</v>
      </c>
      <c r="K15" s="26">
        <v>47.5</v>
      </c>
      <c r="L15" s="27">
        <f t="shared" si="3"/>
        <v>38000</v>
      </c>
      <c r="M15" s="59">
        <v>60</v>
      </c>
      <c r="N15" s="60">
        <f>C15*M15</f>
        <v>48000</v>
      </c>
    </row>
    <row r="16" spans="1:14" ht="33" customHeight="1">
      <c r="A16" s="11" t="str">
        <f>'Bid Item List'!A28</f>
        <v>0009</v>
      </c>
      <c r="B16" s="55" t="str">
        <f>'Bid Item List'!B28</f>
        <v>Common Excavation</v>
      </c>
      <c r="C16" s="34">
        <f>'Bid Item List'!C28</f>
        <v>500</v>
      </c>
      <c r="D16" s="20" t="str">
        <f>'Bid Item List'!D28</f>
        <v>CY</v>
      </c>
      <c r="E16" s="26">
        <v>75</v>
      </c>
      <c r="F16" s="27">
        <f t="shared" si="0"/>
        <v>37500</v>
      </c>
      <c r="G16" s="26">
        <v>35</v>
      </c>
      <c r="H16" s="27">
        <f t="shared" si="1"/>
        <v>17500</v>
      </c>
      <c r="I16" s="26">
        <v>142</v>
      </c>
      <c r="J16" s="27">
        <f t="shared" si="2"/>
        <v>71000</v>
      </c>
      <c r="K16" s="26">
        <v>105</v>
      </c>
      <c r="L16" s="27">
        <f t="shared" si="3"/>
        <v>52500</v>
      </c>
      <c r="M16" s="59">
        <v>45</v>
      </c>
      <c r="N16" s="60">
        <f>C16*M16</f>
        <v>22500</v>
      </c>
    </row>
    <row r="17" spans="1:14" ht="33" customHeight="1">
      <c r="A17" s="11" t="str">
        <f>'Bid Item List'!A29</f>
        <v>0010</v>
      </c>
      <c r="B17" s="55" t="str">
        <f>'Bid Item List'!B29</f>
        <v>Unsuitable Excavation and Disposal</v>
      </c>
      <c r="C17" s="34">
        <f>'Bid Item List'!C29</f>
        <v>200</v>
      </c>
      <c r="D17" s="20" t="str">
        <f>'Bid Item List'!D29</f>
        <v>CY</v>
      </c>
      <c r="E17" s="26">
        <v>80</v>
      </c>
      <c r="F17" s="27">
        <f t="shared" ref="F17:F26" si="4">QTY*E17</f>
        <v>16000</v>
      </c>
      <c r="G17" s="26">
        <v>61</v>
      </c>
      <c r="H17" s="27">
        <f t="shared" ref="H17:H26" si="5">QTY*G17</f>
        <v>12200</v>
      </c>
      <c r="I17" s="26">
        <v>182</v>
      </c>
      <c r="J17" s="27">
        <f t="shared" ref="J17:J26" si="6">QTY*I17</f>
        <v>36400</v>
      </c>
      <c r="K17" s="26">
        <v>26</v>
      </c>
      <c r="L17" s="27">
        <f t="shared" ref="L17:L26" si="7">QTY*K17</f>
        <v>5200</v>
      </c>
      <c r="M17" s="59">
        <v>55</v>
      </c>
      <c r="N17" s="60">
        <f>C17*M17</f>
        <v>11000</v>
      </c>
    </row>
    <row r="18" spans="1:14" ht="33" customHeight="1">
      <c r="A18" s="11" t="str">
        <f>'Bid Item List'!A30</f>
        <v>0011</v>
      </c>
      <c r="B18" s="55" t="str">
        <f>'Bid Item List'!B30</f>
        <v>Contaminated Soil Excavation and Disposal</v>
      </c>
      <c r="C18" s="34">
        <f>'Bid Item List'!C30</f>
        <v>50</v>
      </c>
      <c r="D18" s="20" t="str">
        <f>'Bid Item List'!D30</f>
        <v>CY</v>
      </c>
      <c r="E18" s="26">
        <v>150</v>
      </c>
      <c r="F18" s="27">
        <f t="shared" si="4"/>
        <v>7500</v>
      </c>
      <c r="G18" s="26">
        <v>106</v>
      </c>
      <c r="H18" s="27">
        <f t="shared" si="5"/>
        <v>5300</v>
      </c>
      <c r="I18" s="26">
        <v>330</v>
      </c>
      <c r="J18" s="27">
        <f t="shared" si="6"/>
        <v>16500</v>
      </c>
      <c r="K18" s="26">
        <v>100</v>
      </c>
      <c r="L18" s="27">
        <f t="shared" si="7"/>
        <v>5000</v>
      </c>
      <c r="M18" s="59">
        <v>75</v>
      </c>
      <c r="N18" s="60">
        <f>C18*M18</f>
        <v>3750</v>
      </c>
    </row>
    <row r="19" spans="1:14" ht="33" customHeight="1">
      <c r="A19" s="11" t="str">
        <f>'Bid Item List'!A31</f>
        <v>0012</v>
      </c>
      <c r="B19" s="55" t="str">
        <f>'Bid Item List'!B31</f>
        <v>Geotextile</v>
      </c>
      <c r="C19" s="34">
        <f>'Bid Item List'!C31</f>
        <v>650</v>
      </c>
      <c r="D19" s="20" t="str">
        <f>'Bid Item List'!D31</f>
        <v>SY</v>
      </c>
      <c r="E19" s="26">
        <v>0.5</v>
      </c>
      <c r="F19" s="27">
        <f t="shared" si="4"/>
        <v>325</v>
      </c>
      <c r="G19" s="26">
        <v>1.3</v>
      </c>
      <c r="H19" s="27">
        <f t="shared" si="5"/>
        <v>845</v>
      </c>
      <c r="I19" s="26">
        <v>10</v>
      </c>
      <c r="J19" s="27">
        <f t="shared" si="6"/>
        <v>6500</v>
      </c>
      <c r="K19" s="26">
        <v>3.85</v>
      </c>
      <c r="L19" s="27">
        <f t="shared" si="7"/>
        <v>2502.5</v>
      </c>
      <c r="M19" s="59">
        <v>5</v>
      </c>
      <c r="N19" s="60">
        <f>C19*M19</f>
        <v>3250</v>
      </c>
    </row>
    <row r="20" spans="1:14" ht="33" customHeight="1">
      <c r="A20" s="11" t="str">
        <f>'Bid Item List'!A32</f>
        <v>0013</v>
      </c>
      <c r="B20" s="55" t="str">
        <f>'Bid Item List'!B32</f>
        <v>Aggregate Base Course</v>
      </c>
      <c r="C20" s="34">
        <f>'Bid Item List'!C32</f>
        <v>170</v>
      </c>
      <c r="D20" s="20" t="str">
        <f>'Bid Item List'!D32</f>
        <v>CY</v>
      </c>
      <c r="E20" s="26">
        <v>50</v>
      </c>
      <c r="F20" s="27">
        <f t="shared" si="4"/>
        <v>8500</v>
      </c>
      <c r="G20" s="26">
        <v>59</v>
      </c>
      <c r="H20" s="27">
        <f t="shared" si="5"/>
        <v>10030</v>
      </c>
      <c r="I20" s="26">
        <v>138</v>
      </c>
      <c r="J20" s="27">
        <f t="shared" si="6"/>
        <v>23460</v>
      </c>
      <c r="K20" s="26">
        <v>119</v>
      </c>
      <c r="L20" s="27">
        <f t="shared" si="7"/>
        <v>20230</v>
      </c>
      <c r="M20" s="59">
        <v>75</v>
      </c>
      <c r="N20" s="60">
        <f>C20*M20</f>
        <v>12750</v>
      </c>
    </row>
    <row r="21" spans="1:14" ht="33" customHeight="1">
      <c r="A21" s="11" t="str">
        <f>'Bid Item List'!A33</f>
        <v>0014</v>
      </c>
      <c r="B21" s="55" t="str">
        <f>'Bid Item List'!B33</f>
        <v>Utility Adjustments to Grade</v>
      </c>
      <c r="C21" s="34">
        <f>'Bid Item List'!C33</f>
        <v>12</v>
      </c>
      <c r="D21" s="20" t="str">
        <f>'Bid Item List'!D33</f>
        <v>Each</v>
      </c>
      <c r="E21" s="26">
        <v>750</v>
      </c>
      <c r="F21" s="27">
        <f t="shared" si="4"/>
        <v>9000</v>
      </c>
      <c r="G21" s="26">
        <v>450</v>
      </c>
      <c r="H21" s="27">
        <f t="shared" si="5"/>
        <v>5400</v>
      </c>
      <c r="I21" s="26">
        <v>500</v>
      </c>
      <c r="J21" s="27">
        <f t="shared" si="6"/>
        <v>6000</v>
      </c>
      <c r="K21" s="26">
        <v>1400</v>
      </c>
      <c r="L21" s="27">
        <f t="shared" si="7"/>
        <v>16800</v>
      </c>
      <c r="M21" s="59">
        <v>500</v>
      </c>
      <c r="N21" s="60">
        <f>C21*M21</f>
        <v>6000</v>
      </c>
    </row>
    <row r="22" spans="1:14" ht="33" customHeight="1">
      <c r="A22" s="11" t="str">
        <f>'Bid Item List'!A34</f>
        <v>0015</v>
      </c>
      <c r="B22" s="55" t="str">
        <f>'Bid Item List'!B34</f>
        <v>Pavement Marking, Thermoplastic</v>
      </c>
      <c r="C22" s="34">
        <f>'Bid Item List'!C34</f>
        <v>3200</v>
      </c>
      <c r="D22" s="20" t="str">
        <f>'Bid Item List'!D34</f>
        <v>SF</v>
      </c>
      <c r="E22" s="26">
        <v>5.5</v>
      </c>
      <c r="F22" s="27">
        <f t="shared" si="4"/>
        <v>17600</v>
      </c>
      <c r="G22" s="26">
        <v>8.15</v>
      </c>
      <c r="H22" s="27">
        <f t="shared" si="5"/>
        <v>26080</v>
      </c>
      <c r="I22" s="26">
        <v>6.45</v>
      </c>
      <c r="J22" s="27">
        <f t="shared" si="6"/>
        <v>20640</v>
      </c>
      <c r="K22" s="26">
        <v>6.77</v>
      </c>
      <c r="L22" s="27">
        <f t="shared" si="7"/>
        <v>21664</v>
      </c>
      <c r="M22" s="59">
        <v>8</v>
      </c>
      <c r="N22" s="60">
        <f>C22*M22</f>
        <v>25600</v>
      </c>
    </row>
    <row r="23" spans="1:14" ht="33" customHeight="1">
      <c r="A23" s="11" t="str">
        <f>'Bid Item List'!A35</f>
        <v>0016</v>
      </c>
      <c r="B23" s="55" t="str">
        <f>'Bid Item List'!B35</f>
        <v>Pavement Marking, Painted</v>
      </c>
      <c r="C23" s="34">
        <f>'Bid Item List'!C35</f>
        <v>11000</v>
      </c>
      <c r="D23" s="20" t="str">
        <f>'Bid Item List'!D35</f>
        <v>SF</v>
      </c>
      <c r="E23" s="26">
        <v>2</v>
      </c>
      <c r="F23" s="27">
        <f t="shared" si="4"/>
        <v>22000</v>
      </c>
      <c r="G23" s="26">
        <v>0.35</v>
      </c>
      <c r="H23" s="27">
        <f t="shared" si="5"/>
        <v>3849.9999999999995</v>
      </c>
      <c r="I23" s="26">
        <v>0.3</v>
      </c>
      <c r="J23" s="27">
        <f t="shared" si="6"/>
        <v>3300</v>
      </c>
      <c r="K23" s="26">
        <v>0.28999999999999998</v>
      </c>
      <c r="L23" s="27">
        <f t="shared" si="7"/>
        <v>3190</v>
      </c>
      <c r="M23" s="59">
        <v>2.5</v>
      </c>
      <c r="N23" s="60">
        <f>C23*M23</f>
        <v>27500</v>
      </c>
    </row>
    <row r="24" spans="1:14" ht="33" customHeight="1">
      <c r="A24" s="11" t="str">
        <f>'Bid Item List'!A36</f>
        <v>0017</v>
      </c>
      <c r="B24" s="55" t="str">
        <f>'Bid Item List'!B36</f>
        <v>Pavement Marking, Temporary</v>
      </c>
      <c r="C24" s="34">
        <f>'Bid Item List'!C36</f>
        <v>6000</v>
      </c>
      <c r="D24" s="20" t="str">
        <f>'Bid Item List'!D36</f>
        <v>SF</v>
      </c>
      <c r="E24" s="26">
        <v>2</v>
      </c>
      <c r="F24" s="27">
        <f t="shared" si="4"/>
        <v>12000</v>
      </c>
      <c r="G24" s="26">
        <v>0.4</v>
      </c>
      <c r="H24" s="27">
        <f t="shared" si="5"/>
        <v>2400</v>
      </c>
      <c r="I24" s="26">
        <v>0.32</v>
      </c>
      <c r="J24" s="27">
        <f t="shared" si="6"/>
        <v>1920</v>
      </c>
      <c r="K24" s="26">
        <v>0.34</v>
      </c>
      <c r="L24" s="27">
        <f t="shared" si="7"/>
        <v>2040.0000000000002</v>
      </c>
      <c r="M24" s="59">
        <v>1.75</v>
      </c>
      <c r="N24" s="60">
        <f>C24*M24</f>
        <v>10500</v>
      </c>
    </row>
    <row r="25" spans="1:14" ht="33" customHeight="1">
      <c r="A25" s="11" t="str">
        <f>'Bid Item List'!A37</f>
        <v>0018</v>
      </c>
      <c r="B25" s="55" t="str">
        <f>'Bid Item List'!B37</f>
        <v>Vehicle Detection Loops</v>
      </c>
      <c r="C25" s="34">
        <f>'Bid Item List'!C37</f>
        <v>1</v>
      </c>
      <c r="D25" s="20" t="str">
        <f>'Bid Item List'!D37</f>
        <v>LS</v>
      </c>
      <c r="E25" s="26">
        <v>30000</v>
      </c>
      <c r="F25" s="27">
        <f t="shared" si="4"/>
        <v>30000</v>
      </c>
      <c r="G25" s="26">
        <v>17900</v>
      </c>
      <c r="H25" s="27">
        <f t="shared" si="5"/>
        <v>17900</v>
      </c>
      <c r="I25" s="26">
        <v>15000</v>
      </c>
      <c r="J25" s="27">
        <f t="shared" si="6"/>
        <v>15000</v>
      </c>
      <c r="K25" s="26">
        <v>15000</v>
      </c>
      <c r="L25" s="27">
        <f t="shared" si="7"/>
        <v>15000</v>
      </c>
      <c r="M25" s="59">
        <v>15000</v>
      </c>
      <c r="N25" s="60">
        <f>C25*M25</f>
        <v>15000</v>
      </c>
    </row>
    <row r="26" spans="1:14" ht="33" customHeight="1">
      <c r="A26" s="11" t="str">
        <f>'Bid Item List'!A38</f>
        <v>0019</v>
      </c>
      <c r="B26" s="55" t="str">
        <f>'Bid Item List'!B38</f>
        <v>Level 3, 1/2-Inch Dense HMAC</v>
      </c>
      <c r="C26" s="34">
        <f>'Bid Item List'!C38</f>
        <v>16200</v>
      </c>
      <c r="D26" s="20" t="str">
        <f>'Bid Item List'!D38</f>
        <v>Ton</v>
      </c>
      <c r="E26" s="26">
        <v>105</v>
      </c>
      <c r="F26" s="27">
        <f t="shared" si="4"/>
        <v>1701000</v>
      </c>
      <c r="G26" s="26">
        <v>110</v>
      </c>
      <c r="H26" s="27">
        <f t="shared" si="5"/>
        <v>1782000</v>
      </c>
      <c r="I26" s="26">
        <v>103</v>
      </c>
      <c r="J26" s="27">
        <f t="shared" si="6"/>
        <v>1668600</v>
      </c>
      <c r="K26" s="26">
        <v>114.25</v>
      </c>
      <c r="L26" s="27">
        <f t="shared" si="7"/>
        <v>1850850</v>
      </c>
      <c r="M26" s="59">
        <v>125</v>
      </c>
      <c r="N26" s="60">
        <f>C26*M26</f>
        <v>2025000</v>
      </c>
    </row>
    <row r="27" spans="1:14" ht="27.75" customHeight="1">
      <c r="A27" s="12"/>
      <c r="B27" s="21" t="s">
        <v>59</v>
      </c>
      <c r="C27" s="35"/>
      <c r="D27" s="22"/>
      <c r="E27" s="28"/>
      <c r="F27" s="28">
        <f>SUM(F8:F26)</f>
        <v>2955955</v>
      </c>
      <c r="G27" s="28"/>
      <c r="H27" s="28">
        <f>SUM(H8:H26)</f>
        <v>2797065</v>
      </c>
      <c r="I27" s="28"/>
      <c r="J27" s="28">
        <f>SUM(J8:J26)</f>
        <v>3386598</v>
      </c>
      <c r="K27" s="28"/>
      <c r="L27" s="28">
        <f>SUM(L8:L26)</f>
        <v>3605605</v>
      </c>
      <c r="M27" s="61"/>
      <c r="N27" s="61">
        <f>SUM(N8:N26)</f>
        <v>3875250</v>
      </c>
    </row>
  </sheetData>
  <mergeCells count="11">
    <mergeCell ref="M1:N5"/>
    <mergeCell ref="K1:L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3"/>
  <sheetViews>
    <sheetView view="pageBreakPreview" zoomScaleNormal="75" zoomScaleSheetLayoutView="100" workbookViewId="0">
      <selection activeCell="A8" sqref="A8"/>
    </sheetView>
  </sheetViews>
  <sheetFormatPr defaultRowHeight="15"/>
  <cols>
    <col min="1" max="1" width="53.7109375" style="13" customWidth="1"/>
    <col min="2" max="2" width="27" style="44" customWidth="1"/>
  </cols>
  <sheetData>
    <row r="1" spans="1:2" ht="30" customHeight="1">
      <c r="A1" s="24" t="str">
        <f>ProjectLocation</f>
        <v>PORTLAND INTERNATIONAL AIRPORT</v>
      </c>
      <c r="B1" s="40"/>
    </row>
    <row r="2" spans="1:2" ht="15" customHeight="1">
      <c r="A2" s="25" t="str">
        <f>ProjectTitle</f>
        <v>AIRPORT WAY AND FRONTAGE ROAD REHABILITATION</v>
      </c>
      <c r="B2" s="41"/>
    </row>
    <row r="3" spans="1:2" ht="15" customHeight="1">
      <c r="A3" s="25">
        <f>ProjectTitle2</f>
        <v>0</v>
      </c>
      <c r="B3" s="41"/>
    </row>
    <row r="4" spans="1:2">
      <c r="A4" s="14" t="str">
        <f>EAN</f>
        <v>EAN 2016D18</v>
      </c>
      <c r="B4" s="41"/>
    </row>
    <row r="5" spans="1:2" ht="15" customHeight="1">
      <c r="A5" s="15" t="str">
        <f>SolicitationNo</f>
        <v>Solicitation No. 2017-7319</v>
      </c>
      <c r="B5" s="41"/>
    </row>
    <row r="6" spans="1:2" ht="15" customHeight="1">
      <c r="A6" s="16">
        <f ca="1">TODAY()</f>
        <v>42885</v>
      </c>
      <c r="B6" s="42"/>
    </row>
    <row r="7" spans="1:2" ht="33" customHeight="1">
      <c r="A7" s="17" t="s">
        <v>68</v>
      </c>
      <c r="B7" s="43" t="s">
        <v>20</v>
      </c>
    </row>
    <row r="8" spans="1:2" ht="33" customHeight="1">
      <c r="A8" s="18" t="str">
        <f>Contractor2</f>
        <v>K&amp;E Excavating, Inc.</v>
      </c>
      <c r="B8" s="45">
        <f>Total2</f>
        <v>2797065</v>
      </c>
    </row>
    <row r="9" spans="1:2" ht="33" customHeight="1">
      <c r="A9" s="18" t="str">
        <f>Contractor1</f>
        <v>Granite Construction Company</v>
      </c>
      <c r="B9" s="45">
        <f>Total1</f>
        <v>2955955</v>
      </c>
    </row>
    <row r="10" spans="1:2" ht="33" customHeight="1">
      <c r="A10" s="18" t="str">
        <f>Contractor3</f>
        <v>Kerr Contractors 
Oregon, Inc.</v>
      </c>
      <c r="B10" s="45">
        <f>Total3</f>
        <v>3386598</v>
      </c>
    </row>
    <row r="11" spans="1:2" ht="33" customHeight="1">
      <c r="A11" s="18" t="str">
        <f>Contractor4</f>
        <v>Kodiak Pacific Construction</v>
      </c>
      <c r="B11" s="45">
        <f>Total4</f>
        <v>3605605</v>
      </c>
    </row>
    <row r="12" spans="1:2" ht="33" customHeight="1">
      <c r="A12" s="62" t="str">
        <f>EngineerEstimate</f>
        <v>Engineer's Estimate</v>
      </c>
      <c r="B12" s="63">
        <f>TotalEE</f>
        <v>3875250</v>
      </c>
    </row>
    <row r="13" spans="1:2">
      <c r="A13" s="46" t="s">
        <v>69</v>
      </c>
    </row>
  </sheetData>
  <sortState xmlns:xlrd2="http://schemas.microsoft.com/office/spreadsheetml/2017/richdata2" ref="A8:B11">
    <sortCondition ref="B8:B11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C98F4C-F022-4032-8B0E-7FEC3217BC05}"/>
</file>

<file path=customXml/itemProps2.xml><?xml version="1.0" encoding="utf-8"?>
<ds:datastoreItem xmlns:ds="http://schemas.openxmlformats.org/officeDocument/2006/customXml" ds:itemID="{31601B98-A29C-45FB-AF79-3FE0C6699634}"/>
</file>

<file path=customXml/itemProps3.xml><?xml version="1.0" encoding="utf-8"?>
<ds:datastoreItem xmlns:ds="http://schemas.openxmlformats.org/officeDocument/2006/customXml" ds:itemID="{926365B1-57EF-47CD-B8A6-20472F5D6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Kim Tuttle</cp:lastModifiedBy>
  <cp:revision/>
  <dcterms:created xsi:type="dcterms:W3CDTF">2014-05-02T22:08:37Z</dcterms:created>
  <dcterms:modified xsi:type="dcterms:W3CDTF">2026-02-09T21:15:09Z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