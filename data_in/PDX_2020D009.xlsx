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dx\20D\009\"/>
    </mc:Choice>
  </mc:AlternateContent>
  <xr:revisionPtr revIDLastSave="0" documentId="13_ncr:1_{E03C88AD-838C-46A7-A6DA-6552141D2B9D}" xr6:coauthVersionLast="47" xr6:coauthVersionMax="47" xr10:uidLastSave="{00000000-0000-0000-0000-000000000000}"/>
  <bookViews>
    <workbookView xWindow="-98" yWindow="-98" windowWidth="20715" windowHeight="13425" tabRatio="716" activeTab="2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Tabulation'!#REF!</definedName>
    <definedName name="Contractor3A">'Bid Tabulation'!#REF!</definedName>
    <definedName name="Contractor4">'Bid Tabulation'!#REF!</definedName>
    <definedName name="Contractor5">'Bid Tabulation'!#REF!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Tabulation'!$I$1</definedName>
    <definedName name="_xlnm.Print_Area" localSheetId="0">'Bid Item List'!$A$14:$F$52</definedName>
    <definedName name="_xlnm.Print_Area" localSheetId="2">Summary!$A$1:$B$11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Tabulation'!$F$40</definedName>
    <definedName name="Total2">'Bid Tabulation'!$H$40</definedName>
    <definedName name="Total3">'Bid Tabulation'!#REF!</definedName>
    <definedName name="Total3A">'Bid Tabulation'!#REF!</definedName>
    <definedName name="Total4">'Bid Tabulation'!#REF!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9" i="2"/>
  <c r="I8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E21" i="1"/>
  <c r="F51" i="1"/>
  <c r="F21" i="1" l="1"/>
  <c r="E2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20" i="1"/>
  <c r="A1" i="5"/>
  <c r="A2" i="5"/>
  <c r="F52" i="1" l="1"/>
  <c r="H18" i="2" l="1"/>
  <c r="F24" i="2"/>
  <c r="H25" i="2"/>
  <c r="F30" i="2"/>
  <c r="H32" i="2"/>
  <c r="H33" i="2"/>
  <c r="F34" i="2"/>
  <c r="H37" i="2"/>
  <c r="F38" i="2"/>
  <c r="J21" i="2" l="1"/>
  <c r="J18" i="2"/>
  <c r="J38" i="2"/>
  <c r="F26" i="2"/>
  <c r="F22" i="2"/>
  <c r="J26" i="2"/>
  <c r="H26" i="2"/>
  <c r="F18" i="2"/>
  <c r="J22" i="2"/>
  <c r="H22" i="2"/>
  <c r="F32" i="2"/>
  <c r="J33" i="2"/>
  <c r="H17" i="2"/>
  <c r="J37" i="2"/>
  <c r="H24" i="2"/>
  <c r="J17" i="2"/>
  <c r="H21" i="2"/>
  <c r="F37" i="2"/>
  <c r="F21" i="2"/>
  <c r="H34" i="2"/>
  <c r="J32" i="2"/>
  <c r="J29" i="2"/>
  <c r="F25" i="2"/>
  <c r="J34" i="2"/>
  <c r="H20" i="2"/>
  <c r="H29" i="2"/>
  <c r="F29" i="2"/>
  <c r="H36" i="2"/>
  <c r="F36" i="2"/>
  <c r="J36" i="2"/>
  <c r="F28" i="2"/>
  <c r="J28" i="2"/>
  <c r="H28" i="2"/>
  <c r="H30" i="2"/>
  <c r="J25" i="2"/>
  <c r="J24" i="2"/>
  <c r="F33" i="2"/>
  <c r="J30" i="2"/>
  <c r="H39" i="2"/>
  <c r="H35" i="2"/>
  <c r="H31" i="2"/>
  <c r="H27" i="2"/>
  <c r="H23" i="2"/>
  <c r="J20" i="2"/>
  <c r="F20" i="2"/>
  <c r="H19" i="2"/>
  <c r="J39" i="2"/>
  <c r="F39" i="2"/>
  <c r="H38" i="2"/>
  <c r="J35" i="2"/>
  <c r="F35" i="2"/>
  <c r="J31" i="2"/>
  <c r="F31" i="2"/>
  <c r="J27" i="2"/>
  <c r="F27" i="2"/>
  <c r="J23" i="2"/>
  <c r="F23" i="2"/>
  <c r="J19" i="2"/>
  <c r="F19" i="2"/>
  <c r="A5" i="5"/>
  <c r="A4" i="5"/>
  <c r="A3" i="5"/>
  <c r="A3" i="2"/>
  <c r="A2" i="2"/>
  <c r="A1" i="2"/>
  <c r="J16" i="2" l="1"/>
  <c r="J15" i="2"/>
  <c r="J14" i="2"/>
  <c r="J13" i="2"/>
  <c r="H16" i="2"/>
  <c r="F16" i="2"/>
  <c r="H15" i="2"/>
  <c r="F15" i="2"/>
  <c r="F14" i="2"/>
  <c r="H14" i="2"/>
  <c r="F13" i="2"/>
  <c r="H13" i="2"/>
  <c r="A10" i="5"/>
  <c r="A9" i="5"/>
  <c r="A8" i="5"/>
  <c r="A6" i="5" l="1"/>
  <c r="A9" i="2"/>
  <c r="B9" i="2"/>
  <c r="C9" i="2"/>
  <c r="D9" i="2"/>
  <c r="A10" i="2"/>
  <c r="B10" i="2"/>
  <c r="C10" i="2"/>
  <c r="D10" i="2"/>
  <c r="A11" i="2"/>
  <c r="B11" i="2"/>
  <c r="C11" i="2"/>
  <c r="D11" i="2"/>
  <c r="D8" i="2"/>
  <c r="C8" i="2"/>
  <c r="B8" i="2"/>
  <c r="A8" i="2"/>
  <c r="A6" i="2"/>
  <c r="J9" i="2" l="1"/>
  <c r="J12" i="2"/>
  <c r="J11" i="2"/>
  <c r="J10" i="2"/>
  <c r="J8" i="2"/>
  <c r="F8" i="2"/>
  <c r="H8" i="2"/>
  <c r="H12" i="2"/>
  <c r="F12" i="2"/>
  <c r="H11" i="2"/>
  <c r="F11" i="2"/>
  <c r="F10" i="2"/>
  <c r="H10" i="2"/>
  <c r="H9" i="2"/>
  <c r="F9" i="2"/>
  <c r="J40" i="2" l="1"/>
  <c r="B10" i="5" s="1"/>
  <c r="F40" i="2"/>
  <c r="B8" i="5" s="1"/>
  <c r="H40" i="2"/>
</calcChain>
</file>

<file path=xl/sharedStrings.xml><?xml version="1.0" encoding="utf-8"?>
<sst xmlns="http://schemas.openxmlformats.org/spreadsheetml/2006/main" count="138" uniqueCount="94">
  <si>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</si>
  <si>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</si>
  <si>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</si>
  <si>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</si>
  <si>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</si>
  <si>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</si>
  <si>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</si>
  <si>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</si>
  <si>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</si>
  <si>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</si>
  <si>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</si>
  <si>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</si>
  <si>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</si>
  <si>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</si>
  <si>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</si>
  <si>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</si>
  <si>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</si>
  <si>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</si>
  <si>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</si>
  <si>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</si>
  <si>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</si>
  <si>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</si>
  <si>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</si>
  <si>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</si>
  <si>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</si>
  <si>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</si>
  <si>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</si>
  <si>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</si>
  <si>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</si>
  <si>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Total Amount Bid (Basis of Award)</t>
  </si>
  <si>
    <t>Bidder</t>
  </si>
  <si>
    <t>Engineer's Estimate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</si>
  <si>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</si>
  <si>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</si>
  <si>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</si>
  <si>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</si>
  <si>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</si>
  <si>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</si>
  <si>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</si>
  <si>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</si>
  <si>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</si>
  <si>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</si>
  <si>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</si>
  <si>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</si>
  <si>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</si>
  <si>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</si>
  <si>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</si>
  <si>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</si>
  <si>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</si>
  <si>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</si>
  <si>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</si>
  <si>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</si>
  <si>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PORTLAND INTERNATIONAL AIRPORT</t>
  </si>
  <si>
    <t>AIR CARGO ROAD MULTI-USE PATH CONNECTOR</t>
  </si>
  <si>
    <t>EAN 2020D009</t>
  </si>
  <si>
    <t>Mobilization, Surveying, Cleanup, and Demobilization</t>
  </si>
  <si>
    <t>Project Traffic Control</t>
  </si>
  <si>
    <t>Inlet Protection</t>
  </si>
  <si>
    <t>Ditch Protection</t>
  </si>
  <si>
    <t>Clearing and Grubbing</t>
  </si>
  <si>
    <t>Pavement Removal</t>
  </si>
  <si>
    <t>Curb Removal</t>
  </si>
  <si>
    <t>Asphalt Grinding Removal and Disposal</t>
  </si>
  <si>
    <t>Common Excavation</t>
  </si>
  <si>
    <t>Unsuitable Excavation and Disposal</t>
  </si>
  <si>
    <t>Electrical Bedding Material</t>
  </si>
  <si>
    <t>Trench Stabilization</t>
  </si>
  <si>
    <t>12-Inch Ductile Iron Sewer Pipe</t>
  </si>
  <si>
    <t>Connection to Existing Utility</t>
  </si>
  <si>
    <t>Catch Basin</t>
  </si>
  <si>
    <t>Geotextile</t>
  </si>
  <si>
    <t>Aggregate Base Course</t>
  </si>
  <si>
    <t>Pavement Marking</t>
  </si>
  <si>
    <t>Signage</t>
  </si>
  <si>
    <t>Fence Fabric Removal</t>
  </si>
  <si>
    <t>6-Foot Chain-Link Slatted Fence Fabric</t>
  </si>
  <si>
    <t>Area Seeding</t>
  </si>
  <si>
    <t>Electrical</t>
  </si>
  <si>
    <t>Level 3, 3/4-Inch Dense HMAC</t>
  </si>
  <si>
    <t>Embankment</t>
  </si>
  <si>
    <t>Encasement Over Existing Waterlin</t>
  </si>
  <si>
    <t>Remove and Reinstall 12-Inch Ductile Iron Pipe</t>
  </si>
  <si>
    <t>Monolithic Curb and Sidewalk</t>
  </si>
  <si>
    <t>Blackout and Temporary Pavement Marking</t>
  </si>
  <si>
    <t>Standard 8-Inch Concrete Curb</t>
  </si>
  <si>
    <t>Asphalt Sawcut</t>
  </si>
  <si>
    <t>0031</t>
  </si>
  <si>
    <t>0032</t>
  </si>
  <si>
    <t>Bollards</t>
  </si>
  <si>
    <t>Solicitation No. 2023-10179</t>
  </si>
  <si>
    <t>Dirt and Aggregate Interchange, Inc.</t>
  </si>
  <si>
    <t>Kodiak Pacific Construction</t>
  </si>
  <si>
    <t>$787,786.50*</t>
  </si>
  <si>
    <t>*Bid Total with Corrected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</si>
</sst>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left" vertical="top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center" vertical="top"/>
    </xf>
    <xf numFmtId="166" fontId="4" fillId="0" borderId="1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2" fontId="7" fillId="0" borderId="5" xfId="0" applyNumberFormat="1" applyFont="1" applyBorder="1" applyAlignment="1">
      <alignment horizontal="center" vertical="top"/>
    </xf>
    <xf numFmtId="166" fontId="5" fillId="2" borderId="8" xfId="0" applyNumberFormat="1" applyFont="1" applyFill="1" applyBorder="1" applyAlignment="1">
      <alignment horizontal="center"/>
    </xf>
    <xf numFmtId="166" fontId="5" fillId="2" borderId="9" xfId="0" applyNumberFormat="1" applyFont="1" applyFill="1" applyBorder="1" applyAlignment="1">
      <alignment horizontal="center"/>
    </xf>
    <xf numFmtId="166" fontId="5" fillId="2" borderId="10" xfId="0" applyNumberFormat="1" applyFont="1" applyFill="1" applyBorder="1" applyAlignment="1">
      <alignment horizontal="center"/>
    </xf>
    <xf numFmtId="166" fontId="5" fillId="2" borderId="11" xfId="0" applyNumberFormat="1" applyFont="1" applyFill="1" applyBorder="1" applyAlignment="1">
      <alignment horizontal="center"/>
    </xf>
    <xf numFmtId="166" fontId="0" fillId="2" borderId="12" xfId="0" applyNumberFormat="1" applyFill="1" applyBorder="1"/>
    <xf numFmtId="166" fontId="0" fillId="2" borderId="13" xfId="0" applyNumberFormat="1" applyFill="1" applyBorder="1"/>
    <xf numFmtId="166" fontId="3" fillId="2" borderId="5" xfId="0" applyNumberFormat="1" applyFont="1" applyFill="1" applyBorder="1" applyAlignment="1">
      <alignment horizontal="center" wrapText="1"/>
    </xf>
    <xf numFmtId="166" fontId="7" fillId="2" borderId="5" xfId="0" applyNumberFormat="1" applyFont="1" applyFill="1" applyBorder="1" applyAlignment="1">
      <alignment horizontal="center" vertical="top"/>
    </xf>
    <xf numFmtId="166" fontId="7" fillId="2" borderId="5" xfId="1" applyNumberFormat="1" applyFont="1" applyFill="1" applyBorder="1" applyAlignment="1">
      <alignment horizontal="center" vertical="top"/>
    </xf>
    <xf numFmtId="166" fontId="3" fillId="2" borderId="5" xfId="0" applyNumberFormat="1" applyFont="1" applyFill="1" applyBorder="1"/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52"/>
  <sheetViews>
    <sheetView view="pageLayout" topLeftCell="A50" zoomScale="80" zoomScaleNormal="100" zoomScaleSheetLayoutView="90" zoomScalePageLayoutView="80" workbookViewId="0">
      <selection activeCell="E51" sqref="E51"/>
    </sheetView>
  </sheetViews>
  <sheetFormatPr defaultRowHeight="14.25" x14ac:dyDescent="0.45"/>
  <cols>
    <col min="1" max="1" width="6.53125" customWidth="1"/>
    <col min="2" max="2" width="36.796875" customWidth="1"/>
    <col min="3" max="3" width="10.796875" style="29" customWidth="1"/>
    <col min="4" max="4" width="8.19921875" customWidth="1"/>
    <col min="5" max="6" width="13.19921875" style="33" customWidth="1"/>
  </cols>
  <sheetData>
    <row r="1" spans="1:6" hidden="1" x14ac:dyDescent="0.45">
      <c r="A1" s="1" t="s">
        <v>0</v>
      </c>
    </row>
    <row r="2" spans="1:6" hidden="1" x14ac:dyDescent="0.45">
      <c r="A2" s="1" t="s">
        <v>1</v>
      </c>
    </row>
    <row r="3" spans="1:6" hidden="1" x14ac:dyDescent="0.45">
      <c r="A3" s="2" t="s">
        <v>2</v>
      </c>
    </row>
    <row r="4" spans="1:6" hidden="1" x14ac:dyDescent="0.45">
      <c r="A4" s="2" t="s">
        <v>3</v>
      </c>
    </row>
    <row r="5" spans="1:6" hidden="1" x14ac:dyDescent="0.45">
      <c r="A5" s="2" t="s">
        <v>4</v>
      </c>
    </row>
    <row r="6" spans="1:6" hidden="1" x14ac:dyDescent="0.45">
      <c r="A6" s="2" t="s">
        <v>5</v>
      </c>
    </row>
    <row r="7" spans="1:6" hidden="1" x14ac:dyDescent="0.45">
      <c r="A7" s="2" t="s">
        <v>6</v>
      </c>
    </row>
    <row r="8" spans="1:6" hidden="1" x14ac:dyDescent="0.45">
      <c r="A8" s="2" t="s">
        <v>7</v>
      </c>
    </row>
    <row r="9" spans="1:6" hidden="1" x14ac:dyDescent="0.45">
      <c r="A9" s="1" t="s">
        <v>8</v>
      </c>
    </row>
    <row r="10" spans="1:6" hidden="1" x14ac:dyDescent="0.45">
      <c r="A10" s="2" t="s">
        <v>9</v>
      </c>
    </row>
    <row r="11" spans="1:6" hidden="1" x14ac:dyDescent="0.45">
      <c r="A11" s="2" t="s">
        <v>10</v>
      </c>
    </row>
    <row r="12" spans="1:6" hidden="1" x14ac:dyDescent="0.45">
      <c r="A12" s="2" t="s">
        <v>11</v>
      </c>
    </row>
    <row r="13" spans="1:6" hidden="1" x14ac:dyDescent="0.45">
      <c r="A13" s="2" t="s">
        <v>12</v>
      </c>
    </row>
    <row r="14" spans="1:6" x14ac:dyDescent="0.45">
      <c r="A14" s="61"/>
      <c r="B14" s="61"/>
      <c r="C14" s="61"/>
      <c r="D14" s="61"/>
      <c r="E14" s="55"/>
      <c r="F14" s="55"/>
    </row>
    <row r="15" spans="1:6" x14ac:dyDescent="0.45">
      <c r="A15" s="58" t="s">
        <v>52</v>
      </c>
      <c r="B15" s="58"/>
      <c r="C15" s="58"/>
      <c r="D15" s="58"/>
      <c r="E15" s="56"/>
      <c r="F15" s="56"/>
    </row>
    <row r="16" spans="1:6" x14ac:dyDescent="0.45">
      <c r="A16" s="58" t="s">
        <v>53</v>
      </c>
      <c r="B16" s="58"/>
      <c r="C16" s="58"/>
      <c r="D16" s="58"/>
      <c r="E16" s="56"/>
      <c r="F16" s="56"/>
    </row>
    <row r="17" spans="1:6" x14ac:dyDescent="0.45">
      <c r="A17" s="59"/>
      <c r="B17" s="59"/>
      <c r="C17" s="59"/>
      <c r="D17" s="59"/>
      <c r="E17" s="56"/>
      <c r="F17" s="56"/>
    </row>
    <row r="18" spans="1:6" x14ac:dyDescent="0.45">
      <c r="A18" s="60"/>
      <c r="B18" s="60"/>
      <c r="C18" s="60"/>
      <c r="D18" s="60"/>
      <c r="E18" s="57"/>
      <c r="F18" s="57"/>
    </row>
    <row r="19" spans="1:6" s="3" customFormat="1" ht="24" customHeight="1" x14ac:dyDescent="0.35">
      <c r="A19" s="4" t="s">
        <v>13</v>
      </c>
      <c r="B19" s="4" t="s">
        <v>14</v>
      </c>
      <c r="C19" s="30" t="s">
        <v>15</v>
      </c>
      <c r="D19" s="4" t="s">
        <v>16</v>
      </c>
      <c r="E19" s="34" t="s">
        <v>17</v>
      </c>
      <c r="F19" s="34" t="s">
        <v>18</v>
      </c>
    </row>
    <row r="20" spans="1:6" ht="40.5" customHeight="1" x14ac:dyDescent="0.45">
      <c r="A20" s="5" t="s">
        <v>19</v>
      </c>
      <c r="B20" s="51" t="s">
        <v>55</v>
      </c>
      <c r="C20" s="31">
        <v>1</v>
      </c>
      <c r="D20" s="6" t="s">
        <v>8</v>
      </c>
      <c r="E20" s="35">
        <f>90000+48000+14000</f>
        <v>152000</v>
      </c>
      <c r="F20" s="35">
        <f>E20*C20</f>
        <v>152000</v>
      </c>
    </row>
    <row r="21" spans="1:6" ht="40.5" customHeight="1" x14ac:dyDescent="0.45">
      <c r="A21" s="5" t="s">
        <v>20</v>
      </c>
      <c r="B21" s="51" t="s">
        <v>56</v>
      </c>
      <c r="C21" s="31">
        <v>1</v>
      </c>
      <c r="D21" s="6" t="s">
        <v>8</v>
      </c>
      <c r="E21" s="35">
        <f>36000+7000</f>
        <v>43000</v>
      </c>
      <c r="F21" s="35">
        <f>E21*C21</f>
        <v>43000</v>
      </c>
    </row>
    <row r="22" spans="1:6" ht="40.5" customHeight="1" x14ac:dyDescent="0.45">
      <c r="A22" s="5" t="s">
        <v>21</v>
      </c>
      <c r="B22" s="51" t="s">
        <v>57</v>
      </c>
      <c r="C22" s="31">
        <v>6</v>
      </c>
      <c r="D22" s="6" t="s">
        <v>2</v>
      </c>
      <c r="E22" s="35">
        <v>100</v>
      </c>
      <c r="F22" s="35">
        <f t="shared" ref="F22:F51" si="0">E22*C22</f>
        <v>600</v>
      </c>
    </row>
    <row r="23" spans="1:6" ht="40.5" customHeight="1" x14ac:dyDescent="0.45">
      <c r="A23" s="5" t="s">
        <v>22</v>
      </c>
      <c r="B23" s="51" t="s">
        <v>58</v>
      </c>
      <c r="C23" s="31">
        <v>9</v>
      </c>
      <c r="D23" s="6" t="s">
        <v>2</v>
      </c>
      <c r="E23" s="35">
        <v>200</v>
      </c>
      <c r="F23" s="35">
        <f t="shared" si="0"/>
        <v>1800</v>
      </c>
    </row>
    <row r="24" spans="1:6" ht="40.5" customHeight="1" x14ac:dyDescent="0.45">
      <c r="A24" s="5" t="s">
        <v>23</v>
      </c>
      <c r="B24" s="51" t="s">
        <v>59</v>
      </c>
      <c r="C24" s="31">
        <v>1</v>
      </c>
      <c r="D24" s="6" t="s">
        <v>8</v>
      </c>
      <c r="E24" s="35">
        <v>15000</v>
      </c>
      <c r="F24" s="35">
        <f t="shared" si="0"/>
        <v>15000</v>
      </c>
    </row>
    <row r="25" spans="1:6" ht="40.5" customHeight="1" x14ac:dyDescent="0.45">
      <c r="A25" s="5" t="s">
        <v>24</v>
      </c>
      <c r="B25" s="51" t="s">
        <v>60</v>
      </c>
      <c r="C25" s="31">
        <v>110</v>
      </c>
      <c r="D25" s="6" t="s">
        <v>1</v>
      </c>
      <c r="E25" s="35">
        <v>60</v>
      </c>
      <c r="F25" s="35">
        <f t="shared" si="0"/>
        <v>6600</v>
      </c>
    </row>
    <row r="26" spans="1:6" ht="40.5" customHeight="1" x14ac:dyDescent="0.45">
      <c r="A26" s="5" t="s">
        <v>25</v>
      </c>
      <c r="B26" s="51" t="s">
        <v>85</v>
      </c>
      <c r="C26" s="31">
        <v>1127</v>
      </c>
      <c r="D26" s="6" t="s">
        <v>7</v>
      </c>
      <c r="E26" s="35">
        <v>5</v>
      </c>
      <c r="F26" s="35">
        <f t="shared" si="0"/>
        <v>5635</v>
      </c>
    </row>
    <row r="27" spans="1:6" ht="40.5" customHeight="1" x14ac:dyDescent="0.45">
      <c r="A27" s="5" t="s">
        <v>26</v>
      </c>
      <c r="B27" s="51" t="s">
        <v>61</v>
      </c>
      <c r="C27" s="31">
        <v>85</v>
      </c>
      <c r="D27" s="6" t="s">
        <v>7</v>
      </c>
      <c r="E27" s="35">
        <v>20</v>
      </c>
      <c r="F27" s="35">
        <f t="shared" si="0"/>
        <v>1700</v>
      </c>
    </row>
    <row r="28" spans="1:6" ht="40.5" customHeight="1" x14ac:dyDescent="0.45">
      <c r="A28" s="5" t="s">
        <v>27</v>
      </c>
      <c r="B28" s="51" t="s">
        <v>62</v>
      </c>
      <c r="C28" s="31">
        <v>138</v>
      </c>
      <c r="D28" s="6" t="s">
        <v>1</v>
      </c>
      <c r="E28" s="35">
        <v>60</v>
      </c>
      <c r="F28" s="35">
        <f t="shared" si="0"/>
        <v>8280</v>
      </c>
    </row>
    <row r="29" spans="1:6" ht="40.5" customHeight="1" x14ac:dyDescent="0.45">
      <c r="A29" s="5" t="s">
        <v>28</v>
      </c>
      <c r="B29" s="51" t="s">
        <v>63</v>
      </c>
      <c r="C29" s="31">
        <v>2571</v>
      </c>
      <c r="D29" s="6" t="s">
        <v>1</v>
      </c>
      <c r="E29" s="35">
        <v>50</v>
      </c>
      <c r="F29" s="35">
        <f t="shared" si="0"/>
        <v>128550</v>
      </c>
    </row>
    <row r="30" spans="1:6" ht="40.5" customHeight="1" x14ac:dyDescent="0.45">
      <c r="A30" s="5" t="s">
        <v>32</v>
      </c>
      <c r="B30" s="51" t="s">
        <v>79</v>
      </c>
      <c r="C30" s="31">
        <v>183</v>
      </c>
      <c r="D30" s="6" t="s">
        <v>1</v>
      </c>
      <c r="E30" s="35">
        <v>120</v>
      </c>
      <c r="F30" s="35">
        <f t="shared" si="0"/>
        <v>21960</v>
      </c>
    </row>
    <row r="31" spans="1:6" ht="40.5" customHeight="1" x14ac:dyDescent="0.45">
      <c r="A31" s="5" t="s">
        <v>33</v>
      </c>
      <c r="B31" s="51" t="s">
        <v>64</v>
      </c>
      <c r="C31" s="31">
        <v>100</v>
      </c>
      <c r="D31" s="6" t="s">
        <v>1</v>
      </c>
      <c r="E31" s="35">
        <v>100</v>
      </c>
      <c r="F31" s="35">
        <f t="shared" si="0"/>
        <v>10000</v>
      </c>
    </row>
    <row r="32" spans="1:6" ht="40.5" customHeight="1" x14ac:dyDescent="0.45">
      <c r="A32" s="5" t="s">
        <v>34</v>
      </c>
      <c r="B32" s="51" t="s">
        <v>80</v>
      </c>
      <c r="C32" s="31">
        <v>359</v>
      </c>
      <c r="D32" s="6" t="s">
        <v>7</v>
      </c>
      <c r="E32" s="35">
        <v>150</v>
      </c>
      <c r="F32" s="35">
        <f t="shared" si="0"/>
        <v>53850</v>
      </c>
    </row>
    <row r="33" spans="1:6" ht="40.5" customHeight="1" x14ac:dyDescent="0.45">
      <c r="A33" s="5" t="s">
        <v>35</v>
      </c>
      <c r="B33" s="51" t="s">
        <v>81</v>
      </c>
      <c r="C33" s="31">
        <v>38</v>
      </c>
      <c r="D33" s="6" t="s">
        <v>7</v>
      </c>
      <c r="E33" s="35">
        <v>250</v>
      </c>
      <c r="F33" s="35">
        <f t="shared" si="0"/>
        <v>9500</v>
      </c>
    </row>
    <row r="34" spans="1:6" ht="40.5" customHeight="1" x14ac:dyDescent="0.45">
      <c r="A34" s="5" t="s">
        <v>36</v>
      </c>
      <c r="B34" s="51" t="s">
        <v>65</v>
      </c>
      <c r="C34" s="31">
        <v>466</v>
      </c>
      <c r="D34" s="6" t="s">
        <v>7</v>
      </c>
      <c r="E34" s="35">
        <v>25</v>
      </c>
      <c r="F34" s="35">
        <f t="shared" si="0"/>
        <v>11650</v>
      </c>
    </row>
    <row r="35" spans="1:6" ht="40.5" customHeight="1" x14ac:dyDescent="0.45">
      <c r="A35" s="5" t="s">
        <v>37</v>
      </c>
      <c r="B35" s="51" t="s">
        <v>66</v>
      </c>
      <c r="C35" s="31">
        <v>100</v>
      </c>
      <c r="D35" s="6" t="s">
        <v>1</v>
      </c>
      <c r="E35" s="35">
        <v>250</v>
      </c>
      <c r="F35" s="35">
        <f t="shared" si="0"/>
        <v>25000</v>
      </c>
    </row>
    <row r="36" spans="1:6" ht="40.5" customHeight="1" x14ac:dyDescent="0.45">
      <c r="A36" s="5" t="s">
        <v>38</v>
      </c>
      <c r="B36" s="51" t="s">
        <v>67</v>
      </c>
      <c r="C36" s="31">
        <v>20</v>
      </c>
      <c r="D36" s="6" t="s">
        <v>7</v>
      </c>
      <c r="E36" s="35">
        <v>300</v>
      </c>
      <c r="F36" s="35">
        <f t="shared" si="0"/>
        <v>6000</v>
      </c>
    </row>
    <row r="37" spans="1:6" ht="40.5" customHeight="1" x14ac:dyDescent="0.45">
      <c r="A37" s="5" t="s">
        <v>39</v>
      </c>
      <c r="B37" s="51" t="s">
        <v>68</v>
      </c>
      <c r="C37" s="31">
        <v>2</v>
      </c>
      <c r="D37" s="6" t="s">
        <v>2</v>
      </c>
      <c r="E37" s="35">
        <v>2500</v>
      </c>
      <c r="F37" s="35">
        <f t="shared" si="0"/>
        <v>5000</v>
      </c>
    </row>
    <row r="38" spans="1:6" ht="40.5" customHeight="1" x14ac:dyDescent="0.45">
      <c r="A38" s="5" t="s">
        <v>40</v>
      </c>
      <c r="B38" s="51" t="s">
        <v>69</v>
      </c>
      <c r="C38" s="31">
        <v>2</v>
      </c>
      <c r="D38" s="6" t="s">
        <v>2</v>
      </c>
      <c r="E38" s="35">
        <v>3000</v>
      </c>
      <c r="F38" s="35">
        <f t="shared" si="0"/>
        <v>6000</v>
      </c>
    </row>
    <row r="39" spans="1:6" ht="40.5" customHeight="1" x14ac:dyDescent="0.45">
      <c r="A39" s="5" t="s">
        <v>41</v>
      </c>
      <c r="B39" s="51" t="s">
        <v>84</v>
      </c>
      <c r="C39" s="31">
        <v>798</v>
      </c>
      <c r="D39" s="6" t="s">
        <v>7</v>
      </c>
      <c r="E39" s="35">
        <v>80</v>
      </c>
      <c r="F39" s="35">
        <f t="shared" si="0"/>
        <v>63840</v>
      </c>
    </row>
    <row r="40" spans="1:6" ht="40.5" customHeight="1" x14ac:dyDescent="0.45">
      <c r="A40" s="5" t="s">
        <v>42</v>
      </c>
      <c r="B40" s="51" t="s">
        <v>82</v>
      </c>
      <c r="C40" s="31">
        <v>360</v>
      </c>
      <c r="D40" s="53" t="s">
        <v>10</v>
      </c>
      <c r="E40" s="35">
        <v>25</v>
      </c>
      <c r="F40" s="35">
        <f t="shared" si="0"/>
        <v>9000</v>
      </c>
    </row>
    <row r="41" spans="1:6" ht="40.5" customHeight="1" x14ac:dyDescent="0.45">
      <c r="A41" s="5" t="s">
        <v>43</v>
      </c>
      <c r="B41" s="51" t="s">
        <v>70</v>
      </c>
      <c r="C41" s="31">
        <v>2327</v>
      </c>
      <c r="D41" s="6" t="s">
        <v>11</v>
      </c>
      <c r="E41" s="35">
        <v>3</v>
      </c>
      <c r="F41" s="35">
        <f t="shared" si="0"/>
        <v>6981</v>
      </c>
    </row>
    <row r="42" spans="1:6" ht="40.5" customHeight="1" x14ac:dyDescent="0.45">
      <c r="A42" s="5" t="s">
        <v>44</v>
      </c>
      <c r="B42" s="51" t="s">
        <v>71</v>
      </c>
      <c r="C42" s="31">
        <v>391</v>
      </c>
      <c r="D42" s="6" t="s">
        <v>1</v>
      </c>
      <c r="E42" s="35">
        <v>80</v>
      </c>
      <c r="F42" s="35">
        <f t="shared" si="0"/>
        <v>31280</v>
      </c>
    </row>
    <row r="43" spans="1:6" ht="40.5" customHeight="1" x14ac:dyDescent="0.45">
      <c r="A43" s="5" t="s">
        <v>45</v>
      </c>
      <c r="B43" s="51" t="s">
        <v>72</v>
      </c>
      <c r="C43" s="31">
        <v>925</v>
      </c>
      <c r="D43" s="6" t="s">
        <v>10</v>
      </c>
      <c r="E43" s="35">
        <v>5</v>
      </c>
      <c r="F43" s="35">
        <f t="shared" si="0"/>
        <v>4625</v>
      </c>
    </row>
    <row r="44" spans="1:6" ht="40.5" customHeight="1" x14ac:dyDescent="0.45">
      <c r="A44" s="5" t="s">
        <v>46</v>
      </c>
      <c r="B44" s="51" t="s">
        <v>83</v>
      </c>
      <c r="C44" s="31">
        <v>1983</v>
      </c>
      <c r="D44" s="6" t="s">
        <v>10</v>
      </c>
      <c r="E44" s="35">
        <v>5</v>
      </c>
      <c r="F44" s="35">
        <f t="shared" si="0"/>
        <v>9915</v>
      </c>
    </row>
    <row r="45" spans="1:6" ht="40.5" customHeight="1" x14ac:dyDescent="0.45">
      <c r="A45" s="5" t="s">
        <v>47</v>
      </c>
      <c r="B45" s="51" t="s">
        <v>73</v>
      </c>
      <c r="C45" s="31">
        <v>1</v>
      </c>
      <c r="D45" s="6" t="s">
        <v>8</v>
      </c>
      <c r="E45" s="35">
        <v>7500</v>
      </c>
      <c r="F45" s="35">
        <f t="shared" si="0"/>
        <v>7500</v>
      </c>
    </row>
    <row r="46" spans="1:6" ht="40.5" customHeight="1" x14ac:dyDescent="0.45">
      <c r="A46" s="5" t="s">
        <v>48</v>
      </c>
      <c r="B46" s="51" t="s">
        <v>74</v>
      </c>
      <c r="C46" s="31">
        <v>1024</v>
      </c>
      <c r="D46" s="6" t="s">
        <v>7</v>
      </c>
      <c r="E46" s="35">
        <v>10</v>
      </c>
      <c r="F46" s="35">
        <f t="shared" si="0"/>
        <v>10240</v>
      </c>
    </row>
    <row r="47" spans="1:6" ht="40.5" customHeight="1" x14ac:dyDescent="0.45">
      <c r="A47" s="5" t="s">
        <v>49</v>
      </c>
      <c r="B47" s="51" t="s">
        <v>75</v>
      </c>
      <c r="C47" s="31">
        <v>1024</v>
      </c>
      <c r="D47" s="6" t="s">
        <v>7</v>
      </c>
      <c r="E47" s="35">
        <v>30</v>
      </c>
      <c r="F47" s="35">
        <f t="shared" si="0"/>
        <v>30720</v>
      </c>
    </row>
    <row r="48" spans="1:6" ht="40.5" customHeight="1" x14ac:dyDescent="0.45">
      <c r="A48" s="5" t="s">
        <v>50</v>
      </c>
      <c r="B48" s="51" t="s">
        <v>76</v>
      </c>
      <c r="C48" s="31">
        <v>1.08</v>
      </c>
      <c r="D48" s="6" t="s">
        <v>0</v>
      </c>
      <c r="E48" s="35">
        <v>10000</v>
      </c>
      <c r="F48" s="35">
        <f t="shared" si="0"/>
        <v>10800</v>
      </c>
    </row>
    <row r="49" spans="1:6" ht="40.5" customHeight="1" x14ac:dyDescent="0.45">
      <c r="A49" s="5" t="s">
        <v>51</v>
      </c>
      <c r="B49" s="51" t="s">
        <v>77</v>
      </c>
      <c r="C49" s="31">
        <v>1</v>
      </c>
      <c r="D49" s="6" t="s">
        <v>8</v>
      </c>
      <c r="E49" s="35">
        <v>55000</v>
      </c>
      <c r="F49" s="35">
        <f t="shared" si="0"/>
        <v>55000</v>
      </c>
    </row>
    <row r="50" spans="1:6" ht="40.5" customHeight="1" x14ac:dyDescent="0.45">
      <c r="A50" s="5" t="s">
        <v>86</v>
      </c>
      <c r="B50" s="51" t="s">
        <v>78</v>
      </c>
      <c r="C50" s="31">
        <v>540</v>
      </c>
      <c r="D50" s="6" t="s">
        <v>12</v>
      </c>
      <c r="E50" s="35">
        <v>200</v>
      </c>
      <c r="F50" s="35">
        <f t="shared" si="0"/>
        <v>108000</v>
      </c>
    </row>
    <row r="51" spans="1:6" ht="40.5" customHeight="1" x14ac:dyDescent="0.45">
      <c r="A51" s="5" t="s">
        <v>87</v>
      </c>
      <c r="B51" s="51" t="s">
        <v>88</v>
      </c>
      <c r="C51" s="31">
        <v>8</v>
      </c>
      <c r="D51" s="6" t="s">
        <v>2</v>
      </c>
      <c r="E51" s="35">
        <v>1000</v>
      </c>
      <c r="F51" s="35">
        <f t="shared" si="0"/>
        <v>8000</v>
      </c>
    </row>
    <row r="52" spans="1:6" ht="27.75" customHeight="1" x14ac:dyDescent="0.45">
      <c r="A52" s="7"/>
      <c r="B52" s="52" t="s">
        <v>29</v>
      </c>
      <c r="C52" s="32"/>
      <c r="D52" s="7"/>
      <c r="E52" s="36"/>
      <c r="F52" s="54">
        <f>SUM(F20:F51)</f>
        <v>868026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51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 xml:space="preserve">&amp;RENGINEER'S ESTIMATE
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J40"/>
  <sheetViews>
    <sheetView topLeftCell="C31" zoomScaleNormal="100" zoomScaleSheetLayoutView="100" workbookViewId="0">
      <selection activeCell="H40" sqref="H40"/>
    </sheetView>
  </sheetViews>
  <sheetFormatPr defaultRowHeight="14.25" x14ac:dyDescent="0.45"/>
  <cols>
    <col min="1" max="1" width="6.796875" customWidth="1"/>
    <col min="2" max="2" width="28.86328125" style="23" customWidth="1"/>
    <col min="3" max="3" width="11.19921875" style="40" customWidth="1"/>
    <col min="4" max="4" width="6.796875" style="23" customWidth="1"/>
    <col min="5" max="5" width="11" style="33" customWidth="1"/>
    <col min="6" max="6" width="13.46484375" style="33" customWidth="1"/>
    <col min="7" max="7" width="11" style="33" customWidth="1"/>
    <col min="8" max="8" width="13.46484375" style="33" customWidth="1"/>
    <col min="9" max="9" width="11" customWidth="1"/>
    <col min="10" max="10" width="13.46484375" customWidth="1"/>
  </cols>
  <sheetData>
    <row r="1" spans="1:10" s="8" customFormat="1" ht="30" customHeight="1" x14ac:dyDescent="0.45">
      <c r="A1" s="65" t="str">
        <f>ProjectLocation</f>
        <v>PORTLAND INTERNATIONAL AIRPORT</v>
      </c>
      <c r="B1" s="66"/>
      <c r="C1" s="66"/>
      <c r="D1" s="67"/>
      <c r="E1" s="74" t="s">
        <v>90</v>
      </c>
      <c r="F1" s="75"/>
      <c r="G1" s="74" t="s">
        <v>91</v>
      </c>
      <c r="H1" s="75"/>
      <c r="I1" s="79" t="s">
        <v>31</v>
      </c>
      <c r="J1" s="80"/>
    </row>
    <row r="2" spans="1:10" x14ac:dyDescent="0.45">
      <c r="A2" s="68" t="str">
        <f>ProjectTitle</f>
        <v>AIR CARGO ROAD MULTI-USE PATH CONNECTOR</v>
      </c>
      <c r="B2" s="69"/>
      <c r="C2" s="69"/>
      <c r="D2" s="70"/>
      <c r="E2" s="76"/>
      <c r="F2" s="77"/>
      <c r="G2" s="76"/>
      <c r="H2" s="77"/>
      <c r="I2" s="81"/>
      <c r="J2" s="82"/>
    </row>
    <row r="3" spans="1:10" x14ac:dyDescent="0.45">
      <c r="A3" s="68">
        <f>ProjectTitle2</f>
        <v>0</v>
      </c>
      <c r="B3" s="69"/>
      <c r="C3" s="69"/>
      <c r="D3" s="70"/>
      <c r="E3" s="76"/>
      <c r="F3" s="77"/>
      <c r="G3" s="76"/>
      <c r="H3" s="77"/>
      <c r="I3" s="81"/>
      <c r="J3" s="82"/>
    </row>
    <row r="4" spans="1:10" x14ac:dyDescent="0.45">
      <c r="A4" s="71" t="s">
        <v>54</v>
      </c>
      <c r="B4" s="72"/>
      <c r="C4" s="72"/>
      <c r="D4" s="73"/>
      <c r="E4" s="76"/>
      <c r="F4" s="77"/>
      <c r="G4" s="76"/>
      <c r="H4" s="77"/>
      <c r="I4" s="81"/>
      <c r="J4" s="82"/>
    </row>
    <row r="5" spans="1:10" x14ac:dyDescent="0.45">
      <c r="A5" s="71" t="s">
        <v>89</v>
      </c>
      <c r="B5" s="72"/>
      <c r="C5" s="72"/>
      <c r="D5" s="73"/>
      <c r="E5" s="76"/>
      <c r="F5" s="77"/>
      <c r="G5" s="76"/>
      <c r="H5" s="77"/>
      <c r="I5" s="81"/>
      <c r="J5" s="82"/>
    </row>
    <row r="6" spans="1:10" x14ac:dyDescent="0.45">
      <c r="A6" s="62">
        <f ca="1">TODAY()</f>
        <v>45051</v>
      </c>
      <c r="B6" s="63"/>
      <c r="C6" s="63"/>
      <c r="D6" s="64"/>
      <c r="E6" s="41"/>
      <c r="F6" s="42"/>
      <c r="G6" s="41"/>
      <c r="H6" s="42"/>
      <c r="I6" s="83"/>
      <c r="J6" s="84"/>
    </row>
    <row r="7" spans="1:10" ht="32.25" customHeight="1" x14ac:dyDescent="0.45">
      <c r="A7" s="9" t="s">
        <v>13</v>
      </c>
      <c r="B7" s="18" t="s">
        <v>14</v>
      </c>
      <c r="C7" s="37" t="s">
        <v>15</v>
      </c>
      <c r="D7" s="18" t="s">
        <v>16</v>
      </c>
      <c r="E7" s="43" t="s">
        <v>17</v>
      </c>
      <c r="F7" s="43" t="s">
        <v>18</v>
      </c>
      <c r="G7" s="43" t="s">
        <v>17</v>
      </c>
      <c r="H7" s="43" t="s">
        <v>18</v>
      </c>
      <c r="I7" s="85" t="s">
        <v>17</v>
      </c>
      <c r="J7" s="85" t="s">
        <v>18</v>
      </c>
    </row>
    <row r="8" spans="1:10" ht="33" customHeight="1" x14ac:dyDescent="0.45">
      <c r="A8" s="10" t="str">
        <f>'Bid Item List'!A20</f>
        <v>0001</v>
      </c>
      <c r="B8" s="19" t="str">
        <f>'Bid Item List'!B20</f>
        <v>Mobilization, Surveying, Cleanup, and Demobilization</v>
      </c>
      <c r="C8" s="38">
        <f>'Bid Item List'!C20</f>
        <v>1</v>
      </c>
      <c r="D8" s="20" t="str">
        <f>'Bid Item List'!D20</f>
        <v>LS</v>
      </c>
      <c r="E8" s="26">
        <v>90678.95</v>
      </c>
      <c r="F8" s="27">
        <f t="shared" ref="F8:F16" si="0">QTY*E8</f>
        <v>90678.95</v>
      </c>
      <c r="G8" s="26">
        <v>75498.25</v>
      </c>
      <c r="H8" s="27">
        <f t="shared" ref="H8:H16" si="1">QTY*G8</f>
        <v>75498.25</v>
      </c>
      <c r="I8" s="86">
        <f>'Bid Item List'!E20</f>
        <v>152000</v>
      </c>
      <c r="J8" s="87">
        <f t="shared" ref="J8:J16" si="2">QTY*I8</f>
        <v>152000</v>
      </c>
    </row>
    <row r="9" spans="1:10" ht="33" customHeight="1" x14ac:dyDescent="0.45">
      <c r="A9" s="10" t="str">
        <f>'Bid Item List'!A21</f>
        <v>0002</v>
      </c>
      <c r="B9" s="19" t="str">
        <f>'Bid Item List'!B21</f>
        <v>Project Traffic Control</v>
      </c>
      <c r="C9" s="38">
        <f>'Bid Item List'!C21</f>
        <v>1</v>
      </c>
      <c r="D9" s="20" t="str">
        <f>'Bid Item List'!D21</f>
        <v>LS</v>
      </c>
      <c r="E9" s="26">
        <v>57700</v>
      </c>
      <c r="F9" s="27">
        <f t="shared" si="0"/>
        <v>57700</v>
      </c>
      <c r="G9" s="26">
        <v>46000</v>
      </c>
      <c r="H9" s="27">
        <f t="shared" si="1"/>
        <v>46000</v>
      </c>
      <c r="I9" s="86">
        <f>'Bid Item List'!E21</f>
        <v>43000</v>
      </c>
      <c r="J9" s="87">
        <f t="shared" si="2"/>
        <v>43000</v>
      </c>
    </row>
    <row r="10" spans="1:10" ht="33" customHeight="1" x14ac:dyDescent="0.45">
      <c r="A10" s="10" t="str">
        <f>'Bid Item List'!A22</f>
        <v>0003</v>
      </c>
      <c r="B10" s="19" t="str">
        <f>'Bid Item List'!B22</f>
        <v>Inlet Protection</v>
      </c>
      <c r="C10" s="38">
        <f>'Bid Item List'!C22</f>
        <v>6</v>
      </c>
      <c r="D10" s="20" t="str">
        <f>'Bid Item List'!D22</f>
        <v>Each</v>
      </c>
      <c r="E10" s="26">
        <v>70</v>
      </c>
      <c r="F10" s="27">
        <f t="shared" si="0"/>
        <v>420</v>
      </c>
      <c r="G10" s="26">
        <v>72</v>
      </c>
      <c r="H10" s="27">
        <f t="shared" si="1"/>
        <v>432</v>
      </c>
      <c r="I10" s="86">
        <f>'Bid Item List'!E22</f>
        <v>100</v>
      </c>
      <c r="J10" s="87">
        <f t="shared" si="2"/>
        <v>600</v>
      </c>
    </row>
    <row r="11" spans="1:10" ht="33" customHeight="1" x14ac:dyDescent="0.45">
      <c r="A11" s="10" t="str">
        <f>'Bid Item List'!A23</f>
        <v>0004</v>
      </c>
      <c r="B11" s="19" t="str">
        <f>'Bid Item List'!B23</f>
        <v>Ditch Protection</v>
      </c>
      <c r="C11" s="38">
        <f>'Bid Item List'!C23</f>
        <v>9</v>
      </c>
      <c r="D11" s="20" t="str">
        <f>'Bid Item List'!D23</f>
        <v>Each</v>
      </c>
      <c r="E11" s="26">
        <v>168</v>
      </c>
      <c r="F11" s="27">
        <f t="shared" si="0"/>
        <v>1512</v>
      </c>
      <c r="G11" s="26">
        <v>75</v>
      </c>
      <c r="H11" s="27">
        <f t="shared" si="1"/>
        <v>675</v>
      </c>
      <c r="I11" s="86">
        <f>'Bid Item List'!E23</f>
        <v>200</v>
      </c>
      <c r="J11" s="87">
        <f t="shared" si="2"/>
        <v>1800</v>
      </c>
    </row>
    <row r="12" spans="1:10" ht="33" customHeight="1" x14ac:dyDescent="0.45">
      <c r="A12" s="10" t="str">
        <f>'Bid Item List'!A24</f>
        <v>0005</v>
      </c>
      <c r="B12" s="19" t="str">
        <f>'Bid Item List'!B24</f>
        <v>Clearing and Grubbing</v>
      </c>
      <c r="C12" s="38">
        <f>'Bid Item List'!C24</f>
        <v>1</v>
      </c>
      <c r="D12" s="20" t="str">
        <f>'Bid Item List'!D24</f>
        <v>LS</v>
      </c>
      <c r="E12" s="26">
        <v>11200</v>
      </c>
      <c r="F12" s="27">
        <f t="shared" si="0"/>
        <v>11200</v>
      </c>
      <c r="G12" s="26">
        <v>36000</v>
      </c>
      <c r="H12" s="27">
        <f t="shared" si="1"/>
        <v>36000</v>
      </c>
      <c r="I12" s="86">
        <f>'Bid Item List'!E24</f>
        <v>15000</v>
      </c>
      <c r="J12" s="87">
        <f t="shared" si="2"/>
        <v>15000</v>
      </c>
    </row>
    <row r="13" spans="1:10" ht="33" customHeight="1" x14ac:dyDescent="0.45">
      <c r="A13" s="10" t="str">
        <f>'Bid Item List'!A25</f>
        <v>0006</v>
      </c>
      <c r="B13" s="19" t="str">
        <f>'Bid Item List'!B25</f>
        <v>Pavement Removal</v>
      </c>
      <c r="C13" s="38">
        <f>'Bid Item List'!C25</f>
        <v>110</v>
      </c>
      <c r="D13" s="20" t="str">
        <f>'Bid Item List'!D25</f>
        <v>CY</v>
      </c>
      <c r="E13" s="26">
        <v>47.65</v>
      </c>
      <c r="F13" s="27">
        <f t="shared" si="0"/>
        <v>5241.5</v>
      </c>
      <c r="G13" s="26">
        <v>45</v>
      </c>
      <c r="H13" s="27">
        <f t="shared" si="1"/>
        <v>4950</v>
      </c>
      <c r="I13" s="86">
        <f>'Bid Item List'!E25</f>
        <v>60</v>
      </c>
      <c r="J13" s="87">
        <f t="shared" si="2"/>
        <v>6600</v>
      </c>
    </row>
    <row r="14" spans="1:10" ht="33" customHeight="1" x14ac:dyDescent="0.45">
      <c r="A14" s="10" t="str">
        <f>'Bid Item List'!A26</f>
        <v>0007</v>
      </c>
      <c r="B14" s="19" t="str">
        <f>'Bid Item List'!B26</f>
        <v>Asphalt Sawcut</v>
      </c>
      <c r="C14" s="38">
        <f>'Bid Item List'!C26</f>
        <v>1127</v>
      </c>
      <c r="D14" s="20" t="str">
        <f>'Bid Item List'!D26</f>
        <v>LF</v>
      </c>
      <c r="E14" s="26">
        <v>2.25</v>
      </c>
      <c r="F14" s="27">
        <f t="shared" si="0"/>
        <v>2535.75</v>
      </c>
      <c r="G14" s="26">
        <v>2.75</v>
      </c>
      <c r="H14" s="27">
        <f t="shared" si="1"/>
        <v>3099.25</v>
      </c>
      <c r="I14" s="86">
        <f>'Bid Item List'!E26</f>
        <v>5</v>
      </c>
      <c r="J14" s="87">
        <f t="shared" si="2"/>
        <v>5635</v>
      </c>
    </row>
    <row r="15" spans="1:10" ht="33" customHeight="1" x14ac:dyDescent="0.45">
      <c r="A15" s="10" t="str">
        <f>'Bid Item List'!A27</f>
        <v>0008</v>
      </c>
      <c r="B15" s="19" t="str">
        <f>'Bid Item List'!B27</f>
        <v>Curb Removal</v>
      </c>
      <c r="C15" s="38">
        <f>'Bid Item List'!C27</f>
        <v>85</v>
      </c>
      <c r="D15" s="20" t="str">
        <f>'Bid Item List'!D27</f>
        <v>LF</v>
      </c>
      <c r="E15" s="26">
        <v>7.15</v>
      </c>
      <c r="F15" s="27">
        <f t="shared" si="0"/>
        <v>607.75</v>
      </c>
      <c r="G15" s="26">
        <v>28</v>
      </c>
      <c r="H15" s="27">
        <f t="shared" si="1"/>
        <v>2380</v>
      </c>
      <c r="I15" s="86">
        <f>'Bid Item List'!E27</f>
        <v>20</v>
      </c>
      <c r="J15" s="87">
        <f t="shared" si="2"/>
        <v>1700</v>
      </c>
    </row>
    <row r="16" spans="1:10" ht="33" customHeight="1" x14ac:dyDescent="0.45">
      <c r="A16" s="10" t="str">
        <f>'Bid Item List'!A28</f>
        <v>0009</v>
      </c>
      <c r="B16" s="19" t="str">
        <f>'Bid Item List'!B28</f>
        <v>Asphalt Grinding Removal and Disposal</v>
      </c>
      <c r="C16" s="38">
        <f>'Bid Item List'!C28</f>
        <v>138</v>
      </c>
      <c r="D16" s="20" t="str">
        <f>'Bid Item List'!D28</f>
        <v>CY</v>
      </c>
      <c r="E16" s="26">
        <v>109</v>
      </c>
      <c r="F16" s="27">
        <f t="shared" si="0"/>
        <v>15042</v>
      </c>
      <c r="G16" s="26">
        <v>110</v>
      </c>
      <c r="H16" s="27">
        <f t="shared" si="1"/>
        <v>15180</v>
      </c>
      <c r="I16" s="86">
        <f>'Bid Item List'!E28</f>
        <v>60</v>
      </c>
      <c r="J16" s="87">
        <f t="shared" si="2"/>
        <v>8280</v>
      </c>
    </row>
    <row r="17" spans="1:10" ht="33" customHeight="1" x14ac:dyDescent="0.45">
      <c r="A17" s="10" t="str">
        <f>'Bid Item List'!A29</f>
        <v>0010</v>
      </c>
      <c r="B17" s="19" t="str">
        <f>'Bid Item List'!B29</f>
        <v>Common Excavation</v>
      </c>
      <c r="C17" s="38">
        <f>'Bid Item List'!C29</f>
        <v>2571</v>
      </c>
      <c r="D17" s="20" t="str">
        <f>'Bid Item List'!D29</f>
        <v>CY</v>
      </c>
      <c r="E17" s="26">
        <v>48.4</v>
      </c>
      <c r="F17" s="27">
        <f>QTY*E17</f>
        <v>124436.4</v>
      </c>
      <c r="G17" s="26">
        <v>59</v>
      </c>
      <c r="H17" s="27">
        <f t="shared" ref="H17:H39" si="3">QTY*G17</f>
        <v>151689</v>
      </c>
      <c r="I17" s="86">
        <f>'Bid Item List'!E29</f>
        <v>50</v>
      </c>
      <c r="J17" s="87">
        <f t="shared" ref="J17:J39" si="4">QTY*I17</f>
        <v>128550</v>
      </c>
    </row>
    <row r="18" spans="1:10" ht="33" customHeight="1" x14ac:dyDescent="0.45">
      <c r="A18" s="10" t="str">
        <f>'Bid Item List'!A30</f>
        <v>0011</v>
      </c>
      <c r="B18" s="19" t="str">
        <f>'Bid Item List'!B30</f>
        <v>Embankment</v>
      </c>
      <c r="C18" s="38">
        <f>'Bid Item List'!C30</f>
        <v>183</v>
      </c>
      <c r="D18" s="20" t="str">
        <f>'Bid Item List'!D30</f>
        <v>CY</v>
      </c>
      <c r="E18" s="26">
        <v>15.8</v>
      </c>
      <c r="F18" s="27">
        <f t="shared" ref="F17:F39" si="5">QTY*E18</f>
        <v>2891.4</v>
      </c>
      <c r="G18" s="26">
        <v>23</v>
      </c>
      <c r="H18" s="27">
        <f t="shared" si="3"/>
        <v>4209</v>
      </c>
      <c r="I18" s="86">
        <f>'Bid Item List'!E30</f>
        <v>120</v>
      </c>
      <c r="J18" s="87">
        <f t="shared" si="4"/>
        <v>21960</v>
      </c>
    </row>
    <row r="19" spans="1:10" ht="33" customHeight="1" x14ac:dyDescent="0.45">
      <c r="A19" s="10" t="str">
        <f>'Bid Item List'!A31</f>
        <v>0012</v>
      </c>
      <c r="B19" s="19" t="str">
        <f>'Bid Item List'!B31</f>
        <v>Unsuitable Excavation and Disposal</v>
      </c>
      <c r="C19" s="38">
        <f>'Bid Item List'!C31</f>
        <v>100</v>
      </c>
      <c r="D19" s="20" t="str">
        <f>'Bid Item List'!D31</f>
        <v>CY</v>
      </c>
      <c r="E19" s="26">
        <v>65</v>
      </c>
      <c r="F19" s="27">
        <f t="shared" si="5"/>
        <v>6500</v>
      </c>
      <c r="G19" s="26">
        <v>9.5</v>
      </c>
      <c r="H19" s="27">
        <f t="shared" si="3"/>
        <v>950</v>
      </c>
      <c r="I19" s="86">
        <f>'Bid Item List'!E31</f>
        <v>100</v>
      </c>
      <c r="J19" s="87">
        <f t="shared" si="4"/>
        <v>10000</v>
      </c>
    </row>
    <row r="20" spans="1:10" ht="33" customHeight="1" x14ac:dyDescent="0.45">
      <c r="A20" s="10" t="str">
        <f>'Bid Item List'!A32</f>
        <v>0013</v>
      </c>
      <c r="B20" s="19" t="str">
        <f>'Bid Item List'!B32</f>
        <v>Encasement Over Existing Waterlin</v>
      </c>
      <c r="C20" s="38">
        <f>'Bid Item List'!C32</f>
        <v>359</v>
      </c>
      <c r="D20" s="20" t="str">
        <f>'Bid Item List'!D32</f>
        <v>LF</v>
      </c>
      <c r="E20" s="26">
        <v>86.5</v>
      </c>
      <c r="F20" s="27">
        <f t="shared" si="5"/>
        <v>31053.5</v>
      </c>
      <c r="G20" s="26">
        <v>95</v>
      </c>
      <c r="H20" s="27">
        <f t="shared" si="3"/>
        <v>34105</v>
      </c>
      <c r="I20" s="86">
        <f>'Bid Item List'!E32</f>
        <v>150</v>
      </c>
      <c r="J20" s="87">
        <f t="shared" si="4"/>
        <v>53850</v>
      </c>
    </row>
    <row r="21" spans="1:10" ht="33" customHeight="1" x14ac:dyDescent="0.45">
      <c r="A21" s="10" t="str">
        <f>'Bid Item List'!A33</f>
        <v>0014</v>
      </c>
      <c r="B21" s="19" t="str">
        <f>'Bid Item List'!B33</f>
        <v>Remove and Reinstall 12-Inch Ductile Iron Pipe</v>
      </c>
      <c r="C21" s="38">
        <f>'Bid Item List'!C33</f>
        <v>38</v>
      </c>
      <c r="D21" s="20" t="str">
        <f>'Bid Item List'!D33</f>
        <v>LF</v>
      </c>
      <c r="E21" s="26">
        <v>113</v>
      </c>
      <c r="F21" s="27">
        <f t="shared" si="5"/>
        <v>4294</v>
      </c>
      <c r="G21" s="26">
        <v>88</v>
      </c>
      <c r="H21" s="27">
        <f t="shared" si="3"/>
        <v>3344</v>
      </c>
      <c r="I21" s="86">
        <f>'Bid Item List'!E33</f>
        <v>250</v>
      </c>
      <c r="J21" s="87">
        <f t="shared" si="4"/>
        <v>9500</v>
      </c>
    </row>
    <row r="22" spans="1:10" ht="33" customHeight="1" x14ac:dyDescent="0.45">
      <c r="A22" s="10" t="str">
        <f>'Bid Item List'!A34</f>
        <v>0015</v>
      </c>
      <c r="B22" s="19" t="str">
        <f>'Bid Item List'!B34</f>
        <v>Electrical Bedding Material</v>
      </c>
      <c r="C22" s="38">
        <f>'Bid Item List'!C34</f>
        <v>466</v>
      </c>
      <c r="D22" s="20" t="str">
        <f>'Bid Item List'!D34</f>
        <v>LF</v>
      </c>
      <c r="E22" s="26">
        <v>112</v>
      </c>
      <c r="F22" s="27">
        <f t="shared" si="5"/>
        <v>52192</v>
      </c>
      <c r="G22" s="26">
        <v>60</v>
      </c>
      <c r="H22" s="27">
        <f t="shared" si="3"/>
        <v>27960</v>
      </c>
      <c r="I22" s="86">
        <f>'Bid Item List'!E34</f>
        <v>25</v>
      </c>
      <c r="J22" s="87">
        <f t="shared" si="4"/>
        <v>11650</v>
      </c>
    </row>
    <row r="23" spans="1:10" ht="33" customHeight="1" x14ac:dyDescent="0.45">
      <c r="A23" s="10" t="str">
        <f>'Bid Item List'!A35</f>
        <v>0016</v>
      </c>
      <c r="B23" s="19" t="str">
        <f>'Bid Item List'!B35</f>
        <v>Trench Stabilization</v>
      </c>
      <c r="C23" s="38">
        <f>'Bid Item List'!C35</f>
        <v>100</v>
      </c>
      <c r="D23" s="20" t="str">
        <f>'Bid Item List'!D35</f>
        <v>CY</v>
      </c>
      <c r="E23" s="26">
        <v>206.6</v>
      </c>
      <c r="F23" s="27">
        <f t="shared" si="5"/>
        <v>20660</v>
      </c>
      <c r="G23" s="26">
        <v>60</v>
      </c>
      <c r="H23" s="27">
        <f t="shared" si="3"/>
        <v>6000</v>
      </c>
      <c r="I23" s="86">
        <f>'Bid Item List'!E35</f>
        <v>250</v>
      </c>
      <c r="J23" s="87">
        <f t="shared" si="4"/>
        <v>25000</v>
      </c>
    </row>
    <row r="24" spans="1:10" ht="33" customHeight="1" x14ac:dyDescent="0.45">
      <c r="A24" s="10" t="str">
        <f>'Bid Item List'!A36</f>
        <v>0017</v>
      </c>
      <c r="B24" s="19" t="str">
        <f>'Bid Item List'!B36</f>
        <v>12-Inch Ductile Iron Sewer Pipe</v>
      </c>
      <c r="C24" s="38">
        <f>'Bid Item List'!C36</f>
        <v>20</v>
      </c>
      <c r="D24" s="20" t="str">
        <f>'Bid Item List'!D36</f>
        <v>LF</v>
      </c>
      <c r="E24" s="26">
        <v>217.75</v>
      </c>
      <c r="F24" s="27">
        <f t="shared" si="5"/>
        <v>4355</v>
      </c>
      <c r="G24" s="26">
        <v>260</v>
      </c>
      <c r="H24" s="27">
        <f t="shared" si="3"/>
        <v>5200</v>
      </c>
      <c r="I24" s="86">
        <f>'Bid Item List'!E36</f>
        <v>300</v>
      </c>
      <c r="J24" s="87">
        <f t="shared" si="4"/>
        <v>6000</v>
      </c>
    </row>
    <row r="25" spans="1:10" ht="33" customHeight="1" x14ac:dyDescent="0.45">
      <c r="A25" s="10" t="str">
        <f>'Bid Item List'!A37</f>
        <v>0018</v>
      </c>
      <c r="B25" s="19" t="str">
        <f>'Bid Item List'!B37</f>
        <v>Connection to Existing Utility</v>
      </c>
      <c r="C25" s="38">
        <f>'Bid Item List'!C37</f>
        <v>2</v>
      </c>
      <c r="D25" s="20" t="str">
        <f>'Bid Item List'!D37</f>
        <v>Each</v>
      </c>
      <c r="E25" s="26">
        <v>2700</v>
      </c>
      <c r="F25" s="27">
        <f t="shared" si="5"/>
        <v>5400</v>
      </c>
      <c r="G25" s="26">
        <v>2300</v>
      </c>
      <c r="H25" s="27">
        <f t="shared" si="3"/>
        <v>4600</v>
      </c>
      <c r="I25" s="86">
        <f>'Bid Item List'!E37</f>
        <v>2500</v>
      </c>
      <c r="J25" s="87">
        <f t="shared" si="4"/>
        <v>5000</v>
      </c>
    </row>
    <row r="26" spans="1:10" ht="33" customHeight="1" x14ac:dyDescent="0.45">
      <c r="A26" s="10" t="str">
        <f>'Bid Item List'!A38</f>
        <v>0019</v>
      </c>
      <c r="B26" s="19" t="str">
        <f>'Bid Item List'!B38</f>
        <v>Catch Basin</v>
      </c>
      <c r="C26" s="38">
        <f>'Bid Item List'!C38</f>
        <v>2</v>
      </c>
      <c r="D26" s="20" t="str">
        <f>'Bid Item List'!D38</f>
        <v>Each</v>
      </c>
      <c r="E26" s="26">
        <v>5150</v>
      </c>
      <c r="F26" s="27">
        <f t="shared" si="5"/>
        <v>10300</v>
      </c>
      <c r="G26" s="26">
        <v>3500</v>
      </c>
      <c r="H26" s="27">
        <f t="shared" si="3"/>
        <v>7000</v>
      </c>
      <c r="I26" s="86">
        <f>'Bid Item List'!E38</f>
        <v>3000</v>
      </c>
      <c r="J26" s="87">
        <f t="shared" si="4"/>
        <v>6000</v>
      </c>
    </row>
    <row r="27" spans="1:10" ht="33" customHeight="1" x14ac:dyDescent="0.45">
      <c r="A27" s="10" t="str">
        <f>'Bid Item List'!A39</f>
        <v>0020</v>
      </c>
      <c r="B27" s="19" t="str">
        <f>'Bid Item List'!B39</f>
        <v>Standard 8-Inch Concrete Curb</v>
      </c>
      <c r="C27" s="38">
        <f>'Bid Item List'!C39</f>
        <v>798</v>
      </c>
      <c r="D27" s="20" t="str">
        <f>'Bid Item List'!D39</f>
        <v>LF</v>
      </c>
      <c r="E27" s="26">
        <v>35</v>
      </c>
      <c r="F27" s="27">
        <f t="shared" si="5"/>
        <v>27930</v>
      </c>
      <c r="G27" s="26">
        <v>52</v>
      </c>
      <c r="H27" s="27">
        <f t="shared" si="3"/>
        <v>41496</v>
      </c>
      <c r="I27" s="86">
        <f>'Bid Item List'!E39</f>
        <v>80</v>
      </c>
      <c r="J27" s="87">
        <f t="shared" si="4"/>
        <v>63840</v>
      </c>
    </row>
    <row r="28" spans="1:10" ht="33" customHeight="1" x14ac:dyDescent="0.45">
      <c r="A28" s="10" t="str">
        <f>'Bid Item List'!A40</f>
        <v>0021</v>
      </c>
      <c r="B28" s="19" t="str">
        <f>'Bid Item List'!B40</f>
        <v>Monolithic Curb and Sidewalk</v>
      </c>
      <c r="C28" s="38">
        <f>'Bid Item List'!C40</f>
        <v>360</v>
      </c>
      <c r="D28" s="20" t="str">
        <f>'Bid Item List'!D40</f>
        <v>SF</v>
      </c>
      <c r="E28" s="26">
        <v>61.6</v>
      </c>
      <c r="F28" s="27">
        <f t="shared" si="5"/>
        <v>22176</v>
      </c>
      <c r="G28" s="26">
        <v>51</v>
      </c>
      <c r="H28" s="27">
        <f t="shared" si="3"/>
        <v>18360</v>
      </c>
      <c r="I28" s="86">
        <f>'Bid Item List'!E40</f>
        <v>25</v>
      </c>
      <c r="J28" s="87">
        <f t="shared" si="4"/>
        <v>9000</v>
      </c>
    </row>
    <row r="29" spans="1:10" ht="33" customHeight="1" x14ac:dyDescent="0.45">
      <c r="A29" s="10" t="str">
        <f>'Bid Item List'!A41</f>
        <v>0022</v>
      </c>
      <c r="B29" s="19" t="str">
        <f>'Bid Item List'!B41</f>
        <v>Geotextile</v>
      </c>
      <c r="C29" s="38">
        <f>'Bid Item List'!C41</f>
        <v>2327</v>
      </c>
      <c r="D29" s="20" t="str">
        <f>'Bid Item List'!D41</f>
        <v>SY</v>
      </c>
      <c r="E29" s="26">
        <v>1.2</v>
      </c>
      <c r="F29" s="27">
        <f t="shared" si="5"/>
        <v>2792.4</v>
      </c>
      <c r="G29" s="26">
        <v>2</v>
      </c>
      <c r="H29" s="27">
        <f t="shared" si="3"/>
        <v>4654</v>
      </c>
      <c r="I29" s="86">
        <f>'Bid Item List'!E41</f>
        <v>3</v>
      </c>
      <c r="J29" s="87">
        <f t="shared" si="4"/>
        <v>6981</v>
      </c>
    </row>
    <row r="30" spans="1:10" ht="33" customHeight="1" x14ac:dyDescent="0.45">
      <c r="A30" s="10" t="str">
        <f>'Bid Item List'!A42</f>
        <v>0023</v>
      </c>
      <c r="B30" s="19" t="str">
        <f>'Bid Item List'!B42</f>
        <v>Aggregate Base Course</v>
      </c>
      <c r="C30" s="38">
        <f>'Bid Item List'!C42</f>
        <v>391</v>
      </c>
      <c r="D30" s="20" t="str">
        <f>'Bid Item List'!D42</f>
        <v>CY</v>
      </c>
      <c r="E30" s="26">
        <v>91.4</v>
      </c>
      <c r="F30" s="27">
        <f t="shared" si="5"/>
        <v>35737.4</v>
      </c>
      <c r="G30" s="26">
        <v>97</v>
      </c>
      <c r="H30" s="27">
        <f t="shared" si="3"/>
        <v>37927</v>
      </c>
      <c r="I30" s="86">
        <f>'Bid Item List'!E42</f>
        <v>80</v>
      </c>
      <c r="J30" s="87">
        <f t="shared" si="4"/>
        <v>31280</v>
      </c>
    </row>
    <row r="31" spans="1:10" ht="33" customHeight="1" x14ac:dyDescent="0.45">
      <c r="A31" s="10" t="str">
        <f>'Bid Item List'!A43</f>
        <v>0024</v>
      </c>
      <c r="B31" s="19" t="str">
        <f>'Bid Item List'!B43</f>
        <v>Pavement Marking</v>
      </c>
      <c r="C31" s="38">
        <f>'Bid Item List'!C43</f>
        <v>925</v>
      </c>
      <c r="D31" s="20" t="str">
        <f>'Bid Item List'!D43</f>
        <v>SF</v>
      </c>
      <c r="E31" s="26">
        <v>3.7</v>
      </c>
      <c r="F31" s="27">
        <f t="shared" si="5"/>
        <v>3422.5</v>
      </c>
      <c r="G31" s="26">
        <v>7.7</v>
      </c>
      <c r="H31" s="27">
        <f t="shared" si="3"/>
        <v>7122.5</v>
      </c>
      <c r="I31" s="86">
        <f>'Bid Item List'!E43</f>
        <v>5</v>
      </c>
      <c r="J31" s="87">
        <f t="shared" si="4"/>
        <v>4625</v>
      </c>
    </row>
    <row r="32" spans="1:10" ht="33" customHeight="1" x14ac:dyDescent="0.45">
      <c r="A32" s="10" t="str">
        <f>'Bid Item List'!A44</f>
        <v>0025</v>
      </c>
      <c r="B32" s="19" t="str">
        <f>'Bid Item List'!B44</f>
        <v>Blackout and Temporary Pavement Marking</v>
      </c>
      <c r="C32" s="38">
        <f>'Bid Item List'!C44</f>
        <v>1983</v>
      </c>
      <c r="D32" s="20" t="str">
        <f>'Bid Item List'!D44</f>
        <v>SF</v>
      </c>
      <c r="E32" s="26">
        <v>3.55</v>
      </c>
      <c r="F32" s="27">
        <f t="shared" si="5"/>
        <v>7039.65</v>
      </c>
      <c r="G32" s="26">
        <v>16.5</v>
      </c>
      <c r="H32" s="27">
        <f t="shared" si="3"/>
        <v>32719.5</v>
      </c>
      <c r="I32" s="86">
        <f>'Bid Item List'!E44</f>
        <v>5</v>
      </c>
      <c r="J32" s="87">
        <f t="shared" si="4"/>
        <v>9915</v>
      </c>
    </row>
    <row r="33" spans="1:10" ht="33" customHeight="1" x14ac:dyDescent="0.45">
      <c r="A33" s="10" t="str">
        <f>'Bid Item List'!A45</f>
        <v>0026</v>
      </c>
      <c r="B33" s="19" t="str">
        <f>'Bid Item List'!B45</f>
        <v>Signage</v>
      </c>
      <c r="C33" s="38">
        <f>'Bid Item List'!C45</f>
        <v>1</v>
      </c>
      <c r="D33" s="20" t="str">
        <f>'Bid Item List'!D45</f>
        <v>LS</v>
      </c>
      <c r="E33" s="26">
        <v>30500</v>
      </c>
      <c r="F33" s="27">
        <f t="shared" si="5"/>
        <v>30500</v>
      </c>
      <c r="G33" s="26">
        <v>19000</v>
      </c>
      <c r="H33" s="27">
        <f t="shared" si="3"/>
        <v>19000</v>
      </c>
      <c r="I33" s="86">
        <f>'Bid Item List'!E45</f>
        <v>7500</v>
      </c>
      <c r="J33" s="87">
        <f t="shared" si="4"/>
        <v>7500</v>
      </c>
    </row>
    <row r="34" spans="1:10" ht="33" customHeight="1" x14ac:dyDescent="0.45">
      <c r="A34" s="10" t="str">
        <f>'Bid Item List'!A46</f>
        <v>0027</v>
      </c>
      <c r="B34" s="19" t="str">
        <f>'Bid Item List'!B46</f>
        <v>Fence Fabric Removal</v>
      </c>
      <c r="C34" s="38">
        <f>'Bid Item List'!C46</f>
        <v>1024</v>
      </c>
      <c r="D34" s="20" t="str">
        <f>'Bid Item List'!D46</f>
        <v>LF</v>
      </c>
      <c r="E34" s="26">
        <v>12</v>
      </c>
      <c r="F34" s="27">
        <f t="shared" si="5"/>
        <v>12288</v>
      </c>
      <c r="G34" s="26">
        <v>10.5</v>
      </c>
      <c r="H34" s="27">
        <f t="shared" si="3"/>
        <v>10752</v>
      </c>
      <c r="I34" s="86">
        <f>'Bid Item List'!E46</f>
        <v>10</v>
      </c>
      <c r="J34" s="87">
        <f t="shared" si="4"/>
        <v>10240</v>
      </c>
    </row>
    <row r="35" spans="1:10" ht="33" customHeight="1" x14ac:dyDescent="0.45">
      <c r="A35" s="10" t="str">
        <f>'Bid Item List'!A47</f>
        <v>0028</v>
      </c>
      <c r="B35" s="19" t="str">
        <f>'Bid Item List'!B47</f>
        <v>6-Foot Chain-Link Slatted Fence Fabric</v>
      </c>
      <c r="C35" s="38">
        <f>'Bid Item List'!C47</f>
        <v>1024</v>
      </c>
      <c r="D35" s="20" t="str">
        <f>'Bid Item List'!D47</f>
        <v>LF</v>
      </c>
      <c r="E35" s="26">
        <v>24.2</v>
      </c>
      <c r="F35" s="27">
        <f t="shared" si="5"/>
        <v>24780.799999999999</v>
      </c>
      <c r="G35" s="26">
        <v>21</v>
      </c>
      <c r="H35" s="27">
        <f t="shared" si="3"/>
        <v>21504</v>
      </c>
      <c r="I35" s="86">
        <f>'Bid Item List'!E47</f>
        <v>30</v>
      </c>
      <c r="J35" s="87">
        <f t="shared" si="4"/>
        <v>30720</v>
      </c>
    </row>
    <row r="36" spans="1:10" ht="33" customHeight="1" x14ac:dyDescent="0.45">
      <c r="A36" s="10" t="str">
        <f>'Bid Item List'!A48</f>
        <v>0029</v>
      </c>
      <c r="B36" s="19" t="str">
        <f>'Bid Item List'!B48</f>
        <v>Area Seeding</v>
      </c>
      <c r="C36" s="78">
        <f>'Bid Item List'!C48</f>
        <v>1.08</v>
      </c>
      <c r="D36" s="20" t="str">
        <f>'Bid Item List'!D48</f>
        <v>Acre</v>
      </c>
      <c r="E36" s="26">
        <v>5400</v>
      </c>
      <c r="F36" s="27">
        <f t="shared" si="5"/>
        <v>5832</v>
      </c>
      <c r="G36" s="26">
        <v>3500</v>
      </c>
      <c r="H36" s="27">
        <f t="shared" si="3"/>
        <v>3780.0000000000005</v>
      </c>
      <c r="I36" s="86">
        <f>'Bid Item List'!E48</f>
        <v>10000</v>
      </c>
      <c r="J36" s="87">
        <f t="shared" si="4"/>
        <v>10800</v>
      </c>
    </row>
    <row r="37" spans="1:10" ht="33" customHeight="1" x14ac:dyDescent="0.45">
      <c r="A37" s="10" t="str">
        <f>'Bid Item List'!A49</f>
        <v>0030</v>
      </c>
      <c r="B37" s="19" t="str">
        <f>'Bid Item List'!B49</f>
        <v>Electrical</v>
      </c>
      <c r="C37" s="38">
        <f>'Bid Item List'!C49</f>
        <v>1</v>
      </c>
      <c r="D37" s="20" t="str">
        <f>'Bid Item List'!D49</f>
        <v>LS</v>
      </c>
      <c r="E37" s="26">
        <v>69325</v>
      </c>
      <c r="F37" s="27">
        <f t="shared" si="5"/>
        <v>69325</v>
      </c>
      <c r="G37" s="26">
        <v>44000</v>
      </c>
      <c r="H37" s="27">
        <f t="shared" si="3"/>
        <v>44000</v>
      </c>
      <c r="I37" s="86">
        <f>'Bid Item List'!E49</f>
        <v>55000</v>
      </c>
      <c r="J37" s="87">
        <f t="shared" si="4"/>
        <v>55000</v>
      </c>
    </row>
    <row r="38" spans="1:10" ht="33" customHeight="1" x14ac:dyDescent="0.45">
      <c r="A38" s="10" t="str">
        <f>'Bid Item List'!A50</f>
        <v>0031</v>
      </c>
      <c r="B38" s="19" t="str">
        <f>'Bid Item List'!B50</f>
        <v>Level 3, 3/4-Inch Dense HMAC</v>
      </c>
      <c r="C38" s="38">
        <f>'Bid Item List'!C50</f>
        <v>540</v>
      </c>
      <c r="D38" s="20" t="str">
        <f>'Bid Item List'!D50</f>
        <v>Ton</v>
      </c>
      <c r="E38" s="26">
        <v>158</v>
      </c>
      <c r="F38" s="27">
        <f t="shared" si="5"/>
        <v>85320</v>
      </c>
      <c r="G38" s="26">
        <v>180</v>
      </c>
      <c r="H38" s="27">
        <f t="shared" si="3"/>
        <v>97200</v>
      </c>
      <c r="I38" s="86">
        <f>'Bid Item List'!E50</f>
        <v>200</v>
      </c>
      <c r="J38" s="87">
        <f t="shared" si="4"/>
        <v>108000</v>
      </c>
    </row>
    <row r="39" spans="1:10" ht="33" customHeight="1" x14ac:dyDescent="0.45">
      <c r="A39" s="10" t="str">
        <f>'Bid Item List'!A51</f>
        <v>0032</v>
      </c>
      <c r="B39" s="19" t="str">
        <f>'Bid Item List'!B51</f>
        <v>Bollards</v>
      </c>
      <c r="C39" s="38">
        <f>'Bid Item List'!C51</f>
        <v>8</v>
      </c>
      <c r="D39" s="20" t="str">
        <f>'Bid Item List'!D51</f>
        <v>Each</v>
      </c>
      <c r="E39" s="26">
        <v>1335</v>
      </c>
      <c r="F39" s="27">
        <f t="shared" si="5"/>
        <v>10680</v>
      </c>
      <c r="G39" s="26">
        <v>2500</v>
      </c>
      <c r="H39" s="27">
        <f t="shared" si="3"/>
        <v>20000</v>
      </c>
      <c r="I39" s="86">
        <f>'Bid Item List'!E51</f>
        <v>1000</v>
      </c>
      <c r="J39" s="87">
        <f t="shared" si="4"/>
        <v>8000</v>
      </c>
    </row>
    <row r="40" spans="1:10" ht="27.75" customHeight="1" x14ac:dyDescent="0.45">
      <c r="A40" s="11"/>
      <c r="B40" s="21" t="s">
        <v>29</v>
      </c>
      <c r="C40" s="39"/>
      <c r="D40" s="22"/>
      <c r="E40" s="28"/>
      <c r="F40" s="28">
        <f>SUM($F8:$F39)</f>
        <v>784844.00000000012</v>
      </c>
      <c r="G40" s="28"/>
      <c r="H40" s="28">
        <f>SUM($H8:$H39)</f>
        <v>787786.5</v>
      </c>
      <c r="I40" s="88"/>
      <c r="J40" s="88">
        <f>SUM($J8:$J39)</f>
        <v>868026</v>
      </c>
    </row>
  </sheetData>
  <mergeCells count="9">
    <mergeCell ref="A6:D6"/>
    <mergeCell ref="E1:F5"/>
    <mergeCell ref="G1:H5"/>
    <mergeCell ref="A1:D1"/>
    <mergeCell ref="A2:D2"/>
    <mergeCell ref="A3:D3"/>
    <mergeCell ref="A4:D4"/>
    <mergeCell ref="A5:D5"/>
    <mergeCell ref="I1:J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1"/>
  <sheetViews>
    <sheetView tabSelected="1" view="pageBreakPreview" zoomScaleNormal="75" zoomScaleSheetLayoutView="100" workbookViewId="0">
      <selection activeCell="B10" sqref="B10"/>
    </sheetView>
  </sheetViews>
  <sheetFormatPr defaultRowHeight="14.25" x14ac:dyDescent="0.45"/>
  <cols>
    <col min="1" max="1" width="53.796875" style="12" customWidth="1"/>
    <col min="2" max="2" width="27" style="48" customWidth="1"/>
  </cols>
  <sheetData>
    <row r="1" spans="1:2" ht="30" customHeight="1" x14ac:dyDescent="0.45">
      <c r="A1" s="24" t="str">
        <f>ProjectLocation</f>
        <v>PORTLAND INTERNATIONAL AIRPORT</v>
      </c>
      <c r="B1" s="44"/>
    </row>
    <row r="2" spans="1:2" ht="15" customHeight="1" x14ac:dyDescent="0.45">
      <c r="A2" s="25" t="str">
        <f>ProjectTitle</f>
        <v>AIR CARGO ROAD MULTI-USE PATH CONNECTOR</v>
      </c>
      <c r="B2" s="45"/>
    </row>
    <row r="3" spans="1:2" ht="15" customHeight="1" x14ac:dyDescent="0.45">
      <c r="A3" s="25">
        <f>ProjectTitle2</f>
        <v>0</v>
      </c>
      <c r="B3" s="45"/>
    </row>
    <row r="4" spans="1:2" x14ac:dyDescent="0.45">
      <c r="A4" s="13" t="str">
        <f>EAN</f>
        <v>EAN 2020D009</v>
      </c>
      <c r="B4" s="45"/>
    </row>
    <row r="5" spans="1:2" ht="15" customHeight="1" x14ac:dyDescent="0.45">
      <c r="A5" s="14" t="str">
        <f>SolicitationNo</f>
        <v>Solicitation No. 2023-10179</v>
      </c>
      <c r="B5" s="45"/>
    </row>
    <row r="6" spans="1:2" ht="15" customHeight="1" x14ac:dyDescent="0.45">
      <c r="A6" s="15">
        <f ca="1">TODAY()</f>
        <v>45051</v>
      </c>
      <c r="B6" s="46"/>
    </row>
    <row r="7" spans="1:2" ht="33" customHeight="1" x14ac:dyDescent="0.45">
      <c r="A7" s="16" t="s">
        <v>30</v>
      </c>
      <c r="B7" s="47" t="s">
        <v>18</v>
      </c>
    </row>
    <row r="8" spans="1:2" ht="33" customHeight="1" x14ac:dyDescent="0.45">
      <c r="A8" s="17" t="str">
        <f>Contractor1</f>
        <v>Dirt and Aggregate Interchange, Inc.</v>
      </c>
      <c r="B8" s="49">
        <f>Total1</f>
        <v>784844.00000000012</v>
      </c>
    </row>
    <row r="9" spans="1:2" ht="33" customHeight="1" x14ac:dyDescent="0.45">
      <c r="A9" s="17" t="str">
        <f>Contractor2</f>
        <v>Kodiak Pacific Construction</v>
      </c>
      <c r="B9" s="49" t="s">
        <v>92</v>
      </c>
    </row>
    <row r="10" spans="1:2" ht="33" customHeight="1" x14ac:dyDescent="0.45">
      <c r="A10" s="89" t="str">
        <f>EngineerEstimate</f>
        <v>Engineer's Estimate</v>
      </c>
      <c r="B10" s="90">
        <f>TotalEE</f>
        <v>868026</v>
      </c>
    </row>
    <row r="11" spans="1:2" x14ac:dyDescent="0.45">
      <c r="A11" s="50" t="s">
        <v>93</v>
      </c>
    </row>
  </sheetData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FDAB56-7700-4279-9F19-BAEBD4AA59CF}"/>
</file>

<file path=customXml/itemProps2.xml><?xml version="1.0" encoding="utf-8"?>
<ds:datastoreItem xmlns:ds="http://schemas.openxmlformats.org/officeDocument/2006/customXml" ds:itemID="{D1225653-50B1-4D1B-8739-62D7914A2865}"/>
</file>

<file path=customXml/itemProps3.xml><?xml version="1.0" encoding="utf-8"?>
<ds:datastoreItem xmlns:ds="http://schemas.openxmlformats.org/officeDocument/2006/customXml" ds:itemID="{41EAF416-8D21-47F6-893E-6EE4B38BD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Bid Item List</vt:lpstr>
      <vt:lpstr>Bid Tabulation</vt:lpstr>
      <vt:lpstr>Summary</vt:lpstr>
      <vt:lpstr>Contractor1</vt:lpstr>
      <vt:lpstr>Contractor2</vt:lpstr>
      <vt:lpstr>EAN</vt:lpstr>
      <vt:lpstr>EngineerEstimate</vt:lpstr>
      <vt:lpstr>'Bid Item List'!Print_Area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Etta Strey</cp:lastModifiedBy>
  <cp:lastPrinted>2023-05-05T19:02:28Z</cp:lastPrinted>
  <dcterms:created xsi:type="dcterms:W3CDTF">2014-05-02T22:08:37Z</dcterms:created>
  <dcterms:modified xsi:type="dcterms:W3CDTF">2023-05-05T21:18:37Z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