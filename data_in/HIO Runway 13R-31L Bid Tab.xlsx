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HIO\19D\031\"/>
    </mc:Choice>
  </mc:AlternateContent>
  <xr:revisionPtr revIDLastSave="31" documentId="13_ncr:1_{21B5B635-517B-4154-A4AE-6BEBB3AC8E7D}" xr6:coauthVersionLast="47" xr6:coauthVersionMax="47" xr10:uidLastSave="{571B2E38-A06A-461C-94C6-8D46A8AEA527}"/>
  <bookViews>
    <workbookView xWindow="-120" yWindow="-120" windowWidth="25440" windowHeight="15540" tabRatio="716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Tabulation'!#REF!</definedName>
    <definedName name="Contractor2">'Bid Tabulation'!$E$1</definedName>
    <definedName name="Contractor3">'Bid Tabulation'!$G$1</definedName>
    <definedName name="Contractor3A">'Bid Tabulation'!#REF!</definedName>
    <definedName name="Contractor4">'Bid Tabulation'!$I$1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Tabulation'!$K$1</definedName>
    <definedName name="_xlnm.Print_Area" localSheetId="0">'Bid Item List'!$A$14:$F$105</definedName>
    <definedName name="_xlnm.Print_Area" localSheetId="2">Summary!$A$1:$B$11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Tabulation'!#REF!</definedName>
    <definedName name="Total2">'Bid Tabulation'!$F$93</definedName>
    <definedName name="Total3">'Bid Tabulation'!$H$93</definedName>
    <definedName name="Total3A">'Bid Tabulation'!#REF!</definedName>
    <definedName name="Total4">'Bid Tabulation'!$J$93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Tabulation'!$L$93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A33" i="2"/>
  <c r="B33" i="2"/>
  <c r="C33" i="2"/>
  <c r="D33" i="2"/>
  <c r="A30" i="2"/>
  <c r="B30" i="2"/>
  <c r="C30" i="2"/>
  <c r="D30" i="2"/>
  <c r="A31" i="2"/>
  <c r="B31" i="2"/>
  <c r="C31" i="2"/>
  <c r="D31" i="2"/>
  <c r="A32" i="2"/>
  <c r="B32" i="2"/>
  <c r="C32" i="2"/>
  <c r="D32" i="2"/>
  <c r="B29" i="2"/>
  <c r="C29" i="2"/>
  <c r="D29" i="2"/>
  <c r="A74" i="2" l="1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L72" i="2" s="1"/>
  <c r="D72" i="2"/>
  <c r="A73" i="2"/>
  <c r="B73" i="2"/>
  <c r="C73" i="2"/>
  <c r="L73" i="2" s="1"/>
  <c r="D73" i="2"/>
  <c r="K22" i="2"/>
  <c r="L23" i="2" l="1"/>
  <c r="F72" i="2"/>
  <c r="H72" i="2" l="1"/>
  <c r="J72" i="2"/>
  <c r="D8" i="2" l="1"/>
  <c r="C8" i="2"/>
  <c r="B8" i="2"/>
  <c r="A8" i="2"/>
  <c r="F17" i="2" l="1"/>
  <c r="J18" i="2"/>
  <c r="J19" i="2"/>
  <c r="J20" i="2"/>
  <c r="J21" i="2"/>
  <c r="J22" i="2"/>
  <c r="F24" i="2"/>
  <c r="J25" i="2"/>
  <c r="J26" i="2"/>
  <c r="J27" i="2"/>
  <c r="F31" i="2"/>
  <c r="F32" i="2"/>
  <c r="J34" i="2"/>
  <c r="H35" i="2"/>
  <c r="F36" i="2"/>
  <c r="F39" i="2"/>
  <c r="F40" i="2"/>
  <c r="J42" i="2"/>
  <c r="H43" i="2"/>
  <c r="F44" i="2"/>
  <c r="J45" i="2"/>
  <c r="J46" i="2"/>
  <c r="H47" i="2"/>
  <c r="F48" i="2"/>
  <c r="J49" i="2"/>
  <c r="J50" i="2"/>
  <c r="J53" i="2"/>
  <c r="J54" i="2"/>
  <c r="F55" i="2"/>
  <c r="J57" i="2"/>
  <c r="J58" i="2"/>
  <c r="H59" i="2"/>
  <c r="J61" i="2"/>
  <c r="J62" i="2"/>
  <c r="J65" i="2"/>
  <c r="J66" i="2"/>
  <c r="J69" i="2"/>
  <c r="J71" i="2"/>
  <c r="J74" i="2"/>
  <c r="J75" i="2"/>
  <c r="F76" i="2"/>
  <c r="H77" i="2"/>
  <c r="F83" i="2"/>
  <c r="F86" i="2"/>
  <c r="J87" i="2"/>
  <c r="J88" i="2"/>
  <c r="H89" i="2"/>
  <c r="F90" i="2"/>
  <c r="H25" i="2" l="1"/>
  <c r="L20" i="2"/>
  <c r="L17" i="2"/>
  <c r="J36" i="2"/>
  <c r="J17" i="2"/>
  <c r="L75" i="2"/>
  <c r="H62" i="2"/>
  <c r="L41" i="2"/>
  <c r="L37" i="2"/>
  <c r="H75" i="2"/>
  <c r="J41" i="2"/>
  <c r="L25" i="2"/>
  <c r="F25" i="2"/>
  <c r="H21" i="2"/>
  <c r="H16" i="2"/>
  <c r="H85" i="2"/>
  <c r="J23" i="2"/>
  <c r="J31" i="2"/>
  <c r="L21" i="2"/>
  <c r="F21" i="2"/>
  <c r="H20" i="2"/>
  <c r="J39" i="2"/>
  <c r="H17" i="2"/>
  <c r="L54" i="2"/>
  <c r="H31" i="2"/>
  <c r="H66" i="2"/>
  <c r="J63" i="2"/>
  <c r="L39" i="2"/>
  <c r="J33" i="2"/>
  <c r="J85" i="2"/>
  <c r="L84" i="2"/>
  <c r="H83" i="2"/>
  <c r="L62" i="2"/>
  <c r="H55" i="2"/>
  <c r="L32" i="2"/>
  <c r="H29" i="2"/>
  <c r="J16" i="2"/>
  <c r="F85" i="2"/>
  <c r="J84" i="2"/>
  <c r="L66" i="2"/>
  <c r="H39" i="2"/>
  <c r="H23" i="2"/>
  <c r="F16" i="2"/>
  <c r="L85" i="2"/>
  <c r="H63" i="2"/>
  <c r="L44" i="2"/>
  <c r="L36" i="2"/>
  <c r="H33" i="2"/>
  <c r="F23" i="2"/>
  <c r="L16" i="2"/>
  <c r="L76" i="2"/>
  <c r="H88" i="2"/>
  <c r="J76" i="2"/>
  <c r="H74" i="2"/>
  <c r="F65" i="2"/>
  <c r="F63" i="2"/>
  <c r="H60" i="2"/>
  <c r="F57" i="2"/>
  <c r="L48" i="2"/>
  <c r="L40" i="2"/>
  <c r="J37" i="2"/>
  <c r="H36" i="2"/>
  <c r="H26" i="2"/>
  <c r="F20" i="2"/>
  <c r="F74" i="2"/>
  <c r="F66" i="2"/>
  <c r="L63" i="2"/>
  <c r="H58" i="2"/>
  <c r="H54" i="2"/>
  <c r="F53" i="2"/>
  <c r="J48" i="2"/>
  <c r="J44" i="2"/>
  <c r="H37" i="2"/>
  <c r="J32" i="2"/>
  <c r="J29" i="2"/>
  <c r="J24" i="2"/>
  <c r="H57" i="2"/>
  <c r="F91" i="2"/>
  <c r="H90" i="2"/>
  <c r="L83" i="2"/>
  <c r="H79" i="2"/>
  <c r="H76" i="2"/>
  <c r="H70" i="2"/>
  <c r="H68" i="2"/>
  <c r="L55" i="2"/>
  <c r="H51" i="2"/>
  <c r="H44" i="2"/>
  <c r="H41" i="2"/>
  <c r="J40" i="2"/>
  <c r="H34" i="2"/>
  <c r="F33" i="2"/>
  <c r="L31" i="2"/>
  <c r="L28" i="2"/>
  <c r="H19" i="2"/>
  <c r="L90" i="2"/>
  <c r="J83" i="2"/>
  <c r="H65" i="2"/>
  <c r="J55" i="2"/>
  <c r="L50" i="2"/>
  <c r="H46" i="2"/>
  <c r="H42" i="2"/>
  <c r="F41" i="2"/>
  <c r="L33" i="2"/>
  <c r="F19" i="2"/>
  <c r="J91" i="2"/>
  <c r="J79" i="2"/>
  <c r="F75" i="2"/>
  <c r="J70" i="2"/>
  <c r="L58" i="2"/>
  <c r="F58" i="2"/>
  <c r="J51" i="2"/>
  <c r="H48" i="2"/>
  <c r="H24" i="2"/>
  <c r="F67" i="2"/>
  <c r="J67" i="2"/>
  <c r="L67" i="2"/>
  <c r="F80" i="2"/>
  <c r="H80" i="2"/>
  <c r="L80" i="2"/>
  <c r="F71" i="2"/>
  <c r="H71" i="2"/>
  <c r="H67" i="2"/>
  <c r="J52" i="2"/>
  <c r="L52" i="2"/>
  <c r="H52" i="2"/>
  <c r="H45" i="2"/>
  <c r="F45" i="2"/>
  <c r="H87" i="2"/>
  <c r="F87" i="2"/>
  <c r="J80" i="2"/>
  <c r="L71" i="2"/>
  <c r="H49" i="2"/>
  <c r="F49" i="2"/>
  <c r="F43" i="2"/>
  <c r="J43" i="2"/>
  <c r="L43" i="2"/>
  <c r="J38" i="2"/>
  <c r="H38" i="2"/>
  <c r="F28" i="2"/>
  <c r="H28" i="2"/>
  <c r="J92" i="2"/>
  <c r="H92" i="2"/>
  <c r="F89" i="2"/>
  <c r="J89" i="2"/>
  <c r="L89" i="2"/>
  <c r="F59" i="2"/>
  <c r="J59" i="2"/>
  <c r="L59" i="2"/>
  <c r="F47" i="2"/>
  <c r="J47" i="2"/>
  <c r="L47" i="2"/>
  <c r="F35" i="2"/>
  <c r="J35" i="2"/>
  <c r="L35" i="2"/>
  <c r="J30" i="2"/>
  <c r="H30" i="2"/>
  <c r="H27" i="2"/>
  <c r="L27" i="2"/>
  <c r="F27" i="2"/>
  <c r="H86" i="2"/>
  <c r="F79" i="2"/>
  <c r="F70" i="2"/>
  <c r="H69" i="2"/>
  <c r="F62" i="2"/>
  <c r="H61" i="2"/>
  <c r="F54" i="2"/>
  <c r="F51" i="2"/>
  <c r="H40" i="2"/>
  <c r="H32" i="2"/>
  <c r="F29" i="2"/>
  <c r="L24" i="2"/>
  <c r="H91" i="2"/>
  <c r="L86" i="2"/>
  <c r="L79" i="2"/>
  <c r="H73" i="2"/>
  <c r="L70" i="2"/>
  <c r="F69" i="2"/>
  <c r="H64" i="2"/>
  <c r="F61" i="2"/>
  <c r="H56" i="2"/>
  <c r="H53" i="2"/>
  <c r="L51" i="2"/>
  <c r="H50" i="2"/>
  <c r="L29" i="2"/>
  <c r="H22" i="2"/>
  <c r="H18" i="2"/>
  <c r="F92" i="2"/>
  <c r="J90" i="2"/>
  <c r="F88" i="2"/>
  <c r="J86" i="2"/>
  <c r="H82" i="2"/>
  <c r="J81" i="2"/>
  <c r="H78" i="2"/>
  <c r="L92" i="2"/>
  <c r="L88" i="2"/>
  <c r="F84" i="2"/>
  <c r="L82" i="2"/>
  <c r="F82" i="2"/>
  <c r="H81" i="2"/>
  <c r="F78" i="2"/>
  <c r="L77" i="2"/>
  <c r="F77" i="2"/>
  <c r="J77" i="2"/>
  <c r="L91" i="2"/>
  <c r="L87" i="2"/>
  <c r="H84" i="2"/>
  <c r="J82" i="2"/>
  <c r="L81" i="2"/>
  <c r="F81" i="2"/>
  <c r="J78" i="2"/>
  <c r="L78" i="2"/>
  <c r="J73" i="2"/>
  <c r="J68" i="2"/>
  <c r="J64" i="2"/>
  <c r="J60" i="2"/>
  <c r="J56" i="2"/>
  <c r="F50" i="2"/>
  <c r="F46" i="2"/>
  <c r="F42" i="2"/>
  <c r="F38" i="2"/>
  <c r="F34" i="2"/>
  <c r="F30" i="2"/>
  <c r="J28" i="2"/>
  <c r="F26" i="2"/>
  <c r="F22" i="2"/>
  <c r="L19" i="2"/>
  <c r="F18" i="2"/>
  <c r="L46" i="2"/>
  <c r="L42" i="2"/>
  <c r="L38" i="2"/>
  <c r="F37" i="2"/>
  <c r="L34" i="2"/>
  <c r="L30" i="2"/>
  <c r="L26" i="2"/>
  <c r="L18" i="2"/>
  <c r="L74" i="2"/>
  <c r="F73" i="2"/>
  <c r="L69" i="2"/>
  <c r="F68" i="2"/>
  <c r="L65" i="2"/>
  <c r="F64" i="2"/>
  <c r="L61" i="2"/>
  <c r="F60" i="2"/>
  <c r="L57" i="2"/>
  <c r="F56" i="2"/>
  <c r="L53" i="2"/>
  <c r="F52" i="2"/>
  <c r="L49" i="2"/>
  <c r="L45" i="2"/>
  <c r="L68" i="2"/>
  <c r="L64" i="2"/>
  <c r="L60" i="2"/>
  <c r="L56" i="2"/>
  <c r="A5" i="5"/>
  <c r="A4" i="5"/>
  <c r="A1" i="5"/>
  <c r="A1" i="2"/>
  <c r="L22" i="2" l="1"/>
  <c r="J15" i="2"/>
  <c r="L15" i="2"/>
  <c r="J14" i="2"/>
  <c r="L14" i="2"/>
  <c r="J13" i="2"/>
  <c r="L13" i="2"/>
  <c r="J12" i="2"/>
  <c r="L12" i="2"/>
  <c r="H15" i="2"/>
  <c r="F15" i="2"/>
  <c r="F14" i="2"/>
  <c r="H14" i="2"/>
  <c r="F13" i="2"/>
  <c r="H13" i="2"/>
  <c r="F12" i="2"/>
  <c r="H12" i="2"/>
  <c r="A11" i="5"/>
  <c r="A10" i="5"/>
  <c r="A8" i="5"/>
  <c r="A9" i="5"/>
  <c r="A6" i="5" l="1"/>
  <c r="A6" i="2"/>
  <c r="J9" i="2" l="1"/>
  <c r="L9" i="2"/>
  <c r="J11" i="2"/>
  <c r="L11" i="2"/>
  <c r="J10" i="2"/>
  <c r="L10" i="2"/>
  <c r="J8" i="2"/>
  <c r="L8" i="2"/>
  <c r="H8" i="2"/>
  <c r="F8" i="2"/>
  <c r="H11" i="2"/>
  <c r="F11" i="2"/>
  <c r="F10" i="2"/>
  <c r="H10" i="2"/>
  <c r="H9" i="2"/>
  <c r="F9" i="2"/>
  <c r="J93" i="2" l="1"/>
  <c r="B10" i="5" s="1"/>
  <c r="H93" i="2"/>
  <c r="B8" i="5" s="1"/>
  <c r="L93" i="2"/>
  <c r="B11" i="5" s="1"/>
  <c r="F93" i="2"/>
  <c r="B9" i="5" s="1"/>
</calcChain>
</file>

<file path=xl/sharedStrings.xml><?xml version="1.0" encoding="utf-8"?>
<sst xmlns="http://schemas.openxmlformats.org/spreadsheetml/2006/main" count="357" uniqueCount="234">
  <si>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</si>
  <si>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</si>
  <si>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</si>
  <si>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</si>
  <si>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</si>
  <si>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</si>
  <si>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</si>
  <si>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</si>
  <si>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</si>
  <si>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</si>
  <si>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</si>
  <si>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</si>
  <si>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</si>
  <si>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HILLSBOROAIRPORT</t>
  </si>
  <si>
    <t>RUNWAY13R-31LANDRUNWAYSAFETYAREAIMPROVEMENTS</t>
  </si>
  <si>
    <t>ItemNo.</t>
  </si>
  <si>
    <t>ItemDescription</t>
  </si>
  <si>
    <t>EstimatedQuantity</t>
  </si>
  <si>
    <t>Units</t>
  </si>
  <si>
    <t>UnitPrice</t>
  </si>
  <si>
    <t>TotalPrice</t>
  </si>
  <si>
    <t>0001</t>
  </si>
  <si>
    <t>Sweeper
(Section012200)</t>
  </si>
  <si>
    <t>0002</t>
  </si>
  <si>
    <t>WorkZoneandTrafficControl
(Section012200)</t>
  </si>
  <si>
    <t>0003</t>
  </si>
  <si>
    <t>Escort
(Section012200)</t>
  </si>
  <si>
    <t>0004</t>
  </si>
  <si>
    <t>3'HighBlueReflectiveMarkers
(Section012200)</t>
  </si>
  <si>
    <t>0005</t>
  </si>
  <si>
    <t>TemporaryStreamBypass(Section012200)</t>
  </si>
  <si>
    <t>0006</t>
  </si>
  <si>
    <t>SettlementPlates
(Section012200)</t>
  </si>
  <si>
    <t>0007</t>
  </si>
  <si>
    <t>PlasticMeshFence
(Section015713)</t>
  </si>
  <si>
    <t>0008</t>
  </si>
  <si>
    <t>InletProtection
(Section015713)</t>
  </si>
  <si>
    <t>0009</t>
  </si>
  <si>
    <t>Wattles
(Section015713)</t>
  </si>
  <si>
    <t>0010</t>
  </si>
  <si>
    <t>JetBlastControlMaterial
(Section015713)</t>
  </si>
  <si>
    <t>0011</t>
  </si>
  <si>
    <t>DitchProtection/CheckDams
(Section015713)</t>
  </si>
  <si>
    <t>0012</t>
  </si>
  <si>
    <t>ConstructionEntrance
(Section015713)</t>
  </si>
  <si>
    <t>0013</t>
  </si>
  <si>
    <t>JuteMatting
(Section015713)</t>
  </si>
  <si>
    <t>0014</t>
  </si>
  <si>
    <t>InstallationandRemovalofSiltFence
(ItemC-102)</t>
  </si>
  <si>
    <t>C-102</t>
  </si>
  <si>
    <t>0015</t>
  </si>
  <si>
    <t>Mobilization
(ItemC-105)</t>
  </si>
  <si>
    <t>C-105</t>
  </si>
  <si>
    <t>0016</t>
  </si>
  <si>
    <t>AsphaltPavementRemoval-2.5-InchDepth
(ItemP-101)</t>
  </si>
  <si>
    <t>P-101</t>
  </si>
  <si>
    <t>0017</t>
  </si>
  <si>
    <t>AsphaltPavementRemoval-4-InchDepth
(ItemP-101)</t>
  </si>
  <si>
    <t>0018</t>
  </si>
  <si>
    <t>AsphaltPavementRemoval-6-8-InchDepth
(ItemP-101)</t>
  </si>
  <si>
    <t>0019</t>
  </si>
  <si>
    <t>ColdMilling-0.5InchDepth
(ItemP-101)</t>
  </si>
  <si>
    <t>0020</t>
  </si>
  <si>
    <t>ColdMilling-VariableDepth(Transitional)(ItemP-101)</t>
  </si>
  <si>
    <t>0021</t>
  </si>
  <si>
    <t>RemovalofPipeandOtherBuriedStructures
(ItemP-101)</t>
  </si>
  <si>
    <t>0022</t>
  </si>
  <si>
    <t>EmbankmentinPlace
(ItemP-152)</t>
  </si>
  <si>
    <t>P-152</t>
  </si>
  <si>
    <t>0023</t>
  </si>
  <si>
    <t>MechanicalStabilization
(ItemP-152)</t>
  </si>
  <si>
    <t>0024</t>
  </si>
  <si>
    <t>ExistingSubgradeStabilzation
(ItemP-152)</t>
  </si>
  <si>
    <t>0025</t>
  </si>
  <si>
    <t>UnsuitableExcavation
(ItemP-152)</t>
  </si>
  <si>
    <t>0026</t>
  </si>
  <si>
    <t>ControlledLow-StrengthMaterial(CLSM)
(ItemP-153)</t>
  </si>
  <si>
    <t>P-153</t>
  </si>
  <si>
    <t>0027</t>
  </si>
  <si>
    <t>SubbaseCourse
(ItemP-154)</t>
  </si>
  <si>
    <t>P-154</t>
  </si>
  <si>
    <t>0028</t>
  </si>
  <si>
    <t>CrushedAggregateBaseCourse
(ItemP-209)</t>
  </si>
  <si>
    <t>P-209</t>
  </si>
  <si>
    <t>0029</t>
  </si>
  <si>
    <t>SeparationGeotextile
(ItemP-209)</t>
  </si>
  <si>
    <t>0030</t>
  </si>
  <si>
    <t>AsphaltSurfaceCourse
(ItemP-401)</t>
  </si>
  <si>
    <t>P-401</t>
  </si>
  <si>
    <t>0031</t>
  </si>
  <si>
    <t>AsphaltMixtureBaseandSurfaceCourse(ItemP-403)</t>
  </si>
  <si>
    <t>P-403</t>
  </si>
  <si>
    <t>0032</t>
  </si>
  <si>
    <t>EmulsifiedAsphaltTackCoat
(ItemP-603)</t>
  </si>
  <si>
    <t>P-603</t>
  </si>
  <si>
    <t>0033</t>
  </si>
  <si>
    <t>JointSealingFiller(ItemP-605)</t>
  </si>
  <si>
    <t>P-605</t>
  </si>
  <si>
    <t>0034</t>
  </si>
  <si>
    <t>AdhesiveCompound
(ItemP-606)</t>
  </si>
  <si>
    <t>P-606</t>
  </si>
  <si>
    <t>0035</t>
  </si>
  <si>
    <t>Concrete(ItemP-610)</t>
  </si>
  <si>
    <t>P-610</t>
  </si>
  <si>
    <t>0036</t>
  </si>
  <si>
    <t>SurfacePreparation-NewPavementSurface
(ItemP-620)</t>
  </si>
  <si>
    <t>P-620</t>
  </si>
  <si>
    <t>0037</t>
  </si>
  <si>
    <t>SurfacePreparation-RemoveExistingMarkings
(ItemP-620)</t>
  </si>
  <si>
    <t>0038</t>
  </si>
  <si>
    <t>Marking
(ItemP-620)</t>
  </si>
  <si>
    <t>0039</t>
  </si>
  <si>
    <t>ReflectiveMedia
(ItemP-620)</t>
  </si>
  <si>
    <t>0040</t>
  </si>
  <si>
    <t>TemporaryRunwayandTaxiwayMarking
(ItemP-620)</t>
  </si>
  <si>
    <t>0041</t>
  </si>
  <si>
    <t>6-inchSTS
(ItemD-701)</t>
  </si>
  <si>
    <t>D-701</t>
  </si>
  <si>
    <t>0042</t>
  </si>
  <si>
    <t>12-inchSTS
(ItemD-701)</t>
  </si>
  <si>
    <t>0043</t>
  </si>
  <si>
    <t>24-inchSTS
(ItemD-701)</t>
  </si>
  <si>
    <t>0044</t>
  </si>
  <si>
    <t>14-inchClass50DuctileIronPipeCulvert(ItemD-701)</t>
  </si>
  <si>
    <t>0045</t>
  </si>
  <si>
    <t>18-inchClass50DuctileIronPipeCulvert
(ItemD-701)</t>
  </si>
  <si>
    <t>0046</t>
  </si>
  <si>
    <t>8'HX14'WCulvert
(ItemD-701)</t>
  </si>
  <si>
    <t>0047</t>
  </si>
  <si>
    <t>6-InchPipeUnderdrains
(ItemD-705)</t>
  </si>
  <si>
    <t>D-705</t>
  </si>
  <si>
    <t>0048</t>
  </si>
  <si>
    <t>Manholes
(ItemD-751)</t>
  </si>
  <si>
    <t>D-751</t>
  </si>
  <si>
    <t>0049</t>
  </si>
  <si>
    <t>CatchBasins
(ItemD-751)</t>
  </si>
  <si>
    <t>0050</t>
  </si>
  <si>
    <t>UnclassifiedExcavationforStructures
(ItemD-752)</t>
  </si>
  <si>
    <t>D-752</t>
  </si>
  <si>
    <t>0051</t>
  </si>
  <si>
    <t>StructuralConcrete
(ItemD-752)</t>
  </si>
  <si>
    <t>0052</t>
  </si>
  <si>
    <t>ReinforcingSteel
(ItemD-752)</t>
  </si>
  <si>
    <t>0053</t>
  </si>
  <si>
    <t>Seeding(ItemT-901)</t>
  </si>
  <si>
    <t>T-901</t>
  </si>
  <si>
    <t>0054</t>
  </si>
  <si>
    <t>Topsoil(ObtainedOnStieorRemovedfromStockpile)
(ItemT-905)</t>
  </si>
  <si>
    <t>T-905</t>
  </si>
  <si>
    <t>0055</t>
  </si>
  <si>
    <t>Topsoil(FurnishedfromOfftheSite)
(ItemT-905)</t>
  </si>
  <si>
    <t>0056</t>
  </si>
  <si>
    <t>ContaminatedMaterialExcavationandDisposal(Section026100)</t>
  </si>
  <si>
    <t>026100</t>
  </si>
  <si>
    <t>0057</t>
  </si>
  <si>
    <t>ExistingManholeAdjustmenttoGrade-MinorAdjustment
(Section312300)</t>
  </si>
  <si>
    <t>0058</t>
  </si>
  <si>
    <t>ExistingManholeAdjustmenttoGrade-MajorAdjustment
(Section312300)</t>
  </si>
  <si>
    <t>0059</t>
  </si>
  <si>
    <t>ExistingManholeAdjustmenttoGrade-Cleanout
(Section312300)</t>
  </si>
  <si>
    <t>0060</t>
  </si>
  <si>
    <t>ExistingElectricalVaultAdjustmenttoGrade(Section312300)</t>
  </si>
  <si>
    <t>0061</t>
  </si>
  <si>
    <t>CleanoutStructures
(Section330516)</t>
  </si>
  <si>
    <t>0062</t>
  </si>
  <si>
    <t>Boulders
(Section354000)</t>
  </si>
  <si>
    <t>0063</t>
  </si>
  <si>
    <t>StreambedCobble
(Section354000)</t>
  </si>
  <si>
    <t>0064</t>
  </si>
  <si>
    <t>StreambedSediment
(Section354000)</t>
  </si>
  <si>
    <t>0065</t>
  </si>
  <si>
    <t>RiprapOutfall
(Section354000)</t>
  </si>
  <si>
    <t>0066</t>
  </si>
  <si>
    <t>GradeControlStructures
(Section354000)</t>
  </si>
  <si>
    <t>0067</t>
  </si>
  <si>
    <t>No.8AWG,5kV,L-824,TypeCCableInstalledinTrench,DuctBank,orConduit(ItemL-108)</t>
  </si>
  <si>
    <t>L-108</t>
  </si>
  <si>
    <t>0068</t>
  </si>
  <si>
    <t>No.6AWG,Solid,BareCounterpoiseWire,InstalledAbovetheDuctBankorConduit,IncludingConnections/Terminations(ItemL-108)</t>
  </si>
  <si>
    <t>0069</t>
  </si>
  <si>
    <t>GroundRodforCounterpoise
(ItemL-108)</t>
  </si>
  <si>
    <t>0070</t>
  </si>
  <si>
    <t>2-InchPVCinGrassorinNewACshoulder(ItemL-110)</t>
  </si>
  <si>
    <t>L-110</t>
  </si>
  <si>
    <t>0071</t>
  </si>
  <si>
    <t>2-InchPVCinNewACStructuralPavement(ItemL-110)</t>
  </si>
  <si>
    <t>0072</t>
  </si>
  <si>
    <t>GeneralElectricalRemoval
(Section260500)</t>
  </si>
  <si>
    <t>0073</t>
  </si>
  <si>
    <t>TemporaryCircuitConnection
(Section260500)</t>
  </si>
  <si>
    <t>0074</t>
  </si>
  <si>
    <t>TemporaryThresholdSetUpandCircuitConnection
(Section260500)</t>
  </si>
  <si>
    <t>0075</t>
  </si>
  <si>
    <t>FAAMALSRandThresholdBarLights(Section260500)</t>
  </si>
  <si>
    <t>0076</t>
  </si>
  <si>
    <t>InstallPFConstantCurrentRegulator
(Section260500)</t>
  </si>
  <si>
    <t>0077</t>
  </si>
  <si>
    <t>InstallPFLEDRunwayEdgeLightwithPFBaseCan,CFTransformerinNewACPShoulder
(Section344300)</t>
  </si>
  <si>
    <t>0078</t>
  </si>
  <si>
    <t>InstallPFLEDElevatedRunwayEnd/ThresholdLightwithPFBaseCan,CFTransformerinNewACPShoulder
(Section344300)</t>
  </si>
  <si>
    <t>0079</t>
  </si>
  <si>
    <t>InstallPFLEDElevatedRunwayGuardLightwithPFBaseCan,CFTransformerinNewACPShoulder(Section344300)</t>
  </si>
  <si>
    <t>0080</t>
  </si>
  <si>
    <t>InstallPFTaxiwayEdgeLightwithPFBaseCan,CFTransformerinNewACPShoulder(Section344300)</t>
  </si>
  <si>
    <t>0081</t>
  </si>
  <si>
    <t>InstallPF12"Diameter,24"DeepBaseCanwithPFCoverinNewACPShoulder
(Section344300)</t>
  </si>
  <si>
    <t>0082</t>
  </si>
  <si>
    <t>InstallPFElevatedTaxiwayEdgeLightonExistingBaseCanwithCFTransformer
(Section344300)</t>
  </si>
  <si>
    <t>0083</t>
  </si>
  <si>
    <t>AdjustExistingRunway/TaxiwayElevatedEdgeLightwithCFTransformer
(Section344301)</t>
  </si>
  <si>
    <t>0084</t>
  </si>
  <si>
    <t>Sign13R-1
(Section344302)</t>
  </si>
  <si>
    <t>0085</t>
  </si>
  <si>
    <t>SignA-1
(Section344302)</t>
  </si>
  <si>
    <t>TotalAmountBid(BasisofAward)</t>
  </si>
  <si>
    <t>$___________</t>
  </si>
  <si>
    <t>K &amp; E Excavating, Inc.</t>
  </si>
  <si>
    <t>Kerr Contractors 
Oregon LCC</t>
  </si>
  <si>
    <t>Kodiak Pacific Construction</t>
  </si>
  <si>
    <t>Engineer's Estimate</t>
  </si>
  <si>
    <t>RUNWAY 13R-31L AND</t>
  </si>
  <si>
    <t>RUNWAY SAFETY AREA IMPROVEMENTS</t>
  </si>
  <si>
    <t>EAN 2019D031</t>
  </si>
  <si>
    <t>Solicitation No. 2022-10081</t>
  </si>
  <si>
    <t>Item No.</t>
  </si>
  <si>
    <t>Item Description</t>
  </si>
  <si>
    <t>Estimated Quantity</t>
  </si>
  <si>
    <t xml:space="preserve">Units </t>
  </si>
  <si>
    <t>Unit Price</t>
  </si>
  <si>
    <t>Total Price</t>
  </si>
  <si>
    <t>Total Amount Bid (Basis of Award)</t>
  </si>
  <si>
    <t>Bidder</t>
  </si>
  <si>
    <t>*Non-responsive to the small business requirements of this solicitation</t>
  </si>
  <si>
    <t>^Corrected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</si>
</sst>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66" fontId="4" fillId="2" borderId="1" xfId="0" applyNumberFormat="1" applyFont="1" applyFill="1" applyBorder="1" applyAlignment="1">
      <alignment horizontal="center" vertical="top"/>
    </xf>
    <xf numFmtId="2" fontId="7" fillId="0" borderId="5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6" fontId="7" fillId="0" borderId="5" xfId="0" applyNumberFormat="1" applyFont="1" applyFill="1" applyBorder="1" applyAlignment="1">
      <alignment horizontal="center" vertical="top"/>
    </xf>
    <xf numFmtId="166" fontId="7" fillId="0" borderId="5" xfId="1" applyNumberFormat="1" applyFont="1" applyFill="1" applyBorder="1" applyAlignment="1">
      <alignment horizontal="center" vertical="top"/>
    </xf>
    <xf numFmtId="167" fontId="7" fillId="0" borderId="5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wrapText="1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H105"/>
  <sheetViews>
    <sheetView tabSelected="1" view="pageBreakPreview" topLeftCell="A79" zoomScaleNormal="100" zoomScaleSheetLayoutView="100" workbookViewId="0">
      <selection activeCell="B84" sqref="B84"/>
    </sheetView>
  </sheetViews>
  <sheetFormatPr defaultRowHeight="15"/>
  <cols>
    <col min="1" max="1" width="6.5703125" customWidth="1"/>
    <col min="2" max="2" width="36.7109375" customWidth="1"/>
    <col min="3" max="3" width="10.7109375" style="26" customWidth="1"/>
    <col min="4" max="4" width="8.28515625" customWidth="1"/>
    <col min="5" max="6" width="13.28515625" style="30" customWidth="1"/>
    <col min="7" max="7" width="22" customWidth="1"/>
    <col min="8" max="8" width="24.28515625" style="60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1" t="s">
        <v>2</v>
      </c>
    </row>
    <row r="4" spans="1:6" hidden="1">
      <c r="A4" s="1" t="s">
        <v>3</v>
      </c>
    </row>
    <row r="5" spans="1:6" hidden="1">
      <c r="A5" s="1" t="s">
        <v>4</v>
      </c>
    </row>
    <row r="6" spans="1:6" hidden="1">
      <c r="A6" s="1" t="s">
        <v>5</v>
      </c>
    </row>
    <row r="7" spans="1:6" hidden="1">
      <c r="A7" s="1" t="s">
        <v>6</v>
      </c>
    </row>
    <row r="8" spans="1:6" hidden="1">
      <c r="A8" s="1" t="s">
        <v>7</v>
      </c>
    </row>
    <row r="9" spans="1:6" hidden="1">
      <c r="A9" s="1" t="s">
        <v>8</v>
      </c>
    </row>
    <row r="10" spans="1:6" hidden="1">
      <c r="A10" s="1" t="s">
        <v>9</v>
      </c>
    </row>
    <row r="11" spans="1:6" hidden="1">
      <c r="A11" s="1" t="s">
        <v>10</v>
      </c>
    </row>
    <row r="12" spans="1:6" hidden="1">
      <c r="A12" s="1" t="s">
        <v>11</v>
      </c>
    </row>
    <row r="13" spans="1:6" hidden="1">
      <c r="A13" s="1" t="s">
        <v>12</v>
      </c>
    </row>
    <row r="14" spans="1:6">
      <c r="A14" s="68"/>
      <c r="B14" s="68"/>
      <c r="C14" s="68"/>
      <c r="D14" s="68"/>
      <c r="E14" s="62"/>
      <c r="F14" s="62"/>
    </row>
    <row r="15" spans="1:6">
      <c r="A15" s="65" t="s">
        <v>13</v>
      </c>
      <c r="B15" s="65"/>
      <c r="C15" s="65"/>
      <c r="D15" s="65"/>
      <c r="E15" s="63"/>
      <c r="F15" s="63"/>
    </row>
    <row r="16" spans="1:6">
      <c r="A16" s="65" t="s">
        <v>14</v>
      </c>
      <c r="B16" s="65"/>
      <c r="C16" s="65"/>
      <c r="D16" s="65"/>
      <c r="E16" s="63"/>
      <c r="F16" s="63"/>
    </row>
    <row r="17" spans="1:8">
      <c r="A17" s="66"/>
      <c r="B17" s="66"/>
      <c r="C17" s="66"/>
      <c r="D17" s="66"/>
      <c r="E17" s="63"/>
      <c r="F17" s="63"/>
    </row>
    <row r="18" spans="1:8">
      <c r="A18" s="67"/>
      <c r="B18" s="67"/>
      <c r="C18" s="67"/>
      <c r="D18" s="67"/>
      <c r="E18" s="64"/>
      <c r="F18" s="64"/>
    </row>
    <row r="19" spans="1:8" s="2" customFormat="1" ht="24" customHeight="1">
      <c r="A19" s="3" t="s">
        <v>15</v>
      </c>
      <c r="B19" s="3" t="s">
        <v>16</v>
      </c>
      <c r="C19" s="27" t="s">
        <v>17</v>
      </c>
      <c r="D19" s="3" t="s">
        <v>18</v>
      </c>
      <c r="E19" s="31" t="s">
        <v>19</v>
      </c>
      <c r="F19" s="31" t="s">
        <v>20</v>
      </c>
      <c r="H19" s="61"/>
    </row>
    <row r="20" spans="1:8" ht="40.5" customHeight="1">
      <c r="A20" s="4" t="s">
        <v>21</v>
      </c>
      <c r="B20" s="47" t="s">
        <v>22</v>
      </c>
      <c r="C20" s="28">
        <v>1</v>
      </c>
      <c r="D20" s="5" t="s">
        <v>8</v>
      </c>
      <c r="E20" s="32"/>
      <c r="F20" s="32"/>
      <c r="G20" t="str">
        <f>MID(B20,FIND("(",B20)+1,FIND(")",B20)-FIND("(",B20)-1)</f>
        <v>Section012200</v>
      </c>
      <c r="H20" s="60">
        <v>12200</v>
      </c>
    </row>
    <row r="21" spans="1:8" ht="40.5" customHeight="1">
      <c r="A21" s="4" t="s">
        <v>23</v>
      </c>
      <c r="B21" s="47" t="s">
        <v>24</v>
      </c>
      <c r="C21" s="28">
        <v>1</v>
      </c>
      <c r="D21" s="5" t="s">
        <v>8</v>
      </c>
      <c r="E21" s="32"/>
      <c r="F21" s="32"/>
      <c r="G21" t="str">
        <f>MID(B21,FIND("(",B21)+1,FIND(")",B21)-FIND("(",B21)-1)</f>
        <v>Section012200</v>
      </c>
      <c r="H21" s="60">
        <v>12200</v>
      </c>
    </row>
    <row r="22" spans="1:8" ht="40.5" customHeight="1">
      <c r="A22" s="4" t="s">
        <v>25</v>
      </c>
      <c r="B22" s="47" t="s">
        <v>26</v>
      </c>
      <c r="C22" s="28">
        <v>1</v>
      </c>
      <c r="D22" s="5" t="s">
        <v>8</v>
      </c>
      <c r="E22" s="32"/>
      <c r="F22" s="32"/>
      <c r="G22" t="str">
        <f>MID(B22,FIND("(",B22)+1,FIND(")",B22)-FIND("(",B22)-1)</f>
        <v>Section012200</v>
      </c>
      <c r="H22" s="60">
        <v>12200</v>
      </c>
    </row>
    <row r="23" spans="1:8" ht="40.5" customHeight="1">
      <c r="A23" s="4" t="s">
        <v>27</v>
      </c>
      <c r="B23" s="52" t="s">
        <v>28</v>
      </c>
      <c r="C23" s="28">
        <v>12</v>
      </c>
      <c r="D23" s="5" t="s">
        <v>2</v>
      </c>
      <c r="E23" s="32"/>
      <c r="F23" s="32"/>
      <c r="G23" t="str">
        <f>MID(B23,FIND("(",B23)+1,FIND(")",B23)-FIND("(",B23)-1)</f>
        <v>Section012200</v>
      </c>
      <c r="H23" s="60">
        <v>12200</v>
      </c>
    </row>
    <row r="24" spans="1:8" ht="40.5" customHeight="1">
      <c r="A24" s="4" t="s">
        <v>29</v>
      </c>
      <c r="B24" s="52" t="s">
        <v>30</v>
      </c>
      <c r="C24" s="28">
        <v>1</v>
      </c>
      <c r="D24" s="5" t="s">
        <v>8</v>
      </c>
      <c r="E24" s="32"/>
      <c r="F24" s="32"/>
      <c r="G24" t="str">
        <f>MID(B24,FIND("(",B24)+1,FIND(")",B24)-FIND("(",B24)-1)</f>
        <v>Section012200</v>
      </c>
      <c r="H24" s="60">
        <v>12200</v>
      </c>
    </row>
    <row r="25" spans="1:8" ht="40.5" customHeight="1">
      <c r="A25" s="4" t="s">
        <v>31</v>
      </c>
      <c r="B25" s="47" t="s">
        <v>32</v>
      </c>
      <c r="C25" s="28">
        <v>6</v>
      </c>
      <c r="D25" s="5" t="s">
        <v>2</v>
      </c>
      <c r="E25" s="32"/>
      <c r="F25" s="32"/>
      <c r="G25" t="str">
        <f>MID(B25,FIND("(",B25)+1,FIND(")",B25)-FIND("(",B25)-1)</f>
        <v>Section012200</v>
      </c>
      <c r="H25" s="60">
        <v>12200</v>
      </c>
    </row>
    <row r="26" spans="1:8" ht="40.5" customHeight="1">
      <c r="A26" s="4" t="s">
        <v>33</v>
      </c>
      <c r="B26" s="47" t="s">
        <v>34</v>
      </c>
      <c r="C26" s="28">
        <v>100</v>
      </c>
      <c r="D26" s="5" t="s">
        <v>7</v>
      </c>
      <c r="E26" s="32"/>
      <c r="F26" s="32"/>
      <c r="G26" t="str">
        <f>MID(B26,FIND("(",B26)+1,FIND(")",B26)-FIND("(",B26)-1)</f>
        <v>Section015713</v>
      </c>
      <c r="H26" s="60">
        <v>15713</v>
      </c>
    </row>
    <row r="27" spans="1:8" ht="40.5" customHeight="1">
      <c r="A27" s="4" t="s">
        <v>35</v>
      </c>
      <c r="B27" s="47" t="s">
        <v>36</v>
      </c>
      <c r="C27" s="28">
        <v>14</v>
      </c>
      <c r="D27" s="5" t="s">
        <v>2</v>
      </c>
      <c r="E27" s="32"/>
      <c r="F27" s="32"/>
      <c r="G27" t="str">
        <f>MID(B27,FIND("(",B27)+1,FIND(")",B27)-FIND("(",B27)-1)</f>
        <v>Section015713</v>
      </c>
      <c r="H27" s="60">
        <v>15713</v>
      </c>
    </row>
    <row r="28" spans="1:8" ht="40.5" customHeight="1">
      <c r="A28" s="4" t="s">
        <v>37</v>
      </c>
      <c r="B28" s="52" t="s">
        <v>38</v>
      </c>
      <c r="C28" s="53">
        <v>5000</v>
      </c>
      <c r="D28" s="5" t="s">
        <v>7</v>
      </c>
      <c r="E28" s="32"/>
      <c r="F28" s="32"/>
      <c r="G28" t="str">
        <f>MID(B28,FIND("(",B28)+1,FIND(")",B28)-FIND("(",B28)-1)</f>
        <v>Section015713</v>
      </c>
      <c r="H28" s="60">
        <v>15713</v>
      </c>
    </row>
    <row r="29" spans="1:8" ht="40.5" customHeight="1">
      <c r="A29" s="4" t="s">
        <v>39</v>
      </c>
      <c r="B29" s="52" t="s">
        <v>40</v>
      </c>
      <c r="C29" s="28">
        <v>1</v>
      </c>
      <c r="D29" s="5" t="s">
        <v>0</v>
      </c>
      <c r="E29" s="32"/>
      <c r="F29" s="32"/>
      <c r="G29" t="str">
        <f>MID(B29,FIND("(",B29)+1,FIND(")",B29)-FIND("(",B29)-1)</f>
        <v>Section015713</v>
      </c>
      <c r="H29" s="60">
        <v>15713</v>
      </c>
    </row>
    <row r="30" spans="1:8" ht="40.5" customHeight="1">
      <c r="A30" s="4" t="s">
        <v>41</v>
      </c>
      <c r="B30" s="47" t="s">
        <v>42</v>
      </c>
      <c r="C30" s="28">
        <v>13</v>
      </c>
      <c r="D30" s="5" t="s">
        <v>2</v>
      </c>
      <c r="E30" s="32"/>
      <c r="F30" s="32"/>
      <c r="G30" t="str">
        <f>MID(B30,FIND("(",B30)+1,FIND(")",B30)-FIND("(",B30)-1)</f>
        <v>Section015713</v>
      </c>
      <c r="H30" s="60">
        <v>15713</v>
      </c>
    </row>
    <row r="31" spans="1:8" ht="40.5" customHeight="1">
      <c r="A31" s="4" t="s">
        <v>43</v>
      </c>
      <c r="B31" s="47" t="s">
        <v>44</v>
      </c>
      <c r="C31" s="28">
        <v>3</v>
      </c>
      <c r="D31" s="5" t="s">
        <v>2</v>
      </c>
      <c r="E31" s="32"/>
      <c r="F31" s="32"/>
      <c r="G31" t="str">
        <f>MID(B31,FIND("(",B31)+1,FIND(")",B31)-FIND("(",B31)-1)</f>
        <v>Section015713</v>
      </c>
      <c r="H31" s="60">
        <v>15713</v>
      </c>
    </row>
    <row r="32" spans="1:8" ht="40.5" customHeight="1">
      <c r="A32" s="4" t="s">
        <v>45</v>
      </c>
      <c r="B32" s="47" t="s">
        <v>46</v>
      </c>
      <c r="C32" s="28">
        <v>300</v>
      </c>
      <c r="D32" s="5" t="s">
        <v>11</v>
      </c>
      <c r="E32" s="32"/>
      <c r="F32" s="32"/>
      <c r="G32" t="str">
        <f>MID(B32,FIND("(",B32)+1,FIND(")",B32)-FIND("(",B32)-1)</f>
        <v>Section015713</v>
      </c>
      <c r="H32" s="60">
        <v>15713</v>
      </c>
    </row>
    <row r="33" spans="1:8" ht="40.5" customHeight="1">
      <c r="A33" s="4" t="s">
        <v>47</v>
      </c>
      <c r="B33" s="47" t="s">
        <v>48</v>
      </c>
      <c r="C33" s="53">
        <v>7800</v>
      </c>
      <c r="D33" s="5" t="s">
        <v>7</v>
      </c>
      <c r="E33" s="32"/>
      <c r="F33" s="32"/>
      <c r="G33" t="str">
        <f>MID(B33,FIND("(",B33)+1,FIND(")",B33)-FIND("(",B33)-1)</f>
        <v>ItemC-102</v>
      </c>
      <c r="H33" s="60" t="s">
        <v>49</v>
      </c>
    </row>
    <row r="34" spans="1:8" ht="40.5" customHeight="1">
      <c r="A34" s="4" t="s">
        <v>50</v>
      </c>
      <c r="B34" s="47" t="s">
        <v>51</v>
      </c>
      <c r="C34" s="28">
        <v>1</v>
      </c>
      <c r="D34" s="5" t="s">
        <v>8</v>
      </c>
      <c r="E34" s="32"/>
      <c r="F34" s="32"/>
      <c r="G34" t="str">
        <f>MID(B34,FIND("(",B34)+1,FIND(")",B34)-FIND("(",B34)-1)</f>
        <v>ItemC-105</v>
      </c>
      <c r="H34" s="60" t="s">
        <v>52</v>
      </c>
    </row>
    <row r="35" spans="1:8" ht="40.5" customHeight="1">
      <c r="A35" s="4" t="s">
        <v>53</v>
      </c>
      <c r="B35" s="47" t="s">
        <v>54</v>
      </c>
      <c r="C35" s="53">
        <v>7900</v>
      </c>
      <c r="D35" s="5" t="s">
        <v>11</v>
      </c>
      <c r="E35" s="32"/>
      <c r="F35" s="32"/>
      <c r="G35" t="str">
        <f>MID(B35,FIND("(",B35)+1,FIND(")",B35)-FIND("(",B35)-1)</f>
        <v>ItemP-101</v>
      </c>
      <c r="H35" s="60" t="s">
        <v>55</v>
      </c>
    </row>
    <row r="36" spans="1:8" ht="40.5" customHeight="1">
      <c r="A36" s="4" t="s">
        <v>56</v>
      </c>
      <c r="B36" s="47" t="s">
        <v>57</v>
      </c>
      <c r="C36" s="53">
        <v>4100</v>
      </c>
      <c r="D36" s="5" t="s">
        <v>11</v>
      </c>
      <c r="E36" s="32"/>
      <c r="F36" s="32"/>
      <c r="G36" t="str">
        <f>MID(B36,FIND("(",B36)+1,FIND(")",B36)-FIND("(",B36)-1)</f>
        <v>ItemP-101</v>
      </c>
      <c r="H36" s="60" t="s">
        <v>55</v>
      </c>
    </row>
    <row r="37" spans="1:8" ht="40.5" customHeight="1">
      <c r="A37" s="4" t="s">
        <v>58</v>
      </c>
      <c r="B37" s="52" t="s">
        <v>59</v>
      </c>
      <c r="C37" s="53">
        <v>4200</v>
      </c>
      <c r="D37" s="5" t="s">
        <v>11</v>
      </c>
      <c r="E37" s="32"/>
      <c r="F37" s="32"/>
      <c r="G37" t="str">
        <f>MID(B37,FIND("(",B37)+1,FIND(")",B37)-FIND("(",B37)-1)</f>
        <v>ItemP-101</v>
      </c>
      <c r="H37" s="60" t="s">
        <v>55</v>
      </c>
    </row>
    <row r="38" spans="1:8" ht="40.5" customHeight="1">
      <c r="A38" s="4" t="s">
        <v>60</v>
      </c>
      <c r="B38" s="52" t="s">
        <v>61</v>
      </c>
      <c r="C38" s="53">
        <v>4900</v>
      </c>
      <c r="D38" s="5" t="s">
        <v>11</v>
      </c>
      <c r="E38" s="32"/>
      <c r="F38" s="32"/>
      <c r="G38" t="str">
        <f>MID(B38,FIND("(",B38)+1,FIND(")",B38)-FIND("(",B38)-1)</f>
        <v>ItemP-101</v>
      </c>
      <c r="H38" s="60" t="s">
        <v>55</v>
      </c>
    </row>
    <row r="39" spans="1:8" ht="40.5" customHeight="1">
      <c r="A39" s="4" t="s">
        <v>62</v>
      </c>
      <c r="B39" s="47" t="s">
        <v>63</v>
      </c>
      <c r="C39" s="53">
        <v>4000</v>
      </c>
      <c r="D39" s="5" t="s">
        <v>11</v>
      </c>
      <c r="E39" s="32"/>
      <c r="F39" s="32"/>
      <c r="G39" t="s">
        <v>55</v>
      </c>
      <c r="H39" s="60" t="s">
        <v>55</v>
      </c>
    </row>
    <row r="40" spans="1:8" ht="40.5" customHeight="1">
      <c r="A40" s="4" t="s">
        <v>64</v>
      </c>
      <c r="B40" s="47" t="s">
        <v>65</v>
      </c>
      <c r="C40" s="28">
        <v>1</v>
      </c>
      <c r="D40" s="5" t="s">
        <v>8</v>
      </c>
      <c r="E40" s="32"/>
      <c r="F40" s="32"/>
      <c r="G40" t="str">
        <f>MID(B40,FIND("(",B40)+1,FIND(")",B40)-FIND("(",B40)-1)</f>
        <v>ItemP-101</v>
      </c>
      <c r="H40" s="60" t="s">
        <v>55</v>
      </c>
    </row>
    <row r="41" spans="1:8" ht="40.5" customHeight="1">
      <c r="A41" s="4" t="s">
        <v>66</v>
      </c>
      <c r="B41" s="47" t="s">
        <v>67</v>
      </c>
      <c r="C41" s="53">
        <v>38600</v>
      </c>
      <c r="D41" s="5" t="s">
        <v>1</v>
      </c>
      <c r="E41" s="32"/>
      <c r="F41" s="32"/>
      <c r="G41" t="str">
        <f>MID(B41,FIND("(",B41)+1,FIND(")",B41)-FIND("(",B41)-1)</f>
        <v>ItemP-152</v>
      </c>
      <c r="H41" s="60" t="s">
        <v>68</v>
      </c>
    </row>
    <row r="42" spans="1:8" ht="40.5" customHeight="1">
      <c r="A42" s="4" t="s">
        <v>69</v>
      </c>
      <c r="B42" s="52" t="s">
        <v>70</v>
      </c>
      <c r="C42" s="53">
        <v>2500</v>
      </c>
      <c r="D42" s="5" t="s">
        <v>1</v>
      </c>
      <c r="E42" s="32"/>
      <c r="F42" s="32"/>
      <c r="G42" t="str">
        <f>MID(B42,FIND("(",B42)+1,FIND(")",B42)-FIND("(",B42)-1)</f>
        <v>ItemP-152</v>
      </c>
      <c r="H42" s="60" t="s">
        <v>68</v>
      </c>
    </row>
    <row r="43" spans="1:8" ht="40.5" customHeight="1">
      <c r="A43" s="4" t="s">
        <v>71</v>
      </c>
      <c r="B43" s="52" t="s">
        <v>72</v>
      </c>
      <c r="C43" s="53">
        <v>1000</v>
      </c>
      <c r="D43" s="5" t="s">
        <v>1</v>
      </c>
      <c r="E43" s="32"/>
      <c r="F43" s="32"/>
      <c r="G43" t="str">
        <f>MID(B43,FIND("(",B43)+1,FIND(")",B43)-FIND("(",B43)-1)</f>
        <v>ItemP-152</v>
      </c>
      <c r="H43" s="60" t="s">
        <v>68</v>
      </c>
    </row>
    <row r="44" spans="1:8" ht="40.5" customHeight="1">
      <c r="A44" s="4" t="s">
        <v>73</v>
      </c>
      <c r="B44" s="47" t="s">
        <v>74</v>
      </c>
      <c r="C44" s="53">
        <v>11000</v>
      </c>
      <c r="D44" s="5" t="s">
        <v>1</v>
      </c>
      <c r="E44" s="32"/>
      <c r="F44" s="32"/>
      <c r="G44" t="str">
        <f>MID(B44,FIND("(",B44)+1,FIND(")",B44)-FIND("(",B44)-1)</f>
        <v>ItemP-152</v>
      </c>
      <c r="H44" s="60" t="s">
        <v>68</v>
      </c>
    </row>
    <row r="45" spans="1:8" ht="40.5" customHeight="1">
      <c r="A45" s="4" t="s">
        <v>75</v>
      </c>
      <c r="B45" s="52" t="s">
        <v>76</v>
      </c>
      <c r="C45" s="28">
        <v>228</v>
      </c>
      <c r="D45" s="5" t="s">
        <v>1</v>
      </c>
      <c r="E45" s="32"/>
      <c r="F45" s="32"/>
      <c r="G45" t="s">
        <v>77</v>
      </c>
      <c r="H45" s="60" t="s">
        <v>77</v>
      </c>
    </row>
    <row r="46" spans="1:8" ht="40.5" customHeight="1">
      <c r="A46" s="4" t="s">
        <v>78</v>
      </c>
      <c r="B46" s="52" t="s">
        <v>79</v>
      </c>
      <c r="C46" s="53">
        <v>1000</v>
      </c>
      <c r="D46" s="5" t="s">
        <v>1</v>
      </c>
      <c r="E46" s="32"/>
      <c r="F46" s="32"/>
      <c r="G46" t="str">
        <f>MID(B46,FIND("(",B46)+1,FIND(")",B46)-FIND("(",B46)-1)</f>
        <v>ItemP-154</v>
      </c>
      <c r="H46" s="60" t="s">
        <v>80</v>
      </c>
    </row>
    <row r="47" spans="1:8" ht="40.5" customHeight="1">
      <c r="A47" s="4" t="s">
        <v>81</v>
      </c>
      <c r="B47" s="47" t="s">
        <v>82</v>
      </c>
      <c r="C47" s="53">
        <v>9700</v>
      </c>
      <c r="D47" s="5" t="s">
        <v>1</v>
      </c>
      <c r="E47" s="32"/>
      <c r="F47" s="32"/>
      <c r="G47" t="str">
        <f>MID(B47,FIND("(",B47)+1,FIND(")",B47)-FIND("(",B47)-1)</f>
        <v>ItemP-209</v>
      </c>
      <c r="H47" s="60" t="s">
        <v>83</v>
      </c>
    </row>
    <row r="48" spans="1:8" ht="40.5" customHeight="1">
      <c r="A48" s="4" t="s">
        <v>84</v>
      </c>
      <c r="B48" s="47" t="s">
        <v>85</v>
      </c>
      <c r="C48" s="53">
        <v>12800</v>
      </c>
      <c r="D48" s="5" t="s">
        <v>11</v>
      </c>
      <c r="E48" s="32"/>
      <c r="F48" s="32"/>
      <c r="G48" t="str">
        <f>MID(B48,FIND("(",B48)+1,FIND(")",B48)-FIND("(",B48)-1)</f>
        <v>ItemP-209</v>
      </c>
      <c r="H48" s="60" t="s">
        <v>83</v>
      </c>
    </row>
    <row r="49" spans="1:8" ht="40.5" customHeight="1">
      <c r="A49" s="4" t="s">
        <v>86</v>
      </c>
      <c r="B49" s="47" t="s">
        <v>87</v>
      </c>
      <c r="C49" s="53">
        <v>2900</v>
      </c>
      <c r="D49" s="5" t="s">
        <v>12</v>
      </c>
      <c r="E49" s="32"/>
      <c r="F49" s="32"/>
      <c r="G49" t="str">
        <f>MID(B49,FIND("(",B49)+1,FIND(")",B49)-FIND("(",B49)-1)</f>
        <v>ItemP-401</v>
      </c>
      <c r="H49" s="60" t="s">
        <v>88</v>
      </c>
    </row>
    <row r="50" spans="1:8" ht="40.5" customHeight="1">
      <c r="A50" s="4" t="s">
        <v>89</v>
      </c>
      <c r="B50" s="47" t="s">
        <v>90</v>
      </c>
      <c r="C50" s="53">
        <v>3600</v>
      </c>
      <c r="D50" s="5" t="s">
        <v>12</v>
      </c>
      <c r="E50" s="32"/>
      <c r="F50" s="32"/>
      <c r="G50" t="str">
        <f>MID(B50,FIND("(",B50)+1,FIND(")",B50)-FIND("(",B50)-1)</f>
        <v>ItemP-403</v>
      </c>
      <c r="H50" s="60" t="s">
        <v>91</v>
      </c>
    </row>
    <row r="51" spans="1:8" ht="40.5" customHeight="1">
      <c r="A51" s="4" t="s">
        <v>92</v>
      </c>
      <c r="B51" s="47" t="s">
        <v>93</v>
      </c>
      <c r="C51" s="53">
        <v>2200</v>
      </c>
      <c r="D51" s="5" t="s">
        <v>4</v>
      </c>
      <c r="E51" s="32"/>
      <c r="F51" s="32"/>
      <c r="G51" t="str">
        <f>MID(B51,FIND("(",B51)+1,FIND(")",B51)-FIND("(",B51)-1)</f>
        <v>ItemP-603</v>
      </c>
      <c r="H51" s="60" t="s">
        <v>94</v>
      </c>
    </row>
    <row r="52" spans="1:8" ht="40.5" customHeight="1">
      <c r="A52" s="4" t="s">
        <v>95</v>
      </c>
      <c r="B52" s="52" t="s">
        <v>96</v>
      </c>
      <c r="C52" s="28">
        <v>20</v>
      </c>
      <c r="D52" s="5" t="s">
        <v>4</v>
      </c>
      <c r="E52" s="32"/>
      <c r="F52" s="32"/>
      <c r="G52" t="str">
        <f>MID(B52,FIND("(",B52)+1,FIND(")",B52)-FIND("(",B52)-1)</f>
        <v>ItemP-605</v>
      </c>
      <c r="H52" s="60" t="s">
        <v>97</v>
      </c>
    </row>
    <row r="53" spans="1:8" ht="40.5" customHeight="1">
      <c r="A53" s="4" t="s">
        <v>98</v>
      </c>
      <c r="B53" s="52" t="s">
        <v>99</v>
      </c>
      <c r="C53" s="28">
        <v>40</v>
      </c>
      <c r="D53" s="5" t="s">
        <v>4</v>
      </c>
      <c r="E53" s="32"/>
      <c r="F53" s="32"/>
      <c r="G53" t="str">
        <f>MID(B53,FIND("(",B53)+1,FIND(")",B53)-FIND("(",B53)-1)</f>
        <v>ItemP-606</v>
      </c>
      <c r="H53" s="60" t="s">
        <v>100</v>
      </c>
    </row>
    <row r="54" spans="1:8" ht="40.5" customHeight="1">
      <c r="A54" s="4" t="s">
        <v>101</v>
      </c>
      <c r="B54" s="47" t="s">
        <v>102</v>
      </c>
      <c r="C54" s="28">
        <v>40</v>
      </c>
      <c r="D54" s="5" t="s">
        <v>1</v>
      </c>
      <c r="E54" s="32"/>
      <c r="F54" s="32"/>
      <c r="G54" t="str">
        <f>MID(B54,FIND("(",B54)+1,FIND(")",B54)-FIND("(",B54)-1)</f>
        <v>ItemP-610</v>
      </c>
      <c r="H54" s="60" t="s">
        <v>103</v>
      </c>
    </row>
    <row r="55" spans="1:8" ht="40.5" customHeight="1">
      <c r="A55" s="4" t="s">
        <v>104</v>
      </c>
      <c r="B55" s="47" t="s">
        <v>105</v>
      </c>
      <c r="C55" s="53">
        <v>40800</v>
      </c>
      <c r="D55" s="5" t="s">
        <v>10</v>
      </c>
      <c r="E55" s="32"/>
      <c r="F55" s="32"/>
      <c r="G55" t="str">
        <f>MID(B55,FIND("(",B55)+1,FIND(")",B55)-FIND("(",B55)-1)</f>
        <v>ItemP-620</v>
      </c>
      <c r="H55" s="60" t="s">
        <v>106</v>
      </c>
    </row>
    <row r="56" spans="1:8" ht="40.5" customHeight="1">
      <c r="A56" s="4" t="s">
        <v>107</v>
      </c>
      <c r="B56" s="52" t="s">
        <v>108</v>
      </c>
      <c r="C56" s="53">
        <v>38500</v>
      </c>
      <c r="D56" s="5" t="s">
        <v>10</v>
      </c>
      <c r="E56" s="32"/>
      <c r="F56" s="32"/>
      <c r="G56" t="str">
        <f>MID(B56,FIND("(",B56)+1,FIND(")",B56)-FIND("(",B56)-1)</f>
        <v>ItemP-620</v>
      </c>
      <c r="H56" s="60" t="s">
        <v>106</v>
      </c>
    </row>
    <row r="57" spans="1:8" ht="40.5" customHeight="1">
      <c r="A57" s="4" t="s">
        <v>109</v>
      </c>
      <c r="B57" s="52" t="s">
        <v>110</v>
      </c>
      <c r="C57" s="53">
        <v>40800</v>
      </c>
      <c r="D57" s="5" t="s">
        <v>10</v>
      </c>
      <c r="E57" s="32"/>
      <c r="F57" s="32"/>
      <c r="G57" t="str">
        <f>MID(B57,FIND("(",B57)+1,FIND(")",B57)-FIND("(",B57)-1)</f>
        <v>ItemP-620</v>
      </c>
      <c r="H57" s="60" t="s">
        <v>106</v>
      </c>
    </row>
    <row r="58" spans="1:8" ht="40.5" customHeight="1">
      <c r="A58" s="4" t="s">
        <v>111</v>
      </c>
      <c r="B58" s="47" t="s">
        <v>112</v>
      </c>
      <c r="C58" s="53">
        <v>2500</v>
      </c>
      <c r="D58" s="5" t="s">
        <v>6</v>
      </c>
      <c r="E58" s="32"/>
      <c r="F58" s="32"/>
      <c r="G58" t="str">
        <f>MID(B58,FIND("(",B58)+1,FIND(")",B58)-FIND("(",B58)-1)</f>
        <v>ItemP-620</v>
      </c>
      <c r="H58" s="60" t="s">
        <v>106</v>
      </c>
    </row>
    <row r="59" spans="1:8" ht="40.5" customHeight="1">
      <c r="A59" s="4" t="s">
        <v>113</v>
      </c>
      <c r="B59" s="47" t="s">
        <v>114</v>
      </c>
      <c r="C59" s="53">
        <v>21800</v>
      </c>
      <c r="D59" s="5" t="s">
        <v>10</v>
      </c>
      <c r="E59" s="32"/>
      <c r="F59" s="32"/>
      <c r="G59" t="str">
        <f>MID(B59,FIND("(",B59)+1,FIND(")",B59)-FIND("(",B59)-1)</f>
        <v>ItemP-620</v>
      </c>
      <c r="H59" s="60" t="s">
        <v>106</v>
      </c>
    </row>
    <row r="60" spans="1:8" ht="40.5" customHeight="1">
      <c r="A60" s="4" t="s">
        <v>115</v>
      </c>
      <c r="B60" s="47" t="s">
        <v>116</v>
      </c>
      <c r="C60" s="53">
        <v>137</v>
      </c>
      <c r="D60" s="5" t="s">
        <v>7</v>
      </c>
      <c r="E60" s="32"/>
      <c r="F60" s="32"/>
      <c r="G60" t="str">
        <f>MID(B60,FIND("(",B60)+1,FIND(")",B60)-FIND("(",B60)-1)</f>
        <v>ItemD-701</v>
      </c>
      <c r="H60" s="60" t="s">
        <v>117</v>
      </c>
    </row>
    <row r="61" spans="1:8" ht="40.5" customHeight="1">
      <c r="A61" s="4" t="s">
        <v>118</v>
      </c>
      <c r="B61" s="47" t="s">
        <v>119</v>
      </c>
      <c r="C61" s="53">
        <v>77</v>
      </c>
      <c r="D61" s="5" t="s">
        <v>7</v>
      </c>
      <c r="E61" s="32"/>
      <c r="F61" s="32"/>
      <c r="G61" t="str">
        <f>MID(B61,FIND("(",B61)+1,FIND(")",B61)-FIND("(",B61)-1)</f>
        <v>ItemD-701</v>
      </c>
      <c r="H61" s="60" t="s">
        <v>117</v>
      </c>
    </row>
    <row r="62" spans="1:8" ht="40.5" customHeight="1">
      <c r="A62" s="4" t="s">
        <v>120</v>
      </c>
      <c r="B62" s="47" t="s">
        <v>121</v>
      </c>
      <c r="C62" s="53">
        <v>1080</v>
      </c>
      <c r="D62" s="5" t="s">
        <v>7</v>
      </c>
      <c r="E62" s="32"/>
      <c r="F62" s="32"/>
      <c r="G62" t="str">
        <f>MID(B62,FIND("(",B62)+1,FIND(")",B62)-FIND("(",B62)-1)</f>
        <v>ItemD-701</v>
      </c>
      <c r="H62" s="60" t="s">
        <v>117</v>
      </c>
    </row>
    <row r="63" spans="1:8" ht="40.5" customHeight="1">
      <c r="A63" s="4" t="s">
        <v>122</v>
      </c>
      <c r="B63" s="47" t="s">
        <v>123</v>
      </c>
      <c r="C63" s="28">
        <v>69</v>
      </c>
      <c r="D63" s="5" t="s">
        <v>7</v>
      </c>
      <c r="E63" s="32"/>
      <c r="F63" s="32"/>
      <c r="G63" t="str">
        <f>MID(B63,FIND("(",B63)+1,FIND(")",B63)-FIND("(",B63)-1)</f>
        <v>ItemD-701</v>
      </c>
      <c r="H63" s="60" t="s">
        <v>117</v>
      </c>
    </row>
    <row r="64" spans="1:8" ht="40.5" customHeight="1">
      <c r="A64" s="4" t="s">
        <v>124</v>
      </c>
      <c r="B64" s="47" t="s">
        <v>125</v>
      </c>
      <c r="C64" s="28">
        <v>151</v>
      </c>
      <c r="D64" s="5" t="s">
        <v>7</v>
      </c>
      <c r="E64" s="32"/>
      <c r="F64" s="32"/>
      <c r="G64" t="str">
        <f>MID(B64,FIND("(",B64)+1,FIND(")",B64)-FIND("(",B64)-1)</f>
        <v>ItemD-701</v>
      </c>
      <c r="H64" s="60" t="s">
        <v>117</v>
      </c>
    </row>
    <row r="65" spans="1:8" ht="40.5" customHeight="1">
      <c r="A65" s="4" t="s">
        <v>126</v>
      </c>
      <c r="B65" s="47" t="s">
        <v>127</v>
      </c>
      <c r="C65" s="28">
        <v>1</v>
      </c>
      <c r="D65" s="5" t="s">
        <v>8</v>
      </c>
      <c r="E65" s="32"/>
      <c r="F65" s="32"/>
      <c r="G65" t="str">
        <f>MID(B65,FIND("(",B65)+1,FIND(")",B65)-FIND("(",B65)-1)</f>
        <v>ItemD-701</v>
      </c>
      <c r="H65" s="60" t="s">
        <v>117</v>
      </c>
    </row>
    <row r="66" spans="1:8" ht="40.5" customHeight="1">
      <c r="A66" s="4" t="s">
        <v>128</v>
      </c>
      <c r="B66" s="47" t="s">
        <v>129</v>
      </c>
      <c r="C66" s="53">
        <v>1309</v>
      </c>
      <c r="D66" s="5" t="s">
        <v>7</v>
      </c>
      <c r="E66" s="32"/>
      <c r="F66" s="32"/>
      <c r="G66" t="str">
        <f>MID(B66,FIND("(",B66)+1,FIND(")",B66)-FIND("(",B66)-1)</f>
        <v>ItemD-705</v>
      </c>
      <c r="H66" s="60" t="s">
        <v>130</v>
      </c>
    </row>
    <row r="67" spans="1:8" ht="40.5" customHeight="1">
      <c r="A67" s="4" t="s">
        <v>131</v>
      </c>
      <c r="B67" s="52" t="s">
        <v>132</v>
      </c>
      <c r="C67" s="28">
        <v>2</v>
      </c>
      <c r="D67" s="5" t="s">
        <v>2</v>
      </c>
      <c r="E67" s="32"/>
      <c r="F67" s="32"/>
      <c r="G67" t="str">
        <f>MID(B67,FIND("(",B67)+1,FIND(")",B67)-FIND("(",B67)-1)</f>
        <v>ItemD-751</v>
      </c>
      <c r="H67" s="60" t="s">
        <v>133</v>
      </c>
    </row>
    <row r="68" spans="1:8" ht="40.5" customHeight="1">
      <c r="A68" s="4" t="s">
        <v>134</v>
      </c>
      <c r="B68" s="47" t="s">
        <v>135</v>
      </c>
      <c r="C68" s="28">
        <v>2</v>
      </c>
      <c r="D68" s="5" t="s">
        <v>2</v>
      </c>
      <c r="E68" s="32"/>
      <c r="F68" s="32"/>
      <c r="G68" t="str">
        <f>MID(B68,FIND("(",B68)+1,FIND(")",B68)-FIND("(",B68)-1)</f>
        <v>ItemD-751</v>
      </c>
      <c r="H68" s="60" t="s">
        <v>133</v>
      </c>
    </row>
    <row r="69" spans="1:8" ht="40.5" customHeight="1">
      <c r="A69" s="4" t="s">
        <v>136</v>
      </c>
      <c r="B69" s="47" t="s">
        <v>137</v>
      </c>
      <c r="C69" s="53">
        <v>1100</v>
      </c>
      <c r="D69" s="5" t="s">
        <v>1</v>
      </c>
      <c r="E69" s="32"/>
      <c r="F69" s="32"/>
      <c r="G69" t="str">
        <f>MID(B69,FIND("(",B69)+1,FIND(")",B69)-FIND("(",B69)-1)</f>
        <v>ItemD-752</v>
      </c>
      <c r="H69" s="60" t="s">
        <v>138</v>
      </c>
    </row>
    <row r="70" spans="1:8" ht="40.5" customHeight="1">
      <c r="A70" s="4" t="s">
        <v>139</v>
      </c>
      <c r="B70" s="47" t="s">
        <v>140</v>
      </c>
      <c r="C70" s="28">
        <v>310</v>
      </c>
      <c r="D70" s="5" t="s">
        <v>1</v>
      </c>
      <c r="E70" s="32"/>
      <c r="F70" s="32"/>
      <c r="G70" t="str">
        <f>MID(B70,FIND("(",B70)+1,FIND(")",B70)-FIND("(",B70)-1)</f>
        <v>ItemD-752</v>
      </c>
      <c r="H70" s="60" t="s">
        <v>138</v>
      </c>
    </row>
    <row r="71" spans="1:8" ht="40.5" customHeight="1">
      <c r="A71" s="4" t="s">
        <v>141</v>
      </c>
      <c r="B71" s="48" t="s">
        <v>142</v>
      </c>
      <c r="C71" s="53">
        <v>29300</v>
      </c>
      <c r="D71" s="5" t="s">
        <v>6</v>
      </c>
      <c r="E71" s="32"/>
      <c r="F71" s="32"/>
      <c r="G71" t="str">
        <f>MID(B71,FIND("(",B71)+1,FIND(")",B71)-FIND("(",B71)-1)</f>
        <v>ItemD-752</v>
      </c>
      <c r="H71" s="60" t="s">
        <v>138</v>
      </c>
    </row>
    <row r="72" spans="1:8" ht="40.5" customHeight="1">
      <c r="A72" s="4" t="s">
        <v>143</v>
      </c>
      <c r="B72" s="52" t="s">
        <v>144</v>
      </c>
      <c r="C72" s="28">
        <v>17</v>
      </c>
      <c r="D72" s="5" t="s">
        <v>0</v>
      </c>
      <c r="E72" s="32"/>
      <c r="F72" s="32"/>
      <c r="G72" t="str">
        <f>MID(B72,FIND("(",B72)+1,FIND(")",B72)-FIND("(",B72)-1)</f>
        <v>ItemT-901</v>
      </c>
      <c r="H72" s="60" t="s">
        <v>145</v>
      </c>
    </row>
    <row r="73" spans="1:8" ht="40.5" customHeight="1">
      <c r="A73" s="4" t="s">
        <v>146</v>
      </c>
      <c r="B73" s="47" t="s">
        <v>147</v>
      </c>
      <c r="C73" s="53">
        <v>5000</v>
      </c>
      <c r="D73" s="5" t="s">
        <v>1</v>
      </c>
      <c r="E73" s="32"/>
      <c r="F73" s="32"/>
      <c r="G73" t="s">
        <v>148</v>
      </c>
      <c r="H73" s="60" t="s">
        <v>148</v>
      </c>
    </row>
    <row r="74" spans="1:8" ht="40.5" customHeight="1">
      <c r="A74" s="4" t="s">
        <v>149</v>
      </c>
      <c r="B74" s="47" t="s">
        <v>150</v>
      </c>
      <c r="C74" s="53">
        <v>4800</v>
      </c>
      <c r="D74" s="5" t="s">
        <v>1</v>
      </c>
      <c r="E74" s="32"/>
      <c r="F74" s="32"/>
      <c r="G74" t="s">
        <v>148</v>
      </c>
      <c r="H74" s="60" t="s">
        <v>148</v>
      </c>
    </row>
    <row r="75" spans="1:8" ht="40.5" customHeight="1">
      <c r="A75" s="4" t="s">
        <v>151</v>
      </c>
      <c r="B75" s="47" t="s">
        <v>152</v>
      </c>
      <c r="C75" s="53">
        <v>1000</v>
      </c>
      <c r="D75" s="5" t="s">
        <v>12</v>
      </c>
      <c r="E75" s="32"/>
      <c r="F75" s="32"/>
      <c r="G75" t="str">
        <f>MID(B75,FIND("(",B75)+1,FIND(")",B75)-FIND("(",B75)-1)</f>
        <v>Section026100</v>
      </c>
      <c r="H75" s="60" t="s">
        <v>153</v>
      </c>
    </row>
    <row r="76" spans="1:8" ht="40.5" customHeight="1">
      <c r="A76" s="4" t="s">
        <v>154</v>
      </c>
      <c r="B76" s="47" t="s">
        <v>155</v>
      </c>
      <c r="C76" s="28">
        <v>2</v>
      </c>
      <c r="D76" s="5" t="s">
        <v>2</v>
      </c>
      <c r="E76" s="32"/>
      <c r="F76" s="32"/>
      <c r="G76" t="str">
        <f>MID(B76,FIND("(",B76)+1,FIND(")",B76)-FIND("(",B76)-1)</f>
        <v>Section312300</v>
      </c>
      <c r="H76" s="60">
        <v>312300</v>
      </c>
    </row>
    <row r="77" spans="1:8" ht="40.5" customHeight="1">
      <c r="A77" s="4" t="s">
        <v>156</v>
      </c>
      <c r="B77" s="47" t="s">
        <v>157</v>
      </c>
      <c r="C77" s="28">
        <v>2</v>
      </c>
      <c r="D77" s="5" t="s">
        <v>2</v>
      </c>
      <c r="E77" s="32"/>
      <c r="F77" s="32"/>
      <c r="G77" t="str">
        <f>MID(B77,FIND("(",B77)+1,FIND(")",B77)-FIND("(",B77)-1)</f>
        <v>Section312300</v>
      </c>
      <c r="H77" s="60">
        <v>312300</v>
      </c>
    </row>
    <row r="78" spans="1:8" ht="40.5" customHeight="1">
      <c r="A78" s="4" t="s">
        <v>158</v>
      </c>
      <c r="B78" s="47" t="s">
        <v>159</v>
      </c>
      <c r="C78" s="28">
        <v>3</v>
      </c>
      <c r="D78" s="5" t="s">
        <v>2</v>
      </c>
      <c r="E78" s="32"/>
      <c r="F78" s="32"/>
      <c r="G78" t="str">
        <f>MID(B78,FIND("(",B78)+1,FIND(")",B78)-FIND("(",B78)-1)</f>
        <v>Section312300</v>
      </c>
      <c r="H78" s="60">
        <v>312300</v>
      </c>
    </row>
    <row r="79" spans="1:8" ht="40.5" customHeight="1">
      <c r="A79" s="4" t="s">
        <v>160</v>
      </c>
      <c r="B79" s="47" t="s">
        <v>161</v>
      </c>
      <c r="C79" s="28">
        <v>1</v>
      </c>
      <c r="D79" s="5" t="s">
        <v>2</v>
      </c>
      <c r="E79" s="32"/>
      <c r="F79" s="32"/>
      <c r="G79" t="str">
        <f>MID(B79,FIND("(",B79)+1,FIND(")",B79)-FIND("(",B79)-1)</f>
        <v>Section312300</v>
      </c>
      <c r="H79" s="60">
        <v>312300</v>
      </c>
    </row>
    <row r="80" spans="1:8" ht="40.5" customHeight="1">
      <c r="A80" s="4" t="s">
        <v>162</v>
      </c>
      <c r="B80" s="47" t="s">
        <v>163</v>
      </c>
      <c r="C80" s="28">
        <v>10</v>
      </c>
      <c r="D80" s="5" t="s">
        <v>2</v>
      </c>
      <c r="E80" s="32"/>
      <c r="F80" s="32"/>
      <c r="G80" t="str">
        <f>MID(B80,FIND("(",B80)+1,FIND(")",B80)-FIND("(",B80)-1)</f>
        <v>Section330516</v>
      </c>
      <c r="H80" s="60">
        <v>330516</v>
      </c>
    </row>
    <row r="81" spans="1:8" ht="40.5" customHeight="1">
      <c r="A81" s="4" t="s">
        <v>164</v>
      </c>
      <c r="B81" s="47" t="s">
        <v>165</v>
      </c>
      <c r="C81" s="28">
        <v>120</v>
      </c>
      <c r="D81" s="5" t="s">
        <v>2</v>
      </c>
      <c r="E81" s="32"/>
      <c r="F81" s="32"/>
      <c r="G81" t="str">
        <f>MID(B81,FIND("(",B81)+1,FIND(")",B81)-FIND("(",B81)-1)</f>
        <v>Section354000</v>
      </c>
      <c r="H81" s="60">
        <v>354000</v>
      </c>
    </row>
    <row r="82" spans="1:8" ht="40.5" customHeight="1">
      <c r="A82" s="4" t="s">
        <v>166</v>
      </c>
      <c r="B82" s="47" t="s">
        <v>167</v>
      </c>
      <c r="C82" s="28">
        <v>750</v>
      </c>
      <c r="D82" s="5" t="s">
        <v>1</v>
      </c>
      <c r="E82" s="32"/>
      <c r="F82" s="32"/>
      <c r="G82" t="str">
        <f>MID(B82,FIND("(",B82)+1,FIND(")",B82)-FIND("(",B82)-1)</f>
        <v>Section354000</v>
      </c>
      <c r="H82" s="60">
        <v>354000</v>
      </c>
    </row>
    <row r="83" spans="1:8" ht="40.5" customHeight="1">
      <c r="A83" s="4" t="s">
        <v>168</v>
      </c>
      <c r="B83" s="47" t="s">
        <v>169</v>
      </c>
      <c r="C83" s="28">
        <v>150</v>
      </c>
      <c r="D83" s="5" t="s">
        <v>1</v>
      </c>
      <c r="E83" s="32"/>
      <c r="F83" s="32"/>
      <c r="G83" t="str">
        <f>MID(B83,FIND("(",B83)+1,FIND(")",B83)-FIND("(",B83)-1)</f>
        <v>Section354000</v>
      </c>
      <c r="H83" s="60">
        <v>354000</v>
      </c>
    </row>
    <row r="84" spans="1:8" ht="40.5" customHeight="1">
      <c r="A84" s="4" t="s">
        <v>170</v>
      </c>
      <c r="B84" s="47" t="s">
        <v>171</v>
      </c>
      <c r="C84" s="28">
        <v>4</v>
      </c>
      <c r="D84" s="5" t="s">
        <v>2</v>
      </c>
      <c r="E84" s="32"/>
      <c r="F84" s="32"/>
      <c r="G84" t="str">
        <f>MID(B84,FIND("(",B84)+1,FIND(")",B84)-FIND("(",B84)-1)</f>
        <v>Section354000</v>
      </c>
      <c r="H84" s="60">
        <v>354000</v>
      </c>
    </row>
    <row r="85" spans="1:8" ht="40.5" customHeight="1">
      <c r="A85" s="4" t="s">
        <v>172</v>
      </c>
      <c r="B85" s="47" t="s">
        <v>173</v>
      </c>
      <c r="C85" s="28">
        <v>40</v>
      </c>
      <c r="D85" s="5" t="s">
        <v>1</v>
      </c>
      <c r="E85" s="32"/>
      <c r="F85" s="32"/>
      <c r="G85" t="str">
        <f>MID(B85,FIND("(",B85)+1,FIND(")",B85)-FIND("(",B85)-1)</f>
        <v>Section354000</v>
      </c>
      <c r="H85" s="60">
        <v>354000</v>
      </c>
    </row>
    <row r="86" spans="1:8" ht="40.5" hidden="1" customHeight="1">
      <c r="A86" s="4" t="s">
        <v>174</v>
      </c>
      <c r="B86" s="47" t="s">
        <v>175</v>
      </c>
      <c r="C86" s="53">
        <v>16000</v>
      </c>
      <c r="D86" s="5" t="s">
        <v>7</v>
      </c>
      <c r="E86" s="32"/>
      <c r="F86" s="32"/>
      <c r="G86" t="str">
        <f>MID(B86,FIND("(",B86)+1,FIND(")",B86)-FIND("(",B86)-1)</f>
        <v>ItemL-108</v>
      </c>
      <c r="H86" s="60" t="s">
        <v>176</v>
      </c>
    </row>
    <row r="87" spans="1:8" ht="54.75" hidden="1" customHeight="1">
      <c r="A87" s="4" t="s">
        <v>177</v>
      </c>
      <c r="B87" s="47" t="s">
        <v>178</v>
      </c>
      <c r="C87" s="53">
        <v>1911</v>
      </c>
      <c r="D87" s="5" t="s">
        <v>7</v>
      </c>
      <c r="E87" s="32"/>
      <c r="F87" s="32"/>
      <c r="G87" t="str">
        <f>MID(B87,FIND("(",B87)+1,FIND(")",B87)-FIND("(",B87)-1)</f>
        <v>ItemL-108</v>
      </c>
      <c r="H87" s="60" t="s">
        <v>176</v>
      </c>
    </row>
    <row r="88" spans="1:8" ht="40.5" hidden="1" customHeight="1">
      <c r="A88" s="4" t="s">
        <v>179</v>
      </c>
      <c r="B88" s="47" t="s">
        <v>180</v>
      </c>
      <c r="C88" s="28">
        <v>10</v>
      </c>
      <c r="D88" s="5" t="s">
        <v>2</v>
      </c>
      <c r="E88" s="32"/>
      <c r="F88" s="32"/>
      <c r="G88" t="str">
        <f>MID(B88,FIND("(",B88)+1,FIND(")",B88)-FIND("(",B88)-1)</f>
        <v>ItemL-108</v>
      </c>
      <c r="H88" s="60" t="s">
        <v>176</v>
      </c>
    </row>
    <row r="89" spans="1:8" ht="40.5" hidden="1" customHeight="1">
      <c r="A89" s="4" t="s">
        <v>181</v>
      </c>
      <c r="B89" s="47" t="s">
        <v>182</v>
      </c>
      <c r="C89" s="53">
        <v>1948</v>
      </c>
      <c r="D89" s="5" t="s">
        <v>7</v>
      </c>
      <c r="E89" s="32"/>
      <c r="F89" s="32"/>
      <c r="G89" t="str">
        <f>MID(B89,FIND("(",B89)+1,FIND(")",B89)-FIND("(",B89)-1)</f>
        <v>ItemL-110</v>
      </c>
      <c r="H89" s="60" t="s">
        <v>183</v>
      </c>
    </row>
    <row r="90" spans="1:8" ht="40.5" hidden="1" customHeight="1">
      <c r="A90" s="4" t="s">
        <v>184</v>
      </c>
      <c r="B90" s="47" t="s">
        <v>185</v>
      </c>
      <c r="C90" s="28">
        <v>160</v>
      </c>
      <c r="D90" s="5" t="s">
        <v>7</v>
      </c>
      <c r="E90" s="32"/>
      <c r="F90" s="32"/>
      <c r="G90" t="str">
        <f>MID(B90,FIND("(",B90)+1,FIND(")",B90)-FIND("(",B90)-1)</f>
        <v>ItemL-110</v>
      </c>
      <c r="H90" s="60" t="s">
        <v>183</v>
      </c>
    </row>
    <row r="91" spans="1:8" ht="40.5" hidden="1" customHeight="1">
      <c r="A91" s="4" t="s">
        <v>186</v>
      </c>
      <c r="B91" s="47" t="s">
        <v>187</v>
      </c>
      <c r="C91" s="28">
        <v>1</v>
      </c>
      <c r="D91" s="5" t="s">
        <v>8</v>
      </c>
      <c r="E91" s="32"/>
      <c r="F91" s="32"/>
      <c r="G91" t="str">
        <f>MID(B91,FIND("(",B91)+1,FIND(")",B91)-FIND("(",B91)-1)</f>
        <v>Section260500</v>
      </c>
      <c r="H91" s="60">
        <v>260500</v>
      </c>
    </row>
    <row r="92" spans="1:8" ht="40.5" hidden="1" customHeight="1">
      <c r="A92" s="4" t="s">
        <v>188</v>
      </c>
      <c r="B92" s="47" t="s">
        <v>189</v>
      </c>
      <c r="C92" s="28">
        <v>1</v>
      </c>
      <c r="D92" s="5" t="s">
        <v>8</v>
      </c>
      <c r="E92" s="32"/>
      <c r="F92" s="32"/>
      <c r="G92" t="str">
        <f>MID(B92,FIND("(",B92)+1,FIND(")",B92)-FIND("(",B92)-1)</f>
        <v>Section260500</v>
      </c>
      <c r="H92" s="60">
        <v>260500</v>
      </c>
    </row>
    <row r="93" spans="1:8" ht="40.5" hidden="1" customHeight="1">
      <c r="A93" s="4" t="s">
        <v>190</v>
      </c>
      <c r="B93" s="47" t="s">
        <v>191</v>
      </c>
      <c r="C93" s="28">
        <v>1</v>
      </c>
      <c r="D93" s="5" t="s">
        <v>8</v>
      </c>
      <c r="E93" s="32"/>
      <c r="F93" s="32"/>
      <c r="G93" t="str">
        <f>MID(B93,FIND("(",B93)+1,FIND(")",B93)-FIND("(",B93)-1)</f>
        <v>Section260500</v>
      </c>
      <c r="H93" s="60">
        <v>260500</v>
      </c>
    </row>
    <row r="94" spans="1:8" ht="40.5" hidden="1" customHeight="1">
      <c r="A94" s="4" t="s">
        <v>192</v>
      </c>
      <c r="B94" s="47" t="s">
        <v>193</v>
      </c>
      <c r="C94" s="28">
        <v>1</v>
      </c>
      <c r="D94" s="5" t="s">
        <v>8</v>
      </c>
      <c r="E94" s="32"/>
      <c r="F94" s="32"/>
      <c r="G94" t="str">
        <f>MID(B94,FIND("(",B94)+1,FIND(")",B94)-FIND("(",B94)-1)</f>
        <v>Section260500</v>
      </c>
      <c r="H94" s="60">
        <v>260500</v>
      </c>
    </row>
    <row r="95" spans="1:8" ht="40.5" hidden="1" customHeight="1">
      <c r="A95" s="4" t="s">
        <v>194</v>
      </c>
      <c r="B95" s="47" t="s">
        <v>195</v>
      </c>
      <c r="C95" s="28">
        <v>1</v>
      </c>
      <c r="D95" s="5" t="s">
        <v>8</v>
      </c>
      <c r="E95" s="32"/>
      <c r="F95" s="32"/>
      <c r="G95" t="str">
        <f>MID(B95,FIND("(",B95)+1,FIND(")",B95)-FIND("(",B95)-1)</f>
        <v>Section260500</v>
      </c>
      <c r="H95" s="60">
        <v>260500</v>
      </c>
    </row>
    <row r="96" spans="1:8" ht="53.25" hidden="1" customHeight="1">
      <c r="A96" s="4" t="s">
        <v>196</v>
      </c>
      <c r="B96" s="47" t="s">
        <v>197</v>
      </c>
      <c r="C96" s="28">
        <v>1</v>
      </c>
      <c r="D96" s="5" t="s">
        <v>2</v>
      </c>
      <c r="E96" s="32"/>
      <c r="F96" s="32"/>
      <c r="G96" t="str">
        <f>MID(B96,FIND("(",B96)+1,FIND(")",B96)-FIND("(",B96)-1)</f>
        <v>Section344300</v>
      </c>
      <c r="H96" s="60">
        <v>344300</v>
      </c>
    </row>
    <row r="97" spans="1:8" ht="54" hidden="1" customHeight="1">
      <c r="A97" s="4" t="s">
        <v>198</v>
      </c>
      <c r="B97" s="47" t="s">
        <v>199</v>
      </c>
      <c r="C97" s="28">
        <v>8</v>
      </c>
      <c r="D97" s="5" t="s">
        <v>2</v>
      </c>
      <c r="E97" s="49"/>
      <c r="F97" s="49"/>
      <c r="G97" t="str">
        <f>MID(B97,FIND("(",B97)+1,FIND(")",B97)-FIND("(",B97)-1)</f>
        <v>Section344300</v>
      </c>
      <c r="H97" s="60">
        <v>344300</v>
      </c>
    </row>
    <row r="98" spans="1:8" ht="54" hidden="1" customHeight="1">
      <c r="A98" s="4" t="s">
        <v>200</v>
      </c>
      <c r="B98" s="47" t="s">
        <v>201</v>
      </c>
      <c r="C98" s="28">
        <v>2</v>
      </c>
      <c r="D98" s="5" t="s">
        <v>2</v>
      </c>
      <c r="E98" s="32"/>
      <c r="F98" s="32"/>
      <c r="G98" t="str">
        <f>MID(B98,FIND("(",B98)+1,FIND(")",B98)-FIND("(",B98)-1)</f>
        <v>Section344300</v>
      </c>
      <c r="H98" s="60">
        <v>344300</v>
      </c>
    </row>
    <row r="99" spans="1:8" ht="39.75" hidden="1" customHeight="1">
      <c r="A99" s="4" t="s">
        <v>202</v>
      </c>
      <c r="B99" s="47" t="s">
        <v>203</v>
      </c>
      <c r="C99" s="28">
        <v>38</v>
      </c>
      <c r="D99" s="5" t="s">
        <v>2</v>
      </c>
      <c r="E99" s="32"/>
      <c r="F99" s="32"/>
      <c r="G99" t="str">
        <f>MID(B99,FIND("(",B99)+1,FIND(")",B99)-FIND("(",B99)-1)</f>
        <v>Section344300</v>
      </c>
      <c r="H99" s="60">
        <v>344300</v>
      </c>
    </row>
    <row r="100" spans="1:8" ht="42.75" hidden="1" customHeight="1">
      <c r="A100" s="4" t="s">
        <v>204</v>
      </c>
      <c r="B100" s="47" t="s">
        <v>205</v>
      </c>
      <c r="C100" s="28">
        <v>1</v>
      </c>
      <c r="D100" s="5" t="s">
        <v>2</v>
      </c>
      <c r="E100" s="32"/>
      <c r="F100" s="32"/>
      <c r="G100" t="str">
        <f>MID(B100,FIND("(",B100)+1,FIND(")",B100)-FIND("(",B100)-1)</f>
        <v>Section344300</v>
      </c>
      <c r="H100" s="60">
        <v>344300</v>
      </c>
    </row>
    <row r="101" spans="1:8" ht="39" hidden="1" customHeight="1">
      <c r="A101" s="4" t="s">
        <v>206</v>
      </c>
      <c r="B101" s="47" t="s">
        <v>207</v>
      </c>
      <c r="C101" s="28">
        <v>13</v>
      </c>
      <c r="D101" s="5" t="s">
        <v>2</v>
      </c>
      <c r="E101" s="32"/>
      <c r="F101" s="32"/>
      <c r="G101" t="str">
        <f>MID(B101,FIND("(",B101)+1,FIND(")",B101)-FIND("(",B101)-1)</f>
        <v>Section344300</v>
      </c>
      <c r="H101" s="60">
        <v>344300</v>
      </c>
    </row>
    <row r="102" spans="1:8" ht="40.5" hidden="1" customHeight="1">
      <c r="A102" s="4" t="s">
        <v>208</v>
      </c>
      <c r="B102" s="47" t="s">
        <v>209</v>
      </c>
      <c r="C102" s="28">
        <v>3</v>
      </c>
      <c r="D102" s="5" t="s">
        <v>2</v>
      </c>
      <c r="E102" s="32"/>
      <c r="F102" s="32"/>
      <c r="G102" t="str">
        <f>MID(B102,FIND("(",B102)+1,FIND(")",B102)-FIND("(",B102)-1)</f>
        <v>Section344301</v>
      </c>
      <c r="H102" s="60">
        <v>344301</v>
      </c>
    </row>
    <row r="103" spans="1:8" ht="40.5" hidden="1" customHeight="1">
      <c r="A103" s="4" t="s">
        <v>210</v>
      </c>
      <c r="B103" s="47" t="s">
        <v>211</v>
      </c>
      <c r="C103" s="28">
        <v>1</v>
      </c>
      <c r="D103" s="5" t="s">
        <v>8</v>
      </c>
      <c r="E103" s="32"/>
      <c r="F103" s="32"/>
      <c r="G103" t="str">
        <f>MID(B103,FIND("(",B103)+1,FIND(")",B103)-FIND("(",B103)-1)</f>
        <v>Section344302</v>
      </c>
      <c r="H103" s="60">
        <v>344302</v>
      </c>
    </row>
    <row r="104" spans="1:8" ht="40.5" hidden="1" customHeight="1">
      <c r="A104" s="4" t="s">
        <v>212</v>
      </c>
      <c r="B104" s="47" t="s">
        <v>213</v>
      </c>
      <c r="C104" s="28">
        <v>1</v>
      </c>
      <c r="D104" s="5" t="s">
        <v>8</v>
      </c>
      <c r="E104" s="32"/>
      <c r="F104" s="32"/>
      <c r="G104" t="str">
        <f>MID(B104,FIND("(",B104)+1,FIND(")",B104)-FIND("(",B104)-1)</f>
        <v>Section344302</v>
      </c>
      <c r="H104" s="60">
        <v>344302</v>
      </c>
    </row>
    <row r="105" spans="1:8" ht="27.75" customHeight="1">
      <c r="A105" s="6"/>
      <c r="B105" s="7" t="s">
        <v>214</v>
      </c>
      <c r="C105" s="29"/>
      <c r="D105" s="6"/>
      <c r="E105" s="33"/>
      <c r="F105" s="33" t="s">
        <v>215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104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L93"/>
  <sheetViews>
    <sheetView topLeftCell="A69" zoomScaleNormal="100" zoomScaleSheetLayoutView="100" workbookViewId="0">
      <selection activeCell="A7" sqref="A7:L73"/>
    </sheetView>
  </sheetViews>
  <sheetFormatPr defaultRowHeight="15"/>
  <cols>
    <col min="1" max="1" width="6.7109375" customWidth="1"/>
    <col min="2" max="2" width="28.85546875" style="20" customWidth="1"/>
    <col min="3" max="3" width="11.28515625" style="36" customWidth="1"/>
    <col min="4" max="4" width="6.7109375" style="20" customWidth="1"/>
    <col min="5" max="5" width="11" style="30" customWidth="1"/>
    <col min="6" max="6" width="13.42578125" style="30" customWidth="1"/>
    <col min="7" max="7" width="11" style="30" customWidth="1"/>
    <col min="8" max="8" width="13.42578125" style="30" customWidth="1"/>
    <col min="9" max="9" width="11" customWidth="1"/>
    <col min="10" max="10" width="13.42578125" customWidth="1"/>
    <col min="11" max="11" width="11" customWidth="1"/>
    <col min="12" max="12" width="13.42578125" customWidth="1"/>
  </cols>
  <sheetData>
    <row r="1" spans="1:12" ht="30" customHeight="1">
      <c r="A1" s="80" t="str">
        <f>ProjectLocation</f>
        <v>HILLSBOROAIRPORT</v>
      </c>
      <c r="B1" s="81"/>
      <c r="C1" s="81"/>
      <c r="D1" s="82"/>
      <c r="E1" s="69" t="s">
        <v>216</v>
      </c>
      <c r="F1" s="70"/>
      <c r="G1" s="73" t="s">
        <v>217</v>
      </c>
      <c r="H1" s="74"/>
      <c r="I1" s="73" t="s">
        <v>218</v>
      </c>
      <c r="J1" s="74"/>
      <c r="K1" s="69" t="s">
        <v>219</v>
      </c>
      <c r="L1" s="70"/>
    </row>
    <row r="2" spans="1:12">
      <c r="A2" s="83" t="s">
        <v>220</v>
      </c>
      <c r="B2" s="84"/>
      <c r="C2" s="84"/>
      <c r="D2" s="85"/>
      <c r="E2" s="71"/>
      <c r="F2" s="72"/>
      <c r="G2" s="75"/>
      <c r="H2" s="76"/>
      <c r="I2" s="75"/>
      <c r="J2" s="76"/>
      <c r="K2" s="71"/>
      <c r="L2" s="72"/>
    </row>
    <row r="3" spans="1:12">
      <c r="A3" s="83" t="s">
        <v>221</v>
      </c>
      <c r="B3" s="84"/>
      <c r="C3" s="84"/>
      <c r="D3" s="85"/>
      <c r="E3" s="71"/>
      <c r="F3" s="72"/>
      <c r="G3" s="75"/>
      <c r="H3" s="76"/>
      <c r="I3" s="75"/>
      <c r="J3" s="76"/>
      <c r="K3" s="71"/>
      <c r="L3" s="72"/>
    </row>
    <row r="4" spans="1:12">
      <c r="A4" s="86" t="s">
        <v>222</v>
      </c>
      <c r="B4" s="87"/>
      <c r="C4" s="87"/>
      <c r="D4" s="88"/>
      <c r="E4" s="71"/>
      <c r="F4" s="72"/>
      <c r="G4" s="75"/>
      <c r="H4" s="76"/>
      <c r="I4" s="75"/>
      <c r="J4" s="76"/>
      <c r="K4" s="71"/>
      <c r="L4" s="72"/>
    </row>
    <row r="5" spans="1:12">
      <c r="A5" s="86" t="s">
        <v>223</v>
      </c>
      <c r="B5" s="87"/>
      <c r="C5" s="87"/>
      <c r="D5" s="88"/>
      <c r="E5" s="71"/>
      <c r="F5" s="72"/>
      <c r="G5" s="75"/>
      <c r="H5" s="76"/>
      <c r="I5" s="75"/>
      <c r="J5" s="76"/>
      <c r="K5" s="71"/>
      <c r="L5" s="72"/>
    </row>
    <row r="6" spans="1:12">
      <c r="A6" s="77">
        <f ca="1">TODAY()</f>
        <v>46055</v>
      </c>
      <c r="B6" s="78"/>
      <c r="C6" s="78"/>
      <c r="D6" s="79"/>
      <c r="E6" s="37"/>
      <c r="F6" s="38"/>
      <c r="G6" s="37"/>
      <c r="H6" s="38"/>
      <c r="I6" s="37"/>
      <c r="J6" s="38"/>
      <c r="K6" s="37"/>
      <c r="L6" s="38"/>
    </row>
    <row r="7" spans="1:12" ht="32.25" customHeight="1">
      <c r="A7" s="8" t="s">
        <v>224</v>
      </c>
      <c r="B7" s="16" t="s">
        <v>225</v>
      </c>
      <c r="C7" s="34" t="s">
        <v>226</v>
      </c>
      <c r="D7" s="16" t="s">
        <v>227</v>
      </c>
      <c r="E7" s="39" t="s">
        <v>228</v>
      </c>
      <c r="F7" s="39" t="s">
        <v>229</v>
      </c>
      <c r="G7" s="39" t="s">
        <v>228</v>
      </c>
      <c r="H7" s="39" t="s">
        <v>229</v>
      </c>
      <c r="I7" s="39" t="s">
        <v>228</v>
      </c>
      <c r="J7" s="39" t="s">
        <v>229</v>
      </c>
      <c r="K7" s="39" t="s">
        <v>228</v>
      </c>
      <c r="L7" s="39" t="s">
        <v>229</v>
      </c>
    </row>
    <row r="8" spans="1:12" ht="33" customHeight="1">
      <c r="A8" s="50" t="str">
        <f>'Bid Item List'!A20</f>
        <v>0001</v>
      </c>
      <c r="B8" s="51" t="str">
        <f>'Bid Item List'!B20</f>
        <v>Sweeper
(Section012200)</v>
      </c>
      <c r="C8" s="56">
        <f>'Bid Item List'!C20</f>
        <v>1</v>
      </c>
      <c r="D8" s="17" t="str">
        <f>'Bid Item List'!D20</f>
        <v>LS</v>
      </c>
      <c r="E8" s="23">
        <v>170000</v>
      </c>
      <c r="F8" s="24">
        <f t="shared" ref="F8:F15" si="0">QTY*E8</f>
        <v>170000</v>
      </c>
      <c r="G8" s="23">
        <v>150000</v>
      </c>
      <c r="H8" s="24">
        <f t="shared" ref="H8:H15" si="1">QTY*G8</f>
        <v>150000</v>
      </c>
      <c r="I8" s="23">
        <v>152000</v>
      </c>
      <c r="J8" s="24">
        <f t="shared" ref="J8:J15" si="2">QTY*I8</f>
        <v>152000</v>
      </c>
      <c r="K8" s="54">
        <v>216000</v>
      </c>
      <c r="L8" s="55">
        <f t="shared" ref="L8:L15" si="3">QTY*K8</f>
        <v>216000</v>
      </c>
    </row>
    <row r="9" spans="1:12" ht="33" customHeight="1">
      <c r="A9" s="50" t="str">
        <f>'Bid Item List'!A21</f>
        <v>0002</v>
      </c>
      <c r="B9" s="51" t="str">
        <f>'Bid Item List'!B21</f>
        <v>WorkZoneandTrafficControl
(Section012200)</v>
      </c>
      <c r="C9" s="56">
        <f>'Bid Item List'!C21</f>
        <v>1</v>
      </c>
      <c r="D9" s="17" t="str">
        <f>'Bid Item List'!D21</f>
        <v>LS</v>
      </c>
      <c r="E9" s="23">
        <v>90000</v>
      </c>
      <c r="F9" s="24">
        <f t="shared" si="0"/>
        <v>90000</v>
      </c>
      <c r="G9" s="23">
        <v>200000</v>
      </c>
      <c r="H9" s="24">
        <f t="shared" si="1"/>
        <v>200000</v>
      </c>
      <c r="I9" s="23">
        <v>135000</v>
      </c>
      <c r="J9" s="24">
        <f t="shared" si="2"/>
        <v>135000</v>
      </c>
      <c r="K9" s="54">
        <v>162000</v>
      </c>
      <c r="L9" s="55">
        <f t="shared" si="3"/>
        <v>162000</v>
      </c>
    </row>
    <row r="10" spans="1:12" ht="33" customHeight="1">
      <c r="A10" s="50" t="str">
        <f>'Bid Item List'!A22</f>
        <v>0003</v>
      </c>
      <c r="B10" s="51" t="str">
        <f>'Bid Item List'!B22</f>
        <v>Escort
(Section012200)</v>
      </c>
      <c r="C10" s="56">
        <f>'Bid Item List'!C22</f>
        <v>1</v>
      </c>
      <c r="D10" s="17" t="str">
        <f>'Bid Item List'!D22</f>
        <v>LS</v>
      </c>
      <c r="E10" s="23">
        <v>170000</v>
      </c>
      <c r="F10" s="24">
        <f t="shared" si="0"/>
        <v>170000</v>
      </c>
      <c r="G10" s="23">
        <v>75000</v>
      </c>
      <c r="H10" s="24">
        <f t="shared" si="1"/>
        <v>75000</v>
      </c>
      <c r="I10" s="23">
        <v>25000</v>
      </c>
      <c r="J10" s="24">
        <f t="shared" si="2"/>
        <v>25000</v>
      </c>
      <c r="K10" s="54">
        <v>50000</v>
      </c>
      <c r="L10" s="55">
        <f t="shared" si="3"/>
        <v>50000</v>
      </c>
    </row>
    <row r="11" spans="1:12" ht="33" customHeight="1">
      <c r="A11" s="50" t="str">
        <f>'Bid Item List'!A23</f>
        <v>0004</v>
      </c>
      <c r="B11" s="51" t="str">
        <f>'Bid Item List'!B23</f>
        <v>3'HighBlueReflectiveMarkers
(Section012200)</v>
      </c>
      <c r="C11" s="56">
        <f>'Bid Item List'!C23</f>
        <v>12</v>
      </c>
      <c r="D11" s="17" t="str">
        <f>'Bid Item List'!D23</f>
        <v>Each</v>
      </c>
      <c r="E11" s="23">
        <v>250</v>
      </c>
      <c r="F11" s="24">
        <f t="shared" si="0"/>
        <v>3000</v>
      </c>
      <c r="G11" s="23">
        <v>95</v>
      </c>
      <c r="H11" s="24">
        <f t="shared" si="1"/>
        <v>1140</v>
      </c>
      <c r="I11" s="23">
        <v>88</v>
      </c>
      <c r="J11" s="24">
        <f t="shared" si="2"/>
        <v>1056</v>
      </c>
      <c r="K11" s="54">
        <v>100</v>
      </c>
      <c r="L11" s="55">
        <f t="shared" si="3"/>
        <v>1200</v>
      </c>
    </row>
    <row r="12" spans="1:12" ht="33" customHeight="1">
      <c r="A12" s="50" t="str">
        <f>'Bid Item List'!A24</f>
        <v>0005</v>
      </c>
      <c r="B12" s="51" t="str">
        <f>'Bid Item List'!B24</f>
        <v>TemporaryStreamBypass(Section012200)</v>
      </c>
      <c r="C12" s="56">
        <f>'Bid Item List'!C24</f>
        <v>1</v>
      </c>
      <c r="D12" s="17" t="str">
        <f>'Bid Item List'!D24</f>
        <v>LS</v>
      </c>
      <c r="E12" s="23">
        <v>20000</v>
      </c>
      <c r="F12" s="24">
        <f t="shared" si="0"/>
        <v>20000</v>
      </c>
      <c r="G12" s="23">
        <v>20000</v>
      </c>
      <c r="H12" s="24">
        <f t="shared" si="1"/>
        <v>20000</v>
      </c>
      <c r="I12" s="23">
        <v>33500</v>
      </c>
      <c r="J12" s="24">
        <f t="shared" si="2"/>
        <v>33500</v>
      </c>
      <c r="K12" s="54">
        <v>90000</v>
      </c>
      <c r="L12" s="55">
        <f t="shared" si="3"/>
        <v>90000</v>
      </c>
    </row>
    <row r="13" spans="1:12" ht="33" customHeight="1">
      <c r="A13" s="50" t="str">
        <f>'Bid Item List'!A25</f>
        <v>0006</v>
      </c>
      <c r="B13" s="51" t="str">
        <f>'Bid Item List'!B25</f>
        <v>SettlementPlates
(Section012200)</v>
      </c>
      <c r="C13" s="56">
        <f>'Bid Item List'!C25</f>
        <v>6</v>
      </c>
      <c r="D13" s="17" t="str">
        <f>'Bid Item List'!D25</f>
        <v>Each</v>
      </c>
      <c r="E13" s="23">
        <v>500</v>
      </c>
      <c r="F13" s="24">
        <f t="shared" si="0"/>
        <v>3000</v>
      </c>
      <c r="G13" s="23">
        <v>750</v>
      </c>
      <c r="H13" s="24">
        <f t="shared" si="1"/>
        <v>4500</v>
      </c>
      <c r="I13" s="23">
        <v>485</v>
      </c>
      <c r="J13" s="24">
        <f t="shared" si="2"/>
        <v>2910</v>
      </c>
      <c r="K13" s="54">
        <v>500</v>
      </c>
      <c r="L13" s="55">
        <f t="shared" si="3"/>
        <v>3000</v>
      </c>
    </row>
    <row r="14" spans="1:12" ht="33" customHeight="1">
      <c r="A14" s="50" t="str">
        <f>'Bid Item List'!A26</f>
        <v>0007</v>
      </c>
      <c r="B14" s="51" t="str">
        <f>'Bid Item List'!B26</f>
        <v>PlasticMeshFence
(Section015713)</v>
      </c>
      <c r="C14" s="56">
        <f>'Bid Item List'!C26</f>
        <v>100</v>
      </c>
      <c r="D14" s="17" t="str">
        <f>'Bid Item List'!D26</f>
        <v>LF</v>
      </c>
      <c r="E14" s="23">
        <v>4</v>
      </c>
      <c r="F14" s="24">
        <f t="shared" si="0"/>
        <v>400</v>
      </c>
      <c r="G14" s="23">
        <v>4</v>
      </c>
      <c r="H14" s="24">
        <f t="shared" si="1"/>
        <v>400</v>
      </c>
      <c r="I14" s="23">
        <v>8.5</v>
      </c>
      <c r="J14" s="24">
        <f t="shared" si="2"/>
        <v>850</v>
      </c>
      <c r="K14" s="54">
        <v>2.5</v>
      </c>
      <c r="L14" s="55">
        <f t="shared" si="3"/>
        <v>250</v>
      </c>
    </row>
    <row r="15" spans="1:12" ht="33" customHeight="1">
      <c r="A15" s="50" t="str">
        <f>'Bid Item List'!A27</f>
        <v>0008</v>
      </c>
      <c r="B15" s="51" t="str">
        <f>'Bid Item List'!B27</f>
        <v>InletProtection
(Section015713)</v>
      </c>
      <c r="C15" s="56">
        <f>'Bid Item List'!C27</f>
        <v>14</v>
      </c>
      <c r="D15" s="17" t="str">
        <f>'Bid Item List'!D27</f>
        <v>Each</v>
      </c>
      <c r="E15" s="23">
        <v>70</v>
      </c>
      <c r="F15" s="24">
        <f t="shared" si="0"/>
        <v>980</v>
      </c>
      <c r="G15" s="23">
        <v>110</v>
      </c>
      <c r="H15" s="24">
        <f t="shared" si="1"/>
        <v>1540</v>
      </c>
      <c r="I15" s="23">
        <v>100</v>
      </c>
      <c r="J15" s="24">
        <f t="shared" si="2"/>
        <v>1400</v>
      </c>
      <c r="K15" s="54">
        <v>135</v>
      </c>
      <c r="L15" s="55">
        <f t="shared" si="3"/>
        <v>1890</v>
      </c>
    </row>
    <row r="16" spans="1:12" ht="33" customHeight="1">
      <c r="A16" s="50" t="str">
        <f>'Bid Item List'!A28</f>
        <v>0009</v>
      </c>
      <c r="B16" s="51" t="str">
        <f>'Bid Item List'!B28</f>
        <v>Wattles
(Section015713)</v>
      </c>
      <c r="C16" s="56">
        <f>'Bid Item List'!C28</f>
        <v>5000</v>
      </c>
      <c r="D16" s="17" t="str">
        <f>'Bid Item List'!D28</f>
        <v>LF</v>
      </c>
      <c r="E16" s="23">
        <v>3.75</v>
      </c>
      <c r="F16" s="24">
        <f t="shared" ref="F16:F80" si="4">QTY*E16</f>
        <v>18750</v>
      </c>
      <c r="G16" s="23">
        <v>3.75</v>
      </c>
      <c r="H16" s="24">
        <f t="shared" ref="H16:H80" si="5">QTY*G16</f>
        <v>18750</v>
      </c>
      <c r="I16" s="23">
        <v>3.9</v>
      </c>
      <c r="J16" s="24">
        <f t="shared" ref="J16:J80" si="6">QTY*I16</f>
        <v>19500</v>
      </c>
      <c r="K16" s="54">
        <v>4.5</v>
      </c>
      <c r="L16" s="55">
        <f t="shared" ref="L16:L80" si="7">QTY*K16</f>
        <v>22500</v>
      </c>
    </row>
    <row r="17" spans="1:12" ht="33" customHeight="1">
      <c r="A17" s="50" t="str">
        <f>'Bid Item List'!A29</f>
        <v>0010</v>
      </c>
      <c r="B17" s="51" t="str">
        <f>'Bid Item List'!B29</f>
        <v>JetBlastControlMaterial
(Section015713)</v>
      </c>
      <c r="C17" s="56">
        <f>'Bid Item List'!C29</f>
        <v>1</v>
      </c>
      <c r="D17" s="17" t="str">
        <f>'Bid Item List'!D29</f>
        <v>Acre</v>
      </c>
      <c r="E17" s="23">
        <v>9500</v>
      </c>
      <c r="F17" s="24">
        <f t="shared" si="4"/>
        <v>9500</v>
      </c>
      <c r="G17" s="23">
        <v>8200</v>
      </c>
      <c r="H17" s="24">
        <f t="shared" si="5"/>
        <v>8200</v>
      </c>
      <c r="I17" s="23">
        <v>8400</v>
      </c>
      <c r="J17" s="24">
        <f t="shared" si="6"/>
        <v>8400</v>
      </c>
      <c r="K17" s="54">
        <v>5400</v>
      </c>
      <c r="L17" s="55">
        <f t="shared" si="7"/>
        <v>5400</v>
      </c>
    </row>
    <row r="18" spans="1:12" ht="33" customHeight="1">
      <c r="A18" s="50" t="str">
        <f>'Bid Item List'!A30</f>
        <v>0011</v>
      </c>
      <c r="B18" s="51" t="str">
        <f>'Bid Item List'!B30</f>
        <v>DitchProtection/CheckDams
(Section015713)</v>
      </c>
      <c r="C18" s="56">
        <f>'Bid Item List'!C30</f>
        <v>13</v>
      </c>
      <c r="D18" s="17" t="str">
        <f>'Bid Item List'!D30</f>
        <v>Each</v>
      </c>
      <c r="E18" s="23">
        <v>90</v>
      </c>
      <c r="F18" s="24">
        <f t="shared" si="4"/>
        <v>1170</v>
      </c>
      <c r="G18" s="23">
        <v>160</v>
      </c>
      <c r="H18" s="24">
        <f t="shared" si="5"/>
        <v>2080</v>
      </c>
      <c r="I18" s="23">
        <v>85</v>
      </c>
      <c r="J18" s="24">
        <f t="shared" si="6"/>
        <v>1105</v>
      </c>
      <c r="K18" s="54">
        <v>540</v>
      </c>
      <c r="L18" s="55">
        <f t="shared" si="7"/>
        <v>7020</v>
      </c>
    </row>
    <row r="19" spans="1:12" ht="33" customHeight="1">
      <c r="A19" s="50" t="str">
        <f>'Bid Item List'!A31</f>
        <v>0012</v>
      </c>
      <c r="B19" s="51" t="str">
        <f>'Bid Item List'!B31</f>
        <v>ConstructionEntrance
(Section015713)</v>
      </c>
      <c r="C19" s="56">
        <f>'Bid Item List'!C31</f>
        <v>3</v>
      </c>
      <c r="D19" s="17" t="str">
        <f>'Bid Item List'!D31</f>
        <v>Each</v>
      </c>
      <c r="E19" s="23">
        <v>3150</v>
      </c>
      <c r="F19" s="24">
        <f t="shared" si="4"/>
        <v>9450</v>
      </c>
      <c r="G19" s="23">
        <v>4100</v>
      </c>
      <c r="H19" s="24">
        <f t="shared" si="5"/>
        <v>12300</v>
      </c>
      <c r="I19" s="23">
        <v>3000</v>
      </c>
      <c r="J19" s="24">
        <f t="shared" si="6"/>
        <v>9000</v>
      </c>
      <c r="K19" s="54">
        <v>10800</v>
      </c>
      <c r="L19" s="55">
        <f t="shared" si="7"/>
        <v>32400</v>
      </c>
    </row>
    <row r="20" spans="1:12" ht="33" customHeight="1">
      <c r="A20" s="50" t="str">
        <f>'Bid Item List'!A32</f>
        <v>0013</v>
      </c>
      <c r="B20" s="51" t="str">
        <f>'Bid Item List'!B32</f>
        <v>JuteMatting
(Section015713)</v>
      </c>
      <c r="C20" s="56">
        <f>'Bid Item List'!C32</f>
        <v>300</v>
      </c>
      <c r="D20" s="17" t="str">
        <f>'Bid Item List'!D32</f>
        <v>SY</v>
      </c>
      <c r="E20" s="23">
        <v>9</v>
      </c>
      <c r="F20" s="24">
        <f t="shared" si="4"/>
        <v>2700</v>
      </c>
      <c r="G20" s="23">
        <v>9</v>
      </c>
      <c r="H20" s="24">
        <f t="shared" si="5"/>
        <v>2700</v>
      </c>
      <c r="I20" s="23">
        <v>9.1999999999999993</v>
      </c>
      <c r="J20" s="24">
        <f t="shared" si="6"/>
        <v>2760</v>
      </c>
      <c r="K20" s="54">
        <v>3</v>
      </c>
      <c r="L20" s="55">
        <f t="shared" si="7"/>
        <v>900</v>
      </c>
    </row>
    <row r="21" spans="1:12" ht="33" customHeight="1">
      <c r="A21" s="50" t="str">
        <f>'Bid Item List'!A33</f>
        <v>0014</v>
      </c>
      <c r="B21" s="51" t="str">
        <f>'Bid Item List'!B33</f>
        <v>InstallationandRemovalofSiltFence
(ItemC-102)</v>
      </c>
      <c r="C21" s="56">
        <f>'Bid Item List'!C33</f>
        <v>7800</v>
      </c>
      <c r="D21" s="17" t="str">
        <f>'Bid Item List'!D33</f>
        <v>LF</v>
      </c>
      <c r="E21" s="23">
        <v>3.5</v>
      </c>
      <c r="F21" s="24">
        <f t="shared" si="4"/>
        <v>27300</v>
      </c>
      <c r="G21" s="23">
        <v>3.5</v>
      </c>
      <c r="H21" s="24">
        <f t="shared" si="5"/>
        <v>27300</v>
      </c>
      <c r="I21" s="23">
        <v>3.6</v>
      </c>
      <c r="J21" s="24">
        <f t="shared" si="6"/>
        <v>28080</v>
      </c>
      <c r="K21" s="54">
        <v>5.5</v>
      </c>
      <c r="L21" s="55">
        <f t="shared" si="7"/>
        <v>42900</v>
      </c>
    </row>
    <row r="22" spans="1:12" ht="33" customHeight="1">
      <c r="A22" s="50" t="str">
        <f>'Bid Item List'!A34</f>
        <v>0015</v>
      </c>
      <c r="B22" s="51" t="str">
        <f>'Bid Item List'!B34</f>
        <v>Mobilization
(ItemC-105)</v>
      </c>
      <c r="C22" s="56">
        <f>'Bid Item List'!C34</f>
        <v>1</v>
      </c>
      <c r="D22" s="17" t="str">
        <f>'Bid Item List'!D34</f>
        <v>LS</v>
      </c>
      <c r="E22" s="23">
        <v>890000</v>
      </c>
      <c r="F22" s="24">
        <f t="shared" si="4"/>
        <v>890000</v>
      </c>
      <c r="G22" s="23">
        <v>857490</v>
      </c>
      <c r="H22" s="24">
        <f t="shared" si="5"/>
        <v>857490</v>
      </c>
      <c r="I22" s="23">
        <v>850000</v>
      </c>
      <c r="J22" s="24">
        <f t="shared" si="6"/>
        <v>850000</v>
      </c>
      <c r="K22" s="54">
        <f>991313</f>
        <v>991313</v>
      </c>
      <c r="L22" s="55">
        <f t="shared" si="7"/>
        <v>991313</v>
      </c>
    </row>
    <row r="23" spans="1:12" ht="33" customHeight="1">
      <c r="A23" s="50" t="str">
        <f>'Bid Item List'!A35</f>
        <v>0016</v>
      </c>
      <c r="B23" s="51" t="str">
        <f>'Bid Item List'!B35</f>
        <v>AsphaltPavementRemoval-2.5-InchDepth
(ItemP-101)</v>
      </c>
      <c r="C23" s="56">
        <f>'Bid Item List'!C35</f>
        <v>7900</v>
      </c>
      <c r="D23" s="17" t="str">
        <f>'Bid Item List'!D35</f>
        <v>SY</v>
      </c>
      <c r="E23" s="23">
        <v>3.75</v>
      </c>
      <c r="F23" s="24">
        <f t="shared" si="4"/>
        <v>29625</v>
      </c>
      <c r="G23" s="23">
        <v>3</v>
      </c>
      <c r="H23" s="24">
        <f t="shared" si="5"/>
        <v>23700</v>
      </c>
      <c r="I23" s="23">
        <v>3.2</v>
      </c>
      <c r="J23" s="24">
        <f t="shared" si="6"/>
        <v>25280</v>
      </c>
      <c r="K23" s="54">
        <v>5.5</v>
      </c>
      <c r="L23" s="55">
        <f t="shared" si="7"/>
        <v>43450</v>
      </c>
    </row>
    <row r="24" spans="1:12" ht="33" customHeight="1">
      <c r="A24" s="50" t="str">
        <f>'Bid Item List'!A36</f>
        <v>0017</v>
      </c>
      <c r="B24" s="51" t="str">
        <f>'Bid Item List'!B36</f>
        <v>AsphaltPavementRemoval-4-InchDepth
(ItemP-101)</v>
      </c>
      <c r="C24" s="56">
        <f>'Bid Item List'!C36</f>
        <v>4100</v>
      </c>
      <c r="D24" s="17" t="str">
        <f>'Bid Item List'!D36</f>
        <v>SY</v>
      </c>
      <c r="E24" s="23">
        <v>5</v>
      </c>
      <c r="F24" s="24">
        <f t="shared" si="4"/>
        <v>20500</v>
      </c>
      <c r="G24" s="23">
        <v>5</v>
      </c>
      <c r="H24" s="24">
        <f t="shared" si="5"/>
        <v>20500</v>
      </c>
      <c r="I24" s="23">
        <v>3.8</v>
      </c>
      <c r="J24" s="24">
        <f t="shared" si="6"/>
        <v>15580</v>
      </c>
      <c r="K24" s="54">
        <v>6.5</v>
      </c>
      <c r="L24" s="55">
        <f t="shared" si="7"/>
        <v>26650</v>
      </c>
    </row>
    <row r="25" spans="1:12" ht="33" customHeight="1">
      <c r="A25" s="50" t="str">
        <f>'Bid Item List'!A37</f>
        <v>0018</v>
      </c>
      <c r="B25" s="51" t="str">
        <f>'Bid Item List'!B37</f>
        <v>AsphaltPavementRemoval-6-8-InchDepth
(ItemP-101)</v>
      </c>
      <c r="C25" s="56">
        <f>'Bid Item List'!C37</f>
        <v>4200</v>
      </c>
      <c r="D25" s="17" t="str">
        <f>'Bid Item List'!D37</f>
        <v>SY</v>
      </c>
      <c r="E25" s="23">
        <v>9.5</v>
      </c>
      <c r="F25" s="24">
        <f t="shared" si="4"/>
        <v>39900</v>
      </c>
      <c r="G25" s="23">
        <v>9</v>
      </c>
      <c r="H25" s="24">
        <f t="shared" si="5"/>
        <v>37800</v>
      </c>
      <c r="I25" s="23">
        <v>9.25</v>
      </c>
      <c r="J25" s="24">
        <f t="shared" si="6"/>
        <v>38850</v>
      </c>
      <c r="K25" s="54">
        <v>8.75</v>
      </c>
      <c r="L25" s="55">
        <f t="shared" si="7"/>
        <v>36750</v>
      </c>
    </row>
    <row r="26" spans="1:12" ht="33" customHeight="1">
      <c r="A26" s="50" t="str">
        <f>'Bid Item List'!A38</f>
        <v>0019</v>
      </c>
      <c r="B26" s="51" t="str">
        <f>'Bid Item List'!B38</f>
        <v>ColdMilling-0.5InchDepth
(ItemP-101)</v>
      </c>
      <c r="C26" s="56">
        <f>'Bid Item List'!C38</f>
        <v>4900</v>
      </c>
      <c r="D26" s="17" t="str">
        <f>'Bid Item List'!D38</f>
        <v>SY</v>
      </c>
      <c r="E26" s="23">
        <v>2.75</v>
      </c>
      <c r="F26" s="24">
        <f t="shared" si="4"/>
        <v>13475</v>
      </c>
      <c r="G26" s="23">
        <v>2.5</v>
      </c>
      <c r="H26" s="24">
        <f t="shared" si="5"/>
        <v>12250</v>
      </c>
      <c r="I26" s="23">
        <v>2.75</v>
      </c>
      <c r="J26" s="24">
        <f t="shared" si="6"/>
        <v>13475</v>
      </c>
      <c r="K26" s="54">
        <v>4.5</v>
      </c>
      <c r="L26" s="55">
        <f t="shared" si="7"/>
        <v>22050</v>
      </c>
    </row>
    <row r="27" spans="1:12" ht="33" customHeight="1">
      <c r="A27" s="50" t="str">
        <f>'Bid Item List'!A39</f>
        <v>0020</v>
      </c>
      <c r="B27" s="51" t="str">
        <f>'Bid Item List'!B39</f>
        <v>ColdMilling-VariableDepth(Transitional)(ItemP-101)</v>
      </c>
      <c r="C27" s="56">
        <f>'Bid Item List'!C39</f>
        <v>4000</v>
      </c>
      <c r="D27" s="17" t="str">
        <f>'Bid Item List'!D39</f>
        <v>SY</v>
      </c>
      <c r="E27" s="23">
        <v>3.25</v>
      </c>
      <c r="F27" s="24">
        <f t="shared" si="4"/>
        <v>13000</v>
      </c>
      <c r="G27" s="23">
        <v>5</v>
      </c>
      <c r="H27" s="24">
        <f t="shared" si="5"/>
        <v>20000</v>
      </c>
      <c r="I27" s="23">
        <v>3.3</v>
      </c>
      <c r="J27" s="24">
        <f t="shared" si="6"/>
        <v>13200</v>
      </c>
      <c r="K27" s="54">
        <v>4.5</v>
      </c>
      <c r="L27" s="55">
        <f t="shared" si="7"/>
        <v>18000</v>
      </c>
    </row>
    <row r="28" spans="1:12" ht="33" customHeight="1">
      <c r="A28" s="50" t="str">
        <f>'Bid Item List'!A40</f>
        <v>0021</v>
      </c>
      <c r="B28" s="51" t="str">
        <f>'Bid Item List'!B40</f>
        <v>RemovalofPipeandOtherBuriedStructures
(ItemP-101)</v>
      </c>
      <c r="C28" s="56">
        <f>'Bid Item List'!C40</f>
        <v>1</v>
      </c>
      <c r="D28" s="17" t="str">
        <f>'Bid Item List'!D40</f>
        <v>LS</v>
      </c>
      <c r="E28" s="23">
        <v>95000</v>
      </c>
      <c r="F28" s="24">
        <f t="shared" si="4"/>
        <v>95000</v>
      </c>
      <c r="G28" s="23">
        <v>31900</v>
      </c>
      <c r="H28" s="24">
        <f t="shared" si="5"/>
        <v>31900</v>
      </c>
      <c r="I28" s="23">
        <v>35000</v>
      </c>
      <c r="J28" s="24">
        <f t="shared" si="6"/>
        <v>35000</v>
      </c>
      <c r="K28" s="54">
        <v>75000</v>
      </c>
      <c r="L28" s="55">
        <f t="shared" si="7"/>
        <v>75000</v>
      </c>
    </row>
    <row r="29" spans="1:12" ht="33" customHeight="1">
      <c r="A29" s="50" t="str">
        <f>'Bid Item List'!A41</f>
        <v>0022</v>
      </c>
      <c r="B29" s="51" t="str">
        <f>'Bid Item List'!B41</f>
        <v>EmbankmentinPlace
(ItemP-152)</v>
      </c>
      <c r="C29" s="56">
        <f>'Bid Item List'!C41</f>
        <v>38600</v>
      </c>
      <c r="D29" s="17" t="str">
        <f>'Bid Item List'!D41</f>
        <v>CY</v>
      </c>
      <c r="E29" s="23">
        <v>15</v>
      </c>
      <c r="F29" s="24">
        <f t="shared" si="4"/>
        <v>579000</v>
      </c>
      <c r="G29" s="23">
        <v>18</v>
      </c>
      <c r="H29" s="24">
        <f t="shared" si="5"/>
        <v>694800</v>
      </c>
      <c r="I29" s="23">
        <v>18</v>
      </c>
      <c r="J29" s="24">
        <f t="shared" si="6"/>
        <v>694800</v>
      </c>
      <c r="K29" s="54">
        <v>57.5</v>
      </c>
      <c r="L29" s="55">
        <f t="shared" si="7"/>
        <v>2219500</v>
      </c>
    </row>
    <row r="30" spans="1:12" ht="33" customHeight="1">
      <c r="A30" s="50" t="str">
        <f>'Bid Item List'!A42</f>
        <v>0023</v>
      </c>
      <c r="B30" s="51" t="str">
        <f>'Bid Item List'!B42</f>
        <v>MechanicalStabilization
(ItemP-152)</v>
      </c>
      <c r="C30" s="56">
        <f>'Bid Item List'!C42</f>
        <v>2500</v>
      </c>
      <c r="D30" s="17" t="str">
        <f>'Bid Item List'!D42</f>
        <v>CY</v>
      </c>
      <c r="E30" s="23">
        <v>80</v>
      </c>
      <c r="F30" s="24">
        <f t="shared" si="4"/>
        <v>200000</v>
      </c>
      <c r="G30" s="23">
        <v>100</v>
      </c>
      <c r="H30" s="24">
        <f t="shared" si="5"/>
        <v>250000</v>
      </c>
      <c r="I30" s="23">
        <v>100</v>
      </c>
      <c r="J30" s="24">
        <f t="shared" si="6"/>
        <v>250000</v>
      </c>
      <c r="K30" s="54">
        <v>64.75</v>
      </c>
      <c r="L30" s="55">
        <f t="shared" si="7"/>
        <v>161875</v>
      </c>
    </row>
    <row r="31" spans="1:12" ht="33" customHeight="1">
      <c r="A31" s="50" t="str">
        <f>'Bid Item List'!A43</f>
        <v>0024</v>
      </c>
      <c r="B31" s="51" t="str">
        <f>'Bid Item List'!B43</f>
        <v>ExistingSubgradeStabilzation
(ItemP-152)</v>
      </c>
      <c r="C31" s="56">
        <f>'Bid Item List'!C43</f>
        <v>1000</v>
      </c>
      <c r="D31" s="17" t="str">
        <f>'Bid Item List'!D43</f>
        <v>CY</v>
      </c>
      <c r="E31" s="23">
        <v>70</v>
      </c>
      <c r="F31" s="24">
        <f t="shared" si="4"/>
        <v>70000</v>
      </c>
      <c r="G31" s="23">
        <v>95</v>
      </c>
      <c r="H31" s="24">
        <f t="shared" si="5"/>
        <v>95000</v>
      </c>
      <c r="I31" s="23">
        <v>125</v>
      </c>
      <c r="J31" s="24">
        <f t="shared" si="6"/>
        <v>125000</v>
      </c>
      <c r="K31" s="54">
        <v>80</v>
      </c>
      <c r="L31" s="55">
        <f t="shared" si="7"/>
        <v>80000</v>
      </c>
    </row>
    <row r="32" spans="1:12" ht="33" customHeight="1">
      <c r="A32" s="50" t="str">
        <f>'Bid Item List'!A44</f>
        <v>0025</v>
      </c>
      <c r="B32" s="51" t="str">
        <f>'Bid Item List'!B44</f>
        <v>UnsuitableExcavation
(ItemP-152)</v>
      </c>
      <c r="C32" s="56">
        <f>'Bid Item List'!C44</f>
        <v>11000</v>
      </c>
      <c r="D32" s="17" t="str">
        <f>'Bid Item List'!D44</f>
        <v>CY</v>
      </c>
      <c r="E32" s="23">
        <v>47</v>
      </c>
      <c r="F32" s="24">
        <f t="shared" si="4"/>
        <v>517000</v>
      </c>
      <c r="G32" s="23">
        <v>18</v>
      </c>
      <c r="H32" s="24">
        <f t="shared" si="5"/>
        <v>198000</v>
      </c>
      <c r="I32" s="23">
        <v>35</v>
      </c>
      <c r="J32" s="24">
        <f t="shared" si="6"/>
        <v>385000</v>
      </c>
      <c r="K32" s="54">
        <v>32.5</v>
      </c>
      <c r="L32" s="55">
        <f t="shared" si="7"/>
        <v>357500</v>
      </c>
    </row>
    <row r="33" spans="1:12" ht="33" customHeight="1">
      <c r="A33" s="50" t="str">
        <f>'Bid Item List'!A45</f>
        <v>0026</v>
      </c>
      <c r="B33" s="51" t="str">
        <f>'Bid Item List'!B45</f>
        <v>ControlledLow-StrengthMaterial(CLSM)
(ItemP-153)</v>
      </c>
      <c r="C33" s="56">
        <f>'Bid Item List'!C45</f>
        <v>228</v>
      </c>
      <c r="D33" s="17" t="str">
        <f>'Bid Item List'!D45</f>
        <v>CY</v>
      </c>
      <c r="E33" s="23">
        <v>275</v>
      </c>
      <c r="F33" s="24">
        <f t="shared" si="4"/>
        <v>62700</v>
      </c>
      <c r="G33" s="23">
        <v>200</v>
      </c>
      <c r="H33" s="24">
        <f t="shared" si="5"/>
        <v>45600</v>
      </c>
      <c r="I33" s="23">
        <v>330</v>
      </c>
      <c r="J33" s="24">
        <f t="shared" si="6"/>
        <v>75240</v>
      </c>
      <c r="K33" s="54">
        <v>291.5</v>
      </c>
      <c r="L33" s="55">
        <f t="shared" si="7"/>
        <v>66462</v>
      </c>
    </row>
    <row r="34" spans="1:12" ht="33" customHeight="1">
      <c r="A34" s="50" t="str">
        <f>'Bid Item List'!A46</f>
        <v>0027</v>
      </c>
      <c r="B34" s="51" t="str">
        <f>'Bid Item List'!B46</f>
        <v>SubbaseCourse
(ItemP-154)</v>
      </c>
      <c r="C34" s="56">
        <f>'Bid Item List'!C46</f>
        <v>1000</v>
      </c>
      <c r="D34" s="17" t="str">
        <f>'Bid Item List'!D46</f>
        <v>CY</v>
      </c>
      <c r="E34" s="23">
        <v>81</v>
      </c>
      <c r="F34" s="24">
        <f t="shared" si="4"/>
        <v>81000</v>
      </c>
      <c r="G34" s="23">
        <v>55</v>
      </c>
      <c r="H34" s="24">
        <f t="shared" si="5"/>
        <v>55000</v>
      </c>
      <c r="I34" s="23">
        <v>80</v>
      </c>
      <c r="J34" s="24">
        <f t="shared" si="6"/>
        <v>80000</v>
      </c>
      <c r="K34" s="54">
        <v>43.25</v>
      </c>
      <c r="L34" s="55">
        <f t="shared" si="7"/>
        <v>43250</v>
      </c>
    </row>
    <row r="35" spans="1:12" ht="33" customHeight="1">
      <c r="A35" s="50" t="str">
        <f>'Bid Item List'!A47</f>
        <v>0028</v>
      </c>
      <c r="B35" s="51" t="str">
        <f>'Bid Item List'!B47</f>
        <v>CrushedAggregateBaseCourse
(ItemP-209)</v>
      </c>
      <c r="C35" s="56">
        <f>'Bid Item List'!C47</f>
        <v>9700</v>
      </c>
      <c r="D35" s="17" t="str">
        <f>'Bid Item List'!D47</f>
        <v>CY</v>
      </c>
      <c r="E35" s="23">
        <v>96</v>
      </c>
      <c r="F35" s="24">
        <f t="shared" si="4"/>
        <v>931200</v>
      </c>
      <c r="G35" s="23">
        <v>85</v>
      </c>
      <c r="H35" s="24">
        <f t="shared" si="5"/>
        <v>824500</v>
      </c>
      <c r="I35" s="23">
        <v>102</v>
      </c>
      <c r="J35" s="24">
        <f t="shared" si="6"/>
        <v>989400</v>
      </c>
      <c r="K35" s="54">
        <v>80</v>
      </c>
      <c r="L35" s="55">
        <f t="shared" si="7"/>
        <v>776000</v>
      </c>
    </row>
    <row r="36" spans="1:12" ht="33" customHeight="1">
      <c r="A36" s="50" t="str">
        <f>'Bid Item List'!A48</f>
        <v>0029</v>
      </c>
      <c r="B36" s="51" t="str">
        <f>'Bid Item List'!B48</f>
        <v>SeparationGeotextile
(ItemP-209)</v>
      </c>
      <c r="C36" s="56">
        <f>'Bid Item List'!C48</f>
        <v>12800</v>
      </c>
      <c r="D36" s="17" t="str">
        <f>'Bid Item List'!D48</f>
        <v>SY</v>
      </c>
      <c r="E36" s="23">
        <v>2</v>
      </c>
      <c r="F36" s="24">
        <f t="shared" si="4"/>
        <v>25600</v>
      </c>
      <c r="G36" s="23">
        <v>1</v>
      </c>
      <c r="H36" s="24">
        <f t="shared" si="5"/>
        <v>12800</v>
      </c>
      <c r="I36" s="23">
        <v>1.9</v>
      </c>
      <c r="J36" s="24">
        <f t="shared" si="6"/>
        <v>24320</v>
      </c>
      <c r="K36" s="54">
        <v>2.75</v>
      </c>
      <c r="L36" s="55">
        <f t="shared" si="7"/>
        <v>35200</v>
      </c>
    </row>
    <row r="37" spans="1:12" ht="33" customHeight="1">
      <c r="A37" s="50" t="str">
        <f>'Bid Item List'!A49</f>
        <v>0030</v>
      </c>
      <c r="B37" s="51" t="str">
        <f>'Bid Item List'!B49</f>
        <v>AsphaltSurfaceCourse
(ItemP-401)</v>
      </c>
      <c r="C37" s="56">
        <f>'Bid Item List'!C49</f>
        <v>2900</v>
      </c>
      <c r="D37" s="17" t="str">
        <f>'Bid Item List'!D49</f>
        <v>Ton</v>
      </c>
      <c r="E37" s="23">
        <v>160</v>
      </c>
      <c r="F37" s="24">
        <f t="shared" si="4"/>
        <v>464000</v>
      </c>
      <c r="G37" s="23">
        <v>140</v>
      </c>
      <c r="H37" s="24">
        <f t="shared" si="5"/>
        <v>406000</v>
      </c>
      <c r="I37" s="23">
        <v>145</v>
      </c>
      <c r="J37" s="24">
        <f t="shared" si="6"/>
        <v>420500</v>
      </c>
      <c r="K37" s="54">
        <v>167.5</v>
      </c>
      <c r="L37" s="55">
        <f t="shared" si="7"/>
        <v>485750</v>
      </c>
    </row>
    <row r="38" spans="1:12" ht="33" customHeight="1">
      <c r="A38" s="50" t="str">
        <f>'Bid Item List'!A50</f>
        <v>0031</v>
      </c>
      <c r="B38" s="51" t="str">
        <f>'Bid Item List'!B50</f>
        <v>AsphaltMixtureBaseandSurfaceCourse(ItemP-403)</v>
      </c>
      <c r="C38" s="56">
        <f>'Bid Item List'!C50</f>
        <v>3600</v>
      </c>
      <c r="D38" s="17" t="str">
        <f>'Bid Item List'!D50</f>
        <v>Ton</v>
      </c>
      <c r="E38" s="23">
        <v>160</v>
      </c>
      <c r="F38" s="24">
        <f t="shared" si="4"/>
        <v>576000</v>
      </c>
      <c r="G38" s="23">
        <v>140</v>
      </c>
      <c r="H38" s="24">
        <f t="shared" si="5"/>
        <v>504000</v>
      </c>
      <c r="I38" s="23">
        <v>145</v>
      </c>
      <c r="J38" s="24">
        <f t="shared" si="6"/>
        <v>522000</v>
      </c>
      <c r="K38" s="54">
        <v>167.5</v>
      </c>
      <c r="L38" s="55">
        <f t="shared" si="7"/>
        <v>603000</v>
      </c>
    </row>
    <row r="39" spans="1:12" ht="33" customHeight="1">
      <c r="A39" s="50" t="str">
        <f>'Bid Item List'!A51</f>
        <v>0032</v>
      </c>
      <c r="B39" s="51" t="str">
        <f>'Bid Item List'!B51</f>
        <v>EmulsifiedAsphaltTackCoat
(ItemP-603)</v>
      </c>
      <c r="C39" s="56">
        <f>'Bid Item List'!C51</f>
        <v>2200</v>
      </c>
      <c r="D39" s="17" t="str">
        <f>'Bid Item List'!D51</f>
        <v>Gal</v>
      </c>
      <c r="E39" s="23">
        <v>2.25</v>
      </c>
      <c r="F39" s="24">
        <f t="shared" si="4"/>
        <v>4950</v>
      </c>
      <c r="G39" s="23">
        <v>2</v>
      </c>
      <c r="H39" s="24">
        <f t="shared" si="5"/>
        <v>4400</v>
      </c>
      <c r="I39" s="23">
        <v>2.1</v>
      </c>
      <c r="J39" s="24">
        <f t="shared" si="6"/>
        <v>4620</v>
      </c>
      <c r="K39" s="54">
        <v>5.5</v>
      </c>
      <c r="L39" s="55">
        <f t="shared" si="7"/>
        <v>12100</v>
      </c>
    </row>
    <row r="40" spans="1:12" ht="33" customHeight="1">
      <c r="A40" s="50" t="str">
        <f>'Bid Item List'!A52</f>
        <v>0033</v>
      </c>
      <c r="B40" s="51" t="str">
        <f>'Bid Item List'!B52</f>
        <v>JointSealingFiller(ItemP-605)</v>
      </c>
      <c r="C40" s="56">
        <f>'Bid Item List'!C52</f>
        <v>20</v>
      </c>
      <c r="D40" s="17" t="str">
        <f>'Bid Item List'!D52</f>
        <v>Gal</v>
      </c>
      <c r="E40" s="23">
        <v>120</v>
      </c>
      <c r="F40" s="24">
        <f t="shared" si="4"/>
        <v>2400</v>
      </c>
      <c r="G40" s="23">
        <v>100</v>
      </c>
      <c r="H40" s="24">
        <f t="shared" si="5"/>
        <v>2000</v>
      </c>
      <c r="I40" s="23">
        <v>102</v>
      </c>
      <c r="J40" s="24">
        <f t="shared" si="6"/>
        <v>2040</v>
      </c>
      <c r="K40" s="54">
        <v>259.25</v>
      </c>
      <c r="L40" s="55">
        <f t="shared" si="7"/>
        <v>5185</v>
      </c>
    </row>
    <row r="41" spans="1:12" ht="33" customHeight="1">
      <c r="A41" s="50" t="str">
        <f>'Bid Item List'!A53</f>
        <v>0034</v>
      </c>
      <c r="B41" s="51" t="str">
        <f>'Bid Item List'!B53</f>
        <v>AdhesiveCompound
(ItemP-606)</v>
      </c>
      <c r="C41" s="56">
        <f>'Bid Item List'!C53</f>
        <v>40</v>
      </c>
      <c r="D41" s="17" t="str">
        <f>'Bid Item List'!D53</f>
        <v>Gal</v>
      </c>
      <c r="E41" s="23">
        <v>235</v>
      </c>
      <c r="F41" s="24">
        <f t="shared" si="4"/>
        <v>9400</v>
      </c>
      <c r="G41" s="23">
        <v>200</v>
      </c>
      <c r="H41" s="24">
        <f t="shared" si="5"/>
        <v>8000</v>
      </c>
      <c r="I41" s="23">
        <v>206</v>
      </c>
      <c r="J41" s="24">
        <f t="shared" si="6"/>
        <v>8240</v>
      </c>
      <c r="K41" s="54">
        <v>280.75</v>
      </c>
      <c r="L41" s="55">
        <f t="shared" si="7"/>
        <v>11230</v>
      </c>
    </row>
    <row r="42" spans="1:12" ht="33" customHeight="1">
      <c r="A42" s="50" t="str">
        <f>'Bid Item List'!A54</f>
        <v>0035</v>
      </c>
      <c r="B42" s="51" t="str">
        <f>'Bid Item List'!B54</f>
        <v>Concrete(ItemP-610)</v>
      </c>
      <c r="C42" s="56">
        <f>'Bid Item List'!C54</f>
        <v>40</v>
      </c>
      <c r="D42" s="17" t="str">
        <f>'Bid Item List'!D54</f>
        <v>CY</v>
      </c>
      <c r="E42" s="23">
        <v>870</v>
      </c>
      <c r="F42" s="24">
        <f t="shared" si="4"/>
        <v>34800</v>
      </c>
      <c r="G42" s="23">
        <v>580</v>
      </c>
      <c r="H42" s="24">
        <f t="shared" si="5"/>
        <v>23200</v>
      </c>
      <c r="I42" s="23">
        <v>1450</v>
      </c>
      <c r="J42" s="24">
        <f t="shared" si="6"/>
        <v>58000</v>
      </c>
      <c r="K42" s="54">
        <v>324</v>
      </c>
      <c r="L42" s="55">
        <f t="shared" si="7"/>
        <v>12960</v>
      </c>
    </row>
    <row r="43" spans="1:12" ht="33" customHeight="1">
      <c r="A43" s="50" t="str">
        <f>'Bid Item List'!A55</f>
        <v>0036</v>
      </c>
      <c r="B43" s="51" t="str">
        <f>'Bid Item List'!B55</f>
        <v>SurfacePreparation-NewPavementSurface
(ItemP-620)</v>
      </c>
      <c r="C43" s="56">
        <f>'Bid Item List'!C55</f>
        <v>40800</v>
      </c>
      <c r="D43" s="17" t="str">
        <f>'Bid Item List'!D55</f>
        <v>SF</v>
      </c>
      <c r="E43" s="23">
        <v>0.14000000000000001</v>
      </c>
      <c r="F43" s="24">
        <f t="shared" si="4"/>
        <v>5712.0000000000009</v>
      </c>
      <c r="G43" s="23">
        <v>0.12</v>
      </c>
      <c r="H43" s="24">
        <f t="shared" si="5"/>
        <v>4896</v>
      </c>
      <c r="I43" s="23">
        <v>0.12</v>
      </c>
      <c r="J43" s="24">
        <f t="shared" si="6"/>
        <v>4896</v>
      </c>
      <c r="K43" s="54">
        <v>0.55000000000000004</v>
      </c>
      <c r="L43" s="55">
        <f t="shared" si="7"/>
        <v>22440</v>
      </c>
    </row>
    <row r="44" spans="1:12" ht="33" customHeight="1">
      <c r="A44" s="50" t="str">
        <f>'Bid Item List'!A56</f>
        <v>0037</v>
      </c>
      <c r="B44" s="51" t="str">
        <f>'Bid Item List'!B56</f>
        <v>SurfacePreparation-RemoveExistingMarkings
(ItemP-620)</v>
      </c>
      <c r="C44" s="56">
        <f>'Bid Item List'!C56</f>
        <v>38500</v>
      </c>
      <c r="D44" s="17" t="str">
        <f>'Bid Item List'!D56</f>
        <v>SF</v>
      </c>
      <c r="E44" s="23">
        <v>0.71</v>
      </c>
      <c r="F44" s="24">
        <f t="shared" si="4"/>
        <v>27335</v>
      </c>
      <c r="G44" s="23">
        <v>1.36</v>
      </c>
      <c r="H44" s="24">
        <f t="shared" si="5"/>
        <v>52360.000000000007</v>
      </c>
      <c r="I44" s="23">
        <v>0.63</v>
      </c>
      <c r="J44" s="24">
        <f t="shared" si="6"/>
        <v>24255</v>
      </c>
      <c r="K44" s="54">
        <v>2</v>
      </c>
      <c r="L44" s="55">
        <f t="shared" si="7"/>
        <v>77000</v>
      </c>
    </row>
    <row r="45" spans="1:12" ht="33" customHeight="1">
      <c r="A45" s="50" t="str">
        <f>'Bid Item List'!A57</f>
        <v>0038</v>
      </c>
      <c r="B45" s="51" t="str">
        <f>'Bid Item List'!B57</f>
        <v>Marking
(ItemP-620)</v>
      </c>
      <c r="C45" s="56">
        <f>'Bid Item List'!C57</f>
        <v>40800</v>
      </c>
      <c r="D45" s="17" t="str">
        <f>'Bid Item List'!D57</f>
        <v>SF</v>
      </c>
      <c r="E45" s="23">
        <v>1.0900000000000001</v>
      </c>
      <c r="F45" s="24">
        <f t="shared" si="4"/>
        <v>44472</v>
      </c>
      <c r="G45" s="23">
        <v>0.94</v>
      </c>
      <c r="H45" s="24">
        <f t="shared" si="5"/>
        <v>38352</v>
      </c>
      <c r="I45" s="23">
        <v>0.98</v>
      </c>
      <c r="J45" s="24">
        <f t="shared" si="6"/>
        <v>39984</v>
      </c>
      <c r="K45" s="54">
        <v>2.25</v>
      </c>
      <c r="L45" s="55">
        <f t="shared" si="7"/>
        <v>91800</v>
      </c>
    </row>
    <row r="46" spans="1:12" ht="33" customHeight="1">
      <c r="A46" s="50" t="str">
        <f>'Bid Item List'!A58</f>
        <v>0039</v>
      </c>
      <c r="B46" s="51" t="str">
        <f>'Bid Item List'!B58</f>
        <v>ReflectiveMedia
(ItemP-620)</v>
      </c>
      <c r="C46" s="56">
        <f>'Bid Item List'!C58</f>
        <v>2500</v>
      </c>
      <c r="D46" s="17" t="str">
        <f>'Bid Item List'!D58</f>
        <v>LB</v>
      </c>
      <c r="E46" s="23">
        <v>0.69</v>
      </c>
      <c r="F46" s="24">
        <f t="shared" si="4"/>
        <v>1724.9999999999998</v>
      </c>
      <c r="G46" s="23">
        <v>0.6</v>
      </c>
      <c r="H46" s="24">
        <f t="shared" si="5"/>
        <v>1500</v>
      </c>
      <c r="I46" s="23">
        <v>0.62</v>
      </c>
      <c r="J46" s="24">
        <f t="shared" si="6"/>
        <v>1550</v>
      </c>
      <c r="K46" s="54">
        <v>3.25</v>
      </c>
      <c r="L46" s="55">
        <f t="shared" si="7"/>
        <v>8125</v>
      </c>
    </row>
    <row r="47" spans="1:12" ht="33" customHeight="1">
      <c r="A47" s="50" t="str">
        <f>'Bid Item List'!A59</f>
        <v>0040</v>
      </c>
      <c r="B47" s="51" t="str">
        <f>'Bid Item List'!B59</f>
        <v>TemporaryRunwayandTaxiwayMarking
(ItemP-620)</v>
      </c>
      <c r="C47" s="56">
        <f>'Bid Item List'!C59</f>
        <v>21800</v>
      </c>
      <c r="D47" s="17" t="str">
        <f>'Bid Item List'!D59</f>
        <v>SF</v>
      </c>
      <c r="E47" s="23">
        <v>0.46</v>
      </c>
      <c r="F47" s="24">
        <f t="shared" si="4"/>
        <v>10028</v>
      </c>
      <c r="G47" s="23">
        <v>1.1499999999999999</v>
      </c>
      <c r="H47" s="24">
        <f t="shared" si="5"/>
        <v>25069.999999999996</v>
      </c>
      <c r="I47" s="23">
        <v>0.42</v>
      </c>
      <c r="J47" s="24">
        <f t="shared" si="6"/>
        <v>9156</v>
      </c>
      <c r="K47" s="54">
        <v>4.5</v>
      </c>
      <c r="L47" s="55">
        <f t="shared" si="7"/>
        <v>98100</v>
      </c>
    </row>
    <row r="48" spans="1:12" ht="33" customHeight="1">
      <c r="A48" s="50" t="str">
        <f>'Bid Item List'!A60</f>
        <v>0041</v>
      </c>
      <c r="B48" s="51" t="str">
        <f>'Bid Item List'!B60</f>
        <v>6-inchSTS
(ItemD-701)</v>
      </c>
      <c r="C48" s="56">
        <f>'Bid Item List'!C60</f>
        <v>137</v>
      </c>
      <c r="D48" s="17" t="str">
        <f>'Bid Item List'!D60</f>
        <v>LF</v>
      </c>
      <c r="E48" s="23">
        <v>72</v>
      </c>
      <c r="F48" s="24">
        <f t="shared" si="4"/>
        <v>9864</v>
      </c>
      <c r="G48" s="23">
        <v>130</v>
      </c>
      <c r="H48" s="24">
        <f t="shared" si="5"/>
        <v>17810</v>
      </c>
      <c r="I48" s="23">
        <v>77</v>
      </c>
      <c r="J48" s="24">
        <f t="shared" si="6"/>
        <v>10549</v>
      </c>
      <c r="K48" s="54">
        <v>180</v>
      </c>
      <c r="L48" s="55">
        <f t="shared" si="7"/>
        <v>24660</v>
      </c>
    </row>
    <row r="49" spans="1:12" ht="33" customHeight="1">
      <c r="A49" s="50" t="str">
        <f>'Bid Item List'!A61</f>
        <v>0042</v>
      </c>
      <c r="B49" s="51" t="str">
        <f>'Bid Item List'!B61</f>
        <v>12-inchSTS
(ItemD-701)</v>
      </c>
      <c r="C49" s="56">
        <f>'Bid Item List'!C61</f>
        <v>77</v>
      </c>
      <c r="D49" s="17" t="str">
        <f>'Bid Item List'!D61</f>
        <v>LF</v>
      </c>
      <c r="E49" s="23">
        <v>72</v>
      </c>
      <c r="F49" s="24">
        <f t="shared" si="4"/>
        <v>5544</v>
      </c>
      <c r="G49" s="23">
        <v>110</v>
      </c>
      <c r="H49" s="24">
        <f t="shared" si="5"/>
        <v>8470</v>
      </c>
      <c r="I49" s="23">
        <v>140</v>
      </c>
      <c r="J49" s="24">
        <f t="shared" si="6"/>
        <v>10780</v>
      </c>
      <c r="K49" s="54">
        <v>200</v>
      </c>
      <c r="L49" s="55">
        <f t="shared" si="7"/>
        <v>15400</v>
      </c>
    </row>
    <row r="50" spans="1:12" ht="33" customHeight="1">
      <c r="A50" s="50" t="str">
        <f>'Bid Item List'!A62</f>
        <v>0043</v>
      </c>
      <c r="B50" s="51" t="str">
        <f>'Bid Item List'!B62</f>
        <v>24-inchSTS
(ItemD-701)</v>
      </c>
      <c r="C50" s="56">
        <f>'Bid Item List'!C62</f>
        <v>1080</v>
      </c>
      <c r="D50" s="17" t="str">
        <f>'Bid Item List'!D62</f>
        <v>LF</v>
      </c>
      <c r="E50" s="23">
        <v>150</v>
      </c>
      <c r="F50" s="24">
        <f t="shared" si="4"/>
        <v>162000</v>
      </c>
      <c r="G50" s="23">
        <v>200</v>
      </c>
      <c r="H50" s="24">
        <f t="shared" si="5"/>
        <v>216000</v>
      </c>
      <c r="I50" s="23">
        <v>156</v>
      </c>
      <c r="J50" s="24">
        <f t="shared" si="6"/>
        <v>168480</v>
      </c>
      <c r="K50" s="54">
        <v>280</v>
      </c>
      <c r="L50" s="55">
        <f t="shared" si="7"/>
        <v>302400</v>
      </c>
    </row>
    <row r="51" spans="1:12" ht="33" customHeight="1">
      <c r="A51" s="50" t="str">
        <f>'Bid Item List'!A63</f>
        <v>0044</v>
      </c>
      <c r="B51" s="51" t="str">
        <f>'Bid Item List'!B63</f>
        <v>14-inchClass50DuctileIronPipeCulvert(ItemD-701)</v>
      </c>
      <c r="C51" s="56">
        <f>'Bid Item List'!C63</f>
        <v>69</v>
      </c>
      <c r="D51" s="17" t="str">
        <f>'Bid Item List'!D63</f>
        <v>LF</v>
      </c>
      <c r="E51" s="23">
        <v>150</v>
      </c>
      <c r="F51" s="24">
        <f t="shared" si="4"/>
        <v>10350</v>
      </c>
      <c r="G51" s="23">
        <v>184</v>
      </c>
      <c r="H51" s="24">
        <f t="shared" si="5"/>
        <v>12696</v>
      </c>
      <c r="I51" s="23">
        <v>177</v>
      </c>
      <c r="J51" s="24">
        <f t="shared" si="6"/>
        <v>12213</v>
      </c>
      <c r="K51" s="54">
        <v>220</v>
      </c>
      <c r="L51" s="55">
        <f t="shared" si="7"/>
        <v>15180</v>
      </c>
    </row>
    <row r="52" spans="1:12" ht="33" customHeight="1">
      <c r="A52" s="50" t="str">
        <f>'Bid Item List'!A64</f>
        <v>0045</v>
      </c>
      <c r="B52" s="51" t="str">
        <f>'Bid Item List'!B64</f>
        <v>18-inchClass50DuctileIronPipeCulvert
(ItemD-701)</v>
      </c>
      <c r="C52" s="56">
        <f>'Bid Item List'!C64</f>
        <v>151</v>
      </c>
      <c r="D52" s="17" t="str">
        <f>'Bid Item List'!D64</f>
        <v>LF</v>
      </c>
      <c r="E52" s="23">
        <v>165</v>
      </c>
      <c r="F52" s="24">
        <f t="shared" si="4"/>
        <v>24915</v>
      </c>
      <c r="G52" s="23">
        <v>229</v>
      </c>
      <c r="H52" s="24">
        <f t="shared" si="5"/>
        <v>34579</v>
      </c>
      <c r="I52" s="23">
        <v>203</v>
      </c>
      <c r="J52" s="24">
        <f t="shared" si="6"/>
        <v>30653</v>
      </c>
      <c r="K52" s="54">
        <v>240</v>
      </c>
      <c r="L52" s="55">
        <f t="shared" si="7"/>
        <v>36240</v>
      </c>
    </row>
    <row r="53" spans="1:12" ht="33" customHeight="1">
      <c r="A53" s="50" t="str">
        <f>'Bid Item List'!A65</f>
        <v>0046</v>
      </c>
      <c r="B53" s="51" t="str">
        <f>'Bid Item List'!B65</f>
        <v>8'HX14'WCulvert
(ItemD-701)</v>
      </c>
      <c r="C53" s="56">
        <f>'Bid Item List'!C65</f>
        <v>1</v>
      </c>
      <c r="D53" s="17" t="str">
        <f>'Bid Item List'!D65</f>
        <v>LS</v>
      </c>
      <c r="E53" s="23">
        <v>1380000</v>
      </c>
      <c r="F53" s="24">
        <f t="shared" si="4"/>
        <v>1380000</v>
      </c>
      <c r="G53" s="23">
        <v>1387691</v>
      </c>
      <c r="H53" s="24">
        <f t="shared" si="5"/>
        <v>1387691</v>
      </c>
      <c r="I53" s="23">
        <v>1635000</v>
      </c>
      <c r="J53" s="24">
        <f t="shared" si="6"/>
        <v>1635000</v>
      </c>
      <c r="K53" s="54">
        <v>816150</v>
      </c>
      <c r="L53" s="55">
        <f t="shared" si="7"/>
        <v>816150</v>
      </c>
    </row>
    <row r="54" spans="1:12" ht="33" customHeight="1">
      <c r="A54" s="50" t="str">
        <f>'Bid Item List'!A66</f>
        <v>0047</v>
      </c>
      <c r="B54" s="51" t="str">
        <f>'Bid Item List'!B66</f>
        <v>6-InchPipeUnderdrains
(ItemD-705)</v>
      </c>
      <c r="C54" s="56">
        <f>'Bid Item List'!C66</f>
        <v>1309</v>
      </c>
      <c r="D54" s="17" t="str">
        <f>'Bid Item List'!D66</f>
        <v>LF</v>
      </c>
      <c r="E54" s="23">
        <v>50</v>
      </c>
      <c r="F54" s="24">
        <f t="shared" si="4"/>
        <v>65450</v>
      </c>
      <c r="G54" s="23">
        <v>42</v>
      </c>
      <c r="H54" s="24">
        <f t="shared" si="5"/>
        <v>54978</v>
      </c>
      <c r="I54" s="23">
        <v>45</v>
      </c>
      <c r="J54" s="24">
        <f t="shared" si="6"/>
        <v>58905</v>
      </c>
      <c r="K54" s="54">
        <v>70</v>
      </c>
      <c r="L54" s="55">
        <f t="shared" si="7"/>
        <v>91630</v>
      </c>
    </row>
    <row r="55" spans="1:12" ht="33" customHeight="1">
      <c r="A55" s="50" t="str">
        <f>'Bid Item List'!A67</f>
        <v>0048</v>
      </c>
      <c r="B55" s="51" t="str">
        <f>'Bid Item List'!B67</f>
        <v>Manholes
(ItemD-751)</v>
      </c>
      <c r="C55" s="56">
        <f>'Bid Item List'!C67</f>
        <v>2</v>
      </c>
      <c r="D55" s="17" t="str">
        <f>'Bid Item List'!D67</f>
        <v>Each</v>
      </c>
      <c r="E55" s="23">
        <v>9300</v>
      </c>
      <c r="F55" s="24">
        <f t="shared" si="4"/>
        <v>18600</v>
      </c>
      <c r="G55" s="23">
        <v>8500</v>
      </c>
      <c r="H55" s="24">
        <f t="shared" si="5"/>
        <v>17000</v>
      </c>
      <c r="I55" s="23">
        <v>9800</v>
      </c>
      <c r="J55" s="24">
        <f t="shared" si="6"/>
        <v>19600</v>
      </c>
      <c r="K55" s="54">
        <v>9000</v>
      </c>
      <c r="L55" s="55">
        <f t="shared" si="7"/>
        <v>18000</v>
      </c>
    </row>
    <row r="56" spans="1:12" ht="33" customHeight="1">
      <c r="A56" s="50" t="str">
        <f>'Bid Item List'!A68</f>
        <v>0049</v>
      </c>
      <c r="B56" s="51" t="str">
        <f>'Bid Item List'!B68</f>
        <v>CatchBasins
(ItemD-751)</v>
      </c>
      <c r="C56" s="56">
        <f>'Bid Item List'!C68</f>
        <v>2</v>
      </c>
      <c r="D56" s="17" t="str">
        <f>'Bid Item List'!D68</f>
        <v>Each</v>
      </c>
      <c r="E56" s="23">
        <v>7000</v>
      </c>
      <c r="F56" s="24">
        <f t="shared" si="4"/>
        <v>14000</v>
      </c>
      <c r="G56" s="23">
        <v>7000</v>
      </c>
      <c r="H56" s="24">
        <f t="shared" si="5"/>
        <v>14000</v>
      </c>
      <c r="I56" s="23">
        <v>7300</v>
      </c>
      <c r="J56" s="24">
        <f t="shared" si="6"/>
        <v>14600</v>
      </c>
      <c r="K56" s="54">
        <v>5000</v>
      </c>
      <c r="L56" s="55">
        <f t="shared" si="7"/>
        <v>10000</v>
      </c>
    </row>
    <row r="57" spans="1:12" ht="33" customHeight="1">
      <c r="A57" s="50" t="str">
        <f>'Bid Item List'!A69</f>
        <v>0050</v>
      </c>
      <c r="B57" s="51" t="str">
        <f>'Bid Item List'!B69</f>
        <v>UnclassifiedExcavationforStructures
(ItemD-752)</v>
      </c>
      <c r="C57" s="56">
        <f>'Bid Item List'!C69</f>
        <v>1100</v>
      </c>
      <c r="D57" s="17" t="str">
        <f>'Bid Item List'!D69</f>
        <v>CY</v>
      </c>
      <c r="E57" s="23">
        <v>17</v>
      </c>
      <c r="F57" s="24">
        <f t="shared" si="4"/>
        <v>18700</v>
      </c>
      <c r="G57" s="23">
        <v>32</v>
      </c>
      <c r="H57" s="24">
        <f t="shared" si="5"/>
        <v>35200</v>
      </c>
      <c r="I57" s="23">
        <v>106</v>
      </c>
      <c r="J57" s="24">
        <f t="shared" si="6"/>
        <v>116600</v>
      </c>
      <c r="K57" s="54">
        <v>27</v>
      </c>
      <c r="L57" s="55">
        <f t="shared" si="7"/>
        <v>29700</v>
      </c>
    </row>
    <row r="58" spans="1:12" ht="33" customHeight="1">
      <c r="A58" s="50" t="str">
        <f>'Bid Item List'!A70</f>
        <v>0051</v>
      </c>
      <c r="B58" s="51" t="str">
        <f>'Bid Item List'!B70</f>
        <v>StructuralConcrete
(ItemD-752)</v>
      </c>
      <c r="C58" s="56">
        <f>'Bid Item List'!C70</f>
        <v>310</v>
      </c>
      <c r="D58" s="17" t="str">
        <f>'Bid Item List'!D70</f>
        <v>CY</v>
      </c>
      <c r="E58" s="23">
        <v>923</v>
      </c>
      <c r="F58" s="24">
        <f t="shared" si="4"/>
        <v>286130</v>
      </c>
      <c r="G58" s="23">
        <v>1170</v>
      </c>
      <c r="H58" s="24">
        <f t="shared" si="5"/>
        <v>362700</v>
      </c>
      <c r="I58" s="23">
        <v>1200</v>
      </c>
      <c r="J58" s="24">
        <f t="shared" si="6"/>
        <v>372000</v>
      </c>
      <c r="K58" s="54">
        <v>1078</v>
      </c>
      <c r="L58" s="55">
        <f t="shared" si="7"/>
        <v>334180</v>
      </c>
    </row>
    <row r="59" spans="1:12" ht="33" customHeight="1">
      <c r="A59" s="50" t="str">
        <f>'Bid Item List'!A71</f>
        <v>0052</v>
      </c>
      <c r="B59" s="51" t="str">
        <f>'Bid Item List'!B71</f>
        <v>ReinforcingSteel
(ItemD-752)</v>
      </c>
      <c r="C59" s="56">
        <f>'Bid Item List'!C71</f>
        <v>29300</v>
      </c>
      <c r="D59" s="17" t="str">
        <f>'Bid Item List'!D71</f>
        <v>LB</v>
      </c>
      <c r="E59" s="23">
        <v>1.85</v>
      </c>
      <c r="F59" s="24">
        <f t="shared" si="4"/>
        <v>54205</v>
      </c>
      <c r="G59" s="23">
        <v>5</v>
      </c>
      <c r="H59" s="24">
        <f t="shared" si="5"/>
        <v>146500</v>
      </c>
      <c r="I59" s="23">
        <v>5.15</v>
      </c>
      <c r="J59" s="24">
        <f t="shared" si="6"/>
        <v>150895</v>
      </c>
      <c r="K59" s="54">
        <v>2</v>
      </c>
      <c r="L59" s="55">
        <f t="shared" si="7"/>
        <v>58600</v>
      </c>
    </row>
    <row r="60" spans="1:12" ht="33" customHeight="1">
      <c r="A60" s="50" t="str">
        <f>'Bid Item List'!A72</f>
        <v>0053</v>
      </c>
      <c r="B60" s="51" t="str">
        <f>'Bid Item List'!B72</f>
        <v>Seeding(ItemT-901)</v>
      </c>
      <c r="C60" s="56">
        <f>'Bid Item List'!C72</f>
        <v>17</v>
      </c>
      <c r="D60" s="17" t="str">
        <f>'Bid Item List'!D72</f>
        <v>Acre</v>
      </c>
      <c r="E60" s="23">
        <v>4000</v>
      </c>
      <c r="F60" s="24">
        <f t="shared" si="4"/>
        <v>68000</v>
      </c>
      <c r="G60" s="23">
        <v>3600</v>
      </c>
      <c r="H60" s="24">
        <f t="shared" si="5"/>
        <v>61200</v>
      </c>
      <c r="I60" s="23">
        <v>3700</v>
      </c>
      <c r="J60" s="24">
        <f t="shared" si="6"/>
        <v>62900</v>
      </c>
      <c r="K60" s="54">
        <v>3780</v>
      </c>
      <c r="L60" s="55">
        <f t="shared" si="7"/>
        <v>64260</v>
      </c>
    </row>
    <row r="61" spans="1:12" ht="33" customHeight="1">
      <c r="A61" s="50" t="str">
        <f>'Bid Item List'!A73</f>
        <v>0054</v>
      </c>
      <c r="B61" s="51" t="str">
        <f>'Bid Item List'!B73</f>
        <v>Topsoil(ObtainedOnStieorRemovedfromStockpile)
(ItemT-905)</v>
      </c>
      <c r="C61" s="56">
        <f>'Bid Item List'!C73</f>
        <v>5000</v>
      </c>
      <c r="D61" s="17" t="str">
        <f>'Bid Item List'!D73</f>
        <v>CY</v>
      </c>
      <c r="E61" s="23">
        <v>15</v>
      </c>
      <c r="F61" s="24">
        <f t="shared" si="4"/>
        <v>75000</v>
      </c>
      <c r="G61" s="23">
        <v>15</v>
      </c>
      <c r="H61" s="24">
        <f t="shared" si="5"/>
        <v>75000</v>
      </c>
      <c r="I61" s="23">
        <v>28</v>
      </c>
      <c r="J61" s="24">
        <f t="shared" si="6"/>
        <v>140000</v>
      </c>
      <c r="K61" s="54">
        <v>21.75</v>
      </c>
      <c r="L61" s="55">
        <f t="shared" si="7"/>
        <v>108750</v>
      </c>
    </row>
    <row r="62" spans="1:12" ht="33" customHeight="1">
      <c r="A62" s="50" t="str">
        <f>'Bid Item List'!A74</f>
        <v>0055</v>
      </c>
      <c r="B62" s="51" t="str">
        <f>'Bid Item List'!B74</f>
        <v>Topsoil(FurnishedfromOfftheSite)
(ItemT-905)</v>
      </c>
      <c r="C62" s="56">
        <f>'Bid Item List'!C74</f>
        <v>4800</v>
      </c>
      <c r="D62" s="17" t="str">
        <f>'Bid Item List'!D74</f>
        <v>CY</v>
      </c>
      <c r="E62" s="23">
        <v>50</v>
      </c>
      <c r="F62" s="24">
        <f t="shared" si="4"/>
        <v>240000</v>
      </c>
      <c r="G62" s="23">
        <v>49.5</v>
      </c>
      <c r="H62" s="24">
        <f t="shared" si="5"/>
        <v>237600</v>
      </c>
      <c r="I62" s="23">
        <v>50</v>
      </c>
      <c r="J62" s="24">
        <f t="shared" si="6"/>
        <v>240000</v>
      </c>
      <c r="K62" s="54">
        <v>54</v>
      </c>
      <c r="L62" s="55">
        <f t="shared" si="7"/>
        <v>259200</v>
      </c>
    </row>
    <row r="63" spans="1:12" ht="33" customHeight="1">
      <c r="A63" s="50" t="str">
        <f>'Bid Item List'!A75</f>
        <v>0056</v>
      </c>
      <c r="B63" s="51" t="str">
        <f>'Bid Item List'!B75</f>
        <v>ContaminatedMaterialExcavationandDisposal(Section026100)</v>
      </c>
      <c r="C63" s="56">
        <f>'Bid Item List'!C75</f>
        <v>1000</v>
      </c>
      <c r="D63" s="17" t="str">
        <f>'Bid Item List'!D75</f>
        <v>Ton</v>
      </c>
      <c r="E63" s="23">
        <v>75</v>
      </c>
      <c r="F63" s="24">
        <f t="shared" si="4"/>
        <v>75000</v>
      </c>
      <c r="G63" s="23">
        <v>70</v>
      </c>
      <c r="H63" s="24">
        <f t="shared" si="5"/>
        <v>70000</v>
      </c>
      <c r="I63" s="23">
        <v>134</v>
      </c>
      <c r="J63" s="24">
        <f t="shared" si="6"/>
        <v>134000</v>
      </c>
      <c r="K63" s="54">
        <v>100</v>
      </c>
      <c r="L63" s="55">
        <f t="shared" si="7"/>
        <v>100000</v>
      </c>
    </row>
    <row r="64" spans="1:12" ht="33" customHeight="1">
      <c r="A64" s="50" t="str">
        <f>'Bid Item List'!A76</f>
        <v>0057</v>
      </c>
      <c r="B64" s="51" t="str">
        <f>'Bid Item List'!B76</f>
        <v>ExistingManholeAdjustmenttoGrade-MinorAdjustment
(Section312300)</v>
      </c>
      <c r="C64" s="56">
        <f>'Bid Item List'!C76</f>
        <v>2</v>
      </c>
      <c r="D64" s="17" t="str">
        <f>'Bid Item List'!D76</f>
        <v>Each</v>
      </c>
      <c r="E64" s="23">
        <v>1450</v>
      </c>
      <c r="F64" s="24">
        <f t="shared" si="4"/>
        <v>2900</v>
      </c>
      <c r="G64" s="23">
        <v>2750</v>
      </c>
      <c r="H64" s="24">
        <f t="shared" si="5"/>
        <v>5500</v>
      </c>
      <c r="I64" s="23">
        <v>1722</v>
      </c>
      <c r="J64" s="24">
        <f t="shared" si="6"/>
        <v>3444</v>
      </c>
      <c r="K64" s="54">
        <v>1000</v>
      </c>
      <c r="L64" s="55">
        <f t="shared" si="7"/>
        <v>2000</v>
      </c>
    </row>
    <row r="65" spans="1:12" ht="33" customHeight="1">
      <c r="A65" s="50" t="str">
        <f>'Bid Item List'!A77</f>
        <v>0058</v>
      </c>
      <c r="B65" s="51" t="str">
        <f>'Bid Item List'!B77</f>
        <v>ExistingManholeAdjustmenttoGrade-MajorAdjustment
(Section312300)</v>
      </c>
      <c r="C65" s="56">
        <f>'Bid Item List'!C77</f>
        <v>2</v>
      </c>
      <c r="D65" s="17" t="str">
        <f>'Bid Item List'!D77</f>
        <v>Each</v>
      </c>
      <c r="E65" s="23">
        <v>2600</v>
      </c>
      <c r="F65" s="24">
        <f t="shared" si="4"/>
        <v>5200</v>
      </c>
      <c r="G65" s="23">
        <v>4300</v>
      </c>
      <c r="H65" s="24">
        <f t="shared" si="5"/>
        <v>8600</v>
      </c>
      <c r="I65" s="23">
        <v>7455</v>
      </c>
      <c r="J65" s="24">
        <f t="shared" si="6"/>
        <v>14910</v>
      </c>
      <c r="K65" s="54">
        <v>3000</v>
      </c>
      <c r="L65" s="55">
        <f t="shared" si="7"/>
        <v>6000</v>
      </c>
    </row>
    <row r="66" spans="1:12" ht="33" customHeight="1">
      <c r="A66" s="50" t="str">
        <f>'Bid Item List'!A78</f>
        <v>0059</v>
      </c>
      <c r="B66" s="51" t="str">
        <f>'Bid Item List'!B78</f>
        <v>ExistingManholeAdjustmenttoGrade-Cleanout
(Section312300)</v>
      </c>
      <c r="C66" s="56">
        <f>'Bid Item List'!C78</f>
        <v>3</v>
      </c>
      <c r="D66" s="17" t="str">
        <f>'Bid Item List'!D78</f>
        <v>Each</v>
      </c>
      <c r="E66" s="23">
        <v>800</v>
      </c>
      <c r="F66" s="24">
        <f t="shared" si="4"/>
        <v>2400</v>
      </c>
      <c r="G66" s="23">
        <v>650</v>
      </c>
      <c r="H66" s="24">
        <f t="shared" si="5"/>
        <v>1950</v>
      </c>
      <c r="I66" s="23">
        <v>1720</v>
      </c>
      <c r="J66" s="24">
        <f t="shared" si="6"/>
        <v>5160</v>
      </c>
      <c r="K66" s="54">
        <v>500</v>
      </c>
      <c r="L66" s="55">
        <f t="shared" si="7"/>
        <v>1500</v>
      </c>
    </row>
    <row r="67" spans="1:12" ht="33" customHeight="1">
      <c r="A67" s="50" t="str">
        <f>'Bid Item List'!A79</f>
        <v>0060</v>
      </c>
      <c r="B67" s="51" t="str">
        <f>'Bid Item List'!B79</f>
        <v>ExistingElectricalVaultAdjustmenttoGrade(Section312300)</v>
      </c>
      <c r="C67" s="56">
        <f>'Bid Item List'!C79</f>
        <v>1</v>
      </c>
      <c r="D67" s="17" t="str">
        <f>'Bid Item List'!D79</f>
        <v>Each</v>
      </c>
      <c r="E67" s="23">
        <v>2550</v>
      </c>
      <c r="F67" s="24">
        <f t="shared" si="4"/>
        <v>2550</v>
      </c>
      <c r="G67" s="23">
        <v>955</v>
      </c>
      <c r="H67" s="24">
        <f t="shared" si="5"/>
        <v>955</v>
      </c>
      <c r="I67" s="23">
        <v>2600</v>
      </c>
      <c r="J67" s="24">
        <f t="shared" si="6"/>
        <v>2600</v>
      </c>
      <c r="K67" s="54">
        <v>2000</v>
      </c>
      <c r="L67" s="55">
        <f t="shared" si="7"/>
        <v>2000</v>
      </c>
    </row>
    <row r="68" spans="1:12" ht="33" customHeight="1">
      <c r="A68" s="50" t="str">
        <f>'Bid Item List'!A80</f>
        <v>0061</v>
      </c>
      <c r="B68" s="51" t="str">
        <f>'Bid Item List'!B80</f>
        <v>CleanoutStructures
(Section330516)</v>
      </c>
      <c r="C68" s="56">
        <f>'Bid Item List'!C80</f>
        <v>10</v>
      </c>
      <c r="D68" s="17" t="str">
        <f>'Bid Item List'!D80</f>
        <v>Each</v>
      </c>
      <c r="E68" s="23">
        <v>1600</v>
      </c>
      <c r="F68" s="24">
        <f t="shared" si="4"/>
        <v>16000</v>
      </c>
      <c r="G68" s="23">
        <v>1650</v>
      </c>
      <c r="H68" s="24">
        <f t="shared" si="5"/>
        <v>16500</v>
      </c>
      <c r="I68" s="23">
        <v>2400</v>
      </c>
      <c r="J68" s="24">
        <f t="shared" si="6"/>
        <v>24000</v>
      </c>
      <c r="K68" s="54">
        <v>750</v>
      </c>
      <c r="L68" s="55">
        <f t="shared" si="7"/>
        <v>7500</v>
      </c>
    </row>
    <row r="69" spans="1:12" ht="33" customHeight="1">
      <c r="A69" s="50" t="str">
        <f>'Bid Item List'!A81</f>
        <v>0062</v>
      </c>
      <c r="B69" s="51" t="str">
        <f>'Bid Item List'!B81</f>
        <v>Boulders
(Section354000)</v>
      </c>
      <c r="C69" s="56">
        <f>'Bid Item List'!C81</f>
        <v>120</v>
      </c>
      <c r="D69" s="17" t="str">
        <f>'Bid Item List'!D81</f>
        <v>Each</v>
      </c>
      <c r="E69" s="23">
        <v>110</v>
      </c>
      <c r="F69" s="24">
        <f t="shared" si="4"/>
        <v>13200</v>
      </c>
      <c r="G69" s="23">
        <v>183</v>
      </c>
      <c r="H69" s="24">
        <f t="shared" si="5"/>
        <v>21960</v>
      </c>
      <c r="I69" s="23">
        <v>400</v>
      </c>
      <c r="J69" s="24">
        <f t="shared" si="6"/>
        <v>48000</v>
      </c>
      <c r="K69" s="54">
        <v>200</v>
      </c>
      <c r="L69" s="55">
        <f t="shared" si="7"/>
        <v>24000</v>
      </c>
    </row>
    <row r="70" spans="1:12" ht="33" customHeight="1">
      <c r="A70" s="50" t="str">
        <f>'Bid Item List'!A82</f>
        <v>0063</v>
      </c>
      <c r="B70" s="51" t="str">
        <f>'Bid Item List'!B82</f>
        <v>StreambedCobble
(Section354000)</v>
      </c>
      <c r="C70" s="56">
        <f>'Bid Item List'!C82</f>
        <v>750</v>
      </c>
      <c r="D70" s="17" t="str">
        <f>'Bid Item List'!D82</f>
        <v>CY</v>
      </c>
      <c r="E70" s="23">
        <v>105</v>
      </c>
      <c r="F70" s="24">
        <f t="shared" si="4"/>
        <v>78750</v>
      </c>
      <c r="G70" s="23">
        <v>153</v>
      </c>
      <c r="H70" s="24">
        <f t="shared" si="5"/>
        <v>114750</v>
      </c>
      <c r="I70" s="23">
        <v>110</v>
      </c>
      <c r="J70" s="24">
        <f t="shared" si="6"/>
        <v>82500</v>
      </c>
      <c r="K70" s="54">
        <v>100</v>
      </c>
      <c r="L70" s="55">
        <f t="shared" si="7"/>
        <v>75000</v>
      </c>
    </row>
    <row r="71" spans="1:12" ht="33" customHeight="1">
      <c r="A71" s="50" t="str">
        <f>'Bid Item List'!A83</f>
        <v>0064</v>
      </c>
      <c r="B71" s="51" t="str">
        <f>'Bid Item List'!B83</f>
        <v>StreambedSediment
(Section354000)</v>
      </c>
      <c r="C71" s="56">
        <f>'Bid Item List'!C83</f>
        <v>150</v>
      </c>
      <c r="D71" s="17" t="str">
        <f>'Bid Item List'!D83</f>
        <v>CY</v>
      </c>
      <c r="E71" s="23">
        <v>127</v>
      </c>
      <c r="F71" s="24">
        <f t="shared" si="4"/>
        <v>19050</v>
      </c>
      <c r="G71" s="23">
        <v>133</v>
      </c>
      <c r="H71" s="24">
        <f t="shared" si="5"/>
        <v>19950</v>
      </c>
      <c r="I71" s="23">
        <v>195</v>
      </c>
      <c r="J71" s="24">
        <f t="shared" si="6"/>
        <v>29250</v>
      </c>
      <c r="K71" s="54">
        <v>95</v>
      </c>
      <c r="L71" s="55">
        <f t="shared" si="7"/>
        <v>14250</v>
      </c>
    </row>
    <row r="72" spans="1:12" ht="33" customHeight="1">
      <c r="A72" s="50" t="str">
        <f>'Bid Item List'!A84</f>
        <v>0065</v>
      </c>
      <c r="B72" s="51" t="str">
        <f>'Bid Item List'!B84</f>
        <v>RiprapOutfall
(Section354000)</v>
      </c>
      <c r="C72" s="56">
        <f>'Bid Item List'!C84</f>
        <v>4</v>
      </c>
      <c r="D72" s="17" t="str">
        <f>'Bid Item List'!D84</f>
        <v>Each</v>
      </c>
      <c r="E72" s="23">
        <v>6450</v>
      </c>
      <c r="F72" s="24">
        <f t="shared" si="4"/>
        <v>25800</v>
      </c>
      <c r="G72" s="23">
        <v>1130</v>
      </c>
      <c r="H72" s="24">
        <f t="shared" si="5"/>
        <v>4520</v>
      </c>
      <c r="I72" s="23">
        <v>1250</v>
      </c>
      <c r="J72" s="24">
        <f t="shared" si="6"/>
        <v>5000</v>
      </c>
      <c r="K72" s="54">
        <v>900</v>
      </c>
      <c r="L72" s="55">
        <f t="shared" si="7"/>
        <v>3600</v>
      </c>
    </row>
    <row r="73" spans="1:12" ht="33" customHeight="1">
      <c r="A73" s="50" t="str">
        <f>'Bid Item List'!A85</f>
        <v>0066</v>
      </c>
      <c r="B73" s="51" t="str">
        <f>'Bid Item List'!B85</f>
        <v>GradeControlStructures
(Section354000)</v>
      </c>
      <c r="C73" s="56">
        <f>'Bid Item List'!C85</f>
        <v>40</v>
      </c>
      <c r="D73" s="17" t="str">
        <f>'Bid Item List'!D85</f>
        <v>CY</v>
      </c>
      <c r="E73" s="23">
        <v>165</v>
      </c>
      <c r="F73" s="24">
        <f t="shared" si="4"/>
        <v>6600</v>
      </c>
      <c r="G73" s="23">
        <v>250</v>
      </c>
      <c r="H73" s="24">
        <f t="shared" si="5"/>
        <v>10000</v>
      </c>
      <c r="I73" s="23">
        <v>160</v>
      </c>
      <c r="J73" s="24">
        <f t="shared" si="6"/>
        <v>6400</v>
      </c>
      <c r="K73" s="54">
        <v>120</v>
      </c>
      <c r="L73" s="55">
        <f t="shared" si="7"/>
        <v>4800</v>
      </c>
    </row>
    <row r="74" spans="1:12" ht="33" hidden="1" customHeight="1">
      <c r="A74" s="50" t="str">
        <f>'Bid Item List'!A86</f>
        <v>0067</v>
      </c>
      <c r="B74" s="51" t="str">
        <f>'Bid Item List'!B86</f>
        <v>No.8AWG,5kV,L-824,TypeCCableInstalledinTrench,DuctBank,orConduit(ItemL-108)</v>
      </c>
      <c r="C74" s="56">
        <f>'Bid Item List'!C86</f>
        <v>16000</v>
      </c>
      <c r="D74" s="17" t="str">
        <f>'Bid Item List'!D86</f>
        <v>LF</v>
      </c>
      <c r="E74" s="23">
        <v>2.9</v>
      </c>
      <c r="F74" s="24">
        <f t="shared" si="4"/>
        <v>46400</v>
      </c>
      <c r="G74" s="23">
        <v>2.5</v>
      </c>
      <c r="H74" s="24">
        <f t="shared" si="5"/>
        <v>40000</v>
      </c>
      <c r="I74" s="23">
        <v>4.5</v>
      </c>
      <c r="J74" s="24">
        <f t="shared" si="6"/>
        <v>72000</v>
      </c>
      <c r="K74" s="54">
        <v>2.0499999999999998</v>
      </c>
      <c r="L74" s="55">
        <f t="shared" si="7"/>
        <v>32800</v>
      </c>
    </row>
    <row r="75" spans="1:12" ht="44.25" hidden="1" customHeight="1">
      <c r="A75" s="50" t="str">
        <f>'Bid Item List'!A87</f>
        <v>0068</v>
      </c>
      <c r="B75" s="51" t="str">
        <f>'Bid Item List'!B87</f>
        <v>No.6AWG,Solid,BareCounterpoiseWire,InstalledAbovetheDuctBankorConduit,IncludingConnections/Terminations(ItemL-108)</v>
      </c>
      <c r="C75" s="56">
        <f>'Bid Item List'!C87</f>
        <v>1911</v>
      </c>
      <c r="D75" s="17" t="str">
        <f>'Bid Item List'!D87</f>
        <v>LF</v>
      </c>
      <c r="E75" s="23">
        <v>3</v>
      </c>
      <c r="F75" s="24">
        <f t="shared" si="4"/>
        <v>5733</v>
      </c>
      <c r="G75" s="23">
        <v>3</v>
      </c>
      <c r="H75" s="24">
        <f t="shared" si="5"/>
        <v>5733</v>
      </c>
      <c r="I75" s="23">
        <v>4.5</v>
      </c>
      <c r="J75" s="24">
        <f t="shared" si="6"/>
        <v>8599.5</v>
      </c>
      <c r="K75" s="54">
        <v>1.8</v>
      </c>
      <c r="L75" s="55">
        <f t="shared" si="7"/>
        <v>3439.8</v>
      </c>
    </row>
    <row r="76" spans="1:12" ht="33" hidden="1" customHeight="1">
      <c r="A76" s="50" t="str">
        <f>'Bid Item List'!A88</f>
        <v>0069</v>
      </c>
      <c r="B76" s="51" t="str">
        <f>'Bid Item List'!B88</f>
        <v>GroundRodforCounterpoise
(ItemL-108)</v>
      </c>
      <c r="C76" s="56">
        <f>'Bid Item List'!C88</f>
        <v>10</v>
      </c>
      <c r="D76" s="17" t="str">
        <f>'Bid Item List'!D88</f>
        <v>Each</v>
      </c>
      <c r="E76" s="23">
        <v>255</v>
      </c>
      <c r="F76" s="24">
        <f t="shared" si="4"/>
        <v>2550</v>
      </c>
      <c r="G76" s="23">
        <v>220</v>
      </c>
      <c r="H76" s="24">
        <f t="shared" si="5"/>
        <v>2200</v>
      </c>
      <c r="I76" s="23">
        <v>230</v>
      </c>
      <c r="J76" s="24">
        <f t="shared" si="6"/>
        <v>2300</v>
      </c>
      <c r="K76" s="54">
        <v>290</v>
      </c>
      <c r="L76" s="55">
        <f t="shared" si="7"/>
        <v>2900</v>
      </c>
    </row>
    <row r="77" spans="1:12" ht="33" hidden="1" customHeight="1">
      <c r="A77" s="50" t="str">
        <f>'Bid Item List'!A89</f>
        <v>0070</v>
      </c>
      <c r="B77" s="51" t="str">
        <f>'Bid Item List'!B89</f>
        <v>2-InchPVCinGrassorinNewACshoulder(ItemL-110)</v>
      </c>
      <c r="C77" s="56">
        <f>'Bid Item List'!C89</f>
        <v>1948</v>
      </c>
      <c r="D77" s="17" t="str">
        <f>'Bid Item List'!D89</f>
        <v>LF</v>
      </c>
      <c r="E77" s="23">
        <v>32.5</v>
      </c>
      <c r="F77" s="24">
        <f t="shared" si="4"/>
        <v>63310</v>
      </c>
      <c r="G77" s="23">
        <v>28</v>
      </c>
      <c r="H77" s="24">
        <f t="shared" si="5"/>
        <v>54544</v>
      </c>
      <c r="I77" s="23">
        <v>67</v>
      </c>
      <c r="J77" s="24">
        <f t="shared" si="6"/>
        <v>130516</v>
      </c>
      <c r="K77" s="54">
        <v>18</v>
      </c>
      <c r="L77" s="55">
        <f t="shared" si="7"/>
        <v>35064</v>
      </c>
    </row>
    <row r="78" spans="1:12" ht="33" hidden="1" customHeight="1">
      <c r="A78" s="50" t="str">
        <f>'Bid Item List'!A90</f>
        <v>0071</v>
      </c>
      <c r="B78" s="51" t="str">
        <f>'Bid Item List'!B90</f>
        <v>2-InchPVCinNewACStructuralPavement(ItemL-110)</v>
      </c>
      <c r="C78" s="56">
        <f>'Bid Item List'!C90</f>
        <v>160</v>
      </c>
      <c r="D78" s="17" t="str">
        <f>'Bid Item List'!D90</f>
        <v>LF</v>
      </c>
      <c r="E78" s="23">
        <v>35</v>
      </c>
      <c r="F78" s="24">
        <f t="shared" si="4"/>
        <v>5600</v>
      </c>
      <c r="G78" s="23">
        <v>30</v>
      </c>
      <c r="H78" s="24">
        <f t="shared" si="5"/>
        <v>4800</v>
      </c>
      <c r="I78" s="23">
        <v>190</v>
      </c>
      <c r="J78" s="24">
        <f t="shared" si="6"/>
        <v>30400</v>
      </c>
      <c r="K78" s="54">
        <v>29</v>
      </c>
      <c r="L78" s="55">
        <f t="shared" si="7"/>
        <v>4640</v>
      </c>
    </row>
    <row r="79" spans="1:12" ht="33" hidden="1" customHeight="1">
      <c r="A79" s="50" t="str">
        <f>'Bid Item List'!A91</f>
        <v>0072</v>
      </c>
      <c r="B79" s="51" t="str">
        <f>'Bid Item List'!B91</f>
        <v>GeneralElectricalRemoval
(Section260500)</v>
      </c>
      <c r="C79" s="56">
        <f>'Bid Item List'!C91</f>
        <v>1</v>
      </c>
      <c r="D79" s="17" t="str">
        <f>'Bid Item List'!D91</f>
        <v>LS</v>
      </c>
      <c r="E79" s="23">
        <v>33550</v>
      </c>
      <c r="F79" s="24">
        <f t="shared" si="4"/>
        <v>33550</v>
      </c>
      <c r="G79" s="23">
        <v>29000</v>
      </c>
      <c r="H79" s="24">
        <f t="shared" si="5"/>
        <v>29000</v>
      </c>
      <c r="I79" s="23">
        <v>50000</v>
      </c>
      <c r="J79" s="24">
        <f t="shared" si="6"/>
        <v>50000</v>
      </c>
      <c r="K79" s="54">
        <v>29160</v>
      </c>
      <c r="L79" s="55">
        <f t="shared" si="7"/>
        <v>29160</v>
      </c>
    </row>
    <row r="80" spans="1:12" ht="33" hidden="1" customHeight="1">
      <c r="A80" s="50" t="str">
        <f>'Bid Item List'!A92</f>
        <v>0073</v>
      </c>
      <c r="B80" s="51" t="str">
        <f>'Bid Item List'!B92</f>
        <v>TemporaryCircuitConnection
(Section260500)</v>
      </c>
      <c r="C80" s="56">
        <f>'Bid Item List'!C92</f>
        <v>1</v>
      </c>
      <c r="D80" s="17" t="str">
        <f>'Bid Item List'!D92</f>
        <v>LS</v>
      </c>
      <c r="E80" s="23">
        <v>8100</v>
      </c>
      <c r="F80" s="24">
        <f t="shared" si="4"/>
        <v>8100</v>
      </c>
      <c r="G80" s="23">
        <v>7000</v>
      </c>
      <c r="H80" s="24">
        <f t="shared" si="5"/>
        <v>7000</v>
      </c>
      <c r="I80" s="23">
        <v>31500</v>
      </c>
      <c r="J80" s="24">
        <f t="shared" si="6"/>
        <v>31500</v>
      </c>
      <c r="K80" s="54">
        <v>11664</v>
      </c>
      <c r="L80" s="55">
        <f t="shared" si="7"/>
        <v>11664</v>
      </c>
    </row>
    <row r="81" spans="1:12" ht="33" hidden="1" customHeight="1">
      <c r="A81" s="50" t="str">
        <f>'Bid Item List'!A93</f>
        <v>0074</v>
      </c>
      <c r="B81" s="51" t="str">
        <f>'Bid Item List'!B93</f>
        <v>TemporaryThresholdSetUpandCircuitConnection
(Section260500)</v>
      </c>
      <c r="C81" s="56">
        <f>'Bid Item List'!C93</f>
        <v>1</v>
      </c>
      <c r="D81" s="17" t="str">
        <f>'Bid Item List'!D93</f>
        <v>LS</v>
      </c>
      <c r="E81" s="23">
        <v>57850</v>
      </c>
      <c r="F81" s="24">
        <f t="shared" ref="F81:F92" si="8">QTY*E81</f>
        <v>57850</v>
      </c>
      <c r="G81" s="23">
        <v>50000</v>
      </c>
      <c r="H81" s="24">
        <f t="shared" ref="H81:H92" si="9">QTY*G81</f>
        <v>50000</v>
      </c>
      <c r="I81" s="23">
        <v>6000</v>
      </c>
      <c r="J81" s="24">
        <f t="shared" ref="J81:J92" si="10">QTY*I81</f>
        <v>6000</v>
      </c>
      <c r="K81" s="54">
        <v>28118</v>
      </c>
      <c r="L81" s="55">
        <f t="shared" ref="L81:L92" si="11">QTY*K81</f>
        <v>28118</v>
      </c>
    </row>
    <row r="82" spans="1:12" ht="33" hidden="1" customHeight="1">
      <c r="A82" s="50" t="str">
        <f>'Bid Item List'!A94</f>
        <v>0075</v>
      </c>
      <c r="B82" s="51" t="str">
        <f>'Bid Item List'!B94</f>
        <v>FAAMALSRandThresholdBarLights(Section260500)</v>
      </c>
      <c r="C82" s="56">
        <f>'Bid Item List'!C94</f>
        <v>1</v>
      </c>
      <c r="D82" s="17" t="str">
        <f>'Bid Item List'!D94</f>
        <v>LS</v>
      </c>
      <c r="E82" s="23">
        <v>687150</v>
      </c>
      <c r="F82" s="24">
        <f t="shared" si="8"/>
        <v>687150</v>
      </c>
      <c r="G82" s="23">
        <v>594000</v>
      </c>
      <c r="H82" s="24">
        <f t="shared" si="9"/>
        <v>594000</v>
      </c>
      <c r="I82" s="23">
        <v>813000</v>
      </c>
      <c r="J82" s="24">
        <f t="shared" si="10"/>
        <v>813000</v>
      </c>
      <c r="K82" s="54">
        <v>520444</v>
      </c>
      <c r="L82" s="55">
        <f t="shared" si="11"/>
        <v>520444</v>
      </c>
    </row>
    <row r="83" spans="1:12" ht="33" hidden="1" customHeight="1">
      <c r="A83" s="50" t="str">
        <f>'Bid Item List'!A95</f>
        <v>0076</v>
      </c>
      <c r="B83" s="51" t="str">
        <f>'Bid Item List'!B95</f>
        <v>InstallPFConstantCurrentRegulator
(Section260500)</v>
      </c>
      <c r="C83" s="56">
        <f>'Bid Item List'!C95</f>
        <v>1</v>
      </c>
      <c r="D83" s="17" t="str">
        <f>'Bid Item List'!D95</f>
        <v>LS</v>
      </c>
      <c r="E83" s="23">
        <v>2550</v>
      </c>
      <c r="F83" s="24">
        <f t="shared" si="8"/>
        <v>2550</v>
      </c>
      <c r="G83" s="23">
        <v>2200</v>
      </c>
      <c r="H83" s="24">
        <f t="shared" si="9"/>
        <v>2200</v>
      </c>
      <c r="I83" s="23">
        <v>23000</v>
      </c>
      <c r="J83" s="24">
        <f t="shared" si="10"/>
        <v>23000</v>
      </c>
      <c r="K83" s="54">
        <v>5000</v>
      </c>
      <c r="L83" s="55">
        <f t="shared" si="11"/>
        <v>5000</v>
      </c>
    </row>
    <row r="84" spans="1:12" ht="45" hidden="1" customHeight="1">
      <c r="A84" s="50" t="str">
        <f>'Bid Item List'!A96</f>
        <v>0077</v>
      </c>
      <c r="B84" s="51" t="str">
        <f>'Bid Item List'!B96</f>
        <v>InstallPFLEDRunwayEdgeLightwithPFBaseCan,CFTransformerinNewACPShoulder
(Section344300)</v>
      </c>
      <c r="C84" s="56">
        <f>'Bid Item List'!C96</f>
        <v>1</v>
      </c>
      <c r="D84" s="17" t="str">
        <f>'Bid Item List'!D96</f>
        <v>Each</v>
      </c>
      <c r="E84" s="23">
        <v>810</v>
      </c>
      <c r="F84" s="24">
        <f t="shared" si="8"/>
        <v>810</v>
      </c>
      <c r="G84" s="23">
        <v>700</v>
      </c>
      <c r="H84" s="24">
        <f t="shared" si="9"/>
        <v>700</v>
      </c>
      <c r="I84" s="23">
        <v>970</v>
      </c>
      <c r="J84" s="24">
        <f t="shared" si="10"/>
        <v>970</v>
      </c>
      <c r="K84" s="54">
        <v>1865</v>
      </c>
      <c r="L84" s="55">
        <f t="shared" si="11"/>
        <v>1865</v>
      </c>
    </row>
    <row r="85" spans="1:12" ht="45" hidden="1" customHeight="1">
      <c r="A85" s="50" t="str">
        <f>'Bid Item List'!A97</f>
        <v>0078</v>
      </c>
      <c r="B85" s="51" t="str">
        <f>'Bid Item List'!B97</f>
        <v>InstallPFLEDElevatedRunwayEnd/ThresholdLightwithPFBaseCan,CFTransformerinNewACPShoulder
(Section344300)</v>
      </c>
      <c r="C85" s="56">
        <f>'Bid Item List'!C97</f>
        <v>8</v>
      </c>
      <c r="D85" s="17" t="str">
        <f>'Bid Item List'!D97</f>
        <v>Each</v>
      </c>
      <c r="E85" s="23">
        <v>810</v>
      </c>
      <c r="F85" s="24">
        <f t="shared" si="8"/>
        <v>6480</v>
      </c>
      <c r="G85" s="23">
        <v>700</v>
      </c>
      <c r="H85" s="24">
        <f t="shared" si="9"/>
        <v>5600</v>
      </c>
      <c r="I85" s="23">
        <v>1080</v>
      </c>
      <c r="J85" s="24">
        <f t="shared" si="10"/>
        <v>8640</v>
      </c>
      <c r="K85" s="54">
        <v>1865</v>
      </c>
      <c r="L85" s="55">
        <f t="shared" si="11"/>
        <v>14920</v>
      </c>
    </row>
    <row r="86" spans="1:12" ht="45.75" hidden="1" customHeight="1">
      <c r="A86" s="50" t="str">
        <f>'Bid Item List'!A98</f>
        <v>0079</v>
      </c>
      <c r="B86" s="51" t="str">
        <f>'Bid Item List'!B98</f>
        <v>InstallPFLEDElevatedRunwayGuardLightwithPFBaseCan,CFTransformerinNewACPShoulder(Section344300)</v>
      </c>
      <c r="C86" s="56">
        <f>'Bid Item List'!C98</f>
        <v>2</v>
      </c>
      <c r="D86" s="17" t="str">
        <f>'Bid Item List'!D98</f>
        <v>Each</v>
      </c>
      <c r="E86" s="23">
        <v>810</v>
      </c>
      <c r="F86" s="24">
        <f t="shared" si="8"/>
        <v>1620</v>
      </c>
      <c r="G86" s="23">
        <v>700</v>
      </c>
      <c r="H86" s="24">
        <f t="shared" si="9"/>
        <v>1400</v>
      </c>
      <c r="I86" s="23">
        <v>4200</v>
      </c>
      <c r="J86" s="24">
        <f t="shared" si="10"/>
        <v>8400</v>
      </c>
      <c r="K86" s="54">
        <v>2080</v>
      </c>
      <c r="L86" s="55">
        <f t="shared" si="11"/>
        <v>4160</v>
      </c>
    </row>
    <row r="87" spans="1:12" ht="35.25" hidden="1" customHeight="1">
      <c r="A87" s="50" t="str">
        <f>'Bid Item List'!A99</f>
        <v>0080</v>
      </c>
      <c r="B87" s="51" t="str">
        <f>'Bid Item List'!B99</f>
        <v>InstallPFTaxiwayEdgeLightwithPFBaseCan,CFTransformerinNewACPShoulder(Section344300)</v>
      </c>
      <c r="C87" s="56">
        <f>'Bid Item List'!C99</f>
        <v>38</v>
      </c>
      <c r="D87" s="17" t="str">
        <f>'Bid Item List'!D99</f>
        <v>Each</v>
      </c>
      <c r="E87" s="23">
        <v>810</v>
      </c>
      <c r="F87" s="24">
        <f t="shared" si="8"/>
        <v>30780</v>
      </c>
      <c r="G87" s="23">
        <v>700</v>
      </c>
      <c r="H87" s="24">
        <f t="shared" si="9"/>
        <v>26600</v>
      </c>
      <c r="I87" s="23">
        <v>1080</v>
      </c>
      <c r="J87" s="24">
        <f t="shared" si="10"/>
        <v>41040</v>
      </c>
      <c r="K87" s="54">
        <v>1865</v>
      </c>
      <c r="L87" s="55">
        <f t="shared" si="11"/>
        <v>70870</v>
      </c>
    </row>
    <row r="88" spans="1:12" ht="33" hidden="1" customHeight="1">
      <c r="A88" s="50" t="str">
        <f>'Bid Item List'!A100</f>
        <v>0081</v>
      </c>
      <c r="B88" s="51" t="str">
        <f>'Bid Item List'!B100</f>
        <v>InstallPF12"Diameter,24"DeepBaseCanwithPFCoverinNewACPShoulder
(Section344300)</v>
      </c>
      <c r="C88" s="56">
        <f>'Bid Item List'!C100</f>
        <v>1</v>
      </c>
      <c r="D88" s="17" t="str">
        <f>'Bid Item List'!D100</f>
        <v>Each</v>
      </c>
      <c r="E88" s="23">
        <v>810</v>
      </c>
      <c r="F88" s="24">
        <f t="shared" si="8"/>
        <v>810</v>
      </c>
      <c r="G88" s="23">
        <v>700</v>
      </c>
      <c r="H88" s="24">
        <f t="shared" si="9"/>
        <v>700</v>
      </c>
      <c r="I88" s="23">
        <v>1080</v>
      </c>
      <c r="J88" s="24">
        <f t="shared" si="10"/>
        <v>1080</v>
      </c>
      <c r="K88" s="54">
        <v>1404</v>
      </c>
      <c r="L88" s="55">
        <f t="shared" si="11"/>
        <v>1404</v>
      </c>
    </row>
    <row r="89" spans="1:12" ht="33" hidden="1" customHeight="1">
      <c r="A89" s="50" t="str">
        <f>'Bid Item List'!A101</f>
        <v>0082</v>
      </c>
      <c r="B89" s="51" t="str">
        <f>'Bid Item List'!B101</f>
        <v>InstallPFElevatedTaxiwayEdgeLightonExistingBaseCanwithCFTransformer
(Section344300)</v>
      </c>
      <c r="C89" s="56">
        <f>'Bid Item List'!C101</f>
        <v>13</v>
      </c>
      <c r="D89" s="17" t="str">
        <f>'Bid Item List'!D101</f>
        <v>Each</v>
      </c>
      <c r="E89" s="23">
        <v>579</v>
      </c>
      <c r="F89" s="24">
        <f t="shared" si="8"/>
        <v>7527</v>
      </c>
      <c r="G89" s="23">
        <v>500</v>
      </c>
      <c r="H89" s="24">
        <f t="shared" si="9"/>
        <v>6500</v>
      </c>
      <c r="I89" s="23">
        <v>1080</v>
      </c>
      <c r="J89" s="24">
        <f t="shared" si="10"/>
        <v>14040</v>
      </c>
      <c r="K89" s="54">
        <v>935</v>
      </c>
      <c r="L89" s="55">
        <f t="shared" si="11"/>
        <v>12155</v>
      </c>
    </row>
    <row r="90" spans="1:12" ht="33" hidden="1" customHeight="1">
      <c r="A90" s="50" t="str">
        <f>'Bid Item List'!A102</f>
        <v>0083</v>
      </c>
      <c r="B90" s="51" t="str">
        <f>'Bid Item List'!B102</f>
        <v>AdjustExistingRunway/TaxiwayElevatedEdgeLightwithCFTransformer
(Section344301)</v>
      </c>
      <c r="C90" s="56">
        <f>'Bid Item List'!C102</f>
        <v>3</v>
      </c>
      <c r="D90" s="17" t="str">
        <f>'Bid Item List'!D102</f>
        <v>Each</v>
      </c>
      <c r="E90" s="23">
        <v>3475</v>
      </c>
      <c r="F90" s="24">
        <f t="shared" si="8"/>
        <v>10425</v>
      </c>
      <c r="G90" s="23">
        <v>3000</v>
      </c>
      <c r="H90" s="24">
        <f t="shared" si="9"/>
        <v>9000</v>
      </c>
      <c r="I90" s="23">
        <v>830</v>
      </c>
      <c r="J90" s="24">
        <f t="shared" si="10"/>
        <v>2490</v>
      </c>
      <c r="K90" s="54">
        <v>1200</v>
      </c>
      <c r="L90" s="55">
        <f t="shared" si="11"/>
        <v>3600</v>
      </c>
    </row>
    <row r="91" spans="1:12" ht="33" hidden="1" customHeight="1">
      <c r="A91" s="50" t="str">
        <f>'Bid Item List'!A103</f>
        <v>0084</v>
      </c>
      <c r="B91" s="51" t="str">
        <f>'Bid Item List'!B103</f>
        <v>Sign13R-1
(Section344302)</v>
      </c>
      <c r="C91" s="56">
        <f>'Bid Item List'!C103</f>
        <v>1</v>
      </c>
      <c r="D91" s="17" t="str">
        <f>'Bid Item List'!D103</f>
        <v>LS</v>
      </c>
      <c r="E91" s="23">
        <v>3360</v>
      </c>
      <c r="F91" s="24">
        <f t="shared" si="8"/>
        <v>3360</v>
      </c>
      <c r="G91" s="23">
        <v>2900</v>
      </c>
      <c r="H91" s="24">
        <f t="shared" si="9"/>
        <v>2900</v>
      </c>
      <c r="I91" s="23">
        <v>9000</v>
      </c>
      <c r="J91" s="24">
        <f t="shared" si="10"/>
        <v>9000</v>
      </c>
      <c r="K91" s="54">
        <v>5890</v>
      </c>
      <c r="L91" s="55">
        <f t="shared" si="11"/>
        <v>5890</v>
      </c>
    </row>
    <row r="92" spans="1:12" ht="33" hidden="1" customHeight="1">
      <c r="A92" s="50" t="str">
        <f>'Bid Item List'!A104</f>
        <v>0085</v>
      </c>
      <c r="B92" s="51" t="str">
        <f>'Bid Item List'!B104</f>
        <v>SignA-1
(Section344302)</v>
      </c>
      <c r="C92" s="56">
        <f>'Bid Item List'!C104</f>
        <v>1</v>
      </c>
      <c r="D92" s="17" t="str">
        <f>'Bid Item List'!D104</f>
        <v>LS</v>
      </c>
      <c r="E92" s="23">
        <v>3355</v>
      </c>
      <c r="F92" s="24">
        <f t="shared" si="8"/>
        <v>3355</v>
      </c>
      <c r="G92" s="23">
        <v>2900</v>
      </c>
      <c r="H92" s="24">
        <f t="shared" si="9"/>
        <v>2900</v>
      </c>
      <c r="I92" s="23">
        <v>9000</v>
      </c>
      <c r="J92" s="24">
        <f t="shared" si="10"/>
        <v>9000</v>
      </c>
      <c r="K92" s="54">
        <v>6480</v>
      </c>
      <c r="L92" s="55">
        <f t="shared" si="11"/>
        <v>6480</v>
      </c>
    </row>
    <row r="93" spans="1:12" ht="27.75" customHeight="1">
      <c r="A93" s="9"/>
      <c r="B93" s="18" t="s">
        <v>230</v>
      </c>
      <c r="C93" s="35"/>
      <c r="D93" s="19"/>
      <c r="E93" s="25"/>
      <c r="F93" s="57">
        <f>SUM($F8:$F92)</f>
        <v>8933240</v>
      </c>
      <c r="G93" s="25"/>
      <c r="H93" s="57">
        <f>SUM($H8:$H92)</f>
        <v>8574914</v>
      </c>
      <c r="I93" s="25"/>
      <c r="J93" s="57">
        <f>SUM($J8:$J92)</f>
        <v>9791361.5</v>
      </c>
      <c r="K93" s="25"/>
      <c r="L93" s="57">
        <f>SUM($L8:$L92)</f>
        <v>10235723.800000001</v>
      </c>
    </row>
  </sheetData>
  <mergeCells count="10">
    <mergeCell ref="K1:L5"/>
    <mergeCell ref="I1:J5"/>
    <mergeCell ref="A6:D6"/>
    <mergeCell ref="E1:F5"/>
    <mergeCell ref="G1:H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C13"/>
  <sheetViews>
    <sheetView view="pageBreakPreview" zoomScaleNormal="75" zoomScaleSheetLayoutView="100" workbookViewId="0">
      <selection activeCell="C9" sqref="C9"/>
    </sheetView>
  </sheetViews>
  <sheetFormatPr defaultRowHeight="15"/>
  <cols>
    <col min="1" max="1" width="53.7109375" style="10" customWidth="1"/>
    <col min="2" max="2" width="27" style="44" customWidth="1"/>
  </cols>
  <sheetData>
    <row r="1" spans="1:3" ht="30" customHeight="1">
      <c r="A1" s="21" t="str">
        <f>ProjectLocation</f>
        <v>HILLSBOROAIRPORT</v>
      </c>
      <c r="B1" s="40"/>
    </row>
    <row r="2" spans="1:3" ht="15" customHeight="1">
      <c r="A2" s="22" t="s">
        <v>220</v>
      </c>
      <c r="B2" s="41"/>
    </row>
    <row r="3" spans="1:3" ht="15" customHeight="1">
      <c r="A3" s="22" t="s">
        <v>221</v>
      </c>
      <c r="B3" s="41"/>
    </row>
    <row r="4" spans="1:3">
      <c r="A4" s="11" t="str">
        <f>EAN</f>
        <v>EAN 2019D031</v>
      </c>
      <c r="B4" s="41"/>
    </row>
    <row r="5" spans="1:3" ht="15" customHeight="1">
      <c r="A5" s="12" t="str">
        <f>SolicitationNo</f>
        <v>Solicitation No. 2022-10081</v>
      </c>
      <c r="B5" s="41"/>
    </row>
    <row r="6" spans="1:3" ht="15" customHeight="1">
      <c r="A6" s="13">
        <f ca="1">TODAY()</f>
        <v>46055</v>
      </c>
      <c r="B6" s="42"/>
    </row>
    <row r="7" spans="1:3" ht="33" customHeight="1">
      <c r="A7" s="14" t="s">
        <v>231</v>
      </c>
      <c r="B7" s="43" t="s">
        <v>229</v>
      </c>
    </row>
    <row r="8" spans="1:3" ht="33" customHeight="1">
      <c r="A8" s="15" t="str">
        <f>Contractor3</f>
        <v>Kerr Contractors 
Oregon LCC</v>
      </c>
      <c r="B8" s="45">
        <f>Total3</f>
        <v>8574914</v>
      </c>
      <c r="C8">
        <v>1</v>
      </c>
    </row>
    <row r="9" spans="1:3" ht="33" customHeight="1">
      <c r="A9" s="15" t="str">
        <f>Contractor2</f>
        <v>K &amp; E Excavating, Inc.</v>
      </c>
      <c r="B9" s="45">
        <f>Total2</f>
        <v>8933240</v>
      </c>
      <c r="C9">
        <v>2</v>
      </c>
    </row>
    <row r="10" spans="1:3" ht="33" customHeight="1">
      <c r="A10" s="15" t="str">
        <f>Contractor4</f>
        <v>Kodiak Pacific Construction</v>
      </c>
      <c r="B10" s="45">
        <f>Total4</f>
        <v>9791361.5</v>
      </c>
      <c r="C10">
        <v>3</v>
      </c>
    </row>
    <row r="11" spans="1:3" ht="33" customHeight="1">
      <c r="A11" s="58" t="str">
        <f>EngineerEstimate</f>
        <v>Engineer's Estimate</v>
      </c>
      <c r="B11" s="59">
        <f>TotalEE</f>
        <v>10235723.800000001</v>
      </c>
    </row>
    <row r="12" spans="1:3">
      <c r="A12" s="46" t="s">
        <v>232</v>
      </c>
    </row>
    <row r="13" spans="1:3">
      <c r="A13" s="46" t="s">
        <v>233</v>
      </c>
    </row>
  </sheetData>
  <sortState xmlns:xlrd2="http://schemas.microsoft.com/office/spreadsheetml/2017/richdata2" ref="A8:B10">
    <sortCondition ref="B8:B10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30668-6067-4EAE-9661-50FE835A19BF}"/>
</file>

<file path=customXml/itemProps2.xml><?xml version="1.0" encoding="utf-8"?>
<ds:datastoreItem xmlns:ds="http://schemas.openxmlformats.org/officeDocument/2006/customXml" ds:itemID="{9D1A0F82-843F-4DAD-92A0-AD85EFE6D7AD}"/>
</file>

<file path=customXml/itemProps3.xml><?xml version="1.0" encoding="utf-8"?>
<ds:datastoreItem xmlns:ds="http://schemas.openxmlformats.org/officeDocument/2006/customXml" ds:itemID="{DCB646CE-F9DE-44AA-8812-B32505063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Kim Tuttle</cp:lastModifiedBy>
  <cp:revision/>
  <dcterms:created xsi:type="dcterms:W3CDTF">2014-05-02T22:08:37Z</dcterms:created>
  <dcterms:modified xsi:type="dcterms:W3CDTF">2026-02-03T01:04:32Z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