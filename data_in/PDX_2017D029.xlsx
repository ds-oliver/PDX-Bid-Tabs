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dx\17D\029\"/>
    </mc:Choice>
  </mc:AlternateContent>
  <bookViews>
    <workbookView xWindow="-15" yWindow="-15" windowWidth="25230" windowHeight="6255" tabRatio="716" activeTab="2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Tabulation'!#REF!</definedName>
    <definedName name="Contractor4">'Bid Tabulation'!#REF!</definedName>
    <definedName name="Contractor5">'Bid Tabulation'!#REF!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Tabulation'!$I$1</definedName>
    <definedName name="_xlnm.Print_Area" localSheetId="0">'Bid Item List'!$A$14:$F$66</definedName>
    <definedName name="_xlnm.Print_Area" localSheetId="2">Summary!$A$1:$B$10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Tabulation'!$F$41</definedName>
    <definedName name="Total2">'Bid Tabulation'!$H$41</definedName>
    <definedName name="Total3">'Bid Tabulation'!#REF!</definedName>
    <definedName name="Total4">'Bid Tabulation'!#REF!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Tabulation'!$J$41</definedName>
  </definedNames>
  <calcPr calcId="171027"/>
</workbook>
</file>

<file path=xl/calcChain.xml><?xml version="1.0" encoding="utf-8"?>
<calcChain xmlns="http://schemas.openxmlformats.org/spreadsheetml/2006/main">
  <c r="B17" i="2" l="1"/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9" i="2"/>
  <c r="B10" i="2"/>
  <c r="B11" i="2"/>
  <c r="B12" i="2"/>
  <c r="B13" i="2"/>
  <c r="B14" i="2"/>
  <c r="B15" i="2"/>
  <c r="B16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F40" i="2" l="1"/>
  <c r="H40" i="2"/>
  <c r="J40" i="2"/>
  <c r="F39" i="2"/>
  <c r="H39" i="2"/>
  <c r="J39" i="2"/>
  <c r="H38" i="2"/>
  <c r="F38" i="2"/>
  <c r="J38" i="2"/>
  <c r="F37" i="2"/>
  <c r="J37" i="2"/>
  <c r="H37" i="2"/>
  <c r="J36" i="2"/>
  <c r="J34" i="2"/>
  <c r="J33" i="2"/>
  <c r="J27" i="2"/>
  <c r="J26" i="2"/>
  <c r="J21" i="2"/>
  <c r="F18" i="2"/>
  <c r="H23" i="2" l="1"/>
  <c r="F20" i="2"/>
  <c r="H26" i="2"/>
  <c r="F23" i="2"/>
  <c r="F31" i="2"/>
  <c r="H31" i="2"/>
  <c r="J32" i="2"/>
  <c r="H24" i="2"/>
  <c r="J25" i="2"/>
  <c r="H32" i="2"/>
  <c r="J24" i="2"/>
  <c r="H20" i="2"/>
  <c r="J23" i="2"/>
  <c r="F25" i="2"/>
  <c r="H27" i="2"/>
  <c r="J31" i="2"/>
  <c r="H34" i="2"/>
  <c r="J20" i="2"/>
  <c r="F24" i="2"/>
  <c r="H25" i="2"/>
  <c r="F32" i="2"/>
  <c r="F36" i="2"/>
  <c r="H36" i="2"/>
  <c r="F35" i="2"/>
  <c r="J35" i="2"/>
  <c r="H35" i="2"/>
  <c r="F34" i="2"/>
  <c r="F33" i="2"/>
  <c r="H33" i="2"/>
  <c r="F30" i="2"/>
  <c r="J30" i="2"/>
  <c r="H30" i="2"/>
  <c r="F29" i="2"/>
  <c r="J29" i="2"/>
  <c r="H29" i="2"/>
  <c r="F28" i="2"/>
  <c r="J28" i="2"/>
  <c r="H28" i="2"/>
  <c r="F27" i="2"/>
  <c r="F26" i="2"/>
  <c r="F22" i="2"/>
  <c r="J22" i="2"/>
  <c r="H22" i="2"/>
  <c r="H21" i="2"/>
  <c r="F21" i="2"/>
  <c r="F19" i="2"/>
  <c r="J19" i="2"/>
  <c r="H19" i="2"/>
  <c r="J18" i="2"/>
  <c r="H18" i="2"/>
  <c r="A5" i="5"/>
  <c r="A4" i="5"/>
  <c r="A3" i="5"/>
  <c r="A2" i="5"/>
  <c r="A1" i="5"/>
  <c r="A3" i="2"/>
  <c r="A2" i="2"/>
  <c r="A1" i="2"/>
  <c r="J17" i="2" l="1"/>
  <c r="J16" i="2"/>
  <c r="J15" i="2"/>
  <c r="J14" i="2"/>
  <c r="J13" i="2"/>
  <c r="H17" i="2"/>
  <c r="F17" i="2"/>
  <c r="H16" i="2"/>
  <c r="F16" i="2"/>
  <c r="H15" i="2"/>
  <c r="F15" i="2"/>
  <c r="F14" i="2"/>
  <c r="H14" i="2"/>
  <c r="F13" i="2"/>
  <c r="H13" i="2"/>
  <c r="A10" i="5"/>
  <c r="A9" i="5"/>
  <c r="A8" i="5"/>
  <c r="A6" i="5" l="1"/>
  <c r="D8" i="2"/>
  <c r="C8" i="2"/>
  <c r="B8" i="2"/>
  <c r="A8" i="2"/>
  <c r="A6" i="2"/>
  <c r="J9" i="2" l="1"/>
  <c r="J12" i="2"/>
  <c r="J11" i="2"/>
  <c r="J10" i="2"/>
  <c r="J8" i="2"/>
  <c r="F8" i="2"/>
  <c r="H8" i="2"/>
  <c r="H12" i="2"/>
  <c r="F12" i="2"/>
  <c r="H11" i="2"/>
  <c r="F11" i="2"/>
  <c r="F10" i="2"/>
  <c r="H10" i="2"/>
  <c r="H9" i="2"/>
  <c r="F9" i="2"/>
  <c r="J41" i="2" l="1"/>
  <c r="B10" i="5" s="1"/>
  <c r="F41" i="2"/>
  <c r="B8" i="5" s="1"/>
  <c r="H41" i="2"/>
  <c r="B9" i="5" s="1"/>
</calcChain>
</file>

<file path=xl/sharedStrings.xml><?xml version="1.0" encoding="utf-8"?>
<sst xmlns="http://schemas.openxmlformats.org/spreadsheetml/2006/main" count="143" uniqueCount="98">
  <si>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</si>
  <si>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</si>
  <si>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</si>
  <si>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</si>
  <si>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</si>
  <si>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</si>
  <si>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</si>
  <si>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</si>
  <si>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</si>
  <si>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</si>
  <si>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</si>
  <si>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</si>
  <si>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</si>
  <si>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</si>
  <si>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</si>
  <si>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</si>
  <si>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</si>
  <si>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</si>
  <si>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</si>
  <si>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</si>
  <si>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</si>
  <si>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</si>
  <si>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</si>
  <si>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</si>
  <si>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</si>
  <si>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</si>
  <si>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</si>
  <si>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</si>
  <si>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</si>
  <si>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$___________</t>
  </si>
  <si>
    <t>Total Amount Bid (Basis of Award)</t>
  </si>
  <si>
    <t>Bidder</t>
  </si>
  <si>
    <t>Engineer's Estimate</t>
  </si>
  <si>
    <t>0011</t>
  </si>
  <si>
    <t>*Non-responsive to the small business requirements of this solicitation</t>
  </si>
  <si>
    <t>^Corrected Bid Total</t>
  </si>
  <si>
    <t>Install PF Elevated Runway Edge Light with CF Transformer on Existing Light Base (Section 344300)</t>
  </si>
  <si>
    <t>0012</t>
  </si>
  <si>
    <t>0013</t>
  </si>
  <si>
    <t>0014</t>
  </si>
  <si>
    <t>0015</t>
  </si>
  <si>
    <t>0016</t>
  </si>
  <si>
    <t>Install PF Red Elevated Stop Bar Light with PF Remote and CF Transformer on Existing Light Base (Section 344300)</t>
  </si>
  <si>
    <t>Install PF Dual Stop Bar Light with PF Remote and CF Transformer on Existing Light Base (Section 344300)</t>
  </si>
  <si>
    <t>Install PF Elevated Runway Guard Light with CF Transformer on Existing Light Base (Section 344300)</t>
  </si>
  <si>
    <t>0017</t>
  </si>
  <si>
    <t>0018</t>
  </si>
  <si>
    <t>Install PF Taxiway Centerline Light on Existing Light Base (Section 344300)</t>
  </si>
  <si>
    <t>0019</t>
  </si>
  <si>
    <t>0020</t>
  </si>
  <si>
    <t>0021</t>
  </si>
  <si>
    <t>Install PF Elevated Taxiway Edge Light with CF Transformer on Existing Light Base (Section 344300)</t>
  </si>
  <si>
    <t>Install PF Dual Stop Bar Light on Existing Light Base (Section 344300)</t>
  </si>
  <si>
    <t>0022</t>
  </si>
  <si>
    <t>0023</t>
  </si>
  <si>
    <t>0024</t>
  </si>
  <si>
    <t>0025</t>
  </si>
  <si>
    <t>0026</t>
  </si>
  <si>
    <t>0027</t>
  </si>
  <si>
    <t>Install PF Cover Plate on Existing Base Can (Section 344300)</t>
  </si>
  <si>
    <t>0028</t>
  </si>
  <si>
    <t>0029</t>
  </si>
  <si>
    <t>0030</t>
  </si>
  <si>
    <t>2-inch PVC in Existing ACP Shoulder       (Item L-110)</t>
  </si>
  <si>
    <t>PORTLAND INTERNATIONAL AIRPORT</t>
  </si>
  <si>
    <t>General Electrical Removal
(Section 260500)</t>
  </si>
  <si>
    <t xml:space="preserve">RUNWAY 10L-28R CIRCUIT REPLACEMENT </t>
  </si>
  <si>
    <t>AND LED AND SMGCS UPGRADES</t>
  </si>
  <si>
    <t>Install PF In-Pavement Runway Threshold Light with CF Transformer on Existing Light Base (Section 344300)</t>
  </si>
  <si>
    <t>Install PF In-Pavement Runway Guard Light with CF Transformer on Existing Light Base (Section 344300)</t>
  </si>
  <si>
    <t>Install PF In-Pavement Red Stop Bar Light with PF Remote and CF Transformer on Existing Light Base (Section 344300)</t>
  </si>
  <si>
    <t>Install PF Taxiway Centerline Light with PF Remote and CF Transformer on Existing Light Base (Section 344300)</t>
  </si>
  <si>
    <t>0031</t>
  </si>
  <si>
    <t>Security Control Monitoring
(Section 012200)</t>
  </si>
  <si>
    <t>Work Zone and Traffic Control
(Section 012200)</t>
  </si>
  <si>
    <t>0032</t>
  </si>
  <si>
    <t>0033</t>
  </si>
  <si>
    <t>Mobilization, Surveying, Cleanup, and Demobilization (Section 012200)</t>
  </si>
  <si>
    <t>Sweeper (Section 012200)</t>
  </si>
  <si>
    <t>Escort (Section 012200)</t>
  </si>
  <si>
    <t>Temporary Circuit Connection
(Section 260500)</t>
  </si>
  <si>
    <t>Ground Rod for Counterpoise
(Section 260526)</t>
  </si>
  <si>
    <t>3-Inch Diameter Brass Marker
(Section 260553)</t>
  </si>
  <si>
    <t>Install PF Runway Centerline Light with CF Transformer on Existing Light Base
(Section 344300)</t>
  </si>
  <si>
    <t>Install PF Taxiway Centerline Light with CF Transformer on Existing Light Base
(Section 344300)</t>
  </si>
  <si>
    <t>#6 AWG, 5kV Cable
(Item L-108)</t>
  </si>
  <si>
    <t>2-inch PVC Direct Buried in Grass
(Item L-110)</t>
  </si>
  <si>
    <t>Install PF In-Pavement Runway Edge Light with CF Transformer on Existing Light Base (Section 344300)</t>
  </si>
  <si>
    <t>Install PF Red Elevated Stop Bar Light with  CF Transformer on Existing Light Base (Section 344300)</t>
  </si>
  <si>
    <t>Install PF Dual Stop Bar Light with Two CF Transformers on Existing Light Base (Section 344300)</t>
  </si>
  <si>
    <t>Install CF 150-Watt, 6.6/6.6 Amp Isolation Transformer in Existing Base Can
(Section 344300)</t>
  </si>
  <si>
    <t>Install PF Microwave Sensor with CF Transformer in Existing Base Can
(Section 344300)</t>
  </si>
  <si>
    <t>EAN 2017D029</t>
  </si>
  <si>
    <t>Solicitation No. 2018-7600</t>
  </si>
  <si>
    <t>Install PF Elevated Runway End Light with CF Transformer on Existing Light Base (Section 344300)</t>
  </si>
  <si>
    <t>Install PF In-Pavement Runway Guard Light on Existing Light Base
(Section 344300)</t>
  </si>
  <si>
    <t>Colvico, Inc.</t>
  </si>
  <si>
    <t>Vellutini Corporation dba Royal Electric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</si>
</sst>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0" borderId="0"/>
    <xf numFmtId="0" fontId="9" fillId="0" borderId="0"/>
  </cellStyleXfs>
  <cellXfs count="88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7" fontId="7" fillId="0" borderId="5" xfId="0" applyNumberFormat="1" applyFont="1" applyBorder="1" applyAlignment="1">
      <alignment horizontal="center" vertical="top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 wrapText="1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 wrapText="1"/>
    </xf>
    <xf numFmtId="165" fontId="5" fillId="0" borderId="0" xfId="0" applyNumberFormat="1" applyFont="1" applyBorder="1" applyAlignment="1">
      <alignment horizontal="left" vertical="center" wrapText="1"/>
    </xf>
    <xf numFmtId="165" fontId="5" fillId="0" borderId="11" xfId="0" applyNumberFormat="1" applyFont="1" applyBorder="1" applyAlignment="1">
      <alignment horizontal="left" vertical="center" wrapText="1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4">
    <cellStyle name="Currency" xfId="1" builtinId="4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 tint="-0.499984740745262"/>
  </sheetPr>
  <dimension ref="A1:F53"/>
  <sheetViews>
    <sheetView topLeftCell="A35" zoomScaleNormal="100" zoomScaleSheetLayoutView="100" workbookViewId="0">
      <selection activeCell="B45" sqref="B45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9" customWidth="1"/>
    <col min="4" max="4" width="8.28515625" customWidth="1"/>
    <col min="5" max="6" width="13.28515625" style="33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64"/>
      <c r="B14" s="64"/>
      <c r="C14" s="64"/>
      <c r="D14" s="64"/>
      <c r="E14" s="57"/>
      <c r="F14" s="57"/>
    </row>
    <row r="15" spans="1:6" x14ac:dyDescent="0.25">
      <c r="A15" s="60" t="s">
        <v>64</v>
      </c>
      <c r="B15" s="60"/>
      <c r="C15" s="60"/>
      <c r="D15" s="60"/>
      <c r="E15" s="58"/>
      <c r="F15" s="58"/>
    </row>
    <row r="16" spans="1:6" ht="15" customHeight="1" x14ac:dyDescent="0.25">
      <c r="A16" s="61" t="s">
        <v>66</v>
      </c>
      <c r="B16" s="61"/>
      <c r="C16" s="61"/>
      <c r="D16" s="61"/>
      <c r="E16" s="58"/>
      <c r="F16" s="58"/>
    </row>
    <row r="17" spans="1:6" x14ac:dyDescent="0.25">
      <c r="A17" s="62" t="s">
        <v>67</v>
      </c>
      <c r="B17" s="62"/>
      <c r="C17" s="62"/>
      <c r="D17" s="62"/>
      <c r="E17" s="58"/>
      <c r="F17" s="58"/>
    </row>
    <row r="18" spans="1:6" x14ac:dyDescent="0.25">
      <c r="A18" s="63"/>
      <c r="B18" s="63"/>
      <c r="C18" s="63"/>
      <c r="D18" s="63"/>
      <c r="E18" s="59"/>
      <c r="F18" s="59"/>
    </row>
    <row r="19" spans="1:6" s="3" customFormat="1" ht="24" customHeight="1" x14ac:dyDescent="0.2">
      <c r="A19" s="4" t="s">
        <v>13</v>
      </c>
      <c r="B19" s="4" t="s">
        <v>14</v>
      </c>
      <c r="C19" s="30" t="s">
        <v>15</v>
      </c>
      <c r="D19" s="4" t="s">
        <v>16</v>
      </c>
      <c r="E19" s="34" t="s">
        <v>17</v>
      </c>
      <c r="F19" s="34" t="s">
        <v>18</v>
      </c>
    </row>
    <row r="20" spans="1:6" ht="40.5" customHeight="1" x14ac:dyDescent="0.25">
      <c r="A20" s="5" t="s">
        <v>19</v>
      </c>
      <c r="B20" s="51" t="s">
        <v>77</v>
      </c>
      <c r="C20" s="31">
        <v>1</v>
      </c>
      <c r="D20" s="6" t="s">
        <v>8</v>
      </c>
      <c r="E20" s="35"/>
      <c r="F20" s="35"/>
    </row>
    <row r="21" spans="1:6" ht="40.5" customHeight="1" x14ac:dyDescent="0.25">
      <c r="A21" s="5" t="s">
        <v>20</v>
      </c>
      <c r="B21" s="51" t="s">
        <v>78</v>
      </c>
      <c r="C21" s="31">
        <v>1</v>
      </c>
      <c r="D21" s="6" t="s">
        <v>8</v>
      </c>
      <c r="E21" s="35"/>
      <c r="F21" s="35"/>
    </row>
    <row r="22" spans="1:6" ht="40.5" customHeight="1" x14ac:dyDescent="0.25">
      <c r="A22" s="5" t="s">
        <v>21</v>
      </c>
      <c r="B22" s="51" t="s">
        <v>73</v>
      </c>
      <c r="C22" s="31">
        <v>1</v>
      </c>
      <c r="D22" s="6" t="s">
        <v>8</v>
      </c>
      <c r="E22" s="35"/>
      <c r="F22" s="35"/>
    </row>
    <row r="23" spans="1:6" ht="40.5" customHeight="1" x14ac:dyDescent="0.25">
      <c r="A23" s="5" t="s">
        <v>22</v>
      </c>
      <c r="B23" s="51" t="s">
        <v>74</v>
      </c>
      <c r="C23" s="31">
        <v>1</v>
      </c>
      <c r="D23" s="6" t="s">
        <v>8</v>
      </c>
      <c r="E23" s="35"/>
      <c r="F23" s="35"/>
    </row>
    <row r="24" spans="1:6" ht="40.5" customHeight="1" x14ac:dyDescent="0.25">
      <c r="A24" s="5" t="s">
        <v>23</v>
      </c>
      <c r="B24" s="51" t="s">
        <v>79</v>
      </c>
      <c r="C24" s="31">
        <v>1</v>
      </c>
      <c r="D24" s="6" t="s">
        <v>8</v>
      </c>
      <c r="E24" s="35"/>
      <c r="F24" s="35"/>
    </row>
    <row r="25" spans="1:6" ht="40.5" customHeight="1" x14ac:dyDescent="0.25">
      <c r="A25" s="5" t="s">
        <v>24</v>
      </c>
      <c r="B25" s="51" t="s">
        <v>65</v>
      </c>
      <c r="C25" s="31">
        <v>1</v>
      </c>
      <c r="D25" s="6" t="s">
        <v>8</v>
      </c>
      <c r="E25" s="35"/>
      <c r="F25" s="35"/>
    </row>
    <row r="26" spans="1:6" ht="40.5" customHeight="1" x14ac:dyDescent="0.25">
      <c r="A26" s="5" t="s">
        <v>25</v>
      </c>
      <c r="B26" s="51" t="s">
        <v>80</v>
      </c>
      <c r="C26" s="31">
        <v>1</v>
      </c>
      <c r="D26" s="6" t="s">
        <v>8</v>
      </c>
      <c r="E26" s="35"/>
      <c r="F26" s="35"/>
    </row>
    <row r="27" spans="1:6" ht="40.5" customHeight="1" x14ac:dyDescent="0.25">
      <c r="A27" s="5" t="s">
        <v>26</v>
      </c>
      <c r="B27" s="51" t="s">
        <v>81</v>
      </c>
      <c r="C27" s="31">
        <v>2</v>
      </c>
      <c r="D27" s="6" t="s">
        <v>2</v>
      </c>
      <c r="E27" s="35"/>
      <c r="F27" s="35"/>
    </row>
    <row r="28" spans="1:6" ht="40.5" customHeight="1" x14ac:dyDescent="0.25">
      <c r="A28" s="5" t="s">
        <v>27</v>
      </c>
      <c r="B28" s="51" t="s">
        <v>82</v>
      </c>
      <c r="C28" s="31">
        <v>1</v>
      </c>
      <c r="D28" s="6" t="s">
        <v>2</v>
      </c>
      <c r="E28" s="35"/>
      <c r="F28" s="35"/>
    </row>
    <row r="29" spans="1:6" ht="40.5" customHeight="1" x14ac:dyDescent="0.25">
      <c r="A29" s="5" t="s">
        <v>28</v>
      </c>
      <c r="B29" s="51" t="s">
        <v>94</v>
      </c>
      <c r="C29" s="31">
        <v>16</v>
      </c>
      <c r="D29" s="6" t="s">
        <v>2</v>
      </c>
      <c r="E29" s="35"/>
      <c r="F29" s="35"/>
    </row>
    <row r="30" spans="1:6" ht="40.5" customHeight="1" x14ac:dyDescent="0.25">
      <c r="A30" s="5" t="s">
        <v>33</v>
      </c>
      <c r="B30" s="51" t="s">
        <v>36</v>
      </c>
      <c r="C30" s="31">
        <v>79</v>
      </c>
      <c r="D30" s="6" t="s">
        <v>2</v>
      </c>
      <c r="E30" s="35"/>
      <c r="F30" s="35"/>
    </row>
    <row r="31" spans="1:6" ht="40.5" customHeight="1" x14ac:dyDescent="0.25">
      <c r="A31" s="5" t="s">
        <v>37</v>
      </c>
      <c r="B31" s="51" t="s">
        <v>87</v>
      </c>
      <c r="C31" s="31">
        <v>17</v>
      </c>
      <c r="D31" s="6" t="s">
        <v>2</v>
      </c>
      <c r="E31" s="35"/>
      <c r="F31" s="35"/>
    </row>
    <row r="32" spans="1:6" ht="40.5" customHeight="1" x14ac:dyDescent="0.25">
      <c r="A32" s="5" t="s">
        <v>38</v>
      </c>
      <c r="B32" s="51" t="s">
        <v>83</v>
      </c>
      <c r="C32" s="31">
        <v>195</v>
      </c>
      <c r="D32" s="6" t="s">
        <v>2</v>
      </c>
      <c r="E32" s="35"/>
      <c r="F32" s="35"/>
    </row>
    <row r="33" spans="1:6" ht="40.5" customHeight="1" x14ac:dyDescent="0.25">
      <c r="A33" s="5" t="s">
        <v>39</v>
      </c>
      <c r="B33" s="51" t="s">
        <v>68</v>
      </c>
      <c r="C33" s="31">
        <v>16</v>
      </c>
      <c r="D33" s="6" t="s">
        <v>2</v>
      </c>
      <c r="E33" s="35"/>
      <c r="F33" s="35"/>
    </row>
    <row r="34" spans="1:6" ht="40.5" customHeight="1" x14ac:dyDescent="0.25">
      <c r="A34" s="5" t="s">
        <v>40</v>
      </c>
      <c r="B34" s="51" t="s">
        <v>71</v>
      </c>
      <c r="C34" s="31">
        <v>143</v>
      </c>
      <c r="D34" s="6" t="s">
        <v>2</v>
      </c>
      <c r="E34" s="35"/>
      <c r="F34" s="35"/>
    </row>
    <row r="35" spans="1:6" ht="40.5" customHeight="1" x14ac:dyDescent="0.25">
      <c r="A35" s="5" t="s">
        <v>41</v>
      </c>
      <c r="B35" s="51" t="s">
        <v>42</v>
      </c>
      <c r="C35" s="31">
        <v>14</v>
      </c>
      <c r="D35" s="6" t="s">
        <v>2</v>
      </c>
      <c r="E35" s="35"/>
      <c r="F35" s="35"/>
    </row>
    <row r="36" spans="1:6" ht="40.5" customHeight="1" x14ac:dyDescent="0.25">
      <c r="A36" s="5" t="s">
        <v>45</v>
      </c>
      <c r="B36" s="51" t="s">
        <v>43</v>
      </c>
      <c r="C36" s="31">
        <v>93</v>
      </c>
      <c r="D36" s="6" t="s">
        <v>2</v>
      </c>
      <c r="E36" s="35"/>
      <c r="F36" s="35"/>
    </row>
    <row r="37" spans="1:6" ht="40.5" customHeight="1" x14ac:dyDescent="0.25">
      <c r="A37" s="5" t="s">
        <v>46</v>
      </c>
      <c r="B37" s="51" t="s">
        <v>69</v>
      </c>
      <c r="C37" s="31">
        <v>39</v>
      </c>
      <c r="D37" s="6" t="s">
        <v>2</v>
      </c>
      <c r="E37" s="35"/>
      <c r="F37" s="35"/>
    </row>
    <row r="38" spans="1:6" ht="40.5" customHeight="1" x14ac:dyDescent="0.25">
      <c r="A38" s="5" t="s">
        <v>48</v>
      </c>
      <c r="B38" s="51" t="s">
        <v>88</v>
      </c>
      <c r="C38" s="31">
        <v>40</v>
      </c>
      <c r="D38" s="6" t="s">
        <v>2</v>
      </c>
      <c r="E38" s="35"/>
      <c r="F38" s="35"/>
    </row>
    <row r="39" spans="1:6" ht="40.5" customHeight="1" x14ac:dyDescent="0.25">
      <c r="A39" s="5" t="s">
        <v>49</v>
      </c>
      <c r="B39" s="51" t="s">
        <v>44</v>
      </c>
      <c r="C39" s="31">
        <v>34</v>
      </c>
      <c r="D39" s="6" t="s">
        <v>2</v>
      </c>
      <c r="E39" s="35"/>
      <c r="F39" s="35"/>
    </row>
    <row r="40" spans="1:6" ht="40.5" customHeight="1" x14ac:dyDescent="0.25">
      <c r="A40" s="5" t="s">
        <v>50</v>
      </c>
      <c r="B40" s="51" t="s">
        <v>89</v>
      </c>
      <c r="C40" s="31">
        <v>108</v>
      </c>
      <c r="D40" s="6" t="s">
        <v>2</v>
      </c>
      <c r="E40" s="35"/>
      <c r="F40" s="35"/>
    </row>
    <row r="41" spans="1:6" ht="40.5" customHeight="1" x14ac:dyDescent="0.25">
      <c r="A41" s="5" t="s">
        <v>53</v>
      </c>
      <c r="B41" s="51" t="s">
        <v>84</v>
      </c>
      <c r="C41" s="31">
        <v>258</v>
      </c>
      <c r="D41" s="6" t="s">
        <v>2</v>
      </c>
      <c r="E41" s="35"/>
      <c r="F41" s="35"/>
    </row>
    <row r="42" spans="1:6" ht="40.5" customHeight="1" x14ac:dyDescent="0.25">
      <c r="A42" s="5" t="s">
        <v>54</v>
      </c>
      <c r="B42" s="51" t="s">
        <v>51</v>
      </c>
      <c r="C42" s="31">
        <v>599</v>
      </c>
      <c r="D42" s="6" t="s">
        <v>2</v>
      </c>
      <c r="E42" s="35"/>
      <c r="F42" s="35"/>
    </row>
    <row r="43" spans="1:6" ht="40.5" customHeight="1" x14ac:dyDescent="0.25">
      <c r="A43" s="5" t="s">
        <v>55</v>
      </c>
      <c r="B43" s="51" t="s">
        <v>47</v>
      </c>
      <c r="C43" s="31">
        <v>80</v>
      </c>
      <c r="D43" s="6" t="s">
        <v>2</v>
      </c>
      <c r="E43" s="35"/>
      <c r="F43" s="35"/>
    </row>
    <row r="44" spans="1:6" ht="40.5" customHeight="1" x14ac:dyDescent="0.25">
      <c r="A44" s="5" t="s">
        <v>56</v>
      </c>
      <c r="B44" s="51" t="s">
        <v>52</v>
      </c>
      <c r="C44" s="31">
        <v>91</v>
      </c>
      <c r="D44" s="6" t="s">
        <v>2</v>
      </c>
      <c r="E44" s="35"/>
      <c r="F44" s="35"/>
    </row>
    <row r="45" spans="1:6" ht="40.5" customHeight="1" x14ac:dyDescent="0.25">
      <c r="A45" s="5" t="s">
        <v>57</v>
      </c>
      <c r="B45" s="51" t="s">
        <v>95</v>
      </c>
      <c r="C45" s="31">
        <v>14</v>
      </c>
      <c r="D45" s="6" t="s">
        <v>2</v>
      </c>
      <c r="E45" s="35"/>
      <c r="F45" s="35"/>
    </row>
    <row r="46" spans="1:6" ht="40.5" customHeight="1" x14ac:dyDescent="0.25">
      <c r="A46" s="5" t="s">
        <v>58</v>
      </c>
      <c r="B46" s="51" t="s">
        <v>70</v>
      </c>
      <c r="C46" s="31">
        <v>10</v>
      </c>
      <c r="D46" s="6" t="s">
        <v>2</v>
      </c>
      <c r="E46" s="35"/>
      <c r="F46" s="35"/>
    </row>
    <row r="47" spans="1:6" ht="40.5" customHeight="1" x14ac:dyDescent="0.25">
      <c r="A47" s="5" t="s">
        <v>60</v>
      </c>
      <c r="B47" s="51" t="s">
        <v>90</v>
      </c>
      <c r="C47" s="31">
        <v>91</v>
      </c>
      <c r="D47" s="6" t="s">
        <v>2</v>
      </c>
      <c r="E47" s="35"/>
      <c r="F47" s="35"/>
    </row>
    <row r="48" spans="1:6" ht="40.5" customHeight="1" x14ac:dyDescent="0.25">
      <c r="A48" s="5" t="s">
        <v>61</v>
      </c>
      <c r="B48" s="51" t="s">
        <v>91</v>
      </c>
      <c r="C48" s="31">
        <v>14</v>
      </c>
      <c r="D48" s="6" t="s">
        <v>2</v>
      </c>
      <c r="E48" s="35"/>
      <c r="F48" s="35"/>
    </row>
    <row r="49" spans="1:6" ht="40.5" customHeight="1" x14ac:dyDescent="0.25">
      <c r="A49" s="5" t="s">
        <v>62</v>
      </c>
      <c r="B49" s="51" t="s">
        <v>59</v>
      </c>
      <c r="C49" s="31">
        <v>1</v>
      </c>
      <c r="D49" s="6" t="s">
        <v>2</v>
      </c>
      <c r="E49" s="35"/>
      <c r="F49" s="35"/>
    </row>
    <row r="50" spans="1:6" ht="40.5" customHeight="1" x14ac:dyDescent="0.25">
      <c r="A50" s="5" t="s">
        <v>72</v>
      </c>
      <c r="B50" s="51" t="s">
        <v>85</v>
      </c>
      <c r="C50" s="53">
        <v>55000</v>
      </c>
      <c r="D50" s="6" t="s">
        <v>7</v>
      </c>
      <c r="E50" s="35"/>
      <c r="F50" s="35"/>
    </row>
    <row r="51" spans="1:6" ht="40.5" customHeight="1" x14ac:dyDescent="0.25">
      <c r="A51" s="5" t="s">
        <v>75</v>
      </c>
      <c r="B51" s="51" t="s">
        <v>86</v>
      </c>
      <c r="C51" s="31">
        <v>150</v>
      </c>
      <c r="D51" s="6" t="s">
        <v>7</v>
      </c>
      <c r="E51" s="35"/>
      <c r="F51" s="35"/>
    </row>
    <row r="52" spans="1:6" ht="40.5" customHeight="1" x14ac:dyDescent="0.25">
      <c r="A52" s="5" t="s">
        <v>76</v>
      </c>
      <c r="B52" s="51" t="s">
        <v>63</v>
      </c>
      <c r="C52" s="31">
        <v>10</v>
      </c>
      <c r="D52" s="6" t="s">
        <v>7</v>
      </c>
      <c r="E52" s="35"/>
      <c r="F52" s="35"/>
    </row>
    <row r="53" spans="1:6" ht="27.75" customHeight="1" x14ac:dyDescent="0.25">
      <c r="A53" s="7"/>
      <c r="B53" s="9" t="s">
        <v>30</v>
      </c>
      <c r="C53" s="32"/>
      <c r="D53" s="7"/>
      <c r="E53" s="36"/>
      <c r="F53" s="36" t="s">
        <v>29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dataValidations count="1">
    <dataValidation type="list" allowBlank="1" showInputMessage="1" showErrorMessage="1" sqref="D20:D52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499984740745262"/>
  </sheetPr>
  <dimension ref="A1:J41"/>
  <sheetViews>
    <sheetView topLeftCell="D1" zoomScaleNormal="100" zoomScaleSheetLayoutView="100" workbookViewId="0">
      <selection activeCell="L9" sqref="L9"/>
    </sheetView>
  </sheetViews>
  <sheetFormatPr defaultRowHeight="15" x14ac:dyDescent="0.25"/>
  <cols>
    <col min="1" max="1" width="6.7109375" customWidth="1"/>
    <col min="2" max="2" width="28.85546875" style="23" customWidth="1"/>
    <col min="3" max="3" width="11.28515625" style="40" customWidth="1"/>
    <col min="4" max="4" width="6.7109375" style="23" customWidth="1"/>
    <col min="5" max="5" width="11" style="33" customWidth="1"/>
    <col min="6" max="6" width="13.42578125" style="33" customWidth="1"/>
    <col min="7" max="7" width="11" style="33" customWidth="1"/>
    <col min="8" max="8" width="13.42578125" style="33" customWidth="1"/>
    <col min="9" max="9" width="11" customWidth="1"/>
    <col min="10" max="10" width="13.42578125" customWidth="1"/>
  </cols>
  <sheetData>
    <row r="1" spans="1:10" s="8" customFormat="1" ht="30" customHeight="1" x14ac:dyDescent="0.25">
      <c r="A1" s="76" t="str">
        <f>ProjectLocation</f>
        <v>PORTLAND INTERNATIONAL AIRPORT</v>
      </c>
      <c r="B1" s="77"/>
      <c r="C1" s="77"/>
      <c r="D1" s="78"/>
      <c r="E1" s="65" t="s">
        <v>96</v>
      </c>
      <c r="F1" s="66"/>
      <c r="G1" s="72" t="s">
        <v>97</v>
      </c>
      <c r="H1" s="73"/>
      <c r="I1" s="65" t="s">
        <v>32</v>
      </c>
      <c r="J1" s="66"/>
    </row>
    <row r="2" spans="1:10" ht="15" customHeight="1" x14ac:dyDescent="0.25">
      <c r="A2" s="79" t="str">
        <f>ProjectTitle</f>
        <v xml:space="preserve">RUNWAY 10L-28R CIRCUIT REPLACEMENT </v>
      </c>
      <c r="B2" s="80"/>
      <c r="C2" s="80"/>
      <c r="D2" s="81"/>
      <c r="E2" s="67"/>
      <c r="F2" s="68"/>
      <c r="G2" s="74"/>
      <c r="H2" s="75"/>
      <c r="I2" s="67"/>
      <c r="J2" s="68"/>
    </row>
    <row r="3" spans="1:10" x14ac:dyDescent="0.25">
      <c r="A3" s="82" t="str">
        <f>ProjectTitle2</f>
        <v>AND LED AND SMGCS UPGRADES</v>
      </c>
      <c r="B3" s="83"/>
      <c r="C3" s="83"/>
      <c r="D3" s="84"/>
      <c r="E3" s="67"/>
      <c r="F3" s="68"/>
      <c r="G3" s="74"/>
      <c r="H3" s="75"/>
      <c r="I3" s="67"/>
      <c r="J3" s="68"/>
    </row>
    <row r="4" spans="1:10" x14ac:dyDescent="0.25">
      <c r="A4" s="85" t="s">
        <v>92</v>
      </c>
      <c r="B4" s="86"/>
      <c r="C4" s="86"/>
      <c r="D4" s="87"/>
      <c r="E4" s="67"/>
      <c r="F4" s="68"/>
      <c r="G4" s="74"/>
      <c r="H4" s="75"/>
      <c r="I4" s="67"/>
      <c r="J4" s="68"/>
    </row>
    <row r="5" spans="1:10" x14ac:dyDescent="0.25">
      <c r="A5" s="85" t="s">
        <v>93</v>
      </c>
      <c r="B5" s="86"/>
      <c r="C5" s="86"/>
      <c r="D5" s="87"/>
      <c r="E5" s="67"/>
      <c r="F5" s="68"/>
      <c r="G5" s="74"/>
      <c r="H5" s="75"/>
      <c r="I5" s="67"/>
      <c r="J5" s="68"/>
    </row>
    <row r="6" spans="1:10" x14ac:dyDescent="0.25">
      <c r="A6" s="69">
        <f ca="1">TODAY()</f>
        <v>43207</v>
      </c>
      <c r="B6" s="70"/>
      <c r="C6" s="70"/>
      <c r="D6" s="71"/>
      <c r="E6" s="41"/>
      <c r="F6" s="42"/>
      <c r="G6" s="41"/>
      <c r="H6" s="42"/>
      <c r="I6" s="41"/>
      <c r="J6" s="42"/>
    </row>
    <row r="7" spans="1:10" ht="32.25" customHeight="1" x14ac:dyDescent="0.25">
      <c r="A7" s="10" t="s">
        <v>13</v>
      </c>
      <c r="B7" s="19" t="s">
        <v>14</v>
      </c>
      <c r="C7" s="37" t="s">
        <v>15</v>
      </c>
      <c r="D7" s="19" t="s">
        <v>16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</row>
    <row r="8" spans="1:10" ht="33" customHeight="1" x14ac:dyDescent="0.25">
      <c r="A8" s="11" t="str">
        <f>'Bid Item List'!A20</f>
        <v>0001</v>
      </c>
      <c r="B8" s="52" t="str">
        <f>'Bid Item List'!B20</f>
        <v>Mobilization, Surveying, Cleanup, and Demobilization (Section 012200)</v>
      </c>
      <c r="C8" s="38">
        <f>'Bid Item List'!C20</f>
        <v>1</v>
      </c>
      <c r="D8" s="20" t="str">
        <f>'Bid Item List'!D20</f>
        <v>LS</v>
      </c>
      <c r="E8" s="26">
        <v>97272</v>
      </c>
      <c r="F8" s="27">
        <f t="shared" ref="F8:F17" si="0">QTY*E8</f>
        <v>97272</v>
      </c>
      <c r="G8" s="26">
        <v>152000</v>
      </c>
      <c r="H8" s="27">
        <f t="shared" ref="H8:H17" si="1">QTY*G8</f>
        <v>152000</v>
      </c>
      <c r="I8" s="26">
        <v>60000</v>
      </c>
      <c r="J8" s="27">
        <f t="shared" ref="J8:J17" si="2">QTY*I8</f>
        <v>60000</v>
      </c>
    </row>
    <row r="9" spans="1:10" ht="33" customHeight="1" x14ac:dyDescent="0.25">
      <c r="A9" s="11" t="str">
        <f>'Bid Item List'!A21</f>
        <v>0002</v>
      </c>
      <c r="B9" s="52" t="str">
        <f>'Bid Item List'!B21</f>
        <v>Sweeper (Section 012200)</v>
      </c>
      <c r="C9" s="38">
        <f>'Bid Item List'!C21</f>
        <v>1</v>
      </c>
      <c r="D9" s="20" t="str">
        <f>'Bid Item List'!D21</f>
        <v>LS</v>
      </c>
      <c r="E9" s="26">
        <v>18200</v>
      </c>
      <c r="F9" s="27">
        <f t="shared" si="0"/>
        <v>18200</v>
      </c>
      <c r="G9" s="26">
        <v>34000</v>
      </c>
      <c r="H9" s="27">
        <f t="shared" si="1"/>
        <v>34000</v>
      </c>
      <c r="I9" s="26">
        <v>50000</v>
      </c>
      <c r="J9" s="27">
        <f t="shared" si="2"/>
        <v>50000</v>
      </c>
    </row>
    <row r="10" spans="1:10" ht="33" customHeight="1" x14ac:dyDescent="0.25">
      <c r="A10" s="11" t="str">
        <f>'Bid Item List'!A22</f>
        <v>0003</v>
      </c>
      <c r="B10" s="52" t="str">
        <f>'Bid Item List'!B22</f>
        <v>Security Control Monitoring
(Section 012200)</v>
      </c>
      <c r="C10" s="38">
        <f>'Bid Item List'!C22</f>
        <v>1</v>
      </c>
      <c r="D10" s="20" t="str">
        <f>'Bid Item List'!D22</f>
        <v>LS</v>
      </c>
      <c r="E10" s="26">
        <v>4368</v>
      </c>
      <c r="F10" s="27">
        <f t="shared" si="0"/>
        <v>4368</v>
      </c>
      <c r="G10" s="26">
        <v>545</v>
      </c>
      <c r="H10" s="27">
        <f t="shared" si="1"/>
        <v>545</v>
      </c>
      <c r="I10" s="26">
        <v>30000</v>
      </c>
      <c r="J10" s="27">
        <f t="shared" si="2"/>
        <v>30000</v>
      </c>
    </row>
    <row r="11" spans="1:10" ht="33" customHeight="1" x14ac:dyDescent="0.25">
      <c r="A11" s="11" t="str">
        <f>'Bid Item List'!A23</f>
        <v>0004</v>
      </c>
      <c r="B11" s="52" t="str">
        <f>'Bid Item List'!B23</f>
        <v>Work Zone and Traffic Control
(Section 012200)</v>
      </c>
      <c r="C11" s="38">
        <f>'Bid Item List'!C23</f>
        <v>1</v>
      </c>
      <c r="D11" s="20" t="str">
        <f>'Bid Item List'!D23</f>
        <v>LS</v>
      </c>
      <c r="E11" s="26">
        <v>41123</v>
      </c>
      <c r="F11" s="27">
        <f t="shared" si="0"/>
        <v>41123</v>
      </c>
      <c r="G11" s="26">
        <v>73000</v>
      </c>
      <c r="H11" s="27">
        <f t="shared" si="1"/>
        <v>73000</v>
      </c>
      <c r="I11" s="26">
        <v>75000</v>
      </c>
      <c r="J11" s="27">
        <f t="shared" si="2"/>
        <v>75000</v>
      </c>
    </row>
    <row r="12" spans="1:10" ht="33" customHeight="1" x14ac:dyDescent="0.25">
      <c r="A12" s="11" t="str">
        <f>'Bid Item List'!A24</f>
        <v>0005</v>
      </c>
      <c r="B12" s="52" t="str">
        <f>'Bid Item List'!B24</f>
        <v>Escort (Section 012200)</v>
      </c>
      <c r="C12" s="38">
        <f>'Bid Item List'!C24</f>
        <v>1</v>
      </c>
      <c r="D12" s="20" t="str">
        <f>'Bid Item List'!D24</f>
        <v>LS</v>
      </c>
      <c r="E12" s="26">
        <v>7776</v>
      </c>
      <c r="F12" s="27">
        <f t="shared" si="0"/>
        <v>7776</v>
      </c>
      <c r="G12" s="26">
        <v>5500</v>
      </c>
      <c r="H12" s="27">
        <f t="shared" si="1"/>
        <v>5500</v>
      </c>
      <c r="I12" s="26">
        <v>1000</v>
      </c>
      <c r="J12" s="27">
        <f t="shared" si="2"/>
        <v>1000</v>
      </c>
    </row>
    <row r="13" spans="1:10" ht="33" customHeight="1" x14ac:dyDescent="0.25">
      <c r="A13" s="11" t="str">
        <f>'Bid Item List'!A25</f>
        <v>0006</v>
      </c>
      <c r="B13" s="52" t="str">
        <f>'Bid Item List'!B25</f>
        <v>General Electrical Removal
(Section 260500)</v>
      </c>
      <c r="C13" s="38">
        <f>'Bid Item List'!C25</f>
        <v>1</v>
      </c>
      <c r="D13" s="20" t="str">
        <f>'Bid Item List'!D25</f>
        <v>LS</v>
      </c>
      <c r="E13" s="26">
        <v>140440</v>
      </c>
      <c r="F13" s="27">
        <f t="shared" si="0"/>
        <v>140440</v>
      </c>
      <c r="G13" s="26">
        <v>2920</v>
      </c>
      <c r="H13" s="27">
        <f t="shared" si="1"/>
        <v>2920</v>
      </c>
      <c r="I13" s="26">
        <v>40000</v>
      </c>
      <c r="J13" s="27">
        <f t="shared" si="2"/>
        <v>40000</v>
      </c>
    </row>
    <row r="14" spans="1:10" ht="33" customHeight="1" x14ac:dyDescent="0.25">
      <c r="A14" s="11" t="str">
        <f>'Bid Item List'!A26</f>
        <v>0007</v>
      </c>
      <c r="B14" s="52" t="str">
        <f>'Bid Item List'!B26</f>
        <v>Temporary Circuit Connection
(Section 260500)</v>
      </c>
      <c r="C14" s="38">
        <f>'Bid Item List'!C26</f>
        <v>1</v>
      </c>
      <c r="D14" s="20" t="str">
        <f>'Bid Item List'!D26</f>
        <v>LS</v>
      </c>
      <c r="E14" s="26">
        <v>10616</v>
      </c>
      <c r="F14" s="27">
        <f t="shared" si="0"/>
        <v>10616</v>
      </c>
      <c r="G14" s="26">
        <v>12200</v>
      </c>
      <c r="H14" s="27">
        <f t="shared" si="1"/>
        <v>12200</v>
      </c>
      <c r="I14" s="26">
        <v>25000</v>
      </c>
      <c r="J14" s="27">
        <f t="shared" si="2"/>
        <v>25000</v>
      </c>
    </row>
    <row r="15" spans="1:10" ht="33" customHeight="1" x14ac:dyDescent="0.25">
      <c r="A15" s="11" t="str">
        <f>'Bid Item List'!A27</f>
        <v>0008</v>
      </c>
      <c r="B15" s="52" t="str">
        <f>'Bid Item List'!B27</f>
        <v>Ground Rod for Counterpoise
(Section 260526)</v>
      </c>
      <c r="C15" s="38">
        <f>'Bid Item List'!C27</f>
        <v>2</v>
      </c>
      <c r="D15" s="20" t="str">
        <f>'Bid Item List'!D27</f>
        <v>Each</v>
      </c>
      <c r="E15" s="26">
        <v>176</v>
      </c>
      <c r="F15" s="27">
        <f t="shared" si="0"/>
        <v>352</v>
      </c>
      <c r="G15" s="26">
        <v>209</v>
      </c>
      <c r="H15" s="27">
        <f t="shared" si="1"/>
        <v>418</v>
      </c>
      <c r="I15" s="26">
        <v>300</v>
      </c>
      <c r="J15" s="27">
        <f t="shared" si="2"/>
        <v>600</v>
      </c>
    </row>
    <row r="16" spans="1:10" ht="33" customHeight="1" x14ac:dyDescent="0.25">
      <c r="A16" s="11" t="str">
        <f>'Bid Item List'!A28</f>
        <v>0009</v>
      </c>
      <c r="B16" s="52" t="str">
        <f>'Bid Item List'!B28</f>
        <v>3-Inch Diameter Brass Marker
(Section 260553)</v>
      </c>
      <c r="C16" s="38">
        <f>'Bid Item List'!C28</f>
        <v>1</v>
      </c>
      <c r="D16" s="20" t="str">
        <f>'Bid Item List'!D28</f>
        <v>Each</v>
      </c>
      <c r="E16" s="26">
        <v>211</v>
      </c>
      <c r="F16" s="27">
        <f t="shared" si="0"/>
        <v>211</v>
      </c>
      <c r="G16" s="26">
        <v>56</v>
      </c>
      <c r="H16" s="27">
        <f t="shared" si="1"/>
        <v>56</v>
      </c>
      <c r="I16" s="26">
        <v>150</v>
      </c>
      <c r="J16" s="27">
        <f t="shared" si="2"/>
        <v>150</v>
      </c>
    </row>
    <row r="17" spans="1:10" ht="33" customHeight="1" x14ac:dyDescent="0.25">
      <c r="A17" s="11" t="str">
        <f>'Bid Item List'!A29</f>
        <v>0010</v>
      </c>
      <c r="B17" s="52" t="str">
        <f>'Bid Item List'!B29</f>
        <v>Install PF Elevated Runway End Light with CF Transformer on Existing Light Base (Section 344300)</v>
      </c>
      <c r="C17" s="38">
        <f>'Bid Item List'!C29</f>
        <v>16</v>
      </c>
      <c r="D17" s="20" t="str">
        <f>'Bid Item List'!D29</f>
        <v>Each</v>
      </c>
      <c r="E17" s="26">
        <v>369</v>
      </c>
      <c r="F17" s="27">
        <f t="shared" si="0"/>
        <v>5904</v>
      </c>
      <c r="G17" s="26">
        <v>332</v>
      </c>
      <c r="H17" s="27">
        <f t="shared" si="1"/>
        <v>5312</v>
      </c>
      <c r="I17" s="26">
        <v>390</v>
      </c>
      <c r="J17" s="27">
        <f t="shared" si="2"/>
        <v>6240</v>
      </c>
    </row>
    <row r="18" spans="1:10" ht="33" customHeight="1" x14ac:dyDescent="0.25">
      <c r="A18" s="11" t="str">
        <f>'Bid Item List'!A30</f>
        <v>0011</v>
      </c>
      <c r="B18" s="52" t="str">
        <f>'Bid Item List'!B30</f>
        <v>Install PF Elevated Runway Edge Light with CF Transformer on Existing Light Base (Section 344300)</v>
      </c>
      <c r="C18" s="38">
        <f>'Bid Item List'!C30</f>
        <v>79</v>
      </c>
      <c r="D18" s="20" t="str">
        <f>'Bid Item List'!D30</f>
        <v>Each</v>
      </c>
      <c r="E18" s="26">
        <v>369</v>
      </c>
      <c r="F18" s="27">
        <f t="shared" ref="F18" si="3">QTY*E18</f>
        <v>29151</v>
      </c>
      <c r="G18" s="26">
        <v>367</v>
      </c>
      <c r="H18" s="27">
        <f t="shared" ref="H18" si="4">QTY*G18</f>
        <v>28993</v>
      </c>
      <c r="I18" s="26">
        <v>390</v>
      </c>
      <c r="J18" s="27">
        <f t="shared" ref="J18" si="5">QTY*I18</f>
        <v>30810</v>
      </c>
    </row>
    <row r="19" spans="1:10" ht="33" customHeight="1" x14ac:dyDescent="0.25">
      <c r="A19" s="11" t="str">
        <f>'Bid Item List'!A31</f>
        <v>0012</v>
      </c>
      <c r="B19" s="52" t="str">
        <f>'Bid Item List'!B31</f>
        <v>Install PF In-Pavement Runway Edge Light with CF Transformer on Existing Light Base (Section 344300)</v>
      </c>
      <c r="C19" s="38">
        <f>'Bid Item List'!C31</f>
        <v>17</v>
      </c>
      <c r="D19" s="20" t="str">
        <f>'Bid Item List'!D31</f>
        <v>Each</v>
      </c>
      <c r="E19" s="26">
        <v>408</v>
      </c>
      <c r="F19" s="27">
        <f t="shared" ref="F19:F40" si="6">QTY*E19</f>
        <v>6936</v>
      </c>
      <c r="G19" s="26">
        <v>436</v>
      </c>
      <c r="H19" s="27">
        <f t="shared" ref="H19:H40" si="7">QTY*G19</f>
        <v>7412</v>
      </c>
      <c r="I19" s="26">
        <v>385</v>
      </c>
      <c r="J19" s="27">
        <f t="shared" ref="J19:J40" si="8">QTY*I19</f>
        <v>6545</v>
      </c>
    </row>
    <row r="20" spans="1:10" ht="33" customHeight="1" x14ac:dyDescent="0.25">
      <c r="A20" s="11" t="str">
        <f>'Bid Item List'!A32</f>
        <v>0013</v>
      </c>
      <c r="B20" s="52" t="str">
        <f>'Bid Item List'!B32</f>
        <v>Install PF Runway Centerline Light with CF Transformer on Existing Light Base
(Section 344300)</v>
      </c>
      <c r="C20" s="38">
        <f>'Bid Item List'!C32</f>
        <v>195</v>
      </c>
      <c r="D20" s="20" t="str">
        <f>'Bid Item List'!D32</f>
        <v>Each</v>
      </c>
      <c r="E20" s="26">
        <v>383</v>
      </c>
      <c r="F20" s="27">
        <f t="shared" si="6"/>
        <v>74685</v>
      </c>
      <c r="G20" s="26">
        <v>382</v>
      </c>
      <c r="H20" s="27">
        <f t="shared" si="7"/>
        <v>74490</v>
      </c>
      <c r="I20" s="26">
        <v>385</v>
      </c>
      <c r="J20" s="27">
        <f t="shared" si="8"/>
        <v>75075</v>
      </c>
    </row>
    <row r="21" spans="1:10" ht="33" customHeight="1" x14ac:dyDescent="0.25">
      <c r="A21" s="11" t="str">
        <f>'Bid Item List'!A33</f>
        <v>0014</v>
      </c>
      <c r="B21" s="52" t="str">
        <f>'Bid Item List'!B33</f>
        <v>Install PF In-Pavement Runway Threshold Light with CF Transformer on Existing Light Base (Section 344300)</v>
      </c>
      <c r="C21" s="38">
        <f>'Bid Item List'!C33</f>
        <v>16</v>
      </c>
      <c r="D21" s="20" t="str">
        <f>'Bid Item List'!D33</f>
        <v>Each</v>
      </c>
      <c r="E21" s="26">
        <v>370</v>
      </c>
      <c r="F21" s="27">
        <f t="shared" si="6"/>
        <v>5920</v>
      </c>
      <c r="G21" s="26">
        <v>332</v>
      </c>
      <c r="H21" s="27">
        <f t="shared" si="7"/>
        <v>5312</v>
      </c>
      <c r="I21" s="26">
        <v>385</v>
      </c>
      <c r="J21" s="27">
        <f t="shared" si="8"/>
        <v>6160</v>
      </c>
    </row>
    <row r="22" spans="1:10" ht="33" customHeight="1" x14ac:dyDescent="0.25">
      <c r="A22" s="11" t="str">
        <f>'Bid Item List'!A34</f>
        <v>0015</v>
      </c>
      <c r="B22" s="52" t="str">
        <f>'Bid Item List'!B34</f>
        <v>Install PF Taxiway Centerline Light with PF Remote and CF Transformer on Existing Light Base (Section 344300)</v>
      </c>
      <c r="C22" s="38">
        <f>'Bid Item List'!C34</f>
        <v>143</v>
      </c>
      <c r="D22" s="20" t="str">
        <f>'Bid Item List'!D34</f>
        <v>Each</v>
      </c>
      <c r="E22" s="26">
        <v>384</v>
      </c>
      <c r="F22" s="27">
        <f t="shared" si="6"/>
        <v>54912</v>
      </c>
      <c r="G22" s="26">
        <v>363</v>
      </c>
      <c r="H22" s="27">
        <f t="shared" si="7"/>
        <v>51909</v>
      </c>
      <c r="I22" s="26">
        <v>400</v>
      </c>
      <c r="J22" s="27">
        <f t="shared" si="8"/>
        <v>57200</v>
      </c>
    </row>
    <row r="23" spans="1:10" ht="33" customHeight="1" x14ac:dyDescent="0.25">
      <c r="A23" s="11" t="str">
        <f>'Bid Item List'!A35</f>
        <v>0016</v>
      </c>
      <c r="B23" s="52" t="str">
        <f>'Bid Item List'!B35</f>
        <v>Install PF Red Elevated Stop Bar Light with PF Remote and CF Transformer on Existing Light Base (Section 344300)</v>
      </c>
      <c r="C23" s="38">
        <f>'Bid Item List'!C35</f>
        <v>14</v>
      </c>
      <c r="D23" s="20" t="str">
        <f>'Bid Item List'!D35</f>
        <v>Each</v>
      </c>
      <c r="E23" s="26">
        <v>405</v>
      </c>
      <c r="F23" s="27">
        <f t="shared" si="6"/>
        <v>5670</v>
      </c>
      <c r="G23" s="26">
        <v>346</v>
      </c>
      <c r="H23" s="27">
        <f t="shared" si="7"/>
        <v>4844</v>
      </c>
      <c r="I23" s="26">
        <v>385</v>
      </c>
      <c r="J23" s="27">
        <f t="shared" si="8"/>
        <v>5390</v>
      </c>
    </row>
    <row r="24" spans="1:10" ht="33" customHeight="1" x14ac:dyDescent="0.25">
      <c r="A24" s="11" t="str">
        <f>'Bid Item List'!A36</f>
        <v>0017</v>
      </c>
      <c r="B24" s="52" t="str">
        <f>'Bid Item List'!B36</f>
        <v>Install PF Dual Stop Bar Light with PF Remote and CF Transformer on Existing Light Base (Section 344300)</v>
      </c>
      <c r="C24" s="38">
        <f>'Bid Item List'!C36</f>
        <v>93</v>
      </c>
      <c r="D24" s="20" t="str">
        <f>'Bid Item List'!D36</f>
        <v>Each</v>
      </c>
      <c r="E24" s="26">
        <v>446</v>
      </c>
      <c r="F24" s="27">
        <f t="shared" si="6"/>
        <v>41478</v>
      </c>
      <c r="G24" s="26">
        <v>387</v>
      </c>
      <c r="H24" s="27">
        <f t="shared" si="7"/>
        <v>35991</v>
      </c>
      <c r="I24" s="26">
        <v>510</v>
      </c>
      <c r="J24" s="27">
        <f t="shared" si="8"/>
        <v>47430</v>
      </c>
    </row>
    <row r="25" spans="1:10" ht="33" customHeight="1" x14ac:dyDescent="0.25">
      <c r="A25" s="11" t="str">
        <f>'Bid Item List'!A37</f>
        <v>0018</v>
      </c>
      <c r="B25" s="52" t="str">
        <f>'Bid Item List'!B37</f>
        <v>Install PF In-Pavement Runway Guard Light with CF Transformer on Existing Light Base (Section 344300)</v>
      </c>
      <c r="C25" s="38">
        <f>'Bid Item List'!C37</f>
        <v>39</v>
      </c>
      <c r="D25" s="20" t="str">
        <f>'Bid Item List'!D37</f>
        <v>Each</v>
      </c>
      <c r="E25" s="26">
        <v>408</v>
      </c>
      <c r="F25" s="27">
        <f t="shared" si="6"/>
        <v>15912</v>
      </c>
      <c r="G25" s="26">
        <v>387</v>
      </c>
      <c r="H25" s="27">
        <f t="shared" si="7"/>
        <v>15093</v>
      </c>
      <c r="I25" s="26">
        <v>385</v>
      </c>
      <c r="J25" s="27">
        <f t="shared" si="8"/>
        <v>15015</v>
      </c>
    </row>
    <row r="26" spans="1:10" ht="33" customHeight="1" x14ac:dyDescent="0.25">
      <c r="A26" s="11" t="str">
        <f>'Bid Item List'!A38</f>
        <v>0019</v>
      </c>
      <c r="B26" s="52" t="str">
        <f>'Bid Item List'!B38</f>
        <v>Install PF Red Elevated Stop Bar Light with  CF Transformer on Existing Light Base (Section 344300)</v>
      </c>
      <c r="C26" s="38">
        <f>'Bid Item List'!C38</f>
        <v>40</v>
      </c>
      <c r="D26" s="20" t="str">
        <f>'Bid Item List'!D38</f>
        <v>Each</v>
      </c>
      <c r="E26" s="26">
        <v>367</v>
      </c>
      <c r="F26" s="27">
        <f t="shared" si="6"/>
        <v>14680</v>
      </c>
      <c r="G26" s="26">
        <v>346</v>
      </c>
      <c r="H26" s="27">
        <f t="shared" si="7"/>
        <v>13840</v>
      </c>
      <c r="I26" s="26">
        <v>375</v>
      </c>
      <c r="J26" s="27">
        <f t="shared" si="8"/>
        <v>15000</v>
      </c>
    </row>
    <row r="27" spans="1:10" ht="33" customHeight="1" x14ac:dyDescent="0.25">
      <c r="A27" s="11" t="str">
        <f>'Bid Item List'!A39</f>
        <v>0020</v>
      </c>
      <c r="B27" s="52" t="str">
        <f>'Bid Item List'!B39</f>
        <v>Install PF Elevated Runway Guard Light with CF Transformer on Existing Light Base (Section 344300)</v>
      </c>
      <c r="C27" s="38">
        <f>'Bid Item List'!C39</f>
        <v>34</v>
      </c>
      <c r="D27" s="20" t="str">
        <f>'Bid Item List'!D39</f>
        <v>Each</v>
      </c>
      <c r="E27" s="26">
        <v>370</v>
      </c>
      <c r="F27" s="27">
        <f t="shared" si="6"/>
        <v>12580</v>
      </c>
      <c r="G27" s="26">
        <v>360</v>
      </c>
      <c r="H27" s="27">
        <f t="shared" si="7"/>
        <v>12240</v>
      </c>
      <c r="I27" s="26">
        <v>335</v>
      </c>
      <c r="J27" s="27">
        <f t="shared" si="8"/>
        <v>11390</v>
      </c>
    </row>
    <row r="28" spans="1:10" ht="33" customHeight="1" x14ac:dyDescent="0.25">
      <c r="A28" s="11" t="str">
        <f>'Bid Item List'!A40</f>
        <v>0021</v>
      </c>
      <c r="B28" s="52" t="str">
        <f>'Bid Item List'!B40</f>
        <v>Install PF Dual Stop Bar Light with Two CF Transformers on Existing Light Base (Section 344300)</v>
      </c>
      <c r="C28" s="38">
        <f>'Bid Item List'!C40</f>
        <v>108</v>
      </c>
      <c r="D28" s="20" t="str">
        <f>'Bid Item List'!D40</f>
        <v>Each</v>
      </c>
      <c r="E28" s="26">
        <v>570</v>
      </c>
      <c r="F28" s="27">
        <f t="shared" si="6"/>
        <v>61560</v>
      </c>
      <c r="G28" s="26">
        <v>499</v>
      </c>
      <c r="H28" s="27">
        <f t="shared" si="7"/>
        <v>53892</v>
      </c>
      <c r="I28" s="26">
        <v>500</v>
      </c>
      <c r="J28" s="27">
        <f t="shared" si="8"/>
        <v>54000</v>
      </c>
    </row>
    <row r="29" spans="1:10" ht="33" customHeight="1" x14ac:dyDescent="0.25">
      <c r="A29" s="11" t="str">
        <f>'Bid Item List'!A41</f>
        <v>0022</v>
      </c>
      <c r="B29" s="52" t="str">
        <f>'Bid Item List'!B41</f>
        <v>Install PF Taxiway Centerline Light with CF Transformer on Existing Light Base
(Section 344300)</v>
      </c>
      <c r="C29" s="38">
        <f>'Bid Item List'!C41</f>
        <v>258</v>
      </c>
      <c r="D29" s="20" t="str">
        <f>'Bid Item List'!D41</f>
        <v>Each</v>
      </c>
      <c r="E29" s="26">
        <v>383</v>
      </c>
      <c r="F29" s="27">
        <f t="shared" si="6"/>
        <v>98814</v>
      </c>
      <c r="G29" s="26">
        <v>361</v>
      </c>
      <c r="H29" s="27">
        <f t="shared" si="7"/>
        <v>93138</v>
      </c>
      <c r="I29" s="26">
        <v>375</v>
      </c>
      <c r="J29" s="27">
        <f t="shared" si="8"/>
        <v>96750</v>
      </c>
    </row>
    <row r="30" spans="1:10" ht="33" customHeight="1" x14ac:dyDescent="0.25">
      <c r="A30" s="11" t="str">
        <f>'Bid Item List'!A42</f>
        <v>0023</v>
      </c>
      <c r="B30" s="52" t="str">
        <f>'Bid Item List'!B42</f>
        <v>Install PF Elevated Taxiway Edge Light with CF Transformer on Existing Light Base (Section 344300)</v>
      </c>
      <c r="C30" s="38">
        <f>'Bid Item List'!C42</f>
        <v>599</v>
      </c>
      <c r="D30" s="20" t="str">
        <f>'Bid Item List'!D42</f>
        <v>Each</v>
      </c>
      <c r="E30" s="26">
        <v>361</v>
      </c>
      <c r="F30" s="27">
        <f t="shared" si="6"/>
        <v>216239</v>
      </c>
      <c r="G30" s="26">
        <v>322</v>
      </c>
      <c r="H30" s="27">
        <f t="shared" si="7"/>
        <v>192878</v>
      </c>
      <c r="I30" s="26">
        <v>390</v>
      </c>
      <c r="J30" s="27">
        <f t="shared" si="8"/>
        <v>233610</v>
      </c>
    </row>
    <row r="31" spans="1:10" ht="33" customHeight="1" x14ac:dyDescent="0.25">
      <c r="A31" s="11" t="str">
        <f>'Bid Item List'!A43</f>
        <v>0024</v>
      </c>
      <c r="B31" s="52" t="str">
        <f>'Bid Item List'!B43</f>
        <v>Install PF Taxiway Centerline Light on Existing Light Base (Section 344300)</v>
      </c>
      <c r="C31" s="38">
        <f>'Bid Item List'!C43</f>
        <v>80</v>
      </c>
      <c r="D31" s="20" t="str">
        <f>'Bid Item List'!D43</f>
        <v>Each</v>
      </c>
      <c r="E31" s="26">
        <v>202</v>
      </c>
      <c r="F31" s="27">
        <f t="shared" si="6"/>
        <v>16160</v>
      </c>
      <c r="G31" s="26">
        <v>276</v>
      </c>
      <c r="H31" s="27">
        <f t="shared" si="7"/>
        <v>22080</v>
      </c>
      <c r="I31" s="26">
        <v>325</v>
      </c>
      <c r="J31" s="27">
        <f t="shared" si="8"/>
        <v>26000</v>
      </c>
    </row>
    <row r="32" spans="1:10" ht="33" customHeight="1" x14ac:dyDescent="0.25">
      <c r="A32" s="11" t="str">
        <f>'Bid Item List'!A44</f>
        <v>0025</v>
      </c>
      <c r="B32" s="52" t="str">
        <f>'Bid Item List'!B44</f>
        <v>Install PF Dual Stop Bar Light on Existing Light Base (Section 344300)</v>
      </c>
      <c r="C32" s="38">
        <f>'Bid Item List'!C44</f>
        <v>91</v>
      </c>
      <c r="D32" s="20" t="str">
        <f>'Bid Item List'!D44</f>
        <v>Each</v>
      </c>
      <c r="E32" s="26">
        <v>251</v>
      </c>
      <c r="F32" s="27">
        <f t="shared" si="6"/>
        <v>22841</v>
      </c>
      <c r="G32" s="26">
        <v>274</v>
      </c>
      <c r="H32" s="27">
        <f t="shared" si="7"/>
        <v>24934</v>
      </c>
      <c r="I32" s="26">
        <v>360</v>
      </c>
      <c r="J32" s="27">
        <f t="shared" si="8"/>
        <v>32760</v>
      </c>
    </row>
    <row r="33" spans="1:10" ht="33" customHeight="1" x14ac:dyDescent="0.25">
      <c r="A33" s="11" t="str">
        <f>'Bid Item List'!A45</f>
        <v>0026</v>
      </c>
      <c r="B33" s="52" t="str">
        <f>'Bid Item List'!B45</f>
        <v>Install PF In-Pavement Runway Guard Light on Existing Light Base
(Section 344300)</v>
      </c>
      <c r="C33" s="38">
        <f>'Bid Item List'!C45</f>
        <v>14</v>
      </c>
      <c r="D33" s="20" t="str">
        <f>'Bid Item List'!D45</f>
        <v>Each</v>
      </c>
      <c r="E33" s="26">
        <v>202</v>
      </c>
      <c r="F33" s="27">
        <f t="shared" si="6"/>
        <v>2828</v>
      </c>
      <c r="G33" s="26">
        <v>273</v>
      </c>
      <c r="H33" s="27">
        <f t="shared" si="7"/>
        <v>3822</v>
      </c>
      <c r="I33" s="26">
        <v>325</v>
      </c>
      <c r="J33" s="27">
        <f t="shared" si="8"/>
        <v>4550</v>
      </c>
    </row>
    <row r="34" spans="1:10" ht="33" customHeight="1" x14ac:dyDescent="0.25">
      <c r="A34" s="11" t="str">
        <f>'Bid Item List'!A46</f>
        <v>0027</v>
      </c>
      <c r="B34" s="52" t="str">
        <f>'Bid Item List'!B46</f>
        <v>Install PF In-Pavement Red Stop Bar Light with PF Remote and CF Transformer on Existing Light Base (Section 344300)</v>
      </c>
      <c r="C34" s="38">
        <f>'Bid Item List'!C46</f>
        <v>10</v>
      </c>
      <c r="D34" s="20" t="str">
        <f>'Bid Item List'!D46</f>
        <v>Each</v>
      </c>
      <c r="E34" s="26">
        <v>446</v>
      </c>
      <c r="F34" s="27">
        <f t="shared" si="6"/>
        <v>4460</v>
      </c>
      <c r="G34" s="26">
        <v>385</v>
      </c>
      <c r="H34" s="27">
        <f t="shared" si="7"/>
        <v>3850</v>
      </c>
      <c r="I34" s="26">
        <v>470</v>
      </c>
      <c r="J34" s="27">
        <f t="shared" si="8"/>
        <v>4700</v>
      </c>
    </row>
    <row r="35" spans="1:10" ht="33" customHeight="1" x14ac:dyDescent="0.25">
      <c r="A35" s="11" t="str">
        <f>'Bid Item List'!A47</f>
        <v>0028</v>
      </c>
      <c r="B35" s="52" t="str">
        <f>'Bid Item List'!B47</f>
        <v>Install CF 150-Watt, 6.6/6.6 Amp Isolation Transformer in Existing Base Can
(Section 344300)</v>
      </c>
      <c r="C35" s="38">
        <f>'Bid Item List'!C47</f>
        <v>91</v>
      </c>
      <c r="D35" s="20" t="str">
        <f>'Bid Item List'!D47</f>
        <v>Each</v>
      </c>
      <c r="E35" s="26">
        <v>213</v>
      </c>
      <c r="F35" s="27">
        <f t="shared" si="6"/>
        <v>19383</v>
      </c>
      <c r="G35" s="26">
        <v>389</v>
      </c>
      <c r="H35" s="27">
        <f t="shared" si="7"/>
        <v>35399</v>
      </c>
      <c r="I35" s="26">
        <v>160</v>
      </c>
      <c r="J35" s="27">
        <f t="shared" si="8"/>
        <v>14560</v>
      </c>
    </row>
    <row r="36" spans="1:10" ht="33" customHeight="1" x14ac:dyDescent="0.25">
      <c r="A36" s="11" t="str">
        <f>'Bid Item List'!A48</f>
        <v>0029</v>
      </c>
      <c r="B36" s="52" t="str">
        <f>'Bid Item List'!B48</f>
        <v>Install PF Microwave Sensor with CF Transformer in Existing Base Can
(Section 344300)</v>
      </c>
      <c r="C36" s="38">
        <f>'Bid Item List'!C48</f>
        <v>14</v>
      </c>
      <c r="D36" s="20" t="str">
        <f>'Bid Item List'!D48</f>
        <v>Each</v>
      </c>
      <c r="E36" s="26">
        <v>568</v>
      </c>
      <c r="F36" s="27">
        <f t="shared" si="6"/>
        <v>7952</v>
      </c>
      <c r="G36" s="26">
        <v>357</v>
      </c>
      <c r="H36" s="27">
        <f t="shared" si="7"/>
        <v>4998</v>
      </c>
      <c r="I36" s="26">
        <v>1250</v>
      </c>
      <c r="J36" s="27">
        <f t="shared" si="8"/>
        <v>17500</v>
      </c>
    </row>
    <row r="37" spans="1:10" ht="33" customHeight="1" x14ac:dyDescent="0.25">
      <c r="A37" s="11" t="str">
        <f>'Bid Item List'!A49</f>
        <v>0030</v>
      </c>
      <c r="B37" s="52" t="str">
        <f>'Bid Item List'!B49</f>
        <v>Install PF Cover Plate on Existing Base Can (Section 344300)</v>
      </c>
      <c r="C37" s="38">
        <f>'Bid Item List'!C49</f>
        <v>1</v>
      </c>
      <c r="D37" s="20" t="str">
        <f>'Bid Item List'!D49</f>
        <v>Each</v>
      </c>
      <c r="E37" s="26">
        <v>285</v>
      </c>
      <c r="F37" s="27">
        <f t="shared" si="6"/>
        <v>285</v>
      </c>
      <c r="G37" s="26">
        <v>229</v>
      </c>
      <c r="H37" s="27">
        <f t="shared" si="7"/>
        <v>229</v>
      </c>
      <c r="I37" s="26">
        <v>75</v>
      </c>
      <c r="J37" s="27">
        <f t="shared" si="8"/>
        <v>75</v>
      </c>
    </row>
    <row r="38" spans="1:10" ht="33" customHeight="1" x14ac:dyDescent="0.25">
      <c r="A38" s="11" t="str">
        <f>'Bid Item List'!A50</f>
        <v>0031</v>
      </c>
      <c r="B38" s="52" t="str">
        <f>'Bid Item List'!B50</f>
        <v>#6 AWG, 5kV Cable
(Item L-108)</v>
      </c>
      <c r="C38" s="54">
        <f>'Bid Item List'!C50</f>
        <v>55000</v>
      </c>
      <c r="D38" s="20" t="str">
        <f>'Bid Item List'!D50</f>
        <v>LF</v>
      </c>
      <c r="E38" s="26">
        <v>1.2</v>
      </c>
      <c r="F38" s="27">
        <f t="shared" si="6"/>
        <v>66000</v>
      </c>
      <c r="G38" s="26">
        <v>2.5</v>
      </c>
      <c r="H38" s="27">
        <f t="shared" si="7"/>
        <v>137500</v>
      </c>
      <c r="I38" s="26">
        <v>2.25</v>
      </c>
      <c r="J38" s="27">
        <f t="shared" si="8"/>
        <v>123750</v>
      </c>
    </row>
    <row r="39" spans="1:10" ht="33" customHeight="1" x14ac:dyDescent="0.25">
      <c r="A39" s="11" t="str">
        <f>'Bid Item List'!A51</f>
        <v>0032</v>
      </c>
      <c r="B39" s="52" t="str">
        <f>'Bid Item List'!B51</f>
        <v>2-inch PVC Direct Buried in Grass
(Item L-110)</v>
      </c>
      <c r="C39" s="38">
        <f>'Bid Item List'!C51</f>
        <v>150</v>
      </c>
      <c r="D39" s="20" t="str">
        <f>'Bid Item List'!D51</f>
        <v>LF</v>
      </c>
      <c r="E39" s="26">
        <v>13</v>
      </c>
      <c r="F39" s="27">
        <f t="shared" si="6"/>
        <v>1950</v>
      </c>
      <c r="G39" s="26">
        <v>31</v>
      </c>
      <c r="H39" s="27">
        <f t="shared" si="7"/>
        <v>4650</v>
      </c>
      <c r="I39" s="26">
        <v>15</v>
      </c>
      <c r="J39" s="27">
        <f t="shared" si="8"/>
        <v>2250</v>
      </c>
    </row>
    <row r="40" spans="1:10" ht="33" customHeight="1" x14ac:dyDescent="0.25">
      <c r="A40" s="11" t="str">
        <f>'Bid Item List'!A52</f>
        <v>0033</v>
      </c>
      <c r="B40" s="52" t="str">
        <f>'Bid Item List'!B52</f>
        <v>2-inch PVC in Existing ACP Shoulder       (Item L-110)</v>
      </c>
      <c r="C40" s="38">
        <f>'Bid Item List'!C52</f>
        <v>10</v>
      </c>
      <c r="D40" s="20" t="str">
        <f>'Bid Item List'!D52</f>
        <v>LF</v>
      </c>
      <c r="E40" s="26">
        <v>23</v>
      </c>
      <c r="F40" s="27">
        <f t="shared" si="6"/>
        <v>230</v>
      </c>
      <c r="G40" s="26">
        <v>167</v>
      </c>
      <c r="H40" s="27">
        <f t="shared" si="7"/>
        <v>1670</v>
      </c>
      <c r="I40" s="26">
        <v>40</v>
      </c>
      <c r="J40" s="27">
        <f t="shared" si="8"/>
        <v>400</v>
      </c>
    </row>
    <row r="41" spans="1:10" ht="27.75" customHeight="1" x14ac:dyDescent="0.25">
      <c r="A41" s="12"/>
      <c r="B41" s="21" t="s">
        <v>30</v>
      </c>
      <c r="C41" s="39"/>
      <c r="D41" s="22"/>
      <c r="E41" s="28"/>
      <c r="F41" s="28">
        <f>SUM(F8:F40)</f>
        <v>1106888</v>
      </c>
      <c r="G41" s="28"/>
      <c r="H41" s="28">
        <f>SUM(H8:H40)</f>
        <v>1115115</v>
      </c>
      <c r="I41" s="28"/>
      <c r="J41" s="28">
        <f>SUM(J8:J40)</f>
        <v>1168910</v>
      </c>
    </row>
  </sheetData>
  <mergeCells count="9">
    <mergeCell ref="I1:J5"/>
    <mergeCell ref="A6:D6"/>
    <mergeCell ref="E1:F5"/>
    <mergeCell ref="G1:H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6" tint="-0.499984740745262"/>
  </sheetPr>
  <dimension ref="A1:B12"/>
  <sheetViews>
    <sheetView tabSelected="1" zoomScale="75" zoomScaleNormal="75" zoomScaleSheetLayoutView="100" workbookViewId="0">
      <selection activeCell="A19" sqref="A19"/>
    </sheetView>
  </sheetViews>
  <sheetFormatPr defaultRowHeight="15" x14ac:dyDescent="0.25"/>
  <cols>
    <col min="1" max="1" width="53.7109375" style="13" customWidth="1"/>
    <col min="2" max="2" width="27" style="48" customWidth="1"/>
  </cols>
  <sheetData>
    <row r="1" spans="1:2" ht="30" customHeight="1" x14ac:dyDescent="0.25">
      <c r="A1" s="24" t="str">
        <f>ProjectLocation</f>
        <v>PORTLAND INTERNATIONAL AIRPORT</v>
      </c>
      <c r="B1" s="44"/>
    </row>
    <row r="2" spans="1:2" ht="15" customHeight="1" x14ac:dyDescent="0.25">
      <c r="A2" s="25" t="str">
        <f>ProjectTitle</f>
        <v xml:space="preserve">RUNWAY 10L-28R CIRCUIT REPLACEMENT </v>
      </c>
      <c r="B2" s="45"/>
    </row>
    <row r="3" spans="1:2" ht="15" customHeight="1" x14ac:dyDescent="0.25">
      <c r="A3" s="25" t="str">
        <f>ProjectTitle2</f>
        <v>AND LED AND SMGCS UPGRADES</v>
      </c>
      <c r="B3" s="45"/>
    </row>
    <row r="4" spans="1:2" x14ac:dyDescent="0.25">
      <c r="A4" s="14" t="str">
        <f>EAN</f>
        <v>EAN 2017D029</v>
      </c>
      <c r="B4" s="45"/>
    </row>
    <row r="5" spans="1:2" ht="15" customHeight="1" x14ac:dyDescent="0.25">
      <c r="A5" s="15" t="str">
        <f>SolicitationNo</f>
        <v>Solicitation No. 2018-7600</v>
      </c>
      <c r="B5" s="45"/>
    </row>
    <row r="6" spans="1:2" ht="15" customHeight="1" x14ac:dyDescent="0.25">
      <c r="A6" s="16">
        <f ca="1">TODAY()</f>
        <v>43207</v>
      </c>
      <c r="B6" s="46"/>
    </row>
    <row r="7" spans="1:2" ht="33" customHeight="1" x14ac:dyDescent="0.25">
      <c r="A7" s="17" t="s">
        <v>31</v>
      </c>
      <c r="B7" s="47" t="s">
        <v>18</v>
      </c>
    </row>
    <row r="8" spans="1:2" ht="33" customHeight="1" x14ac:dyDescent="0.25">
      <c r="A8" s="18" t="str">
        <f>Contractor1</f>
        <v>Colvico, Inc.</v>
      </c>
      <c r="B8" s="49">
        <f>Total1</f>
        <v>1106888</v>
      </c>
    </row>
    <row r="9" spans="1:2" ht="33" customHeight="1" x14ac:dyDescent="0.25">
      <c r="A9" s="18" t="str">
        <f>Contractor2</f>
        <v>Vellutini Corporation dba Royal Electric Company</v>
      </c>
      <c r="B9" s="49">
        <f>Total2</f>
        <v>1115115</v>
      </c>
    </row>
    <row r="10" spans="1:2" ht="33" customHeight="1" x14ac:dyDescent="0.25">
      <c r="A10" s="55" t="str">
        <f>EngineerEstimate</f>
        <v>Engineer's Estimate</v>
      </c>
      <c r="B10" s="56">
        <f>TotalEE</f>
        <v>1168910</v>
      </c>
    </row>
    <row r="11" spans="1:2" x14ac:dyDescent="0.25">
      <c r="A11" s="50" t="s">
        <v>34</v>
      </c>
    </row>
    <row r="12" spans="1:2" x14ac:dyDescent="0.25">
      <c r="A12" s="50" t="s">
        <v>35</v>
      </c>
    </row>
  </sheetData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B59CD-EBF8-43E7-B4CC-7507151300F0}"/>
</file>

<file path=customXml/itemProps2.xml><?xml version="1.0" encoding="utf-8"?>
<ds:datastoreItem xmlns:ds="http://schemas.openxmlformats.org/officeDocument/2006/customXml" ds:itemID="{529F1EAA-E459-4945-9706-CF30D309B2F4}"/>
</file>

<file path=customXml/itemProps3.xml><?xml version="1.0" encoding="utf-8"?>
<ds:datastoreItem xmlns:ds="http://schemas.openxmlformats.org/officeDocument/2006/customXml" ds:itemID="{F591339D-88AA-4BCA-8565-B0145FA0E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Bid Item List</vt:lpstr>
      <vt:lpstr>Bid Tabulation</vt:lpstr>
      <vt:lpstr>Summary</vt:lpstr>
      <vt:lpstr>Contractor1</vt:lpstr>
      <vt:lpstr>Contractor2</vt:lpstr>
      <vt:lpstr>EAN</vt:lpstr>
      <vt:lpstr>EngineerEstimate</vt:lpstr>
      <vt:lpstr>'Bid Item List'!Print_Area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Colin Doherty</cp:lastModifiedBy>
  <cp:lastPrinted>2018-04-17T21:12:57Z</cp:lastPrinted>
  <dcterms:created xsi:type="dcterms:W3CDTF">2014-05-02T22:08:37Z</dcterms:created>
  <dcterms:modified xsi:type="dcterms:W3CDTF">2018-04-17T22:11:12Z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