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2D\028\"/>
    </mc:Choice>
  </mc:AlternateContent>
  <xr:revisionPtr revIDLastSave="18" documentId="13_ncr:1_{FEE698BD-F2C5-4C11-93B0-48EC91B6A834}" xr6:coauthVersionLast="47" xr6:coauthVersionMax="47" xr10:uidLastSave="{33380269-AB61-4F24-9517-EA10980EDD70}"/>
  <bookViews>
    <workbookView xWindow="-120" yWindow="-120" windowWidth="25440" windowHeight="15540" tabRatio="716" xr2:uid="{00000000-000D-0000-FFFF-FFFF00000000}"/>
  </bookViews>
  <sheets>
    <sheet name="Base Bid Item List" sheetId="1" r:id="rId1"/>
    <sheet name="Alternate Item List" sheetId="6" r:id="rId2"/>
    <sheet name="Base Bid Tabulation" sheetId="2" r:id="rId3"/>
    <sheet name="Alternate Bid Tabulation" sheetId="7" r:id="rId4"/>
    <sheet name="Summary" sheetId="5" r:id="rId5"/>
  </sheets>
  <externalReferences>
    <externalReference r:id="rId6"/>
  </externalReferences>
  <definedNames>
    <definedName name="AQTY">'[1]Bid Tab Schedule A'!$C:$C</definedName>
    <definedName name="ATotal1">'[1]Bid Tab Schedule A'!$F$19</definedName>
    <definedName name="ATotal2">'[1]Bid Tab Schedule A'!$H$19</definedName>
    <definedName name="ATotal3">'[1]Bid Tab Schedule A'!$J$19</definedName>
    <definedName name="ATotal4">'[1]Bid Tab Schedule A'!$L$19</definedName>
    <definedName name="ATotal5">'[1]Bid Tab Schedule A'!$N$19</definedName>
    <definedName name="ATotal6">'[1]Bid Tab Schedule A'!$P$19</definedName>
    <definedName name="ATotal7">'[1]Bid Tab Schedule A'!$R$19</definedName>
    <definedName name="ATotal8">'[1]Bid Tab Schedule A'!$T$19</definedName>
    <definedName name="ATotalEE">'[1]Bid Tab Schedule A'!$V$19</definedName>
    <definedName name="BQTY">'[1]Bid Tab Schedule B'!$C:$C</definedName>
    <definedName name="Contractor1">'Base Bid Tabulation'!$E$1</definedName>
    <definedName name="Contractor2">'Base Bid Tabulation'!$G$1</definedName>
    <definedName name="Contractor3">'Base Bid Tabulation'!$I$1</definedName>
    <definedName name="Contractor4">'Base Bid Tabulation'!$K$1</definedName>
    <definedName name="Contractor5">'Base Bid Tabulation'!#REF!</definedName>
    <definedName name="Contractor6">'Base Bid Tabulation'!#REF!</definedName>
    <definedName name="Contractor7">'Base Bid Tabulation'!#REF!</definedName>
    <definedName name="Contractor8">'Base Bid Tabulation'!#REF!</definedName>
    <definedName name="EAN">'Base Bid Tabulation'!$A$4</definedName>
    <definedName name="EngineerEstimate">'Base Bid Tabulation'!$M$1</definedName>
    <definedName name="_xlnm.Print_Area" localSheetId="3">'Alternate Bid Tabulation'!$A$1:$N$30</definedName>
    <definedName name="_xlnm.Print_Area" localSheetId="1">'Alternate Item List'!$A$14:$F$41</definedName>
    <definedName name="_xlnm.Print_Area" localSheetId="0">'Base Bid Item List'!$A$14:$F$73</definedName>
    <definedName name="_xlnm.Print_Area" localSheetId="4">Summary!$A$1:$C$13</definedName>
    <definedName name="_xlnm.Print_Titles" localSheetId="3">'Alternate Bid Tabulation'!$A:$D,'Alternate Bid Tabulation'!$1:$7</definedName>
    <definedName name="_xlnm.Print_Titles" localSheetId="1">'Alternate Item List'!$14:$19</definedName>
    <definedName name="_xlnm.Print_Titles" localSheetId="0">'Base Bid Item List'!$14:$19</definedName>
    <definedName name="_xlnm.Print_Titles" localSheetId="2">'Base Bid Tabulation'!$A:$D,'Base Bid Tabulation'!$1:$7</definedName>
    <definedName name="ProjectLocation">'Base Bid Item List'!$A$15</definedName>
    <definedName name="ProjectTitle">'Base Bid Item List'!$A$16</definedName>
    <definedName name="ProjectTitle2">'Base Bid Item List'!$A$17</definedName>
    <definedName name="QTY">'Base Bid Tabulation'!$C:$C</definedName>
    <definedName name="SolicitationNo">'Base Bid Tabulation'!$A$5</definedName>
    <definedName name="Total1">'Base Bid Tabulation'!$F$61</definedName>
    <definedName name="Total2">'Base Bid Tabulation'!$H$61</definedName>
    <definedName name="Total3">'Base Bid Tabulation'!$J$61</definedName>
    <definedName name="Total4">'Base Bid Tabulation'!$L$61</definedName>
    <definedName name="Total5">'Base Bid Tabulation'!#REF!</definedName>
    <definedName name="Total6">'Base Bid Tabulation'!#REF!</definedName>
    <definedName name="Total7">'Base Bid Tabulation'!#REF!</definedName>
    <definedName name="Total8">'Base Bid Tabulation'!#REF!</definedName>
    <definedName name="TotalEE">'Base Bid Tabulation'!$N$61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20" i="1"/>
  <c r="A8" i="5"/>
  <c r="F25" i="7"/>
  <c r="F28" i="7"/>
  <c r="H26" i="7"/>
  <c r="J26" i="7"/>
  <c r="J28" i="7"/>
  <c r="L25" i="7"/>
  <c r="L28" i="7"/>
  <c r="N26" i="7"/>
  <c r="A9" i="7"/>
  <c r="B9" i="7"/>
  <c r="C9" i="7"/>
  <c r="D9" i="7"/>
  <c r="A10" i="7"/>
  <c r="B10" i="7"/>
  <c r="C10" i="7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14" i="7"/>
  <c r="B14" i="7"/>
  <c r="C14" i="7"/>
  <c r="D14" i="7"/>
  <c r="A15" i="7"/>
  <c r="B15" i="7"/>
  <c r="C15" i="7"/>
  <c r="D15" i="7"/>
  <c r="A16" i="7"/>
  <c r="B16" i="7"/>
  <c r="C16" i="7"/>
  <c r="D16" i="7"/>
  <c r="A17" i="7"/>
  <c r="B17" i="7"/>
  <c r="C17" i="7"/>
  <c r="D17" i="7"/>
  <c r="A18" i="7"/>
  <c r="B18" i="7"/>
  <c r="C18" i="7"/>
  <c r="D18" i="7"/>
  <c r="A19" i="7"/>
  <c r="B19" i="7"/>
  <c r="C19" i="7"/>
  <c r="D19" i="7"/>
  <c r="A20" i="7"/>
  <c r="B20" i="7"/>
  <c r="C20" i="7"/>
  <c r="D20" i="7"/>
  <c r="A21" i="7"/>
  <c r="B21" i="7"/>
  <c r="C21" i="7"/>
  <c r="D21" i="7"/>
  <c r="A22" i="7"/>
  <c r="B22" i="7"/>
  <c r="C22" i="7"/>
  <c r="D22" i="7"/>
  <c r="A23" i="7"/>
  <c r="B23" i="7"/>
  <c r="C23" i="7"/>
  <c r="D23" i="7"/>
  <c r="A24" i="7"/>
  <c r="B24" i="7"/>
  <c r="C24" i="7"/>
  <c r="D24" i="7"/>
  <c r="A25" i="7"/>
  <c r="B25" i="7"/>
  <c r="C25" i="7"/>
  <c r="H25" i="7" s="1"/>
  <c r="D25" i="7"/>
  <c r="A26" i="7"/>
  <c r="B26" i="7"/>
  <c r="C26" i="7"/>
  <c r="F26" i="7" s="1"/>
  <c r="D26" i="7"/>
  <c r="A27" i="7"/>
  <c r="B27" i="7"/>
  <c r="C27" i="7"/>
  <c r="F27" i="7" s="1"/>
  <c r="D27" i="7"/>
  <c r="A28" i="7"/>
  <c r="B28" i="7"/>
  <c r="C28" i="7"/>
  <c r="H28" i="7" s="1"/>
  <c r="D28" i="7"/>
  <c r="N59" i="2"/>
  <c r="L59" i="2"/>
  <c r="A9" i="2"/>
  <c r="B9" i="2"/>
  <c r="C9" i="2"/>
  <c r="F9" i="2" s="1"/>
  <c r="D9" i="2"/>
  <c r="A10" i="2"/>
  <c r="B10" i="2"/>
  <c r="C10" i="2"/>
  <c r="D10" i="2"/>
  <c r="A11" i="2"/>
  <c r="B11" i="2"/>
  <c r="C11" i="2"/>
  <c r="D11" i="2"/>
  <c r="A12" i="2"/>
  <c r="B12" i="2"/>
  <c r="C12" i="2"/>
  <c r="J12" i="2" s="1"/>
  <c r="D12" i="2"/>
  <c r="A13" i="2"/>
  <c r="B13" i="2"/>
  <c r="C13" i="2"/>
  <c r="D13" i="2"/>
  <c r="A14" i="2"/>
  <c r="B14" i="2"/>
  <c r="C14" i="2"/>
  <c r="D14" i="2"/>
  <c r="A15" i="2"/>
  <c r="B15" i="2"/>
  <c r="C15" i="2"/>
  <c r="F15" i="2" s="1"/>
  <c r="D15" i="2"/>
  <c r="A16" i="2"/>
  <c r="B16" i="2"/>
  <c r="C16" i="2"/>
  <c r="D16" i="2"/>
  <c r="A17" i="2"/>
  <c r="B17" i="2"/>
  <c r="C17" i="2"/>
  <c r="J17" i="2" s="1"/>
  <c r="D17" i="2"/>
  <c r="A18" i="2"/>
  <c r="B18" i="2"/>
  <c r="C18" i="2"/>
  <c r="F18" i="2" s="1"/>
  <c r="D18" i="2"/>
  <c r="A19" i="2"/>
  <c r="B19" i="2"/>
  <c r="C19" i="2"/>
  <c r="D19" i="2"/>
  <c r="A20" i="2"/>
  <c r="B20" i="2"/>
  <c r="C20" i="2"/>
  <c r="D20" i="2"/>
  <c r="A21" i="2"/>
  <c r="B21" i="2"/>
  <c r="C21" i="2"/>
  <c r="F21" i="2" s="1"/>
  <c r="D21" i="2"/>
  <c r="A22" i="2"/>
  <c r="B22" i="2"/>
  <c r="C22" i="2"/>
  <c r="D22" i="2"/>
  <c r="A23" i="2"/>
  <c r="B23" i="2"/>
  <c r="C23" i="2"/>
  <c r="D23" i="2"/>
  <c r="A24" i="2"/>
  <c r="B24" i="2"/>
  <c r="C24" i="2"/>
  <c r="J24" i="2" s="1"/>
  <c r="D24" i="2"/>
  <c r="A25" i="2"/>
  <c r="B25" i="2"/>
  <c r="C25" i="2"/>
  <c r="D25" i="2"/>
  <c r="A26" i="2"/>
  <c r="B26" i="2"/>
  <c r="C26" i="2"/>
  <c r="D26" i="2"/>
  <c r="A27" i="2"/>
  <c r="B27" i="2"/>
  <c r="C27" i="2"/>
  <c r="N27" i="2" s="1"/>
  <c r="D27" i="2"/>
  <c r="A28" i="2"/>
  <c r="B28" i="2"/>
  <c r="C28" i="2"/>
  <c r="D28" i="2"/>
  <c r="A29" i="2"/>
  <c r="B29" i="2"/>
  <c r="C29" i="2"/>
  <c r="L29" i="2" s="1"/>
  <c r="D29" i="2"/>
  <c r="A30" i="2"/>
  <c r="B30" i="2"/>
  <c r="C30" i="2"/>
  <c r="F30" i="2" s="1"/>
  <c r="D30" i="2"/>
  <c r="A31" i="2"/>
  <c r="B31" i="2"/>
  <c r="C31" i="2"/>
  <c r="D31" i="2"/>
  <c r="A32" i="2"/>
  <c r="B32" i="2"/>
  <c r="C32" i="2"/>
  <c r="D32" i="2"/>
  <c r="A33" i="2"/>
  <c r="B33" i="2"/>
  <c r="C33" i="2"/>
  <c r="F33" i="2" s="1"/>
  <c r="D33" i="2"/>
  <c r="A34" i="2"/>
  <c r="B34" i="2"/>
  <c r="C34" i="2"/>
  <c r="D34" i="2"/>
  <c r="A35" i="2"/>
  <c r="B35" i="2"/>
  <c r="C35" i="2"/>
  <c r="D35" i="2"/>
  <c r="A36" i="2"/>
  <c r="B36" i="2"/>
  <c r="C36" i="2"/>
  <c r="H36" i="2" s="1"/>
  <c r="D36" i="2"/>
  <c r="A37" i="2"/>
  <c r="B37" i="2"/>
  <c r="C37" i="2"/>
  <c r="D37" i="2"/>
  <c r="A38" i="2"/>
  <c r="B38" i="2"/>
  <c r="C38" i="2"/>
  <c r="D38" i="2"/>
  <c r="A39" i="2"/>
  <c r="B39" i="2"/>
  <c r="C39" i="2"/>
  <c r="J39" i="2" s="1"/>
  <c r="D39" i="2"/>
  <c r="A40" i="2"/>
  <c r="B40" i="2"/>
  <c r="C40" i="2"/>
  <c r="D40" i="2"/>
  <c r="A41" i="2"/>
  <c r="B41" i="2"/>
  <c r="C41" i="2"/>
  <c r="D41" i="2"/>
  <c r="A42" i="2"/>
  <c r="B42" i="2"/>
  <c r="C42" i="2"/>
  <c r="H42" i="2" s="1"/>
  <c r="D42" i="2"/>
  <c r="A43" i="2"/>
  <c r="B43" i="2"/>
  <c r="C43" i="2"/>
  <c r="D43" i="2"/>
  <c r="A44" i="2"/>
  <c r="B44" i="2"/>
  <c r="C44" i="2"/>
  <c r="D44" i="2"/>
  <c r="A45" i="2"/>
  <c r="B45" i="2"/>
  <c r="C45" i="2"/>
  <c r="J45" i="2" s="1"/>
  <c r="D45" i="2"/>
  <c r="A46" i="2"/>
  <c r="B46" i="2"/>
  <c r="C46" i="2"/>
  <c r="D46" i="2"/>
  <c r="A47" i="2"/>
  <c r="B47" i="2"/>
  <c r="C47" i="2"/>
  <c r="D47" i="2"/>
  <c r="A48" i="2"/>
  <c r="B48" i="2"/>
  <c r="C48" i="2"/>
  <c r="F48" i="2" s="1"/>
  <c r="D48" i="2"/>
  <c r="A49" i="2"/>
  <c r="B49" i="2"/>
  <c r="C49" i="2"/>
  <c r="D49" i="2"/>
  <c r="A50" i="2"/>
  <c r="B50" i="2"/>
  <c r="C50" i="2"/>
  <c r="D50" i="2"/>
  <c r="A51" i="2"/>
  <c r="B51" i="2"/>
  <c r="C51" i="2"/>
  <c r="J51" i="2" s="1"/>
  <c r="D51" i="2"/>
  <c r="A52" i="2"/>
  <c r="B52" i="2"/>
  <c r="C52" i="2"/>
  <c r="D52" i="2"/>
  <c r="A53" i="2"/>
  <c r="B53" i="2"/>
  <c r="C53" i="2"/>
  <c r="D53" i="2"/>
  <c r="A54" i="2"/>
  <c r="B54" i="2"/>
  <c r="C54" i="2"/>
  <c r="H54" i="2" s="1"/>
  <c r="D54" i="2"/>
  <c r="A55" i="2"/>
  <c r="B55" i="2"/>
  <c r="C55" i="2"/>
  <c r="D55" i="2"/>
  <c r="A56" i="2"/>
  <c r="B56" i="2"/>
  <c r="C56" i="2"/>
  <c r="L56" i="2" s="1"/>
  <c r="D56" i="2"/>
  <c r="A57" i="2"/>
  <c r="B57" i="2"/>
  <c r="C57" i="2"/>
  <c r="J57" i="2" s="1"/>
  <c r="D57" i="2"/>
  <c r="A58" i="2"/>
  <c r="B58" i="2"/>
  <c r="C58" i="2"/>
  <c r="D58" i="2"/>
  <c r="A59" i="2"/>
  <c r="B59" i="2"/>
  <c r="C59" i="2"/>
  <c r="J59" i="2" s="1"/>
  <c r="D59" i="2"/>
  <c r="A60" i="2"/>
  <c r="B60" i="2"/>
  <c r="C60" i="2"/>
  <c r="L60" i="2" s="1"/>
  <c r="D60" i="2"/>
  <c r="K1" i="7"/>
  <c r="E1" i="7"/>
  <c r="H10" i="2"/>
  <c r="J13" i="2"/>
  <c r="F19" i="2"/>
  <c r="F22" i="2"/>
  <c r="F25" i="2"/>
  <c r="F28" i="2"/>
  <c r="F34" i="2"/>
  <c r="F37" i="2"/>
  <c r="N46" i="2"/>
  <c r="F49" i="2"/>
  <c r="F52" i="2"/>
  <c r="F55" i="2"/>
  <c r="L58" i="2"/>
  <c r="J11" i="2"/>
  <c r="J14" i="2"/>
  <c r="L14" i="2"/>
  <c r="F16" i="2"/>
  <c r="H16" i="2"/>
  <c r="J19" i="2"/>
  <c r="L20" i="2"/>
  <c r="J23" i="2"/>
  <c r="L23" i="2"/>
  <c r="N25" i="2"/>
  <c r="J26" i="2"/>
  <c r="L26" i="2"/>
  <c r="J27" i="2"/>
  <c r="J32" i="2"/>
  <c r="L32" i="2"/>
  <c r="N34" i="2"/>
  <c r="J35" i="2"/>
  <c r="J38" i="2"/>
  <c r="L38" i="2"/>
  <c r="J41" i="2"/>
  <c r="F42" i="2"/>
  <c r="H43" i="2"/>
  <c r="J43" i="2"/>
  <c r="J44" i="2"/>
  <c r="L44" i="2"/>
  <c r="L46" i="2"/>
  <c r="J47" i="2"/>
  <c r="L47" i="2"/>
  <c r="L50" i="2"/>
  <c r="J53" i="2"/>
  <c r="L53" i="2"/>
  <c r="F54" i="2"/>
  <c r="J56" i="2"/>
  <c r="J27" i="7" l="1"/>
  <c r="J25" i="7"/>
  <c r="N28" i="7"/>
  <c r="N27" i="7"/>
  <c r="H27" i="7"/>
  <c r="N25" i="7"/>
  <c r="L27" i="7"/>
  <c r="L26" i="7"/>
  <c r="H48" i="2"/>
  <c r="N60" i="2"/>
  <c r="F36" i="2"/>
  <c r="H9" i="2"/>
  <c r="J18" i="2"/>
  <c r="F60" i="2"/>
  <c r="H21" i="2"/>
  <c r="F59" i="2"/>
  <c r="N12" i="2"/>
  <c r="H60" i="2"/>
  <c r="H59" i="2"/>
  <c r="J60" i="2"/>
  <c r="J30" i="2"/>
  <c r="N49" i="2"/>
  <c r="N19" i="2"/>
  <c r="L16" i="2"/>
  <c r="H13" i="2"/>
  <c r="F10" i="2"/>
  <c r="N58" i="2"/>
  <c r="N55" i="2"/>
  <c r="N52" i="2"/>
  <c r="L43" i="2"/>
  <c r="N31" i="2"/>
  <c r="N22" i="2"/>
  <c r="J16" i="2"/>
  <c r="F13" i="2"/>
  <c r="L49" i="2"/>
  <c r="J46" i="2"/>
  <c r="F43" i="2"/>
  <c r="N37" i="2"/>
  <c r="H19" i="2"/>
  <c r="L55" i="2"/>
  <c r="J58" i="2"/>
  <c r="J55" i="2"/>
  <c r="J52" i="2"/>
  <c r="H49" i="2"/>
  <c r="F46" i="2"/>
  <c r="J22" i="2"/>
  <c r="N13" i="2"/>
  <c r="J49" i="2"/>
  <c r="L22" i="2"/>
  <c r="H58" i="2"/>
  <c r="H55" i="2"/>
  <c r="H52" i="2"/>
  <c r="L34" i="2"/>
  <c r="N28" i="2"/>
  <c r="L25" i="2"/>
  <c r="H22" i="2"/>
  <c r="L52" i="2"/>
  <c r="N40" i="2"/>
  <c r="L37" i="2"/>
  <c r="J34" i="2"/>
  <c r="J25" i="2"/>
  <c r="N16" i="2"/>
  <c r="N10" i="2"/>
  <c r="F58" i="2"/>
  <c r="N43" i="2"/>
  <c r="J37" i="2"/>
  <c r="H34" i="2"/>
  <c r="H25" i="2"/>
  <c r="L10" i="2"/>
  <c r="H46" i="2"/>
  <c r="L40" i="2"/>
  <c r="H37" i="2"/>
  <c r="L13" i="2"/>
  <c r="J10" i="2"/>
  <c r="J40" i="2"/>
  <c r="L41" i="2"/>
  <c r="L11" i="2"/>
  <c r="L17" i="2"/>
  <c r="J50" i="2"/>
  <c r="J20" i="2"/>
  <c r="L35" i="2"/>
  <c r="L28" i="2"/>
  <c r="J28" i="2"/>
  <c r="J31" i="2"/>
  <c r="H28" i="2"/>
  <c r="F31" i="2"/>
  <c r="L31" i="2"/>
  <c r="H31" i="2"/>
  <c r="H40" i="2"/>
  <c r="F40" i="2"/>
  <c r="H57" i="2"/>
  <c r="N54" i="2"/>
  <c r="H51" i="2"/>
  <c r="N48" i="2"/>
  <c r="H45" i="2"/>
  <c r="N42" i="2"/>
  <c r="H39" i="2"/>
  <c r="N36" i="2"/>
  <c r="L27" i="2"/>
  <c r="F45" i="2"/>
  <c r="H27" i="2"/>
  <c r="N24" i="2"/>
  <c r="F51" i="2"/>
  <c r="F27" i="2"/>
  <c r="F57" i="2"/>
  <c r="N30" i="2"/>
  <c r="F39" i="2"/>
  <c r="L42" i="2"/>
  <c r="J48" i="2"/>
  <c r="J42" i="2"/>
  <c r="J36" i="2"/>
  <c r="H24" i="2"/>
  <c r="N21" i="2"/>
  <c r="N18" i="2"/>
  <c r="L54" i="2"/>
  <c r="L48" i="2"/>
  <c r="L36" i="2"/>
  <c r="J54" i="2"/>
  <c r="N57" i="2"/>
  <c r="N51" i="2"/>
  <c r="N45" i="2"/>
  <c r="N39" i="2"/>
  <c r="F24" i="2"/>
  <c r="L30" i="2"/>
  <c r="L21" i="2"/>
  <c r="H18" i="2"/>
  <c r="L57" i="2"/>
  <c r="L51" i="2"/>
  <c r="L45" i="2"/>
  <c r="L39" i="2"/>
  <c r="H30" i="2"/>
  <c r="H12" i="2"/>
  <c r="N9" i="2"/>
  <c r="F12" i="2"/>
  <c r="N33" i="2"/>
  <c r="L33" i="2"/>
  <c r="H33" i="2"/>
  <c r="J33" i="2"/>
  <c r="J29" i="2"/>
  <c r="L19" i="2"/>
  <c r="H15" i="2"/>
  <c r="L15" i="2"/>
  <c r="N15" i="2"/>
  <c r="L9" i="2"/>
  <c r="J21" i="2"/>
  <c r="J15" i="2"/>
  <c r="J9" i="2"/>
  <c r="L24" i="2"/>
  <c r="L18" i="2"/>
  <c r="L12" i="2"/>
  <c r="H56" i="2"/>
  <c r="H53" i="2"/>
  <c r="H50" i="2"/>
  <c r="H47" i="2"/>
  <c r="H44" i="2"/>
  <c r="H41" i="2"/>
  <c r="H38" i="2"/>
  <c r="H35" i="2"/>
  <c r="H32" i="2"/>
  <c r="H29" i="2"/>
  <c r="H26" i="2"/>
  <c r="H23" i="2"/>
  <c r="H20" i="2"/>
  <c r="H17" i="2"/>
  <c r="H14" i="2"/>
  <c r="H11" i="2"/>
  <c r="F56" i="2"/>
  <c r="F53" i="2"/>
  <c r="F50" i="2"/>
  <c r="F47" i="2"/>
  <c r="F44" i="2"/>
  <c r="F41" i="2"/>
  <c r="F38" i="2"/>
  <c r="F35" i="2"/>
  <c r="F32" i="2"/>
  <c r="F29" i="2"/>
  <c r="F26" i="2"/>
  <c r="F23" i="2"/>
  <c r="F20" i="2"/>
  <c r="F17" i="2"/>
  <c r="F14" i="2"/>
  <c r="F11" i="2"/>
  <c r="N56" i="2"/>
  <c r="N53" i="2"/>
  <c r="N50" i="2"/>
  <c r="N47" i="2"/>
  <c r="N44" i="2"/>
  <c r="N41" i="2"/>
  <c r="N38" i="2"/>
  <c r="N35" i="2"/>
  <c r="N32" i="2"/>
  <c r="N29" i="2"/>
  <c r="N26" i="2"/>
  <c r="N23" i="2"/>
  <c r="N20" i="2"/>
  <c r="N17" i="2"/>
  <c r="N14" i="2"/>
  <c r="N11" i="2"/>
  <c r="A6" i="7" l="1"/>
  <c r="N21" i="7"/>
  <c r="N22" i="7"/>
  <c r="F24" i="7"/>
  <c r="L16" i="7" l="1"/>
  <c r="J17" i="7"/>
  <c r="H18" i="7"/>
  <c r="F19" i="7"/>
  <c r="N19" i="7"/>
  <c r="L20" i="7"/>
  <c r="J21" i="7"/>
  <c r="H22" i="7"/>
  <c r="F23" i="7"/>
  <c r="N23" i="7"/>
  <c r="L24" i="7"/>
  <c r="J19" i="7"/>
  <c r="H20" i="7"/>
  <c r="F21" i="7"/>
  <c r="L22" i="7"/>
  <c r="J23" i="7"/>
  <c r="H24" i="7"/>
  <c r="F9" i="7"/>
  <c r="L10" i="7"/>
  <c r="J11" i="7"/>
  <c r="H12" i="7"/>
  <c r="F13" i="7"/>
  <c r="L14" i="7"/>
  <c r="J15" i="7"/>
  <c r="H16" i="7"/>
  <c r="F17" i="7"/>
  <c r="L18" i="7"/>
  <c r="L12" i="7" l="1"/>
  <c r="N15" i="7"/>
  <c r="H14" i="7"/>
  <c r="N11" i="7"/>
  <c r="H10" i="7"/>
  <c r="F15" i="7"/>
  <c r="J13" i="7"/>
  <c r="F11" i="7"/>
  <c r="J9" i="7"/>
  <c r="N24" i="7"/>
  <c r="H23" i="7"/>
  <c r="J22" i="7"/>
  <c r="L21" i="7"/>
  <c r="N20" i="7"/>
  <c r="F20" i="7"/>
  <c r="H19" i="7"/>
  <c r="J18" i="7"/>
  <c r="L17" i="7"/>
  <c r="N16" i="7"/>
  <c r="F16" i="7"/>
  <c r="H15" i="7"/>
  <c r="J14" i="7"/>
  <c r="L13" i="7"/>
  <c r="N12" i="7"/>
  <c r="F12" i="7"/>
  <c r="H11" i="7"/>
  <c r="J10" i="7"/>
  <c r="L9" i="7"/>
  <c r="J24" i="7"/>
  <c r="L23" i="7"/>
  <c r="F22" i="7"/>
  <c r="H21" i="7"/>
  <c r="J20" i="7"/>
  <c r="L19" i="7"/>
  <c r="N18" i="7"/>
  <c r="F18" i="7"/>
  <c r="H17" i="7"/>
  <c r="J16" i="7"/>
  <c r="L15" i="7"/>
  <c r="N14" i="7"/>
  <c r="F14" i="7"/>
  <c r="H13" i="7"/>
  <c r="J12" i="7"/>
  <c r="L11" i="7"/>
  <c r="N10" i="7"/>
  <c r="F10" i="7"/>
  <c r="H9" i="7"/>
  <c r="N17" i="7"/>
  <c r="N13" i="7"/>
  <c r="N9" i="7"/>
  <c r="C8" i="7"/>
  <c r="A8" i="7"/>
  <c r="D8" i="7"/>
  <c r="B8" i="7"/>
  <c r="M1" i="7"/>
  <c r="I1" i="7"/>
  <c r="G1" i="7"/>
  <c r="H29" i="7" l="1"/>
  <c r="N8" i="7"/>
  <c r="F8" i="7"/>
  <c r="L8" i="7"/>
  <c r="L29" i="7" s="1"/>
  <c r="J8" i="7"/>
  <c r="J29" i="7" s="1"/>
  <c r="H8" i="7"/>
  <c r="A17" i="6"/>
  <c r="A16" i="6"/>
  <c r="A15" i="6"/>
  <c r="F29" i="7" l="1"/>
  <c r="C10" i="5" s="1"/>
  <c r="A5" i="5"/>
  <c r="A4" i="5"/>
  <c r="A1" i="5"/>
  <c r="A12" i="5" l="1"/>
  <c r="A9" i="5"/>
  <c r="A11" i="5"/>
  <c r="A10" i="5"/>
  <c r="A6" i="5" l="1"/>
  <c r="D8" i="2"/>
  <c r="C8" i="2"/>
  <c r="A8" i="2"/>
  <c r="A6" i="2"/>
  <c r="N8" i="2" l="1"/>
  <c r="F8" i="2"/>
  <c r="H8" i="2"/>
  <c r="H61" i="2" s="1"/>
  <c r="L8" i="2"/>
  <c r="J8" i="2"/>
  <c r="J61" i="2" s="1"/>
  <c r="C11" i="5"/>
  <c r="C9" i="5"/>
  <c r="N29" i="7"/>
  <c r="C12" i="5" s="1"/>
  <c r="C8" i="5"/>
  <c r="N61" i="2" l="1"/>
  <c r="B12" i="5" s="1"/>
  <c r="L61" i="2"/>
  <c r="L30" i="7" s="1"/>
  <c r="F61" i="2"/>
  <c r="N30" i="7"/>
  <c r="B11" i="5"/>
  <c r="J30" i="7"/>
  <c r="H30" i="7"/>
  <c r="B9" i="5" l="1"/>
  <c r="F30" i="7"/>
</calcChain>
</file>

<file path=xl/sharedStrings.xml><?xml version="1.0" encoding="utf-8"?>
<sst xmlns="http://schemas.openxmlformats.org/spreadsheetml/2006/main" count="374" uniqueCount="177">
  <si>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</si>
  <si>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</si>
  <si>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</si>
  <si>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</si>
  <si>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</si>
  <si>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</si>
  <si>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</si>
  <si>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</si>
  <si>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</si>
  <si>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</si>
  <si>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</si>
  <si>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</si>
  <si>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</si>
  <si>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</si>
  <si>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TAXIWAYS A, K, T AND SOUTH RUNWAY EXITS REHABILITATION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</si>
  <si>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</si>
  <si>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</si>
  <si>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</si>
  <si>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</si>
  <si>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</si>
  <si>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</si>
  <si>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</si>
  <si>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Sweeper
(Section 012200)</t>
  </si>
  <si>
    <t>012200</t>
  </si>
  <si>
    <t>0002</t>
  </si>
  <si>
    <t>Security Control Monitoring
(Section 012200)</t>
  </si>
  <si>
    <t>0003</t>
  </si>
  <si>
    <t>Work Zone and Traffic Control 
(Section 012200)</t>
  </si>
  <si>
    <t>0004</t>
  </si>
  <si>
    <t>Escort 
(Section 012200)</t>
  </si>
  <si>
    <t>0005</t>
  </si>
  <si>
    <t>Inlet Protection
(Section 015713)</t>
  </si>
  <si>
    <t>015713</t>
  </si>
  <si>
    <t>0006</t>
  </si>
  <si>
    <t>Mobilization
(Item C-105)</t>
  </si>
  <si>
    <t>C-105</t>
  </si>
  <si>
    <t>0007</t>
  </si>
  <si>
    <t>Asphalt Pavement Removal - 16-Inch Depth
(Item P-101)</t>
  </si>
  <si>
    <t>P-101</t>
  </si>
  <si>
    <t>0008</t>
  </si>
  <si>
    <t>Cold Milling - 2- to 4-Inch Depth 
(Item P-101)</t>
  </si>
  <si>
    <t>0009</t>
  </si>
  <si>
    <t>Removal of Pipe and Other Buried Structures
(Item P-101)</t>
  </si>
  <si>
    <t>0010</t>
  </si>
  <si>
    <t>Unclassified Excavation
(Item P-152)</t>
  </si>
  <si>
    <t>P-152</t>
  </si>
  <si>
    <t>0011</t>
  </si>
  <si>
    <t>Existing Subgrade Stabilzation 
(Item P-152)</t>
  </si>
  <si>
    <t>0012</t>
  </si>
  <si>
    <t>Controlled Low-Strength Material (CLSM)
(Item P-153)</t>
  </si>
  <si>
    <t>CLSM</t>
  </si>
  <si>
    <t>0013</t>
  </si>
  <si>
    <t>Crushed Aggregate Base Course
(Item P-209)</t>
  </si>
  <si>
    <t>P-209</t>
  </si>
  <si>
    <t>0014</t>
  </si>
  <si>
    <t>Separation Geotextile
(Item P-209)</t>
  </si>
  <si>
    <t>0015</t>
  </si>
  <si>
    <t>Asphalt Surface Course
(Item P-401)</t>
  </si>
  <si>
    <t>P-401</t>
  </si>
  <si>
    <t>0016</t>
  </si>
  <si>
    <t>Asphalt Mixture Base and Surface Course (Item P-403)</t>
  </si>
  <si>
    <t>P-403</t>
  </si>
  <si>
    <t>0017</t>
  </si>
  <si>
    <t>Emulsified Asphalt Tack Coat
(Item P-603)</t>
  </si>
  <si>
    <t>P-603</t>
  </si>
  <si>
    <t>0018</t>
  </si>
  <si>
    <t>Joint Sealing Filler                                       (Item P-605)</t>
  </si>
  <si>
    <t>P-605</t>
  </si>
  <si>
    <t>0019</t>
  </si>
  <si>
    <t>Adhesive Compound  
(Item P-606)</t>
  </si>
  <si>
    <t>P-606</t>
  </si>
  <si>
    <t>0020</t>
  </si>
  <si>
    <t>Concrete                                                   (Item P-610)</t>
  </si>
  <si>
    <t>P-610</t>
  </si>
  <si>
    <t>0021</t>
  </si>
  <si>
    <t>Surface Preparation - Marking Removal
(Item P-620)</t>
  </si>
  <si>
    <t>P-620</t>
  </si>
  <si>
    <t>0022</t>
  </si>
  <si>
    <t>Surface Preparation - Remove Existing Markings
(Item P-620)</t>
  </si>
  <si>
    <t>0023</t>
  </si>
  <si>
    <t>Marking
(Item P-620)</t>
  </si>
  <si>
    <t>0024</t>
  </si>
  <si>
    <t>Reflective Media
(Item P-620)</t>
  </si>
  <si>
    <t>0025</t>
  </si>
  <si>
    <t>Temporary Runway and Taxiway Marking
(Item P-620)</t>
  </si>
  <si>
    <t>0026</t>
  </si>
  <si>
    <t>Preformed Markings
(Item P-620)</t>
  </si>
  <si>
    <t>0027</t>
  </si>
  <si>
    <t>Grooving 
(Item P-621)</t>
  </si>
  <si>
    <t>P-621</t>
  </si>
  <si>
    <t>0028</t>
  </si>
  <si>
    <t>12-Inch STS
(Item D-701)</t>
  </si>
  <si>
    <t>D-701</t>
  </si>
  <si>
    <t>0029</t>
  </si>
  <si>
    <t>18-Inch STS
(Item D-701)</t>
  </si>
  <si>
    <t>0030</t>
  </si>
  <si>
    <t>Manholes
(Item D-751)</t>
  </si>
  <si>
    <t>D-751</t>
  </si>
  <si>
    <t>0031</t>
  </si>
  <si>
    <t>Catch Basins
(Item D-751)</t>
  </si>
  <si>
    <t>0032</t>
  </si>
  <si>
    <t>Existing Manhole Adjustment to Grade - Minor Adjustment
(Section 312300)</t>
  </si>
  <si>
    <t>312300</t>
  </si>
  <si>
    <t>0033</t>
  </si>
  <si>
    <t>Existing Manhole Adjustment - Cleanout
(Section 312300)</t>
  </si>
  <si>
    <t>0034</t>
  </si>
  <si>
    <t>No. 8 AWG, 5kV, L-824, Type C Cable Installed in Trench, Duct Bank or Conduit
(Item L-108)</t>
  </si>
  <si>
    <t>L-108</t>
  </si>
  <si>
    <t>0035</t>
  </si>
  <si>
    <r>
      <rPr>
        <sz val="10"/>
        <color rgb="FF000000"/>
        <rFont val="Arial"/>
      </rPr>
      <t>No. 6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AWG, Solid, Bare Copper Counterpoise Wire, Installed above the Duct Bank or Conduit, Including Connections/Terminations 
(Item L-108)</t>
    </r>
  </si>
  <si>
    <t>0036</t>
  </si>
  <si>
    <t>No. 10 AWG, 600V, Cable Installed in Conduit
(Item L-108)</t>
  </si>
  <si>
    <t>0037</t>
  </si>
  <si>
    <t>Counterpoise Ground Rod
(Item L-108)</t>
  </si>
  <si>
    <t>0038</t>
  </si>
  <si>
    <t>2-Inch PVC Encased in CLSM in New AC 
(Item L-110)</t>
  </si>
  <si>
    <t>L-110</t>
  </si>
  <si>
    <t>0039</t>
  </si>
  <si>
    <t>2-Inch PVC Encased in P-610 in Existing AC 
(Item L-110)</t>
  </si>
  <si>
    <t>0040</t>
  </si>
  <si>
    <t>1.5-Inch GRSC Encased in P-610 in Existing AC 
(Item L-110)</t>
  </si>
  <si>
    <t>0041</t>
  </si>
  <si>
    <t>1-Inch GRSC Encased in P-610 in Existing AC 
(Item L-110)</t>
  </si>
  <si>
    <t>0042</t>
  </si>
  <si>
    <t>General Electrical Removal
(Section 260500)</t>
  </si>
  <si>
    <t>260500</t>
  </si>
  <si>
    <t>0043</t>
  </si>
  <si>
    <t>Temporary Circuit Connection
(Section 260500)</t>
  </si>
  <si>
    <t>0044</t>
  </si>
  <si>
    <t>Reinstall Elevated Taxiway Edge Light on Existing Base Can with PF Transformer
(Section 344300)</t>
  </si>
  <si>
    <t>344300</t>
  </si>
  <si>
    <t>0045</t>
  </si>
  <si>
    <t>Reinstall Elevated Runway End Light on Existing Base Can with PF Transformer
(Section 344300)</t>
  </si>
  <si>
    <t>0046</t>
  </si>
  <si>
    <t>Reinstall In-Pavement Taxiway Edge Light on Existing Base Can with PF Transformer
(Section 344300)</t>
  </si>
  <si>
    <t>0047</t>
  </si>
  <si>
    <t>Reinstall Taxiway Centerline Light on Existing Base Can with PF Transformer
(Section 344300)</t>
  </si>
  <si>
    <t>0048</t>
  </si>
  <si>
    <t>Reinstall Taxiway Centerline Light on PF Base Can, PF Extension, PF Flange Ring, and PF Transformer
(Section 344300)</t>
  </si>
  <si>
    <t>0049</t>
  </si>
  <si>
    <t>Adjust Existing Taxiway Centerline Light to New Finish Elevation
(Section 344301)</t>
  </si>
  <si>
    <t>344301</t>
  </si>
  <si>
    <t>0050</t>
  </si>
  <si>
    <t>Adjust Existing Runway Edge Light to New Finish Elevation
(Section 344301)</t>
  </si>
  <si>
    <t>0051</t>
  </si>
  <si>
    <t>Adjust Existing Taxiway Edge Light to New Finish Elevation
(Section 344301)</t>
  </si>
  <si>
    <t>0052</t>
  </si>
  <si>
    <t>Adjust Existing Base Can to New Finish Elevation
(Section 344301)</t>
  </si>
  <si>
    <t>0053</t>
  </si>
  <si>
    <t>Sign CE-10
(Section 344302)</t>
  </si>
  <si>
    <t>344302</t>
  </si>
  <si>
    <t>Total Amount Base Bid (Basis of Award)</t>
  </si>
  <si>
    <t>$___________</t>
  </si>
  <si>
    <t>Surface Preparation - Existing Pavement Surface
(Item P-620)</t>
  </si>
  <si>
    <t>Contaminated Material Excavation and Disposal                                                   (Section 026100)</t>
  </si>
  <si>
    <t>Reinstall In-Pavement Taxiway Centerline Light on Existing Base Can with Existing Transformer
(Section 344300)</t>
  </si>
  <si>
    <t>Reinstall In-Pavement Stop Bar Light on Existing Base Can with Existing Transformer
(Section 344300)</t>
  </si>
  <si>
    <t>Total Amount Additive Alternate A</t>
  </si>
  <si>
    <t>Granite Construction Company</t>
  </si>
  <si>
    <t>K &amp; E Excavating, Inc.</t>
  </si>
  <si>
    <t>Kerr Contractors 
Oregon LLC</t>
  </si>
  <si>
    <t>Lakeside Industries, Inc.</t>
  </si>
  <si>
    <t>Engineer's Estimate</t>
  </si>
  <si>
    <t xml:space="preserve">TAXIWAYS A, K, T AND SOUTH RUNWAY </t>
  </si>
  <si>
    <t>EXITS REHABILITATION</t>
  </si>
  <si>
    <t>EAN 2022D028</t>
  </si>
  <si>
    <t>Solicitation No. 2023-10399</t>
  </si>
  <si>
    <t>Total Amount Base Bid
(Basis of Award)</t>
  </si>
  <si>
    <t>Total Amount Base Bid and
Additive Alternate A</t>
  </si>
  <si>
    <t>TAXIWAYS A, K, T AND SOUTH RUNWAY</t>
  </si>
  <si>
    <t>Bidder</t>
  </si>
  <si>
    <t>Total Base Bid Price</t>
  </si>
  <si>
    <t>Total Additive 
Alternate A</t>
  </si>
  <si>
    <t>$9,310,111.00*</t>
  </si>
  <si>
    <t>$9,919,824.16*</t>
  </si>
  <si>
    <t>*Corrected Bid Total</t>
  </si>
  <si>
    <t>^Corrected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</si>
</sst>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3" fillId="0" borderId="16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left" vertical="top" wrapText="1"/>
    </xf>
    <xf numFmtId="165" fontId="3" fillId="0" borderId="5" xfId="0" applyNumberFormat="1" applyFont="1" applyBorder="1" applyAlignment="1">
      <alignment horizontal="left" wrapText="1"/>
    </xf>
    <xf numFmtId="167" fontId="7" fillId="0" borderId="5" xfId="0" applyNumberFormat="1" applyFont="1" applyBorder="1" applyAlignment="1">
      <alignment horizontal="center" vertical="top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center" vertical="top"/>
    </xf>
    <xf numFmtId="4" fontId="4" fillId="3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49" fontId="3" fillId="0" borderId="0" xfId="0" applyNumberFormat="1" applyFont="1" applyAlignment="1">
      <alignment horizontal="center" wrapText="1"/>
    </xf>
    <xf numFmtId="0" fontId="10" fillId="0" borderId="1" xfId="0" applyFont="1" applyBorder="1" applyAlignment="1">
      <alignment horizontal="left" vertical="top" wrapText="1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00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sters/Bid%20Lists/BidTab%20-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Schedule A"/>
      <sheetName val="Bid Schedule B"/>
      <sheetName val="Bid Tab Schedule A"/>
      <sheetName val="Bid Tab Schedule B"/>
      <sheetName val="Summa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C000"/>
  </sheetPr>
  <dimension ref="A1:H73"/>
  <sheetViews>
    <sheetView tabSelected="1" view="pageLayout" topLeftCell="A50" zoomScale="90" zoomScaleNormal="100" zoomScaleSheetLayoutView="100" zoomScalePageLayoutView="90" workbookViewId="0">
      <selection activeCell="B58" sqref="B58"/>
    </sheetView>
  </sheetViews>
  <sheetFormatPr defaultRowHeight="15"/>
  <cols>
    <col min="1" max="1" width="6.5703125" customWidth="1"/>
    <col min="2" max="2" width="36.7109375" customWidth="1"/>
    <col min="3" max="3" width="10.7109375" style="20" customWidth="1"/>
    <col min="4" max="4" width="8.28515625" customWidth="1"/>
    <col min="5" max="6" width="13.28515625" style="23" customWidth="1"/>
    <col min="7" max="7" width="23.85546875" customWidth="1"/>
    <col min="8" max="8" width="25.5703125" style="58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1" t="s">
        <v>2</v>
      </c>
    </row>
    <row r="4" spans="1:6" hidden="1">
      <c r="A4" s="1" t="s">
        <v>3</v>
      </c>
    </row>
    <row r="5" spans="1:6" hidden="1">
      <c r="A5" s="1" t="s">
        <v>4</v>
      </c>
    </row>
    <row r="6" spans="1:6" hidden="1">
      <c r="A6" s="1" t="s">
        <v>5</v>
      </c>
    </row>
    <row r="7" spans="1:6" hidden="1">
      <c r="A7" s="1" t="s">
        <v>6</v>
      </c>
    </row>
    <row r="8" spans="1:6" hidden="1">
      <c r="A8" s="1" t="s">
        <v>7</v>
      </c>
    </row>
    <row r="9" spans="1:6" hidden="1">
      <c r="A9" s="1" t="s">
        <v>8</v>
      </c>
    </row>
    <row r="10" spans="1:6" hidden="1">
      <c r="A10" s="1" t="s">
        <v>9</v>
      </c>
    </row>
    <row r="11" spans="1:6" hidden="1">
      <c r="A11" s="1" t="s">
        <v>10</v>
      </c>
    </row>
    <row r="12" spans="1:6" hidden="1">
      <c r="A12" s="1" t="s">
        <v>11</v>
      </c>
    </row>
    <row r="13" spans="1:6" hidden="1">
      <c r="A13" s="1" t="s">
        <v>12</v>
      </c>
    </row>
    <row r="14" spans="1:6">
      <c r="A14" s="67"/>
      <c r="B14" s="67"/>
      <c r="C14" s="67"/>
      <c r="D14" s="67"/>
      <c r="E14" s="61"/>
      <c r="F14" s="61"/>
    </row>
    <row r="15" spans="1:6">
      <c r="A15" s="64" t="s">
        <v>13</v>
      </c>
      <c r="B15" s="64"/>
      <c r="C15" s="64"/>
      <c r="D15" s="64"/>
      <c r="E15" s="62"/>
      <c r="F15" s="62"/>
    </row>
    <row r="16" spans="1:6">
      <c r="A16" s="64" t="s">
        <v>14</v>
      </c>
      <c r="B16" s="64"/>
      <c r="C16" s="64"/>
      <c r="D16" s="64"/>
      <c r="E16" s="62"/>
      <c r="F16" s="62"/>
    </row>
    <row r="17" spans="1:8">
      <c r="A17" s="65"/>
      <c r="B17" s="65"/>
      <c r="C17" s="65"/>
      <c r="D17" s="65"/>
      <c r="E17" s="62"/>
      <c r="F17" s="62"/>
    </row>
    <row r="18" spans="1:8">
      <c r="A18" s="66"/>
      <c r="B18" s="66"/>
      <c r="C18" s="66"/>
      <c r="D18" s="66"/>
      <c r="E18" s="63"/>
      <c r="F18" s="63"/>
    </row>
    <row r="19" spans="1:8" s="2" customFormat="1" ht="24" customHeight="1">
      <c r="A19" s="3" t="s">
        <v>15</v>
      </c>
      <c r="B19" s="3" t="s">
        <v>16</v>
      </c>
      <c r="C19" s="21" t="s">
        <v>17</v>
      </c>
      <c r="D19" s="3" t="s">
        <v>18</v>
      </c>
      <c r="E19" s="24" t="s">
        <v>19</v>
      </c>
      <c r="F19" s="24" t="s">
        <v>20</v>
      </c>
      <c r="H19" s="59"/>
    </row>
    <row r="20" spans="1:8" ht="40.5" customHeight="1">
      <c r="A20" s="4" t="s">
        <v>21</v>
      </c>
      <c r="B20" s="36" t="s">
        <v>22</v>
      </c>
      <c r="C20" s="56">
        <v>1</v>
      </c>
      <c r="D20" s="5" t="s">
        <v>8</v>
      </c>
      <c r="E20" s="25"/>
      <c r="F20" s="25"/>
      <c r="G20" t="str">
        <f>MID(B20,FIND("(",B20)+1,FIND(")",B20)-FIND("(",B20)-1)</f>
        <v>Section 012200</v>
      </c>
      <c r="H20" s="58" t="s">
        <v>23</v>
      </c>
    </row>
    <row r="21" spans="1:8" ht="40.5" customHeight="1">
      <c r="A21" s="4" t="s">
        <v>24</v>
      </c>
      <c r="B21" s="36" t="s">
        <v>25</v>
      </c>
      <c r="C21" s="56">
        <v>1</v>
      </c>
      <c r="D21" s="5" t="s">
        <v>8</v>
      </c>
      <c r="E21" s="25"/>
      <c r="F21" s="25"/>
      <c r="G21" t="str">
        <f t="shared" ref="G21:H72" si="0">MID(B21,FIND("(",B21)+1,FIND(")",B21)-FIND("(",B21)-1)</f>
        <v>Section 012200</v>
      </c>
      <c r="H21" s="58" t="s">
        <v>23</v>
      </c>
    </row>
    <row r="22" spans="1:8" ht="40.5" customHeight="1">
      <c r="A22" s="4" t="s">
        <v>26</v>
      </c>
      <c r="B22" s="36" t="s">
        <v>27</v>
      </c>
      <c r="C22" s="56">
        <v>1</v>
      </c>
      <c r="D22" s="5" t="s">
        <v>8</v>
      </c>
      <c r="E22" s="25"/>
      <c r="F22" s="25"/>
      <c r="G22" t="str">
        <f t="shared" si="0"/>
        <v>Section 012200</v>
      </c>
      <c r="H22" s="58" t="s">
        <v>23</v>
      </c>
    </row>
    <row r="23" spans="1:8" ht="40.5" customHeight="1">
      <c r="A23" s="4" t="s">
        <v>28</v>
      </c>
      <c r="B23" s="36" t="s">
        <v>29</v>
      </c>
      <c r="C23" s="56">
        <v>1</v>
      </c>
      <c r="D23" s="5" t="s">
        <v>8</v>
      </c>
      <c r="E23" s="25"/>
      <c r="F23" s="25"/>
      <c r="G23" t="str">
        <f t="shared" si="0"/>
        <v>Section 012200</v>
      </c>
      <c r="H23" s="58" t="s">
        <v>23</v>
      </c>
    </row>
    <row r="24" spans="1:8" ht="40.5" customHeight="1">
      <c r="A24" s="4" t="s">
        <v>30</v>
      </c>
      <c r="B24" s="36" t="s">
        <v>31</v>
      </c>
      <c r="C24" s="56">
        <v>44</v>
      </c>
      <c r="D24" s="5" t="s">
        <v>2</v>
      </c>
      <c r="E24" s="25"/>
      <c r="F24" s="25"/>
      <c r="G24" t="str">
        <f t="shared" si="0"/>
        <v>Section 015713</v>
      </c>
      <c r="H24" s="58" t="s">
        <v>32</v>
      </c>
    </row>
    <row r="25" spans="1:8" ht="40.5" customHeight="1">
      <c r="A25" s="4" t="s">
        <v>33</v>
      </c>
      <c r="B25" s="36" t="s">
        <v>34</v>
      </c>
      <c r="C25" s="56">
        <v>1</v>
      </c>
      <c r="D25" s="5" t="s">
        <v>8</v>
      </c>
      <c r="E25" s="25"/>
      <c r="F25" s="25"/>
      <c r="G25" t="str">
        <f t="shared" si="0"/>
        <v>Item C-105</v>
      </c>
      <c r="H25" s="58" t="s">
        <v>35</v>
      </c>
    </row>
    <row r="26" spans="1:8" ht="40.5" customHeight="1">
      <c r="A26" s="4" t="s">
        <v>36</v>
      </c>
      <c r="B26" s="36" t="s">
        <v>37</v>
      </c>
      <c r="C26" s="56">
        <v>15000</v>
      </c>
      <c r="D26" s="5" t="s">
        <v>11</v>
      </c>
      <c r="E26" s="25"/>
      <c r="F26" s="25"/>
      <c r="G26" t="str">
        <f t="shared" si="0"/>
        <v>Item P-101</v>
      </c>
      <c r="H26" s="58" t="s">
        <v>38</v>
      </c>
    </row>
    <row r="27" spans="1:8" ht="40.5" customHeight="1">
      <c r="A27" s="4" t="s">
        <v>39</v>
      </c>
      <c r="B27" s="36" t="s">
        <v>40</v>
      </c>
      <c r="C27" s="56">
        <v>74000</v>
      </c>
      <c r="D27" s="5" t="s">
        <v>11</v>
      </c>
      <c r="E27" s="25"/>
      <c r="F27" s="25"/>
      <c r="G27" t="str">
        <f t="shared" si="0"/>
        <v>Item P-101</v>
      </c>
      <c r="H27" s="58" t="s">
        <v>38</v>
      </c>
    </row>
    <row r="28" spans="1:8" ht="40.5" customHeight="1">
      <c r="A28" s="4" t="s">
        <v>41</v>
      </c>
      <c r="B28" s="36" t="s">
        <v>42</v>
      </c>
      <c r="C28" s="56">
        <v>1</v>
      </c>
      <c r="D28" s="5" t="s">
        <v>8</v>
      </c>
      <c r="E28" s="25"/>
      <c r="F28" s="25"/>
      <c r="G28" t="str">
        <f t="shared" si="0"/>
        <v>Item P-101</v>
      </c>
      <c r="H28" s="58" t="s">
        <v>38</v>
      </c>
    </row>
    <row r="29" spans="1:8" ht="40.5" customHeight="1">
      <c r="A29" s="4" t="s">
        <v>43</v>
      </c>
      <c r="B29" s="36" t="s">
        <v>44</v>
      </c>
      <c r="C29" s="56">
        <v>4900</v>
      </c>
      <c r="D29" s="5" t="s">
        <v>1</v>
      </c>
      <c r="E29" s="25"/>
      <c r="F29" s="25"/>
      <c r="G29" t="str">
        <f t="shared" si="0"/>
        <v>Item P-152</v>
      </c>
      <c r="H29" s="58" t="s">
        <v>45</v>
      </c>
    </row>
    <row r="30" spans="1:8" ht="40.5" customHeight="1">
      <c r="A30" s="4" t="s">
        <v>46</v>
      </c>
      <c r="B30" s="36" t="s">
        <v>47</v>
      </c>
      <c r="C30" s="56">
        <v>500</v>
      </c>
      <c r="D30" s="5" t="s">
        <v>1</v>
      </c>
      <c r="E30" s="25"/>
      <c r="F30" s="25"/>
      <c r="G30" t="str">
        <f t="shared" si="0"/>
        <v>Item P-152</v>
      </c>
      <c r="H30" s="58" t="s">
        <v>45</v>
      </c>
    </row>
    <row r="31" spans="1:8" ht="40.5" customHeight="1">
      <c r="A31" s="4" t="s">
        <v>48</v>
      </c>
      <c r="B31" s="36" t="s">
        <v>49</v>
      </c>
      <c r="C31" s="56">
        <v>226</v>
      </c>
      <c r="D31" s="5" t="s">
        <v>1</v>
      </c>
      <c r="E31" s="25"/>
      <c r="F31" s="25"/>
      <c r="G31" t="str">
        <f t="shared" si="0"/>
        <v>CLSM</v>
      </c>
      <c r="H31" s="58" t="s">
        <v>50</v>
      </c>
    </row>
    <row r="32" spans="1:8" ht="40.5" customHeight="1">
      <c r="A32" s="4" t="s">
        <v>51</v>
      </c>
      <c r="B32" s="36" t="s">
        <v>52</v>
      </c>
      <c r="C32" s="56">
        <v>4500</v>
      </c>
      <c r="D32" s="5" t="s">
        <v>1</v>
      </c>
      <c r="E32" s="25"/>
      <c r="F32" s="25"/>
      <c r="G32" t="str">
        <f t="shared" si="0"/>
        <v>Item P-209</v>
      </c>
      <c r="H32" s="58" t="s">
        <v>53</v>
      </c>
    </row>
    <row r="33" spans="1:8" ht="40.5" customHeight="1">
      <c r="A33" s="4" t="s">
        <v>54</v>
      </c>
      <c r="B33" s="36" t="s">
        <v>55</v>
      </c>
      <c r="C33" s="56">
        <v>15000</v>
      </c>
      <c r="D33" s="5" t="s">
        <v>11</v>
      </c>
      <c r="E33" s="25"/>
      <c r="F33" s="25"/>
      <c r="G33" t="str">
        <f t="shared" si="0"/>
        <v>Item P-209</v>
      </c>
      <c r="H33" s="58" t="s">
        <v>53</v>
      </c>
    </row>
    <row r="34" spans="1:8" ht="40.5" customHeight="1">
      <c r="A34" s="4" t="s">
        <v>56</v>
      </c>
      <c r="B34" s="36" t="s">
        <v>57</v>
      </c>
      <c r="C34" s="56">
        <v>17100</v>
      </c>
      <c r="D34" s="5" t="s">
        <v>12</v>
      </c>
      <c r="E34" s="25"/>
      <c r="F34" s="25"/>
      <c r="G34" t="str">
        <f t="shared" si="0"/>
        <v>Item P-401</v>
      </c>
      <c r="H34" s="58" t="s">
        <v>58</v>
      </c>
    </row>
    <row r="35" spans="1:8" ht="40.5" customHeight="1">
      <c r="A35" s="4" t="s">
        <v>59</v>
      </c>
      <c r="B35" s="36" t="s">
        <v>60</v>
      </c>
      <c r="C35" s="56">
        <v>11500</v>
      </c>
      <c r="D35" s="5" t="s">
        <v>12</v>
      </c>
      <c r="E35" s="25"/>
      <c r="F35" s="25"/>
      <c r="G35" t="str">
        <f t="shared" si="0"/>
        <v>Item P-403</v>
      </c>
      <c r="H35" s="58" t="s">
        <v>61</v>
      </c>
    </row>
    <row r="36" spans="1:8" ht="40.5" customHeight="1">
      <c r="A36" s="4" t="s">
        <v>62</v>
      </c>
      <c r="B36" s="36" t="s">
        <v>63</v>
      </c>
      <c r="C36" s="56">
        <v>4300</v>
      </c>
      <c r="D36" s="5" t="s">
        <v>4</v>
      </c>
      <c r="E36" s="25"/>
      <c r="F36" s="25"/>
      <c r="G36" t="str">
        <f t="shared" si="0"/>
        <v>Item P-603</v>
      </c>
      <c r="H36" s="58" t="s">
        <v>64</v>
      </c>
    </row>
    <row r="37" spans="1:8" ht="40.5" customHeight="1">
      <c r="A37" s="4" t="s">
        <v>65</v>
      </c>
      <c r="B37" s="36" t="s">
        <v>66</v>
      </c>
      <c r="C37" s="56">
        <v>79</v>
      </c>
      <c r="D37" s="5" t="s">
        <v>4</v>
      </c>
      <c r="E37" s="25"/>
      <c r="F37" s="25"/>
      <c r="G37" t="str">
        <f t="shared" si="0"/>
        <v>Item P-605</v>
      </c>
      <c r="H37" s="58" t="s">
        <v>67</v>
      </c>
    </row>
    <row r="38" spans="1:8" ht="40.5" customHeight="1">
      <c r="A38" s="4" t="s">
        <v>68</v>
      </c>
      <c r="B38" s="36" t="s">
        <v>69</v>
      </c>
      <c r="C38" s="56">
        <v>160</v>
      </c>
      <c r="D38" s="5" t="s">
        <v>4</v>
      </c>
      <c r="E38" s="25"/>
      <c r="F38" s="25"/>
      <c r="G38" t="str">
        <f t="shared" si="0"/>
        <v>Item P-606</v>
      </c>
      <c r="H38" s="58" t="s">
        <v>70</v>
      </c>
    </row>
    <row r="39" spans="1:8" ht="40.5" customHeight="1">
      <c r="A39" s="4" t="s">
        <v>71</v>
      </c>
      <c r="B39" s="36" t="s">
        <v>72</v>
      </c>
      <c r="C39" s="56">
        <v>55</v>
      </c>
      <c r="D39" s="5" t="s">
        <v>1</v>
      </c>
      <c r="E39" s="25"/>
      <c r="F39" s="25"/>
      <c r="G39" t="str">
        <f t="shared" si="0"/>
        <v>Item P-610</v>
      </c>
      <c r="H39" s="58" t="s">
        <v>73</v>
      </c>
    </row>
    <row r="40" spans="1:8" ht="40.5" customHeight="1">
      <c r="A40" s="4" t="s">
        <v>74</v>
      </c>
      <c r="B40" s="36" t="s">
        <v>75</v>
      </c>
      <c r="C40" s="57">
        <v>7800</v>
      </c>
      <c r="D40" s="5" t="s">
        <v>10</v>
      </c>
      <c r="E40" s="25"/>
      <c r="F40" s="25"/>
      <c r="G40" t="str">
        <f t="shared" si="0"/>
        <v>Item P-620</v>
      </c>
      <c r="H40" s="58" t="s">
        <v>76</v>
      </c>
    </row>
    <row r="41" spans="1:8" ht="40.5" customHeight="1">
      <c r="A41" s="4" t="s">
        <v>77</v>
      </c>
      <c r="B41" s="36" t="s">
        <v>78</v>
      </c>
      <c r="C41" s="57">
        <v>62300</v>
      </c>
      <c r="D41" s="5" t="s">
        <v>10</v>
      </c>
      <c r="E41" s="25"/>
      <c r="F41" s="25"/>
      <c r="G41" t="str">
        <f t="shared" si="0"/>
        <v>Item P-620</v>
      </c>
      <c r="H41" s="58" t="s">
        <v>76</v>
      </c>
    </row>
    <row r="42" spans="1:8" ht="40.5" customHeight="1">
      <c r="A42" s="4" t="s">
        <v>79</v>
      </c>
      <c r="B42" s="36" t="s">
        <v>80</v>
      </c>
      <c r="C42" s="57">
        <v>105800</v>
      </c>
      <c r="D42" s="5" t="s">
        <v>10</v>
      </c>
      <c r="E42" s="25"/>
      <c r="F42" s="25"/>
      <c r="G42" t="str">
        <f t="shared" si="0"/>
        <v>Item P-620</v>
      </c>
      <c r="H42" s="58" t="s">
        <v>76</v>
      </c>
    </row>
    <row r="43" spans="1:8" ht="40.5" customHeight="1">
      <c r="A43" s="4" t="s">
        <v>81</v>
      </c>
      <c r="B43" s="36" t="s">
        <v>82</v>
      </c>
      <c r="C43" s="57">
        <v>3500</v>
      </c>
      <c r="D43" s="5" t="s">
        <v>6</v>
      </c>
      <c r="E43" s="25"/>
      <c r="F43" s="25"/>
      <c r="G43" t="str">
        <f t="shared" si="0"/>
        <v>Item P-620</v>
      </c>
      <c r="H43" s="58" t="s">
        <v>76</v>
      </c>
    </row>
    <row r="44" spans="1:8" ht="40.5" customHeight="1">
      <c r="A44" s="4" t="s">
        <v>83</v>
      </c>
      <c r="B44" s="36" t="s">
        <v>84</v>
      </c>
      <c r="C44" s="57">
        <v>67500</v>
      </c>
      <c r="D44" s="5" t="s">
        <v>10</v>
      </c>
      <c r="E44" s="25"/>
      <c r="F44" s="25"/>
      <c r="G44" t="str">
        <f t="shared" si="0"/>
        <v>Item P-620</v>
      </c>
      <c r="H44" s="58" t="s">
        <v>76</v>
      </c>
    </row>
    <row r="45" spans="1:8" ht="40.5" customHeight="1">
      <c r="A45" s="4" t="s">
        <v>85</v>
      </c>
      <c r="B45" s="36" t="s">
        <v>86</v>
      </c>
      <c r="C45" s="57">
        <v>3950</v>
      </c>
      <c r="D45" s="5" t="s">
        <v>10</v>
      </c>
      <c r="E45" s="25"/>
      <c r="F45" s="25"/>
      <c r="G45" t="str">
        <f t="shared" si="0"/>
        <v>Item P-620</v>
      </c>
      <c r="H45" s="58" t="s">
        <v>76</v>
      </c>
    </row>
    <row r="46" spans="1:8" ht="40.5" customHeight="1">
      <c r="A46" s="4" t="s">
        <v>87</v>
      </c>
      <c r="B46" s="36" t="s">
        <v>88</v>
      </c>
      <c r="C46" s="56">
        <v>1600</v>
      </c>
      <c r="D46" s="5" t="s">
        <v>11</v>
      </c>
      <c r="F46" s="25"/>
      <c r="G46" t="str">
        <f t="shared" si="0"/>
        <v>Item P-621</v>
      </c>
      <c r="H46" s="58" t="s">
        <v>89</v>
      </c>
    </row>
    <row r="47" spans="1:8" ht="40.5" customHeight="1">
      <c r="A47" s="4" t="s">
        <v>90</v>
      </c>
      <c r="B47" s="36" t="s">
        <v>91</v>
      </c>
      <c r="C47" s="56">
        <v>189</v>
      </c>
      <c r="D47" s="5" t="s">
        <v>7</v>
      </c>
      <c r="E47" s="25"/>
      <c r="F47" s="25"/>
      <c r="G47" t="str">
        <f t="shared" si="0"/>
        <v>Item D-701</v>
      </c>
      <c r="H47" s="58" t="s">
        <v>92</v>
      </c>
    </row>
    <row r="48" spans="1:8" ht="40.5" customHeight="1">
      <c r="A48" s="4" t="s">
        <v>93</v>
      </c>
      <c r="B48" s="36" t="s">
        <v>94</v>
      </c>
      <c r="C48" s="56">
        <v>264</v>
      </c>
      <c r="D48" s="5" t="s">
        <v>7</v>
      </c>
      <c r="E48" s="25"/>
      <c r="F48" s="25"/>
      <c r="G48" t="str">
        <f t="shared" si="0"/>
        <v>Item D-701</v>
      </c>
      <c r="H48" s="58" t="s">
        <v>92</v>
      </c>
    </row>
    <row r="49" spans="1:8" ht="40.5" customHeight="1">
      <c r="A49" s="4" t="s">
        <v>95</v>
      </c>
      <c r="B49" s="36" t="s">
        <v>96</v>
      </c>
      <c r="C49" s="56">
        <v>1</v>
      </c>
      <c r="D49" s="5" t="s">
        <v>2</v>
      </c>
      <c r="E49" s="25"/>
      <c r="F49" s="25"/>
      <c r="G49" t="str">
        <f t="shared" si="0"/>
        <v>Item D-751</v>
      </c>
      <c r="H49" s="58" t="s">
        <v>97</v>
      </c>
    </row>
    <row r="50" spans="1:8" ht="40.5" customHeight="1">
      <c r="A50" s="4" t="s">
        <v>98</v>
      </c>
      <c r="B50" s="36" t="s">
        <v>99</v>
      </c>
      <c r="C50" s="56">
        <v>2</v>
      </c>
      <c r="D50" s="5" t="s">
        <v>2</v>
      </c>
      <c r="E50" s="25"/>
      <c r="F50" s="25"/>
      <c r="G50" t="str">
        <f t="shared" si="0"/>
        <v>Item D-751</v>
      </c>
      <c r="H50" s="58" t="s">
        <v>97</v>
      </c>
    </row>
    <row r="51" spans="1:8" ht="40.5" customHeight="1">
      <c r="A51" s="4" t="s">
        <v>100</v>
      </c>
      <c r="B51" s="36" t="s">
        <v>101</v>
      </c>
      <c r="C51" s="56">
        <v>5</v>
      </c>
      <c r="D51" s="5" t="s">
        <v>2</v>
      </c>
      <c r="E51" s="25"/>
      <c r="F51" s="25"/>
      <c r="G51" t="str">
        <f t="shared" si="0"/>
        <v>Section 312300</v>
      </c>
      <c r="H51" s="58" t="s">
        <v>102</v>
      </c>
    </row>
    <row r="52" spans="1:8" ht="40.5" customHeight="1">
      <c r="A52" s="4" t="s">
        <v>103</v>
      </c>
      <c r="B52" s="36" t="s">
        <v>104</v>
      </c>
      <c r="C52" s="56">
        <v>1</v>
      </c>
      <c r="D52" s="5" t="s">
        <v>2</v>
      </c>
      <c r="E52" s="25"/>
      <c r="F52" s="25"/>
      <c r="G52" t="str">
        <f t="shared" si="0"/>
        <v>Section 312300</v>
      </c>
      <c r="H52" s="58" t="s">
        <v>102</v>
      </c>
    </row>
    <row r="53" spans="1:8" ht="39" customHeight="1">
      <c r="A53" s="4" t="s">
        <v>105</v>
      </c>
      <c r="B53" s="36" t="s">
        <v>106</v>
      </c>
      <c r="C53" s="56">
        <v>9310</v>
      </c>
      <c r="D53" s="5" t="s">
        <v>7</v>
      </c>
      <c r="E53" s="25"/>
      <c r="F53" s="25"/>
      <c r="G53" t="str">
        <f t="shared" si="0"/>
        <v>Item L-108</v>
      </c>
      <c r="H53" s="58" t="s">
        <v>107</v>
      </c>
    </row>
    <row r="54" spans="1:8" ht="54.75" customHeight="1">
      <c r="A54" s="4" t="s">
        <v>108</v>
      </c>
      <c r="B54" s="60" t="s">
        <v>109</v>
      </c>
      <c r="C54" s="56">
        <v>2080</v>
      </c>
      <c r="D54" s="5" t="s">
        <v>7</v>
      </c>
      <c r="E54" s="25"/>
      <c r="F54" s="25"/>
      <c r="G54" t="str">
        <f t="shared" si="0"/>
        <v>Item L-108</v>
      </c>
      <c r="H54" s="58" t="s">
        <v>107</v>
      </c>
    </row>
    <row r="55" spans="1:8" ht="40.5" customHeight="1">
      <c r="A55" s="4" t="s">
        <v>110</v>
      </c>
      <c r="B55" s="36" t="s">
        <v>111</v>
      </c>
      <c r="C55" s="56">
        <v>110</v>
      </c>
      <c r="D55" s="5" t="s">
        <v>7</v>
      </c>
      <c r="E55" s="25"/>
      <c r="F55" s="25"/>
      <c r="G55" t="str">
        <f t="shared" si="0"/>
        <v>Item L-108</v>
      </c>
      <c r="H55" s="58" t="s">
        <v>107</v>
      </c>
    </row>
    <row r="56" spans="1:8" ht="40.5" customHeight="1">
      <c r="A56" s="4" t="s">
        <v>112</v>
      </c>
      <c r="B56" s="36" t="s">
        <v>113</v>
      </c>
      <c r="C56" s="56">
        <v>9</v>
      </c>
      <c r="D56" s="5" t="s">
        <v>2</v>
      </c>
      <c r="E56" s="25"/>
      <c r="F56" s="25"/>
      <c r="G56" t="str">
        <f t="shared" si="0"/>
        <v>Item L-108</v>
      </c>
      <c r="H56" s="58" t="s">
        <v>107</v>
      </c>
    </row>
    <row r="57" spans="1:8" ht="40.5" customHeight="1">
      <c r="A57" s="4" t="s">
        <v>114</v>
      </c>
      <c r="B57" s="36" t="s">
        <v>115</v>
      </c>
      <c r="C57" s="56">
        <v>1530</v>
      </c>
      <c r="D57" s="5" t="s">
        <v>7</v>
      </c>
      <c r="E57" s="25"/>
      <c r="F57" s="25"/>
      <c r="G57" t="str">
        <f t="shared" si="0"/>
        <v>Item L-110</v>
      </c>
      <c r="H57" s="58" t="s">
        <v>116</v>
      </c>
    </row>
    <row r="58" spans="1:8" ht="40.5" customHeight="1">
      <c r="A58" s="4" t="s">
        <v>117</v>
      </c>
      <c r="B58" s="36" t="s">
        <v>118</v>
      </c>
      <c r="C58" s="56">
        <v>535</v>
      </c>
      <c r="D58" s="5" t="s">
        <v>7</v>
      </c>
      <c r="E58" s="25"/>
      <c r="F58" s="25"/>
      <c r="G58" t="str">
        <f t="shared" si="0"/>
        <v>Item L-110</v>
      </c>
      <c r="H58" s="58" t="s">
        <v>116</v>
      </c>
    </row>
    <row r="59" spans="1:8" ht="40.5" customHeight="1">
      <c r="A59" s="4" t="s">
        <v>119</v>
      </c>
      <c r="B59" s="36" t="s">
        <v>120</v>
      </c>
      <c r="C59" s="56">
        <v>25</v>
      </c>
      <c r="D59" s="5" t="s">
        <v>7</v>
      </c>
      <c r="E59" s="25"/>
      <c r="F59" s="25"/>
      <c r="G59" t="str">
        <f t="shared" si="0"/>
        <v>Item L-110</v>
      </c>
      <c r="H59" s="58" t="s">
        <v>116</v>
      </c>
    </row>
    <row r="60" spans="1:8" ht="40.5" customHeight="1">
      <c r="A60" s="4" t="s">
        <v>121</v>
      </c>
      <c r="B60" s="36" t="s">
        <v>122</v>
      </c>
      <c r="C60" s="56">
        <v>145</v>
      </c>
      <c r="D60" s="5" t="s">
        <v>7</v>
      </c>
      <c r="E60" s="25"/>
      <c r="F60" s="25"/>
      <c r="G60" t="str">
        <f t="shared" si="0"/>
        <v>Item L-110</v>
      </c>
      <c r="H60" s="58" t="s">
        <v>116</v>
      </c>
    </row>
    <row r="61" spans="1:8" ht="40.5" customHeight="1">
      <c r="A61" s="4" t="s">
        <v>123</v>
      </c>
      <c r="B61" s="36" t="s">
        <v>124</v>
      </c>
      <c r="C61" s="56">
        <v>1</v>
      </c>
      <c r="D61" s="5" t="s">
        <v>8</v>
      </c>
      <c r="E61" s="25"/>
      <c r="F61" s="25"/>
      <c r="G61" t="str">
        <f t="shared" si="0"/>
        <v>Section 260500</v>
      </c>
      <c r="H61" s="58" t="s">
        <v>125</v>
      </c>
    </row>
    <row r="62" spans="1:8" ht="40.5" customHeight="1">
      <c r="A62" s="4" t="s">
        <v>126</v>
      </c>
      <c r="B62" s="36" t="s">
        <v>127</v>
      </c>
      <c r="C62" s="56">
        <v>1</v>
      </c>
      <c r="D62" s="5" t="s">
        <v>8</v>
      </c>
      <c r="E62" s="25"/>
      <c r="F62" s="25"/>
      <c r="G62" t="str">
        <f t="shared" si="0"/>
        <v>Section 260500</v>
      </c>
      <c r="H62" s="58" t="s">
        <v>125</v>
      </c>
    </row>
    <row r="63" spans="1:8" ht="40.5" customHeight="1">
      <c r="A63" s="4" t="s">
        <v>128</v>
      </c>
      <c r="B63" s="36" t="s">
        <v>129</v>
      </c>
      <c r="C63" s="56">
        <v>131</v>
      </c>
      <c r="D63" s="5" t="s">
        <v>2</v>
      </c>
      <c r="E63" s="25"/>
      <c r="F63" s="25"/>
      <c r="G63" t="str">
        <f t="shared" si="0"/>
        <v>Section 344300</v>
      </c>
      <c r="H63" s="58" t="s">
        <v>130</v>
      </c>
    </row>
    <row r="64" spans="1:8" ht="40.5" customHeight="1">
      <c r="A64" s="4" t="s">
        <v>131</v>
      </c>
      <c r="B64" s="36" t="s">
        <v>132</v>
      </c>
      <c r="C64" s="56">
        <v>2</v>
      </c>
      <c r="D64" s="5" t="s">
        <v>2</v>
      </c>
      <c r="E64" s="25"/>
      <c r="F64" s="25"/>
      <c r="G64" t="str">
        <f t="shared" si="0"/>
        <v>Section 344300</v>
      </c>
      <c r="H64" s="58" t="s">
        <v>130</v>
      </c>
    </row>
    <row r="65" spans="1:8" ht="40.5" customHeight="1">
      <c r="A65" s="4" t="s">
        <v>133</v>
      </c>
      <c r="B65" s="36" t="s">
        <v>134</v>
      </c>
      <c r="C65" s="56">
        <v>5</v>
      </c>
      <c r="D65" s="5" t="s">
        <v>2</v>
      </c>
      <c r="E65" s="25"/>
      <c r="F65" s="25"/>
      <c r="G65" t="str">
        <f t="shared" si="0"/>
        <v>Section 344300</v>
      </c>
      <c r="H65" s="58" t="s">
        <v>130</v>
      </c>
    </row>
    <row r="66" spans="1:8" ht="39" customHeight="1">
      <c r="A66" s="4" t="s">
        <v>135</v>
      </c>
      <c r="B66" s="36" t="s">
        <v>136</v>
      </c>
      <c r="C66" s="56">
        <v>5</v>
      </c>
      <c r="D66" s="5" t="s">
        <v>2</v>
      </c>
      <c r="E66" s="25"/>
      <c r="F66" s="25"/>
      <c r="G66" t="str">
        <f t="shared" si="0"/>
        <v>Section 344300</v>
      </c>
      <c r="H66" s="58" t="s">
        <v>130</v>
      </c>
    </row>
    <row r="67" spans="1:8" ht="51" customHeight="1">
      <c r="A67" s="4" t="s">
        <v>137</v>
      </c>
      <c r="B67" s="36" t="s">
        <v>138</v>
      </c>
      <c r="C67" s="56">
        <v>116</v>
      </c>
      <c r="D67" s="5" t="s">
        <v>2</v>
      </c>
      <c r="E67" s="25"/>
      <c r="F67" s="25"/>
      <c r="G67" t="str">
        <f t="shared" si="0"/>
        <v>Section 344300</v>
      </c>
      <c r="H67" s="58" t="s">
        <v>130</v>
      </c>
    </row>
    <row r="68" spans="1:8" ht="40.5" customHeight="1">
      <c r="A68" s="4" t="s">
        <v>139</v>
      </c>
      <c r="B68" s="36" t="s">
        <v>140</v>
      </c>
      <c r="C68" s="56">
        <v>88</v>
      </c>
      <c r="D68" s="5" t="s">
        <v>2</v>
      </c>
      <c r="E68" s="25"/>
      <c r="F68" s="25"/>
      <c r="G68" t="str">
        <f t="shared" si="0"/>
        <v>Section 344301</v>
      </c>
      <c r="H68" s="58" t="s">
        <v>141</v>
      </c>
    </row>
    <row r="69" spans="1:8" ht="40.5" customHeight="1">
      <c r="A69" s="4" t="s">
        <v>142</v>
      </c>
      <c r="B69" s="36" t="s">
        <v>143</v>
      </c>
      <c r="C69" s="56">
        <v>11</v>
      </c>
      <c r="D69" s="5" t="s">
        <v>2</v>
      </c>
      <c r="E69" s="25"/>
      <c r="F69" s="25"/>
      <c r="G69" t="str">
        <f t="shared" si="0"/>
        <v>Section 344301</v>
      </c>
      <c r="H69" s="58" t="s">
        <v>141</v>
      </c>
    </row>
    <row r="70" spans="1:8" ht="40.5" customHeight="1">
      <c r="A70" s="4" t="s">
        <v>144</v>
      </c>
      <c r="B70" s="36" t="s">
        <v>145</v>
      </c>
      <c r="C70" s="56">
        <v>1</v>
      </c>
      <c r="D70" s="5" t="s">
        <v>2</v>
      </c>
      <c r="E70" s="25"/>
      <c r="F70" s="25"/>
      <c r="G70" t="str">
        <f t="shared" si="0"/>
        <v>Section 344301</v>
      </c>
      <c r="H70" s="58" t="s">
        <v>141</v>
      </c>
    </row>
    <row r="71" spans="1:8" ht="40.5" customHeight="1">
      <c r="A71" s="4" t="s">
        <v>146</v>
      </c>
      <c r="B71" s="36" t="s">
        <v>147</v>
      </c>
      <c r="C71" s="56">
        <v>35</v>
      </c>
      <c r="D71" s="5" t="s">
        <v>2</v>
      </c>
      <c r="E71" s="25"/>
      <c r="F71" s="25"/>
      <c r="G71" t="str">
        <f t="shared" si="0"/>
        <v>Section 344301</v>
      </c>
      <c r="H71" s="58" t="s">
        <v>141</v>
      </c>
    </row>
    <row r="72" spans="1:8" ht="40.5" customHeight="1">
      <c r="A72" s="4" t="s">
        <v>148</v>
      </c>
      <c r="B72" s="36" t="s">
        <v>149</v>
      </c>
      <c r="C72" s="56">
        <v>1</v>
      </c>
      <c r="D72" s="5" t="s">
        <v>8</v>
      </c>
      <c r="E72" s="25"/>
      <c r="F72" s="25"/>
      <c r="G72" t="str">
        <f t="shared" si="0"/>
        <v>Section 344302</v>
      </c>
      <c r="H72" s="58" t="s">
        <v>150</v>
      </c>
    </row>
    <row r="73" spans="1:8" ht="27.75" customHeight="1">
      <c r="A73" s="6"/>
      <c r="B73" s="7" t="s">
        <v>151</v>
      </c>
      <c r="C73" s="22"/>
      <c r="D73" s="6"/>
      <c r="E73" s="26"/>
      <c r="F73" s="26" t="s">
        <v>152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3">
    <dataValidation allowBlank="1" showErrorMessage="1" sqref="C53:C60 C63:C71" xr:uid="{70EAD88B-B49A-4BF9-B195-C1DAF62FF863}"/>
    <dataValidation allowBlank="1" showErrorMessage="1" promptTitle="Item Description Info" prompt="Enter Item Description Here." sqref="B57:B60 B63:B69 B71" xr:uid="{1FC77FC6-1414-4DF7-B1A1-9FD515753CD0}"/>
    <dataValidation type="list" allowBlank="1" showInputMessage="1" showErrorMessage="1" sqref="D20:D45 D47:D71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&amp;L&amp;"Arial,Bold"BASE BID (AIP-ELIGIBLE ITEMS)&amp;RBidder: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99"/>
  </sheetPr>
  <dimension ref="A1:F41"/>
  <sheetViews>
    <sheetView view="pageLayout" topLeftCell="A29" zoomScaleNormal="100" zoomScaleSheetLayoutView="100" workbookViewId="0">
      <selection activeCell="B31" sqref="B31"/>
    </sheetView>
  </sheetViews>
  <sheetFormatPr defaultRowHeight="15"/>
  <cols>
    <col min="1" max="1" width="6.5703125" customWidth="1"/>
    <col min="2" max="2" width="36.7109375" customWidth="1"/>
    <col min="3" max="3" width="10.7109375" style="20" customWidth="1"/>
    <col min="4" max="4" width="8.28515625" customWidth="1"/>
    <col min="5" max="6" width="13.28515625" style="23" customWidth="1"/>
  </cols>
  <sheetData>
    <row r="1" spans="1:6">
      <c r="A1" s="1" t="s">
        <v>0</v>
      </c>
    </row>
    <row r="2" spans="1:6">
      <c r="A2" s="1" t="s">
        <v>1</v>
      </c>
    </row>
    <row r="3" spans="1:6">
      <c r="A3" s="1" t="s">
        <v>2</v>
      </c>
    </row>
    <row r="4" spans="1:6">
      <c r="A4" s="1" t="s">
        <v>3</v>
      </c>
    </row>
    <row r="5" spans="1:6">
      <c r="A5" s="1" t="s">
        <v>4</v>
      </c>
    </row>
    <row r="6" spans="1:6">
      <c r="A6" s="1" t="s">
        <v>5</v>
      </c>
    </row>
    <row r="7" spans="1:6">
      <c r="A7" s="1" t="s">
        <v>6</v>
      </c>
    </row>
    <row r="8" spans="1:6">
      <c r="A8" s="1" t="s">
        <v>7</v>
      </c>
    </row>
    <row r="9" spans="1:6">
      <c r="A9" s="1" t="s">
        <v>8</v>
      </c>
    </row>
    <row r="10" spans="1:6">
      <c r="A10" s="1" t="s">
        <v>9</v>
      </c>
    </row>
    <row r="11" spans="1:6">
      <c r="A11" s="1" t="s">
        <v>10</v>
      </c>
    </row>
    <row r="12" spans="1:6">
      <c r="A12" s="1" t="s">
        <v>11</v>
      </c>
    </row>
    <row r="13" spans="1:6">
      <c r="A13" s="1" t="s">
        <v>12</v>
      </c>
    </row>
    <row r="14" spans="1:6">
      <c r="A14" s="67"/>
      <c r="B14" s="67"/>
      <c r="C14" s="67"/>
      <c r="D14" s="67"/>
      <c r="E14" s="61"/>
      <c r="F14" s="61"/>
    </row>
    <row r="15" spans="1:6">
      <c r="A15" s="64" t="str">
        <f>ProjectLocation</f>
        <v>PORTLAND INTERNATIONAL AIRPORT</v>
      </c>
      <c r="B15" s="64"/>
      <c r="C15" s="64"/>
      <c r="D15" s="64"/>
      <c r="E15" s="62"/>
      <c r="F15" s="62"/>
    </row>
    <row r="16" spans="1:6">
      <c r="A16" s="64" t="str">
        <f>ProjectTitle</f>
        <v>TAXIWAYS A, K, T AND SOUTH RUNWAY EXITS REHABILITATION</v>
      </c>
      <c r="B16" s="64"/>
      <c r="C16" s="64"/>
      <c r="D16" s="64"/>
      <c r="E16" s="62"/>
      <c r="F16" s="62"/>
    </row>
    <row r="17" spans="1:6">
      <c r="A17" s="65" t="str">
        <f>ProjectTitle2 &amp; ""</f>
        <v/>
      </c>
      <c r="B17" s="65"/>
      <c r="C17" s="65"/>
      <c r="D17" s="65"/>
      <c r="E17" s="62"/>
      <c r="F17" s="62"/>
    </row>
    <row r="18" spans="1:6">
      <c r="A18" s="66"/>
      <c r="B18" s="66"/>
      <c r="C18" s="66"/>
      <c r="D18" s="66"/>
      <c r="E18" s="63"/>
      <c r="F18" s="63"/>
    </row>
    <row r="19" spans="1:6" s="2" customFormat="1" ht="24" customHeight="1">
      <c r="A19" s="3" t="s">
        <v>15</v>
      </c>
      <c r="B19" s="3" t="s">
        <v>16</v>
      </c>
      <c r="C19" s="21" t="s">
        <v>17</v>
      </c>
      <c r="D19" s="3" t="s">
        <v>18</v>
      </c>
      <c r="E19" s="24" t="s">
        <v>19</v>
      </c>
      <c r="F19" s="24" t="s">
        <v>20</v>
      </c>
    </row>
    <row r="20" spans="1:6" ht="40.5" customHeight="1">
      <c r="A20" s="4" t="s">
        <v>21</v>
      </c>
      <c r="B20" s="36" t="s">
        <v>22</v>
      </c>
      <c r="C20" s="56">
        <v>1</v>
      </c>
      <c r="D20" s="5" t="s">
        <v>8</v>
      </c>
      <c r="E20" s="25"/>
      <c r="F20" s="25"/>
    </row>
    <row r="21" spans="1:6" ht="40.5" customHeight="1">
      <c r="A21" s="4" t="s">
        <v>24</v>
      </c>
      <c r="B21" s="36" t="s">
        <v>25</v>
      </c>
      <c r="C21" s="56">
        <v>1</v>
      </c>
      <c r="D21" s="5" t="s">
        <v>8</v>
      </c>
      <c r="E21" s="25"/>
      <c r="F21" s="25"/>
    </row>
    <row r="22" spans="1:6" ht="40.5" customHeight="1">
      <c r="A22" s="4" t="s">
        <v>26</v>
      </c>
      <c r="B22" s="36" t="s">
        <v>27</v>
      </c>
      <c r="C22" s="56">
        <v>1</v>
      </c>
      <c r="D22" s="5" t="s">
        <v>8</v>
      </c>
      <c r="E22" s="25"/>
      <c r="F22" s="25"/>
    </row>
    <row r="23" spans="1:6" ht="40.5" customHeight="1">
      <c r="A23" s="4" t="s">
        <v>28</v>
      </c>
      <c r="B23" s="36" t="s">
        <v>29</v>
      </c>
      <c r="C23" s="56">
        <v>1</v>
      </c>
      <c r="D23" s="5" t="s">
        <v>8</v>
      </c>
      <c r="E23" s="25"/>
      <c r="F23" s="25"/>
    </row>
    <row r="24" spans="1:6" ht="40.5" customHeight="1">
      <c r="A24" s="4" t="s">
        <v>30</v>
      </c>
      <c r="B24" s="36" t="s">
        <v>31</v>
      </c>
      <c r="C24" s="56">
        <v>23</v>
      </c>
      <c r="D24" s="5" t="s">
        <v>2</v>
      </c>
      <c r="E24" s="25"/>
      <c r="F24" s="25"/>
    </row>
    <row r="25" spans="1:6" ht="40.5" customHeight="1">
      <c r="A25" s="4" t="s">
        <v>33</v>
      </c>
      <c r="B25" s="36" t="s">
        <v>34</v>
      </c>
      <c r="C25" s="56">
        <v>1</v>
      </c>
      <c r="D25" s="5" t="s">
        <v>8</v>
      </c>
      <c r="E25" s="25"/>
      <c r="F25" s="25"/>
    </row>
    <row r="26" spans="1:6" ht="40.5" customHeight="1">
      <c r="A26" s="4" t="s">
        <v>36</v>
      </c>
      <c r="B26" s="36" t="s">
        <v>40</v>
      </c>
      <c r="C26" s="56">
        <v>17700</v>
      </c>
      <c r="D26" s="5" t="s">
        <v>11</v>
      </c>
      <c r="E26" s="25"/>
      <c r="F26" s="25"/>
    </row>
    <row r="27" spans="1:6" ht="40.5" customHeight="1">
      <c r="A27" s="4" t="s">
        <v>39</v>
      </c>
      <c r="B27" s="36" t="s">
        <v>57</v>
      </c>
      <c r="C27" s="56">
        <v>3000</v>
      </c>
      <c r="D27" s="5" t="s">
        <v>12</v>
      </c>
      <c r="E27" s="25"/>
      <c r="F27" s="25"/>
    </row>
    <row r="28" spans="1:6" ht="40.5" customHeight="1">
      <c r="A28" s="4" t="s">
        <v>41</v>
      </c>
      <c r="B28" s="36" t="s">
        <v>63</v>
      </c>
      <c r="C28" s="56">
        <v>200</v>
      </c>
      <c r="D28" s="5" t="s">
        <v>4</v>
      </c>
      <c r="E28" s="25"/>
      <c r="F28" s="25"/>
    </row>
    <row r="29" spans="1:6" ht="40.5" customHeight="1">
      <c r="A29" s="4" t="s">
        <v>43</v>
      </c>
      <c r="B29" s="36" t="s">
        <v>66</v>
      </c>
      <c r="C29" s="56">
        <v>24</v>
      </c>
      <c r="D29" s="5" t="s">
        <v>4</v>
      </c>
      <c r="E29" s="25"/>
      <c r="F29" s="25"/>
    </row>
    <row r="30" spans="1:6" ht="40.5" customHeight="1">
      <c r="A30" s="4" t="s">
        <v>46</v>
      </c>
      <c r="B30" s="36" t="s">
        <v>69</v>
      </c>
      <c r="C30" s="56">
        <v>41</v>
      </c>
      <c r="D30" s="5" t="s">
        <v>4</v>
      </c>
      <c r="E30" s="25"/>
      <c r="F30" s="25"/>
    </row>
    <row r="31" spans="1:6" ht="40.5" customHeight="1">
      <c r="A31" s="4" t="s">
        <v>48</v>
      </c>
      <c r="B31" s="36" t="s">
        <v>153</v>
      </c>
      <c r="C31" s="57">
        <v>14600</v>
      </c>
      <c r="D31" s="5" t="s">
        <v>10</v>
      </c>
      <c r="E31" s="25"/>
      <c r="F31" s="25"/>
    </row>
    <row r="32" spans="1:6" ht="40.5" customHeight="1">
      <c r="A32" s="4" t="s">
        <v>51</v>
      </c>
      <c r="B32" s="36" t="s">
        <v>80</v>
      </c>
      <c r="C32" s="57">
        <v>23200</v>
      </c>
      <c r="D32" s="5" t="s">
        <v>10</v>
      </c>
      <c r="E32" s="25"/>
      <c r="F32" s="25"/>
    </row>
    <row r="33" spans="1:6" ht="40.5" customHeight="1">
      <c r="A33" s="4" t="s">
        <v>54</v>
      </c>
      <c r="B33" s="36" t="s">
        <v>82</v>
      </c>
      <c r="C33" s="57">
        <v>725</v>
      </c>
      <c r="D33" s="5" t="s">
        <v>6</v>
      </c>
      <c r="E33" s="25"/>
      <c r="F33" s="25"/>
    </row>
    <row r="34" spans="1:6" ht="40.5" customHeight="1">
      <c r="A34" s="4" t="s">
        <v>56</v>
      </c>
      <c r="B34" s="36" t="s">
        <v>84</v>
      </c>
      <c r="C34" s="57">
        <v>15800</v>
      </c>
      <c r="D34" s="5" t="s">
        <v>10</v>
      </c>
      <c r="E34" s="25"/>
      <c r="F34" s="25"/>
    </row>
    <row r="35" spans="1:6" ht="40.5" customHeight="1">
      <c r="A35" s="4" t="s">
        <v>59</v>
      </c>
      <c r="B35" s="36" t="s">
        <v>154</v>
      </c>
      <c r="C35" s="56">
        <v>300</v>
      </c>
      <c r="D35" s="5" t="s">
        <v>12</v>
      </c>
      <c r="E35" s="25"/>
      <c r="F35" s="25"/>
    </row>
    <row r="36" spans="1:6" ht="40.5" customHeight="1">
      <c r="A36" s="4" t="s">
        <v>62</v>
      </c>
      <c r="B36" s="36" t="s">
        <v>124</v>
      </c>
      <c r="C36" s="56">
        <v>1</v>
      </c>
      <c r="D36" s="5" t="s">
        <v>8</v>
      </c>
      <c r="E36" s="25"/>
      <c r="F36" s="25"/>
    </row>
    <row r="37" spans="1:6" ht="40.5" customHeight="1">
      <c r="A37" s="4" t="s">
        <v>65</v>
      </c>
      <c r="B37" s="36" t="s">
        <v>127</v>
      </c>
      <c r="C37" s="56">
        <v>1</v>
      </c>
      <c r="D37" s="5" t="s">
        <v>8</v>
      </c>
      <c r="E37" s="25"/>
      <c r="F37" s="25"/>
    </row>
    <row r="38" spans="1:6" ht="52.5" customHeight="1">
      <c r="A38" s="4" t="s">
        <v>68</v>
      </c>
      <c r="B38" s="36" t="s">
        <v>155</v>
      </c>
      <c r="C38" s="56">
        <v>2</v>
      </c>
      <c r="D38" s="5" t="s">
        <v>2</v>
      </c>
      <c r="E38" s="25"/>
      <c r="F38" s="25"/>
    </row>
    <row r="39" spans="1:6" ht="39.75" customHeight="1">
      <c r="A39" s="4" t="s">
        <v>71</v>
      </c>
      <c r="B39" s="36" t="s">
        <v>156</v>
      </c>
      <c r="C39" s="56">
        <v>5</v>
      </c>
      <c r="D39" s="5" t="s">
        <v>2</v>
      </c>
      <c r="E39" s="25"/>
      <c r="F39" s="25"/>
    </row>
    <row r="40" spans="1:6" ht="40.5" customHeight="1">
      <c r="A40" s="4" t="s">
        <v>74</v>
      </c>
      <c r="B40" s="36" t="s">
        <v>140</v>
      </c>
      <c r="C40" s="56">
        <v>77</v>
      </c>
      <c r="D40" s="5" t="s">
        <v>2</v>
      </c>
      <c r="E40" s="25"/>
      <c r="F40" s="25"/>
    </row>
    <row r="41" spans="1:6" ht="27.75" customHeight="1">
      <c r="A41" s="6"/>
      <c r="B41" s="7" t="s">
        <v>157</v>
      </c>
      <c r="C41" s="22"/>
      <c r="D41" s="6"/>
      <c r="E41" s="26"/>
      <c r="F41" s="26" t="s">
        <v>152</v>
      </c>
    </row>
  </sheetData>
  <dataConsolidate function="count"/>
  <mergeCells count="6">
    <mergeCell ref="A14:D14"/>
    <mergeCell ref="E14:F18"/>
    <mergeCell ref="A15:D15"/>
    <mergeCell ref="A16:D16"/>
    <mergeCell ref="A17:D17"/>
    <mergeCell ref="A18:D18"/>
  </mergeCells>
  <dataValidations count="3">
    <dataValidation allowBlank="1" showErrorMessage="1" sqref="C38:C40" xr:uid="{3035F85D-F2D0-4F09-9B84-FD7D8E54FB0F}"/>
    <dataValidation allowBlank="1" showErrorMessage="1" promptTitle="Item Description Info" prompt="Enter Item Description Here." sqref="B38:B40" xr:uid="{3D259634-39BA-4645-A36C-13C93039176B}"/>
    <dataValidation type="list" allowBlank="1" showInputMessage="1" showErrorMessage="1" sqref="D20:D40" xr:uid="{811E101B-CA3B-4445-A417-67669438350A}">
      <formula1>$A$1:$A$13</formula1>
    </dataValidation>
  </dataValidations>
  <printOptions horizontalCentered="1"/>
  <pageMargins left="0.75" right="0.75" top="1" bottom="1" header="0.5" footer="0.7"/>
  <pageSetup firstPageNumber="7" orientation="portrait" useFirstPageNumber="1" r:id="rId1"/>
  <headerFooter>
    <oddHeader>&amp;L&amp;"Arial,Bold"ADDITIVE ALTERNATE A (NON-AIP-ELIGIBLE ITEMS)&amp;R&amp;"Arial,Regular"&amp;10Bidder: _________________________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4" tint="-0.499984740745262"/>
  </sheetPr>
  <dimension ref="A1:N61"/>
  <sheetViews>
    <sheetView zoomScaleNormal="100" zoomScaleSheetLayoutView="100" workbookViewId="0">
      <selection activeCell="F10" sqref="F10"/>
    </sheetView>
  </sheetViews>
  <sheetFormatPr defaultRowHeight="15"/>
  <cols>
    <col min="1" max="1" width="6.7109375" customWidth="1"/>
    <col min="2" max="2" width="28.85546875" style="16" customWidth="1"/>
    <col min="3" max="3" width="11.28515625" style="29" customWidth="1"/>
    <col min="4" max="4" width="6.7109375" style="16" customWidth="1"/>
    <col min="5" max="5" width="11" style="23" customWidth="1"/>
    <col min="6" max="6" width="13.42578125" style="23" customWidth="1"/>
    <col min="7" max="7" width="11" style="23" customWidth="1"/>
    <col min="8" max="8" width="13.42578125" style="23" customWidth="1"/>
    <col min="9" max="9" width="11" style="23" customWidth="1"/>
    <col min="10" max="10" width="13.42578125" style="23" customWidth="1"/>
    <col min="11" max="11" width="11" customWidth="1"/>
    <col min="12" max="12" width="13.42578125" customWidth="1"/>
    <col min="13" max="13" width="11" customWidth="1"/>
    <col min="14" max="14" width="13.42578125" customWidth="1"/>
  </cols>
  <sheetData>
    <row r="1" spans="1:14" ht="30" customHeight="1">
      <c r="A1" s="79" t="s">
        <v>13</v>
      </c>
      <c r="B1" s="80"/>
      <c r="C1" s="80"/>
      <c r="D1" s="81"/>
      <c r="E1" s="72" t="s">
        <v>158</v>
      </c>
      <c r="F1" s="73"/>
      <c r="G1" s="72" t="s">
        <v>159</v>
      </c>
      <c r="H1" s="73"/>
      <c r="I1" s="72" t="s">
        <v>160</v>
      </c>
      <c r="J1" s="73"/>
      <c r="K1" s="72" t="s">
        <v>161</v>
      </c>
      <c r="L1" s="73"/>
      <c r="M1" s="68" t="s">
        <v>162</v>
      </c>
      <c r="N1" s="69"/>
    </row>
    <row r="2" spans="1:14">
      <c r="A2" s="82" t="s">
        <v>163</v>
      </c>
      <c r="B2" s="83"/>
      <c r="C2" s="83"/>
      <c r="D2" s="84"/>
      <c r="E2" s="74"/>
      <c r="F2" s="75"/>
      <c r="G2" s="74"/>
      <c r="H2" s="75"/>
      <c r="I2" s="74"/>
      <c r="J2" s="75"/>
      <c r="K2" s="74"/>
      <c r="L2" s="75"/>
      <c r="M2" s="70"/>
      <c r="N2" s="71"/>
    </row>
    <row r="3" spans="1:14">
      <c r="A3" s="82" t="s">
        <v>164</v>
      </c>
      <c r="B3" s="83"/>
      <c r="C3" s="83"/>
      <c r="D3" s="84"/>
      <c r="E3" s="74"/>
      <c r="F3" s="75"/>
      <c r="G3" s="74"/>
      <c r="H3" s="75"/>
      <c r="I3" s="74"/>
      <c r="J3" s="75"/>
      <c r="K3" s="74"/>
      <c r="L3" s="75"/>
      <c r="M3" s="70"/>
      <c r="N3" s="71"/>
    </row>
    <row r="4" spans="1:14">
      <c r="A4" s="85" t="s">
        <v>165</v>
      </c>
      <c r="B4" s="86"/>
      <c r="C4" s="86"/>
      <c r="D4" s="87"/>
      <c r="E4" s="74"/>
      <c r="F4" s="75"/>
      <c r="G4" s="74"/>
      <c r="H4" s="75"/>
      <c r="I4" s="74"/>
      <c r="J4" s="75"/>
      <c r="K4" s="74"/>
      <c r="L4" s="75"/>
      <c r="M4" s="70"/>
      <c r="N4" s="71"/>
    </row>
    <row r="5" spans="1:14">
      <c r="A5" s="85" t="s">
        <v>166</v>
      </c>
      <c r="B5" s="86"/>
      <c r="C5" s="86"/>
      <c r="D5" s="87"/>
      <c r="E5" s="74"/>
      <c r="F5" s="75"/>
      <c r="G5" s="74"/>
      <c r="H5" s="75"/>
      <c r="I5" s="74"/>
      <c r="J5" s="75"/>
      <c r="K5" s="74"/>
      <c r="L5" s="75"/>
      <c r="M5" s="70"/>
      <c r="N5" s="71"/>
    </row>
    <row r="6" spans="1:14">
      <c r="A6" s="76">
        <f ca="1">TODAY()</f>
        <v>46042</v>
      </c>
      <c r="B6" s="77"/>
      <c r="C6" s="77"/>
      <c r="D6" s="78"/>
      <c r="E6" s="30"/>
      <c r="F6" s="31"/>
      <c r="G6" s="30"/>
      <c r="H6" s="31"/>
      <c r="I6" s="30"/>
      <c r="J6" s="31"/>
      <c r="K6" s="30"/>
      <c r="L6" s="31"/>
      <c r="M6" s="30"/>
      <c r="N6" s="31"/>
    </row>
    <row r="7" spans="1:14" ht="32.25" customHeight="1">
      <c r="A7" s="8" t="s">
        <v>15</v>
      </c>
      <c r="B7" s="12" t="s">
        <v>16</v>
      </c>
      <c r="C7" s="27" t="s">
        <v>17</v>
      </c>
      <c r="D7" s="12" t="s">
        <v>18</v>
      </c>
      <c r="E7" s="32" t="s">
        <v>19</v>
      </c>
      <c r="F7" s="32" t="s">
        <v>20</v>
      </c>
      <c r="G7" s="32" t="s">
        <v>19</v>
      </c>
      <c r="H7" s="32" t="s">
        <v>20</v>
      </c>
      <c r="I7" s="32" t="s">
        <v>19</v>
      </c>
      <c r="J7" s="32" t="s">
        <v>20</v>
      </c>
      <c r="K7" s="32" t="s">
        <v>19</v>
      </c>
      <c r="L7" s="32" t="s">
        <v>20</v>
      </c>
      <c r="M7" s="32" t="s">
        <v>19</v>
      </c>
      <c r="N7" s="32" t="s">
        <v>20</v>
      </c>
    </row>
    <row r="8" spans="1:14" ht="33" customHeight="1">
      <c r="A8" s="9" t="str">
        <f>'Base Bid Item List'!A20</f>
        <v>0001</v>
      </c>
      <c r="B8" s="37" t="str">
        <f>'Base Bid Item List'!B20</f>
        <v>Sweeper
(Section 012200)</v>
      </c>
      <c r="C8" s="39">
        <f>'Base Bid Item List'!C20</f>
        <v>1</v>
      </c>
      <c r="D8" s="13" t="str">
        <f>'Base Bid Item List'!D20</f>
        <v>LS</v>
      </c>
      <c r="E8" s="17">
        <v>385000</v>
      </c>
      <c r="F8" s="18">
        <f t="shared" ref="F8:F11" si="0">QTY*E8</f>
        <v>385000</v>
      </c>
      <c r="G8" s="17">
        <v>470000</v>
      </c>
      <c r="H8" s="18">
        <f t="shared" ref="H8:H11" si="1">QTY*G8</f>
        <v>470000</v>
      </c>
      <c r="I8" s="17">
        <v>610865</v>
      </c>
      <c r="J8" s="18">
        <f t="shared" ref="J8:J11" si="2">QTY*I8</f>
        <v>610865</v>
      </c>
      <c r="K8" s="17">
        <v>410000</v>
      </c>
      <c r="L8" s="18">
        <f t="shared" ref="L8:L11" si="3">QTY*K8</f>
        <v>410000</v>
      </c>
      <c r="M8" s="17">
        <v>191250</v>
      </c>
      <c r="N8" s="18">
        <f t="shared" ref="N8:N11" si="4">QTY*M8</f>
        <v>191250</v>
      </c>
    </row>
    <row r="9" spans="1:14" ht="33" customHeight="1">
      <c r="A9" s="9" t="str">
        <f>'Base Bid Item List'!A21</f>
        <v>0002</v>
      </c>
      <c r="B9" s="37" t="str">
        <f>'Base Bid Item List'!B21</f>
        <v>Security Control Monitoring
(Section 012200)</v>
      </c>
      <c r="C9" s="39">
        <f>'Base Bid Item List'!C21</f>
        <v>1</v>
      </c>
      <c r="D9" s="13" t="str">
        <f>'Base Bid Item List'!D21</f>
        <v>LS</v>
      </c>
      <c r="E9" s="17">
        <v>290000</v>
      </c>
      <c r="F9" s="18">
        <f t="shared" si="0"/>
        <v>290000</v>
      </c>
      <c r="G9" s="17">
        <v>10000</v>
      </c>
      <c r="H9" s="18">
        <f t="shared" si="1"/>
        <v>10000</v>
      </c>
      <c r="I9" s="17">
        <v>174000</v>
      </c>
      <c r="J9" s="18">
        <f t="shared" si="2"/>
        <v>174000</v>
      </c>
      <c r="K9" s="17">
        <v>65000</v>
      </c>
      <c r="L9" s="18">
        <f t="shared" si="3"/>
        <v>65000</v>
      </c>
      <c r="M9" s="17">
        <v>125000</v>
      </c>
      <c r="N9" s="18">
        <f t="shared" si="4"/>
        <v>125000</v>
      </c>
    </row>
    <row r="10" spans="1:14" ht="33" customHeight="1">
      <c r="A10" s="9" t="str">
        <f>'Base Bid Item List'!A22</f>
        <v>0003</v>
      </c>
      <c r="B10" s="37" t="str">
        <f>'Base Bid Item List'!B22</f>
        <v>Work Zone and Traffic Control 
(Section 012200)</v>
      </c>
      <c r="C10" s="39">
        <f>'Base Bid Item List'!C22</f>
        <v>1</v>
      </c>
      <c r="D10" s="13" t="str">
        <f>'Base Bid Item List'!D22</f>
        <v>LS</v>
      </c>
      <c r="E10" s="17">
        <v>275000</v>
      </c>
      <c r="F10" s="18">
        <f t="shared" si="0"/>
        <v>275000</v>
      </c>
      <c r="G10" s="17">
        <v>180000</v>
      </c>
      <c r="H10" s="18">
        <f t="shared" si="1"/>
        <v>180000</v>
      </c>
      <c r="I10" s="17">
        <v>561055</v>
      </c>
      <c r="J10" s="18">
        <f t="shared" si="2"/>
        <v>561055</v>
      </c>
      <c r="K10" s="17">
        <v>375000</v>
      </c>
      <c r="L10" s="18">
        <f t="shared" si="3"/>
        <v>375000</v>
      </c>
      <c r="M10" s="17">
        <v>200000</v>
      </c>
      <c r="N10" s="18">
        <f t="shared" si="4"/>
        <v>200000</v>
      </c>
    </row>
    <row r="11" spans="1:14" ht="33" customHeight="1">
      <c r="A11" s="9" t="str">
        <f>'Base Bid Item List'!A23</f>
        <v>0004</v>
      </c>
      <c r="B11" s="37" t="str">
        <f>'Base Bid Item List'!B23</f>
        <v>Escort 
(Section 012200)</v>
      </c>
      <c r="C11" s="39">
        <f>'Base Bid Item List'!C23</f>
        <v>1</v>
      </c>
      <c r="D11" s="13" t="str">
        <f>'Base Bid Item List'!D23</f>
        <v>LS</v>
      </c>
      <c r="E11" s="17">
        <v>260000</v>
      </c>
      <c r="F11" s="18">
        <f t="shared" si="0"/>
        <v>260000</v>
      </c>
      <c r="G11" s="17">
        <v>223000</v>
      </c>
      <c r="H11" s="18">
        <f t="shared" si="1"/>
        <v>223000</v>
      </c>
      <c r="I11" s="17">
        <v>586790</v>
      </c>
      <c r="J11" s="18">
        <f t="shared" si="2"/>
        <v>586790</v>
      </c>
      <c r="K11" s="17">
        <v>210000</v>
      </c>
      <c r="L11" s="18">
        <f t="shared" si="3"/>
        <v>210000</v>
      </c>
      <c r="M11" s="17">
        <v>168300</v>
      </c>
      <c r="N11" s="18">
        <f t="shared" si="4"/>
        <v>168300</v>
      </c>
    </row>
    <row r="12" spans="1:14" ht="33" customHeight="1">
      <c r="A12" s="9" t="str">
        <f>'Base Bid Item List'!A24</f>
        <v>0005</v>
      </c>
      <c r="B12" s="37" t="str">
        <f>'Base Bid Item List'!B24</f>
        <v>Inlet Protection
(Section 015713)</v>
      </c>
      <c r="C12" s="39">
        <f>'Base Bid Item List'!C24</f>
        <v>44</v>
      </c>
      <c r="D12" s="13" t="str">
        <f>'Base Bid Item List'!D24</f>
        <v>Each</v>
      </c>
      <c r="E12" s="17">
        <v>190</v>
      </c>
      <c r="F12" s="18">
        <f t="shared" ref="F12:F60" si="5">QTY*E12</f>
        <v>8360</v>
      </c>
      <c r="G12" s="17">
        <v>153</v>
      </c>
      <c r="H12" s="18">
        <f t="shared" ref="H12:H60" si="6">QTY*G12</f>
        <v>6732</v>
      </c>
      <c r="I12" s="17">
        <v>265</v>
      </c>
      <c r="J12" s="18">
        <f t="shared" ref="J12:J60" si="7">QTY*I12</f>
        <v>11660</v>
      </c>
      <c r="K12" s="17">
        <v>275</v>
      </c>
      <c r="L12" s="18">
        <f t="shared" ref="L12:L60" si="8">QTY*K12</f>
        <v>12100</v>
      </c>
      <c r="M12" s="17">
        <v>120</v>
      </c>
      <c r="N12" s="18">
        <f t="shared" ref="N12:N60" si="9">QTY*M12</f>
        <v>5280</v>
      </c>
    </row>
    <row r="13" spans="1:14" ht="33" customHeight="1">
      <c r="A13" s="9" t="str">
        <f>'Base Bid Item List'!A25</f>
        <v>0006</v>
      </c>
      <c r="B13" s="37" t="str">
        <f>'Base Bid Item List'!B25</f>
        <v>Mobilization
(Item C-105)</v>
      </c>
      <c r="C13" s="39">
        <f>'Base Bid Item List'!C25</f>
        <v>1</v>
      </c>
      <c r="D13" s="13" t="str">
        <f>'Base Bid Item List'!D25</f>
        <v>LS</v>
      </c>
      <c r="E13" s="17">
        <v>985721.74</v>
      </c>
      <c r="F13" s="18">
        <f t="shared" si="5"/>
        <v>985721.74</v>
      </c>
      <c r="G13" s="17">
        <v>920000</v>
      </c>
      <c r="H13" s="18">
        <f t="shared" si="6"/>
        <v>920000</v>
      </c>
      <c r="I13" s="17">
        <v>1112220</v>
      </c>
      <c r="J13" s="18">
        <f t="shared" si="7"/>
        <v>1112220</v>
      </c>
      <c r="K13" s="17">
        <v>950000</v>
      </c>
      <c r="L13" s="18">
        <f t="shared" si="8"/>
        <v>950000</v>
      </c>
      <c r="M13" s="17">
        <v>900162</v>
      </c>
      <c r="N13" s="18">
        <f t="shared" si="9"/>
        <v>900162</v>
      </c>
    </row>
    <row r="14" spans="1:14" ht="33" customHeight="1">
      <c r="A14" s="9" t="str">
        <f>'Base Bid Item List'!A26</f>
        <v>0007</v>
      </c>
      <c r="B14" s="37" t="str">
        <f>'Base Bid Item List'!B26</f>
        <v>Asphalt Pavement Removal - 16-Inch Depth
(Item P-101)</v>
      </c>
      <c r="C14" s="39">
        <f>'Base Bid Item List'!C26</f>
        <v>15000</v>
      </c>
      <c r="D14" s="13" t="str">
        <f>'Base Bid Item List'!D26</f>
        <v>SY</v>
      </c>
      <c r="E14" s="17">
        <v>28</v>
      </c>
      <c r="F14" s="18">
        <f t="shared" si="5"/>
        <v>420000</v>
      </c>
      <c r="G14" s="17">
        <v>21</v>
      </c>
      <c r="H14" s="18">
        <f t="shared" si="6"/>
        <v>315000</v>
      </c>
      <c r="I14" s="17">
        <v>50</v>
      </c>
      <c r="J14" s="18">
        <f t="shared" si="7"/>
        <v>750000</v>
      </c>
      <c r="K14" s="17">
        <v>18.899999999999999</v>
      </c>
      <c r="L14" s="18">
        <f t="shared" si="8"/>
        <v>283500</v>
      </c>
      <c r="M14" s="17">
        <v>25</v>
      </c>
      <c r="N14" s="18">
        <f t="shared" si="9"/>
        <v>375000</v>
      </c>
    </row>
    <row r="15" spans="1:14" ht="33" customHeight="1">
      <c r="A15" s="9" t="str">
        <f>'Base Bid Item List'!A27</f>
        <v>0008</v>
      </c>
      <c r="B15" s="37" t="str">
        <f>'Base Bid Item List'!B27</f>
        <v>Cold Milling - 2- to 4-Inch Depth 
(Item P-101)</v>
      </c>
      <c r="C15" s="39">
        <f>'Base Bid Item List'!C27</f>
        <v>74000</v>
      </c>
      <c r="D15" s="13" t="str">
        <f>'Base Bid Item List'!D27</f>
        <v>SY</v>
      </c>
      <c r="E15" s="17">
        <v>6</v>
      </c>
      <c r="F15" s="18">
        <f t="shared" si="5"/>
        <v>444000</v>
      </c>
      <c r="G15" s="17">
        <v>3.25</v>
      </c>
      <c r="H15" s="18">
        <f t="shared" si="6"/>
        <v>240500</v>
      </c>
      <c r="I15" s="17">
        <v>9.5</v>
      </c>
      <c r="J15" s="18">
        <f t="shared" si="7"/>
        <v>703000</v>
      </c>
      <c r="K15" s="17">
        <v>4.25</v>
      </c>
      <c r="L15" s="18">
        <f t="shared" si="8"/>
        <v>314500</v>
      </c>
      <c r="M15" s="17">
        <v>5.5</v>
      </c>
      <c r="N15" s="18">
        <f t="shared" si="9"/>
        <v>407000</v>
      </c>
    </row>
    <row r="16" spans="1:14" ht="33" customHeight="1">
      <c r="A16" s="9" t="str">
        <f>'Base Bid Item List'!A28</f>
        <v>0009</v>
      </c>
      <c r="B16" s="37" t="str">
        <f>'Base Bid Item List'!B28</f>
        <v>Removal of Pipe and Other Buried Structures
(Item P-101)</v>
      </c>
      <c r="C16" s="39">
        <f>'Base Bid Item List'!C28</f>
        <v>1</v>
      </c>
      <c r="D16" s="13" t="str">
        <f>'Base Bid Item List'!D28</f>
        <v>LS</v>
      </c>
      <c r="E16" s="17">
        <v>20000</v>
      </c>
      <c r="F16" s="18">
        <f t="shared" si="5"/>
        <v>20000</v>
      </c>
      <c r="G16" s="17">
        <v>47000</v>
      </c>
      <c r="H16" s="18">
        <f t="shared" si="6"/>
        <v>47000</v>
      </c>
      <c r="I16" s="17">
        <v>88418</v>
      </c>
      <c r="J16" s="18">
        <f t="shared" si="7"/>
        <v>88418</v>
      </c>
      <c r="K16" s="17">
        <v>100000</v>
      </c>
      <c r="L16" s="18">
        <f t="shared" si="8"/>
        <v>100000</v>
      </c>
      <c r="M16" s="17">
        <v>75000</v>
      </c>
      <c r="N16" s="18">
        <f t="shared" si="9"/>
        <v>75000</v>
      </c>
    </row>
    <row r="17" spans="1:14" ht="33" customHeight="1">
      <c r="A17" s="9" t="str">
        <f>'Base Bid Item List'!A29</f>
        <v>0010</v>
      </c>
      <c r="B17" s="37" t="str">
        <f>'Base Bid Item List'!B29</f>
        <v>Unclassified Excavation
(Item P-152)</v>
      </c>
      <c r="C17" s="39">
        <f>'Base Bid Item List'!C29</f>
        <v>4900</v>
      </c>
      <c r="D17" s="13" t="str">
        <f>'Base Bid Item List'!D29</f>
        <v>CY</v>
      </c>
      <c r="E17" s="17">
        <v>65</v>
      </c>
      <c r="F17" s="18">
        <f t="shared" si="5"/>
        <v>318500</v>
      </c>
      <c r="G17" s="17">
        <v>19</v>
      </c>
      <c r="H17" s="18">
        <f t="shared" si="6"/>
        <v>93100</v>
      </c>
      <c r="I17" s="17">
        <v>49</v>
      </c>
      <c r="J17" s="18">
        <f t="shared" si="7"/>
        <v>240100</v>
      </c>
      <c r="K17" s="17">
        <v>60</v>
      </c>
      <c r="L17" s="18">
        <f t="shared" si="8"/>
        <v>294000</v>
      </c>
      <c r="M17" s="17">
        <v>60</v>
      </c>
      <c r="N17" s="18">
        <f t="shared" si="9"/>
        <v>294000</v>
      </c>
    </row>
    <row r="18" spans="1:14" ht="33" customHeight="1">
      <c r="A18" s="9" t="str">
        <f>'Base Bid Item List'!A30</f>
        <v>0011</v>
      </c>
      <c r="B18" s="37" t="str">
        <f>'Base Bid Item List'!B30</f>
        <v>Existing Subgrade Stabilzation 
(Item P-152)</v>
      </c>
      <c r="C18" s="39">
        <f>'Base Bid Item List'!C30</f>
        <v>500</v>
      </c>
      <c r="D18" s="13" t="str">
        <f>'Base Bid Item List'!D30</f>
        <v>CY</v>
      </c>
      <c r="E18" s="17">
        <v>180</v>
      </c>
      <c r="F18" s="18">
        <f t="shared" si="5"/>
        <v>90000</v>
      </c>
      <c r="G18" s="17">
        <v>105</v>
      </c>
      <c r="H18" s="18">
        <f t="shared" si="6"/>
        <v>52500</v>
      </c>
      <c r="I18" s="17">
        <v>157</v>
      </c>
      <c r="J18" s="18">
        <f t="shared" si="7"/>
        <v>78500</v>
      </c>
      <c r="K18" s="17">
        <v>190</v>
      </c>
      <c r="L18" s="18">
        <f t="shared" si="8"/>
        <v>95000</v>
      </c>
      <c r="M18" s="17">
        <v>100</v>
      </c>
      <c r="N18" s="18">
        <f t="shared" si="9"/>
        <v>50000</v>
      </c>
    </row>
    <row r="19" spans="1:14" ht="33" customHeight="1">
      <c r="A19" s="9" t="str">
        <f>'Base Bid Item List'!A31</f>
        <v>0012</v>
      </c>
      <c r="B19" s="37" t="str">
        <f>'Base Bid Item List'!B31</f>
        <v>Controlled Low-Strength Material (CLSM)
(Item P-153)</v>
      </c>
      <c r="C19" s="39">
        <f>'Base Bid Item List'!C31</f>
        <v>226</v>
      </c>
      <c r="D19" s="13" t="str">
        <f>'Base Bid Item List'!D31</f>
        <v>CY</v>
      </c>
      <c r="E19" s="17">
        <v>160</v>
      </c>
      <c r="F19" s="18">
        <f t="shared" si="5"/>
        <v>36160</v>
      </c>
      <c r="G19" s="17">
        <v>250</v>
      </c>
      <c r="H19" s="18">
        <f t="shared" si="6"/>
        <v>56500</v>
      </c>
      <c r="I19" s="17">
        <v>400</v>
      </c>
      <c r="J19" s="18">
        <f t="shared" si="7"/>
        <v>90400</v>
      </c>
      <c r="K19" s="17">
        <v>400</v>
      </c>
      <c r="L19" s="18">
        <f t="shared" si="8"/>
        <v>90400</v>
      </c>
      <c r="M19" s="17">
        <v>350</v>
      </c>
      <c r="N19" s="18">
        <f t="shared" si="9"/>
        <v>79100</v>
      </c>
    </row>
    <row r="20" spans="1:14" ht="33" customHeight="1">
      <c r="A20" s="9" t="str">
        <f>'Base Bid Item List'!A32</f>
        <v>0013</v>
      </c>
      <c r="B20" s="37" t="str">
        <f>'Base Bid Item List'!B32</f>
        <v>Crushed Aggregate Base Course
(Item P-209)</v>
      </c>
      <c r="C20" s="39">
        <f>'Base Bid Item List'!C32</f>
        <v>4500</v>
      </c>
      <c r="D20" s="13" t="str">
        <f>'Base Bid Item List'!D32</f>
        <v>CY</v>
      </c>
      <c r="E20" s="17">
        <v>150</v>
      </c>
      <c r="F20" s="18">
        <f t="shared" si="5"/>
        <v>675000</v>
      </c>
      <c r="G20" s="17">
        <v>94</v>
      </c>
      <c r="H20" s="18">
        <f t="shared" si="6"/>
        <v>423000</v>
      </c>
      <c r="I20" s="17">
        <v>103</v>
      </c>
      <c r="J20" s="18">
        <f t="shared" si="7"/>
        <v>463500</v>
      </c>
      <c r="K20" s="17">
        <v>125</v>
      </c>
      <c r="L20" s="18">
        <f t="shared" si="8"/>
        <v>562500</v>
      </c>
      <c r="M20" s="17">
        <v>2.75</v>
      </c>
      <c r="N20" s="18">
        <f t="shared" si="9"/>
        <v>12375</v>
      </c>
    </row>
    <row r="21" spans="1:14" ht="33" customHeight="1">
      <c r="A21" s="9" t="str">
        <f>'Base Bid Item List'!A33</f>
        <v>0014</v>
      </c>
      <c r="B21" s="37" t="str">
        <f>'Base Bid Item List'!B33</f>
        <v>Separation Geotextile
(Item P-209)</v>
      </c>
      <c r="C21" s="39">
        <f>'Base Bid Item List'!C33</f>
        <v>15000</v>
      </c>
      <c r="D21" s="13" t="str">
        <f>'Base Bid Item List'!D33</f>
        <v>SY</v>
      </c>
      <c r="E21" s="17">
        <v>1.5</v>
      </c>
      <c r="F21" s="18">
        <f t="shared" si="5"/>
        <v>22500</v>
      </c>
      <c r="G21" s="17">
        <v>1.3</v>
      </c>
      <c r="H21" s="18">
        <f t="shared" si="6"/>
        <v>19500</v>
      </c>
      <c r="I21" s="17">
        <v>2.25</v>
      </c>
      <c r="J21" s="18">
        <f t="shared" si="7"/>
        <v>33750</v>
      </c>
      <c r="K21" s="17">
        <v>2.75</v>
      </c>
      <c r="L21" s="18">
        <f t="shared" si="8"/>
        <v>41250</v>
      </c>
      <c r="M21" s="17">
        <v>2.75</v>
      </c>
      <c r="N21" s="18">
        <f t="shared" si="9"/>
        <v>41250</v>
      </c>
    </row>
    <row r="22" spans="1:14" ht="33" customHeight="1">
      <c r="A22" s="9" t="str">
        <f>'Base Bid Item List'!A34</f>
        <v>0015</v>
      </c>
      <c r="B22" s="37" t="str">
        <f>'Base Bid Item List'!B34</f>
        <v>Asphalt Surface Course
(Item P-401)</v>
      </c>
      <c r="C22" s="39">
        <f>'Base Bid Item List'!C34</f>
        <v>17100</v>
      </c>
      <c r="D22" s="13" t="str">
        <f>'Base Bid Item List'!D34</f>
        <v>Ton</v>
      </c>
      <c r="E22" s="17">
        <v>118</v>
      </c>
      <c r="F22" s="18">
        <f t="shared" si="5"/>
        <v>2017800</v>
      </c>
      <c r="G22" s="17">
        <v>161</v>
      </c>
      <c r="H22" s="18">
        <f t="shared" si="6"/>
        <v>2753100</v>
      </c>
      <c r="I22" s="17">
        <v>140</v>
      </c>
      <c r="J22" s="18">
        <f t="shared" si="7"/>
        <v>2394000</v>
      </c>
      <c r="K22" s="17">
        <v>135</v>
      </c>
      <c r="L22" s="18">
        <f t="shared" si="8"/>
        <v>2308500</v>
      </c>
      <c r="M22" s="17">
        <v>170</v>
      </c>
      <c r="N22" s="18">
        <f t="shared" si="9"/>
        <v>2907000</v>
      </c>
    </row>
    <row r="23" spans="1:14" ht="33" customHeight="1">
      <c r="A23" s="9" t="str">
        <f>'Base Bid Item List'!A35</f>
        <v>0016</v>
      </c>
      <c r="B23" s="37" t="str">
        <f>'Base Bid Item List'!B35</f>
        <v>Asphalt Mixture Base and Surface Course (Item P-403)</v>
      </c>
      <c r="C23" s="39">
        <f>'Base Bid Item List'!C35</f>
        <v>11500</v>
      </c>
      <c r="D23" s="13" t="str">
        <f>'Base Bid Item List'!D35</f>
        <v>Ton</v>
      </c>
      <c r="E23" s="17">
        <v>168</v>
      </c>
      <c r="F23" s="18">
        <f t="shared" si="5"/>
        <v>1932000</v>
      </c>
      <c r="G23" s="17">
        <v>161</v>
      </c>
      <c r="H23" s="18">
        <f t="shared" si="6"/>
        <v>1851500</v>
      </c>
      <c r="I23" s="17">
        <v>140</v>
      </c>
      <c r="J23" s="18">
        <f t="shared" si="7"/>
        <v>1610000</v>
      </c>
      <c r="K23" s="17">
        <v>135</v>
      </c>
      <c r="L23" s="18">
        <f t="shared" si="8"/>
        <v>1552500</v>
      </c>
      <c r="M23" s="17">
        <v>170</v>
      </c>
      <c r="N23" s="18">
        <f t="shared" si="9"/>
        <v>1955000</v>
      </c>
    </row>
    <row r="24" spans="1:14" ht="33" customHeight="1">
      <c r="A24" s="9" t="str">
        <f>'Base Bid Item List'!A36</f>
        <v>0017</v>
      </c>
      <c r="B24" s="37" t="str">
        <f>'Base Bid Item List'!B36</f>
        <v>Emulsified Asphalt Tack Coat
(Item P-603)</v>
      </c>
      <c r="C24" s="39">
        <f>'Base Bid Item List'!C36</f>
        <v>4300</v>
      </c>
      <c r="D24" s="13" t="str">
        <f>'Base Bid Item List'!D36</f>
        <v>Gal</v>
      </c>
      <c r="E24" s="17">
        <v>17</v>
      </c>
      <c r="F24" s="18">
        <f t="shared" si="5"/>
        <v>73100</v>
      </c>
      <c r="G24" s="17">
        <v>12</v>
      </c>
      <c r="H24" s="18">
        <f t="shared" si="6"/>
        <v>51600</v>
      </c>
      <c r="I24" s="17">
        <v>10.5</v>
      </c>
      <c r="J24" s="18">
        <f t="shared" si="7"/>
        <v>45150</v>
      </c>
      <c r="K24" s="17">
        <v>10.5</v>
      </c>
      <c r="L24" s="18">
        <f t="shared" si="8"/>
        <v>45150</v>
      </c>
      <c r="M24" s="17">
        <v>2.5</v>
      </c>
      <c r="N24" s="18">
        <f t="shared" si="9"/>
        <v>10750</v>
      </c>
    </row>
    <row r="25" spans="1:14" ht="33" customHeight="1">
      <c r="A25" s="9" t="str">
        <f>'Base Bid Item List'!A37</f>
        <v>0018</v>
      </c>
      <c r="B25" s="37" t="str">
        <f>'Base Bid Item List'!B37</f>
        <v>Joint Sealing Filler                                       (Item P-605)</v>
      </c>
      <c r="C25" s="39">
        <f>'Base Bid Item List'!C37</f>
        <v>79</v>
      </c>
      <c r="D25" s="13" t="str">
        <f>'Base Bid Item List'!D37</f>
        <v>Gal</v>
      </c>
      <c r="E25" s="17">
        <v>131.18</v>
      </c>
      <c r="F25" s="18">
        <f t="shared" si="5"/>
        <v>10363.220000000001</v>
      </c>
      <c r="G25" s="17">
        <v>127</v>
      </c>
      <c r="H25" s="18">
        <f t="shared" si="6"/>
        <v>10033</v>
      </c>
      <c r="I25" s="17">
        <v>110</v>
      </c>
      <c r="J25" s="18">
        <f t="shared" si="7"/>
        <v>8690</v>
      </c>
      <c r="K25" s="17">
        <v>136</v>
      </c>
      <c r="L25" s="18">
        <f t="shared" si="8"/>
        <v>10744</v>
      </c>
      <c r="M25" s="17">
        <v>240</v>
      </c>
      <c r="N25" s="18">
        <f t="shared" si="9"/>
        <v>18960</v>
      </c>
    </row>
    <row r="26" spans="1:14" ht="33" customHeight="1">
      <c r="A26" s="9" t="str">
        <f>'Base Bid Item List'!A38</f>
        <v>0019</v>
      </c>
      <c r="B26" s="37" t="str">
        <f>'Base Bid Item List'!B38</f>
        <v>Adhesive Compound  
(Item P-606)</v>
      </c>
      <c r="C26" s="39">
        <f>'Base Bid Item List'!C38</f>
        <v>160</v>
      </c>
      <c r="D26" s="13" t="str">
        <f>'Base Bid Item List'!D38</f>
        <v>Gal</v>
      </c>
      <c r="E26" s="17">
        <v>262.36</v>
      </c>
      <c r="F26" s="18">
        <f t="shared" si="5"/>
        <v>41977.600000000006</v>
      </c>
      <c r="G26" s="17">
        <v>254</v>
      </c>
      <c r="H26" s="18">
        <f t="shared" si="6"/>
        <v>40640</v>
      </c>
      <c r="I26" s="17">
        <v>220</v>
      </c>
      <c r="J26" s="18">
        <f t="shared" si="7"/>
        <v>35200</v>
      </c>
      <c r="K26" s="17">
        <v>270</v>
      </c>
      <c r="L26" s="18">
        <f t="shared" si="8"/>
        <v>43200</v>
      </c>
      <c r="M26" s="17">
        <v>260</v>
      </c>
      <c r="N26" s="18">
        <f t="shared" si="9"/>
        <v>41600</v>
      </c>
    </row>
    <row r="27" spans="1:14" ht="33" customHeight="1">
      <c r="A27" s="9" t="str">
        <f>'Base Bid Item List'!A39</f>
        <v>0020</v>
      </c>
      <c r="B27" s="37" t="str">
        <f>'Base Bid Item List'!B39</f>
        <v>Concrete                                                   (Item P-610)</v>
      </c>
      <c r="C27" s="39">
        <f>'Base Bid Item List'!C39</f>
        <v>55</v>
      </c>
      <c r="D27" s="13" t="str">
        <f>'Base Bid Item List'!D39</f>
        <v>CY</v>
      </c>
      <c r="E27" s="17">
        <v>245</v>
      </c>
      <c r="F27" s="18">
        <f t="shared" si="5"/>
        <v>13475</v>
      </c>
      <c r="G27" s="17">
        <v>636</v>
      </c>
      <c r="H27" s="18">
        <f t="shared" si="6"/>
        <v>34980</v>
      </c>
      <c r="I27" s="17">
        <v>550</v>
      </c>
      <c r="J27" s="18">
        <f t="shared" si="7"/>
        <v>30250</v>
      </c>
      <c r="K27" s="17">
        <v>675</v>
      </c>
      <c r="L27" s="18">
        <f t="shared" si="8"/>
        <v>37125</v>
      </c>
      <c r="M27" s="17">
        <v>300</v>
      </c>
      <c r="N27" s="18">
        <f t="shared" si="9"/>
        <v>16500</v>
      </c>
    </row>
    <row r="28" spans="1:14" ht="33" customHeight="1">
      <c r="A28" s="9" t="str">
        <f>'Base Bid Item List'!A40</f>
        <v>0021</v>
      </c>
      <c r="B28" s="37" t="str">
        <f>'Base Bid Item List'!B40</f>
        <v>Surface Preparation - Marking Removal
(Item P-620)</v>
      </c>
      <c r="C28" s="39">
        <f>'Base Bid Item List'!C40</f>
        <v>7800</v>
      </c>
      <c r="D28" s="13" t="str">
        <f>'Base Bid Item List'!D40</f>
        <v>SF</v>
      </c>
      <c r="E28" s="17">
        <v>0.71</v>
      </c>
      <c r="F28" s="18">
        <f t="shared" si="5"/>
        <v>5538</v>
      </c>
      <c r="G28" s="17">
        <v>0.72</v>
      </c>
      <c r="H28" s="18">
        <f t="shared" si="6"/>
        <v>5616</v>
      </c>
      <c r="I28" s="17">
        <v>0.62</v>
      </c>
      <c r="J28" s="18">
        <f t="shared" si="7"/>
        <v>4836</v>
      </c>
      <c r="K28" s="17">
        <v>1</v>
      </c>
      <c r="L28" s="18">
        <f t="shared" si="8"/>
        <v>7800</v>
      </c>
      <c r="M28" s="17">
        <v>1.5</v>
      </c>
      <c r="N28" s="18">
        <f t="shared" si="9"/>
        <v>11700</v>
      </c>
    </row>
    <row r="29" spans="1:14" ht="33" customHeight="1">
      <c r="A29" s="9" t="str">
        <f>'Base Bid Item List'!A41</f>
        <v>0022</v>
      </c>
      <c r="B29" s="37" t="str">
        <f>'Base Bid Item List'!B41</f>
        <v>Surface Preparation - Remove Existing Markings
(Item P-620)</v>
      </c>
      <c r="C29" s="39">
        <f>'Base Bid Item List'!C41</f>
        <v>62300</v>
      </c>
      <c r="D29" s="13" t="str">
        <f>'Base Bid Item List'!D41</f>
        <v>SF</v>
      </c>
      <c r="E29" s="17">
        <v>1.22</v>
      </c>
      <c r="F29" s="18">
        <f t="shared" si="5"/>
        <v>76006</v>
      </c>
      <c r="G29" s="17">
        <v>0.72</v>
      </c>
      <c r="H29" s="18">
        <f t="shared" si="6"/>
        <v>44856</v>
      </c>
      <c r="I29" s="17">
        <v>0.62</v>
      </c>
      <c r="J29" s="18">
        <f t="shared" si="7"/>
        <v>38626</v>
      </c>
      <c r="K29" s="17">
        <v>1</v>
      </c>
      <c r="L29" s="18">
        <f t="shared" si="8"/>
        <v>62300</v>
      </c>
      <c r="M29" s="17">
        <v>0.25</v>
      </c>
      <c r="N29" s="18">
        <f t="shared" si="9"/>
        <v>15575</v>
      </c>
    </row>
    <row r="30" spans="1:14" ht="33" customHeight="1">
      <c r="A30" s="9" t="str">
        <f>'Base Bid Item List'!A42</f>
        <v>0023</v>
      </c>
      <c r="B30" s="37" t="str">
        <f>'Base Bid Item List'!B42</f>
        <v>Marking
(Item P-620)</v>
      </c>
      <c r="C30" s="39">
        <f>'Base Bid Item List'!C42</f>
        <v>105800</v>
      </c>
      <c r="D30" s="13" t="str">
        <f>'Base Bid Item List'!D42</f>
        <v>SF</v>
      </c>
      <c r="E30" s="17">
        <v>2</v>
      </c>
      <c r="F30" s="18">
        <f t="shared" si="5"/>
        <v>211600</v>
      </c>
      <c r="G30" s="17">
        <v>1.85</v>
      </c>
      <c r="H30" s="18">
        <f t="shared" si="6"/>
        <v>195730</v>
      </c>
      <c r="I30" s="17">
        <v>1.6</v>
      </c>
      <c r="J30" s="18">
        <f t="shared" si="7"/>
        <v>169280</v>
      </c>
      <c r="K30" s="17">
        <v>2</v>
      </c>
      <c r="L30" s="18">
        <f t="shared" si="8"/>
        <v>211600</v>
      </c>
      <c r="M30" s="17">
        <v>1</v>
      </c>
      <c r="N30" s="18">
        <f t="shared" si="9"/>
        <v>105800</v>
      </c>
    </row>
    <row r="31" spans="1:14" ht="33" customHeight="1">
      <c r="A31" s="9" t="str">
        <f>'Base Bid Item List'!A43</f>
        <v>0024</v>
      </c>
      <c r="B31" s="37" t="str">
        <f>'Base Bid Item List'!B43</f>
        <v>Reflective Media
(Item P-620)</v>
      </c>
      <c r="C31" s="39">
        <f>'Base Bid Item List'!C43</f>
        <v>3500</v>
      </c>
      <c r="D31" s="13" t="str">
        <f>'Base Bid Item List'!D43</f>
        <v>LB</v>
      </c>
      <c r="E31" s="17">
        <v>0.75</v>
      </c>
      <c r="F31" s="18">
        <f t="shared" si="5"/>
        <v>2625</v>
      </c>
      <c r="G31" s="17">
        <v>0.75</v>
      </c>
      <c r="H31" s="18">
        <f t="shared" si="6"/>
        <v>2625</v>
      </c>
      <c r="I31" s="17">
        <v>0.65</v>
      </c>
      <c r="J31" s="18">
        <f t="shared" si="7"/>
        <v>2275</v>
      </c>
      <c r="K31" s="17">
        <v>0.8</v>
      </c>
      <c r="L31" s="18">
        <f t="shared" si="8"/>
        <v>2800</v>
      </c>
      <c r="M31" s="17">
        <v>2</v>
      </c>
      <c r="N31" s="18">
        <f t="shared" si="9"/>
        <v>7000</v>
      </c>
    </row>
    <row r="32" spans="1:14" ht="33" customHeight="1">
      <c r="A32" s="9" t="str">
        <f>'Base Bid Item List'!A44</f>
        <v>0025</v>
      </c>
      <c r="B32" s="37" t="str">
        <f>'Base Bid Item List'!B44</f>
        <v>Temporary Runway and Taxiway Marking
(Item P-620)</v>
      </c>
      <c r="C32" s="39">
        <f>'Base Bid Item List'!C44</f>
        <v>67500</v>
      </c>
      <c r="D32" s="13" t="str">
        <f>'Base Bid Item List'!D44</f>
        <v>SF</v>
      </c>
      <c r="E32" s="17">
        <v>2</v>
      </c>
      <c r="F32" s="18">
        <f t="shared" si="5"/>
        <v>135000</v>
      </c>
      <c r="G32" s="17">
        <v>1.85</v>
      </c>
      <c r="H32" s="18">
        <f t="shared" si="6"/>
        <v>124875</v>
      </c>
      <c r="I32" s="17">
        <v>2.6</v>
      </c>
      <c r="J32" s="18">
        <f t="shared" si="7"/>
        <v>175500</v>
      </c>
      <c r="K32" s="17">
        <v>2</v>
      </c>
      <c r="L32" s="18">
        <f t="shared" si="8"/>
        <v>135000</v>
      </c>
      <c r="M32" s="17">
        <v>1</v>
      </c>
      <c r="N32" s="18">
        <f t="shared" si="9"/>
        <v>67500</v>
      </c>
    </row>
    <row r="33" spans="1:14" ht="33" customHeight="1">
      <c r="A33" s="9" t="str">
        <f>'Base Bid Item List'!A45</f>
        <v>0026</v>
      </c>
      <c r="B33" s="37" t="str">
        <f>'Base Bid Item List'!B45</f>
        <v>Preformed Markings
(Item P-620)</v>
      </c>
      <c r="C33" s="39">
        <f>'Base Bid Item List'!C45</f>
        <v>3950</v>
      </c>
      <c r="D33" s="13" t="str">
        <f>'Base Bid Item List'!D45</f>
        <v>SF</v>
      </c>
      <c r="E33" s="17">
        <v>50</v>
      </c>
      <c r="F33" s="18">
        <f t="shared" si="5"/>
        <v>197500</v>
      </c>
      <c r="G33" s="17">
        <v>44</v>
      </c>
      <c r="H33" s="18">
        <f t="shared" si="6"/>
        <v>173800</v>
      </c>
      <c r="I33" s="17">
        <v>38</v>
      </c>
      <c r="J33" s="18">
        <f t="shared" si="7"/>
        <v>150100</v>
      </c>
      <c r="K33" s="17">
        <v>46</v>
      </c>
      <c r="L33" s="18">
        <f t="shared" si="8"/>
        <v>181700</v>
      </c>
      <c r="M33" s="17">
        <v>10</v>
      </c>
      <c r="N33" s="18">
        <f t="shared" si="9"/>
        <v>39500</v>
      </c>
    </row>
    <row r="34" spans="1:14" ht="33" customHeight="1">
      <c r="A34" s="9" t="str">
        <f>'Base Bid Item List'!A46</f>
        <v>0027</v>
      </c>
      <c r="B34" s="37" t="str">
        <f>'Base Bid Item List'!B46</f>
        <v>Grooving 
(Item P-621)</v>
      </c>
      <c r="C34" s="39">
        <f>'Base Bid Item List'!C46</f>
        <v>1600</v>
      </c>
      <c r="D34" s="13" t="str">
        <f>'Base Bid Item List'!D46</f>
        <v>SY</v>
      </c>
      <c r="E34" s="17">
        <v>40</v>
      </c>
      <c r="F34" s="18">
        <f t="shared" si="5"/>
        <v>64000</v>
      </c>
      <c r="G34" s="17">
        <v>30</v>
      </c>
      <c r="H34" s="18">
        <f t="shared" si="6"/>
        <v>48000</v>
      </c>
      <c r="I34" s="17">
        <v>26</v>
      </c>
      <c r="J34" s="18">
        <f t="shared" si="7"/>
        <v>41600</v>
      </c>
      <c r="K34" s="17">
        <v>50</v>
      </c>
      <c r="L34" s="18">
        <f t="shared" si="8"/>
        <v>80000</v>
      </c>
      <c r="M34" s="17">
        <v>10</v>
      </c>
      <c r="N34" s="18">
        <f t="shared" si="9"/>
        <v>16000</v>
      </c>
    </row>
    <row r="35" spans="1:14" ht="33" customHeight="1">
      <c r="A35" s="9" t="str">
        <f>'Base Bid Item List'!A47</f>
        <v>0028</v>
      </c>
      <c r="B35" s="37" t="str">
        <f>'Base Bid Item List'!B47</f>
        <v>12-Inch STS
(Item D-701)</v>
      </c>
      <c r="C35" s="39">
        <f>'Base Bid Item List'!C47</f>
        <v>189</v>
      </c>
      <c r="D35" s="13" t="str">
        <f>'Base Bid Item List'!D47</f>
        <v>LF</v>
      </c>
      <c r="E35" s="17">
        <v>107.65</v>
      </c>
      <c r="F35" s="18">
        <f t="shared" si="5"/>
        <v>20345.850000000002</v>
      </c>
      <c r="G35" s="17">
        <v>101</v>
      </c>
      <c r="H35" s="18">
        <f t="shared" si="6"/>
        <v>19089</v>
      </c>
      <c r="I35" s="17">
        <v>198</v>
      </c>
      <c r="J35" s="18">
        <f t="shared" si="7"/>
        <v>37422</v>
      </c>
      <c r="K35" s="17">
        <v>245</v>
      </c>
      <c r="L35" s="18">
        <f t="shared" si="8"/>
        <v>46305</v>
      </c>
      <c r="M35" s="17">
        <v>125</v>
      </c>
      <c r="N35" s="18">
        <f t="shared" si="9"/>
        <v>23625</v>
      </c>
    </row>
    <row r="36" spans="1:14" ht="33" customHeight="1">
      <c r="A36" s="9" t="str">
        <f>'Base Bid Item List'!A48</f>
        <v>0029</v>
      </c>
      <c r="B36" s="37" t="str">
        <f>'Base Bid Item List'!B48</f>
        <v>18-Inch STS
(Item D-701)</v>
      </c>
      <c r="C36" s="39">
        <f>'Base Bid Item List'!C48</f>
        <v>264</v>
      </c>
      <c r="D36" s="13" t="str">
        <f>'Base Bid Item List'!D48</f>
        <v>LF</v>
      </c>
      <c r="E36" s="17">
        <v>169.16</v>
      </c>
      <c r="F36" s="18">
        <f t="shared" si="5"/>
        <v>44658.239999999998</v>
      </c>
      <c r="G36" s="17">
        <v>133</v>
      </c>
      <c r="H36" s="18">
        <f t="shared" si="6"/>
        <v>35112</v>
      </c>
      <c r="I36" s="17">
        <v>521</v>
      </c>
      <c r="J36" s="18">
        <f t="shared" si="7"/>
        <v>137544</v>
      </c>
      <c r="K36" s="17">
        <v>625</v>
      </c>
      <c r="L36" s="18">
        <f t="shared" si="8"/>
        <v>165000</v>
      </c>
      <c r="M36" s="17">
        <v>150</v>
      </c>
      <c r="N36" s="18">
        <f t="shared" si="9"/>
        <v>39600</v>
      </c>
    </row>
    <row r="37" spans="1:14" ht="33" customHeight="1">
      <c r="A37" s="9" t="str">
        <f>'Base Bid Item List'!A49</f>
        <v>0030</v>
      </c>
      <c r="B37" s="37" t="str">
        <f>'Base Bid Item List'!B49</f>
        <v>Manholes
(Item D-751)</v>
      </c>
      <c r="C37" s="39">
        <f>'Base Bid Item List'!C49</f>
        <v>1</v>
      </c>
      <c r="D37" s="13" t="str">
        <f>'Base Bid Item List'!D49</f>
        <v>Each</v>
      </c>
      <c r="E37" s="17">
        <v>8343.15</v>
      </c>
      <c r="F37" s="18">
        <f t="shared" si="5"/>
        <v>8343.15</v>
      </c>
      <c r="G37" s="17">
        <v>13700</v>
      </c>
      <c r="H37" s="18">
        <f t="shared" si="6"/>
        <v>13700</v>
      </c>
      <c r="I37" s="17">
        <v>13000</v>
      </c>
      <c r="J37" s="18">
        <f t="shared" si="7"/>
        <v>13000</v>
      </c>
      <c r="K37" s="17">
        <v>15000</v>
      </c>
      <c r="L37" s="18">
        <f t="shared" si="8"/>
        <v>15000</v>
      </c>
      <c r="M37" s="17">
        <v>15000</v>
      </c>
      <c r="N37" s="18">
        <f t="shared" si="9"/>
        <v>15000</v>
      </c>
    </row>
    <row r="38" spans="1:14" ht="33" customHeight="1">
      <c r="A38" s="9" t="str">
        <f>'Base Bid Item List'!A50</f>
        <v>0031</v>
      </c>
      <c r="B38" s="37" t="str">
        <f>'Base Bid Item List'!B50</f>
        <v>Catch Basins
(Item D-751)</v>
      </c>
      <c r="C38" s="39">
        <f>'Base Bid Item List'!C50</f>
        <v>2</v>
      </c>
      <c r="D38" s="13" t="str">
        <f>'Base Bid Item List'!D50</f>
        <v>Each</v>
      </c>
      <c r="E38" s="17">
        <v>5352.66</v>
      </c>
      <c r="F38" s="18">
        <f t="shared" si="5"/>
        <v>10705.32</v>
      </c>
      <c r="G38" s="17">
        <v>8100</v>
      </c>
      <c r="H38" s="18">
        <f t="shared" si="6"/>
        <v>16200</v>
      </c>
      <c r="I38" s="17">
        <v>9100</v>
      </c>
      <c r="J38" s="18">
        <f t="shared" si="7"/>
        <v>18200</v>
      </c>
      <c r="K38" s="17">
        <v>12000</v>
      </c>
      <c r="L38" s="18">
        <f t="shared" si="8"/>
        <v>24000</v>
      </c>
      <c r="M38" s="17">
        <v>8000</v>
      </c>
      <c r="N38" s="18">
        <f t="shared" si="9"/>
        <v>16000</v>
      </c>
    </row>
    <row r="39" spans="1:14" ht="33" customHeight="1">
      <c r="A39" s="9" t="str">
        <f>'Base Bid Item List'!A51</f>
        <v>0032</v>
      </c>
      <c r="B39" s="37" t="str">
        <f>'Base Bid Item List'!B51</f>
        <v>Existing Manhole Adjustment to Grade - Minor Adjustment
(Section 312300)</v>
      </c>
      <c r="C39" s="39">
        <f>'Base Bid Item List'!C51</f>
        <v>5</v>
      </c>
      <c r="D39" s="13" t="str">
        <f>'Base Bid Item List'!D51</f>
        <v>Each</v>
      </c>
      <c r="E39" s="17">
        <v>1095.1400000000001</v>
      </c>
      <c r="F39" s="18">
        <f t="shared" si="5"/>
        <v>5475.7000000000007</v>
      </c>
      <c r="G39" s="17">
        <v>1200</v>
      </c>
      <c r="H39" s="18">
        <f t="shared" si="6"/>
        <v>6000</v>
      </c>
      <c r="I39" s="17">
        <v>2200</v>
      </c>
      <c r="J39" s="18">
        <f t="shared" si="7"/>
        <v>11000</v>
      </c>
      <c r="K39" s="17">
        <v>3500</v>
      </c>
      <c r="L39" s="18">
        <f t="shared" si="8"/>
        <v>17500</v>
      </c>
      <c r="M39" s="17">
        <v>2000</v>
      </c>
      <c r="N39" s="18">
        <f t="shared" si="9"/>
        <v>10000</v>
      </c>
    </row>
    <row r="40" spans="1:14" ht="33" customHeight="1">
      <c r="A40" s="9" t="str">
        <f>'Base Bid Item List'!A52</f>
        <v>0033</v>
      </c>
      <c r="B40" s="37" t="str">
        <f>'Base Bid Item List'!B52</f>
        <v>Existing Manhole Adjustment - Cleanout
(Section 312300)</v>
      </c>
      <c r="C40" s="39">
        <f>'Base Bid Item List'!C52</f>
        <v>1</v>
      </c>
      <c r="D40" s="13" t="str">
        <f>'Base Bid Item List'!D52</f>
        <v>Each</v>
      </c>
      <c r="E40" s="17">
        <v>1500</v>
      </c>
      <c r="F40" s="18">
        <f t="shared" si="5"/>
        <v>1500</v>
      </c>
      <c r="G40" s="17">
        <v>1150</v>
      </c>
      <c r="H40" s="18">
        <f t="shared" si="6"/>
        <v>1150</v>
      </c>
      <c r="I40" s="17">
        <v>750</v>
      </c>
      <c r="J40" s="18">
        <f t="shared" si="7"/>
        <v>750</v>
      </c>
      <c r="K40" s="17">
        <v>1725</v>
      </c>
      <c r="L40" s="18">
        <f t="shared" si="8"/>
        <v>1725</v>
      </c>
      <c r="M40" s="17">
        <v>1000</v>
      </c>
      <c r="N40" s="18">
        <f t="shared" si="9"/>
        <v>1000</v>
      </c>
    </row>
    <row r="41" spans="1:14" ht="33" customHeight="1">
      <c r="A41" s="9" t="str">
        <f>'Base Bid Item List'!A53</f>
        <v>0034</v>
      </c>
      <c r="B41" s="37" t="str">
        <f>'Base Bid Item List'!B53</f>
        <v>No. 8 AWG, 5kV, L-824, Type C Cable Installed in Trench, Duct Bank or Conduit
(Item L-108)</v>
      </c>
      <c r="C41" s="39">
        <f>'Base Bid Item List'!C53</f>
        <v>9310</v>
      </c>
      <c r="D41" s="13" t="str">
        <f>'Base Bid Item List'!D53</f>
        <v>LF</v>
      </c>
      <c r="E41" s="17">
        <v>4.7699999999999996</v>
      </c>
      <c r="F41" s="18">
        <f t="shared" si="5"/>
        <v>44408.7</v>
      </c>
      <c r="G41" s="17">
        <v>4.5999999999999996</v>
      </c>
      <c r="H41" s="18">
        <f t="shared" si="6"/>
        <v>42826</v>
      </c>
      <c r="I41" s="17">
        <v>4</v>
      </c>
      <c r="J41" s="18">
        <f t="shared" si="7"/>
        <v>37240</v>
      </c>
      <c r="K41" s="17">
        <v>4.9000000000000004</v>
      </c>
      <c r="L41" s="18">
        <f t="shared" si="8"/>
        <v>45619</v>
      </c>
      <c r="M41" s="17">
        <v>2.5</v>
      </c>
      <c r="N41" s="18">
        <f t="shared" si="9"/>
        <v>23275</v>
      </c>
    </row>
    <row r="42" spans="1:14" ht="55.5" customHeight="1">
      <c r="A42" s="9" t="str">
        <f>'Base Bid Item List'!A54</f>
        <v>0035</v>
      </c>
      <c r="B42" s="37" t="str">
        <f>'Base Bid Item List'!B54</f>
        <v>No. 6 AWG, Solid, Bare Copper Counterpoise Wire, Installed above the Duct Bank or Conduit, Including Connections/Terminations 
(Item L-108)</v>
      </c>
      <c r="C42" s="39">
        <f>'Base Bid Item List'!C54</f>
        <v>2080</v>
      </c>
      <c r="D42" s="13" t="str">
        <f>'Base Bid Item List'!D54</f>
        <v>LF</v>
      </c>
      <c r="E42" s="17">
        <v>2.98</v>
      </c>
      <c r="F42" s="18">
        <f t="shared" si="5"/>
        <v>6198.4</v>
      </c>
      <c r="G42" s="17">
        <v>2.9</v>
      </c>
      <c r="H42" s="18">
        <f t="shared" si="6"/>
        <v>6032</v>
      </c>
      <c r="I42" s="17">
        <v>2.5</v>
      </c>
      <c r="J42" s="18">
        <f t="shared" si="7"/>
        <v>5200</v>
      </c>
      <c r="K42" s="17">
        <v>3</v>
      </c>
      <c r="L42" s="18">
        <f t="shared" si="8"/>
        <v>6240</v>
      </c>
      <c r="M42" s="17">
        <v>2.25</v>
      </c>
      <c r="N42" s="18">
        <f t="shared" si="9"/>
        <v>4680</v>
      </c>
    </row>
    <row r="43" spans="1:14" ht="33" customHeight="1">
      <c r="A43" s="9" t="str">
        <f>'Base Bid Item List'!A55</f>
        <v>0036</v>
      </c>
      <c r="B43" s="37" t="str">
        <f>'Base Bid Item List'!B55</f>
        <v>No. 10 AWG, 600V, Cable Installed in Conduit
(Item L-108)</v>
      </c>
      <c r="C43" s="39">
        <f>'Base Bid Item List'!C55</f>
        <v>110</v>
      </c>
      <c r="D43" s="13" t="str">
        <f>'Base Bid Item List'!D55</f>
        <v>LF</v>
      </c>
      <c r="E43" s="17">
        <v>2.39</v>
      </c>
      <c r="F43" s="18">
        <f t="shared" si="5"/>
        <v>262.90000000000003</v>
      </c>
      <c r="G43" s="17">
        <v>2.2999999999999998</v>
      </c>
      <c r="H43" s="18">
        <f t="shared" si="6"/>
        <v>252.99999999999997</v>
      </c>
      <c r="I43" s="17">
        <v>2</v>
      </c>
      <c r="J43" s="18">
        <f t="shared" si="7"/>
        <v>220</v>
      </c>
      <c r="K43" s="17">
        <v>2.4500000000000002</v>
      </c>
      <c r="L43" s="18">
        <f t="shared" si="8"/>
        <v>269.5</v>
      </c>
      <c r="M43" s="17">
        <v>2</v>
      </c>
      <c r="N43" s="18">
        <f t="shared" si="9"/>
        <v>220</v>
      </c>
    </row>
    <row r="44" spans="1:14" ht="33" customHeight="1">
      <c r="A44" s="9" t="str">
        <f>'Base Bid Item List'!A56</f>
        <v>0037</v>
      </c>
      <c r="B44" s="37" t="str">
        <f>'Base Bid Item List'!B56</f>
        <v>Counterpoise Ground Rod
(Item L-108)</v>
      </c>
      <c r="C44" s="39">
        <f>'Base Bid Item List'!C56</f>
        <v>9</v>
      </c>
      <c r="D44" s="13" t="str">
        <f>'Base Bid Item List'!D56</f>
        <v>Each</v>
      </c>
      <c r="E44" s="17">
        <v>286.20999999999998</v>
      </c>
      <c r="F44" s="18">
        <f t="shared" si="5"/>
        <v>2575.89</v>
      </c>
      <c r="G44" s="17">
        <v>227</v>
      </c>
      <c r="H44" s="18">
        <f t="shared" si="6"/>
        <v>2043</v>
      </c>
      <c r="I44" s="17">
        <v>240</v>
      </c>
      <c r="J44" s="18">
        <f t="shared" si="7"/>
        <v>2160</v>
      </c>
      <c r="K44" s="17">
        <v>300</v>
      </c>
      <c r="L44" s="18">
        <f t="shared" si="8"/>
        <v>2700</v>
      </c>
      <c r="M44" s="17">
        <v>300</v>
      </c>
      <c r="N44" s="18">
        <f t="shared" si="9"/>
        <v>2700</v>
      </c>
    </row>
    <row r="45" spans="1:14" ht="33" customHeight="1">
      <c r="A45" s="9" t="str">
        <f>'Base Bid Item List'!A57</f>
        <v>0038</v>
      </c>
      <c r="B45" s="37" t="str">
        <f>'Base Bid Item List'!B57</f>
        <v>2-Inch PVC Encased in CLSM in New AC 
(Item L-110)</v>
      </c>
      <c r="C45" s="39">
        <f>'Base Bid Item List'!C57</f>
        <v>1530</v>
      </c>
      <c r="D45" s="13" t="str">
        <f>'Base Bid Item List'!D57</f>
        <v>LF</v>
      </c>
      <c r="E45" s="17">
        <v>35</v>
      </c>
      <c r="F45" s="18">
        <f t="shared" si="5"/>
        <v>53550</v>
      </c>
      <c r="G45" s="17">
        <v>46</v>
      </c>
      <c r="H45" s="18">
        <f t="shared" si="6"/>
        <v>70380</v>
      </c>
      <c r="I45" s="17">
        <v>40</v>
      </c>
      <c r="J45" s="18">
        <f t="shared" si="7"/>
        <v>61200</v>
      </c>
      <c r="K45" s="17">
        <v>50</v>
      </c>
      <c r="L45" s="18">
        <f t="shared" si="8"/>
        <v>76500</v>
      </c>
      <c r="M45" s="17">
        <v>40</v>
      </c>
      <c r="N45" s="18">
        <f t="shared" si="9"/>
        <v>61200</v>
      </c>
    </row>
    <row r="46" spans="1:14" ht="33" customHeight="1">
      <c r="A46" s="9" t="str">
        <f>'Base Bid Item List'!A58</f>
        <v>0039</v>
      </c>
      <c r="B46" s="37" t="str">
        <f>'Base Bid Item List'!B58</f>
        <v>2-Inch PVC Encased in P-610 in Existing AC 
(Item L-110)</v>
      </c>
      <c r="C46" s="39">
        <f>'Base Bid Item List'!C58</f>
        <v>535</v>
      </c>
      <c r="D46" s="13" t="str">
        <f>'Base Bid Item List'!D58</f>
        <v>LF</v>
      </c>
      <c r="E46" s="17">
        <v>70</v>
      </c>
      <c r="F46" s="18">
        <f t="shared" si="5"/>
        <v>37450</v>
      </c>
      <c r="G46" s="17">
        <v>85</v>
      </c>
      <c r="H46" s="18">
        <f t="shared" si="6"/>
        <v>45475</v>
      </c>
      <c r="I46" s="17">
        <v>45</v>
      </c>
      <c r="J46" s="18">
        <f t="shared" si="7"/>
        <v>24075</v>
      </c>
      <c r="K46" s="17">
        <v>55</v>
      </c>
      <c r="L46" s="18">
        <f t="shared" si="8"/>
        <v>29425</v>
      </c>
      <c r="M46" s="17">
        <v>60</v>
      </c>
      <c r="N46" s="18">
        <f t="shared" si="9"/>
        <v>32100</v>
      </c>
    </row>
    <row r="47" spans="1:14" ht="33" customHeight="1">
      <c r="A47" s="9" t="str">
        <f>'Base Bid Item List'!A59</f>
        <v>0040</v>
      </c>
      <c r="B47" s="37" t="str">
        <f>'Base Bid Item List'!B59</f>
        <v>1.5-Inch GRSC Encased in P-610 in Existing AC 
(Item L-110)</v>
      </c>
      <c r="C47" s="39">
        <f>'Base Bid Item List'!C59</f>
        <v>25</v>
      </c>
      <c r="D47" s="13" t="str">
        <f>'Base Bid Item List'!D59</f>
        <v>LF</v>
      </c>
      <c r="E47" s="17">
        <v>95.41</v>
      </c>
      <c r="F47" s="18">
        <f t="shared" si="5"/>
        <v>2385.25</v>
      </c>
      <c r="G47" s="17">
        <v>126</v>
      </c>
      <c r="H47" s="18">
        <f t="shared" si="6"/>
        <v>3150</v>
      </c>
      <c r="I47" s="17">
        <v>80</v>
      </c>
      <c r="J47" s="18">
        <f t="shared" si="7"/>
        <v>2000</v>
      </c>
      <c r="K47" s="17">
        <v>100</v>
      </c>
      <c r="L47" s="18">
        <f t="shared" si="8"/>
        <v>2500</v>
      </c>
      <c r="M47" s="17">
        <v>70</v>
      </c>
      <c r="N47" s="18">
        <f t="shared" si="9"/>
        <v>1750</v>
      </c>
    </row>
    <row r="48" spans="1:14" ht="33" customHeight="1">
      <c r="A48" s="9" t="str">
        <f>'Base Bid Item List'!A60</f>
        <v>0041</v>
      </c>
      <c r="B48" s="37" t="str">
        <f>'Base Bid Item List'!B60</f>
        <v>1-Inch GRSC Encased in P-610 in Existing AC 
(Item L-110)</v>
      </c>
      <c r="C48" s="39">
        <f>'Base Bid Item List'!C60</f>
        <v>145</v>
      </c>
      <c r="D48" s="13" t="str">
        <f>'Base Bid Item List'!D60</f>
        <v>LF</v>
      </c>
      <c r="E48" s="17">
        <v>65.599999999999994</v>
      </c>
      <c r="F48" s="18">
        <f t="shared" si="5"/>
        <v>9512</v>
      </c>
      <c r="G48" s="17">
        <v>97</v>
      </c>
      <c r="H48" s="18">
        <f t="shared" si="6"/>
        <v>14065</v>
      </c>
      <c r="I48" s="17">
        <v>55</v>
      </c>
      <c r="J48" s="18">
        <f t="shared" si="7"/>
        <v>7975</v>
      </c>
      <c r="K48" s="17">
        <v>70</v>
      </c>
      <c r="L48" s="18">
        <f t="shared" si="8"/>
        <v>10150</v>
      </c>
      <c r="M48" s="17">
        <v>60</v>
      </c>
      <c r="N48" s="18">
        <f t="shared" si="9"/>
        <v>8700</v>
      </c>
    </row>
    <row r="49" spans="1:14" ht="33" customHeight="1">
      <c r="A49" s="9" t="str">
        <f>'Base Bid Item List'!A61</f>
        <v>0042</v>
      </c>
      <c r="B49" s="37" t="str">
        <f>'Base Bid Item List'!B61</f>
        <v>General Electrical Removal
(Section 260500)</v>
      </c>
      <c r="C49" s="39">
        <f>'Base Bid Item List'!C61</f>
        <v>1</v>
      </c>
      <c r="D49" s="13" t="str">
        <f>'Base Bid Item List'!D61</f>
        <v>LS</v>
      </c>
      <c r="E49" s="17">
        <v>128810.09</v>
      </c>
      <c r="F49" s="18">
        <f t="shared" si="5"/>
        <v>128810.09</v>
      </c>
      <c r="G49" s="17">
        <v>124900</v>
      </c>
      <c r="H49" s="18">
        <f t="shared" si="6"/>
        <v>124900</v>
      </c>
      <c r="I49" s="17">
        <v>108000</v>
      </c>
      <c r="J49" s="18">
        <f t="shared" si="7"/>
        <v>108000</v>
      </c>
      <c r="K49" s="17">
        <v>135000</v>
      </c>
      <c r="L49" s="18">
        <f t="shared" si="8"/>
        <v>135000</v>
      </c>
      <c r="M49" s="17">
        <v>60000</v>
      </c>
      <c r="N49" s="18">
        <f t="shared" si="9"/>
        <v>60000</v>
      </c>
    </row>
    <row r="50" spans="1:14" ht="33" customHeight="1">
      <c r="A50" s="9" t="str">
        <f>'Base Bid Item List'!A62</f>
        <v>0043</v>
      </c>
      <c r="B50" s="37" t="str">
        <f>'Base Bid Item List'!B62</f>
        <v>Temporary Circuit Connection
(Section 260500)</v>
      </c>
      <c r="C50" s="39">
        <f>'Base Bid Item List'!C62</f>
        <v>1</v>
      </c>
      <c r="D50" s="13" t="str">
        <f>'Base Bid Item List'!D62</f>
        <v>LS</v>
      </c>
      <c r="E50" s="17">
        <v>28620.86</v>
      </c>
      <c r="F50" s="18">
        <f t="shared" si="5"/>
        <v>28620.86</v>
      </c>
      <c r="G50" s="17">
        <v>27750</v>
      </c>
      <c r="H50" s="18">
        <f t="shared" si="6"/>
        <v>27750</v>
      </c>
      <c r="I50" s="17">
        <v>24000</v>
      </c>
      <c r="J50" s="18">
        <f t="shared" si="7"/>
        <v>24000</v>
      </c>
      <c r="K50" s="17">
        <v>32000</v>
      </c>
      <c r="L50" s="18">
        <f t="shared" si="8"/>
        <v>32000</v>
      </c>
      <c r="M50" s="17">
        <v>5000</v>
      </c>
      <c r="N50" s="18">
        <f t="shared" si="9"/>
        <v>5000</v>
      </c>
    </row>
    <row r="51" spans="1:14" ht="33" customHeight="1">
      <c r="A51" s="9" t="str">
        <f>'Base Bid Item List'!A63</f>
        <v>0044</v>
      </c>
      <c r="B51" s="37" t="str">
        <f>'Base Bid Item List'!B63</f>
        <v>Reinstall Elevated Taxiway Edge Light on Existing Base Can with PF Transformer
(Section 344300)</v>
      </c>
      <c r="C51" s="39">
        <f>'Base Bid Item List'!C63</f>
        <v>131</v>
      </c>
      <c r="D51" s="13" t="str">
        <f>'Base Bid Item List'!D63</f>
        <v>Each</v>
      </c>
      <c r="E51" s="17">
        <v>1311.81</v>
      </c>
      <c r="F51" s="18">
        <f t="shared" si="5"/>
        <v>171847.11</v>
      </c>
      <c r="G51" s="17">
        <v>1270</v>
      </c>
      <c r="H51" s="18">
        <f t="shared" si="6"/>
        <v>166370</v>
      </c>
      <c r="I51" s="17">
        <v>1100</v>
      </c>
      <c r="J51" s="18">
        <f t="shared" si="7"/>
        <v>144100</v>
      </c>
      <c r="K51" s="17">
        <v>1350</v>
      </c>
      <c r="L51" s="18">
        <f t="shared" si="8"/>
        <v>176850</v>
      </c>
      <c r="M51" s="17">
        <v>700</v>
      </c>
      <c r="N51" s="18">
        <f t="shared" si="9"/>
        <v>91700</v>
      </c>
    </row>
    <row r="52" spans="1:14" ht="33" customHeight="1">
      <c r="A52" s="9" t="str">
        <f>'Base Bid Item List'!A64</f>
        <v>0045</v>
      </c>
      <c r="B52" s="37" t="str">
        <f>'Base Bid Item List'!B64</f>
        <v>Reinstall Elevated Runway End Light on Existing Base Can with PF Transformer
(Section 344300)</v>
      </c>
      <c r="C52" s="39">
        <f>'Base Bid Item List'!C64</f>
        <v>2</v>
      </c>
      <c r="D52" s="13" t="str">
        <f>'Base Bid Item List'!D64</f>
        <v>Each</v>
      </c>
      <c r="E52" s="17">
        <v>1311.82</v>
      </c>
      <c r="F52" s="18">
        <f t="shared" si="5"/>
        <v>2623.64</v>
      </c>
      <c r="G52" s="17">
        <v>1270</v>
      </c>
      <c r="H52" s="18">
        <f t="shared" si="6"/>
        <v>2540</v>
      </c>
      <c r="I52" s="17">
        <v>1100</v>
      </c>
      <c r="J52" s="18">
        <f t="shared" si="7"/>
        <v>2200</v>
      </c>
      <c r="K52" s="17">
        <v>1350</v>
      </c>
      <c r="L52" s="18">
        <f t="shared" si="8"/>
        <v>2700</v>
      </c>
      <c r="M52" s="17">
        <v>700</v>
      </c>
      <c r="N52" s="18">
        <f t="shared" si="9"/>
        <v>1400</v>
      </c>
    </row>
    <row r="53" spans="1:14" ht="33" customHeight="1">
      <c r="A53" s="9" t="str">
        <f>'Base Bid Item List'!A65</f>
        <v>0046</v>
      </c>
      <c r="B53" s="37" t="str">
        <f>'Base Bid Item List'!B65</f>
        <v>Reinstall In-Pavement Taxiway Edge Light on Existing Base Can with PF Transformer
(Section 344300)</v>
      </c>
      <c r="C53" s="39">
        <f>'Base Bid Item List'!C65</f>
        <v>5</v>
      </c>
      <c r="D53" s="13" t="str">
        <f>'Base Bid Item List'!D65</f>
        <v>Each</v>
      </c>
      <c r="E53" s="17">
        <v>1311.81</v>
      </c>
      <c r="F53" s="18">
        <f t="shared" si="5"/>
        <v>6559.0499999999993</v>
      </c>
      <c r="G53" s="17">
        <v>1270</v>
      </c>
      <c r="H53" s="18">
        <f t="shared" si="6"/>
        <v>6350</v>
      </c>
      <c r="I53" s="17">
        <v>1100</v>
      </c>
      <c r="J53" s="18">
        <f t="shared" si="7"/>
        <v>5500</v>
      </c>
      <c r="K53" s="17">
        <v>1350</v>
      </c>
      <c r="L53" s="18">
        <f t="shared" si="8"/>
        <v>6750</v>
      </c>
      <c r="M53" s="17">
        <v>700</v>
      </c>
      <c r="N53" s="18">
        <f t="shared" si="9"/>
        <v>3500</v>
      </c>
    </row>
    <row r="54" spans="1:14" ht="33" customHeight="1">
      <c r="A54" s="9" t="str">
        <f>'Base Bid Item List'!A66</f>
        <v>0047</v>
      </c>
      <c r="B54" s="37" t="str">
        <f>'Base Bid Item List'!B66</f>
        <v>Reinstall Taxiway Centerline Light on Existing Base Can with PF Transformer
(Section 344300)</v>
      </c>
      <c r="C54" s="39">
        <f>'Base Bid Item List'!C66</f>
        <v>5</v>
      </c>
      <c r="D54" s="13" t="str">
        <f>'Base Bid Item List'!D66</f>
        <v>Each</v>
      </c>
      <c r="E54" s="17">
        <v>1311.81</v>
      </c>
      <c r="F54" s="18">
        <f t="shared" si="5"/>
        <v>6559.0499999999993</v>
      </c>
      <c r="G54" s="17">
        <v>1270</v>
      </c>
      <c r="H54" s="18">
        <f t="shared" si="6"/>
        <v>6350</v>
      </c>
      <c r="I54" s="17">
        <v>1100</v>
      </c>
      <c r="J54" s="18">
        <f t="shared" si="7"/>
        <v>5500</v>
      </c>
      <c r="K54" s="17">
        <v>1350</v>
      </c>
      <c r="L54" s="18">
        <f t="shared" si="8"/>
        <v>6750</v>
      </c>
      <c r="M54" s="17">
        <v>700</v>
      </c>
      <c r="N54" s="18">
        <f t="shared" si="9"/>
        <v>3500</v>
      </c>
    </row>
    <row r="55" spans="1:14" ht="44.25" customHeight="1">
      <c r="A55" s="9" t="str">
        <f>'Base Bid Item List'!A67</f>
        <v>0048</v>
      </c>
      <c r="B55" s="37" t="str">
        <f>'Base Bid Item List'!B67</f>
        <v>Reinstall Taxiway Centerline Light on PF Base Can, PF Extension, PF Flange Ring, and PF Transformer
(Section 344300)</v>
      </c>
      <c r="C55" s="39">
        <f>'Base Bid Item List'!C67</f>
        <v>116</v>
      </c>
      <c r="D55" s="13" t="str">
        <f>'Base Bid Item List'!D67</f>
        <v>Each</v>
      </c>
      <c r="E55" s="17">
        <v>1311.81</v>
      </c>
      <c r="F55" s="18">
        <f t="shared" si="5"/>
        <v>152169.96</v>
      </c>
      <c r="G55" s="17">
        <v>1270</v>
      </c>
      <c r="H55" s="18">
        <f t="shared" si="6"/>
        <v>147320</v>
      </c>
      <c r="I55" s="17">
        <v>1100</v>
      </c>
      <c r="J55" s="18">
        <f t="shared" si="7"/>
        <v>127600</v>
      </c>
      <c r="K55" s="17">
        <v>1350</v>
      </c>
      <c r="L55" s="18">
        <f t="shared" si="8"/>
        <v>156600</v>
      </c>
      <c r="M55" s="17">
        <v>3500</v>
      </c>
      <c r="N55" s="18">
        <f t="shared" si="9"/>
        <v>406000</v>
      </c>
    </row>
    <row r="56" spans="1:14" ht="33" customHeight="1">
      <c r="A56" s="9" t="str">
        <f>'Base Bid Item List'!A68</f>
        <v>0049</v>
      </c>
      <c r="B56" s="37" t="str">
        <f>'Base Bid Item List'!B68</f>
        <v>Adjust Existing Taxiway Centerline Light to New Finish Elevation
(Section 344301)</v>
      </c>
      <c r="C56" s="39">
        <f>'Base Bid Item List'!C68</f>
        <v>88</v>
      </c>
      <c r="D56" s="13" t="str">
        <f>'Base Bid Item List'!D68</f>
        <v>Each</v>
      </c>
      <c r="E56" s="17">
        <v>1311.81</v>
      </c>
      <c r="F56" s="18">
        <f t="shared" si="5"/>
        <v>115439.28</v>
      </c>
      <c r="G56" s="17">
        <v>1270</v>
      </c>
      <c r="H56" s="18">
        <f t="shared" si="6"/>
        <v>111760</v>
      </c>
      <c r="I56" s="17">
        <v>1100</v>
      </c>
      <c r="J56" s="18">
        <f t="shared" si="7"/>
        <v>96800</v>
      </c>
      <c r="K56" s="17">
        <v>1350</v>
      </c>
      <c r="L56" s="18">
        <f t="shared" si="8"/>
        <v>118800</v>
      </c>
      <c r="M56" s="17">
        <v>2500</v>
      </c>
      <c r="N56" s="18">
        <f t="shared" si="9"/>
        <v>220000</v>
      </c>
    </row>
    <row r="57" spans="1:14" ht="33" customHeight="1">
      <c r="A57" s="9" t="str">
        <f>'Base Bid Item List'!A69</f>
        <v>0050</v>
      </c>
      <c r="B57" s="37" t="str">
        <f>'Base Bid Item List'!B69</f>
        <v>Adjust Existing Runway Edge Light to New Finish Elevation
(Section 344301)</v>
      </c>
      <c r="C57" s="39">
        <f>'Base Bid Item List'!C69</f>
        <v>11</v>
      </c>
      <c r="D57" s="13" t="str">
        <f>'Base Bid Item List'!D69</f>
        <v>Each</v>
      </c>
      <c r="E57" s="17">
        <v>894.43</v>
      </c>
      <c r="F57" s="18">
        <f t="shared" si="5"/>
        <v>9838.73</v>
      </c>
      <c r="G57" s="17">
        <v>867</v>
      </c>
      <c r="H57" s="18">
        <f t="shared" si="6"/>
        <v>9537</v>
      </c>
      <c r="I57" s="17">
        <v>750</v>
      </c>
      <c r="J57" s="18">
        <f t="shared" si="7"/>
        <v>8250</v>
      </c>
      <c r="K57" s="17">
        <v>1000</v>
      </c>
      <c r="L57" s="18">
        <f t="shared" si="8"/>
        <v>11000</v>
      </c>
      <c r="M57" s="17">
        <v>2500</v>
      </c>
      <c r="N57" s="18">
        <f t="shared" si="9"/>
        <v>27500</v>
      </c>
    </row>
    <row r="58" spans="1:14" ht="33" customHeight="1">
      <c r="A58" s="9" t="str">
        <f>'Base Bid Item List'!A70</f>
        <v>0051</v>
      </c>
      <c r="B58" s="37" t="str">
        <f>'Base Bid Item List'!B70</f>
        <v>Adjust Existing Taxiway Edge Light to New Finish Elevation
(Section 344301)</v>
      </c>
      <c r="C58" s="39">
        <f>'Base Bid Item List'!C70</f>
        <v>1</v>
      </c>
      <c r="D58" s="13" t="str">
        <f>'Base Bid Item List'!D70</f>
        <v>Each</v>
      </c>
      <c r="E58" s="17">
        <v>894.43</v>
      </c>
      <c r="F58" s="18">
        <f t="shared" si="5"/>
        <v>894.43</v>
      </c>
      <c r="G58" s="17">
        <v>867</v>
      </c>
      <c r="H58" s="18">
        <f t="shared" si="6"/>
        <v>867</v>
      </c>
      <c r="I58" s="17">
        <v>750</v>
      </c>
      <c r="J58" s="18">
        <f t="shared" si="7"/>
        <v>750</v>
      </c>
      <c r="K58" s="17">
        <v>1000</v>
      </c>
      <c r="L58" s="18">
        <f t="shared" si="8"/>
        <v>1000</v>
      </c>
      <c r="M58" s="17">
        <v>2500</v>
      </c>
      <c r="N58" s="18">
        <f t="shared" si="9"/>
        <v>2500</v>
      </c>
    </row>
    <row r="59" spans="1:14" ht="33" customHeight="1">
      <c r="A59" s="9" t="str">
        <f>'Base Bid Item List'!A71</f>
        <v>0052</v>
      </c>
      <c r="B59" s="37" t="str">
        <f>'Base Bid Item List'!B71</f>
        <v>Adjust Existing Base Can to New Finish Elevation
(Section 344301)</v>
      </c>
      <c r="C59" s="39">
        <f>'Base Bid Item List'!C71</f>
        <v>35</v>
      </c>
      <c r="D59" s="13" t="str">
        <f>'Base Bid Item List'!D71</f>
        <v>Each</v>
      </c>
      <c r="E59" s="17">
        <v>894.43</v>
      </c>
      <c r="F59" s="18">
        <f t="shared" si="5"/>
        <v>31305.05</v>
      </c>
      <c r="G59" s="17">
        <v>867</v>
      </c>
      <c r="H59" s="18">
        <f t="shared" si="6"/>
        <v>30345</v>
      </c>
      <c r="I59" s="17">
        <v>750</v>
      </c>
      <c r="J59" s="18">
        <f t="shared" si="7"/>
        <v>26250</v>
      </c>
      <c r="K59" s="17">
        <v>1000</v>
      </c>
      <c r="L59" s="18">
        <f t="shared" si="8"/>
        <v>35000</v>
      </c>
      <c r="M59" s="17">
        <v>2500</v>
      </c>
      <c r="N59" s="18">
        <f t="shared" si="9"/>
        <v>87500</v>
      </c>
    </row>
    <row r="60" spans="1:14" ht="33" customHeight="1">
      <c r="A60" s="9" t="str">
        <f>'Base Bid Item List'!A72</f>
        <v>0053</v>
      </c>
      <c r="B60" s="37" t="str">
        <f>'Base Bid Item List'!B72</f>
        <v>Sign CE-10
(Section 344302)</v>
      </c>
      <c r="C60" s="39">
        <f>'Base Bid Item List'!C72</f>
        <v>1</v>
      </c>
      <c r="D60" s="13" t="str">
        <f>'Base Bid Item List'!D72</f>
        <v>LS</v>
      </c>
      <c r="E60" s="17">
        <v>6558.95</v>
      </c>
      <c r="F60" s="18">
        <f t="shared" si="5"/>
        <v>6558.95</v>
      </c>
      <c r="G60" s="17">
        <v>6360</v>
      </c>
      <c r="H60" s="18">
        <f t="shared" si="6"/>
        <v>6360</v>
      </c>
      <c r="I60" s="17">
        <v>5500</v>
      </c>
      <c r="J60" s="18">
        <f t="shared" si="7"/>
        <v>5500</v>
      </c>
      <c r="K60" s="17">
        <v>6500</v>
      </c>
      <c r="L60" s="18">
        <f t="shared" si="8"/>
        <v>6500</v>
      </c>
      <c r="M60" s="17">
        <v>9000</v>
      </c>
      <c r="N60" s="18">
        <f t="shared" si="9"/>
        <v>9000</v>
      </c>
    </row>
    <row r="61" spans="1:14" ht="27.75" customHeight="1">
      <c r="A61" s="10"/>
      <c r="B61" s="55" t="s">
        <v>167</v>
      </c>
      <c r="C61" s="28"/>
      <c r="D61" s="15"/>
      <c r="E61" s="19"/>
      <c r="F61" s="19">
        <f>SUM(F8:F60)</f>
        <v>9919824.1600000001</v>
      </c>
      <c r="G61" s="19"/>
      <c r="H61" s="19">
        <f>SUM(H8:H60)</f>
        <v>9310111</v>
      </c>
      <c r="I61" s="19"/>
      <c r="J61" s="19">
        <f>SUM(J8:J60)</f>
        <v>11122201</v>
      </c>
      <c r="K61" s="19"/>
      <c r="L61" s="19">
        <f>SUM(L8:L60)</f>
        <v>9613552.5</v>
      </c>
      <c r="M61" s="19"/>
      <c r="N61" s="19">
        <f>SUM(N8:N60)</f>
        <v>9294052</v>
      </c>
    </row>
  </sheetData>
  <mergeCells count="11">
    <mergeCell ref="M1:N5"/>
    <mergeCell ref="K1:L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P30"/>
  <sheetViews>
    <sheetView topLeftCell="A14" zoomScaleNormal="100" zoomScaleSheetLayoutView="100" workbookViewId="0">
      <selection activeCell="N30" sqref="N30"/>
    </sheetView>
  </sheetViews>
  <sheetFormatPr defaultRowHeight="15"/>
  <cols>
    <col min="1" max="1" width="6.7109375" customWidth="1"/>
    <col min="2" max="2" width="28.85546875" customWidth="1"/>
    <col min="3" max="3" width="11.28515625" customWidth="1"/>
    <col min="4" max="4" width="6.7109375" customWidth="1"/>
    <col min="5" max="5" width="11" customWidth="1"/>
    <col min="6" max="6" width="13.42578125" customWidth="1"/>
    <col min="7" max="7" width="11" customWidth="1"/>
    <col min="8" max="8" width="13.42578125" customWidth="1"/>
    <col min="9" max="9" width="11" customWidth="1"/>
    <col min="10" max="10" width="13.42578125" customWidth="1"/>
    <col min="11" max="11" width="11" customWidth="1"/>
    <col min="12" max="12" width="13.42578125" customWidth="1"/>
    <col min="13" max="13" width="11" customWidth="1"/>
    <col min="14" max="14" width="13.42578125" customWidth="1"/>
  </cols>
  <sheetData>
    <row r="1" spans="1:14" ht="30" customHeight="1">
      <c r="A1" s="79" t="s">
        <v>13</v>
      </c>
      <c r="B1" s="80"/>
      <c r="C1" s="80"/>
      <c r="D1" s="81"/>
      <c r="E1" s="92" t="str">
        <f>Contractor1</f>
        <v>Granite Construction Company</v>
      </c>
      <c r="F1" s="93"/>
      <c r="G1" s="92" t="str">
        <f>Contractor2</f>
        <v>K &amp; E Excavating, Inc.</v>
      </c>
      <c r="H1" s="93"/>
      <c r="I1" s="92" t="str">
        <f>Contractor3</f>
        <v>Kerr Contractors 
Oregon LLC</v>
      </c>
      <c r="J1" s="93"/>
      <c r="K1" s="92" t="str">
        <f>Contractor4</f>
        <v>Lakeside Industries, Inc.</v>
      </c>
      <c r="L1" s="93"/>
      <c r="M1" s="88" t="str">
        <f>EngineerEstimate</f>
        <v>Engineer's Estimate</v>
      </c>
      <c r="N1" s="89"/>
    </row>
    <row r="2" spans="1:14">
      <c r="A2" s="82" t="s">
        <v>163</v>
      </c>
      <c r="B2" s="83"/>
      <c r="C2" s="83"/>
      <c r="D2" s="84"/>
      <c r="E2" s="94"/>
      <c r="F2" s="95"/>
      <c r="G2" s="94"/>
      <c r="H2" s="95"/>
      <c r="I2" s="94"/>
      <c r="J2" s="95"/>
      <c r="K2" s="94"/>
      <c r="L2" s="95"/>
      <c r="M2" s="90"/>
      <c r="N2" s="91"/>
    </row>
    <row r="3" spans="1:14">
      <c r="A3" s="82" t="s">
        <v>164</v>
      </c>
      <c r="B3" s="83"/>
      <c r="C3" s="83"/>
      <c r="D3" s="84"/>
      <c r="E3" s="94"/>
      <c r="F3" s="95"/>
      <c r="G3" s="94"/>
      <c r="H3" s="95"/>
      <c r="I3" s="94"/>
      <c r="J3" s="95"/>
      <c r="K3" s="94"/>
      <c r="L3" s="95"/>
      <c r="M3" s="90"/>
      <c r="N3" s="91"/>
    </row>
    <row r="4" spans="1:14">
      <c r="A4" s="85" t="s">
        <v>165</v>
      </c>
      <c r="B4" s="86"/>
      <c r="C4" s="86"/>
      <c r="D4" s="87"/>
      <c r="E4" s="94"/>
      <c r="F4" s="95"/>
      <c r="G4" s="94"/>
      <c r="H4" s="95"/>
      <c r="I4" s="94"/>
      <c r="J4" s="95"/>
      <c r="K4" s="94"/>
      <c r="L4" s="95"/>
      <c r="M4" s="90"/>
      <c r="N4" s="91"/>
    </row>
    <row r="5" spans="1:14">
      <c r="A5" s="85" t="s">
        <v>166</v>
      </c>
      <c r="B5" s="86"/>
      <c r="C5" s="86"/>
      <c r="D5" s="87"/>
      <c r="E5" s="94"/>
      <c r="F5" s="95"/>
      <c r="G5" s="94"/>
      <c r="H5" s="95"/>
      <c r="I5" s="94"/>
      <c r="J5" s="95"/>
      <c r="K5" s="94"/>
      <c r="L5" s="95"/>
      <c r="M5" s="90"/>
      <c r="N5" s="91"/>
    </row>
    <row r="6" spans="1:14">
      <c r="A6" s="76">
        <f ca="1">TODAY()</f>
        <v>46042</v>
      </c>
      <c r="B6" s="77"/>
      <c r="C6" s="77"/>
      <c r="D6" s="78"/>
      <c r="E6" s="30"/>
      <c r="F6" s="31"/>
      <c r="G6" s="30"/>
      <c r="H6" s="31"/>
      <c r="I6" s="30"/>
      <c r="J6" s="31"/>
      <c r="K6" s="30"/>
      <c r="L6" s="31"/>
      <c r="M6" s="30"/>
      <c r="N6" s="31"/>
    </row>
    <row r="7" spans="1:14" ht="33" customHeight="1">
      <c r="A7" s="8" t="s">
        <v>15</v>
      </c>
      <c r="B7" s="12" t="s">
        <v>16</v>
      </c>
      <c r="C7" s="27" t="s">
        <v>17</v>
      </c>
      <c r="D7" s="12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  <c r="K7" s="35" t="s">
        <v>19</v>
      </c>
      <c r="L7" s="35" t="s">
        <v>20</v>
      </c>
      <c r="M7" s="35" t="s">
        <v>19</v>
      </c>
      <c r="N7" s="35" t="s">
        <v>20</v>
      </c>
    </row>
    <row r="8" spans="1:14" ht="33" customHeight="1">
      <c r="A8" s="9" t="str">
        <f>'Alternate Item List'!A20</f>
        <v>0001</v>
      </c>
      <c r="B8" s="37" t="str">
        <f>'Alternate Item List'!B20</f>
        <v>Sweeper
(Section 012200)</v>
      </c>
      <c r="C8" s="39">
        <f>'Alternate Item List'!C20</f>
        <v>1</v>
      </c>
      <c r="D8" s="13" t="str">
        <f>'Alternate Item List'!D20</f>
        <v>LS</v>
      </c>
      <c r="E8" s="17">
        <v>60000</v>
      </c>
      <c r="F8" s="18">
        <f>C8*E8</f>
        <v>60000</v>
      </c>
      <c r="G8" s="17">
        <v>104000</v>
      </c>
      <c r="H8" s="18">
        <f>C8*G8</f>
        <v>104000</v>
      </c>
      <c r="I8" s="17">
        <v>69065</v>
      </c>
      <c r="J8" s="18">
        <f>C8*I8</f>
        <v>69065</v>
      </c>
      <c r="K8" s="17">
        <v>65000</v>
      </c>
      <c r="L8" s="18">
        <f>C8*K8</f>
        <v>65000</v>
      </c>
      <c r="M8" s="17">
        <v>33750</v>
      </c>
      <c r="N8" s="18">
        <f t="shared" ref="N8:N28" si="0">M8*C8</f>
        <v>33750</v>
      </c>
    </row>
    <row r="9" spans="1:14" ht="33" customHeight="1">
      <c r="A9" s="9" t="str">
        <f>'Alternate Item List'!A21</f>
        <v>0002</v>
      </c>
      <c r="B9" s="37" t="str">
        <f>'Alternate Item List'!B21</f>
        <v>Security Control Monitoring
(Section 012200)</v>
      </c>
      <c r="C9" s="39">
        <f>'Alternate Item List'!C21</f>
        <v>1</v>
      </c>
      <c r="D9" s="13" t="str">
        <f>'Alternate Item List'!D21</f>
        <v>LS</v>
      </c>
      <c r="E9" s="17">
        <v>30000</v>
      </c>
      <c r="F9" s="18">
        <f t="shared" ref="F9:F28" si="1">C9*E9</f>
        <v>30000</v>
      </c>
      <c r="G9" s="17">
        <v>1000</v>
      </c>
      <c r="H9" s="18">
        <f t="shared" ref="H9:H28" si="2">C9*G9</f>
        <v>1000</v>
      </c>
      <c r="I9" s="17">
        <v>19680</v>
      </c>
      <c r="J9" s="18">
        <f t="shared" ref="J9:J28" si="3">C9*I9</f>
        <v>19680</v>
      </c>
      <c r="K9" s="17">
        <v>7000</v>
      </c>
      <c r="L9" s="18">
        <f t="shared" ref="L9:L28" si="4">C9*K9</f>
        <v>7000</v>
      </c>
      <c r="M9" s="17">
        <v>16000</v>
      </c>
      <c r="N9" s="18">
        <f t="shared" si="0"/>
        <v>16000</v>
      </c>
    </row>
    <row r="10" spans="1:14" ht="33" customHeight="1">
      <c r="A10" s="9" t="str">
        <f>'Alternate Item List'!A22</f>
        <v>0003</v>
      </c>
      <c r="B10" s="37" t="str">
        <f>'Alternate Item List'!B22</f>
        <v>Work Zone and Traffic Control 
(Section 012200)</v>
      </c>
      <c r="C10" s="39">
        <f>'Alternate Item List'!C22</f>
        <v>1</v>
      </c>
      <c r="D10" s="13" t="str">
        <f>'Alternate Item List'!D22</f>
        <v>LS</v>
      </c>
      <c r="E10" s="17">
        <v>40000</v>
      </c>
      <c r="F10" s="18">
        <f t="shared" si="1"/>
        <v>40000</v>
      </c>
      <c r="G10" s="17">
        <v>35300</v>
      </c>
      <c r="H10" s="18">
        <f t="shared" si="2"/>
        <v>35300</v>
      </c>
      <c r="I10" s="17">
        <v>98770</v>
      </c>
      <c r="J10" s="18">
        <f t="shared" si="3"/>
        <v>98770</v>
      </c>
      <c r="K10" s="17">
        <v>31000</v>
      </c>
      <c r="L10" s="18">
        <f t="shared" si="4"/>
        <v>31000</v>
      </c>
      <c r="M10" s="17">
        <v>25000</v>
      </c>
      <c r="N10" s="18">
        <f t="shared" si="0"/>
        <v>25000</v>
      </c>
    </row>
    <row r="11" spans="1:14" ht="33" customHeight="1">
      <c r="A11" s="9" t="str">
        <f>'Alternate Item List'!A23</f>
        <v>0004</v>
      </c>
      <c r="B11" s="37" t="str">
        <f>'Alternate Item List'!B23</f>
        <v>Escort 
(Section 012200)</v>
      </c>
      <c r="C11" s="39">
        <f>'Alternate Item List'!C23</f>
        <v>1</v>
      </c>
      <c r="D11" s="13" t="str">
        <f>'Alternate Item List'!D23</f>
        <v>LS</v>
      </c>
      <c r="E11" s="17">
        <v>20000</v>
      </c>
      <c r="F11" s="18">
        <f t="shared" si="1"/>
        <v>20000</v>
      </c>
      <c r="G11" s="17">
        <v>50000</v>
      </c>
      <c r="H11" s="18">
        <f t="shared" si="2"/>
        <v>50000</v>
      </c>
      <c r="I11" s="17">
        <v>75930</v>
      </c>
      <c r="J11" s="18">
        <f t="shared" si="3"/>
        <v>75930</v>
      </c>
      <c r="K11" s="17">
        <v>22042</v>
      </c>
      <c r="L11" s="18">
        <f t="shared" si="4"/>
        <v>22042</v>
      </c>
      <c r="M11" s="17">
        <v>29700</v>
      </c>
      <c r="N11" s="18">
        <f t="shared" si="0"/>
        <v>29700</v>
      </c>
    </row>
    <row r="12" spans="1:14" ht="33" customHeight="1">
      <c r="A12" s="9" t="str">
        <f>'Alternate Item List'!A24</f>
        <v>0005</v>
      </c>
      <c r="B12" s="37" t="str">
        <f>'Alternate Item List'!B24</f>
        <v>Inlet Protection
(Section 015713)</v>
      </c>
      <c r="C12" s="39">
        <f>'Alternate Item List'!C24</f>
        <v>23</v>
      </c>
      <c r="D12" s="13" t="str">
        <f>'Alternate Item List'!D24</f>
        <v>Each</v>
      </c>
      <c r="E12" s="17">
        <v>127.91</v>
      </c>
      <c r="F12" s="18">
        <f t="shared" si="1"/>
        <v>2941.93</v>
      </c>
      <c r="G12" s="17">
        <v>135</v>
      </c>
      <c r="H12" s="18">
        <f t="shared" si="2"/>
        <v>3105</v>
      </c>
      <c r="I12" s="17">
        <v>265</v>
      </c>
      <c r="J12" s="18">
        <f t="shared" si="3"/>
        <v>6095</v>
      </c>
      <c r="K12" s="17">
        <v>257</v>
      </c>
      <c r="L12" s="18">
        <f t="shared" si="4"/>
        <v>5911</v>
      </c>
      <c r="M12" s="17">
        <v>120</v>
      </c>
      <c r="N12" s="18">
        <f t="shared" si="0"/>
        <v>2760</v>
      </c>
    </row>
    <row r="13" spans="1:14" ht="33" customHeight="1">
      <c r="A13" s="9" t="str">
        <f>'Alternate Item List'!A25</f>
        <v>0006</v>
      </c>
      <c r="B13" s="37" t="str">
        <f>'Alternate Item List'!B25</f>
        <v>Mobilization
(Item C-105)</v>
      </c>
      <c r="C13" s="39">
        <f>'Alternate Item List'!C25</f>
        <v>1</v>
      </c>
      <c r="D13" s="13" t="str">
        <f>'Alternate Item List'!D25</f>
        <v>LS</v>
      </c>
      <c r="E13" s="17">
        <v>85000</v>
      </c>
      <c r="F13" s="18">
        <f t="shared" si="1"/>
        <v>85000</v>
      </c>
      <c r="G13" s="17">
        <v>109000</v>
      </c>
      <c r="H13" s="18">
        <f t="shared" si="2"/>
        <v>109000</v>
      </c>
      <c r="I13" s="17">
        <v>121824</v>
      </c>
      <c r="J13" s="18">
        <f t="shared" si="3"/>
        <v>121824</v>
      </c>
      <c r="K13" s="17">
        <v>94000</v>
      </c>
      <c r="L13" s="18">
        <f t="shared" si="4"/>
        <v>94000</v>
      </c>
      <c r="M13" s="17">
        <v>100621</v>
      </c>
      <c r="N13" s="18">
        <f t="shared" si="0"/>
        <v>100621</v>
      </c>
    </row>
    <row r="14" spans="1:14" ht="33" customHeight="1">
      <c r="A14" s="9" t="str">
        <f>'Alternate Item List'!A26</f>
        <v>0007</v>
      </c>
      <c r="B14" s="37" t="str">
        <f>'Alternate Item List'!B26</f>
        <v>Cold Milling - 2- to 4-Inch Depth 
(Item P-101)</v>
      </c>
      <c r="C14" s="39">
        <f>'Alternate Item List'!C26</f>
        <v>17700</v>
      </c>
      <c r="D14" s="13" t="str">
        <f>'Alternate Item List'!D26</f>
        <v>SY</v>
      </c>
      <c r="E14" s="17">
        <v>4</v>
      </c>
      <c r="F14" s="18">
        <f t="shared" si="1"/>
        <v>70800</v>
      </c>
      <c r="G14" s="17">
        <v>3.4</v>
      </c>
      <c r="H14" s="18">
        <f t="shared" si="2"/>
        <v>60180</v>
      </c>
      <c r="I14" s="17">
        <v>9.5</v>
      </c>
      <c r="J14" s="18">
        <f t="shared" si="3"/>
        <v>168150</v>
      </c>
      <c r="K14" s="17">
        <v>4.4000000000000004</v>
      </c>
      <c r="L14" s="18">
        <f t="shared" si="4"/>
        <v>77880</v>
      </c>
      <c r="M14" s="17">
        <v>5.5</v>
      </c>
      <c r="N14" s="18">
        <f t="shared" si="0"/>
        <v>97350</v>
      </c>
    </row>
    <row r="15" spans="1:14" ht="33" customHeight="1">
      <c r="A15" s="9" t="str">
        <f>'Alternate Item List'!A27</f>
        <v>0008</v>
      </c>
      <c r="B15" s="37" t="str">
        <f>'Alternate Item List'!B27</f>
        <v>Asphalt Surface Course
(Item P-401)</v>
      </c>
      <c r="C15" s="39">
        <f>'Alternate Item List'!C27</f>
        <v>3000</v>
      </c>
      <c r="D15" s="13" t="str">
        <f>'Alternate Item List'!D27</f>
        <v>Ton</v>
      </c>
      <c r="E15" s="17">
        <v>160</v>
      </c>
      <c r="F15" s="18">
        <f t="shared" si="1"/>
        <v>480000</v>
      </c>
      <c r="G15" s="17">
        <v>161</v>
      </c>
      <c r="H15" s="18">
        <f t="shared" si="2"/>
        <v>483000</v>
      </c>
      <c r="I15" s="17">
        <v>140</v>
      </c>
      <c r="J15" s="18">
        <f t="shared" si="3"/>
        <v>420000</v>
      </c>
      <c r="K15" s="17">
        <v>130</v>
      </c>
      <c r="L15" s="18">
        <f t="shared" si="4"/>
        <v>390000</v>
      </c>
      <c r="M15" s="17">
        <v>170</v>
      </c>
      <c r="N15" s="18">
        <f t="shared" si="0"/>
        <v>510000</v>
      </c>
    </row>
    <row r="16" spans="1:14" ht="33" customHeight="1">
      <c r="A16" s="9" t="str">
        <f>'Alternate Item List'!A28</f>
        <v>0009</v>
      </c>
      <c r="B16" s="37" t="str">
        <f>'Alternate Item List'!B28</f>
        <v>Emulsified Asphalt Tack Coat
(Item P-603)</v>
      </c>
      <c r="C16" s="39">
        <f>'Alternate Item List'!C28</f>
        <v>200</v>
      </c>
      <c r="D16" s="13" t="str">
        <f>'Alternate Item List'!D28</f>
        <v>Gal</v>
      </c>
      <c r="E16" s="17">
        <v>20</v>
      </c>
      <c r="F16" s="18">
        <f t="shared" si="1"/>
        <v>4000</v>
      </c>
      <c r="G16" s="17">
        <v>12</v>
      </c>
      <c r="H16" s="18">
        <f t="shared" si="2"/>
        <v>2400</v>
      </c>
      <c r="I16" s="17">
        <v>10.5</v>
      </c>
      <c r="J16" s="18">
        <f t="shared" si="3"/>
        <v>2100</v>
      </c>
      <c r="K16" s="17">
        <v>10.5</v>
      </c>
      <c r="L16" s="18">
        <f t="shared" si="4"/>
        <v>2100</v>
      </c>
      <c r="M16" s="17">
        <v>2.5</v>
      </c>
      <c r="N16" s="18">
        <f t="shared" si="0"/>
        <v>500</v>
      </c>
    </row>
    <row r="17" spans="1:16" ht="33" customHeight="1">
      <c r="A17" s="9" t="str">
        <f>'Alternate Item List'!A29</f>
        <v>0010</v>
      </c>
      <c r="B17" s="37" t="str">
        <f>'Alternate Item List'!B29</f>
        <v>Joint Sealing Filler                                       (Item P-605)</v>
      </c>
      <c r="C17" s="39">
        <f>'Alternate Item List'!C29</f>
        <v>24</v>
      </c>
      <c r="D17" s="13" t="str">
        <f>'Alternate Item List'!D29</f>
        <v>Gal</v>
      </c>
      <c r="E17" s="17">
        <v>131.18</v>
      </c>
      <c r="F17" s="18">
        <f t="shared" si="1"/>
        <v>3148.32</v>
      </c>
      <c r="G17" s="17">
        <v>127</v>
      </c>
      <c r="H17" s="18">
        <f t="shared" si="2"/>
        <v>3048</v>
      </c>
      <c r="I17" s="17">
        <v>110</v>
      </c>
      <c r="J17" s="18">
        <f t="shared" si="3"/>
        <v>2640</v>
      </c>
      <c r="K17" s="17">
        <v>130</v>
      </c>
      <c r="L17" s="18">
        <f t="shared" si="4"/>
        <v>3120</v>
      </c>
      <c r="M17" s="17">
        <v>240</v>
      </c>
      <c r="N17" s="18">
        <f t="shared" si="0"/>
        <v>5760</v>
      </c>
    </row>
    <row r="18" spans="1:16" ht="33" customHeight="1">
      <c r="A18" s="9" t="str">
        <f>'Alternate Item List'!A30</f>
        <v>0011</v>
      </c>
      <c r="B18" s="37" t="str">
        <f>'Alternate Item List'!B30</f>
        <v>Adhesive Compound  
(Item P-606)</v>
      </c>
      <c r="C18" s="39">
        <f>'Alternate Item List'!C30</f>
        <v>41</v>
      </c>
      <c r="D18" s="13" t="str">
        <f>'Alternate Item List'!D30</f>
        <v>Gal</v>
      </c>
      <c r="E18" s="17">
        <v>262.36</v>
      </c>
      <c r="F18" s="18">
        <f t="shared" si="1"/>
        <v>10756.76</v>
      </c>
      <c r="G18" s="17">
        <v>254</v>
      </c>
      <c r="H18" s="18">
        <f t="shared" si="2"/>
        <v>10414</v>
      </c>
      <c r="I18" s="17">
        <v>220</v>
      </c>
      <c r="J18" s="18">
        <f t="shared" si="3"/>
        <v>9020</v>
      </c>
      <c r="K18" s="17">
        <v>265</v>
      </c>
      <c r="L18" s="18">
        <f t="shared" si="4"/>
        <v>10865</v>
      </c>
      <c r="M18" s="17">
        <v>260</v>
      </c>
      <c r="N18" s="18">
        <f t="shared" si="0"/>
        <v>10660</v>
      </c>
    </row>
    <row r="19" spans="1:16" ht="33" customHeight="1">
      <c r="A19" s="9" t="str">
        <f>'Alternate Item List'!A31</f>
        <v>0012</v>
      </c>
      <c r="B19" s="37" t="str">
        <f>'Alternate Item List'!B31</f>
        <v>Surface Preparation - Existing Pavement Surface
(Item P-620)</v>
      </c>
      <c r="C19" s="39">
        <f>'Alternate Item List'!C31</f>
        <v>14600</v>
      </c>
      <c r="D19" s="13" t="str">
        <f>'Alternate Item List'!D31</f>
        <v>SF</v>
      </c>
      <c r="E19" s="17">
        <v>0.71</v>
      </c>
      <c r="F19" s="18">
        <f t="shared" si="1"/>
        <v>10366</v>
      </c>
      <c r="G19" s="17">
        <v>0.72</v>
      </c>
      <c r="H19" s="18">
        <f t="shared" si="2"/>
        <v>10512</v>
      </c>
      <c r="I19" s="17">
        <v>0.62</v>
      </c>
      <c r="J19" s="18">
        <f t="shared" si="3"/>
        <v>9052</v>
      </c>
      <c r="K19" s="17">
        <v>0.75</v>
      </c>
      <c r="L19" s="18">
        <f t="shared" si="4"/>
        <v>10950</v>
      </c>
      <c r="M19" s="17">
        <v>0.25</v>
      </c>
      <c r="N19" s="18">
        <f t="shared" si="0"/>
        <v>3650</v>
      </c>
    </row>
    <row r="20" spans="1:16" ht="33" customHeight="1">
      <c r="A20" s="9" t="str">
        <f>'Alternate Item List'!A32</f>
        <v>0013</v>
      </c>
      <c r="B20" s="37" t="str">
        <f>'Alternate Item List'!B32</f>
        <v>Marking
(Item P-620)</v>
      </c>
      <c r="C20" s="39">
        <f>'Alternate Item List'!C32</f>
        <v>23200</v>
      </c>
      <c r="D20" s="13" t="str">
        <f>'Alternate Item List'!D32</f>
        <v>SF</v>
      </c>
      <c r="E20" s="17">
        <v>1.84</v>
      </c>
      <c r="F20" s="18">
        <f t="shared" si="1"/>
        <v>42688</v>
      </c>
      <c r="G20" s="17">
        <v>1.85</v>
      </c>
      <c r="H20" s="18">
        <f t="shared" si="2"/>
        <v>42920</v>
      </c>
      <c r="I20" s="17">
        <v>1.6</v>
      </c>
      <c r="J20" s="18">
        <f t="shared" si="3"/>
        <v>37120</v>
      </c>
      <c r="K20" s="17">
        <v>2</v>
      </c>
      <c r="L20" s="18">
        <f t="shared" si="4"/>
        <v>46400</v>
      </c>
      <c r="M20" s="17">
        <v>1</v>
      </c>
      <c r="N20" s="18">
        <f t="shared" si="0"/>
        <v>23200</v>
      </c>
    </row>
    <row r="21" spans="1:16" ht="33" customHeight="1">
      <c r="A21" s="9" t="str">
        <f>'Alternate Item List'!A33</f>
        <v>0014</v>
      </c>
      <c r="B21" s="37" t="str">
        <f>'Alternate Item List'!B33</f>
        <v>Reflective Media
(Item P-620)</v>
      </c>
      <c r="C21" s="39">
        <f>'Alternate Item List'!C33</f>
        <v>725</v>
      </c>
      <c r="D21" s="13" t="str">
        <f>'Alternate Item List'!D33</f>
        <v>LB</v>
      </c>
      <c r="E21" s="17">
        <v>0.75</v>
      </c>
      <c r="F21" s="18">
        <f t="shared" si="1"/>
        <v>543.75</v>
      </c>
      <c r="G21" s="17">
        <v>0.75</v>
      </c>
      <c r="H21" s="18">
        <f t="shared" si="2"/>
        <v>543.75</v>
      </c>
      <c r="I21" s="17">
        <v>0.65</v>
      </c>
      <c r="J21" s="18">
        <f t="shared" si="3"/>
        <v>471.25</v>
      </c>
      <c r="K21" s="17">
        <v>0.8</v>
      </c>
      <c r="L21" s="18">
        <f t="shared" si="4"/>
        <v>580</v>
      </c>
      <c r="M21" s="17">
        <v>2</v>
      </c>
      <c r="N21" s="18">
        <f t="shared" si="0"/>
        <v>1450</v>
      </c>
    </row>
    <row r="22" spans="1:16" ht="33" customHeight="1">
      <c r="A22" s="9" t="str">
        <f>'Alternate Item List'!A34</f>
        <v>0015</v>
      </c>
      <c r="B22" s="37" t="str">
        <f>'Alternate Item List'!B34</f>
        <v>Temporary Runway and Taxiway Marking
(Item P-620)</v>
      </c>
      <c r="C22" s="39">
        <f>'Alternate Item List'!C34</f>
        <v>15800</v>
      </c>
      <c r="D22" s="13" t="str">
        <f>'Alternate Item List'!D34</f>
        <v>SF</v>
      </c>
      <c r="E22" s="17">
        <v>1.84</v>
      </c>
      <c r="F22" s="18">
        <f t="shared" si="1"/>
        <v>29072</v>
      </c>
      <c r="G22" s="17">
        <v>1.85</v>
      </c>
      <c r="H22" s="18">
        <f t="shared" si="2"/>
        <v>29230</v>
      </c>
      <c r="I22" s="17">
        <v>2.6</v>
      </c>
      <c r="J22" s="18">
        <f t="shared" si="3"/>
        <v>41080</v>
      </c>
      <c r="K22" s="17">
        <v>2</v>
      </c>
      <c r="L22" s="18">
        <f t="shared" si="4"/>
        <v>31600</v>
      </c>
      <c r="M22" s="17">
        <v>1</v>
      </c>
      <c r="N22" s="18">
        <f t="shared" si="0"/>
        <v>15800</v>
      </c>
    </row>
    <row r="23" spans="1:16" ht="33" customHeight="1">
      <c r="A23" s="9" t="str">
        <f>'Alternate Item List'!A35</f>
        <v>0016</v>
      </c>
      <c r="B23" s="37" t="str">
        <f>'Alternate Item List'!B35</f>
        <v>Contaminated Material Excavation and Disposal                                                   (Section 026100)</v>
      </c>
      <c r="C23" s="39">
        <f>'Alternate Item List'!C35</f>
        <v>300</v>
      </c>
      <c r="D23" s="13" t="str">
        <f>'Alternate Item List'!D35</f>
        <v>Ton</v>
      </c>
      <c r="E23" s="17">
        <v>15.33</v>
      </c>
      <c r="F23" s="18">
        <f t="shared" si="1"/>
        <v>4599</v>
      </c>
      <c r="G23" s="17">
        <v>104</v>
      </c>
      <c r="H23" s="18">
        <f t="shared" si="2"/>
        <v>31200</v>
      </c>
      <c r="I23" s="17">
        <v>110</v>
      </c>
      <c r="J23" s="18">
        <f t="shared" si="3"/>
        <v>33000</v>
      </c>
      <c r="K23" s="17">
        <v>135</v>
      </c>
      <c r="L23" s="18">
        <f t="shared" si="4"/>
        <v>40500</v>
      </c>
      <c r="M23" s="17">
        <v>100</v>
      </c>
      <c r="N23" s="18">
        <f t="shared" si="0"/>
        <v>30000</v>
      </c>
    </row>
    <row r="24" spans="1:16" ht="33" customHeight="1">
      <c r="A24" s="9" t="str">
        <f>'Alternate Item List'!A36</f>
        <v>0017</v>
      </c>
      <c r="B24" s="37" t="str">
        <f>'Alternate Item List'!B36</f>
        <v>General Electrical Removal
(Section 260500)</v>
      </c>
      <c r="C24" s="39">
        <f>'Alternate Item List'!C36</f>
        <v>1</v>
      </c>
      <c r="D24" s="13" t="str">
        <f>'Alternate Item List'!D36</f>
        <v>LS</v>
      </c>
      <c r="E24" s="17">
        <v>17888.03</v>
      </c>
      <c r="F24" s="18">
        <f t="shared" si="1"/>
        <v>17888.03</v>
      </c>
      <c r="G24" s="17">
        <v>17350</v>
      </c>
      <c r="H24" s="18">
        <f t="shared" si="2"/>
        <v>17350</v>
      </c>
      <c r="I24" s="17">
        <v>15000</v>
      </c>
      <c r="J24" s="18">
        <f t="shared" si="3"/>
        <v>15000</v>
      </c>
      <c r="K24" s="17">
        <v>18300</v>
      </c>
      <c r="L24" s="18">
        <f t="shared" si="4"/>
        <v>18300</v>
      </c>
      <c r="M24" s="17">
        <v>5000</v>
      </c>
      <c r="N24" s="18">
        <f t="shared" si="0"/>
        <v>5000</v>
      </c>
    </row>
    <row r="25" spans="1:16" ht="33" customHeight="1">
      <c r="A25" s="9" t="str">
        <f>'Alternate Item List'!A37</f>
        <v>0018</v>
      </c>
      <c r="B25" s="37" t="str">
        <f>'Alternate Item List'!B37</f>
        <v>Temporary Circuit Connection
(Section 260500)</v>
      </c>
      <c r="C25" s="39">
        <f>'Alternate Item List'!C37</f>
        <v>1</v>
      </c>
      <c r="D25" s="13" t="str">
        <f>'Alternate Item List'!D37</f>
        <v>LS</v>
      </c>
      <c r="E25" s="17">
        <v>8347.75</v>
      </c>
      <c r="F25" s="18">
        <f t="shared" si="1"/>
        <v>8347.75</v>
      </c>
      <c r="G25" s="17">
        <v>8100</v>
      </c>
      <c r="H25" s="18">
        <f t="shared" si="2"/>
        <v>8100</v>
      </c>
      <c r="I25" s="17">
        <v>7000</v>
      </c>
      <c r="J25" s="18">
        <f t="shared" si="3"/>
        <v>7000</v>
      </c>
      <c r="K25" s="17">
        <v>8500</v>
      </c>
      <c r="L25" s="18">
        <f t="shared" si="4"/>
        <v>8500</v>
      </c>
      <c r="M25" s="17">
        <v>2000</v>
      </c>
      <c r="N25" s="18">
        <f t="shared" si="0"/>
        <v>2000</v>
      </c>
    </row>
    <row r="26" spans="1:16" ht="43.5" customHeight="1">
      <c r="A26" s="9" t="str">
        <f>'Alternate Item List'!A38</f>
        <v>0019</v>
      </c>
      <c r="B26" s="37" t="str">
        <f>'Alternate Item List'!B38</f>
        <v>Reinstall In-Pavement Taxiway Centerline Light on Existing Base Can with Existing Transformer
(Section 344300)</v>
      </c>
      <c r="C26" s="39">
        <f>'Alternate Item List'!C38</f>
        <v>2</v>
      </c>
      <c r="D26" s="13" t="str">
        <f>'Alternate Item List'!D38</f>
        <v>Each</v>
      </c>
      <c r="E26" s="17">
        <v>894.43</v>
      </c>
      <c r="F26" s="18">
        <f t="shared" si="1"/>
        <v>1788.86</v>
      </c>
      <c r="G26" s="17">
        <v>867</v>
      </c>
      <c r="H26" s="18">
        <f t="shared" si="2"/>
        <v>1734</v>
      </c>
      <c r="I26" s="17">
        <v>750</v>
      </c>
      <c r="J26" s="18">
        <f t="shared" si="3"/>
        <v>1500</v>
      </c>
      <c r="K26" s="17">
        <v>1000</v>
      </c>
      <c r="L26" s="18">
        <f t="shared" si="4"/>
        <v>2000</v>
      </c>
      <c r="M26" s="17">
        <v>700</v>
      </c>
      <c r="N26" s="18">
        <f t="shared" si="0"/>
        <v>1400</v>
      </c>
    </row>
    <row r="27" spans="1:16" ht="33" customHeight="1">
      <c r="A27" s="9" t="str">
        <f>'Alternate Item List'!A39</f>
        <v>0020</v>
      </c>
      <c r="B27" s="37" t="str">
        <f>'Alternate Item List'!B39</f>
        <v>Reinstall In-Pavement Stop Bar Light on Existing Base Can with Existing Transformer
(Section 344300)</v>
      </c>
      <c r="C27" s="39">
        <f>'Alternate Item List'!C39</f>
        <v>5</v>
      </c>
      <c r="D27" s="13" t="str">
        <f>'Alternate Item List'!D39</f>
        <v>Each</v>
      </c>
      <c r="E27" s="17">
        <v>894.43</v>
      </c>
      <c r="F27" s="18">
        <f t="shared" si="1"/>
        <v>4472.1499999999996</v>
      </c>
      <c r="G27" s="17">
        <v>867</v>
      </c>
      <c r="H27" s="18">
        <f t="shared" si="2"/>
        <v>4335</v>
      </c>
      <c r="I27" s="17">
        <v>750</v>
      </c>
      <c r="J27" s="18">
        <f t="shared" si="3"/>
        <v>3750</v>
      </c>
      <c r="K27" s="17">
        <v>1000</v>
      </c>
      <c r="L27" s="18">
        <f t="shared" si="4"/>
        <v>5000</v>
      </c>
      <c r="M27" s="17">
        <v>700</v>
      </c>
      <c r="N27" s="18">
        <f t="shared" si="0"/>
        <v>3500</v>
      </c>
    </row>
    <row r="28" spans="1:16" ht="33" customHeight="1">
      <c r="A28" s="9" t="str">
        <f>'Alternate Item List'!A40</f>
        <v>0021</v>
      </c>
      <c r="B28" s="37" t="str">
        <f>'Alternate Item List'!B40</f>
        <v>Adjust Existing Taxiway Centerline Light to New Finish Elevation
(Section 344301)</v>
      </c>
      <c r="C28" s="39">
        <f>'Alternate Item List'!C40</f>
        <v>77</v>
      </c>
      <c r="D28" s="13" t="str">
        <f>'Alternate Item List'!D40</f>
        <v>Each</v>
      </c>
      <c r="E28" s="17">
        <v>1192.56</v>
      </c>
      <c r="F28" s="18">
        <f t="shared" si="1"/>
        <v>91827.12</v>
      </c>
      <c r="G28" s="17">
        <v>1150</v>
      </c>
      <c r="H28" s="18">
        <f t="shared" si="2"/>
        <v>88550</v>
      </c>
      <c r="I28" s="17">
        <v>1000</v>
      </c>
      <c r="J28" s="18">
        <f t="shared" si="3"/>
        <v>77000</v>
      </c>
      <c r="K28" s="17">
        <v>1225</v>
      </c>
      <c r="L28" s="18">
        <f t="shared" si="4"/>
        <v>94325</v>
      </c>
      <c r="M28" s="17">
        <v>2500</v>
      </c>
      <c r="N28" s="18">
        <f t="shared" si="0"/>
        <v>192500</v>
      </c>
    </row>
    <row r="29" spans="1:16" ht="27.75" customHeight="1">
      <c r="A29" s="10"/>
      <c r="B29" s="14" t="s">
        <v>157</v>
      </c>
      <c r="C29" s="28"/>
      <c r="D29" s="15"/>
      <c r="E29" s="19"/>
      <c r="F29" s="19">
        <f>SUM(F8:F28)</f>
        <v>1018239.6699999999</v>
      </c>
      <c r="G29" s="19"/>
      <c r="H29" s="19">
        <f>SUM(H8:H28)</f>
        <v>1095921.75</v>
      </c>
      <c r="I29" s="19"/>
      <c r="J29" s="19">
        <f>SUM(J8:J28)</f>
        <v>1218247.25</v>
      </c>
      <c r="K29" s="19"/>
      <c r="L29" s="19">
        <f>SUM(L8:L28)</f>
        <v>967073</v>
      </c>
      <c r="M29" s="19"/>
      <c r="N29" s="19">
        <f>SUM(N8:N24)</f>
        <v>911201</v>
      </c>
    </row>
    <row r="30" spans="1:16" ht="27.75" customHeight="1">
      <c r="A30" s="10"/>
      <c r="B30" s="38" t="s">
        <v>168</v>
      </c>
      <c r="C30" s="28"/>
      <c r="D30" s="15"/>
      <c r="E30" s="19"/>
      <c r="F30" s="19">
        <f>F29+Total1</f>
        <v>10938063.83</v>
      </c>
      <c r="G30" s="19"/>
      <c r="H30" s="19">
        <f>H29+Total2</f>
        <v>10406032.75</v>
      </c>
      <c r="I30" s="19"/>
      <c r="J30" s="19">
        <f>J29+Total3</f>
        <v>12340448.25</v>
      </c>
      <c r="K30" s="19"/>
      <c r="L30" s="19">
        <f>L29+Total4</f>
        <v>10580625.5</v>
      </c>
      <c r="M30" s="19"/>
      <c r="N30" s="19">
        <f>N29+TotalEE</f>
        <v>10205253</v>
      </c>
      <c r="O30" s="19"/>
      <c r="P30" s="19"/>
    </row>
  </sheetData>
  <mergeCells count="11">
    <mergeCell ref="A6:D6"/>
    <mergeCell ref="M1:N5"/>
    <mergeCell ref="E1:F5"/>
    <mergeCell ref="G1:H5"/>
    <mergeCell ref="I1:J5"/>
    <mergeCell ref="A1:D1"/>
    <mergeCell ref="A2:D2"/>
    <mergeCell ref="A3:D3"/>
    <mergeCell ref="A4:D4"/>
    <mergeCell ref="A5:D5"/>
    <mergeCell ref="K1:L5"/>
  </mergeCells>
  <printOptions horizontalCentered="1"/>
  <pageMargins left="0.5" right="0.5" top="0.5" bottom="0.5" header="0.05" footer="0.5"/>
  <pageSetup orientation="landscape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6" tint="-0.499984740745262"/>
  </sheetPr>
  <dimension ref="A1:D14"/>
  <sheetViews>
    <sheetView view="pageBreakPreview" zoomScaleNormal="75" zoomScaleSheetLayoutView="100" workbookViewId="0">
      <selection activeCell="D10" sqref="D10"/>
    </sheetView>
  </sheetViews>
  <sheetFormatPr defaultRowHeight="15"/>
  <cols>
    <col min="1" max="1" width="41.5703125" style="11" customWidth="1"/>
    <col min="2" max="2" width="24.28515625" style="33" customWidth="1"/>
    <col min="3" max="3" width="23.5703125" style="33" customWidth="1"/>
  </cols>
  <sheetData>
    <row r="1" spans="1:4" ht="30" customHeight="1">
      <c r="A1" s="45" t="str">
        <f>ProjectLocation</f>
        <v>PORTLAND INTERNATIONAL AIRPORT</v>
      </c>
      <c r="B1" s="47"/>
      <c r="C1" s="47"/>
    </row>
    <row r="2" spans="1:4" ht="15" customHeight="1">
      <c r="A2" s="46" t="s">
        <v>169</v>
      </c>
      <c r="B2" s="48"/>
      <c r="C2" s="48"/>
    </row>
    <row r="3" spans="1:4" ht="15" customHeight="1">
      <c r="A3" s="46" t="s">
        <v>164</v>
      </c>
      <c r="B3" s="48"/>
      <c r="C3" s="48"/>
    </row>
    <row r="4" spans="1:4">
      <c r="A4" s="40" t="str">
        <f>EAN</f>
        <v>EAN 2022D028</v>
      </c>
      <c r="B4" s="48"/>
      <c r="C4" s="48"/>
    </row>
    <row r="5" spans="1:4" ht="15" customHeight="1">
      <c r="A5" s="41" t="str">
        <f>SolicitationNo</f>
        <v>Solicitation No. 2023-10399</v>
      </c>
      <c r="B5" s="48"/>
      <c r="C5" s="48"/>
    </row>
    <row r="6" spans="1:4" ht="15" customHeight="1">
      <c r="A6" s="42">
        <f ca="1">TODAY()</f>
        <v>46042</v>
      </c>
      <c r="B6" s="49"/>
      <c r="C6" s="49"/>
    </row>
    <row r="7" spans="1:4" ht="33" customHeight="1">
      <c r="A7" s="43" t="s">
        <v>170</v>
      </c>
      <c r="B7" s="50" t="s">
        <v>171</v>
      </c>
      <c r="C7" s="54" t="s">
        <v>172</v>
      </c>
    </row>
    <row r="8" spans="1:4" ht="33" customHeight="1">
      <c r="A8" s="44" t="str">
        <f>Contractor2</f>
        <v>K &amp; E Excavating, Inc.</v>
      </c>
      <c r="B8" s="51" t="s">
        <v>173</v>
      </c>
      <c r="C8" s="51">
        <f>'Alternate Bid Tabulation'!H29</f>
        <v>1095921.75</v>
      </c>
      <c r="D8">
        <v>3</v>
      </c>
    </row>
    <row r="9" spans="1:4" ht="33" customHeight="1">
      <c r="A9" s="44" t="str">
        <f>Contractor4</f>
        <v>Lakeside Industries, Inc.</v>
      </c>
      <c r="B9" s="51">
        <f>Total4</f>
        <v>9613552.5</v>
      </c>
      <c r="C9" s="51">
        <f>'Alternate Bid Tabulation'!L29</f>
        <v>967073</v>
      </c>
      <c r="D9">
        <v>1</v>
      </c>
    </row>
    <row r="10" spans="1:4" ht="33" customHeight="1">
      <c r="A10" s="44" t="str">
        <f>Contractor1</f>
        <v>Granite Construction Company</v>
      </c>
      <c r="B10" s="51" t="s">
        <v>174</v>
      </c>
      <c r="C10" s="51">
        <f>'Alternate Bid Tabulation'!F29</f>
        <v>1018239.6699999999</v>
      </c>
      <c r="D10">
        <v>2</v>
      </c>
    </row>
    <row r="11" spans="1:4" ht="33" customHeight="1">
      <c r="A11" s="44" t="str">
        <f>Contractor3</f>
        <v>Kerr Contractors 
Oregon LLC</v>
      </c>
      <c r="B11" s="51">
        <f>Total3</f>
        <v>11122201</v>
      </c>
      <c r="C11" s="51">
        <f>'Alternate Bid Tabulation'!J29</f>
        <v>1218247.25</v>
      </c>
      <c r="D11">
        <v>4</v>
      </c>
    </row>
    <row r="12" spans="1:4" ht="33" customHeight="1">
      <c r="A12" s="52" t="str">
        <f>EngineerEstimate</f>
        <v>Engineer's Estimate</v>
      </c>
      <c r="B12" s="53">
        <f>TotalEE</f>
        <v>9294052</v>
      </c>
      <c r="C12" s="53">
        <f>'Alternate Bid Tabulation'!N29</f>
        <v>911201</v>
      </c>
    </row>
    <row r="13" spans="1:4">
      <c r="A13" s="34" t="s">
        <v>175</v>
      </c>
    </row>
    <row r="14" spans="1:4">
      <c r="A14" s="34" t="s">
        <v>176</v>
      </c>
    </row>
  </sheetData>
  <sortState xmlns:xlrd2="http://schemas.microsoft.com/office/spreadsheetml/2017/richdata2" ref="A8:C11">
    <sortCondition ref="B8:B11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67ADB0-09DE-4601-BCA0-3B36EA6E9CC1}"/>
</file>

<file path=customXml/itemProps2.xml><?xml version="1.0" encoding="utf-8"?>
<ds:datastoreItem xmlns:ds="http://schemas.openxmlformats.org/officeDocument/2006/customXml" ds:itemID="{EF630B02-A1EF-4B37-B9D6-8F352B384281}"/>
</file>

<file path=customXml/itemProps3.xml><?xml version="1.0" encoding="utf-8"?>
<ds:datastoreItem xmlns:ds="http://schemas.openxmlformats.org/officeDocument/2006/customXml" ds:itemID="{D25D4913-28AC-4EAF-8F1E-8C8F9FBCB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Hogan Marhoefer</cp:lastModifiedBy>
  <cp:revision/>
  <dcterms:created xsi:type="dcterms:W3CDTF">2014-05-02T22:08:37Z</dcterms:created>
  <dcterms:modified xsi:type="dcterms:W3CDTF">2026-01-21T04:56:29Z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