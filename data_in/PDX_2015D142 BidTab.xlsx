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dx\15D\142\"/>
    </mc:Choice>
  </mc:AlternateContent>
  <bookViews>
    <workbookView xWindow="12585" yWindow="-15" windowWidth="12630" windowHeight="12990" tabRatio="716" activeTab="4"/>
  </bookViews>
  <sheets>
    <sheet name="Bid Item List A (RW 3-21)" sheetId="8" r:id="rId1"/>
    <sheet name="Bid Item List B (RSA)" sheetId="1" r:id="rId2"/>
    <sheet name="Bid Tab A (RW 3-21)" sheetId="9" r:id="rId3"/>
    <sheet name="Bid Tab B (RSA)" sheetId="2" r:id="rId4"/>
    <sheet name="Summary" sheetId="5" r:id="rId5"/>
  </sheets>
  <definedNames>
    <definedName name="Contractor1" localSheetId="2">'Bid Tab A (RW 3-21)'!$E$1</definedName>
    <definedName name="Contractor1">'Bid Tab B (RSA)'!$E$1</definedName>
    <definedName name="Contractor2" localSheetId="2">'Bid Tab A (RW 3-21)'!$G$1</definedName>
    <definedName name="Contractor2">'Bid Tab B (RSA)'!$G$1</definedName>
    <definedName name="Contractor3" localSheetId="2">'Bid Tab A (RW 3-21)'!$I$1</definedName>
    <definedName name="Contractor3">'Bid Tab B (RSA)'!$I$1</definedName>
    <definedName name="Contractor4" localSheetId="2">'Bid Tab A (RW 3-21)'!$K$1</definedName>
    <definedName name="Contractor4">'Bid Tab B (RSA)'!$K$1</definedName>
    <definedName name="Contractor5" localSheetId="2">'Bid Tab A (RW 3-21)'!$M$1</definedName>
    <definedName name="Contractor5">'Bid Tab B (RSA)'!$M$1</definedName>
    <definedName name="Contractor6" localSheetId="2">'Bid Tab A (RW 3-21)'!#REF!</definedName>
    <definedName name="Contractor6">'Bid Tab B (RSA)'!#REF!</definedName>
    <definedName name="Contractor7" localSheetId="2">'Bid Tab A (RW 3-21)'!#REF!</definedName>
    <definedName name="Contractor7">'Bid Tab B (RSA)'!#REF!</definedName>
    <definedName name="Contractor8" localSheetId="2">'Bid Tab A (RW 3-21)'!#REF!</definedName>
    <definedName name="Contractor8">'Bid Tab B (RSA)'!#REF!</definedName>
    <definedName name="EngineerEstimate" localSheetId="2">'Bid Tab A (RW 3-21)'!$O$1</definedName>
    <definedName name="EngineerEstimate">'Bid Tab B (RSA)'!$O$1</definedName>
    <definedName name="_xlnm.Print_Area" localSheetId="0">'Bid Item List A (RW 3-21)'!$A$14:$F$66</definedName>
    <definedName name="_xlnm.Print_Area" localSheetId="1">'Bid Item List B (RSA)'!$A$14:$F$70</definedName>
    <definedName name="_xlnm.Print_Area" localSheetId="4">Summary!$A$1:$B$15</definedName>
    <definedName name="_xlnm.Print_Titles" localSheetId="0">'Bid Item List A (RW 3-21)'!$14:$19</definedName>
    <definedName name="_xlnm.Print_Titles" localSheetId="1">'Bid Item List B (RSA)'!$14:$19</definedName>
    <definedName name="_xlnm.Print_Titles" localSheetId="2">'Bid Tab A (RW 3-21)'!$A:$D,'Bid Tab A (RW 3-21)'!$1:$7</definedName>
    <definedName name="_xlnm.Print_Titles" localSheetId="3">'Bid Tab B (RSA)'!$A:$D,'Bid Tab B (RSA)'!$1:$7</definedName>
  </definedNames>
  <calcPr calcId="171027"/>
</workbook>
</file>

<file path=xl/calcChain.xml><?xml version="1.0" encoding="utf-8"?>
<calcChain xmlns="http://schemas.openxmlformats.org/spreadsheetml/2006/main">
  <c r="H48" i="2" l="1"/>
  <c r="J48" i="2"/>
  <c r="P48" i="2"/>
  <c r="F49" i="2"/>
  <c r="L49" i="2"/>
  <c r="N49" i="2"/>
  <c r="H50" i="2"/>
  <c r="J50" i="2"/>
  <c r="P50" i="2"/>
  <c r="F51" i="2"/>
  <c r="L51" i="2"/>
  <c r="N51" i="2"/>
  <c r="H52" i="2"/>
  <c r="J52" i="2"/>
  <c r="P52" i="2"/>
  <c r="F53" i="2"/>
  <c r="L53" i="2"/>
  <c r="N53" i="2"/>
  <c r="H54" i="2"/>
  <c r="J54" i="2"/>
  <c r="P54" i="2"/>
  <c r="F55" i="2"/>
  <c r="L55" i="2"/>
  <c r="N55" i="2"/>
  <c r="H56" i="2"/>
  <c r="J56" i="2"/>
  <c r="P56" i="2"/>
  <c r="A49" i="2"/>
  <c r="B49" i="2"/>
  <c r="C49" i="2"/>
  <c r="J49" i="2" s="1"/>
  <c r="D49" i="2"/>
  <c r="A50" i="2"/>
  <c r="B50" i="2"/>
  <c r="C50" i="2"/>
  <c r="F50" i="2" s="1"/>
  <c r="D50" i="2"/>
  <c r="A51" i="2"/>
  <c r="B51" i="2"/>
  <c r="C51" i="2"/>
  <c r="J51" i="2" s="1"/>
  <c r="D51" i="2"/>
  <c r="A52" i="2"/>
  <c r="B52" i="2"/>
  <c r="C52" i="2"/>
  <c r="F52" i="2" s="1"/>
  <c r="D52" i="2"/>
  <c r="A53" i="2"/>
  <c r="B53" i="2"/>
  <c r="C53" i="2"/>
  <c r="J53" i="2" s="1"/>
  <c r="D53" i="2"/>
  <c r="A54" i="2"/>
  <c r="B54" i="2"/>
  <c r="C54" i="2"/>
  <c r="F54" i="2" s="1"/>
  <c r="D54" i="2"/>
  <c r="A55" i="2"/>
  <c r="B55" i="2"/>
  <c r="C55" i="2"/>
  <c r="J55" i="2" s="1"/>
  <c r="D55" i="2"/>
  <c r="A56" i="2"/>
  <c r="B56" i="2"/>
  <c r="C56" i="2"/>
  <c r="F56" i="2" s="1"/>
  <c r="D56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F48" i="2" s="1"/>
  <c r="D48" i="2"/>
  <c r="A14" i="9"/>
  <c r="B14" i="9"/>
  <c r="C14" i="9"/>
  <c r="D14" i="9"/>
  <c r="A15" i="9"/>
  <c r="B15" i="9"/>
  <c r="C15" i="9"/>
  <c r="D15" i="9"/>
  <c r="A16" i="9"/>
  <c r="B16" i="9"/>
  <c r="C16" i="9"/>
  <c r="D16" i="9"/>
  <c r="A17" i="9"/>
  <c r="B17" i="9"/>
  <c r="C17" i="9"/>
  <c r="D17" i="9"/>
  <c r="A18" i="9"/>
  <c r="B18" i="9"/>
  <c r="C18" i="9"/>
  <c r="D18" i="9"/>
  <c r="A19" i="9"/>
  <c r="B19" i="9"/>
  <c r="C19" i="9"/>
  <c r="D19" i="9"/>
  <c r="A20" i="9"/>
  <c r="B20" i="9"/>
  <c r="C20" i="9"/>
  <c r="D20" i="9"/>
  <c r="A21" i="9"/>
  <c r="B21" i="9"/>
  <c r="C21" i="9"/>
  <c r="D21" i="9"/>
  <c r="A22" i="9"/>
  <c r="B22" i="9"/>
  <c r="C22" i="9"/>
  <c r="D22" i="9"/>
  <c r="A23" i="9"/>
  <c r="B23" i="9"/>
  <c r="C23" i="9"/>
  <c r="D23" i="9"/>
  <c r="A24" i="9"/>
  <c r="B24" i="9"/>
  <c r="C24" i="9"/>
  <c r="D24" i="9"/>
  <c r="A25" i="9"/>
  <c r="B25" i="9"/>
  <c r="C25" i="9"/>
  <c r="D25" i="9"/>
  <c r="A26" i="9"/>
  <c r="B26" i="9"/>
  <c r="C26" i="9"/>
  <c r="D26" i="9"/>
  <c r="A27" i="9"/>
  <c r="B27" i="9"/>
  <c r="C27" i="9"/>
  <c r="D27" i="9"/>
  <c r="A28" i="9"/>
  <c r="B28" i="9"/>
  <c r="C28" i="9"/>
  <c r="D28" i="9"/>
  <c r="A29" i="9"/>
  <c r="B29" i="9"/>
  <c r="C29" i="9"/>
  <c r="D29" i="9"/>
  <c r="A30" i="9"/>
  <c r="B30" i="9"/>
  <c r="C30" i="9"/>
  <c r="D30" i="9"/>
  <c r="A31" i="9"/>
  <c r="B31" i="9"/>
  <c r="C31" i="9"/>
  <c r="D31" i="9"/>
  <c r="A32" i="9"/>
  <c r="B32" i="9"/>
  <c r="C32" i="9"/>
  <c r="D32" i="9"/>
  <c r="A33" i="9"/>
  <c r="B33" i="9"/>
  <c r="C33" i="9"/>
  <c r="D33" i="9"/>
  <c r="A34" i="9"/>
  <c r="B34" i="9"/>
  <c r="C34" i="9"/>
  <c r="D34" i="9"/>
  <c r="A35" i="9"/>
  <c r="B35" i="9"/>
  <c r="C35" i="9"/>
  <c r="D35" i="9"/>
  <c r="A36" i="9"/>
  <c r="B36" i="9"/>
  <c r="C36" i="9"/>
  <c r="D36" i="9"/>
  <c r="A37" i="9"/>
  <c r="B37" i="9"/>
  <c r="C37" i="9"/>
  <c r="D37" i="9"/>
  <c r="A38" i="9"/>
  <c r="B38" i="9"/>
  <c r="C38" i="9"/>
  <c r="D38" i="9"/>
  <c r="A39" i="9"/>
  <c r="B39" i="9"/>
  <c r="C39" i="9"/>
  <c r="D39" i="9"/>
  <c r="A40" i="9"/>
  <c r="B40" i="9"/>
  <c r="C40" i="9"/>
  <c r="D40" i="9"/>
  <c r="A41" i="9"/>
  <c r="B41" i="9"/>
  <c r="C41" i="9"/>
  <c r="D41" i="9"/>
  <c r="A42" i="9"/>
  <c r="B42" i="9"/>
  <c r="C42" i="9"/>
  <c r="D42" i="9"/>
  <c r="A43" i="9"/>
  <c r="B43" i="9"/>
  <c r="C43" i="9"/>
  <c r="D43" i="9"/>
  <c r="A44" i="9"/>
  <c r="B44" i="9"/>
  <c r="C44" i="9"/>
  <c r="D44" i="9"/>
  <c r="A45" i="9"/>
  <c r="B45" i="9"/>
  <c r="C45" i="9"/>
  <c r="D45" i="9"/>
  <c r="A46" i="9"/>
  <c r="B46" i="9"/>
  <c r="C46" i="9"/>
  <c r="D46" i="9"/>
  <c r="A47" i="9"/>
  <c r="B47" i="9"/>
  <c r="C47" i="9"/>
  <c r="D47" i="9"/>
  <c r="A48" i="9"/>
  <c r="B48" i="9"/>
  <c r="C48" i="9"/>
  <c r="D48" i="9"/>
  <c r="A49" i="9"/>
  <c r="B49" i="9"/>
  <c r="C49" i="9"/>
  <c r="D49" i="9"/>
  <c r="A50" i="9"/>
  <c r="B50" i="9"/>
  <c r="C50" i="9"/>
  <c r="D50" i="9"/>
  <c r="A51" i="9"/>
  <c r="B51" i="9"/>
  <c r="C51" i="9"/>
  <c r="D51" i="9"/>
  <c r="A52" i="9"/>
  <c r="B52" i="9"/>
  <c r="C52" i="9"/>
  <c r="D52" i="9"/>
  <c r="A53" i="9"/>
  <c r="B53" i="9"/>
  <c r="C53" i="9"/>
  <c r="D53" i="9"/>
  <c r="L56" i="2" l="1"/>
  <c r="P55" i="2"/>
  <c r="H55" i="2"/>
  <c r="L54" i="2"/>
  <c r="P53" i="2"/>
  <c r="H53" i="2"/>
  <c r="L52" i="2"/>
  <c r="P51" i="2"/>
  <c r="H51" i="2"/>
  <c r="L50" i="2"/>
  <c r="P49" i="2"/>
  <c r="H49" i="2"/>
  <c r="L48" i="2"/>
  <c r="N56" i="2"/>
  <c r="N54" i="2"/>
  <c r="N52" i="2"/>
  <c r="N50" i="2"/>
  <c r="N48" i="2"/>
  <c r="A8" i="2"/>
  <c r="B8" i="2"/>
  <c r="C8" i="2"/>
  <c r="D8" i="2"/>
  <c r="A9" i="2"/>
  <c r="B9" i="2"/>
  <c r="C9" i="2"/>
  <c r="D9" i="2"/>
  <c r="A10" i="2"/>
  <c r="B10" i="2"/>
  <c r="C10" i="2"/>
  <c r="D10" i="2"/>
  <c r="H13" i="2"/>
  <c r="L13" i="2"/>
  <c r="L14" i="2"/>
  <c r="L15" i="2"/>
  <c r="H16" i="2"/>
  <c r="L17" i="2"/>
  <c r="P17" i="2"/>
  <c r="L18" i="2"/>
  <c r="F19" i="2"/>
  <c r="H20" i="2"/>
  <c r="L21" i="2"/>
  <c r="L22" i="2"/>
  <c r="F23" i="2"/>
  <c r="P23" i="2"/>
  <c r="H24" i="2"/>
  <c r="F25" i="2"/>
  <c r="H25" i="2"/>
  <c r="P25" i="2"/>
  <c r="H26" i="2"/>
  <c r="F27" i="2"/>
  <c r="H28" i="2"/>
  <c r="F29" i="2"/>
  <c r="L30" i="2"/>
  <c r="F31" i="2"/>
  <c r="H32" i="2"/>
  <c r="L33" i="2"/>
  <c r="H33" i="2"/>
  <c r="L34" i="2"/>
  <c r="F35" i="2"/>
  <c r="H36" i="2"/>
  <c r="L37" i="2"/>
  <c r="L38" i="2"/>
  <c r="F39" i="2"/>
  <c r="H40" i="2"/>
  <c r="H41" i="2"/>
  <c r="H42" i="2"/>
  <c r="F43" i="2"/>
  <c r="H44" i="2"/>
  <c r="L45" i="2"/>
  <c r="H46" i="2"/>
  <c r="F47" i="2"/>
  <c r="A11" i="9"/>
  <c r="B11" i="9"/>
  <c r="C11" i="9"/>
  <c r="D11" i="9"/>
  <c r="A12" i="9"/>
  <c r="B12" i="9"/>
  <c r="C12" i="9"/>
  <c r="D12" i="9"/>
  <c r="A13" i="9"/>
  <c r="B13" i="9"/>
  <c r="C13" i="9"/>
  <c r="D13" i="9"/>
  <c r="L20" i="2" l="1"/>
  <c r="H17" i="2"/>
  <c r="J41" i="2"/>
  <c r="N13" i="2"/>
  <c r="J17" i="2"/>
  <c r="F17" i="2"/>
  <c r="H38" i="2"/>
  <c r="L27" i="2"/>
  <c r="P24" i="2"/>
  <c r="P33" i="2"/>
  <c r="P43" i="2"/>
  <c r="P22" i="2"/>
  <c r="L41" i="2"/>
  <c r="P27" i="2"/>
  <c r="N20" i="2"/>
  <c r="J31" i="2"/>
  <c r="H29" i="2"/>
  <c r="F24" i="2"/>
  <c r="J22" i="2"/>
  <c r="P19" i="2"/>
  <c r="L16" i="2"/>
  <c r="P42" i="2"/>
  <c r="P37" i="2"/>
  <c r="P31" i="2"/>
  <c r="J29" i="2"/>
  <c r="N24" i="2"/>
  <c r="J20" i="2"/>
  <c r="N16" i="2"/>
  <c r="P47" i="2"/>
  <c r="P39" i="2"/>
  <c r="L32" i="2"/>
  <c r="P29" i="2"/>
  <c r="L28" i="2"/>
  <c r="J27" i="2"/>
  <c r="L23" i="2"/>
  <c r="L19" i="2"/>
  <c r="L44" i="2"/>
  <c r="J42" i="2"/>
  <c r="J39" i="2"/>
  <c r="J28" i="2"/>
  <c r="J19" i="2"/>
  <c r="J16" i="2"/>
  <c r="J45" i="2"/>
  <c r="L43" i="2"/>
  <c r="J40" i="2"/>
  <c r="P38" i="2"/>
  <c r="J30" i="2"/>
  <c r="F28" i="2"/>
  <c r="P26" i="2"/>
  <c r="P21" i="2"/>
  <c r="J47" i="2"/>
  <c r="H45" i="2"/>
  <c r="N41" i="2"/>
  <c r="P40" i="2"/>
  <c r="F40" i="2"/>
  <c r="P35" i="2"/>
  <c r="J33" i="2"/>
  <c r="L31" i="2"/>
  <c r="H30" i="2"/>
  <c r="L29" i="2"/>
  <c r="P28" i="2"/>
  <c r="J26" i="2"/>
  <c r="J25" i="2"/>
  <c r="L24" i="2"/>
  <c r="J21" i="2"/>
  <c r="N18" i="2"/>
  <c r="N17" i="2"/>
  <c r="J15" i="2"/>
  <c r="H14" i="2"/>
  <c r="J13" i="2"/>
  <c r="P45" i="2"/>
  <c r="N40" i="2"/>
  <c r="J18" i="2"/>
  <c r="P14" i="2"/>
  <c r="P13" i="2"/>
  <c r="F13" i="2"/>
  <c r="L40" i="2"/>
  <c r="L47" i="2"/>
  <c r="P41" i="2"/>
  <c r="F41" i="2"/>
  <c r="J37" i="2"/>
  <c r="N29" i="2"/>
  <c r="L25" i="2"/>
  <c r="P15" i="2"/>
  <c r="J14" i="2"/>
  <c r="N36" i="2"/>
  <c r="H21" i="2"/>
  <c r="L35" i="2"/>
  <c r="N33" i="2"/>
  <c r="F33" i="2"/>
  <c r="N21" i="2"/>
  <c r="F21" i="2"/>
  <c r="P46" i="2"/>
  <c r="N45" i="2"/>
  <c r="F45" i="2"/>
  <c r="J44" i="2"/>
  <c r="J43" i="2"/>
  <c r="H37" i="2"/>
  <c r="L36" i="2"/>
  <c r="J34" i="2"/>
  <c r="J32" i="2"/>
  <c r="J46" i="2"/>
  <c r="P44" i="2"/>
  <c r="F44" i="2"/>
  <c r="L39" i="2"/>
  <c r="J38" i="2"/>
  <c r="N37" i="2"/>
  <c r="F37" i="2"/>
  <c r="J36" i="2"/>
  <c r="J35" i="2"/>
  <c r="H34" i="2"/>
  <c r="P32" i="2"/>
  <c r="F32" i="2"/>
  <c r="P30" i="2"/>
  <c r="N28" i="2"/>
  <c r="N25" i="2"/>
  <c r="J24" i="2"/>
  <c r="J23" i="2"/>
  <c r="H22" i="2"/>
  <c r="P20" i="2"/>
  <c r="F20" i="2"/>
  <c r="P18" i="2"/>
  <c r="H18" i="2"/>
  <c r="P16" i="2"/>
  <c r="F16" i="2"/>
  <c r="N44" i="2"/>
  <c r="P36" i="2"/>
  <c r="F36" i="2"/>
  <c r="P34" i="2"/>
  <c r="N32" i="2"/>
  <c r="H47" i="2"/>
  <c r="H43" i="2"/>
  <c r="N42" i="2"/>
  <c r="F42" i="2"/>
  <c r="H39" i="2"/>
  <c r="N38" i="2"/>
  <c r="F38" i="2"/>
  <c r="H35" i="2"/>
  <c r="N34" i="2"/>
  <c r="F34" i="2"/>
  <c r="H31" i="2"/>
  <c r="N30" i="2"/>
  <c r="F30" i="2"/>
  <c r="H27" i="2"/>
  <c r="N26" i="2"/>
  <c r="F26" i="2"/>
  <c r="H23" i="2"/>
  <c r="N22" i="2"/>
  <c r="F22" i="2"/>
  <c r="H19" i="2"/>
  <c r="F18" i="2"/>
  <c r="H15" i="2"/>
  <c r="N14" i="2"/>
  <c r="F14" i="2"/>
  <c r="N46" i="2"/>
  <c r="F46" i="2"/>
  <c r="N47" i="2"/>
  <c r="L46" i="2"/>
  <c r="N43" i="2"/>
  <c r="L42" i="2"/>
  <c r="N39" i="2"/>
  <c r="N35" i="2"/>
  <c r="N31" i="2"/>
  <c r="N27" i="2"/>
  <c r="L26" i="2"/>
  <c r="N23" i="2"/>
  <c r="N19" i="2"/>
  <c r="N15" i="2"/>
  <c r="F15" i="2"/>
  <c r="F11" i="2"/>
  <c r="L12" i="2"/>
  <c r="L8" i="2"/>
  <c r="J10" i="2"/>
  <c r="A8" i="9"/>
  <c r="B8" i="9"/>
  <c r="C8" i="9"/>
  <c r="D8" i="9"/>
  <c r="A9" i="9"/>
  <c r="B9" i="9"/>
  <c r="C9" i="9"/>
  <c r="D9" i="9"/>
  <c r="A10" i="9"/>
  <c r="B10" i="9"/>
  <c r="C10" i="9"/>
  <c r="D10" i="9"/>
  <c r="P12" i="2" l="1"/>
  <c r="N10" i="2"/>
  <c r="L10" i="2"/>
  <c r="L9" i="2"/>
  <c r="N12" i="2"/>
  <c r="L11" i="2"/>
  <c r="J9" i="2"/>
  <c r="P10" i="2"/>
  <c r="H10" i="2"/>
  <c r="H9" i="2"/>
  <c r="J12" i="2"/>
  <c r="F10" i="2"/>
  <c r="J8" i="2"/>
  <c r="F12" i="2"/>
  <c r="H12" i="2"/>
  <c r="J11" i="2"/>
  <c r="H11" i="2"/>
  <c r="P11" i="2"/>
  <c r="N11" i="2"/>
  <c r="P9" i="2"/>
  <c r="N9" i="2"/>
  <c r="F9" i="2"/>
  <c r="H8" i="2"/>
  <c r="P8" i="2"/>
  <c r="N8" i="2"/>
  <c r="F8" i="2"/>
  <c r="F8" i="9"/>
  <c r="H8" i="9"/>
  <c r="H9" i="9"/>
  <c r="J9" i="9"/>
  <c r="L9" i="9"/>
  <c r="P9" i="9"/>
  <c r="H10" i="9"/>
  <c r="P10" i="9"/>
  <c r="H11" i="9"/>
  <c r="J11" i="9"/>
  <c r="F12" i="9"/>
  <c r="J12" i="9"/>
  <c r="J13" i="9"/>
  <c r="H14" i="9"/>
  <c r="J14" i="9"/>
  <c r="L14" i="9"/>
  <c r="P14" i="9"/>
  <c r="J15" i="9"/>
  <c r="F16" i="9"/>
  <c r="F17" i="9"/>
  <c r="J17" i="9"/>
  <c r="L17" i="9"/>
  <c r="N17" i="9"/>
  <c r="P17" i="9"/>
  <c r="H19" i="9"/>
  <c r="F20" i="9"/>
  <c r="L21" i="9"/>
  <c r="J21" i="9"/>
  <c r="H22" i="9"/>
  <c r="N22" i="9"/>
  <c r="H23" i="9"/>
  <c r="F24" i="9"/>
  <c r="J24" i="9"/>
  <c r="F25" i="9"/>
  <c r="J25" i="9"/>
  <c r="H26" i="9"/>
  <c r="L26" i="9"/>
  <c r="H27" i="9"/>
  <c r="L27" i="9"/>
  <c r="F28" i="9"/>
  <c r="F29" i="9"/>
  <c r="H29" i="9"/>
  <c r="J29" i="9"/>
  <c r="L29" i="9"/>
  <c r="H30" i="9"/>
  <c r="P30" i="9"/>
  <c r="H31" i="9"/>
  <c r="F32" i="9"/>
  <c r="J32" i="9"/>
  <c r="F33" i="9"/>
  <c r="H33" i="9"/>
  <c r="J33" i="9"/>
  <c r="L33" i="9"/>
  <c r="H34" i="9"/>
  <c r="H35" i="9"/>
  <c r="F36" i="9"/>
  <c r="J36" i="9"/>
  <c r="F37" i="9"/>
  <c r="H37" i="9"/>
  <c r="J37" i="9"/>
  <c r="L37" i="9"/>
  <c r="H38" i="9"/>
  <c r="P38" i="9"/>
  <c r="H39" i="9"/>
  <c r="L39" i="9"/>
  <c r="F40" i="9"/>
  <c r="L41" i="9"/>
  <c r="N41" i="9"/>
  <c r="H42" i="9"/>
  <c r="L42" i="9"/>
  <c r="N42" i="9"/>
  <c r="H43" i="9"/>
  <c r="J43" i="9"/>
  <c r="F44" i="9"/>
  <c r="N45" i="9"/>
  <c r="H46" i="9"/>
  <c r="F46" i="9"/>
  <c r="J46" i="9"/>
  <c r="L46" i="9"/>
  <c r="N46" i="9"/>
  <c r="P46" i="9"/>
  <c r="H47" i="9"/>
  <c r="F48" i="9"/>
  <c r="F49" i="9"/>
  <c r="L49" i="9"/>
  <c r="H50" i="9"/>
  <c r="L50" i="9"/>
  <c r="P50" i="9"/>
  <c r="F51" i="9"/>
  <c r="F52" i="9"/>
  <c r="F53" i="9"/>
  <c r="J53" i="9"/>
  <c r="L53" i="9" l="1"/>
  <c r="P34" i="9"/>
  <c r="L25" i="9"/>
  <c r="H53" i="9"/>
  <c r="J49" i="9"/>
  <c r="J45" i="9"/>
  <c r="P42" i="9"/>
  <c r="J42" i="9"/>
  <c r="J41" i="9"/>
  <c r="L34" i="9"/>
  <c r="L30" i="9"/>
  <c r="J28" i="9"/>
  <c r="J27" i="9"/>
  <c r="F26" i="9"/>
  <c r="H25" i="9"/>
  <c r="L22" i="9"/>
  <c r="L19" i="9"/>
  <c r="J16" i="9"/>
  <c r="F14" i="9"/>
  <c r="N10" i="9"/>
  <c r="F9" i="9"/>
  <c r="P53" i="9"/>
  <c r="N53" i="9"/>
  <c r="L51" i="9"/>
  <c r="H49" i="9"/>
  <c r="J44" i="9"/>
  <c r="P41" i="9"/>
  <c r="F41" i="9"/>
  <c r="L38" i="9"/>
  <c r="L35" i="9"/>
  <c r="F34" i="9"/>
  <c r="L31" i="9"/>
  <c r="P26" i="9"/>
  <c r="P25" i="9"/>
  <c r="N25" i="9"/>
  <c r="P22" i="9"/>
  <c r="J22" i="9"/>
  <c r="N18" i="9"/>
  <c r="N14" i="9"/>
  <c r="L10" i="9"/>
  <c r="N9" i="9"/>
  <c r="J48" i="9"/>
  <c r="F45" i="9"/>
  <c r="J52" i="9"/>
  <c r="J51" i="9"/>
  <c r="N50" i="9"/>
  <c r="P49" i="9"/>
  <c r="N49" i="9"/>
  <c r="L45" i="9"/>
  <c r="L43" i="9"/>
  <c r="F42" i="9"/>
  <c r="H41" i="9"/>
  <c r="J40" i="9"/>
  <c r="J39" i="9"/>
  <c r="N38" i="9"/>
  <c r="P37" i="9"/>
  <c r="N37" i="9"/>
  <c r="H36" i="9"/>
  <c r="J35" i="9"/>
  <c r="N34" i="9"/>
  <c r="P33" i="9"/>
  <c r="N33" i="9"/>
  <c r="H32" i="9"/>
  <c r="J31" i="9"/>
  <c r="N30" i="9"/>
  <c r="P29" i="9"/>
  <c r="N29" i="9"/>
  <c r="J26" i="9"/>
  <c r="L23" i="9"/>
  <c r="F22" i="9"/>
  <c r="H21" i="9"/>
  <c r="J20" i="9"/>
  <c r="J19" i="9"/>
  <c r="L18" i="9"/>
  <c r="L15" i="9"/>
  <c r="F13" i="9"/>
  <c r="N13" i="9"/>
  <c r="P13" i="9"/>
  <c r="H13" i="9"/>
  <c r="L13" i="9"/>
  <c r="J23" i="9"/>
  <c r="P21" i="9"/>
  <c r="N21" i="9"/>
  <c r="F21" i="9"/>
  <c r="P18" i="9"/>
  <c r="J18" i="9"/>
  <c r="J50" i="9"/>
  <c r="L47" i="9"/>
  <c r="H45" i="9"/>
  <c r="J38" i="9"/>
  <c r="J34" i="9"/>
  <c r="J30" i="9"/>
  <c r="N26" i="9"/>
  <c r="H17" i="9"/>
  <c r="F50" i="9"/>
  <c r="J47" i="9"/>
  <c r="P45" i="9"/>
  <c r="F38" i="9"/>
  <c r="F30" i="9"/>
  <c r="H18" i="9"/>
  <c r="F18" i="9"/>
  <c r="H15" i="9"/>
  <c r="L11" i="9"/>
  <c r="F10" i="9"/>
  <c r="J8" i="9"/>
  <c r="J10" i="9"/>
  <c r="P52" i="9"/>
  <c r="H51" i="9"/>
  <c r="L52" i="9"/>
  <c r="P51" i="9"/>
  <c r="N51" i="9"/>
  <c r="L48" i="9"/>
  <c r="P47" i="9"/>
  <c r="N47" i="9"/>
  <c r="F47" i="9"/>
  <c r="L44" i="9"/>
  <c r="P43" i="9"/>
  <c r="N43" i="9"/>
  <c r="F43" i="9"/>
  <c r="L40" i="9"/>
  <c r="P39" i="9"/>
  <c r="N39" i="9"/>
  <c r="F39" i="9"/>
  <c r="L36" i="9"/>
  <c r="P35" i="9"/>
  <c r="N35" i="9"/>
  <c r="F35" i="9"/>
  <c r="L32" i="9"/>
  <c r="P31" i="9"/>
  <c r="N31" i="9"/>
  <c r="F31" i="9"/>
  <c r="L28" i="9"/>
  <c r="P27" i="9"/>
  <c r="N27" i="9"/>
  <c r="F27" i="9"/>
  <c r="L24" i="9"/>
  <c r="P23" i="9"/>
  <c r="N23" i="9"/>
  <c r="F23" i="9"/>
  <c r="L20" i="9"/>
  <c r="P19" i="9"/>
  <c r="N19" i="9"/>
  <c r="F19" i="9"/>
  <c r="L16" i="9"/>
  <c r="P15" i="9"/>
  <c r="N15" i="9"/>
  <c r="F15" i="9"/>
  <c r="L12" i="9"/>
  <c r="P11" i="9"/>
  <c r="N11" i="9"/>
  <c r="F11" i="9"/>
  <c r="L8" i="9"/>
  <c r="H52" i="9"/>
  <c r="H48" i="9"/>
  <c r="H44" i="9"/>
  <c r="H40" i="9"/>
  <c r="H28" i="9"/>
  <c r="H24" i="9"/>
  <c r="H20" i="9"/>
  <c r="H16" i="9"/>
  <c r="H12" i="9"/>
  <c r="N52" i="9"/>
  <c r="P48" i="9"/>
  <c r="N48" i="9"/>
  <c r="P44" i="9"/>
  <c r="N44" i="9"/>
  <c r="P40" i="9"/>
  <c r="N40" i="9"/>
  <c r="P36" i="9"/>
  <c r="N36" i="9"/>
  <c r="P32" i="9"/>
  <c r="N32" i="9"/>
  <c r="P28" i="9"/>
  <c r="N28" i="9"/>
  <c r="P24" i="9"/>
  <c r="N24" i="9"/>
  <c r="P20" i="9"/>
  <c r="N20" i="9"/>
  <c r="P16" i="9"/>
  <c r="N16" i="9"/>
  <c r="P12" i="9"/>
  <c r="N12" i="9"/>
  <c r="P8" i="9"/>
  <c r="N8" i="9"/>
  <c r="O1" i="2"/>
  <c r="M1" i="2"/>
  <c r="K1" i="2"/>
  <c r="I1" i="2"/>
  <c r="G1" i="2"/>
  <c r="E1" i="2"/>
  <c r="A4" i="2"/>
  <c r="A5" i="2"/>
  <c r="L57" i="2" l="1"/>
  <c r="A6" i="9"/>
  <c r="A3" i="9"/>
  <c r="A2" i="9"/>
  <c r="A1" i="9"/>
  <c r="F57" i="2" l="1"/>
  <c r="J57" i="2"/>
  <c r="N57" i="2"/>
  <c r="A13" i="5"/>
  <c r="A10" i="5"/>
  <c r="A8" i="5"/>
  <c r="A12" i="5"/>
  <c r="A9" i="5"/>
  <c r="A11" i="5"/>
  <c r="P54" i="9" l="1"/>
  <c r="H54" i="9"/>
  <c r="F54" i="9"/>
  <c r="F58" i="2" s="1"/>
  <c r="B11" i="5" s="1"/>
  <c r="N54" i="9"/>
  <c r="N58" i="2" s="1"/>
  <c r="B10" i="5" s="1"/>
  <c r="L54" i="9"/>
  <c r="L58" i="2" s="1"/>
  <c r="J54" i="9"/>
  <c r="J58" i="2" s="1"/>
  <c r="A3" i="5" l="1"/>
  <c r="A3" i="2"/>
  <c r="A2" i="5"/>
  <c r="A2" i="2"/>
  <c r="A1" i="5"/>
  <c r="A1" i="2"/>
  <c r="A5" i="5"/>
  <c r="A4" i="5"/>
  <c r="A6" i="5" l="1"/>
  <c r="A6" i="2"/>
  <c r="P57" i="2" l="1"/>
  <c r="P58" i="2" s="1"/>
  <c r="B13" i="5" s="1"/>
  <c r="H57" i="2"/>
  <c r="H58" i="2" s="1"/>
  <c r="B9" i="5" s="1"/>
</calcChain>
</file>

<file path=xl/sharedStrings.xml><?xml version="1.0" encoding="utf-8"?>
<sst xmlns="http://schemas.openxmlformats.org/spreadsheetml/2006/main" count="384" uniqueCount="167">
  <si>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</si>
  <si>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</si>
  <si>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</si>
  <si>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</si>
  <si>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</si>
  <si>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</si>
  <si>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</si>
  <si>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</si>
  <si>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</si>
  <si>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</si>
  <si>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</si>
  <si>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</si>
  <si>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</si>
  <si>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</si>
  <si>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</si>
  <si>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</si>
  <si>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</si>
  <si>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</si>
  <si>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</si>
  <si>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Bidder</t>
  </si>
  <si>
    <t>Engineer's Estimate</t>
  </si>
  <si>
    <t>General Electrical Removal
(Section 260500)</t>
  </si>
  <si>
    <t>Temporary Circuit Connection
(Section 260500)</t>
  </si>
  <si>
    <t>3-Inch Diameter Brass Marker
(Section 260553)</t>
  </si>
  <si>
    <t>PORTLAND INTERNATIONAL AIRPORT</t>
  </si>
  <si>
    <t>Total Amount Bid Schedule A</t>
  </si>
  <si>
    <t>Total Amount Bid Schedule B</t>
  </si>
  <si>
    <t>Install PF LED Taxiway Centerline Light on Existing Base Can with CF Isolation Transformer  (Section 344300)</t>
  </si>
  <si>
    <t>No. 8 AWG 5kV Cable
(Item L-108)</t>
  </si>
  <si>
    <t>2-Inch PVC in Existing AC 
(Item L-110)</t>
  </si>
  <si>
    <t>Ground Rod for Counterpoise
(Item L-108)</t>
  </si>
  <si>
    <t>Total Amount Bid Schedules A and B (Basis of Award)</t>
  </si>
  <si>
    <t>PAVEMENT IMPROVEMENTS</t>
  </si>
  <si>
    <t>RUNWAY 3-21 STORMWATER INFRASTRUCTURE AND</t>
  </si>
  <si>
    <t>EAN 2015D142</t>
  </si>
  <si>
    <t>1-Inch IMC in Existing AC 
(Item L-110)</t>
  </si>
  <si>
    <t>Sign E6-6
(Section 344302)</t>
  </si>
  <si>
    <t>Sign E6-9
(Section 344302)</t>
  </si>
  <si>
    <t>Sign G-3
(Section 344302)</t>
  </si>
  <si>
    <t>Install PF LED Taxiway Centerline Light with PF Base Can, CF Transformer in New AC (Section 344300)</t>
  </si>
  <si>
    <t>Adjust Existing In-Pavement Runway Edge Light
(Section 344301)</t>
  </si>
  <si>
    <t>No. 6 AWG Solid Wire for Counterpoise
(Item L-108)</t>
  </si>
  <si>
    <t>2-Inch PVC Direct Buried
(Item L-110)</t>
  </si>
  <si>
    <t>Heat Shrink for 5kV L-823 Primary Connector
(Item L-108)</t>
  </si>
  <si>
    <t>Removal of Existing Storm Pipe, Manholes, and Inlets
(Section 312300)</t>
  </si>
  <si>
    <t>Connection to Existing Storm Drainage System
(Section 312300)</t>
  </si>
  <si>
    <t>Existing Manhole Adjustment to Grade
(Section 312300)</t>
  </si>
  <si>
    <t>Existing Catch Basin Adjustment to Grade
(Section 312300)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</si>
  <si>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</si>
  <si>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</si>
  <si>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</si>
  <si>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</si>
  <si>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</si>
  <si>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</si>
  <si>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</si>
  <si>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</si>
  <si>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</si>
  <si>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</si>
  <si>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</si>
  <si>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</si>
  <si>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</si>
  <si>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</si>
  <si>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</si>
  <si>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</si>
  <si>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</si>
  <si>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</si>
  <si>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</si>
  <si>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</si>
  <si>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</si>
  <si>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</si>
  <si>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</si>
  <si>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</si>
  <si>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</si>
  <si>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Mobilization, Cleanup, and Demobilization
(Section 012200)</t>
  </si>
  <si>
    <t>Sweeper
(Section 012200)</t>
  </si>
  <si>
    <t>Security Control Monitoring
(Section 012200)</t>
  </si>
  <si>
    <t>Escort
(Section 012200)</t>
  </si>
  <si>
    <t>Construction Access
(Section 015713)</t>
  </si>
  <si>
    <t>Inlet Protection
(Section 015713)</t>
  </si>
  <si>
    <t>Construction Survey
(Item GP-50)</t>
  </si>
  <si>
    <t>Joint and Crack Repair
(Item P-101)</t>
  </si>
  <si>
    <t>Silt Fence
(Item P-156)</t>
  </si>
  <si>
    <t>Hot Mix Asphalt (HMA) Pavement Base Course
(Item P-403)</t>
  </si>
  <si>
    <t>Bituminous Tack Coat
(Item P-603)</t>
  </si>
  <si>
    <t>Joint Sealing Filler
(Item P-605)</t>
  </si>
  <si>
    <t>Adhesive Compound
(Item P-606)</t>
  </si>
  <si>
    <t>Asphalt Surface Treatment
(Item P-608)</t>
  </si>
  <si>
    <t>Runway Friction Testing
(Item P-608)</t>
  </si>
  <si>
    <t>Structural Portland Cement Concrete (PCC)
(Item P-610)</t>
  </si>
  <si>
    <t>Steel Reinforcement
(Item P-610)</t>
  </si>
  <si>
    <t>Runway Marking
(Item P-620)</t>
  </si>
  <si>
    <t>Reflective Media
(Item P-620)</t>
  </si>
  <si>
    <t>Phasing Pavement Marking
(Item P-620)</t>
  </si>
  <si>
    <t>Grooving
(Item P-621)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</si>
  <si>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</si>
  <si>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</si>
  <si>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</si>
  <si>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</si>
  <si>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</si>
  <si>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</si>
  <si>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</si>
  <si>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</si>
  <si>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</si>
  <si>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</si>
  <si>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</si>
  <si>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</si>
  <si>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</si>
  <si>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</si>
  <si>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</si>
  <si>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</si>
  <si>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</si>
  <si>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</si>
  <si>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Jet Blast Control Material
(Section 015713)</t>
  </si>
  <si>
    <t>Asphalt Pavement Removal - 3-Inch Depth
(Item P-101)</t>
  </si>
  <si>
    <t>Asphalt Pavement Removal - 8-Inch Depth
(Item P-101)</t>
  </si>
  <si>
    <t>Borrow Excavation
(P-152)</t>
  </si>
  <si>
    <t>Unsuitable Excavation
(Item P-152)</t>
  </si>
  <si>
    <t>Geotextile
(Item P-152)</t>
  </si>
  <si>
    <t>Controlled Low-Strength Material (CLSM)
(Item P-153)</t>
  </si>
  <si>
    <t>Subbase Course
(Item P-154)</t>
  </si>
  <si>
    <t>Crushed Aggregate Base Course
(Item P-209)</t>
  </si>
  <si>
    <t>8-Inch STS Pipe
(Item D-701)</t>
  </si>
  <si>
    <t>12-Inch STS Pipe
(Item D-701)</t>
  </si>
  <si>
    <t>48-Inch STS Pipe
(Item D-701)</t>
  </si>
  <si>
    <t>24-Inch RCP Pipe
(Item D-701)</t>
  </si>
  <si>
    <t>48-Inch Manhole, Type B
(Item D-751)</t>
  </si>
  <si>
    <t>72-Inch Manhole, Type A
(Item D-751)</t>
  </si>
  <si>
    <t>Catch Basin
(Item D-751)</t>
  </si>
  <si>
    <t>Seeding
(Item T-901)</t>
  </si>
  <si>
    <t>Contaminated Material Excavation and Disposal
(Section 026100)</t>
  </si>
  <si>
    <t>30-Inch DIP (Force Main)
(Section 334100)</t>
  </si>
  <si>
    <t>Pump Station 
(Section 334213)</t>
  </si>
  <si>
    <t>Pump Station Electrical Equipment Installation
(Section 334213)</t>
  </si>
  <si>
    <t>Delineators
(Section 012200)</t>
  </si>
  <si>
    <t>Adjust Existing Elevated Runway Threshold/Edge Light
(Section 344301)</t>
  </si>
  <si>
    <t>0044</t>
  </si>
  <si>
    <t>0045</t>
  </si>
  <si>
    <t>Install PF L-868, 12-Inch Diameter Base Can, PF Cover Plate in New AC
(Section 344300)</t>
  </si>
  <si>
    <t>Install PF L-867, 12-Inch Diameter Base Can, PF Cover Plate in Existing AC
(Section 344300)</t>
  </si>
  <si>
    <t>Install PF Cover Plate on Existing Light Base
(Section 344300)</t>
  </si>
  <si>
    <t>Cold Milling - 2-Inch Maximum Depth
(Item P-101)</t>
  </si>
  <si>
    <t>Cold Milling - 4.5-Inch Maximum Depth
(Item P-101)</t>
  </si>
  <si>
    <t>12-Inch RCP Pipe
(Item D-701)</t>
  </si>
  <si>
    <t>48-Inch Manhole, Ditch Inlet
(Item D-751)</t>
  </si>
  <si>
    <t>84-Inch Manhole, Type A
(Item D-751)</t>
  </si>
  <si>
    <t>12-Inch DIP (Force Main)
(Section 334100)</t>
  </si>
  <si>
    <t>Hot Mix Asphalt (HMA) Bituminous Surface Course
(Item P-401)</t>
  </si>
  <si>
    <t>Hot Mix Asphalt (HMA) Base Course
(Item P-403)</t>
  </si>
  <si>
    <t>Adjustment of Existing Structures (H-20 Rated Vaults)
(Section 312300)</t>
  </si>
  <si>
    <t>Adjustment of Existing Structures (229 Kip Rated Vaults)
(Section 312300)</t>
  </si>
  <si>
    <t>Riprap
(Section 334100)</t>
  </si>
  <si>
    <t>0046</t>
  </si>
  <si>
    <t>0047</t>
  </si>
  <si>
    <t>0048</t>
  </si>
  <si>
    <t>0049</t>
  </si>
  <si>
    <t>Work Zone and Traffic Control
(Section 012200)</t>
  </si>
  <si>
    <t>Goodfellow Bros., Inc.</t>
  </si>
  <si>
    <t>K&amp;E Excavating, Inc.</t>
  </si>
  <si>
    <t>Nutter Corporation</t>
  </si>
  <si>
    <t>Solicitation No. 2017-6981</t>
  </si>
  <si>
    <t>Kodiak Pacific Construction</t>
  </si>
  <si>
    <t>Kerr Contractors 
Oregon, Inc.</t>
  </si>
  <si>
    <t>$___________</t>
  </si>
  <si>
    <t>^Corrected bid total</t>
  </si>
  <si>
    <t>$8,217,086.25^</t>
  </si>
  <si>
    <t>$6,693,693.00*</t>
  </si>
  <si>
    <t>*Non-responsive to the small business requirements of this solicitation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</si>
</sst>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>
      <alignment horizontal="center" wrapText="1"/>
    </xf>
    <xf numFmtId="0" fontId="0" fillId="0" borderId="0" xfId="0" applyAlignment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left" vertical="top" wrapText="1"/>
    </xf>
    <xf numFmtId="165" fontId="0" fillId="0" borderId="0" xfId="0" applyNumberFormat="1" applyAlignment="1">
      <alignment wrapText="1"/>
    </xf>
    <xf numFmtId="43" fontId="0" fillId="0" borderId="0" xfId="2" applyFont="1"/>
    <xf numFmtId="43" fontId="3" fillId="0" borderId="1" xfId="2" applyFont="1" applyBorder="1" applyAlignment="1">
      <alignment horizontal="center" wrapText="1"/>
    </xf>
    <xf numFmtId="167" fontId="7" fillId="0" borderId="5" xfId="0" applyNumberFormat="1" applyFont="1" applyBorder="1" applyAlignment="1">
      <alignment horizontal="center" vertical="top"/>
    </xf>
    <xf numFmtId="4" fontId="7" fillId="0" borderId="5" xfId="0" applyNumberFormat="1" applyFont="1" applyBorder="1" applyAlignment="1">
      <alignment horizontal="center" vertical="top"/>
    </xf>
    <xf numFmtId="4" fontId="0" fillId="0" borderId="0" xfId="0" applyNumberFormat="1"/>
    <xf numFmtId="0" fontId="7" fillId="0" borderId="5" xfId="0" applyNumberFormat="1" applyFont="1" applyBorder="1" applyAlignment="1">
      <alignment horizontal="center" vertical="top"/>
    </xf>
    <xf numFmtId="0" fontId="3" fillId="0" borderId="5" xfId="0" applyNumberFormat="1" applyFont="1" applyBorder="1" applyAlignment="1">
      <alignment horizontal="center" wrapText="1"/>
    </xf>
    <xf numFmtId="0" fontId="3" fillId="0" borderId="5" xfId="0" applyNumberFormat="1" applyFont="1" applyBorder="1"/>
    <xf numFmtId="0" fontId="0" fillId="0" borderId="0" xfId="0" applyNumberFormat="1"/>
    <xf numFmtId="0" fontId="2" fillId="0" borderId="0" xfId="0" applyNumberFormat="1" applyFont="1" applyBorder="1" applyProtection="1">
      <protection hidden="1"/>
    </xf>
    <xf numFmtId="0" fontId="2" fillId="0" borderId="0" xfId="0" applyNumberFormat="1" applyFont="1" applyFill="1" applyBorder="1" applyProtection="1">
      <protection hidden="1"/>
    </xf>
    <xf numFmtId="0" fontId="3" fillId="0" borderId="1" xfId="0" applyNumberFormat="1" applyFont="1" applyBorder="1" applyAlignment="1">
      <alignment horizontal="center" wrapText="1"/>
    </xf>
    <xf numFmtId="0" fontId="4" fillId="0" borderId="1" xfId="0" applyNumberFormat="1" applyFont="1" applyBorder="1" applyAlignment="1">
      <alignment horizontal="center" vertical="top"/>
    </xf>
    <xf numFmtId="0" fontId="4" fillId="0" borderId="1" xfId="0" applyNumberFormat="1" applyFont="1" applyBorder="1"/>
    <xf numFmtId="0" fontId="7" fillId="0" borderId="5" xfId="0" applyNumberFormat="1" applyFont="1" applyBorder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top" wrapText="1"/>
    </xf>
    <xf numFmtId="4" fontId="2" fillId="0" borderId="1" xfId="2" applyNumberFormat="1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top"/>
    </xf>
    <xf numFmtId="4" fontId="2" fillId="0" borderId="1" xfId="0" applyNumberFormat="1" applyFont="1" applyFill="1" applyBorder="1" applyAlignment="1">
      <alignment horizontal="center" vertical="top"/>
    </xf>
    <xf numFmtId="39" fontId="2" fillId="0" borderId="1" xfId="2" applyNumberFormat="1" applyFont="1" applyFill="1" applyBorder="1" applyAlignment="1">
      <alignment horizontal="center" vertical="top"/>
    </xf>
    <xf numFmtId="166" fontId="0" fillId="2" borderId="12" xfId="0" applyNumberFormat="1" applyFill="1" applyBorder="1"/>
    <xf numFmtId="166" fontId="0" fillId="2" borderId="13" xfId="0" applyNumberFormat="1" applyFill="1" applyBorder="1"/>
    <xf numFmtId="166" fontId="3" fillId="2" borderId="5" xfId="0" applyNumberFormat="1" applyFont="1" applyFill="1" applyBorder="1" applyAlignment="1">
      <alignment horizontal="center" wrapText="1"/>
    </xf>
    <xf numFmtId="166" fontId="7" fillId="2" borderId="5" xfId="1" applyNumberFormat="1" applyFont="1" applyFill="1" applyBorder="1" applyAlignment="1">
      <alignment horizontal="center" vertical="top"/>
    </xf>
    <xf numFmtId="166" fontId="3" fillId="2" borderId="5" xfId="0" applyNumberFormat="1" applyFont="1" applyFill="1" applyBorder="1"/>
    <xf numFmtId="166" fontId="7" fillId="2" borderId="5" xfId="0" applyNumberFormat="1" applyFont="1" applyFill="1" applyBorder="1" applyAlignment="1">
      <alignment horizontal="center" vertical="top"/>
    </xf>
    <xf numFmtId="0" fontId="0" fillId="2" borderId="0" xfId="0" applyFill="1"/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65" fontId="3" fillId="0" borderId="20" xfId="0" applyNumberFormat="1" applyFont="1" applyBorder="1" applyAlignment="1">
      <alignment horizontal="left" vertical="center" wrapText="1"/>
    </xf>
    <xf numFmtId="165" fontId="3" fillId="0" borderId="21" xfId="0" applyNumberFormat="1" applyFont="1" applyBorder="1" applyAlignment="1">
      <alignment horizontal="left" vertical="center" wrapText="1"/>
    </xf>
    <xf numFmtId="165" fontId="3" fillId="0" borderId="22" xfId="0" applyNumberFormat="1" applyFont="1" applyBorder="1" applyAlignment="1">
      <alignment horizontal="left" vertical="center" wrapText="1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9" xfId="0" applyNumberFormat="1" applyFont="1" applyFill="1" applyBorder="1" applyAlignment="1">
      <alignment horizontal="center" wrapText="1"/>
    </xf>
    <xf numFmtId="166" fontId="5" fillId="2" borderId="10" xfId="0" applyNumberFormat="1" applyFont="1" applyFill="1" applyBorder="1" applyAlignment="1">
      <alignment horizontal="center" wrapText="1"/>
    </xf>
    <xf numFmtId="166" fontId="5" fillId="2" borderId="11" xfId="0" applyNumberFormat="1" applyFont="1" applyFill="1" applyBorder="1" applyAlignment="1">
      <alignment horizontal="center" wrapText="1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66"/>
  <sheetViews>
    <sheetView view="pageLayout" topLeftCell="A14" zoomScaleNormal="100" zoomScaleSheetLayoutView="100" workbookViewId="0">
      <selection activeCell="F66" sqref="F66"/>
    </sheetView>
  </sheetViews>
  <sheetFormatPr defaultRowHeight="15" x14ac:dyDescent="0.25"/>
  <cols>
    <col min="1" max="1" width="6.5703125" style="47" customWidth="1"/>
    <col min="2" max="2" width="36.7109375" style="47" customWidth="1"/>
    <col min="3" max="3" width="10.7109375" style="39" customWidth="1"/>
    <col min="4" max="4" width="8.28515625" style="47" customWidth="1"/>
    <col min="5" max="6" width="13.28515625" style="22" customWidth="1"/>
  </cols>
  <sheetData>
    <row r="1" spans="1:6" hidden="1" x14ac:dyDescent="0.25">
      <c r="A1" s="48" t="s">
        <v>0</v>
      </c>
    </row>
    <row r="2" spans="1:6" hidden="1" x14ac:dyDescent="0.25">
      <c r="A2" s="48" t="s">
        <v>1</v>
      </c>
    </row>
    <row r="3" spans="1:6" hidden="1" x14ac:dyDescent="0.25">
      <c r="A3" s="49" t="s">
        <v>2</v>
      </c>
    </row>
    <row r="4" spans="1:6" hidden="1" x14ac:dyDescent="0.25">
      <c r="A4" s="49" t="s">
        <v>3</v>
      </c>
    </row>
    <row r="5" spans="1:6" hidden="1" x14ac:dyDescent="0.25">
      <c r="A5" s="49" t="s">
        <v>4</v>
      </c>
    </row>
    <row r="6" spans="1:6" hidden="1" x14ac:dyDescent="0.25">
      <c r="A6" s="49" t="s">
        <v>5</v>
      </c>
    </row>
    <row r="7" spans="1:6" hidden="1" x14ac:dyDescent="0.25">
      <c r="A7" s="49" t="s">
        <v>6</v>
      </c>
    </row>
    <row r="8" spans="1:6" hidden="1" x14ac:dyDescent="0.25">
      <c r="A8" s="49" t="s">
        <v>7</v>
      </c>
    </row>
    <row r="9" spans="1:6" hidden="1" x14ac:dyDescent="0.25">
      <c r="A9" s="48" t="s">
        <v>8</v>
      </c>
    </row>
    <row r="10" spans="1:6" hidden="1" x14ac:dyDescent="0.25">
      <c r="A10" s="49" t="s">
        <v>9</v>
      </c>
    </row>
    <row r="11" spans="1:6" hidden="1" x14ac:dyDescent="0.25">
      <c r="A11" s="49" t="s">
        <v>10</v>
      </c>
    </row>
    <row r="12" spans="1:6" hidden="1" x14ac:dyDescent="0.25">
      <c r="A12" s="49" t="s">
        <v>11</v>
      </c>
    </row>
    <row r="13" spans="1:6" hidden="1" x14ac:dyDescent="0.25">
      <c r="A13" s="49" t="s">
        <v>12</v>
      </c>
    </row>
    <row r="14" spans="1:6" x14ac:dyDescent="0.25">
      <c r="A14" s="74"/>
      <c r="B14" s="74"/>
      <c r="C14" s="74"/>
      <c r="D14" s="74"/>
      <c r="E14" s="75"/>
      <c r="F14" s="75"/>
    </row>
    <row r="15" spans="1:6" x14ac:dyDescent="0.25">
      <c r="A15" s="78" t="s">
        <v>24</v>
      </c>
      <c r="B15" s="78"/>
      <c r="C15" s="78"/>
      <c r="D15" s="78"/>
      <c r="E15" s="76"/>
      <c r="F15" s="76"/>
    </row>
    <row r="16" spans="1:6" x14ac:dyDescent="0.25">
      <c r="A16" s="78" t="s">
        <v>33</v>
      </c>
      <c r="B16" s="78"/>
      <c r="C16" s="78"/>
      <c r="D16" s="78"/>
      <c r="E16" s="76"/>
      <c r="F16" s="76"/>
    </row>
    <row r="17" spans="1:6" x14ac:dyDescent="0.25">
      <c r="A17" s="79" t="s">
        <v>32</v>
      </c>
      <c r="B17" s="79"/>
      <c r="C17" s="79"/>
      <c r="D17" s="79"/>
      <c r="E17" s="76"/>
      <c r="F17" s="76"/>
    </row>
    <row r="18" spans="1:6" x14ac:dyDescent="0.25">
      <c r="A18" s="80"/>
      <c r="B18" s="80"/>
      <c r="C18" s="80"/>
      <c r="D18" s="80"/>
      <c r="E18" s="77"/>
      <c r="F18" s="77"/>
    </row>
    <row r="19" spans="1:6" s="1" customFormat="1" ht="24" customHeight="1" x14ac:dyDescent="0.2">
      <c r="A19" s="50" t="s">
        <v>13</v>
      </c>
      <c r="B19" s="50" t="s">
        <v>14</v>
      </c>
      <c r="C19" s="40" t="s">
        <v>15</v>
      </c>
      <c r="D19" s="50" t="s">
        <v>16</v>
      </c>
      <c r="E19" s="23" t="s">
        <v>17</v>
      </c>
      <c r="F19" s="23" t="s">
        <v>18</v>
      </c>
    </row>
    <row r="20" spans="1:6" ht="40.5" customHeight="1" x14ac:dyDescent="0.25">
      <c r="A20" s="59" t="s">
        <v>48</v>
      </c>
      <c r="B20" s="57" t="s">
        <v>73</v>
      </c>
      <c r="C20" s="61">
        <v>1</v>
      </c>
      <c r="D20" s="59" t="s">
        <v>8</v>
      </c>
      <c r="E20" s="24"/>
      <c r="F20" s="24"/>
    </row>
    <row r="21" spans="1:6" ht="40.5" customHeight="1" x14ac:dyDescent="0.25">
      <c r="A21" s="59" t="s">
        <v>49</v>
      </c>
      <c r="B21" s="57" t="s">
        <v>74</v>
      </c>
      <c r="C21" s="61">
        <v>1</v>
      </c>
      <c r="D21" s="59" t="s">
        <v>8</v>
      </c>
      <c r="E21" s="24"/>
      <c r="F21" s="24"/>
    </row>
    <row r="22" spans="1:6" ht="40.5" customHeight="1" x14ac:dyDescent="0.25">
      <c r="A22" s="59" t="s">
        <v>50</v>
      </c>
      <c r="B22" s="57" t="s">
        <v>75</v>
      </c>
      <c r="C22" s="61">
        <v>1</v>
      </c>
      <c r="D22" s="59" t="s">
        <v>8</v>
      </c>
      <c r="E22" s="24"/>
      <c r="F22" s="24"/>
    </row>
    <row r="23" spans="1:6" ht="40.5" customHeight="1" x14ac:dyDescent="0.25">
      <c r="A23" s="59" t="s">
        <v>51</v>
      </c>
      <c r="B23" s="57" t="s">
        <v>155</v>
      </c>
      <c r="C23" s="61">
        <v>1</v>
      </c>
      <c r="D23" s="59" t="s">
        <v>8</v>
      </c>
      <c r="E23" s="24"/>
      <c r="F23" s="24"/>
    </row>
    <row r="24" spans="1:6" ht="40.5" customHeight="1" x14ac:dyDescent="0.25">
      <c r="A24" s="59" t="s">
        <v>52</v>
      </c>
      <c r="B24" s="57" t="s">
        <v>76</v>
      </c>
      <c r="C24" s="61">
        <v>1</v>
      </c>
      <c r="D24" s="59" t="s">
        <v>8</v>
      </c>
      <c r="E24" s="24"/>
      <c r="F24" s="24"/>
    </row>
    <row r="25" spans="1:6" ht="40.5" customHeight="1" x14ac:dyDescent="0.25">
      <c r="A25" s="59" t="s">
        <v>53</v>
      </c>
      <c r="B25" s="57" t="s">
        <v>77</v>
      </c>
      <c r="C25" s="61">
        <v>2</v>
      </c>
      <c r="D25" s="59" t="s">
        <v>2</v>
      </c>
      <c r="E25" s="24"/>
      <c r="F25" s="24"/>
    </row>
    <row r="26" spans="1:6" ht="40.5" customHeight="1" x14ac:dyDescent="0.25">
      <c r="A26" s="59" t="s">
        <v>54</v>
      </c>
      <c r="B26" s="57" t="s">
        <v>78</v>
      </c>
      <c r="C26" s="61">
        <v>86</v>
      </c>
      <c r="D26" s="59" t="s">
        <v>2</v>
      </c>
      <c r="E26" s="24"/>
      <c r="F26" s="24"/>
    </row>
    <row r="27" spans="1:6" ht="40.5" customHeight="1" x14ac:dyDescent="0.25">
      <c r="A27" s="59" t="s">
        <v>55</v>
      </c>
      <c r="B27" s="57" t="s">
        <v>79</v>
      </c>
      <c r="C27" s="61">
        <v>1</v>
      </c>
      <c r="D27" s="59" t="s">
        <v>8</v>
      </c>
      <c r="E27" s="24"/>
      <c r="F27" s="24"/>
    </row>
    <row r="28" spans="1:6" ht="40.5" customHeight="1" x14ac:dyDescent="0.25">
      <c r="A28" s="59" t="s">
        <v>56</v>
      </c>
      <c r="B28" s="57" t="s">
        <v>80</v>
      </c>
      <c r="C28" s="61">
        <v>1000</v>
      </c>
      <c r="D28" s="59" t="s">
        <v>7</v>
      </c>
      <c r="E28" s="24"/>
      <c r="F28" s="24"/>
    </row>
    <row r="29" spans="1:6" ht="40.5" customHeight="1" x14ac:dyDescent="0.25">
      <c r="A29" s="59" t="s">
        <v>57</v>
      </c>
      <c r="B29" s="57" t="s">
        <v>140</v>
      </c>
      <c r="C29" s="61">
        <v>58100</v>
      </c>
      <c r="D29" s="59" t="s">
        <v>11</v>
      </c>
      <c r="E29" s="24"/>
      <c r="F29" s="24"/>
    </row>
    <row r="30" spans="1:6" ht="40.5" customHeight="1" x14ac:dyDescent="0.25">
      <c r="A30" s="59" t="s">
        <v>58</v>
      </c>
      <c r="B30" s="57" t="s">
        <v>141</v>
      </c>
      <c r="C30" s="61">
        <v>30400</v>
      </c>
      <c r="D30" s="59" t="s">
        <v>11</v>
      </c>
      <c r="E30" s="24"/>
      <c r="F30" s="24"/>
    </row>
    <row r="31" spans="1:6" ht="40.5" customHeight="1" x14ac:dyDescent="0.25">
      <c r="A31" s="59" t="s">
        <v>59</v>
      </c>
      <c r="B31" s="57" t="s">
        <v>81</v>
      </c>
      <c r="C31" s="61">
        <v>4200</v>
      </c>
      <c r="D31" s="59" t="s">
        <v>7</v>
      </c>
      <c r="E31" s="24"/>
      <c r="F31" s="24"/>
    </row>
    <row r="32" spans="1:6" ht="40.5" customHeight="1" x14ac:dyDescent="0.25">
      <c r="A32" s="59" t="s">
        <v>60</v>
      </c>
      <c r="B32" s="57" t="s">
        <v>146</v>
      </c>
      <c r="C32" s="61">
        <v>15000</v>
      </c>
      <c r="D32" s="59" t="s">
        <v>12</v>
      </c>
      <c r="E32" s="24"/>
      <c r="F32" s="24"/>
    </row>
    <row r="33" spans="1:6" ht="40.5" customHeight="1" x14ac:dyDescent="0.25">
      <c r="A33" s="59" t="s">
        <v>61</v>
      </c>
      <c r="B33" s="57" t="s">
        <v>147</v>
      </c>
      <c r="C33" s="61">
        <v>8500</v>
      </c>
      <c r="D33" s="59" t="s">
        <v>12</v>
      </c>
      <c r="E33" s="24"/>
      <c r="F33" s="24"/>
    </row>
    <row r="34" spans="1:6" ht="40.5" customHeight="1" x14ac:dyDescent="0.25">
      <c r="A34" s="59" t="s">
        <v>62</v>
      </c>
      <c r="B34" s="57" t="s">
        <v>83</v>
      </c>
      <c r="C34" s="61">
        <v>9500</v>
      </c>
      <c r="D34" s="59" t="s">
        <v>4</v>
      </c>
      <c r="E34" s="24"/>
      <c r="F34" s="24"/>
    </row>
    <row r="35" spans="1:6" ht="40.5" customHeight="1" x14ac:dyDescent="0.25">
      <c r="A35" s="59" t="s">
        <v>63</v>
      </c>
      <c r="B35" s="57" t="s">
        <v>84</v>
      </c>
      <c r="C35" s="61">
        <v>25</v>
      </c>
      <c r="D35" s="59" t="s">
        <v>4</v>
      </c>
      <c r="E35" s="24"/>
      <c r="F35" s="24"/>
    </row>
    <row r="36" spans="1:6" ht="40.5" customHeight="1" x14ac:dyDescent="0.25">
      <c r="A36" s="59" t="s">
        <v>64</v>
      </c>
      <c r="B36" s="57" t="s">
        <v>85</v>
      </c>
      <c r="C36" s="61">
        <v>60</v>
      </c>
      <c r="D36" s="59" t="s">
        <v>4</v>
      </c>
      <c r="E36" s="24"/>
      <c r="F36" s="24"/>
    </row>
    <row r="37" spans="1:6" ht="42.75" customHeight="1" x14ac:dyDescent="0.25">
      <c r="A37" s="59" t="s">
        <v>65</v>
      </c>
      <c r="B37" s="57" t="s">
        <v>86</v>
      </c>
      <c r="C37" s="61">
        <v>19600</v>
      </c>
      <c r="D37" s="59" t="s">
        <v>11</v>
      </c>
      <c r="E37" s="24"/>
      <c r="F37" s="24"/>
    </row>
    <row r="38" spans="1:6" ht="40.5" customHeight="1" x14ac:dyDescent="0.25">
      <c r="A38" s="59" t="s">
        <v>66</v>
      </c>
      <c r="B38" s="57" t="s">
        <v>87</v>
      </c>
      <c r="C38" s="61">
        <v>1</v>
      </c>
      <c r="D38" s="59" t="s">
        <v>8</v>
      </c>
      <c r="E38" s="24"/>
      <c r="F38" s="24"/>
    </row>
    <row r="39" spans="1:6" ht="40.5" customHeight="1" x14ac:dyDescent="0.25">
      <c r="A39" s="59" t="s">
        <v>67</v>
      </c>
      <c r="B39" s="57" t="s">
        <v>88</v>
      </c>
      <c r="C39" s="61">
        <v>30</v>
      </c>
      <c r="D39" s="59" t="s">
        <v>1</v>
      </c>
      <c r="E39" s="24"/>
      <c r="F39" s="24"/>
    </row>
    <row r="40" spans="1:6" ht="40.5" customHeight="1" x14ac:dyDescent="0.25">
      <c r="A40" s="59" t="s">
        <v>68</v>
      </c>
      <c r="B40" s="57" t="s">
        <v>89</v>
      </c>
      <c r="C40" s="61">
        <v>400</v>
      </c>
      <c r="D40" s="59" t="s">
        <v>6</v>
      </c>
      <c r="E40" s="24"/>
      <c r="F40" s="24"/>
    </row>
    <row r="41" spans="1:6" ht="40.5" customHeight="1" x14ac:dyDescent="0.25">
      <c r="A41" s="59" t="s">
        <v>69</v>
      </c>
      <c r="B41" s="57" t="s">
        <v>90</v>
      </c>
      <c r="C41" s="61">
        <v>92000</v>
      </c>
      <c r="D41" s="59" t="s">
        <v>10</v>
      </c>
      <c r="E41" s="24"/>
      <c r="F41" s="24"/>
    </row>
    <row r="42" spans="1:6" ht="40.5" customHeight="1" x14ac:dyDescent="0.25">
      <c r="A42" s="59" t="s">
        <v>70</v>
      </c>
      <c r="B42" s="57" t="s">
        <v>91</v>
      </c>
      <c r="C42" s="61">
        <v>5600</v>
      </c>
      <c r="D42" s="59" t="s">
        <v>6</v>
      </c>
      <c r="E42" s="24"/>
      <c r="F42" s="24"/>
    </row>
    <row r="43" spans="1:6" ht="40.5" customHeight="1" x14ac:dyDescent="0.25">
      <c r="A43" s="59" t="s">
        <v>71</v>
      </c>
      <c r="B43" s="57" t="s">
        <v>92</v>
      </c>
      <c r="C43" s="61">
        <v>7250</v>
      </c>
      <c r="D43" s="59" t="s">
        <v>10</v>
      </c>
      <c r="E43" s="24"/>
      <c r="F43" s="24"/>
    </row>
    <row r="44" spans="1:6" ht="40.5" customHeight="1" x14ac:dyDescent="0.25">
      <c r="A44" s="59" t="s">
        <v>72</v>
      </c>
      <c r="B44" s="57" t="s">
        <v>93</v>
      </c>
      <c r="C44" s="61">
        <v>78600</v>
      </c>
      <c r="D44" s="59" t="s">
        <v>11</v>
      </c>
      <c r="E44" s="24"/>
      <c r="F44" s="24"/>
    </row>
    <row r="45" spans="1:6" ht="40.5" customHeight="1" x14ac:dyDescent="0.25">
      <c r="A45" s="59" t="s">
        <v>94</v>
      </c>
      <c r="B45" s="57" t="s">
        <v>28</v>
      </c>
      <c r="C45" s="61">
        <v>5000</v>
      </c>
      <c r="D45" s="59" t="s">
        <v>7</v>
      </c>
      <c r="E45" s="24"/>
      <c r="F45" s="24"/>
    </row>
    <row r="46" spans="1:6" ht="40.5" customHeight="1" x14ac:dyDescent="0.25">
      <c r="A46" s="59" t="s">
        <v>95</v>
      </c>
      <c r="B46" s="57" t="s">
        <v>41</v>
      </c>
      <c r="C46" s="61">
        <v>1060</v>
      </c>
      <c r="D46" s="59" t="s">
        <v>7</v>
      </c>
      <c r="E46" s="24"/>
      <c r="F46" s="24"/>
    </row>
    <row r="47" spans="1:6" ht="40.5" customHeight="1" x14ac:dyDescent="0.25">
      <c r="A47" s="59" t="s">
        <v>96</v>
      </c>
      <c r="B47" s="57" t="s">
        <v>43</v>
      </c>
      <c r="C47" s="58">
        <v>485</v>
      </c>
      <c r="D47" s="59" t="s">
        <v>2</v>
      </c>
      <c r="E47" s="24"/>
      <c r="F47" s="24"/>
    </row>
    <row r="48" spans="1:6" ht="40.5" customHeight="1" x14ac:dyDescent="0.25">
      <c r="A48" s="59" t="s">
        <v>97</v>
      </c>
      <c r="B48" s="57" t="s">
        <v>30</v>
      </c>
      <c r="C48" s="61">
        <v>6</v>
      </c>
      <c r="D48" s="59" t="s">
        <v>2</v>
      </c>
      <c r="E48" s="24"/>
      <c r="F48" s="24"/>
    </row>
    <row r="49" spans="1:6" ht="40.5" customHeight="1" x14ac:dyDescent="0.25">
      <c r="A49" s="59" t="s">
        <v>98</v>
      </c>
      <c r="B49" s="57" t="s">
        <v>35</v>
      </c>
      <c r="C49" s="58">
        <v>25</v>
      </c>
      <c r="D49" s="59" t="s">
        <v>7</v>
      </c>
      <c r="E49" s="24"/>
      <c r="F49" s="24"/>
    </row>
    <row r="50" spans="1:6" ht="40.5" customHeight="1" x14ac:dyDescent="0.25">
      <c r="A50" s="59" t="s">
        <v>99</v>
      </c>
      <c r="B50" s="57" t="s">
        <v>42</v>
      </c>
      <c r="C50" s="61">
        <v>65</v>
      </c>
      <c r="D50" s="59" t="s">
        <v>7</v>
      </c>
      <c r="E50" s="24"/>
      <c r="F50" s="24"/>
    </row>
    <row r="51" spans="1:6" ht="40.5" customHeight="1" x14ac:dyDescent="0.25">
      <c r="A51" s="59" t="s">
        <v>100</v>
      </c>
      <c r="B51" s="57" t="s">
        <v>29</v>
      </c>
      <c r="C51" s="61">
        <v>1190</v>
      </c>
      <c r="D51" s="59" t="s">
        <v>7</v>
      </c>
      <c r="E51" s="24"/>
      <c r="F51" s="24"/>
    </row>
    <row r="52" spans="1:6" ht="40.5" customHeight="1" x14ac:dyDescent="0.25">
      <c r="A52" s="59" t="s">
        <v>101</v>
      </c>
      <c r="B52" s="57" t="s">
        <v>129</v>
      </c>
      <c r="C52" s="60">
        <v>250</v>
      </c>
      <c r="D52" s="59" t="s">
        <v>12</v>
      </c>
      <c r="E52" s="24"/>
      <c r="F52" s="24"/>
    </row>
    <row r="53" spans="1:6" ht="40.5" customHeight="1" x14ac:dyDescent="0.25">
      <c r="A53" s="59" t="s">
        <v>102</v>
      </c>
      <c r="B53" s="57" t="s">
        <v>21</v>
      </c>
      <c r="C53" s="61">
        <v>1</v>
      </c>
      <c r="D53" s="59" t="s">
        <v>8</v>
      </c>
      <c r="E53" s="24"/>
      <c r="F53" s="24"/>
    </row>
    <row r="54" spans="1:6" ht="40.5" customHeight="1" x14ac:dyDescent="0.25">
      <c r="A54" s="59" t="s">
        <v>103</v>
      </c>
      <c r="B54" s="57" t="s">
        <v>22</v>
      </c>
      <c r="C54" s="61">
        <v>1</v>
      </c>
      <c r="D54" s="59" t="s">
        <v>8</v>
      </c>
      <c r="E54" s="24"/>
      <c r="F54" s="24"/>
    </row>
    <row r="55" spans="1:6" ht="40.5" customHeight="1" x14ac:dyDescent="0.25">
      <c r="A55" s="59" t="s">
        <v>104</v>
      </c>
      <c r="B55" s="57" t="s">
        <v>23</v>
      </c>
      <c r="C55" s="61">
        <v>2</v>
      </c>
      <c r="D55" s="59" t="s">
        <v>2</v>
      </c>
      <c r="E55" s="24"/>
      <c r="F55" s="24"/>
    </row>
    <row r="56" spans="1:6" ht="40.5" customHeight="1" x14ac:dyDescent="0.25">
      <c r="A56" s="59" t="s">
        <v>105</v>
      </c>
      <c r="B56" s="57" t="s">
        <v>39</v>
      </c>
      <c r="C56" s="61">
        <v>21</v>
      </c>
      <c r="D56" s="59" t="s">
        <v>2</v>
      </c>
      <c r="E56" s="24"/>
      <c r="F56" s="24"/>
    </row>
    <row r="57" spans="1:6" ht="40.5" customHeight="1" x14ac:dyDescent="0.25">
      <c r="A57" s="59" t="s">
        <v>106</v>
      </c>
      <c r="B57" s="57" t="s">
        <v>27</v>
      </c>
      <c r="C57" s="61">
        <v>9</v>
      </c>
      <c r="D57" s="59" t="s">
        <v>2</v>
      </c>
      <c r="E57" s="24"/>
      <c r="F57" s="24"/>
    </row>
    <row r="58" spans="1:6" ht="40.5" customHeight="1" x14ac:dyDescent="0.25">
      <c r="A58" s="59" t="s">
        <v>107</v>
      </c>
      <c r="B58" s="57" t="s">
        <v>137</v>
      </c>
      <c r="C58" s="61">
        <v>15</v>
      </c>
      <c r="D58" s="59" t="s">
        <v>2</v>
      </c>
      <c r="E58" s="24"/>
      <c r="F58" s="24"/>
    </row>
    <row r="59" spans="1:6" ht="40.5" customHeight="1" x14ac:dyDescent="0.25">
      <c r="A59" s="59" t="s">
        <v>108</v>
      </c>
      <c r="B59" s="57" t="s">
        <v>138</v>
      </c>
      <c r="C59" s="61">
        <v>2</v>
      </c>
      <c r="D59" s="59" t="s">
        <v>2</v>
      </c>
      <c r="E59" s="24"/>
      <c r="F59" s="24"/>
    </row>
    <row r="60" spans="1:6" ht="40.5" customHeight="1" x14ac:dyDescent="0.25">
      <c r="A60" s="59" t="s">
        <v>109</v>
      </c>
      <c r="B60" s="57" t="s">
        <v>139</v>
      </c>
      <c r="C60" s="61">
        <v>21</v>
      </c>
      <c r="D60" s="59" t="s">
        <v>2</v>
      </c>
      <c r="E60" s="24"/>
      <c r="F60" s="24"/>
    </row>
    <row r="61" spans="1:6" ht="40.5" customHeight="1" x14ac:dyDescent="0.25">
      <c r="A61" s="59" t="s">
        <v>110</v>
      </c>
      <c r="B61" s="57" t="s">
        <v>134</v>
      </c>
      <c r="C61" s="61">
        <v>21</v>
      </c>
      <c r="D61" s="59" t="s">
        <v>2</v>
      </c>
      <c r="E61" s="24"/>
      <c r="F61" s="24"/>
    </row>
    <row r="62" spans="1:6" ht="40.5" customHeight="1" x14ac:dyDescent="0.25">
      <c r="A62" s="59" t="s">
        <v>111</v>
      </c>
      <c r="B62" s="57" t="s">
        <v>40</v>
      </c>
      <c r="C62" s="61">
        <v>8</v>
      </c>
      <c r="D62" s="59" t="s">
        <v>2</v>
      </c>
      <c r="E62" s="24"/>
      <c r="F62" s="24"/>
    </row>
    <row r="63" spans="1:6" ht="40.5" customHeight="1" x14ac:dyDescent="0.25">
      <c r="A63" s="59" t="s">
        <v>135</v>
      </c>
      <c r="B63" s="57" t="s">
        <v>36</v>
      </c>
      <c r="C63" s="61">
        <v>1</v>
      </c>
      <c r="D63" s="59" t="s">
        <v>8</v>
      </c>
      <c r="E63" s="24"/>
      <c r="F63" s="24"/>
    </row>
    <row r="64" spans="1:6" ht="40.5" customHeight="1" x14ac:dyDescent="0.25">
      <c r="A64" s="59" t="s">
        <v>136</v>
      </c>
      <c r="B64" s="57" t="s">
        <v>37</v>
      </c>
      <c r="C64" s="61">
        <v>1</v>
      </c>
      <c r="D64" s="59" t="s">
        <v>8</v>
      </c>
      <c r="E64" s="24"/>
      <c r="F64" s="24"/>
    </row>
    <row r="65" spans="1:6" ht="40.5" customHeight="1" x14ac:dyDescent="0.25">
      <c r="A65" s="59" t="s">
        <v>151</v>
      </c>
      <c r="B65" s="57" t="s">
        <v>38</v>
      </c>
      <c r="C65" s="61">
        <v>1</v>
      </c>
      <c r="D65" s="59" t="s">
        <v>8</v>
      </c>
      <c r="E65" s="24"/>
      <c r="F65" s="24"/>
    </row>
    <row r="66" spans="1:6" ht="27.75" customHeight="1" x14ac:dyDescent="0.25">
      <c r="A66" s="51"/>
      <c r="B66" s="71" t="s">
        <v>25</v>
      </c>
      <c r="C66" s="72"/>
      <c r="D66" s="73"/>
      <c r="E66" s="25"/>
      <c r="F66" s="25" t="s">
        <v>162</v>
      </c>
    </row>
  </sheetData>
  <mergeCells count="7">
    <mergeCell ref="B66:D66"/>
    <mergeCell ref="A14:D14"/>
    <mergeCell ref="E14:F18"/>
    <mergeCell ref="A15:D15"/>
    <mergeCell ref="A16:D16"/>
    <mergeCell ref="A17:D17"/>
    <mergeCell ref="A18:D18"/>
  </mergeCells>
  <dataValidations disablePrompts="1" count="1">
    <dataValidation type="list" allowBlank="1" showInputMessage="1" showErrorMessage="1" sqref="D20:D51 D53:D65">
      <formula1>$A$1:$A$13</formula1>
    </dataValidation>
  </dataValidations>
  <printOptions horizontalCentered="1"/>
  <pageMargins left="0.75" right="0.75" top="1" bottom="1" header="0.5" footer="0.7"/>
  <pageSetup firstPageNumber="2" orientation="portrait" useFirstPageNumber="1" r:id="rId1"/>
  <headerFooter>
    <oddHeader xml:space="preserve">&amp;LSCHEDULE A (RUNWAY 3-21)  
&amp;RBidder: ________________________
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70"/>
  <sheetViews>
    <sheetView view="pageLayout" topLeftCell="A62" zoomScaleNormal="100" zoomScaleSheetLayoutView="100" workbookViewId="0">
      <selection activeCell="G67" sqref="G67"/>
    </sheetView>
  </sheetViews>
  <sheetFormatPr defaultRowHeight="15" x14ac:dyDescent="0.25"/>
  <cols>
    <col min="1" max="1" width="6.5703125" style="47" customWidth="1"/>
    <col min="2" max="2" width="36.7109375" style="47" customWidth="1"/>
    <col min="3" max="3" width="10.7109375" style="20" customWidth="1"/>
    <col min="4" max="4" width="8.28515625" style="47" customWidth="1"/>
    <col min="5" max="6" width="13.28515625" style="22" customWidth="1"/>
  </cols>
  <sheetData>
    <row r="1" spans="1:6" hidden="1" x14ac:dyDescent="0.25">
      <c r="A1" s="48" t="s">
        <v>0</v>
      </c>
    </row>
    <row r="2" spans="1:6" hidden="1" x14ac:dyDescent="0.25">
      <c r="A2" s="48" t="s">
        <v>1</v>
      </c>
    </row>
    <row r="3" spans="1:6" hidden="1" x14ac:dyDescent="0.25">
      <c r="A3" s="49" t="s">
        <v>2</v>
      </c>
    </row>
    <row r="4" spans="1:6" hidden="1" x14ac:dyDescent="0.25">
      <c r="A4" s="49" t="s">
        <v>3</v>
      </c>
    </row>
    <row r="5" spans="1:6" hidden="1" x14ac:dyDescent="0.25">
      <c r="A5" s="49" t="s">
        <v>4</v>
      </c>
    </row>
    <row r="6" spans="1:6" hidden="1" x14ac:dyDescent="0.25">
      <c r="A6" s="49" t="s">
        <v>5</v>
      </c>
    </row>
    <row r="7" spans="1:6" hidden="1" x14ac:dyDescent="0.25">
      <c r="A7" s="49" t="s">
        <v>6</v>
      </c>
    </row>
    <row r="8" spans="1:6" hidden="1" x14ac:dyDescent="0.25">
      <c r="A8" s="49" t="s">
        <v>7</v>
      </c>
    </row>
    <row r="9" spans="1:6" hidden="1" x14ac:dyDescent="0.25">
      <c r="A9" s="48" t="s">
        <v>8</v>
      </c>
    </row>
    <row r="10" spans="1:6" hidden="1" x14ac:dyDescent="0.25">
      <c r="A10" s="49" t="s">
        <v>9</v>
      </c>
    </row>
    <row r="11" spans="1:6" hidden="1" x14ac:dyDescent="0.25">
      <c r="A11" s="49" t="s">
        <v>10</v>
      </c>
    </row>
    <row r="12" spans="1:6" hidden="1" x14ac:dyDescent="0.25">
      <c r="A12" s="49" t="s">
        <v>11</v>
      </c>
    </row>
    <row r="13" spans="1:6" hidden="1" x14ac:dyDescent="0.25">
      <c r="A13" s="49" t="s">
        <v>12</v>
      </c>
    </row>
    <row r="14" spans="1:6" x14ac:dyDescent="0.25">
      <c r="A14" s="74"/>
      <c r="B14" s="74"/>
      <c r="C14" s="74"/>
      <c r="D14" s="74"/>
      <c r="E14" s="75"/>
      <c r="F14" s="75"/>
    </row>
    <row r="15" spans="1:6" x14ac:dyDescent="0.25">
      <c r="A15" s="78" t="s">
        <v>24</v>
      </c>
      <c r="B15" s="78"/>
      <c r="C15" s="78"/>
      <c r="D15" s="78"/>
      <c r="E15" s="76"/>
      <c r="F15" s="76"/>
    </row>
    <row r="16" spans="1:6" x14ac:dyDescent="0.25">
      <c r="A16" s="78" t="s">
        <v>33</v>
      </c>
      <c r="B16" s="78"/>
      <c r="C16" s="78"/>
      <c r="D16" s="78"/>
      <c r="E16" s="76"/>
      <c r="F16" s="76"/>
    </row>
    <row r="17" spans="1:6" x14ac:dyDescent="0.25">
      <c r="A17" s="79" t="s">
        <v>32</v>
      </c>
      <c r="B17" s="79"/>
      <c r="C17" s="79"/>
      <c r="D17" s="79"/>
      <c r="E17" s="76"/>
      <c r="F17" s="76"/>
    </row>
    <row r="18" spans="1:6" x14ac:dyDescent="0.25">
      <c r="A18" s="80"/>
      <c r="B18" s="80"/>
      <c r="C18" s="80"/>
      <c r="D18" s="80"/>
      <c r="E18" s="77"/>
      <c r="F18" s="77"/>
    </row>
    <row r="19" spans="1:6" s="1" customFormat="1" ht="24" customHeight="1" x14ac:dyDescent="0.2">
      <c r="A19" s="50" t="s">
        <v>13</v>
      </c>
      <c r="B19" s="50" t="s">
        <v>14</v>
      </c>
      <c r="C19" s="21" t="s">
        <v>15</v>
      </c>
      <c r="D19" s="50" t="s">
        <v>16</v>
      </c>
      <c r="E19" s="23" t="s">
        <v>17</v>
      </c>
      <c r="F19" s="23" t="s">
        <v>18</v>
      </c>
    </row>
    <row r="20" spans="1:6" ht="40.5" customHeight="1" x14ac:dyDescent="0.25">
      <c r="A20" s="59" t="s">
        <v>48</v>
      </c>
      <c r="B20" s="57" t="s">
        <v>73</v>
      </c>
      <c r="C20" s="61">
        <v>1</v>
      </c>
      <c r="D20" s="59" t="s">
        <v>8</v>
      </c>
      <c r="E20" s="24"/>
      <c r="F20" s="24"/>
    </row>
    <row r="21" spans="1:6" ht="40.5" customHeight="1" x14ac:dyDescent="0.25">
      <c r="A21" s="59" t="s">
        <v>49</v>
      </c>
      <c r="B21" s="57" t="s">
        <v>74</v>
      </c>
      <c r="C21" s="61">
        <v>1</v>
      </c>
      <c r="D21" s="59" t="s">
        <v>8</v>
      </c>
      <c r="E21" s="24"/>
      <c r="F21" s="24"/>
    </row>
    <row r="22" spans="1:6" ht="40.5" customHeight="1" x14ac:dyDescent="0.25">
      <c r="A22" s="59" t="s">
        <v>50</v>
      </c>
      <c r="B22" s="57" t="s">
        <v>75</v>
      </c>
      <c r="C22" s="61">
        <v>1</v>
      </c>
      <c r="D22" s="59" t="s">
        <v>8</v>
      </c>
      <c r="E22" s="24"/>
      <c r="F22" s="24"/>
    </row>
    <row r="23" spans="1:6" ht="40.5" customHeight="1" x14ac:dyDescent="0.25">
      <c r="A23" s="59" t="s">
        <v>51</v>
      </c>
      <c r="B23" s="57" t="s">
        <v>155</v>
      </c>
      <c r="C23" s="61">
        <v>1</v>
      </c>
      <c r="D23" s="59" t="s">
        <v>8</v>
      </c>
      <c r="E23" s="24"/>
      <c r="F23" s="24"/>
    </row>
    <row r="24" spans="1:6" ht="40.5" customHeight="1" x14ac:dyDescent="0.25">
      <c r="A24" s="59" t="s">
        <v>52</v>
      </c>
      <c r="B24" s="57" t="s">
        <v>76</v>
      </c>
      <c r="C24" s="61">
        <v>1</v>
      </c>
      <c r="D24" s="59" t="s">
        <v>8</v>
      </c>
      <c r="E24" s="24"/>
      <c r="F24" s="24"/>
    </row>
    <row r="25" spans="1:6" ht="40.5" customHeight="1" x14ac:dyDescent="0.25">
      <c r="A25" s="59" t="s">
        <v>53</v>
      </c>
      <c r="B25" s="57" t="s">
        <v>133</v>
      </c>
      <c r="C25" s="61">
        <v>5</v>
      </c>
      <c r="D25" s="59" t="s">
        <v>2</v>
      </c>
      <c r="E25" s="24"/>
      <c r="F25" s="24"/>
    </row>
    <row r="26" spans="1:6" ht="40.5" customHeight="1" x14ac:dyDescent="0.25">
      <c r="A26" s="59" t="s">
        <v>54</v>
      </c>
      <c r="B26" s="57" t="s">
        <v>78</v>
      </c>
      <c r="C26" s="61">
        <v>15</v>
      </c>
      <c r="D26" s="59" t="s">
        <v>2</v>
      </c>
      <c r="E26" s="24"/>
      <c r="F26" s="24"/>
    </row>
    <row r="27" spans="1:6" ht="40.5" customHeight="1" x14ac:dyDescent="0.25">
      <c r="A27" s="59" t="s">
        <v>55</v>
      </c>
      <c r="B27" s="57" t="s">
        <v>112</v>
      </c>
      <c r="C27" s="61">
        <v>0.2</v>
      </c>
      <c r="D27" s="59" t="s">
        <v>0</v>
      </c>
      <c r="E27" s="24"/>
      <c r="F27" s="24"/>
    </row>
    <row r="28" spans="1:6" ht="40.5" customHeight="1" x14ac:dyDescent="0.25">
      <c r="A28" s="59" t="s">
        <v>56</v>
      </c>
      <c r="B28" s="57" t="s">
        <v>79</v>
      </c>
      <c r="C28" s="61">
        <v>1</v>
      </c>
      <c r="D28" s="59" t="s">
        <v>8</v>
      </c>
      <c r="E28" s="24"/>
      <c r="F28" s="24"/>
    </row>
    <row r="29" spans="1:6" ht="40.5" customHeight="1" x14ac:dyDescent="0.25">
      <c r="A29" s="59" t="s">
        <v>57</v>
      </c>
      <c r="B29" s="57" t="s">
        <v>113</v>
      </c>
      <c r="C29" s="61">
        <v>100</v>
      </c>
      <c r="D29" s="59" t="s">
        <v>11</v>
      </c>
      <c r="E29" s="24"/>
      <c r="F29" s="24"/>
    </row>
    <row r="30" spans="1:6" ht="40.5" customHeight="1" x14ac:dyDescent="0.25">
      <c r="A30" s="59" t="s">
        <v>58</v>
      </c>
      <c r="B30" s="57" t="s">
        <v>114</v>
      </c>
      <c r="C30" s="61">
        <v>1700</v>
      </c>
      <c r="D30" s="59" t="s">
        <v>11</v>
      </c>
      <c r="E30" s="24"/>
      <c r="F30" s="24"/>
    </row>
    <row r="31" spans="1:6" ht="40.5" customHeight="1" x14ac:dyDescent="0.25">
      <c r="A31" s="59" t="s">
        <v>59</v>
      </c>
      <c r="B31" s="57" t="s">
        <v>140</v>
      </c>
      <c r="C31" s="61">
        <v>550</v>
      </c>
      <c r="D31" s="59" t="s">
        <v>11</v>
      </c>
      <c r="E31" s="24"/>
      <c r="F31" s="24"/>
    </row>
    <row r="32" spans="1:6" ht="40.5" customHeight="1" x14ac:dyDescent="0.25">
      <c r="A32" s="59" t="s">
        <v>60</v>
      </c>
      <c r="B32" s="57" t="s">
        <v>115</v>
      </c>
      <c r="C32" s="61">
        <v>14500</v>
      </c>
      <c r="D32" s="59" t="s">
        <v>1</v>
      </c>
      <c r="E32" s="24"/>
      <c r="F32" s="24"/>
    </row>
    <row r="33" spans="1:6" ht="40.5" customHeight="1" x14ac:dyDescent="0.25">
      <c r="A33" s="59" t="s">
        <v>61</v>
      </c>
      <c r="B33" s="57" t="s">
        <v>116</v>
      </c>
      <c r="C33" s="61">
        <v>250</v>
      </c>
      <c r="D33" s="59" t="s">
        <v>1</v>
      </c>
      <c r="E33" s="24"/>
      <c r="F33" s="24"/>
    </row>
    <row r="34" spans="1:6" ht="40.5" customHeight="1" x14ac:dyDescent="0.25">
      <c r="A34" s="59" t="s">
        <v>62</v>
      </c>
      <c r="B34" s="57" t="s">
        <v>117</v>
      </c>
      <c r="C34" s="61">
        <v>1600</v>
      </c>
      <c r="D34" s="59" t="s">
        <v>11</v>
      </c>
      <c r="E34" s="24"/>
      <c r="F34" s="24"/>
    </row>
    <row r="35" spans="1:6" ht="40.5" customHeight="1" x14ac:dyDescent="0.25">
      <c r="A35" s="59" t="s">
        <v>63</v>
      </c>
      <c r="B35" s="57" t="s">
        <v>118</v>
      </c>
      <c r="C35" s="61">
        <v>750</v>
      </c>
      <c r="D35" s="59" t="s">
        <v>1</v>
      </c>
      <c r="E35" s="24"/>
      <c r="F35" s="24"/>
    </row>
    <row r="36" spans="1:6" ht="40.5" customHeight="1" x14ac:dyDescent="0.25">
      <c r="A36" s="59" t="s">
        <v>64</v>
      </c>
      <c r="B36" s="57" t="s">
        <v>119</v>
      </c>
      <c r="C36" s="61">
        <v>150</v>
      </c>
      <c r="D36" s="59" t="s">
        <v>1</v>
      </c>
      <c r="E36" s="24"/>
      <c r="F36" s="24"/>
    </row>
    <row r="37" spans="1:6" ht="40.5" customHeight="1" x14ac:dyDescent="0.25">
      <c r="A37" s="59" t="s">
        <v>65</v>
      </c>
      <c r="B37" s="57" t="s">
        <v>81</v>
      </c>
      <c r="C37" s="61">
        <v>2300</v>
      </c>
      <c r="D37" s="59" t="s">
        <v>7</v>
      </c>
      <c r="E37" s="24"/>
      <c r="F37" s="24"/>
    </row>
    <row r="38" spans="1:6" ht="40.5" customHeight="1" x14ac:dyDescent="0.25">
      <c r="A38" s="59" t="s">
        <v>66</v>
      </c>
      <c r="B38" s="57" t="s">
        <v>120</v>
      </c>
      <c r="C38" s="61">
        <v>650</v>
      </c>
      <c r="D38" s="59" t="s">
        <v>1</v>
      </c>
      <c r="E38" s="24"/>
      <c r="F38" s="24"/>
    </row>
    <row r="39" spans="1:6" ht="40.5" customHeight="1" x14ac:dyDescent="0.25">
      <c r="A39" s="59" t="s">
        <v>67</v>
      </c>
      <c r="B39" s="57" t="s">
        <v>82</v>
      </c>
      <c r="C39" s="61">
        <v>750</v>
      </c>
      <c r="D39" s="59" t="s">
        <v>12</v>
      </c>
      <c r="E39" s="24"/>
      <c r="F39" s="24"/>
    </row>
    <row r="40" spans="1:6" ht="40.5" customHeight="1" x14ac:dyDescent="0.25">
      <c r="A40" s="59" t="s">
        <v>68</v>
      </c>
      <c r="B40" s="57" t="s">
        <v>83</v>
      </c>
      <c r="C40" s="61">
        <v>140</v>
      </c>
      <c r="D40" s="59" t="s">
        <v>4</v>
      </c>
      <c r="E40" s="24"/>
      <c r="F40" s="24"/>
    </row>
    <row r="41" spans="1:6" ht="40.5" customHeight="1" x14ac:dyDescent="0.25">
      <c r="A41" s="59" t="s">
        <v>69</v>
      </c>
      <c r="B41" s="57" t="s">
        <v>89</v>
      </c>
      <c r="C41" s="61">
        <v>1830</v>
      </c>
      <c r="D41" s="59" t="s">
        <v>6</v>
      </c>
      <c r="E41" s="24"/>
      <c r="F41" s="24"/>
    </row>
    <row r="42" spans="1:6" ht="40.5" customHeight="1" x14ac:dyDescent="0.25">
      <c r="A42" s="59" t="s">
        <v>70</v>
      </c>
      <c r="B42" s="57" t="s">
        <v>90</v>
      </c>
      <c r="C42" s="61">
        <v>750</v>
      </c>
      <c r="D42" s="59" t="s">
        <v>10</v>
      </c>
      <c r="E42" s="24"/>
      <c r="F42" s="24"/>
    </row>
    <row r="43" spans="1:6" ht="40.5" customHeight="1" x14ac:dyDescent="0.25">
      <c r="A43" s="59" t="s">
        <v>71</v>
      </c>
      <c r="B43" s="57" t="s">
        <v>91</v>
      </c>
      <c r="C43" s="61">
        <v>50</v>
      </c>
      <c r="D43" s="59" t="s">
        <v>6</v>
      </c>
      <c r="E43" s="24"/>
      <c r="F43" s="24"/>
    </row>
    <row r="44" spans="1:6" ht="40.5" customHeight="1" x14ac:dyDescent="0.25">
      <c r="A44" s="59" t="s">
        <v>72</v>
      </c>
      <c r="B44" s="57" t="s">
        <v>121</v>
      </c>
      <c r="C44" s="61">
        <v>439</v>
      </c>
      <c r="D44" s="59" t="s">
        <v>7</v>
      </c>
      <c r="E44" s="24"/>
      <c r="F44" s="24"/>
    </row>
    <row r="45" spans="1:6" ht="40.5" customHeight="1" x14ac:dyDescent="0.25">
      <c r="A45" s="59" t="s">
        <v>94</v>
      </c>
      <c r="B45" s="57" t="s">
        <v>122</v>
      </c>
      <c r="C45" s="61">
        <v>749</v>
      </c>
      <c r="D45" s="59" t="s">
        <v>7</v>
      </c>
      <c r="E45" s="24"/>
      <c r="F45" s="24"/>
    </row>
    <row r="46" spans="1:6" ht="40.5" customHeight="1" x14ac:dyDescent="0.25">
      <c r="A46" s="59" t="s">
        <v>95</v>
      </c>
      <c r="B46" s="57" t="s">
        <v>123</v>
      </c>
      <c r="C46" s="61">
        <v>2336</v>
      </c>
      <c r="D46" s="59" t="s">
        <v>7</v>
      </c>
      <c r="E46" s="24"/>
      <c r="F46" s="24"/>
    </row>
    <row r="47" spans="1:6" ht="40.5" customHeight="1" x14ac:dyDescent="0.25">
      <c r="A47" s="59" t="s">
        <v>96</v>
      </c>
      <c r="B47" s="57" t="s">
        <v>142</v>
      </c>
      <c r="C47" s="61">
        <v>52</v>
      </c>
      <c r="D47" s="59" t="s">
        <v>7</v>
      </c>
      <c r="E47" s="24"/>
      <c r="F47" s="24"/>
    </row>
    <row r="48" spans="1:6" ht="40.5" customHeight="1" x14ac:dyDescent="0.25">
      <c r="A48" s="59" t="s">
        <v>97</v>
      </c>
      <c r="B48" s="57" t="s">
        <v>124</v>
      </c>
      <c r="C48" s="61">
        <v>58</v>
      </c>
      <c r="D48" s="59" t="s">
        <v>7</v>
      </c>
      <c r="E48" s="24"/>
      <c r="F48" s="24"/>
    </row>
    <row r="49" spans="1:6" ht="40.5" customHeight="1" x14ac:dyDescent="0.25">
      <c r="A49" s="59" t="s">
        <v>98</v>
      </c>
      <c r="B49" s="57" t="s">
        <v>125</v>
      </c>
      <c r="C49" s="61">
        <v>1</v>
      </c>
      <c r="D49" s="59" t="s">
        <v>2</v>
      </c>
      <c r="E49" s="24"/>
      <c r="F49" s="24"/>
    </row>
    <row r="50" spans="1:6" ht="40.5" customHeight="1" x14ac:dyDescent="0.25">
      <c r="A50" s="59" t="s">
        <v>99</v>
      </c>
      <c r="B50" s="57" t="s">
        <v>143</v>
      </c>
      <c r="C50" s="61">
        <v>1</v>
      </c>
      <c r="D50" s="59" t="s">
        <v>2</v>
      </c>
      <c r="E50" s="24"/>
      <c r="F50" s="24"/>
    </row>
    <row r="51" spans="1:6" ht="40.5" customHeight="1" x14ac:dyDescent="0.25">
      <c r="A51" s="59" t="s">
        <v>100</v>
      </c>
      <c r="B51" s="57" t="s">
        <v>126</v>
      </c>
      <c r="C51" s="61">
        <v>6</v>
      </c>
      <c r="D51" s="59" t="s">
        <v>2</v>
      </c>
      <c r="E51" s="24"/>
      <c r="F51" s="24"/>
    </row>
    <row r="52" spans="1:6" ht="40.5" customHeight="1" x14ac:dyDescent="0.25">
      <c r="A52" s="59" t="s">
        <v>101</v>
      </c>
      <c r="B52" s="57" t="s">
        <v>144</v>
      </c>
      <c r="C52" s="61">
        <v>1</v>
      </c>
      <c r="D52" s="59" t="s">
        <v>2</v>
      </c>
      <c r="E52" s="24"/>
      <c r="F52" s="24"/>
    </row>
    <row r="53" spans="1:6" ht="40.5" customHeight="1" x14ac:dyDescent="0.25">
      <c r="A53" s="59" t="s">
        <v>102</v>
      </c>
      <c r="B53" s="57" t="s">
        <v>127</v>
      </c>
      <c r="C53" s="61">
        <v>4</v>
      </c>
      <c r="D53" s="59" t="s">
        <v>2</v>
      </c>
      <c r="E53" s="24"/>
      <c r="F53" s="24"/>
    </row>
    <row r="54" spans="1:6" ht="40.5" customHeight="1" x14ac:dyDescent="0.25">
      <c r="A54" s="59" t="s">
        <v>103</v>
      </c>
      <c r="B54" s="57" t="s">
        <v>128</v>
      </c>
      <c r="C54" s="61">
        <v>17.3</v>
      </c>
      <c r="D54" s="59" t="s">
        <v>0</v>
      </c>
      <c r="E54" s="24"/>
      <c r="F54" s="24"/>
    </row>
    <row r="55" spans="1:6" ht="40.5" customHeight="1" x14ac:dyDescent="0.25">
      <c r="A55" s="59" t="s">
        <v>104</v>
      </c>
      <c r="B55" s="57" t="s">
        <v>44</v>
      </c>
      <c r="C55" s="61">
        <v>1</v>
      </c>
      <c r="D55" s="59" t="s">
        <v>8</v>
      </c>
      <c r="E55" s="24"/>
      <c r="F55" s="24"/>
    </row>
    <row r="56" spans="1:6" ht="40.5" customHeight="1" x14ac:dyDescent="0.25">
      <c r="A56" s="59" t="s">
        <v>105</v>
      </c>
      <c r="B56" s="57" t="s">
        <v>45</v>
      </c>
      <c r="C56" s="61">
        <v>17</v>
      </c>
      <c r="D56" s="59" t="s">
        <v>2</v>
      </c>
      <c r="E56" s="24"/>
      <c r="F56" s="24"/>
    </row>
    <row r="57" spans="1:6" ht="40.5" customHeight="1" x14ac:dyDescent="0.25">
      <c r="A57" s="59" t="s">
        <v>106</v>
      </c>
      <c r="B57" s="57" t="s">
        <v>46</v>
      </c>
      <c r="C57" s="61">
        <v>1</v>
      </c>
      <c r="D57" s="59" t="s">
        <v>2</v>
      </c>
      <c r="E57" s="24"/>
      <c r="F57" s="24"/>
    </row>
    <row r="58" spans="1:6" ht="40.5" customHeight="1" x14ac:dyDescent="0.25">
      <c r="A58" s="59" t="s">
        <v>107</v>
      </c>
      <c r="B58" s="57" t="s">
        <v>47</v>
      </c>
      <c r="C58" s="61">
        <v>1</v>
      </c>
      <c r="D58" s="59" t="s">
        <v>2</v>
      </c>
      <c r="E58" s="24"/>
      <c r="F58" s="24"/>
    </row>
    <row r="59" spans="1:6" ht="40.5" customHeight="1" x14ac:dyDescent="0.25">
      <c r="A59" s="59" t="s">
        <v>108</v>
      </c>
      <c r="B59" s="57" t="s">
        <v>148</v>
      </c>
      <c r="C59" s="61">
        <v>9</v>
      </c>
      <c r="D59" s="59" t="s">
        <v>2</v>
      </c>
      <c r="E59" s="24"/>
      <c r="F59" s="24"/>
    </row>
    <row r="60" spans="1:6" ht="40.5" customHeight="1" x14ac:dyDescent="0.25">
      <c r="A60" s="59" t="s">
        <v>109</v>
      </c>
      <c r="B60" s="57" t="s">
        <v>149</v>
      </c>
      <c r="C60" s="61">
        <v>1</v>
      </c>
      <c r="D60" s="59" t="s">
        <v>2</v>
      </c>
      <c r="E60" s="24"/>
      <c r="F60" s="24"/>
    </row>
    <row r="61" spans="1:6" ht="40.5" customHeight="1" x14ac:dyDescent="0.25">
      <c r="A61" s="59" t="s">
        <v>110</v>
      </c>
      <c r="B61" s="57" t="s">
        <v>145</v>
      </c>
      <c r="C61" s="61">
        <v>91</v>
      </c>
      <c r="D61" s="59" t="s">
        <v>7</v>
      </c>
      <c r="E61" s="24"/>
      <c r="F61" s="24"/>
    </row>
    <row r="62" spans="1:6" ht="40.5" customHeight="1" x14ac:dyDescent="0.25">
      <c r="A62" s="59" t="s">
        <v>111</v>
      </c>
      <c r="B62" s="57" t="s">
        <v>130</v>
      </c>
      <c r="C62" s="61">
        <v>77</v>
      </c>
      <c r="D62" s="59" t="s">
        <v>7</v>
      </c>
      <c r="E62" s="24"/>
      <c r="F62" s="24"/>
    </row>
    <row r="63" spans="1:6" ht="40.5" customHeight="1" x14ac:dyDescent="0.25">
      <c r="A63" s="59" t="s">
        <v>135</v>
      </c>
      <c r="B63" s="57" t="s">
        <v>150</v>
      </c>
      <c r="C63" s="61">
        <v>50</v>
      </c>
      <c r="D63" s="59" t="s">
        <v>1</v>
      </c>
      <c r="E63" s="24"/>
      <c r="F63" s="24"/>
    </row>
    <row r="64" spans="1:6" ht="40.5" customHeight="1" x14ac:dyDescent="0.25">
      <c r="A64" s="59" t="s">
        <v>136</v>
      </c>
      <c r="B64" s="57" t="s">
        <v>131</v>
      </c>
      <c r="C64" s="61">
        <v>1</v>
      </c>
      <c r="D64" s="59" t="s">
        <v>8</v>
      </c>
      <c r="E64" s="24"/>
      <c r="F64" s="24"/>
    </row>
    <row r="65" spans="1:6" ht="40.5" customHeight="1" x14ac:dyDescent="0.25">
      <c r="A65" s="59" t="s">
        <v>151</v>
      </c>
      <c r="B65" s="57" t="s">
        <v>132</v>
      </c>
      <c r="C65" s="61">
        <v>1</v>
      </c>
      <c r="D65" s="59" t="s">
        <v>8</v>
      </c>
      <c r="E65" s="24"/>
      <c r="F65" s="24"/>
    </row>
    <row r="66" spans="1:6" ht="40.5" customHeight="1" x14ac:dyDescent="0.25">
      <c r="A66" s="59" t="s">
        <v>152</v>
      </c>
      <c r="B66" s="57" t="s">
        <v>88</v>
      </c>
      <c r="C66" s="61">
        <v>85</v>
      </c>
      <c r="D66" s="59" t="s">
        <v>1</v>
      </c>
      <c r="E66" s="24"/>
      <c r="F66" s="24"/>
    </row>
    <row r="67" spans="1:6" ht="40.5" customHeight="1" x14ac:dyDescent="0.25">
      <c r="A67" s="59" t="s">
        <v>153</v>
      </c>
      <c r="B67" s="57" t="s">
        <v>41</v>
      </c>
      <c r="C67" s="61">
        <v>310</v>
      </c>
      <c r="D67" s="59" t="s">
        <v>7</v>
      </c>
      <c r="E67" s="24"/>
      <c r="F67" s="24"/>
    </row>
    <row r="68" spans="1:6" ht="40.5" customHeight="1" x14ac:dyDescent="0.25">
      <c r="A68" s="59" t="s">
        <v>154</v>
      </c>
      <c r="B68" s="57" t="s">
        <v>30</v>
      </c>
      <c r="C68" s="61">
        <v>8</v>
      </c>
      <c r="D68" s="59" t="s">
        <v>2</v>
      </c>
      <c r="E68" s="24"/>
      <c r="F68" s="24"/>
    </row>
    <row r="69" spans="1:6" ht="27.75" customHeight="1" x14ac:dyDescent="0.25">
      <c r="A69" s="59"/>
      <c r="B69" s="71" t="s">
        <v>26</v>
      </c>
      <c r="C69" s="72"/>
      <c r="D69" s="73"/>
      <c r="E69" s="25"/>
      <c r="F69" s="25" t="s">
        <v>162</v>
      </c>
    </row>
    <row r="70" spans="1:6" ht="27.75" customHeight="1" x14ac:dyDescent="0.25">
      <c r="A70" s="52"/>
      <c r="B70" s="71" t="s">
        <v>31</v>
      </c>
      <c r="C70" s="72"/>
      <c r="D70" s="73"/>
      <c r="E70" s="25"/>
      <c r="F70" s="25" t="s">
        <v>162</v>
      </c>
    </row>
  </sheetData>
  <mergeCells count="8">
    <mergeCell ref="B70:D70"/>
    <mergeCell ref="B69:D69"/>
    <mergeCell ref="E14:F18"/>
    <mergeCell ref="A15:D15"/>
    <mergeCell ref="A16:D16"/>
    <mergeCell ref="A17:D17"/>
    <mergeCell ref="A18:D18"/>
    <mergeCell ref="A14:D14"/>
  </mergeCells>
  <dataValidations disablePrompts="1" count="1">
    <dataValidation type="list" allowBlank="1" showInputMessage="1" showErrorMessage="1" sqref="D20:D68">
      <formula1>$A$1:$A$13</formula1>
    </dataValidation>
  </dataValidations>
  <printOptions horizontalCentered="1"/>
  <pageMargins left="0.75" right="0.75" top="1" bottom="1" header="0.5" footer="0.7"/>
  <pageSetup firstPageNumber="6" orientation="portrait" useFirstPageNumber="1" r:id="rId1"/>
  <headerFooter>
    <oddHeader xml:space="preserve">&amp;LSCHEDULE B (RUNWAY SAFETY AREA)  
&amp;RBidder: ________________________
</oddHeader>
    <oddFooter>&amp;L&amp;"Times New Roman,Regular"&amp;8&amp;Z&amp;F&amp;R&amp;"Times New Roman,Regular"&amp;9Bid 
004100-&amp;P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54"/>
  <sheetViews>
    <sheetView view="pageBreakPreview" zoomScaleNormal="100" zoomScaleSheetLayoutView="100" workbookViewId="0">
      <selection activeCell="O11" sqref="O11"/>
    </sheetView>
  </sheetViews>
  <sheetFormatPr defaultRowHeight="15" x14ac:dyDescent="0.25"/>
  <cols>
    <col min="1" max="1" width="6.7109375" style="47" customWidth="1"/>
    <col min="2" max="2" width="29" style="38" customWidth="1"/>
    <col min="3" max="3" width="10.7109375" style="43" customWidth="1"/>
    <col min="4" max="4" width="6.7109375" style="14" customWidth="1"/>
    <col min="5" max="5" width="11" style="22" customWidth="1"/>
    <col min="6" max="6" width="13.7109375" style="22" customWidth="1"/>
    <col min="7" max="7" width="11" style="22" customWidth="1"/>
    <col min="8" max="8" width="13.7109375" style="22" customWidth="1"/>
    <col min="9" max="9" width="11" style="22" customWidth="1"/>
    <col min="10" max="10" width="13.7109375" style="22" customWidth="1"/>
    <col min="11" max="11" width="11" customWidth="1"/>
    <col min="12" max="12" width="13.7109375" customWidth="1"/>
    <col min="13" max="13" width="11" customWidth="1"/>
    <col min="14" max="14" width="13.7109375" customWidth="1"/>
    <col min="15" max="15" width="11" style="68" customWidth="1"/>
    <col min="16" max="16" width="13.7109375" style="68" customWidth="1"/>
  </cols>
  <sheetData>
    <row r="1" spans="1:16" s="2" customFormat="1" ht="30" customHeight="1" x14ac:dyDescent="0.25">
      <c r="A1" s="97" t="str">
        <f>'Bid Item List B (RSA)'!$A$15</f>
        <v>PORTLAND INTERNATIONAL AIRPORT</v>
      </c>
      <c r="B1" s="98"/>
      <c r="C1" s="98"/>
      <c r="D1" s="99"/>
      <c r="E1" s="100" t="s">
        <v>156</v>
      </c>
      <c r="F1" s="101"/>
      <c r="G1" s="100" t="s">
        <v>157</v>
      </c>
      <c r="H1" s="101"/>
      <c r="I1" s="100" t="s">
        <v>161</v>
      </c>
      <c r="J1" s="101"/>
      <c r="K1" s="100" t="s">
        <v>160</v>
      </c>
      <c r="L1" s="101"/>
      <c r="M1" s="100" t="s">
        <v>158</v>
      </c>
      <c r="N1" s="101"/>
      <c r="O1" s="87" t="s">
        <v>20</v>
      </c>
      <c r="P1" s="88"/>
    </row>
    <row r="2" spans="1:16" x14ac:dyDescent="0.25">
      <c r="A2" s="91" t="str">
        <f>'Bid Item List B (RSA)'!$A$16</f>
        <v>RUNWAY 3-21 STORMWATER INFRASTRUCTURE AND</v>
      </c>
      <c r="B2" s="92"/>
      <c r="C2" s="92"/>
      <c r="D2" s="93"/>
      <c r="E2" s="102"/>
      <c r="F2" s="103"/>
      <c r="G2" s="102"/>
      <c r="H2" s="103"/>
      <c r="I2" s="102"/>
      <c r="J2" s="103"/>
      <c r="K2" s="102"/>
      <c r="L2" s="103"/>
      <c r="M2" s="102"/>
      <c r="N2" s="103"/>
      <c r="O2" s="89"/>
      <c r="P2" s="90"/>
    </row>
    <row r="3" spans="1:16" x14ac:dyDescent="0.25">
      <c r="A3" s="91" t="str">
        <f>'Bid Item List B (RSA)'!$A$17</f>
        <v>PAVEMENT IMPROVEMENTS</v>
      </c>
      <c r="B3" s="92"/>
      <c r="C3" s="92"/>
      <c r="D3" s="93"/>
      <c r="E3" s="102"/>
      <c r="F3" s="103"/>
      <c r="G3" s="102"/>
      <c r="H3" s="103"/>
      <c r="I3" s="102"/>
      <c r="J3" s="103"/>
      <c r="K3" s="102"/>
      <c r="L3" s="103"/>
      <c r="M3" s="102"/>
      <c r="N3" s="103"/>
      <c r="O3" s="89"/>
      <c r="P3" s="90"/>
    </row>
    <row r="4" spans="1:16" x14ac:dyDescent="0.25">
      <c r="A4" s="94" t="s">
        <v>34</v>
      </c>
      <c r="B4" s="95"/>
      <c r="C4" s="95"/>
      <c r="D4" s="96"/>
      <c r="E4" s="102"/>
      <c r="F4" s="103"/>
      <c r="G4" s="102"/>
      <c r="H4" s="103"/>
      <c r="I4" s="102"/>
      <c r="J4" s="103"/>
      <c r="K4" s="102"/>
      <c r="L4" s="103"/>
      <c r="M4" s="102"/>
      <c r="N4" s="103"/>
      <c r="O4" s="89"/>
      <c r="P4" s="90"/>
    </row>
    <row r="5" spans="1:16" x14ac:dyDescent="0.25">
      <c r="A5" s="94" t="s">
        <v>159</v>
      </c>
      <c r="B5" s="95"/>
      <c r="C5" s="95"/>
      <c r="D5" s="96"/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89"/>
      <c r="P5" s="90"/>
    </row>
    <row r="6" spans="1:16" x14ac:dyDescent="0.25">
      <c r="A6" s="84">
        <f ca="1">TODAY()</f>
        <v>42880</v>
      </c>
      <c r="B6" s="85"/>
      <c r="C6" s="85"/>
      <c r="D6" s="86"/>
      <c r="E6" s="28"/>
      <c r="F6" s="29"/>
      <c r="G6" s="28"/>
      <c r="H6" s="29"/>
      <c r="I6" s="28"/>
      <c r="J6" s="29"/>
      <c r="K6" s="28"/>
      <c r="L6" s="29"/>
      <c r="M6" s="28"/>
      <c r="N6" s="29"/>
      <c r="O6" s="62"/>
      <c r="P6" s="63"/>
    </row>
    <row r="7" spans="1:16" ht="32.25" customHeight="1" x14ac:dyDescent="0.25">
      <c r="A7" s="45" t="s">
        <v>13</v>
      </c>
      <c r="B7" s="45" t="s">
        <v>14</v>
      </c>
      <c r="C7" s="12" t="s">
        <v>15</v>
      </c>
      <c r="D7" s="45" t="s">
        <v>16</v>
      </c>
      <c r="E7" s="30" t="s">
        <v>17</v>
      </c>
      <c r="F7" s="30" t="s">
        <v>18</v>
      </c>
      <c r="G7" s="30" t="s">
        <v>17</v>
      </c>
      <c r="H7" s="30" t="s">
        <v>18</v>
      </c>
      <c r="I7" s="30" t="s">
        <v>17</v>
      </c>
      <c r="J7" s="30" t="s">
        <v>18</v>
      </c>
      <c r="K7" s="30" t="s">
        <v>17</v>
      </c>
      <c r="L7" s="30" t="s">
        <v>18</v>
      </c>
      <c r="M7" s="30" t="s">
        <v>17</v>
      </c>
      <c r="N7" s="30" t="s">
        <v>18</v>
      </c>
      <c r="O7" s="64" t="s">
        <v>17</v>
      </c>
      <c r="P7" s="64" t="s">
        <v>18</v>
      </c>
    </row>
    <row r="8" spans="1:16" ht="33" customHeight="1" x14ac:dyDescent="0.25">
      <c r="A8" s="44" t="str">
        <f>'Bid Item List A (RW 3-21)'!A20</f>
        <v>0001</v>
      </c>
      <c r="B8" s="53" t="str">
        <f>'Bid Item List A (RW 3-21)'!B20</f>
        <v>Mobilization, Cleanup, and Demobilization
(Section 012200)</v>
      </c>
      <c r="C8" s="42">
        <f>'Bid Item List A (RW 3-21)'!C20</f>
        <v>1</v>
      </c>
      <c r="D8" s="44" t="str">
        <f>'Bid Item List A (RW 3-21)'!D20</f>
        <v>LS</v>
      </c>
      <c r="E8" s="17">
        <v>418000</v>
      </c>
      <c r="F8" s="18">
        <f t="shared" ref="F8:F16" si="0">C8*E8</f>
        <v>418000</v>
      </c>
      <c r="G8" s="17">
        <v>330000</v>
      </c>
      <c r="H8" s="18">
        <f t="shared" ref="H8:H19" si="1">C8*G8</f>
        <v>330000</v>
      </c>
      <c r="I8" s="17">
        <v>321500</v>
      </c>
      <c r="J8" s="18">
        <f t="shared" ref="J8:J19" si="2">C8*I8</f>
        <v>321500</v>
      </c>
      <c r="K8" s="17">
        <v>653525.5</v>
      </c>
      <c r="L8" s="18">
        <f t="shared" ref="L8:L19" si="3">C8*K8</f>
        <v>653525.5</v>
      </c>
      <c r="M8" s="17">
        <v>397000</v>
      </c>
      <c r="N8" s="18">
        <f t="shared" ref="N8:N19" si="4">C8*M8</f>
        <v>397000</v>
      </c>
      <c r="O8" s="65">
        <v>386000</v>
      </c>
      <c r="P8" s="65">
        <f t="shared" ref="P8:P53" si="5">C8*O8</f>
        <v>386000</v>
      </c>
    </row>
    <row r="9" spans="1:16" ht="33" customHeight="1" x14ac:dyDescent="0.25">
      <c r="A9" s="44" t="str">
        <f>'Bid Item List A (RW 3-21)'!A21</f>
        <v>0002</v>
      </c>
      <c r="B9" s="53" t="str">
        <f>'Bid Item List A (RW 3-21)'!B21</f>
        <v>Sweeper
(Section 012200)</v>
      </c>
      <c r="C9" s="42">
        <f>'Bid Item List A (RW 3-21)'!C21</f>
        <v>1</v>
      </c>
      <c r="D9" s="44" t="str">
        <f>'Bid Item List A (RW 3-21)'!D21</f>
        <v>LS</v>
      </c>
      <c r="E9" s="17">
        <v>48000</v>
      </c>
      <c r="F9" s="18">
        <f t="shared" si="0"/>
        <v>48000</v>
      </c>
      <c r="G9" s="17">
        <v>60000</v>
      </c>
      <c r="H9" s="18">
        <f t="shared" si="1"/>
        <v>60000</v>
      </c>
      <c r="I9" s="17">
        <v>60000</v>
      </c>
      <c r="J9" s="18">
        <f t="shared" si="2"/>
        <v>60000</v>
      </c>
      <c r="K9" s="17">
        <v>83000</v>
      </c>
      <c r="L9" s="18">
        <f t="shared" si="3"/>
        <v>83000</v>
      </c>
      <c r="M9" s="17">
        <v>90000</v>
      </c>
      <c r="N9" s="18">
        <f t="shared" si="4"/>
        <v>90000</v>
      </c>
      <c r="O9" s="65">
        <v>120000</v>
      </c>
      <c r="P9" s="65">
        <f t="shared" si="5"/>
        <v>120000</v>
      </c>
    </row>
    <row r="10" spans="1:16" ht="33" customHeight="1" x14ac:dyDescent="0.25">
      <c r="A10" s="44" t="str">
        <f>'Bid Item List A (RW 3-21)'!A22</f>
        <v>0003</v>
      </c>
      <c r="B10" s="53" t="str">
        <f>'Bid Item List A (RW 3-21)'!B22</f>
        <v>Security Control Monitoring
(Section 012200)</v>
      </c>
      <c r="C10" s="42">
        <f>'Bid Item List A (RW 3-21)'!C22</f>
        <v>1</v>
      </c>
      <c r="D10" s="44" t="str">
        <f>'Bid Item List A (RW 3-21)'!D22</f>
        <v>LS</v>
      </c>
      <c r="E10" s="17">
        <v>45000</v>
      </c>
      <c r="F10" s="18">
        <f t="shared" si="0"/>
        <v>45000</v>
      </c>
      <c r="G10" s="17">
        <v>5000</v>
      </c>
      <c r="H10" s="18">
        <f t="shared" si="1"/>
        <v>5000</v>
      </c>
      <c r="I10" s="17">
        <v>22200</v>
      </c>
      <c r="J10" s="18">
        <f t="shared" si="2"/>
        <v>22200</v>
      </c>
      <c r="K10" s="17">
        <v>10000</v>
      </c>
      <c r="L10" s="18">
        <f t="shared" si="3"/>
        <v>10000</v>
      </c>
      <c r="M10" s="17">
        <v>50000</v>
      </c>
      <c r="N10" s="18">
        <f t="shared" si="4"/>
        <v>50000</v>
      </c>
      <c r="O10" s="65">
        <v>36000</v>
      </c>
      <c r="P10" s="65">
        <f t="shared" si="5"/>
        <v>36000</v>
      </c>
    </row>
    <row r="11" spans="1:16" ht="33" customHeight="1" x14ac:dyDescent="0.25">
      <c r="A11" s="44" t="str">
        <f>'Bid Item List A (RW 3-21)'!A23</f>
        <v>0004</v>
      </c>
      <c r="B11" s="53" t="str">
        <f>'Bid Item List A (RW 3-21)'!B23</f>
        <v>Work Zone and Traffic Control
(Section 012200)</v>
      </c>
      <c r="C11" s="42">
        <f>'Bid Item List A (RW 3-21)'!C23</f>
        <v>1</v>
      </c>
      <c r="D11" s="44" t="str">
        <f>'Bid Item List A (RW 3-21)'!D23</f>
        <v>LS</v>
      </c>
      <c r="E11" s="17">
        <v>65000</v>
      </c>
      <c r="F11" s="18">
        <f t="shared" si="0"/>
        <v>65000</v>
      </c>
      <c r="G11" s="17">
        <v>20000</v>
      </c>
      <c r="H11" s="18">
        <f t="shared" si="1"/>
        <v>20000</v>
      </c>
      <c r="I11" s="17">
        <v>57500</v>
      </c>
      <c r="J11" s="18">
        <f t="shared" si="2"/>
        <v>57500</v>
      </c>
      <c r="K11" s="17">
        <v>57000</v>
      </c>
      <c r="L11" s="18">
        <f t="shared" si="3"/>
        <v>57000</v>
      </c>
      <c r="M11" s="17">
        <v>65000</v>
      </c>
      <c r="N11" s="18">
        <f t="shared" si="4"/>
        <v>65000</v>
      </c>
      <c r="O11" s="65">
        <v>60000</v>
      </c>
      <c r="P11" s="65">
        <f t="shared" si="5"/>
        <v>60000</v>
      </c>
    </row>
    <row r="12" spans="1:16" ht="33" customHeight="1" x14ac:dyDescent="0.25">
      <c r="A12" s="44" t="str">
        <f>'Bid Item List A (RW 3-21)'!A24</f>
        <v>0005</v>
      </c>
      <c r="B12" s="53" t="str">
        <f>'Bid Item List A (RW 3-21)'!B24</f>
        <v>Escort
(Section 012200)</v>
      </c>
      <c r="C12" s="42">
        <f>'Bid Item List A (RW 3-21)'!C24</f>
        <v>1</v>
      </c>
      <c r="D12" s="44" t="str">
        <f>'Bid Item List A (RW 3-21)'!D24</f>
        <v>LS</v>
      </c>
      <c r="E12" s="17">
        <v>25000</v>
      </c>
      <c r="F12" s="18">
        <f t="shared" si="0"/>
        <v>25000</v>
      </c>
      <c r="G12" s="17">
        <v>65000</v>
      </c>
      <c r="H12" s="18">
        <f t="shared" si="1"/>
        <v>65000</v>
      </c>
      <c r="I12" s="17">
        <v>41950</v>
      </c>
      <c r="J12" s="18">
        <f t="shared" si="2"/>
        <v>41950</v>
      </c>
      <c r="K12" s="17">
        <v>108000</v>
      </c>
      <c r="L12" s="18">
        <f t="shared" si="3"/>
        <v>108000</v>
      </c>
      <c r="M12" s="17">
        <v>100000</v>
      </c>
      <c r="N12" s="18">
        <f t="shared" si="4"/>
        <v>100000</v>
      </c>
      <c r="O12" s="65">
        <v>105000</v>
      </c>
      <c r="P12" s="65">
        <f t="shared" si="5"/>
        <v>105000</v>
      </c>
    </row>
    <row r="13" spans="1:16" ht="33" customHeight="1" x14ac:dyDescent="0.25">
      <c r="A13" s="44" t="str">
        <f>'Bid Item List A (RW 3-21)'!A25</f>
        <v>0006</v>
      </c>
      <c r="B13" s="53" t="str">
        <f>'Bid Item List A (RW 3-21)'!B25</f>
        <v>Construction Access
(Section 015713)</v>
      </c>
      <c r="C13" s="42">
        <f>'Bid Item List A (RW 3-21)'!C25</f>
        <v>2</v>
      </c>
      <c r="D13" s="44" t="str">
        <f>'Bid Item List A (RW 3-21)'!D25</f>
        <v>Each</v>
      </c>
      <c r="E13" s="17">
        <v>12000</v>
      </c>
      <c r="F13" s="18">
        <f t="shared" si="0"/>
        <v>24000</v>
      </c>
      <c r="G13" s="17">
        <v>3000</v>
      </c>
      <c r="H13" s="18">
        <f t="shared" si="1"/>
        <v>6000</v>
      </c>
      <c r="I13" s="17">
        <v>1800</v>
      </c>
      <c r="J13" s="18">
        <f t="shared" si="2"/>
        <v>3600</v>
      </c>
      <c r="K13" s="17">
        <v>1400</v>
      </c>
      <c r="L13" s="18">
        <f t="shared" si="3"/>
        <v>2800</v>
      </c>
      <c r="M13" s="17">
        <v>4000</v>
      </c>
      <c r="N13" s="18">
        <f t="shared" si="4"/>
        <v>8000</v>
      </c>
      <c r="O13" s="65">
        <v>3500</v>
      </c>
      <c r="P13" s="65">
        <f t="shared" si="5"/>
        <v>7000</v>
      </c>
    </row>
    <row r="14" spans="1:16" ht="33" customHeight="1" x14ac:dyDescent="0.25">
      <c r="A14" s="44" t="str">
        <f>'Bid Item List A (RW 3-21)'!A26</f>
        <v>0007</v>
      </c>
      <c r="B14" s="53" t="str">
        <f>'Bid Item List A (RW 3-21)'!B26</f>
        <v>Inlet Protection
(Section 015713)</v>
      </c>
      <c r="C14" s="42">
        <f>'Bid Item List A (RW 3-21)'!C26</f>
        <v>86</v>
      </c>
      <c r="D14" s="44" t="str">
        <f>'Bid Item List A (RW 3-21)'!D26</f>
        <v>Each</v>
      </c>
      <c r="E14" s="17">
        <v>120</v>
      </c>
      <c r="F14" s="18">
        <f t="shared" si="0"/>
        <v>10320</v>
      </c>
      <c r="G14" s="17">
        <v>85</v>
      </c>
      <c r="H14" s="18">
        <f t="shared" si="1"/>
        <v>7310</v>
      </c>
      <c r="I14" s="17">
        <v>60</v>
      </c>
      <c r="J14" s="18">
        <f t="shared" si="2"/>
        <v>5160</v>
      </c>
      <c r="K14" s="17">
        <v>55</v>
      </c>
      <c r="L14" s="18">
        <f t="shared" si="3"/>
        <v>4730</v>
      </c>
      <c r="M14" s="17">
        <v>80</v>
      </c>
      <c r="N14" s="18">
        <f t="shared" si="4"/>
        <v>6880</v>
      </c>
      <c r="O14" s="65">
        <v>85</v>
      </c>
      <c r="P14" s="65">
        <f t="shared" si="5"/>
        <v>7310</v>
      </c>
    </row>
    <row r="15" spans="1:16" ht="33" customHeight="1" x14ac:dyDescent="0.25">
      <c r="A15" s="44" t="str">
        <f>'Bid Item List A (RW 3-21)'!A27</f>
        <v>0008</v>
      </c>
      <c r="B15" s="53" t="str">
        <f>'Bid Item List A (RW 3-21)'!B27</f>
        <v>Construction Survey
(Item GP-50)</v>
      </c>
      <c r="C15" s="42">
        <f>'Bid Item List A (RW 3-21)'!C27</f>
        <v>1</v>
      </c>
      <c r="D15" s="44" t="str">
        <f>'Bid Item List A (RW 3-21)'!D27</f>
        <v>LS</v>
      </c>
      <c r="E15" s="17">
        <v>92000</v>
      </c>
      <c r="F15" s="18">
        <f t="shared" si="0"/>
        <v>92000</v>
      </c>
      <c r="G15" s="17">
        <v>42000</v>
      </c>
      <c r="H15" s="18">
        <f t="shared" si="1"/>
        <v>42000</v>
      </c>
      <c r="I15" s="17">
        <v>30000</v>
      </c>
      <c r="J15" s="18">
        <f t="shared" si="2"/>
        <v>30000</v>
      </c>
      <c r="K15" s="17">
        <v>94000</v>
      </c>
      <c r="L15" s="18">
        <f t="shared" si="3"/>
        <v>94000</v>
      </c>
      <c r="M15" s="17">
        <v>100000</v>
      </c>
      <c r="N15" s="18">
        <f t="shared" si="4"/>
        <v>100000</v>
      </c>
      <c r="O15" s="65">
        <v>105000</v>
      </c>
      <c r="P15" s="65">
        <f t="shared" si="5"/>
        <v>105000</v>
      </c>
    </row>
    <row r="16" spans="1:16" ht="33" customHeight="1" x14ac:dyDescent="0.25">
      <c r="A16" s="44" t="str">
        <f>'Bid Item List A (RW 3-21)'!A28</f>
        <v>0009</v>
      </c>
      <c r="B16" s="53" t="str">
        <f>'Bid Item List A (RW 3-21)'!B28</f>
        <v>Joint and Crack Repair
(Item P-101)</v>
      </c>
      <c r="C16" s="42">
        <f>'Bid Item List A (RW 3-21)'!C28</f>
        <v>1000</v>
      </c>
      <c r="D16" s="44" t="str">
        <f>'Bid Item List A (RW 3-21)'!D28</f>
        <v>LF</v>
      </c>
      <c r="E16" s="17">
        <v>17</v>
      </c>
      <c r="F16" s="18">
        <f t="shared" si="0"/>
        <v>17000</v>
      </c>
      <c r="G16" s="17">
        <v>5</v>
      </c>
      <c r="H16" s="18">
        <f t="shared" si="1"/>
        <v>5000</v>
      </c>
      <c r="I16" s="17">
        <v>1.45</v>
      </c>
      <c r="J16" s="18">
        <f t="shared" si="2"/>
        <v>1450</v>
      </c>
      <c r="K16" s="17">
        <v>4</v>
      </c>
      <c r="L16" s="18">
        <f t="shared" si="3"/>
        <v>4000</v>
      </c>
      <c r="M16" s="17">
        <v>4</v>
      </c>
      <c r="N16" s="18">
        <f t="shared" si="4"/>
        <v>4000</v>
      </c>
      <c r="O16" s="65">
        <v>5</v>
      </c>
      <c r="P16" s="65">
        <f t="shared" si="5"/>
        <v>5000</v>
      </c>
    </row>
    <row r="17" spans="1:16" ht="33" customHeight="1" x14ac:dyDescent="0.25">
      <c r="A17" s="44" t="str">
        <f>'Bid Item List A (RW 3-21)'!A29</f>
        <v>0010</v>
      </c>
      <c r="B17" s="53" t="str">
        <f>'Bid Item List A (RW 3-21)'!B29</f>
        <v>Cold Milling - 2-Inch Maximum Depth
(Item P-101)</v>
      </c>
      <c r="C17" s="42">
        <f>'Bid Item List A (RW 3-21)'!C29</f>
        <v>58100</v>
      </c>
      <c r="D17" s="44" t="str">
        <f>'Bid Item List A (RW 3-21)'!D29</f>
        <v>SY</v>
      </c>
      <c r="E17" s="17">
        <v>3.75</v>
      </c>
      <c r="F17" s="18">
        <f t="shared" ref="F17:F53" si="6">C17*E17</f>
        <v>217875</v>
      </c>
      <c r="G17" s="17">
        <v>2</v>
      </c>
      <c r="H17" s="18">
        <f t="shared" si="1"/>
        <v>116200</v>
      </c>
      <c r="I17" s="17">
        <v>1.4</v>
      </c>
      <c r="J17" s="18">
        <f t="shared" si="2"/>
        <v>81340</v>
      </c>
      <c r="K17" s="17">
        <v>1.5</v>
      </c>
      <c r="L17" s="18">
        <f t="shared" si="3"/>
        <v>87150</v>
      </c>
      <c r="M17" s="17">
        <v>3</v>
      </c>
      <c r="N17" s="18">
        <f t="shared" si="4"/>
        <v>174300</v>
      </c>
      <c r="O17" s="65">
        <v>4.5</v>
      </c>
      <c r="P17" s="65">
        <f t="shared" si="5"/>
        <v>261450</v>
      </c>
    </row>
    <row r="18" spans="1:16" ht="33" customHeight="1" x14ac:dyDescent="0.25">
      <c r="A18" s="44" t="str">
        <f>'Bid Item List A (RW 3-21)'!A30</f>
        <v>0011</v>
      </c>
      <c r="B18" s="53" t="str">
        <f>'Bid Item List A (RW 3-21)'!B30</f>
        <v>Cold Milling - 4.5-Inch Maximum Depth
(Item P-101)</v>
      </c>
      <c r="C18" s="42">
        <f>'Bid Item List A (RW 3-21)'!C30</f>
        <v>30400</v>
      </c>
      <c r="D18" s="44" t="str">
        <f>'Bid Item List A (RW 3-21)'!D30</f>
        <v>SY</v>
      </c>
      <c r="E18" s="17">
        <v>5</v>
      </c>
      <c r="F18" s="18">
        <f t="shared" si="6"/>
        <v>152000</v>
      </c>
      <c r="G18" s="17">
        <v>3</v>
      </c>
      <c r="H18" s="18">
        <f t="shared" si="1"/>
        <v>91200</v>
      </c>
      <c r="I18" s="17">
        <v>3.5</v>
      </c>
      <c r="J18" s="18">
        <f t="shared" si="2"/>
        <v>106400</v>
      </c>
      <c r="K18" s="17">
        <v>2.2999999999999998</v>
      </c>
      <c r="L18" s="18">
        <f t="shared" si="3"/>
        <v>69920</v>
      </c>
      <c r="M18" s="17">
        <v>4</v>
      </c>
      <c r="N18" s="18">
        <f t="shared" si="4"/>
        <v>121600</v>
      </c>
      <c r="O18" s="65">
        <v>6</v>
      </c>
      <c r="P18" s="65">
        <f t="shared" si="5"/>
        <v>182400</v>
      </c>
    </row>
    <row r="19" spans="1:16" ht="33" customHeight="1" x14ac:dyDescent="0.25">
      <c r="A19" s="44" t="str">
        <f>'Bid Item List A (RW 3-21)'!A31</f>
        <v>0012</v>
      </c>
      <c r="B19" s="53" t="str">
        <f>'Bid Item List A (RW 3-21)'!B31</f>
        <v>Silt Fence
(Item P-156)</v>
      </c>
      <c r="C19" s="42">
        <f>'Bid Item List A (RW 3-21)'!C31</f>
        <v>4200</v>
      </c>
      <c r="D19" s="44" t="str">
        <f>'Bid Item List A (RW 3-21)'!D31</f>
        <v>LF</v>
      </c>
      <c r="E19" s="17">
        <v>3.75</v>
      </c>
      <c r="F19" s="18">
        <f t="shared" si="6"/>
        <v>15750</v>
      </c>
      <c r="G19" s="17">
        <v>2.5</v>
      </c>
      <c r="H19" s="18">
        <f t="shared" si="1"/>
        <v>10500</v>
      </c>
      <c r="I19" s="17">
        <v>1.75</v>
      </c>
      <c r="J19" s="18">
        <f t="shared" si="2"/>
        <v>7350</v>
      </c>
      <c r="K19" s="17">
        <v>1.75</v>
      </c>
      <c r="L19" s="18">
        <f t="shared" si="3"/>
        <v>7350</v>
      </c>
      <c r="M19" s="17">
        <v>3</v>
      </c>
      <c r="N19" s="18">
        <f t="shared" si="4"/>
        <v>12600</v>
      </c>
      <c r="O19" s="65">
        <v>2</v>
      </c>
      <c r="P19" s="65">
        <f t="shared" si="5"/>
        <v>8400</v>
      </c>
    </row>
    <row r="20" spans="1:16" ht="33" customHeight="1" x14ac:dyDescent="0.25">
      <c r="A20" s="44" t="str">
        <f>'Bid Item List A (RW 3-21)'!A32</f>
        <v>0013</v>
      </c>
      <c r="B20" s="53" t="str">
        <f>'Bid Item List A (RW 3-21)'!B32</f>
        <v>Hot Mix Asphalt (HMA) Bituminous Surface Course
(Item P-401)</v>
      </c>
      <c r="C20" s="42">
        <f>'Bid Item List A (RW 3-21)'!C32</f>
        <v>15000</v>
      </c>
      <c r="D20" s="44" t="str">
        <f>'Bid Item List A (RW 3-21)'!D32</f>
        <v>Ton</v>
      </c>
      <c r="E20" s="17">
        <v>100</v>
      </c>
      <c r="F20" s="18">
        <f t="shared" si="6"/>
        <v>1500000</v>
      </c>
      <c r="G20" s="17">
        <v>85</v>
      </c>
      <c r="H20" s="18">
        <f t="shared" ref="H20:H53" si="7">C20*G20</f>
        <v>1275000</v>
      </c>
      <c r="I20" s="17">
        <v>80</v>
      </c>
      <c r="J20" s="18">
        <f t="shared" ref="J20:J53" si="8">C20*I20</f>
        <v>1200000</v>
      </c>
      <c r="K20" s="17">
        <v>82</v>
      </c>
      <c r="L20" s="18">
        <f t="shared" ref="L20:L53" si="9">C20*K20</f>
        <v>1230000</v>
      </c>
      <c r="M20" s="17">
        <v>114</v>
      </c>
      <c r="N20" s="18">
        <f t="shared" ref="N20:N53" si="10">C20*M20</f>
        <v>1710000</v>
      </c>
      <c r="O20" s="65">
        <v>85</v>
      </c>
      <c r="P20" s="65">
        <f t="shared" si="5"/>
        <v>1275000</v>
      </c>
    </row>
    <row r="21" spans="1:16" ht="33" customHeight="1" x14ac:dyDescent="0.25">
      <c r="A21" s="44" t="str">
        <f>'Bid Item List A (RW 3-21)'!A33</f>
        <v>0014</v>
      </c>
      <c r="B21" s="53" t="str">
        <f>'Bid Item List A (RW 3-21)'!B33</f>
        <v>Hot Mix Asphalt (HMA) Base Course
(Item P-403)</v>
      </c>
      <c r="C21" s="42">
        <f>'Bid Item List A (RW 3-21)'!C33</f>
        <v>8500</v>
      </c>
      <c r="D21" s="44" t="str">
        <f>'Bid Item List A (RW 3-21)'!D33</f>
        <v>Ton</v>
      </c>
      <c r="E21" s="17">
        <v>100</v>
      </c>
      <c r="F21" s="18">
        <f t="shared" si="6"/>
        <v>850000</v>
      </c>
      <c r="G21" s="17">
        <v>85</v>
      </c>
      <c r="H21" s="18">
        <f t="shared" si="7"/>
        <v>722500</v>
      </c>
      <c r="I21" s="17">
        <v>80</v>
      </c>
      <c r="J21" s="18">
        <f t="shared" si="8"/>
        <v>680000</v>
      </c>
      <c r="K21" s="17">
        <v>80</v>
      </c>
      <c r="L21" s="18">
        <f t="shared" si="9"/>
        <v>680000</v>
      </c>
      <c r="M21" s="17">
        <v>108</v>
      </c>
      <c r="N21" s="18">
        <f t="shared" si="10"/>
        <v>918000</v>
      </c>
      <c r="O21" s="65">
        <v>85</v>
      </c>
      <c r="P21" s="65">
        <f t="shared" si="5"/>
        <v>722500</v>
      </c>
    </row>
    <row r="22" spans="1:16" ht="33" customHeight="1" x14ac:dyDescent="0.25">
      <c r="A22" s="44" t="str">
        <f>'Bid Item List A (RW 3-21)'!A34</f>
        <v>0015</v>
      </c>
      <c r="B22" s="53" t="str">
        <f>'Bid Item List A (RW 3-21)'!B34</f>
        <v>Bituminous Tack Coat
(Item P-603)</v>
      </c>
      <c r="C22" s="42">
        <f>'Bid Item List A (RW 3-21)'!C34</f>
        <v>9500</v>
      </c>
      <c r="D22" s="44" t="str">
        <f>'Bid Item List A (RW 3-21)'!D34</f>
        <v>Gal</v>
      </c>
      <c r="E22" s="17">
        <v>10</v>
      </c>
      <c r="F22" s="18">
        <f t="shared" si="6"/>
        <v>95000</v>
      </c>
      <c r="G22" s="17">
        <v>4</v>
      </c>
      <c r="H22" s="18">
        <f t="shared" si="7"/>
        <v>38000</v>
      </c>
      <c r="I22" s="17">
        <v>3</v>
      </c>
      <c r="J22" s="18">
        <f t="shared" si="8"/>
        <v>28500</v>
      </c>
      <c r="K22" s="17">
        <v>3</v>
      </c>
      <c r="L22" s="18">
        <f t="shared" si="9"/>
        <v>28500</v>
      </c>
      <c r="M22" s="17">
        <v>10</v>
      </c>
      <c r="N22" s="18">
        <f t="shared" si="10"/>
        <v>95000</v>
      </c>
      <c r="O22" s="65">
        <v>8</v>
      </c>
      <c r="P22" s="65">
        <f t="shared" si="5"/>
        <v>76000</v>
      </c>
    </row>
    <row r="23" spans="1:16" ht="33" customHeight="1" x14ac:dyDescent="0.25">
      <c r="A23" s="44" t="str">
        <f>'Bid Item List A (RW 3-21)'!A35</f>
        <v>0016</v>
      </c>
      <c r="B23" s="53" t="str">
        <f>'Bid Item List A (RW 3-21)'!B35</f>
        <v>Joint Sealing Filler
(Item P-605)</v>
      </c>
      <c r="C23" s="42">
        <f>'Bid Item List A (RW 3-21)'!C35</f>
        <v>25</v>
      </c>
      <c r="D23" s="44" t="str">
        <f>'Bid Item List A (RW 3-21)'!D35</f>
        <v>Gal</v>
      </c>
      <c r="E23" s="17">
        <v>225</v>
      </c>
      <c r="F23" s="18">
        <f t="shared" si="6"/>
        <v>5625</v>
      </c>
      <c r="G23" s="17">
        <v>128</v>
      </c>
      <c r="H23" s="18">
        <f t="shared" si="7"/>
        <v>3200</v>
      </c>
      <c r="I23" s="17">
        <v>211.5</v>
      </c>
      <c r="J23" s="18">
        <f t="shared" si="8"/>
        <v>5287.5</v>
      </c>
      <c r="K23" s="17">
        <v>122</v>
      </c>
      <c r="L23" s="18">
        <f t="shared" si="9"/>
        <v>3050</v>
      </c>
      <c r="M23" s="17">
        <v>220</v>
      </c>
      <c r="N23" s="18">
        <f t="shared" si="10"/>
        <v>5500</v>
      </c>
      <c r="O23" s="65">
        <v>250</v>
      </c>
      <c r="P23" s="65">
        <f t="shared" si="5"/>
        <v>6250</v>
      </c>
    </row>
    <row r="24" spans="1:16" ht="33" customHeight="1" x14ac:dyDescent="0.25">
      <c r="A24" s="44" t="str">
        <f>'Bid Item List A (RW 3-21)'!A36</f>
        <v>0017</v>
      </c>
      <c r="B24" s="53" t="str">
        <f>'Bid Item List A (RW 3-21)'!B36</f>
        <v>Adhesive Compound
(Item P-606)</v>
      </c>
      <c r="C24" s="42">
        <f>'Bid Item List A (RW 3-21)'!C36</f>
        <v>60</v>
      </c>
      <c r="D24" s="44" t="str">
        <f>'Bid Item List A (RW 3-21)'!D36</f>
        <v>Gal</v>
      </c>
      <c r="E24" s="17">
        <v>60</v>
      </c>
      <c r="F24" s="18">
        <f t="shared" si="6"/>
        <v>3600</v>
      </c>
      <c r="G24" s="17">
        <v>132</v>
      </c>
      <c r="H24" s="18">
        <f t="shared" si="7"/>
        <v>7920</v>
      </c>
      <c r="I24" s="17">
        <v>193</v>
      </c>
      <c r="J24" s="18">
        <f t="shared" si="8"/>
        <v>11580</v>
      </c>
      <c r="K24" s="17">
        <v>125</v>
      </c>
      <c r="L24" s="18">
        <f t="shared" si="9"/>
        <v>7500</v>
      </c>
      <c r="M24" s="17">
        <v>200</v>
      </c>
      <c r="N24" s="18">
        <f t="shared" si="10"/>
        <v>12000</v>
      </c>
      <c r="O24" s="65">
        <v>250</v>
      </c>
      <c r="P24" s="65">
        <f t="shared" si="5"/>
        <v>15000</v>
      </c>
    </row>
    <row r="25" spans="1:16" ht="33" customHeight="1" x14ac:dyDescent="0.25">
      <c r="A25" s="44" t="str">
        <f>'Bid Item List A (RW 3-21)'!A37</f>
        <v>0018</v>
      </c>
      <c r="B25" s="53" t="str">
        <f>'Bid Item List A (RW 3-21)'!B37</f>
        <v>Asphalt Surface Treatment
(Item P-608)</v>
      </c>
      <c r="C25" s="42">
        <f>'Bid Item List A (RW 3-21)'!C37</f>
        <v>19600</v>
      </c>
      <c r="D25" s="44" t="str">
        <f>'Bid Item List A (RW 3-21)'!D37</f>
        <v>SY</v>
      </c>
      <c r="E25" s="17">
        <v>2</v>
      </c>
      <c r="F25" s="18">
        <f t="shared" si="6"/>
        <v>39200</v>
      </c>
      <c r="G25" s="17">
        <v>1</v>
      </c>
      <c r="H25" s="18">
        <f t="shared" si="7"/>
        <v>19600</v>
      </c>
      <c r="I25" s="17">
        <v>4.25</v>
      </c>
      <c r="J25" s="18">
        <f t="shared" si="8"/>
        <v>83300</v>
      </c>
      <c r="K25" s="17">
        <v>2.5</v>
      </c>
      <c r="L25" s="18">
        <f t="shared" si="9"/>
        <v>49000</v>
      </c>
      <c r="M25" s="17">
        <v>4</v>
      </c>
      <c r="N25" s="18">
        <f t="shared" si="10"/>
        <v>78400</v>
      </c>
      <c r="O25" s="65">
        <v>1.5</v>
      </c>
      <c r="P25" s="65">
        <f t="shared" si="5"/>
        <v>29400</v>
      </c>
    </row>
    <row r="26" spans="1:16" ht="33" customHeight="1" x14ac:dyDescent="0.25">
      <c r="A26" s="44" t="str">
        <f>'Bid Item List A (RW 3-21)'!A38</f>
        <v>0019</v>
      </c>
      <c r="B26" s="53" t="str">
        <f>'Bid Item List A (RW 3-21)'!B38</f>
        <v>Runway Friction Testing
(Item P-608)</v>
      </c>
      <c r="C26" s="42">
        <f>'Bid Item List A (RW 3-21)'!C38</f>
        <v>1</v>
      </c>
      <c r="D26" s="44" t="str">
        <f>'Bid Item List A (RW 3-21)'!D38</f>
        <v>LS</v>
      </c>
      <c r="E26" s="17">
        <v>17500</v>
      </c>
      <c r="F26" s="18">
        <f t="shared" si="6"/>
        <v>17500</v>
      </c>
      <c r="G26" s="17">
        <v>17000</v>
      </c>
      <c r="H26" s="18">
        <f t="shared" si="7"/>
        <v>17000</v>
      </c>
      <c r="I26" s="17">
        <v>8900</v>
      </c>
      <c r="J26" s="18">
        <f t="shared" si="8"/>
        <v>8900</v>
      </c>
      <c r="K26" s="17">
        <v>12500</v>
      </c>
      <c r="L26" s="18">
        <f t="shared" si="9"/>
        <v>12500</v>
      </c>
      <c r="M26" s="17">
        <v>9000</v>
      </c>
      <c r="N26" s="18">
        <f t="shared" si="10"/>
        <v>9000</v>
      </c>
      <c r="O26" s="65">
        <v>5000</v>
      </c>
      <c r="P26" s="65">
        <f t="shared" si="5"/>
        <v>5000</v>
      </c>
    </row>
    <row r="27" spans="1:16" ht="33" customHeight="1" x14ac:dyDescent="0.25">
      <c r="A27" s="44" t="str">
        <f>'Bid Item List A (RW 3-21)'!A39</f>
        <v>0020</v>
      </c>
      <c r="B27" s="53" t="str">
        <f>'Bid Item List A (RW 3-21)'!B39</f>
        <v>Structural Portland Cement Concrete (PCC)
(Item P-610)</v>
      </c>
      <c r="C27" s="42">
        <f>'Bid Item List A (RW 3-21)'!C39</f>
        <v>30</v>
      </c>
      <c r="D27" s="44" t="str">
        <f>'Bid Item List A (RW 3-21)'!D39</f>
        <v>CY</v>
      </c>
      <c r="E27" s="17">
        <v>1100</v>
      </c>
      <c r="F27" s="18">
        <f t="shared" si="6"/>
        <v>33000</v>
      </c>
      <c r="G27" s="17">
        <v>200</v>
      </c>
      <c r="H27" s="18">
        <f t="shared" si="7"/>
        <v>6000</v>
      </c>
      <c r="I27" s="17">
        <v>800</v>
      </c>
      <c r="J27" s="18">
        <f t="shared" si="8"/>
        <v>24000</v>
      </c>
      <c r="K27" s="17">
        <v>200</v>
      </c>
      <c r="L27" s="18">
        <f t="shared" si="9"/>
        <v>6000</v>
      </c>
      <c r="M27" s="17">
        <v>250</v>
      </c>
      <c r="N27" s="18">
        <f t="shared" si="10"/>
        <v>7500</v>
      </c>
      <c r="O27" s="65">
        <v>325</v>
      </c>
      <c r="P27" s="65">
        <f t="shared" si="5"/>
        <v>9750</v>
      </c>
    </row>
    <row r="28" spans="1:16" ht="33" customHeight="1" x14ac:dyDescent="0.25">
      <c r="A28" s="44" t="str">
        <f>'Bid Item List A (RW 3-21)'!A40</f>
        <v>0021</v>
      </c>
      <c r="B28" s="53" t="str">
        <f>'Bid Item List A (RW 3-21)'!B40</f>
        <v>Steel Reinforcement
(Item P-610)</v>
      </c>
      <c r="C28" s="42">
        <f>'Bid Item List A (RW 3-21)'!C40</f>
        <v>400</v>
      </c>
      <c r="D28" s="44" t="str">
        <f>'Bid Item List A (RW 3-21)'!D40</f>
        <v>LB</v>
      </c>
      <c r="E28" s="17">
        <v>5</v>
      </c>
      <c r="F28" s="18">
        <f t="shared" si="6"/>
        <v>2000</v>
      </c>
      <c r="G28" s="17">
        <v>2</v>
      </c>
      <c r="H28" s="18">
        <f t="shared" si="7"/>
        <v>800</v>
      </c>
      <c r="I28" s="17">
        <v>2</v>
      </c>
      <c r="J28" s="18">
        <f t="shared" si="8"/>
        <v>800</v>
      </c>
      <c r="K28" s="17">
        <v>5</v>
      </c>
      <c r="L28" s="18">
        <f t="shared" si="9"/>
        <v>2000</v>
      </c>
      <c r="M28" s="17">
        <v>5</v>
      </c>
      <c r="N28" s="18">
        <f t="shared" si="10"/>
        <v>2000</v>
      </c>
      <c r="O28" s="65">
        <v>5</v>
      </c>
      <c r="P28" s="65">
        <f t="shared" si="5"/>
        <v>2000</v>
      </c>
    </row>
    <row r="29" spans="1:16" ht="33" customHeight="1" x14ac:dyDescent="0.25">
      <c r="A29" s="44" t="str">
        <f>'Bid Item List A (RW 3-21)'!A41</f>
        <v>0022</v>
      </c>
      <c r="B29" s="53" t="str">
        <f>'Bid Item List A (RW 3-21)'!B41</f>
        <v>Runway Marking
(Item P-620)</v>
      </c>
      <c r="C29" s="42">
        <f>'Bid Item List A (RW 3-21)'!C41</f>
        <v>92000</v>
      </c>
      <c r="D29" s="44" t="str">
        <f>'Bid Item List A (RW 3-21)'!D41</f>
        <v>SF</v>
      </c>
      <c r="E29" s="17">
        <v>0.3</v>
      </c>
      <c r="F29" s="18">
        <f t="shared" si="6"/>
        <v>27600</v>
      </c>
      <c r="G29" s="17">
        <v>0.3</v>
      </c>
      <c r="H29" s="18">
        <f t="shared" si="7"/>
        <v>27600</v>
      </c>
      <c r="I29" s="17">
        <v>0.28999999999999998</v>
      </c>
      <c r="J29" s="18">
        <f t="shared" si="8"/>
        <v>26679.999999999996</v>
      </c>
      <c r="K29" s="17">
        <v>0.28999999999999998</v>
      </c>
      <c r="L29" s="18">
        <f t="shared" si="9"/>
        <v>26679.999999999996</v>
      </c>
      <c r="M29" s="17">
        <v>0.3</v>
      </c>
      <c r="N29" s="18">
        <f t="shared" si="10"/>
        <v>27600</v>
      </c>
      <c r="O29" s="65">
        <v>1.25</v>
      </c>
      <c r="P29" s="65">
        <f t="shared" si="5"/>
        <v>115000</v>
      </c>
    </row>
    <row r="30" spans="1:16" ht="33" customHeight="1" x14ac:dyDescent="0.25">
      <c r="A30" s="44" t="str">
        <f>'Bid Item List A (RW 3-21)'!A42</f>
        <v>0023</v>
      </c>
      <c r="B30" s="53" t="str">
        <f>'Bid Item List A (RW 3-21)'!B42</f>
        <v>Reflective Media
(Item P-620)</v>
      </c>
      <c r="C30" s="42">
        <f>'Bid Item List A (RW 3-21)'!C42</f>
        <v>5600</v>
      </c>
      <c r="D30" s="44" t="str">
        <f>'Bid Item List A (RW 3-21)'!D42</f>
        <v>LB</v>
      </c>
      <c r="E30" s="17">
        <v>0.5</v>
      </c>
      <c r="F30" s="18">
        <f t="shared" si="6"/>
        <v>2800</v>
      </c>
      <c r="G30" s="17">
        <v>0.48</v>
      </c>
      <c r="H30" s="18">
        <f t="shared" si="7"/>
        <v>2688</v>
      </c>
      <c r="I30" s="17">
        <v>0.45</v>
      </c>
      <c r="J30" s="18">
        <f t="shared" si="8"/>
        <v>2520</v>
      </c>
      <c r="K30" s="17">
        <v>0.45</v>
      </c>
      <c r="L30" s="18">
        <f t="shared" si="9"/>
        <v>2520</v>
      </c>
      <c r="M30" s="17">
        <v>0.5</v>
      </c>
      <c r="N30" s="18">
        <f t="shared" si="10"/>
        <v>2800</v>
      </c>
      <c r="O30" s="65">
        <v>2</v>
      </c>
      <c r="P30" s="65">
        <f t="shared" si="5"/>
        <v>11200</v>
      </c>
    </row>
    <row r="31" spans="1:16" ht="33" customHeight="1" x14ac:dyDescent="0.25">
      <c r="A31" s="44" t="str">
        <f>'Bid Item List A (RW 3-21)'!A43</f>
        <v>0024</v>
      </c>
      <c r="B31" s="53" t="str">
        <f>'Bid Item List A (RW 3-21)'!B43</f>
        <v>Phasing Pavement Marking
(Item P-620)</v>
      </c>
      <c r="C31" s="42">
        <f>'Bid Item List A (RW 3-21)'!C43</f>
        <v>7250</v>
      </c>
      <c r="D31" s="44" t="str">
        <f>'Bid Item List A (RW 3-21)'!D43</f>
        <v>SF</v>
      </c>
      <c r="E31" s="17">
        <v>1</v>
      </c>
      <c r="F31" s="18">
        <f t="shared" si="6"/>
        <v>7250</v>
      </c>
      <c r="G31" s="17">
        <v>0.6</v>
      </c>
      <c r="H31" s="18">
        <f t="shared" si="7"/>
        <v>4350</v>
      </c>
      <c r="I31" s="17">
        <v>0.56999999999999995</v>
      </c>
      <c r="J31" s="18">
        <f t="shared" si="8"/>
        <v>4132.5</v>
      </c>
      <c r="K31" s="17">
        <v>0.56999999999999995</v>
      </c>
      <c r="L31" s="18">
        <f t="shared" si="9"/>
        <v>4132.5</v>
      </c>
      <c r="M31" s="17">
        <v>0.6</v>
      </c>
      <c r="N31" s="18">
        <f t="shared" si="10"/>
        <v>4350</v>
      </c>
      <c r="O31" s="65">
        <v>1.25</v>
      </c>
      <c r="P31" s="65">
        <f t="shared" si="5"/>
        <v>9062.5</v>
      </c>
    </row>
    <row r="32" spans="1:16" ht="33" customHeight="1" x14ac:dyDescent="0.25">
      <c r="A32" s="44" t="str">
        <f>'Bid Item List A (RW 3-21)'!A44</f>
        <v>0025</v>
      </c>
      <c r="B32" s="53" t="str">
        <f>'Bid Item List A (RW 3-21)'!B44</f>
        <v>Grooving
(Item P-621)</v>
      </c>
      <c r="C32" s="42">
        <f>'Bid Item List A (RW 3-21)'!C44</f>
        <v>78600</v>
      </c>
      <c r="D32" s="44" t="str">
        <f>'Bid Item List A (RW 3-21)'!D44</f>
        <v>SY</v>
      </c>
      <c r="E32" s="17">
        <v>0.8</v>
      </c>
      <c r="F32" s="18">
        <f t="shared" si="6"/>
        <v>62880</v>
      </c>
      <c r="G32" s="17">
        <v>2.7</v>
      </c>
      <c r="H32" s="18">
        <f t="shared" si="7"/>
        <v>212220</v>
      </c>
      <c r="I32" s="17">
        <v>2.5499999999999998</v>
      </c>
      <c r="J32" s="18">
        <f t="shared" si="8"/>
        <v>200430</v>
      </c>
      <c r="K32" s="17">
        <v>2.5499999999999998</v>
      </c>
      <c r="L32" s="18">
        <f t="shared" si="9"/>
        <v>200430</v>
      </c>
      <c r="M32" s="17">
        <v>2.6</v>
      </c>
      <c r="N32" s="18">
        <f t="shared" si="10"/>
        <v>204360</v>
      </c>
      <c r="O32" s="65">
        <v>6</v>
      </c>
      <c r="P32" s="65">
        <f t="shared" si="5"/>
        <v>471600</v>
      </c>
    </row>
    <row r="33" spans="1:16" ht="33" customHeight="1" x14ac:dyDescent="0.25">
      <c r="A33" s="44" t="str">
        <f>'Bid Item List A (RW 3-21)'!A45</f>
        <v>0026</v>
      </c>
      <c r="B33" s="53" t="str">
        <f>'Bid Item List A (RW 3-21)'!B45</f>
        <v>No. 8 AWG 5kV Cable
(Item L-108)</v>
      </c>
      <c r="C33" s="42">
        <f>'Bid Item List A (RW 3-21)'!C45</f>
        <v>5000</v>
      </c>
      <c r="D33" s="44" t="str">
        <f>'Bid Item List A (RW 3-21)'!D45</f>
        <v>LF</v>
      </c>
      <c r="E33" s="17">
        <v>1.75</v>
      </c>
      <c r="F33" s="18">
        <f t="shared" si="6"/>
        <v>8750</v>
      </c>
      <c r="G33" s="17">
        <v>1.27</v>
      </c>
      <c r="H33" s="18">
        <f t="shared" si="7"/>
        <v>6350</v>
      </c>
      <c r="I33" s="17">
        <v>1.7</v>
      </c>
      <c r="J33" s="18">
        <f t="shared" si="8"/>
        <v>8500</v>
      </c>
      <c r="K33" s="17">
        <v>1.2</v>
      </c>
      <c r="L33" s="18">
        <f t="shared" si="9"/>
        <v>6000</v>
      </c>
      <c r="M33" s="17">
        <v>1.8</v>
      </c>
      <c r="N33" s="18">
        <f t="shared" si="10"/>
        <v>9000</v>
      </c>
      <c r="O33" s="65">
        <v>1.7</v>
      </c>
      <c r="P33" s="65">
        <f t="shared" si="5"/>
        <v>8500</v>
      </c>
    </row>
    <row r="34" spans="1:16" ht="33" customHeight="1" x14ac:dyDescent="0.25">
      <c r="A34" s="44" t="str">
        <f>'Bid Item List A (RW 3-21)'!A46</f>
        <v>0027</v>
      </c>
      <c r="B34" s="53" t="str">
        <f>'Bid Item List A (RW 3-21)'!B46</f>
        <v>No. 6 AWG Solid Wire for Counterpoise
(Item L-108)</v>
      </c>
      <c r="C34" s="42">
        <f>'Bid Item List A (RW 3-21)'!C46</f>
        <v>1060</v>
      </c>
      <c r="D34" s="44" t="str">
        <f>'Bid Item List A (RW 3-21)'!D46</f>
        <v>LF</v>
      </c>
      <c r="E34" s="17">
        <v>1.25</v>
      </c>
      <c r="F34" s="18">
        <f t="shared" si="6"/>
        <v>1325</v>
      </c>
      <c r="G34" s="17">
        <v>1.1000000000000001</v>
      </c>
      <c r="H34" s="18">
        <f t="shared" si="7"/>
        <v>1166</v>
      </c>
      <c r="I34" s="17">
        <v>1.25</v>
      </c>
      <c r="J34" s="18">
        <f t="shared" si="8"/>
        <v>1325</v>
      </c>
      <c r="K34" s="17">
        <v>1.05</v>
      </c>
      <c r="L34" s="18">
        <f t="shared" si="9"/>
        <v>1113</v>
      </c>
      <c r="M34" s="17">
        <v>1.25</v>
      </c>
      <c r="N34" s="18">
        <f t="shared" si="10"/>
        <v>1325</v>
      </c>
      <c r="O34" s="65">
        <v>1.4</v>
      </c>
      <c r="P34" s="65">
        <f t="shared" si="5"/>
        <v>1484</v>
      </c>
    </row>
    <row r="35" spans="1:16" ht="33" customHeight="1" x14ac:dyDescent="0.25">
      <c r="A35" s="44" t="str">
        <f>'Bid Item List A (RW 3-21)'!A47</f>
        <v>0028</v>
      </c>
      <c r="B35" s="53" t="str">
        <f>'Bid Item List A (RW 3-21)'!B47</f>
        <v>Heat Shrink for 5kV L-823 Primary Connector
(Item L-108)</v>
      </c>
      <c r="C35" s="42">
        <f>'Bid Item List A (RW 3-21)'!C47</f>
        <v>485</v>
      </c>
      <c r="D35" s="44" t="str">
        <f>'Bid Item List A (RW 3-21)'!D47</f>
        <v>Each</v>
      </c>
      <c r="E35" s="17">
        <v>16</v>
      </c>
      <c r="F35" s="18">
        <f t="shared" si="6"/>
        <v>7760</v>
      </c>
      <c r="G35" s="17">
        <v>42</v>
      </c>
      <c r="H35" s="18">
        <f t="shared" si="7"/>
        <v>20370</v>
      </c>
      <c r="I35" s="17">
        <v>1535</v>
      </c>
      <c r="J35" s="18">
        <f t="shared" si="8"/>
        <v>744475</v>
      </c>
      <c r="K35" s="17">
        <v>40</v>
      </c>
      <c r="L35" s="18">
        <f t="shared" si="9"/>
        <v>19400</v>
      </c>
      <c r="M35" s="17">
        <v>16</v>
      </c>
      <c r="N35" s="18">
        <f t="shared" si="10"/>
        <v>7760</v>
      </c>
      <c r="O35" s="65">
        <v>50</v>
      </c>
      <c r="P35" s="65">
        <f t="shared" si="5"/>
        <v>24250</v>
      </c>
    </row>
    <row r="36" spans="1:16" ht="33" customHeight="1" x14ac:dyDescent="0.25">
      <c r="A36" s="44" t="str">
        <f>'Bid Item List A (RW 3-21)'!A48</f>
        <v>0029</v>
      </c>
      <c r="B36" s="53" t="str">
        <f>'Bid Item List A (RW 3-21)'!B48</f>
        <v>Ground Rod for Counterpoise
(Item L-108)</v>
      </c>
      <c r="C36" s="42">
        <f>'Bid Item List A (RW 3-21)'!C48</f>
        <v>6</v>
      </c>
      <c r="D36" s="44" t="str">
        <f>'Bid Item List A (RW 3-21)'!D48</f>
        <v>Each</v>
      </c>
      <c r="E36" s="17">
        <v>111</v>
      </c>
      <c r="F36" s="18">
        <f t="shared" si="6"/>
        <v>666</v>
      </c>
      <c r="G36" s="17">
        <v>168</v>
      </c>
      <c r="H36" s="18">
        <f t="shared" si="7"/>
        <v>1008</v>
      </c>
      <c r="I36" s="17">
        <v>110.5</v>
      </c>
      <c r="J36" s="18">
        <f t="shared" si="8"/>
        <v>663</v>
      </c>
      <c r="K36" s="17">
        <v>160</v>
      </c>
      <c r="L36" s="18">
        <f t="shared" si="9"/>
        <v>960</v>
      </c>
      <c r="M36" s="17">
        <v>115</v>
      </c>
      <c r="N36" s="18">
        <f t="shared" si="10"/>
        <v>690</v>
      </c>
      <c r="O36" s="65">
        <v>220</v>
      </c>
      <c r="P36" s="65">
        <f t="shared" si="5"/>
        <v>1320</v>
      </c>
    </row>
    <row r="37" spans="1:16" ht="33" customHeight="1" x14ac:dyDescent="0.25">
      <c r="A37" s="44" t="str">
        <f>'Bid Item List A (RW 3-21)'!A49</f>
        <v>0030</v>
      </c>
      <c r="B37" s="53" t="str">
        <f>'Bid Item List A (RW 3-21)'!B49</f>
        <v>1-Inch IMC in Existing AC 
(Item L-110)</v>
      </c>
      <c r="C37" s="42">
        <f>'Bid Item List A (RW 3-21)'!C49</f>
        <v>25</v>
      </c>
      <c r="D37" s="44" t="str">
        <f>'Bid Item List A (RW 3-21)'!D49</f>
        <v>LF</v>
      </c>
      <c r="E37" s="17">
        <v>60</v>
      </c>
      <c r="F37" s="18">
        <f t="shared" si="6"/>
        <v>1500</v>
      </c>
      <c r="G37" s="17">
        <v>28</v>
      </c>
      <c r="H37" s="18">
        <f t="shared" si="7"/>
        <v>700</v>
      </c>
      <c r="I37" s="17">
        <v>54.5</v>
      </c>
      <c r="J37" s="18">
        <f t="shared" si="8"/>
        <v>1362.5</v>
      </c>
      <c r="K37" s="17">
        <v>26</v>
      </c>
      <c r="L37" s="18">
        <f t="shared" si="9"/>
        <v>650</v>
      </c>
      <c r="M37" s="17">
        <v>58</v>
      </c>
      <c r="N37" s="18">
        <f t="shared" si="10"/>
        <v>1450</v>
      </c>
      <c r="O37" s="65">
        <v>39</v>
      </c>
      <c r="P37" s="65">
        <f t="shared" si="5"/>
        <v>975</v>
      </c>
    </row>
    <row r="38" spans="1:16" ht="33" customHeight="1" x14ac:dyDescent="0.25">
      <c r="A38" s="44" t="str">
        <f>'Bid Item List A (RW 3-21)'!A50</f>
        <v>0031</v>
      </c>
      <c r="B38" s="53" t="str">
        <f>'Bid Item List A (RW 3-21)'!B50</f>
        <v>2-Inch PVC Direct Buried
(Item L-110)</v>
      </c>
      <c r="C38" s="42">
        <f>'Bid Item List A (RW 3-21)'!C50</f>
        <v>65</v>
      </c>
      <c r="D38" s="44" t="str">
        <f>'Bid Item List A (RW 3-21)'!D50</f>
        <v>LF</v>
      </c>
      <c r="E38" s="17">
        <v>20</v>
      </c>
      <c r="F38" s="18">
        <f t="shared" si="6"/>
        <v>1300</v>
      </c>
      <c r="G38" s="17">
        <v>15</v>
      </c>
      <c r="H38" s="18">
        <f t="shared" si="7"/>
        <v>975</v>
      </c>
      <c r="I38" s="17">
        <v>18</v>
      </c>
      <c r="J38" s="18">
        <f t="shared" si="8"/>
        <v>1170</v>
      </c>
      <c r="K38" s="17">
        <v>14</v>
      </c>
      <c r="L38" s="18">
        <f t="shared" si="9"/>
        <v>910</v>
      </c>
      <c r="M38" s="17">
        <v>19</v>
      </c>
      <c r="N38" s="18">
        <f t="shared" si="10"/>
        <v>1235</v>
      </c>
      <c r="O38" s="65">
        <v>8.5</v>
      </c>
      <c r="P38" s="65">
        <f t="shared" si="5"/>
        <v>552.5</v>
      </c>
    </row>
    <row r="39" spans="1:16" ht="33" customHeight="1" x14ac:dyDescent="0.25">
      <c r="A39" s="44" t="str">
        <f>'Bid Item List A (RW 3-21)'!A51</f>
        <v>0032</v>
      </c>
      <c r="B39" s="53" t="str">
        <f>'Bid Item List A (RW 3-21)'!B51</f>
        <v>2-Inch PVC in Existing AC 
(Item L-110)</v>
      </c>
      <c r="C39" s="42">
        <f>'Bid Item List A (RW 3-21)'!C51</f>
        <v>1190</v>
      </c>
      <c r="D39" s="44" t="str">
        <f>'Bid Item List A (RW 3-21)'!D51</f>
        <v>LF</v>
      </c>
      <c r="E39" s="17">
        <v>26</v>
      </c>
      <c r="F39" s="18">
        <f t="shared" si="6"/>
        <v>30940</v>
      </c>
      <c r="G39" s="17">
        <v>25</v>
      </c>
      <c r="H39" s="18">
        <f t="shared" si="7"/>
        <v>29750</v>
      </c>
      <c r="I39" s="17">
        <v>25.35</v>
      </c>
      <c r="J39" s="18">
        <f t="shared" si="8"/>
        <v>30166.5</v>
      </c>
      <c r="K39" s="17">
        <v>23</v>
      </c>
      <c r="L39" s="18">
        <f t="shared" si="9"/>
        <v>27370</v>
      </c>
      <c r="M39" s="17">
        <v>27</v>
      </c>
      <c r="N39" s="18">
        <f t="shared" si="10"/>
        <v>32130</v>
      </c>
      <c r="O39" s="65">
        <v>16.5</v>
      </c>
      <c r="P39" s="65">
        <f t="shared" si="5"/>
        <v>19635</v>
      </c>
    </row>
    <row r="40" spans="1:16" ht="33" customHeight="1" x14ac:dyDescent="0.25">
      <c r="A40" s="44" t="str">
        <f>'Bid Item List A (RW 3-21)'!A52</f>
        <v>0033</v>
      </c>
      <c r="B40" s="53" t="str">
        <f>'Bid Item List A (RW 3-21)'!B52</f>
        <v>Contaminated Material Excavation and Disposal
(Section 026100)</v>
      </c>
      <c r="C40" s="42">
        <f>'Bid Item List A (RW 3-21)'!C52</f>
        <v>250</v>
      </c>
      <c r="D40" s="44" t="str">
        <f>'Bid Item List A (RW 3-21)'!D52</f>
        <v>Ton</v>
      </c>
      <c r="E40" s="17">
        <v>80</v>
      </c>
      <c r="F40" s="18">
        <f t="shared" si="6"/>
        <v>20000</v>
      </c>
      <c r="G40" s="17">
        <v>65</v>
      </c>
      <c r="H40" s="18">
        <f t="shared" si="7"/>
        <v>16250</v>
      </c>
      <c r="I40" s="17">
        <v>80</v>
      </c>
      <c r="J40" s="18">
        <f t="shared" si="8"/>
        <v>20000</v>
      </c>
      <c r="K40" s="17">
        <v>42</v>
      </c>
      <c r="L40" s="18">
        <f t="shared" si="9"/>
        <v>10500</v>
      </c>
      <c r="M40" s="17">
        <v>75</v>
      </c>
      <c r="N40" s="18">
        <f t="shared" si="10"/>
        <v>18750</v>
      </c>
      <c r="O40" s="65">
        <v>55</v>
      </c>
      <c r="P40" s="65">
        <f t="shared" si="5"/>
        <v>13750</v>
      </c>
    </row>
    <row r="41" spans="1:16" ht="33" customHeight="1" x14ac:dyDescent="0.25">
      <c r="A41" s="44" t="str">
        <f>'Bid Item List A (RW 3-21)'!A53</f>
        <v>0034</v>
      </c>
      <c r="B41" s="53" t="str">
        <f>'Bid Item List A (RW 3-21)'!B53</f>
        <v>General Electrical Removal
(Section 260500)</v>
      </c>
      <c r="C41" s="42">
        <f>'Bid Item List A (RW 3-21)'!C53</f>
        <v>1</v>
      </c>
      <c r="D41" s="44" t="str">
        <f>'Bid Item List A (RW 3-21)'!D53</f>
        <v>LS</v>
      </c>
      <c r="E41" s="17">
        <v>32000</v>
      </c>
      <c r="F41" s="18">
        <f t="shared" si="6"/>
        <v>32000</v>
      </c>
      <c r="G41" s="17">
        <v>60000</v>
      </c>
      <c r="H41" s="18">
        <f t="shared" si="7"/>
        <v>60000</v>
      </c>
      <c r="I41" s="17">
        <v>31115</v>
      </c>
      <c r="J41" s="18">
        <f t="shared" si="8"/>
        <v>31115</v>
      </c>
      <c r="K41" s="17">
        <v>56000</v>
      </c>
      <c r="L41" s="18">
        <f t="shared" si="9"/>
        <v>56000</v>
      </c>
      <c r="M41" s="17">
        <v>40000</v>
      </c>
      <c r="N41" s="18">
        <f t="shared" si="10"/>
        <v>40000</v>
      </c>
      <c r="O41" s="65">
        <v>33000</v>
      </c>
      <c r="P41" s="65">
        <f t="shared" si="5"/>
        <v>33000</v>
      </c>
    </row>
    <row r="42" spans="1:16" ht="33" customHeight="1" x14ac:dyDescent="0.25">
      <c r="A42" s="44" t="str">
        <f>'Bid Item List A (RW 3-21)'!A54</f>
        <v>0035</v>
      </c>
      <c r="B42" s="53" t="str">
        <f>'Bid Item List A (RW 3-21)'!B54</f>
        <v>Temporary Circuit Connection
(Section 260500)</v>
      </c>
      <c r="C42" s="42">
        <f>'Bid Item List A (RW 3-21)'!C54</f>
        <v>1</v>
      </c>
      <c r="D42" s="44" t="str">
        <f>'Bid Item List A (RW 3-21)'!D54</f>
        <v>LS</v>
      </c>
      <c r="E42" s="17">
        <v>13000</v>
      </c>
      <c r="F42" s="18">
        <f t="shared" si="6"/>
        <v>13000</v>
      </c>
      <c r="G42" s="17">
        <v>5400</v>
      </c>
      <c r="H42" s="18">
        <f t="shared" si="7"/>
        <v>5400</v>
      </c>
      <c r="I42" s="17">
        <v>12228</v>
      </c>
      <c r="J42" s="18">
        <f t="shared" si="8"/>
        <v>12228</v>
      </c>
      <c r="K42" s="17">
        <v>5000</v>
      </c>
      <c r="L42" s="18">
        <f t="shared" si="9"/>
        <v>5000</v>
      </c>
      <c r="M42" s="17">
        <v>13000</v>
      </c>
      <c r="N42" s="18">
        <f t="shared" si="10"/>
        <v>13000</v>
      </c>
      <c r="O42" s="65">
        <v>8250</v>
      </c>
      <c r="P42" s="65">
        <f t="shared" si="5"/>
        <v>8250</v>
      </c>
    </row>
    <row r="43" spans="1:16" ht="33" customHeight="1" x14ac:dyDescent="0.25">
      <c r="A43" s="44" t="str">
        <f>'Bid Item List A (RW 3-21)'!A55</f>
        <v>0036</v>
      </c>
      <c r="B43" s="53" t="str">
        <f>'Bid Item List A (RW 3-21)'!B55</f>
        <v>3-Inch Diameter Brass Marker
(Section 260553)</v>
      </c>
      <c r="C43" s="42">
        <f>'Bid Item List A (RW 3-21)'!C55</f>
        <v>2</v>
      </c>
      <c r="D43" s="44" t="str">
        <f>'Bid Item List A (RW 3-21)'!D55</f>
        <v>Each</v>
      </c>
      <c r="E43" s="17">
        <v>130</v>
      </c>
      <c r="F43" s="18">
        <f t="shared" si="6"/>
        <v>260</v>
      </c>
      <c r="G43" s="17">
        <v>85</v>
      </c>
      <c r="H43" s="18">
        <f t="shared" si="7"/>
        <v>170</v>
      </c>
      <c r="I43" s="17">
        <v>126</v>
      </c>
      <c r="J43" s="18">
        <f t="shared" si="8"/>
        <v>252</v>
      </c>
      <c r="K43" s="17">
        <v>81</v>
      </c>
      <c r="L43" s="18">
        <f t="shared" si="9"/>
        <v>162</v>
      </c>
      <c r="M43" s="17">
        <v>150</v>
      </c>
      <c r="N43" s="18">
        <f t="shared" si="10"/>
        <v>300</v>
      </c>
      <c r="O43" s="65">
        <v>120</v>
      </c>
      <c r="P43" s="65">
        <f t="shared" si="5"/>
        <v>240</v>
      </c>
    </row>
    <row r="44" spans="1:16" ht="33" customHeight="1" x14ac:dyDescent="0.25">
      <c r="A44" s="44" t="str">
        <f>'Bid Item List A (RW 3-21)'!A56</f>
        <v>0037</v>
      </c>
      <c r="B44" s="53" t="str">
        <f>'Bid Item List A (RW 3-21)'!B56</f>
        <v>Install PF LED Taxiway Centerline Light with PF Base Can, CF Transformer in New AC (Section 344300)</v>
      </c>
      <c r="C44" s="42">
        <f>'Bid Item List A (RW 3-21)'!C56</f>
        <v>21</v>
      </c>
      <c r="D44" s="44" t="str">
        <f>'Bid Item List A (RW 3-21)'!D56</f>
        <v>Each</v>
      </c>
      <c r="E44" s="17">
        <v>1400</v>
      </c>
      <c r="F44" s="18">
        <f t="shared" si="6"/>
        <v>29400</v>
      </c>
      <c r="G44" s="17">
        <v>1510</v>
      </c>
      <c r="H44" s="18">
        <f t="shared" si="7"/>
        <v>31710</v>
      </c>
      <c r="I44" s="17">
        <v>1337</v>
      </c>
      <c r="J44" s="18">
        <f t="shared" si="8"/>
        <v>28077</v>
      </c>
      <c r="K44" s="17">
        <v>1400</v>
      </c>
      <c r="L44" s="18">
        <f t="shared" si="9"/>
        <v>29400</v>
      </c>
      <c r="M44" s="17">
        <v>1400</v>
      </c>
      <c r="N44" s="18">
        <f t="shared" si="10"/>
        <v>29400</v>
      </c>
      <c r="O44" s="65">
        <v>1320</v>
      </c>
      <c r="P44" s="65">
        <f t="shared" si="5"/>
        <v>27720</v>
      </c>
    </row>
    <row r="45" spans="1:16" ht="33" customHeight="1" x14ac:dyDescent="0.25">
      <c r="A45" s="44" t="str">
        <f>'Bid Item List A (RW 3-21)'!A57</f>
        <v>0038</v>
      </c>
      <c r="B45" s="53" t="str">
        <f>'Bid Item List A (RW 3-21)'!B57</f>
        <v>Install PF LED Taxiway Centerline Light on Existing Base Can with CF Isolation Transformer  (Section 344300)</v>
      </c>
      <c r="C45" s="42">
        <f>'Bid Item List A (RW 3-21)'!C57</f>
        <v>9</v>
      </c>
      <c r="D45" s="44" t="str">
        <f>'Bid Item List A (RW 3-21)'!D57</f>
        <v>Each</v>
      </c>
      <c r="E45" s="17">
        <v>155</v>
      </c>
      <c r="F45" s="18">
        <f t="shared" si="6"/>
        <v>1395</v>
      </c>
      <c r="G45" s="17">
        <v>870</v>
      </c>
      <c r="H45" s="18">
        <f t="shared" si="7"/>
        <v>7830</v>
      </c>
      <c r="I45" s="17">
        <v>152</v>
      </c>
      <c r="J45" s="18">
        <f t="shared" si="8"/>
        <v>1368</v>
      </c>
      <c r="K45" s="17">
        <v>829</v>
      </c>
      <c r="L45" s="18">
        <f t="shared" si="9"/>
        <v>7461</v>
      </c>
      <c r="M45" s="17">
        <v>160</v>
      </c>
      <c r="N45" s="18">
        <f t="shared" si="10"/>
        <v>1440</v>
      </c>
      <c r="O45" s="65">
        <v>385</v>
      </c>
      <c r="P45" s="65">
        <f t="shared" si="5"/>
        <v>3465</v>
      </c>
    </row>
    <row r="46" spans="1:16" ht="33" customHeight="1" x14ac:dyDescent="0.25">
      <c r="A46" s="44" t="str">
        <f>'Bid Item List A (RW 3-21)'!A58</f>
        <v>0039</v>
      </c>
      <c r="B46" s="53" t="str">
        <f>'Bid Item List A (RW 3-21)'!B58</f>
        <v>Install PF L-868, 12-Inch Diameter Base Can, PF Cover Plate in New AC
(Section 344300)</v>
      </c>
      <c r="C46" s="42">
        <f>'Bid Item List A (RW 3-21)'!C58</f>
        <v>15</v>
      </c>
      <c r="D46" s="44" t="str">
        <f>'Bid Item List A (RW 3-21)'!D58</f>
        <v>Each</v>
      </c>
      <c r="E46" s="17">
        <v>1300</v>
      </c>
      <c r="F46" s="18">
        <f t="shared" si="6"/>
        <v>19500</v>
      </c>
      <c r="G46" s="17">
        <v>1410</v>
      </c>
      <c r="H46" s="18">
        <f t="shared" si="7"/>
        <v>21150</v>
      </c>
      <c r="I46" s="17">
        <v>1260</v>
      </c>
      <c r="J46" s="18">
        <f t="shared" si="8"/>
        <v>18900</v>
      </c>
      <c r="K46" s="17">
        <v>1340</v>
      </c>
      <c r="L46" s="18">
        <f t="shared" si="9"/>
        <v>20100</v>
      </c>
      <c r="M46" s="17">
        <v>1300</v>
      </c>
      <c r="N46" s="18">
        <f t="shared" si="10"/>
        <v>19500</v>
      </c>
      <c r="O46" s="65">
        <v>1430</v>
      </c>
      <c r="P46" s="65">
        <f t="shared" si="5"/>
        <v>21450</v>
      </c>
    </row>
    <row r="47" spans="1:16" ht="33" customHeight="1" x14ac:dyDescent="0.25">
      <c r="A47" s="44" t="str">
        <f>'Bid Item List A (RW 3-21)'!A59</f>
        <v>0040</v>
      </c>
      <c r="B47" s="53" t="str">
        <f>'Bid Item List A (RW 3-21)'!B59</f>
        <v>Install PF L-867, 12-Inch Diameter Base Can, PF Cover Plate in Existing AC
(Section 344300)</v>
      </c>
      <c r="C47" s="42">
        <f>'Bid Item List A (RW 3-21)'!C59</f>
        <v>2</v>
      </c>
      <c r="D47" s="44" t="str">
        <f>'Bid Item List A (RW 3-21)'!D59</f>
        <v>Each</v>
      </c>
      <c r="E47" s="17">
        <v>1000</v>
      </c>
      <c r="F47" s="18">
        <f t="shared" si="6"/>
        <v>2000</v>
      </c>
      <c r="G47" s="17">
        <v>980</v>
      </c>
      <c r="H47" s="18">
        <f t="shared" si="7"/>
        <v>1960</v>
      </c>
      <c r="I47" s="17">
        <v>953.5</v>
      </c>
      <c r="J47" s="18">
        <f t="shared" si="8"/>
        <v>1907</v>
      </c>
      <c r="K47" s="17">
        <v>930</v>
      </c>
      <c r="L47" s="18">
        <f t="shared" si="9"/>
        <v>1860</v>
      </c>
      <c r="M47" s="17">
        <v>1000</v>
      </c>
      <c r="N47" s="18">
        <f t="shared" si="10"/>
        <v>2000</v>
      </c>
      <c r="O47" s="65">
        <v>2200</v>
      </c>
      <c r="P47" s="65">
        <f t="shared" si="5"/>
        <v>4400</v>
      </c>
    </row>
    <row r="48" spans="1:16" ht="33" customHeight="1" x14ac:dyDescent="0.25">
      <c r="A48" s="44" t="str">
        <f>'Bid Item List A (RW 3-21)'!A60</f>
        <v>0041</v>
      </c>
      <c r="B48" s="53" t="str">
        <f>'Bid Item List A (RW 3-21)'!B60</f>
        <v>Install PF Cover Plate on Existing Light Base
(Section 344300)</v>
      </c>
      <c r="C48" s="42">
        <f>'Bid Item List A (RW 3-21)'!C60</f>
        <v>21</v>
      </c>
      <c r="D48" s="44" t="str">
        <f>'Bid Item List A (RW 3-21)'!D60</f>
        <v>Each</v>
      </c>
      <c r="E48" s="17">
        <v>60</v>
      </c>
      <c r="F48" s="18">
        <f t="shared" si="6"/>
        <v>1260</v>
      </c>
      <c r="G48" s="17">
        <v>78</v>
      </c>
      <c r="H48" s="18">
        <f t="shared" si="7"/>
        <v>1638</v>
      </c>
      <c r="I48" s="17">
        <v>58.5</v>
      </c>
      <c r="J48" s="18">
        <f t="shared" si="8"/>
        <v>1228.5</v>
      </c>
      <c r="K48" s="17">
        <v>74</v>
      </c>
      <c r="L48" s="18">
        <f t="shared" si="9"/>
        <v>1554</v>
      </c>
      <c r="M48" s="17">
        <v>60</v>
      </c>
      <c r="N48" s="18">
        <f t="shared" si="10"/>
        <v>1260</v>
      </c>
      <c r="O48" s="65">
        <v>70</v>
      </c>
      <c r="P48" s="65">
        <f t="shared" si="5"/>
        <v>1470</v>
      </c>
    </row>
    <row r="49" spans="1:16" ht="33" customHeight="1" x14ac:dyDescent="0.25">
      <c r="A49" s="44" t="str">
        <f>'Bid Item List A (RW 3-21)'!A61</f>
        <v>0042</v>
      </c>
      <c r="B49" s="53" t="str">
        <f>'Bid Item List A (RW 3-21)'!B61</f>
        <v>Adjust Existing Elevated Runway Threshold/Edge Light
(Section 344301)</v>
      </c>
      <c r="C49" s="42">
        <f>'Bid Item List A (RW 3-21)'!C61</f>
        <v>21</v>
      </c>
      <c r="D49" s="44" t="str">
        <f>'Bid Item List A (RW 3-21)'!D61</f>
        <v>Each</v>
      </c>
      <c r="E49" s="17">
        <v>625</v>
      </c>
      <c r="F49" s="18">
        <f t="shared" si="6"/>
        <v>13125</v>
      </c>
      <c r="G49" s="17">
        <v>450</v>
      </c>
      <c r="H49" s="18">
        <f t="shared" si="7"/>
        <v>9450</v>
      </c>
      <c r="I49" s="17">
        <v>611</v>
      </c>
      <c r="J49" s="18">
        <f t="shared" si="8"/>
        <v>12831</v>
      </c>
      <c r="K49" s="17">
        <v>424</v>
      </c>
      <c r="L49" s="18">
        <f t="shared" si="9"/>
        <v>8904</v>
      </c>
      <c r="M49" s="17">
        <v>650</v>
      </c>
      <c r="N49" s="18">
        <f t="shared" si="10"/>
        <v>13650</v>
      </c>
      <c r="O49" s="65">
        <v>1100</v>
      </c>
      <c r="P49" s="65">
        <f t="shared" si="5"/>
        <v>23100</v>
      </c>
    </row>
    <row r="50" spans="1:16" ht="33" customHeight="1" x14ac:dyDescent="0.25">
      <c r="A50" s="44" t="str">
        <f>'Bid Item List A (RW 3-21)'!A62</f>
        <v>0043</v>
      </c>
      <c r="B50" s="53" t="str">
        <f>'Bid Item List A (RW 3-21)'!B62</f>
        <v>Adjust Existing In-Pavement Runway Edge Light
(Section 344301)</v>
      </c>
      <c r="C50" s="42">
        <f>'Bid Item List A (RW 3-21)'!C62</f>
        <v>8</v>
      </c>
      <c r="D50" s="44" t="str">
        <f>'Bid Item List A (RW 3-21)'!D62</f>
        <v>Each</v>
      </c>
      <c r="E50" s="17">
        <v>725</v>
      </c>
      <c r="F50" s="18">
        <f t="shared" si="6"/>
        <v>5800</v>
      </c>
      <c r="G50" s="17">
        <v>1160</v>
      </c>
      <c r="H50" s="18">
        <f t="shared" si="7"/>
        <v>9280</v>
      </c>
      <c r="I50" s="17">
        <v>712</v>
      </c>
      <c r="J50" s="18">
        <f t="shared" si="8"/>
        <v>5696</v>
      </c>
      <c r="K50" s="17">
        <v>1096</v>
      </c>
      <c r="L50" s="18">
        <f t="shared" si="9"/>
        <v>8768</v>
      </c>
      <c r="M50" s="17">
        <v>750</v>
      </c>
      <c r="N50" s="18">
        <f t="shared" si="10"/>
        <v>6000</v>
      </c>
      <c r="O50" s="65">
        <v>1265</v>
      </c>
      <c r="P50" s="65">
        <f t="shared" si="5"/>
        <v>10120</v>
      </c>
    </row>
    <row r="51" spans="1:16" ht="33" customHeight="1" x14ac:dyDescent="0.25">
      <c r="A51" s="44" t="str">
        <f>'Bid Item List A (RW 3-21)'!A63</f>
        <v>0044</v>
      </c>
      <c r="B51" s="53" t="str">
        <f>'Bid Item List A (RW 3-21)'!B63</f>
        <v>Sign E6-6
(Section 344302)</v>
      </c>
      <c r="C51" s="42">
        <f>'Bid Item List A (RW 3-21)'!C63</f>
        <v>1</v>
      </c>
      <c r="D51" s="44" t="str">
        <f>'Bid Item List A (RW 3-21)'!D63</f>
        <v>LS</v>
      </c>
      <c r="E51" s="17">
        <v>5400</v>
      </c>
      <c r="F51" s="18">
        <f t="shared" si="6"/>
        <v>5400</v>
      </c>
      <c r="G51" s="17">
        <v>4500</v>
      </c>
      <c r="H51" s="18">
        <f t="shared" si="7"/>
        <v>4500</v>
      </c>
      <c r="I51" s="17">
        <v>5335</v>
      </c>
      <c r="J51" s="18">
        <f t="shared" si="8"/>
        <v>5335</v>
      </c>
      <c r="K51" s="17">
        <v>4300</v>
      </c>
      <c r="L51" s="18">
        <f t="shared" si="9"/>
        <v>4300</v>
      </c>
      <c r="M51" s="17">
        <v>5500</v>
      </c>
      <c r="N51" s="18">
        <f t="shared" si="10"/>
        <v>5500</v>
      </c>
      <c r="O51" s="65">
        <v>5280</v>
      </c>
      <c r="P51" s="65">
        <f t="shared" si="5"/>
        <v>5280</v>
      </c>
    </row>
    <row r="52" spans="1:16" ht="33" customHeight="1" x14ac:dyDescent="0.25">
      <c r="A52" s="44" t="str">
        <f>'Bid Item List A (RW 3-21)'!A64</f>
        <v>0045</v>
      </c>
      <c r="B52" s="53" t="str">
        <f>'Bid Item List A (RW 3-21)'!B64</f>
        <v>Sign E6-9
(Section 344302)</v>
      </c>
      <c r="C52" s="42">
        <f>'Bid Item List A (RW 3-21)'!C64</f>
        <v>1</v>
      </c>
      <c r="D52" s="44" t="str">
        <f>'Bid Item List A (RW 3-21)'!D64</f>
        <v>LS</v>
      </c>
      <c r="E52" s="17">
        <v>5400</v>
      </c>
      <c r="F52" s="18">
        <f t="shared" si="6"/>
        <v>5400</v>
      </c>
      <c r="G52" s="17">
        <v>4500</v>
      </c>
      <c r="H52" s="18">
        <f t="shared" si="7"/>
        <v>4500</v>
      </c>
      <c r="I52" s="17">
        <v>5335</v>
      </c>
      <c r="J52" s="18">
        <f t="shared" si="8"/>
        <v>5335</v>
      </c>
      <c r="K52" s="17">
        <v>4300</v>
      </c>
      <c r="L52" s="18">
        <f t="shared" si="9"/>
        <v>4300</v>
      </c>
      <c r="M52" s="17">
        <v>5500</v>
      </c>
      <c r="N52" s="18">
        <f t="shared" si="10"/>
        <v>5500</v>
      </c>
      <c r="O52" s="65">
        <v>5280</v>
      </c>
      <c r="P52" s="65">
        <f t="shared" si="5"/>
        <v>5280</v>
      </c>
    </row>
    <row r="53" spans="1:16" ht="33" customHeight="1" x14ac:dyDescent="0.25">
      <c r="A53" s="44" t="str">
        <f>'Bid Item List A (RW 3-21)'!A65</f>
        <v>0046</v>
      </c>
      <c r="B53" s="53" t="str">
        <f>'Bid Item List A (RW 3-21)'!B65</f>
        <v>Sign G-3
(Section 344302)</v>
      </c>
      <c r="C53" s="42">
        <f>'Bid Item List A (RW 3-21)'!C65</f>
        <v>1</v>
      </c>
      <c r="D53" s="44" t="str">
        <f>'Bid Item List A (RW 3-21)'!D65</f>
        <v>LS</v>
      </c>
      <c r="E53" s="17">
        <v>6150</v>
      </c>
      <c r="F53" s="18">
        <f t="shared" si="6"/>
        <v>6150</v>
      </c>
      <c r="G53" s="17">
        <v>5300</v>
      </c>
      <c r="H53" s="18">
        <f t="shared" si="7"/>
        <v>5300</v>
      </c>
      <c r="I53" s="17">
        <v>6147</v>
      </c>
      <c r="J53" s="18">
        <f t="shared" si="8"/>
        <v>6147</v>
      </c>
      <c r="K53" s="17">
        <v>5000</v>
      </c>
      <c r="L53" s="18">
        <f t="shared" si="9"/>
        <v>5000</v>
      </c>
      <c r="M53" s="17">
        <v>6500</v>
      </c>
      <c r="N53" s="18">
        <f t="shared" si="10"/>
        <v>6500</v>
      </c>
      <c r="O53" s="65">
        <v>5280</v>
      </c>
      <c r="P53" s="65">
        <f t="shared" si="5"/>
        <v>5280</v>
      </c>
    </row>
    <row r="54" spans="1:16" ht="27.75" customHeight="1" x14ac:dyDescent="0.25">
      <c r="A54" s="46"/>
      <c r="B54" s="81" t="s">
        <v>25</v>
      </c>
      <c r="C54" s="82"/>
      <c r="D54" s="83"/>
      <c r="E54" s="19"/>
      <c r="F54" s="19">
        <f>SUM(F8:F53)</f>
        <v>3983331</v>
      </c>
      <c r="G54" s="19"/>
      <c r="H54" s="19">
        <f>SUM(H8:H53)</f>
        <v>3334545</v>
      </c>
      <c r="I54" s="19"/>
      <c r="J54" s="19">
        <f>SUM(J8:J53)</f>
        <v>3952661.5</v>
      </c>
      <c r="K54" s="19"/>
      <c r="L54" s="19">
        <f>SUM(L8:L53)</f>
        <v>3653500</v>
      </c>
      <c r="M54" s="19"/>
      <c r="N54" s="19">
        <f>SUM(N8:N53)</f>
        <v>4422280</v>
      </c>
      <c r="O54" s="66"/>
      <c r="P54" s="66">
        <f>SUM(P8:P53)</f>
        <v>4250844</v>
      </c>
    </row>
  </sheetData>
  <mergeCells count="13">
    <mergeCell ref="B54:D54"/>
    <mergeCell ref="A6:D6"/>
    <mergeCell ref="O1:P5"/>
    <mergeCell ref="A2:D2"/>
    <mergeCell ref="A3:D3"/>
    <mergeCell ref="A4:D4"/>
    <mergeCell ref="A5:D5"/>
    <mergeCell ref="A1:D1"/>
    <mergeCell ref="E1:F5"/>
    <mergeCell ref="G1:H5"/>
    <mergeCell ref="I1:J5"/>
    <mergeCell ref="K1:L5"/>
    <mergeCell ref="M1:N5"/>
  </mergeCells>
  <printOptions horizontalCentered="1"/>
  <pageMargins left="0.5" right="0.5" top="0.5" bottom="0.5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58"/>
  <sheetViews>
    <sheetView view="pageBreakPreview" topLeftCell="A46" zoomScaleNormal="100" zoomScaleSheetLayoutView="100" workbookViewId="0">
      <selection activeCell="O1" sqref="O1:P5"/>
    </sheetView>
  </sheetViews>
  <sheetFormatPr defaultRowHeight="15" x14ac:dyDescent="0.25"/>
  <cols>
    <col min="1" max="1" width="6.7109375" customWidth="1"/>
    <col min="2" max="2" width="29" style="38" customWidth="1"/>
    <col min="3" max="3" width="10.7109375" style="27" customWidth="1"/>
    <col min="4" max="4" width="6.7109375" style="14" customWidth="1"/>
    <col min="5" max="5" width="11" style="22" customWidth="1"/>
    <col min="6" max="6" width="13.7109375" style="22" customWidth="1"/>
    <col min="7" max="7" width="11" style="22" customWidth="1"/>
    <col min="8" max="8" width="13.7109375" style="22" customWidth="1"/>
    <col min="9" max="9" width="11" style="22" customWidth="1"/>
    <col min="10" max="10" width="13.7109375" style="22" customWidth="1"/>
    <col min="11" max="11" width="11" customWidth="1"/>
    <col min="12" max="12" width="13.7109375" customWidth="1"/>
    <col min="13" max="13" width="11" customWidth="1"/>
    <col min="14" max="14" width="13.7109375" customWidth="1"/>
    <col min="15" max="15" width="11" style="68" customWidth="1"/>
    <col min="16" max="16" width="13.7109375" style="68" customWidth="1"/>
  </cols>
  <sheetData>
    <row r="1" spans="1:16" s="2" customFormat="1" ht="30" customHeight="1" x14ac:dyDescent="0.25">
      <c r="A1" s="97" t="str">
        <f>'Bid Item List B (RSA)'!$A$15</f>
        <v>PORTLAND INTERNATIONAL AIRPORT</v>
      </c>
      <c r="B1" s="98"/>
      <c r="C1" s="98"/>
      <c r="D1" s="99"/>
      <c r="E1" s="100" t="str">
        <f>'Bid Tab A (RW 3-21)'!Contractor1</f>
        <v>Goodfellow Bros., Inc.</v>
      </c>
      <c r="F1" s="101"/>
      <c r="G1" s="100" t="str">
        <f>'Bid Tab A (RW 3-21)'!Contractor2</f>
        <v>K&amp;E Excavating, Inc.</v>
      </c>
      <c r="H1" s="101"/>
      <c r="I1" s="100" t="str">
        <f>'Bid Tab A (RW 3-21)'!Contractor3</f>
        <v>Kerr Contractors 
Oregon, Inc.</v>
      </c>
      <c r="J1" s="101"/>
      <c r="K1" s="100" t="str">
        <f>'Bid Tab A (RW 3-21)'!Contractor4</f>
        <v>Kodiak Pacific Construction</v>
      </c>
      <c r="L1" s="101"/>
      <c r="M1" s="100" t="str">
        <f>'Bid Tab A (RW 3-21)'!Contractor5</f>
        <v>Nutter Corporation</v>
      </c>
      <c r="N1" s="101"/>
      <c r="O1" s="87" t="str">
        <f>'Bid Tab A (RW 3-21)'!EngineerEstimate</f>
        <v>Engineer's Estimate</v>
      </c>
      <c r="P1" s="88"/>
    </row>
    <row r="2" spans="1:16" x14ac:dyDescent="0.25">
      <c r="A2" s="91" t="str">
        <f>'Bid Item List B (RSA)'!$A$16</f>
        <v>RUNWAY 3-21 STORMWATER INFRASTRUCTURE AND</v>
      </c>
      <c r="B2" s="92"/>
      <c r="C2" s="92"/>
      <c r="D2" s="93"/>
      <c r="E2" s="102"/>
      <c r="F2" s="103"/>
      <c r="G2" s="102"/>
      <c r="H2" s="103"/>
      <c r="I2" s="102"/>
      <c r="J2" s="103"/>
      <c r="K2" s="102"/>
      <c r="L2" s="103"/>
      <c r="M2" s="102"/>
      <c r="N2" s="103"/>
      <c r="O2" s="89"/>
      <c r="P2" s="90"/>
    </row>
    <row r="3" spans="1:16" x14ac:dyDescent="0.25">
      <c r="A3" s="91" t="str">
        <f>'Bid Item List B (RSA)'!$A$17</f>
        <v>PAVEMENT IMPROVEMENTS</v>
      </c>
      <c r="B3" s="92"/>
      <c r="C3" s="92"/>
      <c r="D3" s="93"/>
      <c r="E3" s="102"/>
      <c r="F3" s="103"/>
      <c r="G3" s="102"/>
      <c r="H3" s="103"/>
      <c r="I3" s="102"/>
      <c r="J3" s="103"/>
      <c r="K3" s="102"/>
      <c r="L3" s="103"/>
      <c r="M3" s="102"/>
      <c r="N3" s="103"/>
      <c r="O3" s="89"/>
      <c r="P3" s="90"/>
    </row>
    <row r="4" spans="1:16" x14ac:dyDescent="0.25">
      <c r="A4" s="94" t="str">
        <f>'Bid Tab A (RW 3-21)'!A4:D4</f>
        <v>EAN 2015D142</v>
      </c>
      <c r="B4" s="95"/>
      <c r="C4" s="95"/>
      <c r="D4" s="96"/>
      <c r="E4" s="102"/>
      <c r="F4" s="103"/>
      <c r="G4" s="102"/>
      <c r="H4" s="103"/>
      <c r="I4" s="102"/>
      <c r="J4" s="103"/>
      <c r="K4" s="102"/>
      <c r="L4" s="103"/>
      <c r="M4" s="102"/>
      <c r="N4" s="103"/>
      <c r="O4" s="89"/>
      <c r="P4" s="90"/>
    </row>
    <row r="5" spans="1:16" x14ac:dyDescent="0.25">
      <c r="A5" s="94" t="str">
        <f>'Bid Tab A (RW 3-21)'!A5:D5</f>
        <v>Solicitation No. 2017-6981</v>
      </c>
      <c r="B5" s="95"/>
      <c r="C5" s="95"/>
      <c r="D5" s="96"/>
      <c r="E5" s="102"/>
      <c r="F5" s="103"/>
      <c r="G5" s="102"/>
      <c r="H5" s="103"/>
      <c r="I5" s="102"/>
      <c r="J5" s="103"/>
      <c r="K5" s="102"/>
      <c r="L5" s="103"/>
      <c r="M5" s="102"/>
      <c r="N5" s="103"/>
      <c r="O5" s="89"/>
      <c r="P5" s="90"/>
    </row>
    <row r="6" spans="1:16" x14ac:dyDescent="0.25">
      <c r="A6" s="84">
        <f ca="1">TODAY()</f>
        <v>42880</v>
      </c>
      <c r="B6" s="85"/>
      <c r="C6" s="85"/>
      <c r="D6" s="86"/>
      <c r="E6" s="28"/>
      <c r="F6" s="29"/>
      <c r="G6" s="28"/>
      <c r="H6" s="29"/>
      <c r="I6" s="28"/>
      <c r="J6" s="29"/>
      <c r="K6" s="28"/>
      <c r="L6" s="29"/>
      <c r="M6" s="28"/>
      <c r="N6" s="29"/>
      <c r="O6" s="62"/>
      <c r="P6" s="63"/>
    </row>
    <row r="7" spans="1:16" ht="32.25" customHeight="1" x14ac:dyDescent="0.25">
      <c r="A7" s="3" t="s">
        <v>13</v>
      </c>
      <c r="B7" s="12" t="s">
        <v>14</v>
      </c>
      <c r="C7" s="26" t="s">
        <v>15</v>
      </c>
      <c r="D7" s="12" t="s">
        <v>16</v>
      </c>
      <c r="E7" s="30" t="s">
        <v>17</v>
      </c>
      <c r="F7" s="30" t="s">
        <v>18</v>
      </c>
      <c r="G7" s="30" t="s">
        <v>17</v>
      </c>
      <c r="H7" s="30" t="s">
        <v>18</v>
      </c>
      <c r="I7" s="30" t="s">
        <v>17</v>
      </c>
      <c r="J7" s="30" t="s">
        <v>18</v>
      </c>
      <c r="K7" s="30" t="s">
        <v>17</v>
      </c>
      <c r="L7" s="30" t="s">
        <v>18</v>
      </c>
      <c r="M7" s="30" t="s">
        <v>17</v>
      </c>
      <c r="N7" s="30" t="s">
        <v>18</v>
      </c>
      <c r="O7" s="64" t="s">
        <v>17</v>
      </c>
      <c r="P7" s="64" t="s">
        <v>18</v>
      </c>
    </row>
    <row r="8" spans="1:16" ht="33" customHeight="1" x14ac:dyDescent="0.25">
      <c r="A8" s="4" t="str">
        <f>'Bid Item List B (RSA)'!A20</f>
        <v>0001</v>
      </c>
      <c r="B8" s="37" t="str">
        <f>'Bid Item List B (RSA)'!B20</f>
        <v>Mobilization, Cleanup, and Demobilization
(Section 012200)</v>
      </c>
      <c r="C8" s="41">
        <f>'Bid Item List B (RSA)'!C20</f>
        <v>1</v>
      </c>
      <c r="D8" s="13" t="str">
        <f>'Bid Item List B (RSA)'!D20</f>
        <v>LS</v>
      </c>
      <c r="E8" s="17">
        <v>350000</v>
      </c>
      <c r="F8" s="18">
        <f t="shared" ref="F8:F12" si="0">C8*E8</f>
        <v>350000</v>
      </c>
      <c r="G8" s="17">
        <v>300000</v>
      </c>
      <c r="H8" s="18">
        <f t="shared" ref="H8:H10" si="1">C8*G8</f>
        <v>300000</v>
      </c>
      <c r="I8" s="17">
        <v>426000</v>
      </c>
      <c r="J8" s="18">
        <f t="shared" ref="J8:J12" si="2">C8*I8</f>
        <v>426000</v>
      </c>
      <c r="K8" s="17">
        <v>238596.5</v>
      </c>
      <c r="L8" s="18">
        <f t="shared" ref="L8:L12" si="3">C8*K8</f>
        <v>238596.5</v>
      </c>
      <c r="M8" s="17">
        <v>300000</v>
      </c>
      <c r="N8" s="18">
        <f t="shared" ref="N8:N12" si="4">C8*M8</f>
        <v>300000</v>
      </c>
      <c r="O8" s="65">
        <v>283000</v>
      </c>
      <c r="P8" s="65">
        <f t="shared" ref="P8:P39" si="5">C8*O8</f>
        <v>283000</v>
      </c>
    </row>
    <row r="9" spans="1:16" ht="33" customHeight="1" x14ac:dyDescent="0.25">
      <c r="A9" s="4" t="str">
        <f>'Bid Item List B (RSA)'!A21</f>
        <v>0002</v>
      </c>
      <c r="B9" s="37" t="str">
        <f>'Bid Item List B (RSA)'!B21</f>
        <v>Sweeper
(Section 012200)</v>
      </c>
      <c r="C9" s="41">
        <f>'Bid Item List B (RSA)'!C21</f>
        <v>1</v>
      </c>
      <c r="D9" s="13" t="str">
        <f>'Bid Item List B (RSA)'!D21</f>
        <v>LS</v>
      </c>
      <c r="E9" s="17">
        <v>22000</v>
      </c>
      <c r="F9" s="18">
        <f t="shared" si="0"/>
        <v>22000</v>
      </c>
      <c r="G9" s="17">
        <v>30000</v>
      </c>
      <c r="H9" s="18">
        <f t="shared" si="1"/>
        <v>30000</v>
      </c>
      <c r="I9" s="17">
        <v>75000</v>
      </c>
      <c r="J9" s="18">
        <f t="shared" si="2"/>
        <v>75000</v>
      </c>
      <c r="K9" s="17">
        <v>136000</v>
      </c>
      <c r="L9" s="18">
        <f t="shared" si="3"/>
        <v>136000</v>
      </c>
      <c r="M9" s="17">
        <v>50000</v>
      </c>
      <c r="N9" s="18">
        <f t="shared" si="4"/>
        <v>50000</v>
      </c>
      <c r="O9" s="65">
        <v>80000</v>
      </c>
      <c r="P9" s="65">
        <f t="shared" si="5"/>
        <v>80000</v>
      </c>
    </row>
    <row r="10" spans="1:16" ht="33" customHeight="1" x14ac:dyDescent="0.25">
      <c r="A10" s="4" t="str">
        <f>'Bid Item List B (RSA)'!A22</f>
        <v>0003</v>
      </c>
      <c r="B10" s="37" t="str">
        <f>'Bid Item List B (RSA)'!B22</f>
        <v>Security Control Monitoring
(Section 012200)</v>
      </c>
      <c r="C10" s="41">
        <f>'Bid Item List B (RSA)'!C22</f>
        <v>1</v>
      </c>
      <c r="D10" s="13" t="str">
        <f>'Bid Item List B (RSA)'!D22</f>
        <v>LS</v>
      </c>
      <c r="E10" s="17">
        <v>14500</v>
      </c>
      <c r="F10" s="18">
        <f t="shared" si="0"/>
        <v>14500</v>
      </c>
      <c r="G10" s="17">
        <v>5000</v>
      </c>
      <c r="H10" s="18">
        <f t="shared" si="1"/>
        <v>5000</v>
      </c>
      <c r="I10" s="17">
        <v>27730</v>
      </c>
      <c r="J10" s="18">
        <f t="shared" si="2"/>
        <v>27730</v>
      </c>
      <c r="K10" s="17">
        <v>9900</v>
      </c>
      <c r="L10" s="18">
        <f t="shared" si="3"/>
        <v>9900</v>
      </c>
      <c r="M10" s="17">
        <v>26000</v>
      </c>
      <c r="N10" s="18">
        <f t="shared" si="4"/>
        <v>26000</v>
      </c>
      <c r="O10" s="65">
        <v>24000</v>
      </c>
      <c r="P10" s="65">
        <f t="shared" si="5"/>
        <v>24000</v>
      </c>
    </row>
    <row r="11" spans="1:16" ht="33" customHeight="1" x14ac:dyDescent="0.25">
      <c r="A11" s="4" t="str">
        <f>'Bid Item List B (RSA)'!A23</f>
        <v>0004</v>
      </c>
      <c r="B11" s="37" t="str">
        <f>'Bid Item List B (RSA)'!B23</f>
        <v>Work Zone and Traffic Control
(Section 012200)</v>
      </c>
      <c r="C11" s="41">
        <f>'Bid Item List B (RSA)'!C23</f>
        <v>1</v>
      </c>
      <c r="D11" s="13" t="str">
        <f>'Bid Item List B (RSA)'!D23</f>
        <v>LS</v>
      </c>
      <c r="E11" s="17">
        <v>42000</v>
      </c>
      <c r="F11" s="18">
        <f t="shared" si="0"/>
        <v>42000</v>
      </c>
      <c r="G11" s="17">
        <v>10000</v>
      </c>
      <c r="H11" s="18">
        <f>C11*G11</f>
        <v>10000</v>
      </c>
      <c r="I11" s="17">
        <v>7500</v>
      </c>
      <c r="J11" s="18">
        <f t="shared" si="2"/>
        <v>7500</v>
      </c>
      <c r="K11" s="17">
        <v>12000</v>
      </c>
      <c r="L11" s="18">
        <f t="shared" si="3"/>
        <v>12000</v>
      </c>
      <c r="M11" s="17">
        <v>25000</v>
      </c>
      <c r="N11" s="18">
        <f t="shared" si="4"/>
        <v>25000</v>
      </c>
      <c r="O11" s="65">
        <v>40000</v>
      </c>
      <c r="P11" s="65">
        <f t="shared" si="5"/>
        <v>40000</v>
      </c>
    </row>
    <row r="12" spans="1:16" ht="33" customHeight="1" x14ac:dyDescent="0.25">
      <c r="A12" s="4" t="str">
        <f>'Bid Item List B (RSA)'!A24</f>
        <v>0005</v>
      </c>
      <c r="B12" s="37" t="str">
        <f>'Bid Item List B (RSA)'!B24</f>
        <v>Escort
(Section 012200)</v>
      </c>
      <c r="C12" s="41">
        <f>'Bid Item List B (RSA)'!C24</f>
        <v>1</v>
      </c>
      <c r="D12" s="13" t="str">
        <f>'Bid Item List B (RSA)'!D24</f>
        <v>LS</v>
      </c>
      <c r="E12" s="17">
        <v>14000</v>
      </c>
      <c r="F12" s="18">
        <f t="shared" si="0"/>
        <v>14000</v>
      </c>
      <c r="G12" s="17">
        <v>35000</v>
      </c>
      <c r="H12" s="18">
        <f>C12*G12</f>
        <v>35000</v>
      </c>
      <c r="I12" s="17">
        <v>27960</v>
      </c>
      <c r="J12" s="18">
        <f t="shared" si="2"/>
        <v>27960</v>
      </c>
      <c r="K12" s="17">
        <v>108000</v>
      </c>
      <c r="L12" s="18">
        <f t="shared" si="3"/>
        <v>108000</v>
      </c>
      <c r="M12" s="17">
        <v>56000</v>
      </c>
      <c r="N12" s="18">
        <f t="shared" si="4"/>
        <v>56000</v>
      </c>
      <c r="O12" s="65">
        <v>70000</v>
      </c>
      <c r="P12" s="65">
        <f t="shared" si="5"/>
        <v>70000</v>
      </c>
    </row>
    <row r="13" spans="1:16" ht="33" customHeight="1" x14ac:dyDescent="0.25">
      <c r="A13" s="4" t="str">
        <f>'Bid Item List B (RSA)'!A25</f>
        <v>0006</v>
      </c>
      <c r="B13" s="37" t="str">
        <f>'Bid Item List B (RSA)'!B25</f>
        <v>Delineators
(Section 012200)</v>
      </c>
      <c r="C13" s="41">
        <f>'Bid Item List B (RSA)'!C25</f>
        <v>5</v>
      </c>
      <c r="D13" s="13" t="str">
        <f>'Bid Item List B (RSA)'!D25</f>
        <v>Each</v>
      </c>
      <c r="E13" s="17">
        <v>500</v>
      </c>
      <c r="F13" s="18">
        <f t="shared" ref="F13:F47" si="6">C13*E13</f>
        <v>2500</v>
      </c>
      <c r="G13" s="17">
        <v>50</v>
      </c>
      <c r="H13" s="18">
        <f t="shared" ref="H13:H47" si="7">C13*G13</f>
        <v>250</v>
      </c>
      <c r="I13" s="17">
        <v>200</v>
      </c>
      <c r="J13" s="18">
        <f t="shared" ref="J13:J47" si="8">C13*I13</f>
        <v>1000</v>
      </c>
      <c r="K13" s="17">
        <v>252</v>
      </c>
      <c r="L13" s="18">
        <f t="shared" ref="L13:L47" si="9">C13*K13</f>
        <v>1260</v>
      </c>
      <c r="M13" s="17">
        <v>200</v>
      </c>
      <c r="N13" s="18">
        <f t="shared" ref="N13:N47" si="10">C13*M13</f>
        <v>1000</v>
      </c>
      <c r="O13" s="65">
        <v>50</v>
      </c>
      <c r="P13" s="65">
        <f t="shared" si="5"/>
        <v>250</v>
      </c>
    </row>
    <row r="14" spans="1:16" ht="33" customHeight="1" x14ac:dyDescent="0.25">
      <c r="A14" s="4" t="str">
        <f>'Bid Item List B (RSA)'!A26</f>
        <v>0007</v>
      </c>
      <c r="B14" s="37" t="str">
        <f>'Bid Item List B (RSA)'!B26</f>
        <v>Inlet Protection
(Section 015713)</v>
      </c>
      <c r="C14" s="41">
        <f>'Bid Item List B (RSA)'!C26</f>
        <v>15</v>
      </c>
      <c r="D14" s="13" t="str">
        <f>'Bid Item List B (RSA)'!D26</f>
        <v>Each</v>
      </c>
      <c r="E14" s="17">
        <v>127</v>
      </c>
      <c r="F14" s="18">
        <f t="shared" si="6"/>
        <v>1905</v>
      </c>
      <c r="G14" s="17">
        <v>85</v>
      </c>
      <c r="H14" s="18">
        <f t="shared" si="7"/>
        <v>1275</v>
      </c>
      <c r="I14" s="17">
        <v>60</v>
      </c>
      <c r="J14" s="18">
        <f t="shared" si="8"/>
        <v>900</v>
      </c>
      <c r="K14" s="17">
        <v>55</v>
      </c>
      <c r="L14" s="18">
        <f t="shared" si="9"/>
        <v>825</v>
      </c>
      <c r="M14" s="17">
        <v>80</v>
      </c>
      <c r="N14" s="18">
        <f t="shared" si="10"/>
        <v>1200</v>
      </c>
      <c r="O14" s="65">
        <v>85</v>
      </c>
      <c r="P14" s="65">
        <f t="shared" si="5"/>
        <v>1275</v>
      </c>
    </row>
    <row r="15" spans="1:16" ht="33" customHeight="1" x14ac:dyDescent="0.25">
      <c r="A15" s="4" t="str">
        <f>'Bid Item List B (RSA)'!A27</f>
        <v>0008</v>
      </c>
      <c r="B15" s="37" t="str">
        <f>'Bid Item List B (RSA)'!B27</f>
        <v>Jet Blast Control Material
(Section 015713)</v>
      </c>
      <c r="C15" s="41">
        <f>'Bid Item List B (RSA)'!C27</f>
        <v>0.2</v>
      </c>
      <c r="D15" s="13" t="str">
        <f>'Bid Item List B (RSA)'!D27</f>
        <v>Acre</v>
      </c>
      <c r="E15" s="17">
        <v>5000</v>
      </c>
      <c r="F15" s="18">
        <f t="shared" si="6"/>
        <v>1000</v>
      </c>
      <c r="G15" s="17">
        <v>4000</v>
      </c>
      <c r="H15" s="18">
        <f t="shared" si="7"/>
        <v>800</v>
      </c>
      <c r="I15" s="17">
        <v>3750</v>
      </c>
      <c r="J15" s="18">
        <f t="shared" si="8"/>
        <v>750</v>
      </c>
      <c r="K15" s="17">
        <v>3750</v>
      </c>
      <c r="L15" s="18">
        <f t="shared" si="9"/>
        <v>750</v>
      </c>
      <c r="M15" s="17">
        <v>5500</v>
      </c>
      <c r="N15" s="18">
        <f t="shared" si="10"/>
        <v>1100</v>
      </c>
      <c r="O15" s="65">
        <v>5000</v>
      </c>
      <c r="P15" s="65">
        <f t="shared" si="5"/>
        <v>1000</v>
      </c>
    </row>
    <row r="16" spans="1:16" ht="33" customHeight="1" x14ac:dyDescent="0.25">
      <c r="A16" s="4" t="str">
        <f>'Bid Item List B (RSA)'!A28</f>
        <v>0009</v>
      </c>
      <c r="B16" s="37" t="str">
        <f>'Bid Item List B (RSA)'!B28</f>
        <v>Construction Survey
(Item GP-50)</v>
      </c>
      <c r="C16" s="41">
        <f>'Bid Item List B (RSA)'!C28</f>
        <v>1</v>
      </c>
      <c r="D16" s="13" t="str">
        <f>'Bid Item List B (RSA)'!D28</f>
        <v>LS</v>
      </c>
      <c r="E16" s="17">
        <v>27000</v>
      </c>
      <c r="F16" s="18">
        <f t="shared" si="6"/>
        <v>27000</v>
      </c>
      <c r="G16" s="17">
        <v>24000</v>
      </c>
      <c r="H16" s="18">
        <f t="shared" si="7"/>
        <v>24000</v>
      </c>
      <c r="I16" s="17">
        <v>20000</v>
      </c>
      <c r="J16" s="18">
        <f t="shared" si="8"/>
        <v>20000</v>
      </c>
      <c r="K16" s="17">
        <v>25000</v>
      </c>
      <c r="L16" s="18">
        <f t="shared" si="9"/>
        <v>25000</v>
      </c>
      <c r="M16" s="17">
        <v>35000</v>
      </c>
      <c r="N16" s="18">
        <f t="shared" si="10"/>
        <v>35000</v>
      </c>
      <c r="O16" s="65">
        <v>70000</v>
      </c>
      <c r="P16" s="65">
        <f t="shared" si="5"/>
        <v>70000</v>
      </c>
    </row>
    <row r="17" spans="1:16" ht="33" customHeight="1" x14ac:dyDescent="0.25">
      <c r="A17" s="4" t="str">
        <f>'Bid Item List B (RSA)'!A29</f>
        <v>0010</v>
      </c>
      <c r="B17" s="37" t="str">
        <f>'Bid Item List B (RSA)'!B29</f>
        <v>Asphalt Pavement Removal - 3-Inch Depth
(Item P-101)</v>
      </c>
      <c r="C17" s="41">
        <f>'Bid Item List B (RSA)'!C29</f>
        <v>100</v>
      </c>
      <c r="D17" s="13" t="str">
        <f>'Bid Item List B (RSA)'!D29</f>
        <v>SY</v>
      </c>
      <c r="E17" s="17">
        <v>100</v>
      </c>
      <c r="F17" s="18">
        <f t="shared" si="6"/>
        <v>10000</v>
      </c>
      <c r="G17" s="17">
        <v>10</v>
      </c>
      <c r="H17" s="18">
        <f t="shared" si="7"/>
        <v>1000</v>
      </c>
      <c r="I17" s="17">
        <v>4</v>
      </c>
      <c r="J17" s="18">
        <f t="shared" si="8"/>
        <v>400</v>
      </c>
      <c r="K17" s="17">
        <v>9</v>
      </c>
      <c r="L17" s="18">
        <f t="shared" si="9"/>
        <v>900</v>
      </c>
      <c r="M17" s="17">
        <v>35</v>
      </c>
      <c r="N17" s="18">
        <f t="shared" si="10"/>
        <v>3500</v>
      </c>
      <c r="O17" s="65">
        <v>5</v>
      </c>
      <c r="P17" s="65">
        <f t="shared" si="5"/>
        <v>500</v>
      </c>
    </row>
    <row r="18" spans="1:16" ht="33" customHeight="1" x14ac:dyDescent="0.25">
      <c r="A18" s="4" t="str">
        <f>'Bid Item List B (RSA)'!A30</f>
        <v>0011</v>
      </c>
      <c r="B18" s="37" t="str">
        <f>'Bid Item List B (RSA)'!B30</f>
        <v>Asphalt Pavement Removal - 8-Inch Depth
(Item P-101)</v>
      </c>
      <c r="C18" s="41">
        <f>'Bid Item List B (RSA)'!C30</f>
        <v>1700</v>
      </c>
      <c r="D18" s="13" t="str">
        <f>'Bid Item List B (RSA)'!D30</f>
        <v>SY</v>
      </c>
      <c r="E18" s="17">
        <v>15</v>
      </c>
      <c r="F18" s="18">
        <f t="shared" si="6"/>
        <v>25500</v>
      </c>
      <c r="G18" s="17">
        <v>6</v>
      </c>
      <c r="H18" s="18">
        <f t="shared" si="7"/>
        <v>10200</v>
      </c>
      <c r="I18" s="17">
        <v>6</v>
      </c>
      <c r="J18" s="18">
        <f t="shared" si="8"/>
        <v>10200</v>
      </c>
      <c r="K18" s="17">
        <v>1.55</v>
      </c>
      <c r="L18" s="18">
        <f t="shared" si="9"/>
        <v>2635</v>
      </c>
      <c r="M18" s="17">
        <v>9</v>
      </c>
      <c r="N18" s="18">
        <f t="shared" si="10"/>
        <v>15300</v>
      </c>
      <c r="O18" s="65">
        <v>6</v>
      </c>
      <c r="P18" s="65">
        <f t="shared" si="5"/>
        <v>10200</v>
      </c>
    </row>
    <row r="19" spans="1:16" ht="33" customHeight="1" x14ac:dyDescent="0.25">
      <c r="A19" s="4" t="str">
        <f>'Bid Item List B (RSA)'!A31</f>
        <v>0012</v>
      </c>
      <c r="B19" s="37" t="str">
        <f>'Bid Item List B (RSA)'!B31</f>
        <v>Cold Milling - 2-Inch Maximum Depth
(Item P-101)</v>
      </c>
      <c r="C19" s="41">
        <f>'Bid Item List B (RSA)'!C31</f>
        <v>550</v>
      </c>
      <c r="D19" s="13" t="str">
        <f>'Bid Item List B (RSA)'!D31</f>
        <v>SY</v>
      </c>
      <c r="E19" s="17">
        <v>20</v>
      </c>
      <c r="F19" s="18">
        <f t="shared" si="6"/>
        <v>11000</v>
      </c>
      <c r="G19" s="17">
        <v>4</v>
      </c>
      <c r="H19" s="18">
        <f t="shared" si="7"/>
        <v>2200</v>
      </c>
      <c r="I19" s="17">
        <v>9</v>
      </c>
      <c r="J19" s="18">
        <f t="shared" si="8"/>
        <v>4950</v>
      </c>
      <c r="K19" s="17">
        <v>7</v>
      </c>
      <c r="L19" s="18">
        <f t="shared" si="9"/>
        <v>3850</v>
      </c>
      <c r="M19" s="17">
        <v>9</v>
      </c>
      <c r="N19" s="18">
        <f t="shared" si="10"/>
        <v>4950</v>
      </c>
      <c r="O19" s="65">
        <v>6</v>
      </c>
      <c r="P19" s="65">
        <f t="shared" si="5"/>
        <v>3300</v>
      </c>
    </row>
    <row r="20" spans="1:16" ht="33" customHeight="1" x14ac:dyDescent="0.25">
      <c r="A20" s="4" t="str">
        <f>'Bid Item List B (RSA)'!A32</f>
        <v>0013</v>
      </c>
      <c r="B20" s="37" t="str">
        <f>'Bid Item List B (RSA)'!B32</f>
        <v>Borrow Excavation
(P-152)</v>
      </c>
      <c r="C20" s="41">
        <f>'Bid Item List B (RSA)'!C32</f>
        <v>14500</v>
      </c>
      <c r="D20" s="13" t="str">
        <f>'Bid Item List B (RSA)'!D32</f>
        <v>CY</v>
      </c>
      <c r="E20" s="17">
        <v>18</v>
      </c>
      <c r="F20" s="18">
        <f t="shared" si="6"/>
        <v>261000</v>
      </c>
      <c r="G20" s="17">
        <v>5</v>
      </c>
      <c r="H20" s="18">
        <f t="shared" si="7"/>
        <v>72500</v>
      </c>
      <c r="I20" s="17">
        <v>15.75</v>
      </c>
      <c r="J20" s="18">
        <f t="shared" si="8"/>
        <v>228375</v>
      </c>
      <c r="K20" s="17">
        <v>17.7</v>
      </c>
      <c r="L20" s="18">
        <f t="shared" si="9"/>
        <v>256650</v>
      </c>
      <c r="M20" s="17">
        <v>13</v>
      </c>
      <c r="N20" s="18">
        <f t="shared" si="10"/>
        <v>188500</v>
      </c>
      <c r="O20" s="65">
        <v>20</v>
      </c>
      <c r="P20" s="65">
        <f t="shared" si="5"/>
        <v>290000</v>
      </c>
    </row>
    <row r="21" spans="1:16" ht="33" customHeight="1" x14ac:dyDescent="0.25">
      <c r="A21" s="4" t="str">
        <f>'Bid Item List B (RSA)'!A33</f>
        <v>0014</v>
      </c>
      <c r="B21" s="37" t="str">
        <f>'Bid Item List B (RSA)'!B33</f>
        <v>Unsuitable Excavation
(Item P-152)</v>
      </c>
      <c r="C21" s="41">
        <f>'Bid Item List B (RSA)'!C33</f>
        <v>250</v>
      </c>
      <c r="D21" s="13" t="str">
        <f>'Bid Item List B (RSA)'!D33</f>
        <v>CY</v>
      </c>
      <c r="E21" s="17">
        <v>150</v>
      </c>
      <c r="F21" s="18">
        <f t="shared" si="6"/>
        <v>37500</v>
      </c>
      <c r="G21" s="17">
        <v>80</v>
      </c>
      <c r="H21" s="18">
        <f t="shared" si="7"/>
        <v>20000</v>
      </c>
      <c r="I21" s="17">
        <v>33</v>
      </c>
      <c r="J21" s="18">
        <f t="shared" si="8"/>
        <v>8250</v>
      </c>
      <c r="K21" s="17">
        <v>42</v>
      </c>
      <c r="L21" s="18">
        <f t="shared" si="9"/>
        <v>10500</v>
      </c>
      <c r="M21" s="17">
        <v>22</v>
      </c>
      <c r="N21" s="18">
        <f t="shared" si="10"/>
        <v>5500</v>
      </c>
      <c r="O21" s="65">
        <v>60</v>
      </c>
      <c r="P21" s="65">
        <f t="shared" si="5"/>
        <v>15000</v>
      </c>
    </row>
    <row r="22" spans="1:16" ht="33" customHeight="1" x14ac:dyDescent="0.25">
      <c r="A22" s="4" t="str">
        <f>'Bid Item List B (RSA)'!A34</f>
        <v>0015</v>
      </c>
      <c r="B22" s="37" t="str">
        <f>'Bid Item List B (RSA)'!B34</f>
        <v>Geotextile
(Item P-152)</v>
      </c>
      <c r="C22" s="41">
        <f>'Bid Item List B (RSA)'!C34</f>
        <v>1600</v>
      </c>
      <c r="D22" s="13" t="str">
        <f>'Bid Item List B (RSA)'!D34</f>
        <v>SY</v>
      </c>
      <c r="E22" s="17">
        <v>3</v>
      </c>
      <c r="F22" s="18">
        <f t="shared" si="6"/>
        <v>4800</v>
      </c>
      <c r="G22" s="17">
        <v>1</v>
      </c>
      <c r="H22" s="18">
        <f t="shared" si="7"/>
        <v>1600</v>
      </c>
      <c r="I22" s="17">
        <v>1</v>
      </c>
      <c r="J22" s="18">
        <f t="shared" si="8"/>
        <v>1600</v>
      </c>
      <c r="K22" s="17">
        <v>0.9</v>
      </c>
      <c r="L22" s="18">
        <f t="shared" si="9"/>
        <v>1440</v>
      </c>
      <c r="M22" s="17">
        <v>1</v>
      </c>
      <c r="N22" s="18">
        <f t="shared" si="10"/>
        <v>1600</v>
      </c>
      <c r="O22" s="65">
        <v>0.8</v>
      </c>
      <c r="P22" s="65">
        <f t="shared" si="5"/>
        <v>1280</v>
      </c>
    </row>
    <row r="23" spans="1:16" ht="33" customHeight="1" x14ac:dyDescent="0.25">
      <c r="A23" s="4" t="str">
        <f>'Bid Item List B (RSA)'!A35</f>
        <v>0016</v>
      </c>
      <c r="B23" s="37" t="str">
        <f>'Bid Item List B (RSA)'!B35</f>
        <v>Controlled Low-Strength Material (CLSM)
(Item P-153)</v>
      </c>
      <c r="C23" s="41">
        <f>'Bid Item List B (RSA)'!C35</f>
        <v>750</v>
      </c>
      <c r="D23" s="13" t="str">
        <f>'Bid Item List B (RSA)'!D35</f>
        <v>CY</v>
      </c>
      <c r="E23" s="17">
        <v>200</v>
      </c>
      <c r="F23" s="18">
        <f t="shared" si="6"/>
        <v>150000</v>
      </c>
      <c r="G23" s="17">
        <v>120</v>
      </c>
      <c r="H23" s="18">
        <f t="shared" si="7"/>
        <v>90000</v>
      </c>
      <c r="I23" s="17">
        <v>215</v>
      </c>
      <c r="J23" s="18">
        <f t="shared" si="8"/>
        <v>161250</v>
      </c>
      <c r="K23" s="17">
        <v>178</v>
      </c>
      <c r="L23" s="18">
        <f t="shared" si="9"/>
        <v>133500</v>
      </c>
      <c r="M23" s="17">
        <v>120</v>
      </c>
      <c r="N23" s="18">
        <f t="shared" si="10"/>
        <v>90000</v>
      </c>
      <c r="O23" s="65">
        <v>125</v>
      </c>
      <c r="P23" s="65">
        <f t="shared" si="5"/>
        <v>93750</v>
      </c>
    </row>
    <row r="24" spans="1:16" ht="33" customHeight="1" x14ac:dyDescent="0.25">
      <c r="A24" s="4" t="str">
        <f>'Bid Item List B (RSA)'!A36</f>
        <v>0017</v>
      </c>
      <c r="B24" s="37" t="str">
        <f>'Bid Item List B (RSA)'!B36</f>
        <v>Subbase Course
(Item P-154)</v>
      </c>
      <c r="C24" s="41">
        <f>'Bid Item List B (RSA)'!C36</f>
        <v>150</v>
      </c>
      <c r="D24" s="13" t="str">
        <f>'Bid Item List B (RSA)'!D36</f>
        <v>CY</v>
      </c>
      <c r="E24" s="17">
        <v>60</v>
      </c>
      <c r="F24" s="18">
        <f t="shared" si="6"/>
        <v>9000</v>
      </c>
      <c r="G24" s="17">
        <v>60</v>
      </c>
      <c r="H24" s="18">
        <f t="shared" si="7"/>
        <v>9000</v>
      </c>
      <c r="I24" s="17">
        <v>77</v>
      </c>
      <c r="J24" s="18">
        <f t="shared" si="8"/>
        <v>11550</v>
      </c>
      <c r="K24" s="17">
        <v>37</v>
      </c>
      <c r="L24" s="18">
        <f t="shared" si="9"/>
        <v>5550</v>
      </c>
      <c r="M24" s="17">
        <v>35</v>
      </c>
      <c r="N24" s="18">
        <f t="shared" si="10"/>
        <v>5250</v>
      </c>
      <c r="O24" s="65">
        <v>35</v>
      </c>
      <c r="P24" s="65">
        <f t="shared" si="5"/>
        <v>5250</v>
      </c>
    </row>
    <row r="25" spans="1:16" ht="33" customHeight="1" x14ac:dyDescent="0.25">
      <c r="A25" s="4" t="str">
        <f>'Bid Item List B (RSA)'!A37</f>
        <v>0018</v>
      </c>
      <c r="B25" s="37" t="str">
        <f>'Bid Item List B (RSA)'!B37</f>
        <v>Silt Fence
(Item P-156)</v>
      </c>
      <c r="C25" s="41">
        <f>'Bid Item List B (RSA)'!C37</f>
        <v>2300</v>
      </c>
      <c r="D25" s="13" t="str">
        <f>'Bid Item List B (RSA)'!D37</f>
        <v>LF</v>
      </c>
      <c r="E25" s="17">
        <v>4</v>
      </c>
      <c r="F25" s="18">
        <f t="shared" si="6"/>
        <v>9200</v>
      </c>
      <c r="G25" s="17">
        <v>2.5</v>
      </c>
      <c r="H25" s="18">
        <f t="shared" si="7"/>
        <v>5750</v>
      </c>
      <c r="I25" s="17">
        <v>1.75</v>
      </c>
      <c r="J25" s="18">
        <f t="shared" si="8"/>
        <v>4025</v>
      </c>
      <c r="K25" s="17">
        <v>1.75</v>
      </c>
      <c r="L25" s="18">
        <f t="shared" si="9"/>
        <v>4025</v>
      </c>
      <c r="M25" s="17">
        <v>3</v>
      </c>
      <c r="N25" s="18">
        <f t="shared" si="10"/>
        <v>6900</v>
      </c>
      <c r="O25" s="65">
        <v>2</v>
      </c>
      <c r="P25" s="65">
        <f t="shared" si="5"/>
        <v>4600</v>
      </c>
    </row>
    <row r="26" spans="1:16" ht="33" customHeight="1" x14ac:dyDescent="0.25">
      <c r="A26" s="4" t="str">
        <f>'Bid Item List B (RSA)'!A38</f>
        <v>0019</v>
      </c>
      <c r="B26" s="37" t="str">
        <f>'Bid Item List B (RSA)'!B38</f>
        <v>Crushed Aggregate Base Course
(Item P-209)</v>
      </c>
      <c r="C26" s="41">
        <f>'Bid Item List B (RSA)'!C38</f>
        <v>650</v>
      </c>
      <c r="D26" s="13" t="str">
        <f>'Bid Item List B (RSA)'!D38</f>
        <v>CY</v>
      </c>
      <c r="E26" s="17">
        <v>55</v>
      </c>
      <c r="F26" s="18">
        <f t="shared" si="6"/>
        <v>35750</v>
      </c>
      <c r="G26" s="17">
        <v>70</v>
      </c>
      <c r="H26" s="18">
        <f t="shared" si="7"/>
        <v>45500</v>
      </c>
      <c r="I26" s="17">
        <v>86</v>
      </c>
      <c r="J26" s="18">
        <f t="shared" si="8"/>
        <v>55900</v>
      </c>
      <c r="K26" s="17">
        <v>43</v>
      </c>
      <c r="L26" s="18">
        <f t="shared" si="9"/>
        <v>27950</v>
      </c>
      <c r="M26" s="17">
        <v>51</v>
      </c>
      <c r="N26" s="18">
        <f t="shared" si="10"/>
        <v>33150</v>
      </c>
      <c r="O26" s="65">
        <v>50</v>
      </c>
      <c r="P26" s="65">
        <f t="shared" si="5"/>
        <v>32500</v>
      </c>
    </row>
    <row r="27" spans="1:16" ht="33" customHeight="1" x14ac:dyDescent="0.25">
      <c r="A27" s="4" t="str">
        <f>'Bid Item List B (RSA)'!A39</f>
        <v>0020</v>
      </c>
      <c r="B27" s="37" t="str">
        <f>'Bid Item List B (RSA)'!B39</f>
        <v>Hot Mix Asphalt (HMA) Pavement Base Course
(Item P-403)</v>
      </c>
      <c r="C27" s="41">
        <f>'Bid Item List B (RSA)'!C39</f>
        <v>750</v>
      </c>
      <c r="D27" s="13" t="str">
        <f>'Bid Item List B (RSA)'!D39</f>
        <v>Ton</v>
      </c>
      <c r="E27" s="17">
        <v>115</v>
      </c>
      <c r="F27" s="18">
        <f t="shared" si="6"/>
        <v>86250</v>
      </c>
      <c r="G27" s="17">
        <v>110</v>
      </c>
      <c r="H27" s="18">
        <f t="shared" si="7"/>
        <v>82500</v>
      </c>
      <c r="I27" s="17">
        <v>100</v>
      </c>
      <c r="J27" s="18">
        <f t="shared" si="8"/>
        <v>75000</v>
      </c>
      <c r="K27" s="17">
        <v>100</v>
      </c>
      <c r="L27" s="18">
        <f t="shared" si="9"/>
        <v>75000</v>
      </c>
      <c r="M27" s="17">
        <v>125</v>
      </c>
      <c r="N27" s="18">
        <f t="shared" si="10"/>
        <v>93750</v>
      </c>
      <c r="O27" s="65">
        <v>85</v>
      </c>
      <c r="P27" s="65">
        <f t="shared" si="5"/>
        <v>63750</v>
      </c>
    </row>
    <row r="28" spans="1:16" ht="33" customHeight="1" x14ac:dyDescent="0.25">
      <c r="A28" s="4" t="str">
        <f>'Bid Item List B (RSA)'!A40</f>
        <v>0021</v>
      </c>
      <c r="B28" s="37" t="str">
        <f>'Bid Item List B (RSA)'!B40</f>
        <v>Bituminous Tack Coat
(Item P-603)</v>
      </c>
      <c r="C28" s="41">
        <f>'Bid Item List B (RSA)'!C40</f>
        <v>140</v>
      </c>
      <c r="D28" s="13" t="str">
        <f>'Bid Item List B (RSA)'!D40</f>
        <v>Gal</v>
      </c>
      <c r="E28" s="17">
        <v>3</v>
      </c>
      <c r="F28" s="18">
        <f t="shared" si="6"/>
        <v>420</v>
      </c>
      <c r="G28" s="17">
        <v>4</v>
      </c>
      <c r="H28" s="18">
        <f t="shared" si="7"/>
        <v>560</v>
      </c>
      <c r="I28" s="17">
        <v>3</v>
      </c>
      <c r="J28" s="18">
        <f t="shared" si="8"/>
        <v>420</v>
      </c>
      <c r="K28" s="17">
        <v>3</v>
      </c>
      <c r="L28" s="18">
        <f t="shared" si="9"/>
        <v>420</v>
      </c>
      <c r="M28" s="17">
        <v>25</v>
      </c>
      <c r="N28" s="18">
        <f t="shared" si="10"/>
        <v>3500</v>
      </c>
      <c r="O28" s="65">
        <v>8</v>
      </c>
      <c r="P28" s="65">
        <f t="shared" si="5"/>
        <v>1120</v>
      </c>
    </row>
    <row r="29" spans="1:16" ht="33" customHeight="1" x14ac:dyDescent="0.25">
      <c r="A29" s="4" t="str">
        <f>'Bid Item List B (RSA)'!A41</f>
        <v>0022</v>
      </c>
      <c r="B29" s="37" t="str">
        <f>'Bid Item List B (RSA)'!B41</f>
        <v>Steel Reinforcement
(Item P-610)</v>
      </c>
      <c r="C29" s="41">
        <f>'Bid Item List B (RSA)'!C41</f>
        <v>1830</v>
      </c>
      <c r="D29" s="13" t="str">
        <f>'Bid Item List B (RSA)'!D41</f>
        <v>LB</v>
      </c>
      <c r="E29" s="17">
        <v>5</v>
      </c>
      <c r="F29" s="18">
        <f t="shared" si="6"/>
        <v>9150</v>
      </c>
      <c r="G29" s="17">
        <v>2</v>
      </c>
      <c r="H29" s="18">
        <f t="shared" si="7"/>
        <v>3660</v>
      </c>
      <c r="I29" s="17">
        <v>2</v>
      </c>
      <c r="J29" s="18">
        <f t="shared" si="8"/>
        <v>3660</v>
      </c>
      <c r="K29" s="17">
        <v>5</v>
      </c>
      <c r="L29" s="18">
        <f t="shared" si="9"/>
        <v>9150</v>
      </c>
      <c r="M29" s="17">
        <v>5</v>
      </c>
      <c r="N29" s="18">
        <f t="shared" si="10"/>
        <v>9150</v>
      </c>
      <c r="O29" s="65">
        <v>5</v>
      </c>
      <c r="P29" s="65">
        <f t="shared" si="5"/>
        <v>9150</v>
      </c>
    </row>
    <row r="30" spans="1:16" ht="33" customHeight="1" x14ac:dyDescent="0.25">
      <c r="A30" s="4" t="str">
        <f>'Bid Item List B (RSA)'!A42</f>
        <v>0023</v>
      </c>
      <c r="B30" s="37" t="str">
        <f>'Bid Item List B (RSA)'!B42</f>
        <v>Runway Marking
(Item P-620)</v>
      </c>
      <c r="C30" s="41">
        <f>'Bid Item List B (RSA)'!C42</f>
        <v>750</v>
      </c>
      <c r="D30" s="13" t="str">
        <f>'Bid Item List B (RSA)'!D42</f>
        <v>SF</v>
      </c>
      <c r="E30" s="17">
        <v>1</v>
      </c>
      <c r="F30" s="18">
        <f t="shared" si="6"/>
        <v>750</v>
      </c>
      <c r="G30" s="17">
        <v>0.3</v>
      </c>
      <c r="H30" s="18">
        <f t="shared" si="7"/>
        <v>225</v>
      </c>
      <c r="I30" s="17">
        <v>0.95</v>
      </c>
      <c r="J30" s="18">
        <f t="shared" si="8"/>
        <v>712.5</v>
      </c>
      <c r="K30" s="17">
        <v>0.95</v>
      </c>
      <c r="L30" s="18">
        <f t="shared" si="9"/>
        <v>712.5</v>
      </c>
      <c r="M30" s="17">
        <v>1</v>
      </c>
      <c r="N30" s="18">
        <f t="shared" si="10"/>
        <v>750</v>
      </c>
      <c r="O30" s="65">
        <v>1.25</v>
      </c>
      <c r="P30" s="65">
        <f t="shared" si="5"/>
        <v>937.5</v>
      </c>
    </row>
    <row r="31" spans="1:16" ht="33" customHeight="1" x14ac:dyDescent="0.25">
      <c r="A31" s="4" t="str">
        <f>'Bid Item List B (RSA)'!A43</f>
        <v>0024</v>
      </c>
      <c r="B31" s="37" t="str">
        <f>'Bid Item List B (RSA)'!B43</f>
        <v>Reflective Media
(Item P-620)</v>
      </c>
      <c r="C31" s="41">
        <f>'Bid Item List B (RSA)'!C43</f>
        <v>50</v>
      </c>
      <c r="D31" s="13" t="str">
        <f>'Bid Item List B (RSA)'!D43</f>
        <v>LB</v>
      </c>
      <c r="E31" s="17">
        <v>0.5</v>
      </c>
      <c r="F31" s="18">
        <f t="shared" si="6"/>
        <v>25</v>
      </c>
      <c r="G31" s="17">
        <v>0.6</v>
      </c>
      <c r="H31" s="18">
        <f t="shared" si="7"/>
        <v>30</v>
      </c>
      <c r="I31" s="17">
        <v>0.45</v>
      </c>
      <c r="J31" s="18">
        <f t="shared" si="8"/>
        <v>22.5</v>
      </c>
      <c r="K31" s="17">
        <v>0.45</v>
      </c>
      <c r="L31" s="18">
        <f t="shared" si="9"/>
        <v>22.5</v>
      </c>
      <c r="M31" s="17">
        <v>0.5</v>
      </c>
      <c r="N31" s="18">
        <f t="shared" si="10"/>
        <v>25</v>
      </c>
      <c r="O31" s="65">
        <v>2</v>
      </c>
      <c r="P31" s="65">
        <f t="shared" si="5"/>
        <v>100</v>
      </c>
    </row>
    <row r="32" spans="1:16" ht="33" customHeight="1" x14ac:dyDescent="0.25">
      <c r="A32" s="4" t="str">
        <f>'Bid Item List B (RSA)'!A44</f>
        <v>0025</v>
      </c>
      <c r="B32" s="37" t="str">
        <f>'Bid Item List B (RSA)'!B44</f>
        <v>8-Inch STS Pipe
(Item D-701)</v>
      </c>
      <c r="C32" s="41">
        <f>'Bid Item List B (RSA)'!C44</f>
        <v>439</v>
      </c>
      <c r="D32" s="13" t="str">
        <f>'Bid Item List B (RSA)'!D44</f>
        <v>LF</v>
      </c>
      <c r="E32" s="17">
        <v>125</v>
      </c>
      <c r="F32" s="18">
        <f t="shared" si="6"/>
        <v>54875</v>
      </c>
      <c r="G32" s="17">
        <v>49</v>
      </c>
      <c r="H32" s="18">
        <f t="shared" si="7"/>
        <v>21511</v>
      </c>
      <c r="I32" s="17">
        <v>75</v>
      </c>
      <c r="J32" s="18">
        <f t="shared" si="8"/>
        <v>32925</v>
      </c>
      <c r="K32" s="17">
        <v>52</v>
      </c>
      <c r="L32" s="18">
        <f t="shared" si="9"/>
        <v>22828</v>
      </c>
      <c r="M32" s="17">
        <v>40</v>
      </c>
      <c r="N32" s="18">
        <f t="shared" si="10"/>
        <v>17560</v>
      </c>
      <c r="O32" s="65">
        <v>50</v>
      </c>
      <c r="P32" s="65">
        <f t="shared" si="5"/>
        <v>21950</v>
      </c>
    </row>
    <row r="33" spans="1:16" ht="33" customHeight="1" x14ac:dyDescent="0.25">
      <c r="A33" s="4" t="str">
        <f>'Bid Item List B (RSA)'!A45</f>
        <v>0026</v>
      </c>
      <c r="B33" s="37" t="str">
        <f>'Bid Item List B (RSA)'!B45</f>
        <v>12-Inch STS Pipe
(Item D-701)</v>
      </c>
      <c r="C33" s="41">
        <f>'Bid Item List B (RSA)'!C45</f>
        <v>749</v>
      </c>
      <c r="D33" s="13" t="str">
        <f>'Bid Item List B (RSA)'!D45</f>
        <v>LF</v>
      </c>
      <c r="E33" s="17">
        <v>135</v>
      </c>
      <c r="F33" s="18">
        <f t="shared" si="6"/>
        <v>101115</v>
      </c>
      <c r="G33" s="17">
        <v>52</v>
      </c>
      <c r="H33" s="18">
        <f t="shared" si="7"/>
        <v>38948</v>
      </c>
      <c r="I33" s="17">
        <v>80</v>
      </c>
      <c r="J33" s="18">
        <f t="shared" si="8"/>
        <v>59920</v>
      </c>
      <c r="K33" s="17">
        <v>35</v>
      </c>
      <c r="L33" s="18">
        <f t="shared" si="9"/>
        <v>26215</v>
      </c>
      <c r="M33" s="17">
        <v>170</v>
      </c>
      <c r="N33" s="18">
        <f t="shared" si="10"/>
        <v>127330</v>
      </c>
      <c r="O33" s="65">
        <v>50</v>
      </c>
      <c r="P33" s="65">
        <f t="shared" si="5"/>
        <v>37450</v>
      </c>
    </row>
    <row r="34" spans="1:16" ht="33" customHeight="1" x14ac:dyDescent="0.25">
      <c r="A34" s="4" t="str">
        <f>'Bid Item List B (RSA)'!A46</f>
        <v>0027</v>
      </c>
      <c r="B34" s="37" t="str">
        <f>'Bid Item List B (RSA)'!B46</f>
        <v>48-Inch STS Pipe
(Item D-701)</v>
      </c>
      <c r="C34" s="41">
        <f>'Bid Item List B (RSA)'!C46</f>
        <v>2336</v>
      </c>
      <c r="D34" s="13" t="str">
        <f>'Bid Item List B (RSA)'!D46</f>
        <v>LF</v>
      </c>
      <c r="E34" s="17">
        <v>400</v>
      </c>
      <c r="F34" s="18">
        <f t="shared" si="6"/>
        <v>934400</v>
      </c>
      <c r="G34" s="17">
        <v>330</v>
      </c>
      <c r="H34" s="18">
        <f t="shared" si="7"/>
        <v>770880</v>
      </c>
      <c r="I34" s="17">
        <v>304</v>
      </c>
      <c r="J34" s="18">
        <f t="shared" si="8"/>
        <v>710144</v>
      </c>
      <c r="K34" s="17">
        <v>225</v>
      </c>
      <c r="L34" s="18">
        <f t="shared" si="9"/>
        <v>525600</v>
      </c>
      <c r="M34" s="17">
        <v>365</v>
      </c>
      <c r="N34" s="18">
        <f t="shared" si="10"/>
        <v>852640</v>
      </c>
      <c r="O34" s="65">
        <v>250</v>
      </c>
      <c r="P34" s="65">
        <f t="shared" si="5"/>
        <v>584000</v>
      </c>
    </row>
    <row r="35" spans="1:16" ht="33" customHeight="1" x14ac:dyDescent="0.25">
      <c r="A35" s="4" t="str">
        <f>'Bid Item List B (RSA)'!A47</f>
        <v>0028</v>
      </c>
      <c r="B35" s="37" t="str">
        <f>'Bid Item List B (RSA)'!B47</f>
        <v>12-Inch RCP Pipe
(Item D-701)</v>
      </c>
      <c r="C35" s="41">
        <f>'Bid Item List B (RSA)'!C47</f>
        <v>52</v>
      </c>
      <c r="D35" s="13" t="str">
        <f>'Bid Item List B (RSA)'!D47</f>
        <v>LF</v>
      </c>
      <c r="E35" s="17">
        <v>150</v>
      </c>
      <c r="F35" s="18">
        <f t="shared" si="6"/>
        <v>7800</v>
      </c>
      <c r="G35" s="17">
        <v>88</v>
      </c>
      <c r="H35" s="18">
        <f t="shared" si="7"/>
        <v>4576</v>
      </c>
      <c r="I35" s="17">
        <v>110</v>
      </c>
      <c r="J35" s="18">
        <f t="shared" si="8"/>
        <v>5720</v>
      </c>
      <c r="K35" s="17">
        <v>76</v>
      </c>
      <c r="L35" s="18">
        <f t="shared" si="9"/>
        <v>3952</v>
      </c>
      <c r="M35" s="17">
        <v>95</v>
      </c>
      <c r="N35" s="18">
        <f t="shared" si="10"/>
        <v>4940</v>
      </c>
      <c r="O35" s="65">
        <v>75</v>
      </c>
      <c r="P35" s="65">
        <f t="shared" si="5"/>
        <v>3900</v>
      </c>
    </row>
    <row r="36" spans="1:16" ht="33" customHeight="1" x14ac:dyDescent="0.25">
      <c r="A36" s="4" t="str">
        <f>'Bid Item List B (RSA)'!A48</f>
        <v>0029</v>
      </c>
      <c r="B36" s="37" t="str">
        <f>'Bid Item List B (RSA)'!B48</f>
        <v>24-Inch RCP Pipe
(Item D-701)</v>
      </c>
      <c r="C36" s="41">
        <f>'Bid Item List B (RSA)'!C48</f>
        <v>58</v>
      </c>
      <c r="D36" s="13" t="str">
        <f>'Bid Item List B (RSA)'!D48</f>
        <v>LF</v>
      </c>
      <c r="E36" s="17">
        <v>190</v>
      </c>
      <c r="F36" s="18">
        <f t="shared" si="6"/>
        <v>11020</v>
      </c>
      <c r="G36" s="17">
        <v>135</v>
      </c>
      <c r="H36" s="18">
        <f t="shared" si="7"/>
        <v>7830</v>
      </c>
      <c r="I36" s="17">
        <v>207</v>
      </c>
      <c r="J36" s="18">
        <f t="shared" si="8"/>
        <v>12006</v>
      </c>
      <c r="K36" s="17">
        <v>93</v>
      </c>
      <c r="L36" s="18">
        <f t="shared" si="9"/>
        <v>5394</v>
      </c>
      <c r="M36" s="17">
        <v>140</v>
      </c>
      <c r="N36" s="18">
        <f t="shared" si="10"/>
        <v>8120</v>
      </c>
      <c r="O36" s="65">
        <v>125</v>
      </c>
      <c r="P36" s="65">
        <f t="shared" si="5"/>
        <v>7250</v>
      </c>
    </row>
    <row r="37" spans="1:16" ht="33" customHeight="1" x14ac:dyDescent="0.25">
      <c r="A37" s="4" t="str">
        <f>'Bid Item List B (RSA)'!A49</f>
        <v>0030</v>
      </c>
      <c r="B37" s="37" t="str">
        <f>'Bid Item List B (RSA)'!B49</f>
        <v>48-Inch Manhole, Type B
(Item D-751)</v>
      </c>
      <c r="C37" s="41">
        <f>'Bid Item List B (RSA)'!C49</f>
        <v>1</v>
      </c>
      <c r="D37" s="13" t="str">
        <f>'Bid Item List B (RSA)'!D49</f>
        <v>Each</v>
      </c>
      <c r="E37" s="17">
        <v>6000</v>
      </c>
      <c r="F37" s="18">
        <f t="shared" si="6"/>
        <v>6000</v>
      </c>
      <c r="G37" s="17">
        <v>6900</v>
      </c>
      <c r="H37" s="18">
        <f t="shared" si="7"/>
        <v>6900</v>
      </c>
      <c r="I37" s="17">
        <v>6330</v>
      </c>
      <c r="J37" s="18">
        <f t="shared" si="8"/>
        <v>6330</v>
      </c>
      <c r="K37" s="17">
        <v>8300</v>
      </c>
      <c r="L37" s="18">
        <f t="shared" si="9"/>
        <v>8300</v>
      </c>
      <c r="M37" s="17">
        <v>5000</v>
      </c>
      <c r="N37" s="18">
        <f t="shared" si="10"/>
        <v>5000</v>
      </c>
      <c r="O37" s="65">
        <v>5000</v>
      </c>
      <c r="P37" s="65">
        <f t="shared" si="5"/>
        <v>5000</v>
      </c>
    </row>
    <row r="38" spans="1:16" ht="33" customHeight="1" x14ac:dyDescent="0.25">
      <c r="A38" s="4" t="str">
        <f>'Bid Item List B (RSA)'!A50</f>
        <v>0031</v>
      </c>
      <c r="B38" s="37" t="str">
        <f>'Bid Item List B (RSA)'!B50</f>
        <v>48-Inch Manhole, Ditch Inlet
(Item D-751)</v>
      </c>
      <c r="C38" s="41">
        <f>'Bid Item List B (RSA)'!C50</f>
        <v>1</v>
      </c>
      <c r="D38" s="13" t="str">
        <f>'Bid Item List B (RSA)'!D50</f>
        <v>Each</v>
      </c>
      <c r="E38" s="17">
        <v>4500</v>
      </c>
      <c r="F38" s="18">
        <f t="shared" si="6"/>
        <v>4500</v>
      </c>
      <c r="G38" s="17">
        <v>4100</v>
      </c>
      <c r="H38" s="18">
        <f t="shared" si="7"/>
        <v>4100</v>
      </c>
      <c r="I38" s="17">
        <v>4126</v>
      </c>
      <c r="J38" s="18">
        <f t="shared" si="8"/>
        <v>4126</v>
      </c>
      <c r="K38" s="17">
        <v>5700</v>
      </c>
      <c r="L38" s="18">
        <f t="shared" si="9"/>
        <v>5700</v>
      </c>
      <c r="M38" s="17">
        <v>4000</v>
      </c>
      <c r="N38" s="18">
        <f t="shared" si="10"/>
        <v>4000</v>
      </c>
      <c r="O38" s="65">
        <v>10000</v>
      </c>
      <c r="P38" s="65">
        <f t="shared" si="5"/>
        <v>10000</v>
      </c>
    </row>
    <row r="39" spans="1:16" ht="33" customHeight="1" x14ac:dyDescent="0.25">
      <c r="A39" s="4" t="str">
        <f>'Bid Item List B (RSA)'!A51</f>
        <v>0032</v>
      </c>
      <c r="B39" s="37" t="str">
        <f>'Bid Item List B (RSA)'!B51</f>
        <v>72-Inch Manhole, Type A
(Item D-751)</v>
      </c>
      <c r="C39" s="41">
        <f>'Bid Item List B (RSA)'!C51</f>
        <v>6</v>
      </c>
      <c r="D39" s="13" t="str">
        <f>'Bid Item List B (RSA)'!D51</f>
        <v>Each</v>
      </c>
      <c r="E39" s="17">
        <v>12000</v>
      </c>
      <c r="F39" s="18">
        <f t="shared" si="6"/>
        <v>72000</v>
      </c>
      <c r="G39" s="17">
        <v>16000</v>
      </c>
      <c r="H39" s="18">
        <f t="shared" si="7"/>
        <v>96000</v>
      </c>
      <c r="I39" s="17">
        <v>11937</v>
      </c>
      <c r="J39" s="18">
        <f t="shared" si="8"/>
        <v>71622</v>
      </c>
      <c r="K39" s="17">
        <v>11500</v>
      </c>
      <c r="L39" s="18">
        <f t="shared" si="9"/>
        <v>69000</v>
      </c>
      <c r="M39" s="17">
        <v>10000</v>
      </c>
      <c r="N39" s="18">
        <f t="shared" si="10"/>
        <v>60000</v>
      </c>
      <c r="O39" s="65">
        <v>12000</v>
      </c>
      <c r="P39" s="65">
        <f t="shared" si="5"/>
        <v>72000</v>
      </c>
    </row>
    <row r="40" spans="1:16" ht="33" customHeight="1" x14ac:dyDescent="0.25">
      <c r="A40" s="4" t="str">
        <f>'Bid Item List B (RSA)'!A52</f>
        <v>0033</v>
      </c>
      <c r="B40" s="37" t="str">
        <f>'Bid Item List B (RSA)'!B52</f>
        <v>84-Inch Manhole, Type A
(Item D-751)</v>
      </c>
      <c r="C40" s="41">
        <f>'Bid Item List B (RSA)'!C52</f>
        <v>1</v>
      </c>
      <c r="D40" s="13" t="str">
        <f>'Bid Item List B (RSA)'!D52</f>
        <v>Each</v>
      </c>
      <c r="E40" s="17">
        <v>12500</v>
      </c>
      <c r="F40" s="18">
        <f t="shared" si="6"/>
        <v>12500</v>
      </c>
      <c r="G40" s="17">
        <v>21000</v>
      </c>
      <c r="H40" s="18">
        <f t="shared" si="7"/>
        <v>21000</v>
      </c>
      <c r="I40" s="17">
        <v>16715</v>
      </c>
      <c r="J40" s="18">
        <f t="shared" si="8"/>
        <v>16715</v>
      </c>
      <c r="K40" s="17">
        <v>17200</v>
      </c>
      <c r="L40" s="18">
        <f t="shared" si="9"/>
        <v>17200</v>
      </c>
      <c r="M40" s="17">
        <v>16000</v>
      </c>
      <c r="N40" s="18">
        <f t="shared" si="10"/>
        <v>16000</v>
      </c>
      <c r="O40" s="65">
        <v>16000</v>
      </c>
      <c r="P40" s="65">
        <f t="shared" ref="P40:P56" si="11">C40*O40</f>
        <v>16000</v>
      </c>
    </row>
    <row r="41" spans="1:16" ht="33" customHeight="1" x14ac:dyDescent="0.25">
      <c r="A41" s="4" t="str">
        <f>'Bid Item List B (RSA)'!A53</f>
        <v>0034</v>
      </c>
      <c r="B41" s="37" t="str">
        <f>'Bid Item List B (RSA)'!B53</f>
        <v>Catch Basin
(Item D-751)</v>
      </c>
      <c r="C41" s="41">
        <f>'Bid Item List B (RSA)'!C53</f>
        <v>4</v>
      </c>
      <c r="D41" s="13" t="str">
        <f>'Bid Item List B (RSA)'!D53</f>
        <v>Each</v>
      </c>
      <c r="E41" s="17">
        <v>4600</v>
      </c>
      <c r="F41" s="18">
        <f t="shared" si="6"/>
        <v>18400</v>
      </c>
      <c r="G41" s="17">
        <v>3600</v>
      </c>
      <c r="H41" s="18">
        <f t="shared" si="7"/>
        <v>14400</v>
      </c>
      <c r="I41" s="17">
        <v>3588</v>
      </c>
      <c r="J41" s="18">
        <f t="shared" si="8"/>
        <v>14352</v>
      </c>
      <c r="K41" s="17">
        <v>4200</v>
      </c>
      <c r="L41" s="18">
        <f t="shared" si="9"/>
        <v>16800</v>
      </c>
      <c r="M41" s="17">
        <v>3000</v>
      </c>
      <c r="N41" s="18">
        <f t="shared" si="10"/>
        <v>12000</v>
      </c>
      <c r="O41" s="65">
        <v>3500</v>
      </c>
      <c r="P41" s="65">
        <f t="shared" si="11"/>
        <v>14000</v>
      </c>
    </row>
    <row r="42" spans="1:16" ht="33" customHeight="1" x14ac:dyDescent="0.25">
      <c r="A42" s="4" t="str">
        <f>'Bid Item List B (RSA)'!A54</f>
        <v>0035</v>
      </c>
      <c r="B42" s="37" t="str">
        <f>'Bid Item List B (RSA)'!B54</f>
        <v>Seeding
(Item T-901)</v>
      </c>
      <c r="C42" s="41">
        <f>'Bid Item List B (RSA)'!C54</f>
        <v>17.3</v>
      </c>
      <c r="D42" s="13" t="str">
        <f>'Bid Item List B (RSA)'!D54</f>
        <v>Acre</v>
      </c>
      <c r="E42" s="17">
        <v>2200</v>
      </c>
      <c r="F42" s="18">
        <f t="shared" si="6"/>
        <v>38060</v>
      </c>
      <c r="G42" s="17">
        <v>2000</v>
      </c>
      <c r="H42" s="18">
        <f t="shared" si="7"/>
        <v>34600</v>
      </c>
      <c r="I42" s="17">
        <v>1750</v>
      </c>
      <c r="J42" s="18">
        <f t="shared" si="8"/>
        <v>30275</v>
      </c>
      <c r="K42" s="17">
        <v>1750</v>
      </c>
      <c r="L42" s="18">
        <f t="shared" si="9"/>
        <v>30275</v>
      </c>
      <c r="M42" s="17">
        <v>2000</v>
      </c>
      <c r="N42" s="18">
        <f t="shared" si="10"/>
        <v>34600</v>
      </c>
      <c r="O42" s="65">
        <v>1750</v>
      </c>
      <c r="P42" s="65">
        <f t="shared" si="11"/>
        <v>30275</v>
      </c>
    </row>
    <row r="43" spans="1:16" ht="33" customHeight="1" x14ac:dyDescent="0.25">
      <c r="A43" s="4" t="str">
        <f>'Bid Item List B (RSA)'!A55</f>
        <v>0036</v>
      </c>
      <c r="B43" s="37" t="str">
        <f>'Bid Item List B (RSA)'!B55</f>
        <v>Removal of Existing Storm Pipe, Manholes, and Inlets
(Section 312300)</v>
      </c>
      <c r="C43" s="41">
        <f>'Bid Item List B (RSA)'!C55</f>
        <v>1</v>
      </c>
      <c r="D43" s="13" t="str">
        <f>'Bid Item List B (RSA)'!D55</f>
        <v>LS</v>
      </c>
      <c r="E43" s="17">
        <v>150000</v>
      </c>
      <c r="F43" s="18">
        <f t="shared" si="6"/>
        <v>150000</v>
      </c>
      <c r="G43" s="17">
        <v>95000</v>
      </c>
      <c r="H43" s="18">
        <f t="shared" si="7"/>
        <v>95000</v>
      </c>
      <c r="I43" s="17">
        <v>48115</v>
      </c>
      <c r="J43" s="18">
        <f t="shared" si="8"/>
        <v>48115</v>
      </c>
      <c r="K43" s="17">
        <v>28500</v>
      </c>
      <c r="L43" s="18">
        <f t="shared" si="9"/>
        <v>28500</v>
      </c>
      <c r="M43" s="17">
        <v>40000</v>
      </c>
      <c r="N43" s="18">
        <f t="shared" si="10"/>
        <v>40000</v>
      </c>
      <c r="O43" s="65">
        <v>150000</v>
      </c>
      <c r="P43" s="65">
        <f t="shared" si="11"/>
        <v>150000</v>
      </c>
    </row>
    <row r="44" spans="1:16" ht="33" customHeight="1" x14ac:dyDescent="0.25">
      <c r="A44" s="4" t="str">
        <f>'Bid Item List B (RSA)'!A56</f>
        <v>0037</v>
      </c>
      <c r="B44" s="37" t="str">
        <f>'Bid Item List B (RSA)'!B56</f>
        <v>Connection to Existing Storm Drainage System
(Section 312300)</v>
      </c>
      <c r="C44" s="41">
        <f>'Bid Item List B (RSA)'!C56</f>
        <v>17</v>
      </c>
      <c r="D44" s="13" t="str">
        <f>'Bid Item List B (RSA)'!D56</f>
        <v>Each</v>
      </c>
      <c r="E44" s="17">
        <v>1700</v>
      </c>
      <c r="F44" s="18">
        <f t="shared" si="6"/>
        <v>28900</v>
      </c>
      <c r="G44" s="17">
        <v>2300</v>
      </c>
      <c r="H44" s="18">
        <f t="shared" si="7"/>
        <v>39100</v>
      </c>
      <c r="I44" s="17">
        <v>923</v>
      </c>
      <c r="J44" s="18">
        <f t="shared" si="8"/>
        <v>15691</v>
      </c>
      <c r="K44" s="17">
        <v>2100</v>
      </c>
      <c r="L44" s="18">
        <f t="shared" si="9"/>
        <v>35700</v>
      </c>
      <c r="M44" s="17">
        <v>1250</v>
      </c>
      <c r="N44" s="18">
        <f t="shared" si="10"/>
        <v>21250</v>
      </c>
      <c r="O44" s="65">
        <v>1500</v>
      </c>
      <c r="P44" s="65">
        <f t="shared" si="11"/>
        <v>25500</v>
      </c>
    </row>
    <row r="45" spans="1:16" ht="33" customHeight="1" x14ac:dyDescent="0.25">
      <c r="A45" s="4" t="str">
        <f>'Bid Item List B (RSA)'!A57</f>
        <v>0038</v>
      </c>
      <c r="B45" s="37" t="str">
        <f>'Bid Item List B (RSA)'!B57</f>
        <v>Existing Manhole Adjustment to Grade
(Section 312300)</v>
      </c>
      <c r="C45" s="41">
        <f>'Bid Item List B (RSA)'!C57</f>
        <v>1</v>
      </c>
      <c r="D45" s="13" t="str">
        <f>'Bid Item List B (RSA)'!D57</f>
        <v>Each</v>
      </c>
      <c r="E45" s="17">
        <v>1200</v>
      </c>
      <c r="F45" s="18">
        <f t="shared" si="6"/>
        <v>1200</v>
      </c>
      <c r="G45" s="17">
        <v>1200</v>
      </c>
      <c r="H45" s="18">
        <f t="shared" si="7"/>
        <v>1200</v>
      </c>
      <c r="I45" s="17">
        <v>1022</v>
      </c>
      <c r="J45" s="18">
        <f t="shared" si="8"/>
        <v>1022</v>
      </c>
      <c r="K45" s="17">
        <v>1159</v>
      </c>
      <c r="L45" s="18">
        <f t="shared" si="9"/>
        <v>1159</v>
      </c>
      <c r="M45" s="17">
        <v>750</v>
      </c>
      <c r="N45" s="18">
        <f t="shared" si="10"/>
        <v>750</v>
      </c>
      <c r="O45" s="65">
        <v>1000</v>
      </c>
      <c r="P45" s="65">
        <f t="shared" si="11"/>
        <v>1000</v>
      </c>
    </row>
    <row r="46" spans="1:16" ht="33" customHeight="1" x14ac:dyDescent="0.25">
      <c r="A46" s="4" t="str">
        <f>'Bid Item List B (RSA)'!A58</f>
        <v>0039</v>
      </c>
      <c r="B46" s="37" t="str">
        <f>'Bid Item List B (RSA)'!B58</f>
        <v>Existing Catch Basin Adjustment to Grade
(Section 312300)</v>
      </c>
      <c r="C46" s="41">
        <f>'Bid Item List B (RSA)'!C58</f>
        <v>1</v>
      </c>
      <c r="D46" s="13" t="str">
        <f>'Bid Item List B (RSA)'!D58</f>
        <v>Each</v>
      </c>
      <c r="E46" s="17">
        <v>950</v>
      </c>
      <c r="F46" s="18">
        <f t="shared" si="6"/>
        <v>950</v>
      </c>
      <c r="G46" s="17">
        <v>1500</v>
      </c>
      <c r="H46" s="18">
        <f t="shared" si="7"/>
        <v>1500</v>
      </c>
      <c r="I46" s="17">
        <v>1105</v>
      </c>
      <c r="J46" s="18">
        <f t="shared" si="8"/>
        <v>1105</v>
      </c>
      <c r="K46" s="17">
        <v>2200</v>
      </c>
      <c r="L46" s="18">
        <f t="shared" si="9"/>
        <v>2200</v>
      </c>
      <c r="M46" s="17">
        <v>800</v>
      </c>
      <c r="N46" s="18">
        <f t="shared" si="10"/>
        <v>800</v>
      </c>
      <c r="O46" s="65">
        <v>1000</v>
      </c>
      <c r="P46" s="65">
        <f t="shared" si="11"/>
        <v>1000</v>
      </c>
    </row>
    <row r="47" spans="1:16" ht="33" customHeight="1" x14ac:dyDescent="0.25">
      <c r="A47" s="4" t="str">
        <f>'Bid Item List B (RSA)'!A59</f>
        <v>0040</v>
      </c>
      <c r="B47" s="37" t="str">
        <f>'Bid Item List B (RSA)'!B59</f>
        <v>Adjustment of Existing Structures (H-20 Rated Vaults)
(Section 312300)</v>
      </c>
      <c r="C47" s="41">
        <f>'Bid Item List B (RSA)'!C59</f>
        <v>9</v>
      </c>
      <c r="D47" s="13" t="str">
        <f>'Bid Item List B (RSA)'!D59</f>
        <v>Each</v>
      </c>
      <c r="E47" s="17">
        <v>3500</v>
      </c>
      <c r="F47" s="18">
        <f t="shared" si="6"/>
        <v>31500</v>
      </c>
      <c r="G47" s="17">
        <v>1600</v>
      </c>
      <c r="H47" s="18">
        <f t="shared" si="7"/>
        <v>14400</v>
      </c>
      <c r="I47" s="17">
        <v>1290</v>
      </c>
      <c r="J47" s="18">
        <f t="shared" si="8"/>
        <v>11610</v>
      </c>
      <c r="K47" s="17">
        <v>2000</v>
      </c>
      <c r="L47" s="18">
        <f t="shared" si="9"/>
        <v>18000</v>
      </c>
      <c r="M47" s="17">
        <v>650</v>
      </c>
      <c r="N47" s="18">
        <f t="shared" si="10"/>
        <v>5850</v>
      </c>
      <c r="O47" s="65">
        <v>4000</v>
      </c>
      <c r="P47" s="65">
        <f t="shared" si="11"/>
        <v>36000</v>
      </c>
    </row>
    <row r="48" spans="1:16" ht="33" customHeight="1" x14ac:dyDescent="0.25">
      <c r="A48" s="4" t="str">
        <f>'Bid Item List B (RSA)'!A60</f>
        <v>0041</v>
      </c>
      <c r="B48" s="37" t="str">
        <f>'Bid Item List B (RSA)'!B60</f>
        <v>Adjustment of Existing Structures (229 Kip Rated Vaults)
(Section 312300)</v>
      </c>
      <c r="C48" s="41">
        <f>'Bid Item List B (RSA)'!C60</f>
        <v>1</v>
      </c>
      <c r="D48" s="13" t="str">
        <f>'Bid Item List B (RSA)'!D60</f>
        <v>Each</v>
      </c>
      <c r="E48" s="17">
        <v>4800</v>
      </c>
      <c r="F48" s="18">
        <f t="shared" ref="F48:F56" si="12">C48*E48</f>
        <v>4800</v>
      </c>
      <c r="G48" s="17">
        <v>3500</v>
      </c>
      <c r="H48" s="18">
        <f t="shared" ref="H48:H56" si="13">C48*G48</f>
        <v>3500</v>
      </c>
      <c r="I48" s="17">
        <v>1500</v>
      </c>
      <c r="J48" s="18">
        <f t="shared" ref="J48:J56" si="14">C48*I48</f>
        <v>1500</v>
      </c>
      <c r="K48" s="17">
        <v>4800</v>
      </c>
      <c r="L48" s="18">
        <f t="shared" ref="L48:L56" si="15">C48*K48</f>
        <v>4800</v>
      </c>
      <c r="M48" s="17">
        <v>1300</v>
      </c>
      <c r="N48" s="18">
        <f t="shared" ref="N48:N56" si="16">C48*M48</f>
        <v>1300</v>
      </c>
      <c r="O48" s="65">
        <v>8000</v>
      </c>
      <c r="P48" s="65">
        <f t="shared" si="11"/>
        <v>8000</v>
      </c>
    </row>
    <row r="49" spans="1:16" ht="33" customHeight="1" x14ac:dyDescent="0.25">
      <c r="A49" s="4" t="str">
        <f>'Bid Item List B (RSA)'!A61</f>
        <v>0042</v>
      </c>
      <c r="B49" s="37" t="str">
        <f>'Bid Item List B (RSA)'!B61</f>
        <v>12-Inch DIP (Force Main)
(Section 334100)</v>
      </c>
      <c r="C49" s="41">
        <f>'Bid Item List B (RSA)'!C61</f>
        <v>91</v>
      </c>
      <c r="D49" s="13" t="str">
        <f>'Bid Item List B (RSA)'!D61</f>
        <v>LF</v>
      </c>
      <c r="E49" s="17">
        <v>161</v>
      </c>
      <c r="F49" s="18">
        <f t="shared" si="12"/>
        <v>14651</v>
      </c>
      <c r="G49" s="17">
        <v>120</v>
      </c>
      <c r="H49" s="18">
        <f t="shared" si="13"/>
        <v>10920</v>
      </c>
      <c r="I49" s="17">
        <v>155</v>
      </c>
      <c r="J49" s="18">
        <f t="shared" si="14"/>
        <v>14105</v>
      </c>
      <c r="K49" s="17">
        <v>129</v>
      </c>
      <c r="L49" s="18">
        <f t="shared" si="15"/>
        <v>11739</v>
      </c>
      <c r="M49" s="17">
        <v>115</v>
      </c>
      <c r="N49" s="18">
        <f t="shared" si="16"/>
        <v>10465</v>
      </c>
      <c r="O49" s="65">
        <v>75</v>
      </c>
      <c r="P49" s="65">
        <f t="shared" si="11"/>
        <v>6825</v>
      </c>
    </row>
    <row r="50" spans="1:16" ht="33" customHeight="1" x14ac:dyDescent="0.25">
      <c r="A50" s="4" t="str">
        <f>'Bid Item List B (RSA)'!A62</f>
        <v>0043</v>
      </c>
      <c r="B50" s="37" t="str">
        <f>'Bid Item List B (RSA)'!B62</f>
        <v>30-Inch DIP (Force Main)
(Section 334100)</v>
      </c>
      <c r="C50" s="41">
        <f>'Bid Item List B (RSA)'!C62</f>
        <v>77</v>
      </c>
      <c r="D50" s="13" t="str">
        <f>'Bid Item List B (RSA)'!D62</f>
        <v>LF</v>
      </c>
      <c r="E50" s="17">
        <v>610</v>
      </c>
      <c r="F50" s="18">
        <f t="shared" si="12"/>
        <v>46970</v>
      </c>
      <c r="G50" s="17">
        <v>375</v>
      </c>
      <c r="H50" s="18">
        <f t="shared" si="13"/>
        <v>28875</v>
      </c>
      <c r="I50" s="17">
        <v>568</v>
      </c>
      <c r="J50" s="18">
        <f t="shared" si="14"/>
        <v>43736</v>
      </c>
      <c r="K50" s="17">
        <v>432</v>
      </c>
      <c r="L50" s="18">
        <f t="shared" si="15"/>
        <v>33264</v>
      </c>
      <c r="M50" s="17">
        <v>500</v>
      </c>
      <c r="N50" s="18">
        <f t="shared" si="16"/>
        <v>38500</v>
      </c>
      <c r="O50" s="65">
        <v>250</v>
      </c>
      <c r="P50" s="65">
        <f t="shared" si="11"/>
        <v>19250</v>
      </c>
    </row>
    <row r="51" spans="1:16" ht="33" customHeight="1" x14ac:dyDescent="0.25">
      <c r="A51" s="4" t="str">
        <f>'Bid Item List B (RSA)'!A63</f>
        <v>0044</v>
      </c>
      <c r="B51" s="37" t="str">
        <f>'Bid Item List B (RSA)'!B63</f>
        <v>Riprap
(Section 334100)</v>
      </c>
      <c r="C51" s="41">
        <f>'Bid Item List B (RSA)'!C63</f>
        <v>50</v>
      </c>
      <c r="D51" s="13" t="str">
        <f>'Bid Item List B (RSA)'!D63</f>
        <v>CY</v>
      </c>
      <c r="E51" s="17">
        <v>150</v>
      </c>
      <c r="F51" s="18">
        <f t="shared" si="12"/>
        <v>7500</v>
      </c>
      <c r="G51" s="17">
        <v>120</v>
      </c>
      <c r="H51" s="18">
        <f t="shared" si="13"/>
        <v>6000</v>
      </c>
      <c r="I51" s="17">
        <v>75</v>
      </c>
      <c r="J51" s="18">
        <f t="shared" si="14"/>
        <v>3750</v>
      </c>
      <c r="K51" s="17">
        <v>67</v>
      </c>
      <c r="L51" s="18">
        <f t="shared" si="15"/>
        <v>3350</v>
      </c>
      <c r="M51" s="17">
        <v>90</v>
      </c>
      <c r="N51" s="18">
        <f t="shared" si="16"/>
        <v>4500</v>
      </c>
      <c r="O51" s="65">
        <v>150</v>
      </c>
      <c r="P51" s="65">
        <f t="shared" si="11"/>
        <v>7500</v>
      </c>
    </row>
    <row r="52" spans="1:16" ht="33" customHeight="1" x14ac:dyDescent="0.25">
      <c r="A52" s="4" t="str">
        <f>'Bid Item List B (RSA)'!A64</f>
        <v>0045</v>
      </c>
      <c r="B52" s="37" t="str">
        <f>'Bid Item List B (RSA)'!B64</f>
        <v>Pump Station 
(Section 334213)</v>
      </c>
      <c r="C52" s="41">
        <f>'Bid Item List B (RSA)'!C64</f>
        <v>1</v>
      </c>
      <c r="D52" s="13" t="str">
        <f>'Bid Item List B (RSA)'!D64</f>
        <v>LS</v>
      </c>
      <c r="E52" s="17">
        <v>950000</v>
      </c>
      <c r="F52" s="18">
        <f t="shared" si="12"/>
        <v>950000</v>
      </c>
      <c r="G52" s="17">
        <v>1300000</v>
      </c>
      <c r="H52" s="18">
        <f t="shared" si="13"/>
        <v>1300000</v>
      </c>
      <c r="I52" s="17">
        <v>1864258.25</v>
      </c>
      <c r="J52" s="18">
        <f t="shared" si="14"/>
        <v>1864258.25</v>
      </c>
      <c r="K52" s="17">
        <v>1014350</v>
      </c>
      <c r="L52" s="18">
        <f t="shared" si="15"/>
        <v>1014350</v>
      </c>
      <c r="M52" s="17">
        <v>1090000.22</v>
      </c>
      <c r="N52" s="18">
        <f t="shared" si="16"/>
        <v>1090000.22</v>
      </c>
      <c r="O52" s="65">
        <v>750000</v>
      </c>
      <c r="P52" s="65">
        <f t="shared" si="11"/>
        <v>750000</v>
      </c>
    </row>
    <row r="53" spans="1:16" ht="33" customHeight="1" x14ac:dyDescent="0.25">
      <c r="A53" s="4" t="str">
        <f>'Bid Item List B (RSA)'!A65</f>
        <v>0046</v>
      </c>
      <c r="B53" s="37" t="str">
        <f>'Bid Item List B (RSA)'!B65</f>
        <v>Pump Station Electrical Equipment Installation
(Section 334213)</v>
      </c>
      <c r="C53" s="41">
        <f>'Bid Item List B (RSA)'!C65</f>
        <v>1</v>
      </c>
      <c r="D53" s="13" t="str">
        <f>'Bid Item List B (RSA)'!D65</f>
        <v>LS</v>
      </c>
      <c r="E53" s="17">
        <v>200000</v>
      </c>
      <c r="F53" s="18">
        <f t="shared" si="12"/>
        <v>200000</v>
      </c>
      <c r="G53" s="17">
        <v>110000</v>
      </c>
      <c r="H53" s="18">
        <f t="shared" si="13"/>
        <v>110000</v>
      </c>
      <c r="I53" s="17">
        <v>73002</v>
      </c>
      <c r="J53" s="18">
        <f t="shared" si="14"/>
        <v>73002</v>
      </c>
      <c r="K53" s="17">
        <v>86650</v>
      </c>
      <c r="L53" s="18">
        <f t="shared" si="15"/>
        <v>86650</v>
      </c>
      <c r="M53" s="17">
        <v>80000</v>
      </c>
      <c r="N53" s="18">
        <f t="shared" si="16"/>
        <v>80000</v>
      </c>
      <c r="O53" s="65">
        <v>100250</v>
      </c>
      <c r="P53" s="65">
        <f t="shared" si="11"/>
        <v>100250</v>
      </c>
    </row>
    <row r="54" spans="1:16" ht="33" customHeight="1" x14ac:dyDescent="0.25">
      <c r="A54" s="4" t="str">
        <f>'Bid Item List B (RSA)'!A66</f>
        <v>0047</v>
      </c>
      <c r="B54" s="37" t="str">
        <f>'Bid Item List B (RSA)'!B66</f>
        <v>Structural Portland Cement Concrete (PCC)
(Item P-610)</v>
      </c>
      <c r="C54" s="41">
        <f>'Bid Item List B (RSA)'!C66</f>
        <v>85</v>
      </c>
      <c r="D54" s="13" t="str">
        <f>'Bid Item List B (RSA)'!D66</f>
        <v>CY</v>
      </c>
      <c r="E54" s="17">
        <v>850</v>
      </c>
      <c r="F54" s="18">
        <f t="shared" si="12"/>
        <v>72250</v>
      </c>
      <c r="G54" s="17">
        <v>200</v>
      </c>
      <c r="H54" s="18">
        <f t="shared" si="13"/>
        <v>17000</v>
      </c>
      <c r="I54" s="17">
        <v>800</v>
      </c>
      <c r="J54" s="18">
        <f t="shared" si="14"/>
        <v>68000</v>
      </c>
      <c r="K54" s="17">
        <v>35</v>
      </c>
      <c r="L54" s="18">
        <f t="shared" si="15"/>
        <v>2975</v>
      </c>
      <c r="M54" s="17">
        <v>250</v>
      </c>
      <c r="N54" s="18">
        <f t="shared" si="16"/>
        <v>21250</v>
      </c>
      <c r="O54" s="65">
        <v>325</v>
      </c>
      <c r="P54" s="65">
        <f t="shared" si="11"/>
        <v>27625</v>
      </c>
    </row>
    <row r="55" spans="1:16" ht="33" customHeight="1" x14ac:dyDescent="0.25">
      <c r="A55" s="4" t="str">
        <f>'Bid Item List B (RSA)'!A67</f>
        <v>0048</v>
      </c>
      <c r="B55" s="37" t="str">
        <f>'Bid Item List B (RSA)'!B67</f>
        <v>No. 6 AWG Solid Wire for Counterpoise
(Item L-108)</v>
      </c>
      <c r="C55" s="41">
        <f>'Bid Item List B (RSA)'!C67</f>
        <v>310</v>
      </c>
      <c r="D55" s="13" t="str">
        <f>'Bid Item List B (RSA)'!D67</f>
        <v>LF</v>
      </c>
      <c r="E55" s="17">
        <v>2</v>
      </c>
      <c r="F55" s="18">
        <f t="shared" si="12"/>
        <v>620</v>
      </c>
      <c r="G55" s="17">
        <v>1.2</v>
      </c>
      <c r="H55" s="18">
        <f t="shared" si="13"/>
        <v>372</v>
      </c>
      <c r="I55" s="17">
        <v>1.1499999999999999</v>
      </c>
      <c r="J55" s="18">
        <f t="shared" si="14"/>
        <v>356.5</v>
      </c>
      <c r="K55" s="17">
        <v>1.05</v>
      </c>
      <c r="L55" s="18">
        <f t="shared" si="15"/>
        <v>325.5</v>
      </c>
      <c r="M55" s="17">
        <v>1.1000000000000001</v>
      </c>
      <c r="N55" s="18">
        <f t="shared" si="16"/>
        <v>341</v>
      </c>
      <c r="O55" s="65">
        <v>1.4</v>
      </c>
      <c r="P55" s="65">
        <f t="shared" si="11"/>
        <v>434</v>
      </c>
    </row>
    <row r="56" spans="1:16" ht="33" customHeight="1" x14ac:dyDescent="0.25">
      <c r="A56" s="4" t="str">
        <f>'Bid Item List B (RSA)'!A68</f>
        <v>0049</v>
      </c>
      <c r="B56" s="37" t="str">
        <f>'Bid Item List B (RSA)'!B68</f>
        <v>Ground Rod for Counterpoise
(Item L-108)</v>
      </c>
      <c r="C56" s="41">
        <f>'Bid Item List B (RSA)'!C68</f>
        <v>8</v>
      </c>
      <c r="D56" s="13" t="str">
        <f>'Bid Item List B (RSA)'!D68</f>
        <v>Each</v>
      </c>
      <c r="E56" s="17">
        <v>125</v>
      </c>
      <c r="F56" s="18">
        <f t="shared" si="12"/>
        <v>1000</v>
      </c>
      <c r="G56" s="17">
        <v>168</v>
      </c>
      <c r="H56" s="18">
        <f t="shared" si="13"/>
        <v>1344</v>
      </c>
      <c r="I56" s="17">
        <v>110.5</v>
      </c>
      <c r="J56" s="18">
        <f t="shared" si="14"/>
        <v>884</v>
      </c>
      <c r="K56" s="17">
        <v>160</v>
      </c>
      <c r="L56" s="18">
        <f t="shared" si="15"/>
        <v>1280</v>
      </c>
      <c r="M56" s="17">
        <v>115</v>
      </c>
      <c r="N56" s="18">
        <f t="shared" si="16"/>
        <v>920</v>
      </c>
      <c r="O56" s="65">
        <v>220</v>
      </c>
      <c r="P56" s="65">
        <f t="shared" si="11"/>
        <v>1760</v>
      </c>
    </row>
    <row r="57" spans="1:16" ht="27.75" customHeight="1" x14ac:dyDescent="0.25">
      <c r="A57" s="5"/>
      <c r="B57" s="81" t="s">
        <v>26</v>
      </c>
      <c r="C57" s="82"/>
      <c r="D57" s="83"/>
      <c r="E57" s="19"/>
      <c r="F57" s="19">
        <f>SUM(F8:F56)</f>
        <v>3896261</v>
      </c>
      <c r="G57" s="19"/>
      <c r="H57" s="19">
        <f>SUM(H8:H56)</f>
        <v>3401006</v>
      </c>
      <c r="I57" s="19"/>
      <c r="J57" s="19">
        <f>SUM(J8:J56)</f>
        <v>4264424.75</v>
      </c>
      <c r="K57" s="19"/>
      <c r="L57" s="19">
        <f>SUM(L8:L56)</f>
        <v>3040193</v>
      </c>
      <c r="M57" s="19"/>
      <c r="N57" s="19">
        <f>SUM(N8:N56)</f>
        <v>3415241.2199999997</v>
      </c>
      <c r="O57" s="66"/>
      <c r="P57" s="66">
        <f>SUM(P8:P56)</f>
        <v>3037931.5</v>
      </c>
    </row>
    <row r="58" spans="1:16" ht="33" customHeight="1" x14ac:dyDescent="0.25">
      <c r="A58" s="4"/>
      <c r="B58" s="81" t="s">
        <v>31</v>
      </c>
      <c r="C58" s="82"/>
      <c r="D58" s="83"/>
      <c r="E58" s="17"/>
      <c r="F58" s="19">
        <f>'Bid Tab A (RW 3-21)'!F54+'Bid Tab B (RSA)'!F57</f>
        <v>7879592</v>
      </c>
      <c r="G58" s="17"/>
      <c r="H58" s="19">
        <f>'Bid Tab A (RW 3-21)'!H54+'Bid Tab B (RSA)'!H57</f>
        <v>6735551</v>
      </c>
      <c r="I58" s="17"/>
      <c r="J58" s="19">
        <f>'Bid Tab A (RW 3-21)'!J54+'Bid Tab B (RSA)'!J57</f>
        <v>8217086.25</v>
      </c>
      <c r="K58" s="17"/>
      <c r="L58" s="19">
        <f>'Bid Tab A (RW 3-21)'!L54+'Bid Tab B (RSA)'!L57</f>
        <v>6693693</v>
      </c>
      <c r="M58" s="17"/>
      <c r="N58" s="19">
        <f>'Bid Tab A (RW 3-21)'!N54+'Bid Tab B (RSA)'!N57</f>
        <v>7837521.2199999997</v>
      </c>
      <c r="O58" s="67"/>
      <c r="P58" s="66">
        <f>'Bid Tab A (RW 3-21)'!P54+'Bid Tab B (RSA)'!P57</f>
        <v>7288775.5</v>
      </c>
    </row>
  </sheetData>
  <mergeCells count="14">
    <mergeCell ref="O1:P5"/>
    <mergeCell ref="K1:L5"/>
    <mergeCell ref="M1:N5"/>
    <mergeCell ref="B58:D58"/>
    <mergeCell ref="A6:D6"/>
    <mergeCell ref="E1:F5"/>
    <mergeCell ref="G1:H5"/>
    <mergeCell ref="I1:J5"/>
    <mergeCell ref="A1:D1"/>
    <mergeCell ref="A2:D2"/>
    <mergeCell ref="A3:D3"/>
    <mergeCell ref="A4:D4"/>
    <mergeCell ref="A5:D5"/>
    <mergeCell ref="B57:D57"/>
  </mergeCells>
  <printOptions horizontalCentered="1"/>
  <pageMargins left="0.5" right="0.5" top="0.5" bottom="0.5" header="0.5" footer="0.5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5"/>
  <sheetViews>
    <sheetView tabSelected="1" view="pageBreakPreview" zoomScaleNormal="100" zoomScaleSheetLayoutView="100" workbookViewId="0">
      <selection activeCell="A16" sqref="A16"/>
    </sheetView>
  </sheetViews>
  <sheetFormatPr defaultRowHeight="15" x14ac:dyDescent="0.25"/>
  <cols>
    <col min="1" max="1" width="53.7109375" style="6" customWidth="1"/>
    <col min="2" max="2" width="27" style="35" customWidth="1"/>
    <col min="4" max="4" width="13.85546875" style="22" bestFit="1" customWidth="1"/>
  </cols>
  <sheetData>
    <row r="1" spans="1:2" ht="30" customHeight="1" x14ac:dyDescent="0.25">
      <c r="A1" s="15" t="str">
        <f>'Bid Item List B (RSA)'!$A$15</f>
        <v>PORTLAND INTERNATIONAL AIRPORT</v>
      </c>
      <c r="B1" s="31"/>
    </row>
    <row r="2" spans="1:2" ht="15" customHeight="1" x14ac:dyDescent="0.25">
      <c r="A2" s="16" t="str">
        <f>'Bid Item List B (RSA)'!$A$16</f>
        <v>RUNWAY 3-21 STORMWATER INFRASTRUCTURE AND</v>
      </c>
      <c r="B2" s="32"/>
    </row>
    <row r="3" spans="1:2" ht="15" customHeight="1" x14ac:dyDescent="0.25">
      <c r="A3" s="16" t="str">
        <f>'Bid Item List B (RSA)'!$A$17</f>
        <v>PAVEMENT IMPROVEMENTS</v>
      </c>
      <c r="B3" s="32"/>
    </row>
    <row r="4" spans="1:2" x14ac:dyDescent="0.25">
      <c r="A4" s="7" t="str">
        <f>'Bid Tab B (RSA)'!$A$4</f>
        <v>EAN 2015D142</v>
      </c>
      <c r="B4" s="32"/>
    </row>
    <row r="5" spans="1:2" ht="15" customHeight="1" x14ac:dyDescent="0.25">
      <c r="A5" s="8" t="str">
        <f>'Bid Tab B (RSA)'!$A$5</f>
        <v>Solicitation No. 2017-6981</v>
      </c>
      <c r="B5" s="32"/>
    </row>
    <row r="6" spans="1:2" ht="15" customHeight="1" x14ac:dyDescent="0.25">
      <c r="A6" s="9">
        <f ca="1">TODAY()</f>
        <v>42880</v>
      </c>
      <c r="B6" s="33"/>
    </row>
    <row r="7" spans="1:2" ht="33" customHeight="1" x14ac:dyDescent="0.25">
      <c r="A7" s="10" t="s">
        <v>19</v>
      </c>
      <c r="B7" s="34" t="s">
        <v>18</v>
      </c>
    </row>
    <row r="8" spans="1:2" ht="33" customHeight="1" x14ac:dyDescent="0.25">
      <c r="A8" s="11" t="str">
        <f>Contractor4</f>
        <v>Kodiak Pacific Construction</v>
      </c>
      <c r="B8" s="36" t="s">
        <v>165</v>
      </c>
    </row>
    <row r="9" spans="1:2" ht="33" customHeight="1" x14ac:dyDescent="0.25">
      <c r="A9" s="11" t="str">
        <f>Contractor2</f>
        <v>K&amp;E Excavating, Inc.</v>
      </c>
      <c r="B9" s="36">
        <f>'Bid Tab B (RSA)'!H58</f>
        <v>6735551</v>
      </c>
    </row>
    <row r="10" spans="1:2" ht="33" customHeight="1" x14ac:dyDescent="0.25">
      <c r="A10" s="11" t="str">
        <f>Contractor5</f>
        <v>Nutter Corporation</v>
      </c>
      <c r="B10" s="36">
        <f>'Bid Tab B (RSA)'!N58</f>
        <v>7837521.2199999997</v>
      </c>
    </row>
    <row r="11" spans="1:2" ht="33" customHeight="1" x14ac:dyDescent="0.25">
      <c r="A11" s="11" t="str">
        <f>Contractor1</f>
        <v>Goodfellow Bros., Inc.</v>
      </c>
      <c r="B11" s="36">
        <f>'Bid Tab B (RSA)'!F58</f>
        <v>7879592</v>
      </c>
    </row>
    <row r="12" spans="1:2" ht="33" customHeight="1" x14ac:dyDescent="0.25">
      <c r="A12" s="11" t="str">
        <f>Contractor3</f>
        <v>Kerr Contractors 
Oregon, Inc.</v>
      </c>
      <c r="B12" s="36" t="s">
        <v>164</v>
      </c>
    </row>
    <row r="13" spans="1:2" ht="33" customHeight="1" x14ac:dyDescent="0.25">
      <c r="A13" s="69" t="str">
        <f>EngineerEstimate</f>
        <v>Engineer's Estimate</v>
      </c>
      <c r="B13" s="70">
        <f>'Bid Tab B (RSA)'!P58</f>
        <v>7288775.5</v>
      </c>
    </row>
    <row r="14" spans="1:2" x14ac:dyDescent="0.25">
      <c r="A14" s="55" t="s">
        <v>166</v>
      </c>
      <c r="B14" s="54"/>
    </row>
    <row r="15" spans="1:2" x14ac:dyDescent="0.25">
      <c r="A15" s="56" t="s">
        <v>163</v>
      </c>
    </row>
  </sheetData>
  <sortState ref="A8:B12">
    <sortCondition ref="B8:B12"/>
  </sortState>
  <printOptions horizontalCentered="1"/>
  <pageMargins left="0.75" right="0.7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67707F-5CBC-4EDA-A876-0D0C3E0CC05D}"/>
</file>

<file path=customXml/itemProps2.xml><?xml version="1.0" encoding="utf-8"?>
<ds:datastoreItem xmlns:ds="http://schemas.openxmlformats.org/officeDocument/2006/customXml" ds:itemID="{7B716701-F4E9-4408-BE5A-EAC65ABAF66B}"/>
</file>

<file path=customXml/itemProps3.xml><?xml version="1.0" encoding="utf-8"?>
<ds:datastoreItem xmlns:ds="http://schemas.openxmlformats.org/officeDocument/2006/customXml" ds:itemID="{8C384DA1-7338-472C-9395-78A43B66F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19</vt:i4>
      </vt:variant>
    </vt:vector>
  </HeadingPairs>
  <TitlesOfParts>
    <vt:vector size="24" baseType="lpstr">
      <vt:lpstr>Bid Item List A (RW 3-21)</vt:lpstr>
      <vt:lpstr>Bid Item List B (RSA)</vt:lpstr>
      <vt:lpstr>Bid Tab A (RW 3-21)</vt:lpstr>
      <vt:lpstr>Bid Tab B (RSA)</vt:lpstr>
      <vt:lpstr>Summary</vt:lpstr>
      <vt:lpstr>'Bid Tab A (RW 3-21)'!Contractor1</vt:lpstr>
      <vt:lpstr>Contractor1</vt:lpstr>
      <vt:lpstr>'Bid Tab A (RW 3-21)'!Contractor2</vt:lpstr>
      <vt:lpstr>Contractor2</vt:lpstr>
      <vt:lpstr>'Bid Tab A (RW 3-21)'!Contractor3</vt:lpstr>
      <vt:lpstr>Contractor3</vt:lpstr>
      <vt:lpstr>'Bid Tab A (RW 3-21)'!Contractor4</vt:lpstr>
      <vt:lpstr>Contractor4</vt:lpstr>
      <vt:lpstr>'Bid Tab A (RW 3-21)'!Contractor5</vt:lpstr>
      <vt:lpstr>Contractor5</vt:lpstr>
      <vt:lpstr>'Bid Tab A (RW 3-21)'!EngineerEstimate</vt:lpstr>
      <vt:lpstr>EngineerEstimate</vt:lpstr>
      <vt:lpstr>'Bid Item List A (RW 3-21)'!Print_Area</vt:lpstr>
      <vt:lpstr>'Bid Item List B (RSA)'!Print_Area</vt:lpstr>
      <vt:lpstr>Summary!Print_Area</vt:lpstr>
      <vt:lpstr>'Bid Item List A (RW 3-21)'!Print_Titles</vt:lpstr>
      <vt:lpstr>'Bid Item List B (RSA)'!Print_Titles</vt:lpstr>
      <vt:lpstr>'Bid Tab A (RW 3-21)'!Print_Titles</vt:lpstr>
      <vt:lpstr>'Bid Tab B (RSA)'!Print_Titles</vt:lpstr>
    </vt:vector>
  </TitlesOfParts>
  <Company>Port of Portland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Etta Goerl</cp:lastModifiedBy>
  <cp:lastPrinted>2017-05-25T17:44:26Z</cp:lastPrinted>
  <dcterms:created xsi:type="dcterms:W3CDTF">2014-05-02T22:08:37Z</dcterms:created>
  <dcterms:modified xsi:type="dcterms:W3CDTF">2017-05-25T17:46:04Z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