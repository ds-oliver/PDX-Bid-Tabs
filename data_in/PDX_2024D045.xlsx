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4D\045\"/>
    </mc:Choice>
  </mc:AlternateContent>
  <xr:revisionPtr revIDLastSave="0" documentId="13_ncr:1_{C0FFFFF5-2692-4539-8D69-F2BBC5617A57}" xr6:coauthVersionLast="47" xr6:coauthVersionMax="47" xr10:uidLastSave="{00000000-0000-0000-0000-000000000000}"/>
  <bookViews>
    <workbookView xWindow="-120" yWindow="-120" windowWidth="25440" windowHeight="15540" tabRatio="716" activeTab="1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4">'Bid Tabulation'!$K$1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Tabulation'!$M$1</definedName>
    <definedName name="_xlnm.Print_Area" localSheetId="0">'Bid Item List'!$A$14:$F$33</definedName>
    <definedName name="_xlnm.Print_Area" localSheetId="1">'Bid Tabulation'!$A$1:$N$21</definedName>
    <definedName name="_xlnm.Print_Area" localSheetId="2">Summary!$A$1:$B$13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Tabulation'!$F$21</definedName>
    <definedName name="Total2">'Bid Tabulation'!$H$21</definedName>
    <definedName name="Total3">'Bid Tabulation'!$J$21</definedName>
    <definedName name="Total4">'Bid Tabulation'!$L$21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8" i="2" l="1"/>
  <c r="F19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N19" i="2" s="1"/>
  <c r="D19" i="2"/>
  <c r="A20" i="2"/>
  <c r="B20" i="2"/>
  <c r="C20" i="2"/>
  <c r="D20" i="2"/>
  <c r="A5" i="5"/>
  <c r="A4" i="5"/>
  <c r="A3" i="5"/>
  <c r="A2" i="5"/>
  <c r="A1" i="5"/>
  <c r="A3" i="2"/>
  <c r="A2" i="2"/>
  <c r="A1" i="2"/>
  <c r="H19" i="2" l="1"/>
  <c r="H18" i="2"/>
  <c r="L19" i="2"/>
  <c r="L18" i="2"/>
  <c r="F18" i="2"/>
  <c r="F20" i="2"/>
  <c r="L20" i="2"/>
  <c r="H20" i="2"/>
  <c r="N20" i="2"/>
  <c r="L17" i="2" l="1"/>
  <c r="N17" i="2"/>
  <c r="L16" i="2"/>
  <c r="N16" i="2"/>
  <c r="L15" i="2"/>
  <c r="N15" i="2"/>
  <c r="L14" i="2"/>
  <c r="N14" i="2"/>
  <c r="L13" i="2"/>
  <c r="N13" i="2"/>
  <c r="H17" i="2"/>
  <c r="F17" i="2"/>
  <c r="H16" i="2"/>
  <c r="F16" i="2"/>
  <c r="H15" i="2"/>
  <c r="F15" i="2"/>
  <c r="F14" i="2"/>
  <c r="H14" i="2"/>
  <c r="F13" i="2"/>
  <c r="H13" i="2"/>
  <c r="A12" i="5"/>
  <c r="A9" i="5"/>
  <c r="A10" i="5"/>
  <c r="A8" i="5"/>
  <c r="A11" i="5"/>
  <c r="A6" i="5" l="1"/>
  <c r="D8" i="2"/>
  <c r="C8" i="2"/>
  <c r="B8" i="2"/>
  <c r="A8" i="2"/>
  <c r="A6" i="2"/>
  <c r="L9" i="2" l="1"/>
  <c r="N9" i="2"/>
  <c r="L12" i="2"/>
  <c r="N12" i="2"/>
  <c r="L11" i="2"/>
  <c r="N11" i="2"/>
  <c r="L10" i="2"/>
  <c r="N10" i="2"/>
  <c r="L8" i="2"/>
  <c r="N8" i="2"/>
  <c r="F8" i="2"/>
  <c r="H8" i="2"/>
  <c r="H12" i="2"/>
  <c r="F12" i="2"/>
  <c r="H11" i="2"/>
  <c r="F11" i="2"/>
  <c r="F10" i="2"/>
  <c r="H10" i="2"/>
  <c r="H9" i="2"/>
  <c r="F9" i="2"/>
  <c r="N21" i="2" l="1"/>
  <c r="B12" i="5" s="1"/>
  <c r="F21" i="2"/>
  <c r="B11" i="5" s="1"/>
  <c r="J21" i="2"/>
  <c r="H21" i="2"/>
  <c r="L21" i="2"/>
  <c r="B9" i="5" s="1"/>
  <c r="B8" i="5"/>
</calcChain>
</file>

<file path=xl/sharedStrings.xml><?xml version="1.0" encoding="utf-8"?>
<sst xmlns="http://schemas.openxmlformats.org/spreadsheetml/2006/main" count="102" uniqueCount="61">
  <si>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</si>
  <si>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</si>
  <si>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</si>
  <si>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</si>
  <si>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</si>
  <si>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</si>
  <si>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</si>
  <si>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</si>
  <si>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</si>
  <si>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</si>
  <si>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</si>
  <si>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</si>
  <si>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</si>
  <si>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</si>
  <si>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</si>
  <si>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</si>
  <si>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</si>
  <si>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</si>
  <si>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</si>
  <si>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</si>
  <si>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</si>
  <si>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</si>
  <si>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</si>
  <si>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</si>
  <si>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</si>
  <si>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</si>
  <si>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</si>
  <si>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</si>
  <si>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</si>
  <si>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</si>
  <si>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</si>
  <si>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</si>
  <si>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</si>
  <si>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</si>
  <si>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^Corrected Bid Total</t>
  </si>
  <si>
    <t>0012</t>
  </si>
  <si>
    <t>0013</t>
  </si>
  <si>
    <t>Mobilization, Surveying, Cleanup, and Demobilization
(Section 012200)</t>
  </si>
  <si>
    <t>Sweeper
(Section 012200)</t>
  </si>
  <si>
    <t>Security Control Monitoring
(Section 012200)</t>
  </si>
  <si>
    <t>Work Zone and Traffic Control
(Section 012200)</t>
  </si>
  <si>
    <t>Escort
(Section 012200)</t>
  </si>
  <si>
    <t>PCC Crack Repair, Original
(Section 012200)</t>
  </si>
  <si>
    <t>PCC Crack Repair, Renewal
(Section 012200)</t>
  </si>
  <si>
    <t>Compression Joint Seals for Concrete Pavements
(Item P-604)</t>
  </si>
  <si>
    <t>Concrete to Concrete Joint Seal (Silicone)
(Item P-605)</t>
  </si>
  <si>
    <t>Concrete to Asphalt Joint Seal
(Item P-605)</t>
  </si>
  <si>
    <t>PORTLAND INTERNATIONAL AIRPORT</t>
  </si>
  <si>
    <t>RESERVE RAMP JOINT AND CRACK SEAL</t>
  </si>
  <si>
    <t>PCC Spall Panel Repair, 0-1 SF
(Section 012200)</t>
  </si>
  <si>
    <t>PCC Spall Panel Repair, 1-5 SF
(Section 012200)</t>
  </si>
  <si>
    <t>PCC Spall Panel Repair, 5-15 SF
(Section 012200)</t>
  </si>
  <si>
    <t>EAN 2024D045</t>
  </si>
  <si>
    <t>Solicitation No. 2024-10691</t>
  </si>
  <si>
    <t>Acme Concrete 
Paving, Inc.</t>
  </si>
  <si>
    <t>C.R. Contracting, LLC</t>
  </si>
  <si>
    <t>Pullman SST, Inc.</t>
  </si>
  <si>
    <t>Roger Langeliers Construction Co.</t>
  </si>
  <si>
    <t>Not provided</t>
  </si>
  <si>
    <t>*Non-responsive to the bid submission requirements of this solicitation</t>
  </si>
  <si>
    <t>$945,062.70*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</si>
</sst>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33"/>
  <sheetViews>
    <sheetView view="pageBreakPreview" topLeftCell="A22" zoomScaleNormal="100" zoomScaleSheetLayoutView="100" workbookViewId="0">
      <selection activeCell="C25" sqref="C25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2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3"/>
      <c r="B14" s="63"/>
      <c r="C14" s="63"/>
      <c r="D14" s="63"/>
      <c r="E14" s="57"/>
      <c r="F14" s="57"/>
    </row>
    <row r="15" spans="1:6" x14ac:dyDescent="0.25">
      <c r="A15" s="60" t="s">
        <v>47</v>
      </c>
      <c r="B15" s="60"/>
      <c r="C15" s="60"/>
      <c r="D15" s="60"/>
      <c r="E15" s="58"/>
      <c r="F15" s="58"/>
    </row>
    <row r="16" spans="1:6" x14ac:dyDescent="0.25">
      <c r="A16" s="60" t="s">
        <v>48</v>
      </c>
      <c r="B16" s="60"/>
      <c r="C16" s="60"/>
      <c r="D16" s="60"/>
      <c r="E16" s="58"/>
      <c r="F16" s="58"/>
    </row>
    <row r="17" spans="1:6" x14ac:dyDescent="0.25">
      <c r="A17" s="61"/>
      <c r="B17" s="61"/>
      <c r="C17" s="61"/>
      <c r="D17" s="61"/>
      <c r="E17" s="58"/>
      <c r="F17" s="58"/>
    </row>
    <row r="18" spans="1:6" x14ac:dyDescent="0.25">
      <c r="A18" s="62"/>
      <c r="B18" s="62"/>
      <c r="C18" s="62"/>
      <c r="D18" s="62"/>
      <c r="E18" s="59"/>
      <c r="F18" s="59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3" t="s">
        <v>17</v>
      </c>
      <c r="F19" s="33" t="s">
        <v>18</v>
      </c>
    </row>
    <row r="20" spans="1:6" ht="40.5" customHeight="1" x14ac:dyDescent="0.25">
      <c r="A20" s="5" t="s">
        <v>19</v>
      </c>
      <c r="B20" s="50" t="s">
        <v>37</v>
      </c>
      <c r="C20" s="51">
        <v>1</v>
      </c>
      <c r="D20" s="6" t="s">
        <v>8</v>
      </c>
      <c r="E20" s="34"/>
      <c r="F20" s="34"/>
    </row>
    <row r="21" spans="1:6" ht="40.5" customHeight="1" x14ac:dyDescent="0.25">
      <c r="A21" s="5" t="s">
        <v>20</v>
      </c>
      <c r="B21" s="50" t="s">
        <v>38</v>
      </c>
      <c r="C21" s="51">
        <v>1</v>
      </c>
      <c r="D21" s="6" t="s">
        <v>8</v>
      </c>
      <c r="E21" s="34"/>
      <c r="F21" s="34"/>
    </row>
    <row r="22" spans="1:6" ht="40.5" customHeight="1" x14ac:dyDescent="0.25">
      <c r="A22" s="5" t="s">
        <v>21</v>
      </c>
      <c r="B22" s="50" t="s">
        <v>39</v>
      </c>
      <c r="C22" s="51">
        <v>1</v>
      </c>
      <c r="D22" s="6" t="s">
        <v>8</v>
      </c>
      <c r="E22" s="34"/>
      <c r="F22" s="34"/>
    </row>
    <row r="23" spans="1:6" ht="40.5" customHeight="1" x14ac:dyDescent="0.25">
      <c r="A23" s="5" t="s">
        <v>22</v>
      </c>
      <c r="B23" s="50" t="s">
        <v>40</v>
      </c>
      <c r="C23" s="51">
        <v>1</v>
      </c>
      <c r="D23" s="6" t="s">
        <v>8</v>
      </c>
      <c r="E23" s="34"/>
      <c r="F23" s="34"/>
    </row>
    <row r="24" spans="1:6" ht="40.5" customHeight="1" x14ac:dyDescent="0.25">
      <c r="A24" s="5" t="s">
        <v>23</v>
      </c>
      <c r="B24" s="50" t="s">
        <v>41</v>
      </c>
      <c r="C24" s="51">
        <v>1</v>
      </c>
      <c r="D24" s="6" t="s">
        <v>8</v>
      </c>
      <c r="E24" s="34"/>
      <c r="F24" s="34"/>
    </row>
    <row r="25" spans="1:6" ht="40.5" customHeight="1" x14ac:dyDescent="0.25">
      <c r="A25" s="5" t="s">
        <v>24</v>
      </c>
      <c r="B25" s="50" t="s">
        <v>49</v>
      </c>
      <c r="C25" s="51">
        <v>99</v>
      </c>
      <c r="D25" s="6" t="s">
        <v>2</v>
      </c>
      <c r="E25" s="34"/>
      <c r="F25" s="34"/>
    </row>
    <row r="26" spans="1:6" ht="40.5" customHeight="1" x14ac:dyDescent="0.25">
      <c r="A26" s="5" t="s">
        <v>25</v>
      </c>
      <c r="B26" s="50" t="s">
        <v>50</v>
      </c>
      <c r="C26" s="51">
        <v>53</v>
      </c>
      <c r="D26" s="6" t="s">
        <v>2</v>
      </c>
      <c r="E26" s="34"/>
      <c r="F26" s="34"/>
    </row>
    <row r="27" spans="1:6" ht="40.5" customHeight="1" x14ac:dyDescent="0.25">
      <c r="A27" s="5" t="s">
        <v>26</v>
      </c>
      <c r="B27" s="50" t="s">
        <v>51</v>
      </c>
      <c r="C27" s="51">
        <v>16</v>
      </c>
      <c r="D27" s="6" t="s">
        <v>2</v>
      </c>
      <c r="E27" s="34"/>
      <c r="F27" s="34"/>
    </row>
    <row r="28" spans="1:6" ht="40.5" customHeight="1" x14ac:dyDescent="0.25">
      <c r="A28" s="5" t="s">
        <v>27</v>
      </c>
      <c r="B28" s="50" t="s">
        <v>42</v>
      </c>
      <c r="C28" s="51">
        <v>3210</v>
      </c>
      <c r="D28" s="6" t="s">
        <v>7</v>
      </c>
      <c r="E28" s="34"/>
      <c r="F28" s="34"/>
    </row>
    <row r="29" spans="1:6" ht="40.5" customHeight="1" x14ac:dyDescent="0.25">
      <c r="A29" s="5" t="s">
        <v>28</v>
      </c>
      <c r="B29" s="50" t="s">
        <v>43</v>
      </c>
      <c r="C29" s="51">
        <v>350</v>
      </c>
      <c r="D29" s="6" t="s">
        <v>7</v>
      </c>
      <c r="E29" s="34"/>
      <c r="F29" s="34"/>
    </row>
    <row r="30" spans="1:6" ht="40.5" customHeight="1" x14ac:dyDescent="0.25">
      <c r="A30" s="5" t="s">
        <v>33</v>
      </c>
      <c r="B30" s="50" t="s">
        <v>44</v>
      </c>
      <c r="C30" s="51">
        <v>79900</v>
      </c>
      <c r="D30" s="6" t="s">
        <v>7</v>
      </c>
      <c r="E30" s="34"/>
      <c r="F30" s="34"/>
    </row>
    <row r="31" spans="1:6" ht="40.5" customHeight="1" x14ac:dyDescent="0.25">
      <c r="A31" s="5" t="s">
        <v>35</v>
      </c>
      <c r="B31" s="50" t="s">
        <v>45</v>
      </c>
      <c r="C31" s="51">
        <v>3500</v>
      </c>
      <c r="D31" s="6" t="s">
        <v>7</v>
      </c>
      <c r="E31" s="34"/>
      <c r="F31" s="34"/>
    </row>
    <row r="32" spans="1:6" ht="40.5" customHeight="1" x14ac:dyDescent="0.25">
      <c r="A32" s="5" t="s">
        <v>36</v>
      </c>
      <c r="B32" s="50" t="s">
        <v>46</v>
      </c>
      <c r="C32" s="51">
        <v>1740</v>
      </c>
      <c r="D32" s="6" t="s">
        <v>7</v>
      </c>
      <c r="E32" s="34"/>
      <c r="F32" s="34"/>
    </row>
    <row r="33" spans="1:6" ht="27.75" customHeight="1" x14ac:dyDescent="0.25">
      <c r="A33" s="7"/>
      <c r="B33" s="9" t="s">
        <v>30</v>
      </c>
      <c r="C33" s="31"/>
      <c r="D33" s="7"/>
      <c r="E33" s="35"/>
      <c r="F33" s="35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32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N21"/>
  <sheetViews>
    <sheetView tabSelected="1" zoomScaleNormal="100" zoomScaleSheetLayoutView="100" workbookViewId="0">
      <selection activeCell="B7" sqref="B7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39" customWidth="1"/>
    <col min="4" max="4" width="6.7109375" style="23" customWidth="1"/>
    <col min="5" max="5" width="11" style="32" customWidth="1"/>
    <col min="6" max="6" width="13.42578125" style="32" customWidth="1"/>
    <col min="7" max="7" width="11" style="32" customWidth="1"/>
    <col min="8" max="8" width="13.42578125" style="32" customWidth="1"/>
    <col min="9" max="9" width="11" style="32" customWidth="1"/>
    <col min="10" max="10" width="13.42578125" style="32" customWidth="1"/>
    <col min="11" max="11" width="11" customWidth="1"/>
    <col min="12" max="12" width="13.42578125" customWidth="1"/>
    <col min="13" max="13" width="11" customWidth="1"/>
    <col min="14" max="14" width="13.42578125" customWidth="1"/>
  </cols>
  <sheetData>
    <row r="1" spans="1:14" s="8" customFormat="1" ht="30" customHeight="1" x14ac:dyDescent="0.25">
      <c r="A1" s="71" t="str">
        <f>ProjectLocation</f>
        <v>PORTLAND INTERNATIONAL AIRPORT</v>
      </c>
      <c r="B1" s="72"/>
      <c r="C1" s="72"/>
      <c r="D1" s="73"/>
      <c r="E1" s="67" t="s">
        <v>54</v>
      </c>
      <c r="F1" s="68"/>
      <c r="G1" s="67" t="s">
        <v>55</v>
      </c>
      <c r="H1" s="68"/>
      <c r="I1" s="67" t="s">
        <v>56</v>
      </c>
      <c r="J1" s="68"/>
      <c r="K1" s="67" t="s">
        <v>57</v>
      </c>
      <c r="L1" s="68"/>
      <c r="M1" s="80" t="s">
        <v>32</v>
      </c>
      <c r="N1" s="81"/>
    </row>
    <row r="2" spans="1:14" x14ac:dyDescent="0.25">
      <c r="A2" s="74" t="str">
        <f>ProjectTitle</f>
        <v>RESERVE RAMP JOINT AND CRACK SEAL</v>
      </c>
      <c r="B2" s="75"/>
      <c r="C2" s="75"/>
      <c r="D2" s="76"/>
      <c r="E2" s="69"/>
      <c r="F2" s="70"/>
      <c r="G2" s="69"/>
      <c r="H2" s="70"/>
      <c r="I2" s="69"/>
      <c r="J2" s="70"/>
      <c r="K2" s="69"/>
      <c r="L2" s="70"/>
      <c r="M2" s="82"/>
      <c r="N2" s="83"/>
    </row>
    <row r="3" spans="1:14" x14ac:dyDescent="0.25">
      <c r="A3" s="74">
        <f>ProjectTitle2</f>
        <v>0</v>
      </c>
      <c r="B3" s="75"/>
      <c r="C3" s="75"/>
      <c r="D3" s="76"/>
      <c r="E3" s="69"/>
      <c r="F3" s="70"/>
      <c r="G3" s="69"/>
      <c r="H3" s="70"/>
      <c r="I3" s="69"/>
      <c r="J3" s="70"/>
      <c r="K3" s="69"/>
      <c r="L3" s="70"/>
      <c r="M3" s="82"/>
      <c r="N3" s="83"/>
    </row>
    <row r="4" spans="1:14" x14ac:dyDescent="0.25">
      <c r="A4" s="77" t="s">
        <v>52</v>
      </c>
      <c r="B4" s="78"/>
      <c r="C4" s="78"/>
      <c r="D4" s="79"/>
      <c r="E4" s="69"/>
      <c r="F4" s="70"/>
      <c r="G4" s="69"/>
      <c r="H4" s="70"/>
      <c r="I4" s="69"/>
      <c r="J4" s="70"/>
      <c r="K4" s="69"/>
      <c r="L4" s="70"/>
      <c r="M4" s="82"/>
      <c r="N4" s="83"/>
    </row>
    <row r="5" spans="1:14" x14ac:dyDescent="0.25">
      <c r="A5" s="77" t="s">
        <v>53</v>
      </c>
      <c r="B5" s="78"/>
      <c r="C5" s="78"/>
      <c r="D5" s="79"/>
      <c r="E5" s="69"/>
      <c r="F5" s="70"/>
      <c r="G5" s="69"/>
      <c r="H5" s="70"/>
      <c r="I5" s="69"/>
      <c r="J5" s="70"/>
      <c r="K5" s="69"/>
      <c r="L5" s="70"/>
      <c r="M5" s="82"/>
      <c r="N5" s="83"/>
    </row>
    <row r="6" spans="1:14" x14ac:dyDescent="0.25">
      <c r="A6" s="64">
        <f ca="1">TODAY()</f>
        <v>45735</v>
      </c>
      <c r="B6" s="65"/>
      <c r="C6" s="65"/>
      <c r="D6" s="66"/>
      <c r="E6" s="40"/>
      <c r="F6" s="41"/>
      <c r="G6" s="40"/>
      <c r="H6" s="41"/>
      <c r="I6" s="40"/>
      <c r="J6" s="41"/>
      <c r="K6" s="40"/>
      <c r="L6" s="41"/>
      <c r="M6" s="40"/>
      <c r="N6" s="41"/>
    </row>
    <row r="7" spans="1:14" ht="32.25" customHeight="1" x14ac:dyDescent="0.25">
      <c r="A7" s="10" t="s">
        <v>13</v>
      </c>
      <c r="B7" s="19" t="s">
        <v>14</v>
      </c>
      <c r="C7" s="36" t="s">
        <v>15</v>
      </c>
      <c r="D7" s="19" t="s">
        <v>16</v>
      </c>
      <c r="E7" s="42" t="s">
        <v>17</v>
      </c>
      <c r="F7" s="42" t="s">
        <v>18</v>
      </c>
      <c r="G7" s="42" t="s">
        <v>17</v>
      </c>
      <c r="H7" s="42" t="s">
        <v>18</v>
      </c>
      <c r="I7" s="42" t="s">
        <v>17</v>
      </c>
      <c r="J7" s="42" t="s">
        <v>18</v>
      </c>
      <c r="K7" s="42" t="s">
        <v>17</v>
      </c>
      <c r="L7" s="42" t="s">
        <v>18</v>
      </c>
      <c r="M7" s="42" t="s">
        <v>17</v>
      </c>
      <c r="N7" s="42" t="s">
        <v>18</v>
      </c>
    </row>
    <row r="8" spans="1:14" ht="33" customHeight="1" x14ac:dyDescent="0.25">
      <c r="A8" s="11" t="str">
        <f>'Bid Item List'!A20</f>
        <v>0001</v>
      </c>
      <c r="B8" s="52" t="str">
        <f>'Bid Item List'!B20</f>
        <v>Mobilization, Surveying, Cleanup, and Demobilization
(Section 012200)</v>
      </c>
      <c r="C8" s="37">
        <f>'Bid Item List'!C20</f>
        <v>1</v>
      </c>
      <c r="D8" s="20" t="str">
        <f>'Bid Item List'!D20</f>
        <v>LS</v>
      </c>
      <c r="E8" s="26">
        <v>155000</v>
      </c>
      <c r="F8" s="27">
        <f t="shared" ref="F8:F20" si="0">QTY*E8</f>
        <v>155000</v>
      </c>
      <c r="G8" s="26">
        <v>28450</v>
      </c>
      <c r="H8" s="27">
        <f t="shared" ref="H8:H20" si="1">QTY*G8</f>
        <v>28450</v>
      </c>
      <c r="I8" s="26" t="s">
        <v>58</v>
      </c>
      <c r="J8" s="27">
        <v>37794.78</v>
      </c>
      <c r="K8" s="26">
        <v>65339.62</v>
      </c>
      <c r="L8" s="27">
        <f t="shared" ref="L8:L20" si="2">QTY*K8</f>
        <v>65339.62</v>
      </c>
      <c r="M8" s="26">
        <v>90160</v>
      </c>
      <c r="N8" s="27">
        <f t="shared" ref="N8:N20" si="3">QTY*M8</f>
        <v>90160</v>
      </c>
    </row>
    <row r="9" spans="1:14" ht="33" customHeight="1" x14ac:dyDescent="0.25">
      <c r="A9" s="11" t="str">
        <f>'Bid Item List'!A21</f>
        <v>0002</v>
      </c>
      <c r="B9" s="52" t="str">
        <f>'Bid Item List'!B21</f>
        <v>Sweeper
(Section 012200)</v>
      </c>
      <c r="C9" s="37">
        <f>'Bid Item List'!C21</f>
        <v>1</v>
      </c>
      <c r="D9" s="20" t="str">
        <f>'Bid Item List'!D21</f>
        <v>LS</v>
      </c>
      <c r="E9" s="26">
        <v>220000</v>
      </c>
      <c r="F9" s="27">
        <f t="shared" si="0"/>
        <v>220000</v>
      </c>
      <c r="G9" s="26">
        <v>30000</v>
      </c>
      <c r="H9" s="27">
        <f t="shared" si="1"/>
        <v>30000</v>
      </c>
      <c r="I9" s="26" t="s">
        <v>58</v>
      </c>
      <c r="J9" s="27">
        <v>62260.05</v>
      </c>
      <c r="K9" s="26">
        <v>27120</v>
      </c>
      <c r="L9" s="27">
        <f t="shared" si="2"/>
        <v>27120</v>
      </c>
      <c r="M9" s="26">
        <v>16000</v>
      </c>
      <c r="N9" s="27">
        <f t="shared" si="3"/>
        <v>16000</v>
      </c>
    </row>
    <row r="10" spans="1:14" ht="33" customHeight="1" x14ac:dyDescent="0.25">
      <c r="A10" s="11" t="str">
        <f>'Bid Item List'!A22</f>
        <v>0003</v>
      </c>
      <c r="B10" s="52" t="str">
        <f>'Bid Item List'!B22</f>
        <v>Security Control Monitoring
(Section 012200)</v>
      </c>
      <c r="C10" s="37">
        <f>'Bid Item List'!C22</f>
        <v>1</v>
      </c>
      <c r="D10" s="20" t="str">
        <f>'Bid Item List'!D22</f>
        <v>LS</v>
      </c>
      <c r="E10" s="26">
        <v>20000</v>
      </c>
      <c r="F10" s="27">
        <f t="shared" si="0"/>
        <v>20000</v>
      </c>
      <c r="G10" s="26">
        <v>7850</v>
      </c>
      <c r="H10" s="27">
        <f t="shared" si="1"/>
        <v>7850</v>
      </c>
      <c r="I10" s="26" t="s">
        <v>58</v>
      </c>
      <c r="J10" s="27">
        <v>6684.78</v>
      </c>
      <c r="K10" s="26">
        <v>27375.279999999999</v>
      </c>
      <c r="L10" s="27">
        <f t="shared" si="2"/>
        <v>27375.279999999999</v>
      </c>
      <c r="M10" s="26">
        <v>10000</v>
      </c>
      <c r="N10" s="27">
        <f t="shared" si="3"/>
        <v>10000</v>
      </c>
    </row>
    <row r="11" spans="1:14" ht="33" customHeight="1" x14ac:dyDescent="0.25">
      <c r="A11" s="11" t="str">
        <f>'Bid Item List'!A23</f>
        <v>0004</v>
      </c>
      <c r="B11" s="52" t="str">
        <f>'Bid Item List'!B23</f>
        <v>Work Zone and Traffic Control
(Section 012200)</v>
      </c>
      <c r="C11" s="37">
        <f>'Bid Item List'!C23</f>
        <v>1</v>
      </c>
      <c r="D11" s="20" t="str">
        <f>'Bid Item List'!D23</f>
        <v>LS</v>
      </c>
      <c r="E11" s="26">
        <v>40000</v>
      </c>
      <c r="F11" s="27">
        <f t="shared" si="0"/>
        <v>40000</v>
      </c>
      <c r="G11" s="26">
        <v>18500</v>
      </c>
      <c r="H11" s="27">
        <f t="shared" si="1"/>
        <v>18500</v>
      </c>
      <c r="I11" s="26" t="s">
        <v>58</v>
      </c>
      <c r="J11" s="27">
        <v>9760.6299999999992</v>
      </c>
      <c r="K11" s="26">
        <v>10822</v>
      </c>
      <c r="L11" s="27">
        <f t="shared" si="2"/>
        <v>10822</v>
      </c>
      <c r="M11" s="26">
        <v>4000</v>
      </c>
      <c r="N11" s="27">
        <f t="shared" si="3"/>
        <v>4000</v>
      </c>
    </row>
    <row r="12" spans="1:14" ht="33" customHeight="1" x14ac:dyDescent="0.25">
      <c r="A12" s="11" t="str">
        <f>'Bid Item List'!A24</f>
        <v>0005</v>
      </c>
      <c r="B12" s="52" t="str">
        <f>'Bid Item List'!B24</f>
        <v>Escort
(Section 012200)</v>
      </c>
      <c r="C12" s="37">
        <f>'Bid Item List'!C24</f>
        <v>1</v>
      </c>
      <c r="D12" s="20" t="str">
        <f>'Bid Item List'!D24</f>
        <v>LS</v>
      </c>
      <c r="E12" s="26">
        <v>6000</v>
      </c>
      <c r="F12" s="27">
        <f t="shared" si="0"/>
        <v>6000</v>
      </c>
      <c r="G12" s="26">
        <v>13750</v>
      </c>
      <c r="H12" s="27">
        <f t="shared" si="1"/>
        <v>13750</v>
      </c>
      <c r="I12" s="26" t="s">
        <v>58</v>
      </c>
      <c r="J12" s="27">
        <v>5500</v>
      </c>
      <c r="K12" s="26">
        <v>13188</v>
      </c>
      <c r="L12" s="27">
        <f t="shared" si="2"/>
        <v>13188</v>
      </c>
      <c r="M12" s="26">
        <v>8000</v>
      </c>
      <c r="N12" s="27">
        <f t="shared" si="3"/>
        <v>8000</v>
      </c>
    </row>
    <row r="13" spans="1:14" ht="33" customHeight="1" x14ac:dyDescent="0.25">
      <c r="A13" s="11" t="str">
        <f>'Bid Item List'!A25</f>
        <v>0006</v>
      </c>
      <c r="B13" s="52" t="str">
        <f>'Bid Item List'!B25</f>
        <v>PCC Spall Panel Repair, 0-1 SF
(Section 012200)</v>
      </c>
      <c r="C13" s="37">
        <f>'Bid Item List'!C25</f>
        <v>99</v>
      </c>
      <c r="D13" s="20" t="str">
        <f>'Bid Item List'!D25</f>
        <v>Each</v>
      </c>
      <c r="E13" s="26">
        <v>450</v>
      </c>
      <c r="F13" s="27">
        <f t="shared" si="0"/>
        <v>44550</v>
      </c>
      <c r="G13" s="26">
        <v>125</v>
      </c>
      <c r="H13" s="27">
        <f t="shared" si="1"/>
        <v>12375</v>
      </c>
      <c r="I13" s="26" t="s">
        <v>58</v>
      </c>
      <c r="J13" s="27">
        <v>28215.65</v>
      </c>
      <c r="K13" s="26">
        <v>144.87</v>
      </c>
      <c r="L13" s="27">
        <f t="shared" si="2"/>
        <v>14342.130000000001</v>
      </c>
      <c r="M13" s="26">
        <v>375</v>
      </c>
      <c r="N13" s="27">
        <f t="shared" si="3"/>
        <v>37125</v>
      </c>
    </row>
    <row r="14" spans="1:14" ht="33" customHeight="1" x14ac:dyDescent="0.25">
      <c r="A14" s="11" t="str">
        <f>'Bid Item List'!A26</f>
        <v>0007</v>
      </c>
      <c r="B14" s="52" t="str">
        <f>'Bid Item List'!B26</f>
        <v>PCC Spall Panel Repair, 1-5 SF
(Section 012200)</v>
      </c>
      <c r="C14" s="37">
        <f>'Bid Item List'!C26</f>
        <v>53</v>
      </c>
      <c r="D14" s="20" t="str">
        <f>'Bid Item List'!D26</f>
        <v>Each</v>
      </c>
      <c r="E14" s="26">
        <v>1050</v>
      </c>
      <c r="F14" s="27">
        <f t="shared" si="0"/>
        <v>55650</v>
      </c>
      <c r="G14" s="26">
        <v>500</v>
      </c>
      <c r="H14" s="27">
        <f t="shared" si="1"/>
        <v>26500</v>
      </c>
      <c r="I14" s="26" t="s">
        <v>58</v>
      </c>
      <c r="J14" s="27">
        <v>21781.62</v>
      </c>
      <c r="K14" s="26">
        <v>505.15</v>
      </c>
      <c r="L14" s="27">
        <f t="shared" si="2"/>
        <v>26772.949999999997</v>
      </c>
      <c r="M14" s="26">
        <v>500</v>
      </c>
      <c r="N14" s="27">
        <f t="shared" si="3"/>
        <v>26500</v>
      </c>
    </row>
    <row r="15" spans="1:14" ht="33" customHeight="1" x14ac:dyDescent="0.25">
      <c r="A15" s="11" t="str">
        <f>'Bid Item List'!A27</f>
        <v>0008</v>
      </c>
      <c r="B15" s="52" t="str">
        <f>'Bid Item List'!B27</f>
        <v>PCC Spall Panel Repair, 5-15 SF
(Section 012200)</v>
      </c>
      <c r="C15" s="37">
        <f>'Bid Item List'!C27</f>
        <v>16</v>
      </c>
      <c r="D15" s="20" t="str">
        <f>'Bid Item List'!D27</f>
        <v>Each</v>
      </c>
      <c r="E15" s="26">
        <v>3100</v>
      </c>
      <c r="F15" s="27">
        <f t="shared" si="0"/>
        <v>49600</v>
      </c>
      <c r="G15" s="26">
        <v>1100</v>
      </c>
      <c r="H15" s="27">
        <f t="shared" si="1"/>
        <v>17600</v>
      </c>
      <c r="I15" s="26" t="s">
        <v>58</v>
      </c>
      <c r="J15" s="27">
        <v>22831.89</v>
      </c>
      <c r="K15" s="26">
        <v>1411.47</v>
      </c>
      <c r="L15" s="27">
        <f t="shared" si="2"/>
        <v>22583.52</v>
      </c>
      <c r="M15" s="26">
        <v>700</v>
      </c>
      <c r="N15" s="27">
        <f t="shared" si="3"/>
        <v>11200</v>
      </c>
    </row>
    <row r="16" spans="1:14" ht="33" customHeight="1" x14ac:dyDescent="0.25">
      <c r="A16" s="11" t="str">
        <f>'Bid Item List'!A28</f>
        <v>0009</v>
      </c>
      <c r="B16" s="52" t="str">
        <f>'Bid Item List'!B28</f>
        <v>PCC Crack Repair, Original
(Section 012200)</v>
      </c>
      <c r="C16" s="56">
        <f>'Bid Item List'!C28</f>
        <v>3210</v>
      </c>
      <c r="D16" s="20" t="str">
        <f>'Bid Item List'!D28</f>
        <v>LF</v>
      </c>
      <c r="E16" s="26">
        <v>12</v>
      </c>
      <c r="F16" s="27">
        <f t="shared" si="0"/>
        <v>38520</v>
      </c>
      <c r="G16" s="26">
        <v>5.76</v>
      </c>
      <c r="H16" s="27">
        <f t="shared" si="1"/>
        <v>18489.599999999999</v>
      </c>
      <c r="I16" s="26" t="s">
        <v>58</v>
      </c>
      <c r="J16" s="27">
        <v>38512.76</v>
      </c>
      <c r="K16" s="26">
        <v>5.1100000000000003</v>
      </c>
      <c r="L16" s="27">
        <f t="shared" si="2"/>
        <v>16403.100000000002</v>
      </c>
      <c r="M16" s="26">
        <v>10</v>
      </c>
      <c r="N16" s="27">
        <f t="shared" si="3"/>
        <v>32100</v>
      </c>
    </row>
    <row r="17" spans="1:14" ht="33" customHeight="1" x14ac:dyDescent="0.25">
      <c r="A17" s="11" t="str">
        <f>'Bid Item List'!A29</f>
        <v>0010</v>
      </c>
      <c r="B17" s="52" t="str">
        <f>'Bid Item List'!B29</f>
        <v>PCC Crack Repair, Renewal
(Section 012200)</v>
      </c>
      <c r="C17" s="37">
        <f>'Bid Item List'!C29</f>
        <v>350</v>
      </c>
      <c r="D17" s="20" t="str">
        <f>'Bid Item List'!D29</f>
        <v>LF</v>
      </c>
      <c r="E17" s="26">
        <v>17.25</v>
      </c>
      <c r="F17" s="27">
        <f t="shared" si="0"/>
        <v>6037.5</v>
      </c>
      <c r="G17" s="26">
        <v>19.89</v>
      </c>
      <c r="H17" s="27">
        <f t="shared" si="1"/>
        <v>6961.5</v>
      </c>
      <c r="I17" s="26" t="s">
        <v>58</v>
      </c>
      <c r="J17" s="27">
        <v>4673.84</v>
      </c>
      <c r="K17" s="26">
        <v>7.18</v>
      </c>
      <c r="L17" s="27">
        <f t="shared" si="2"/>
        <v>2513</v>
      </c>
      <c r="M17" s="26">
        <v>7.5</v>
      </c>
      <c r="N17" s="27">
        <f>QTY*M17</f>
        <v>2625</v>
      </c>
    </row>
    <row r="18" spans="1:14" ht="33" customHeight="1" x14ac:dyDescent="0.25">
      <c r="A18" s="11" t="str">
        <f>'Bid Item List'!A30</f>
        <v>0011</v>
      </c>
      <c r="B18" s="52" t="str">
        <f>'Bid Item List'!B30</f>
        <v>Compression Joint Seals for Concrete Pavements
(Item P-604)</v>
      </c>
      <c r="C18" s="56">
        <f>'Bid Item List'!C30</f>
        <v>79900</v>
      </c>
      <c r="D18" s="20" t="str">
        <f>'Bid Item List'!D30</f>
        <v>LF</v>
      </c>
      <c r="E18" s="26">
        <v>8.25</v>
      </c>
      <c r="F18" s="27">
        <f t="shared" si="0"/>
        <v>659175</v>
      </c>
      <c r="G18" s="26">
        <v>5.95</v>
      </c>
      <c r="H18" s="27">
        <f t="shared" si="1"/>
        <v>475405</v>
      </c>
      <c r="I18" s="26" t="s">
        <v>58</v>
      </c>
      <c r="J18" s="27">
        <v>608584.51</v>
      </c>
      <c r="K18" s="26">
        <v>5.57</v>
      </c>
      <c r="L18" s="27">
        <f t="shared" si="2"/>
        <v>445043</v>
      </c>
      <c r="M18" s="26">
        <v>9</v>
      </c>
      <c r="N18" s="27">
        <f>QTY*M18</f>
        <v>719100</v>
      </c>
    </row>
    <row r="19" spans="1:14" ht="33" customHeight="1" x14ac:dyDescent="0.25">
      <c r="A19" s="11" t="str">
        <f>'Bid Item List'!A31</f>
        <v>0012</v>
      </c>
      <c r="B19" s="52" t="str">
        <f>'Bid Item List'!B31</f>
        <v>Concrete to Concrete Joint Seal (Silicone)
(Item P-605)</v>
      </c>
      <c r="C19" s="56">
        <f>'Bid Item List'!C31</f>
        <v>3500</v>
      </c>
      <c r="D19" s="20" t="str">
        <f>'Bid Item List'!D31</f>
        <v>LF</v>
      </c>
      <c r="E19" s="26">
        <v>11.25</v>
      </c>
      <c r="F19" s="27">
        <f t="shared" si="0"/>
        <v>39375</v>
      </c>
      <c r="G19" s="26">
        <v>5.89</v>
      </c>
      <c r="H19" s="27">
        <f t="shared" si="1"/>
        <v>20615</v>
      </c>
      <c r="I19" s="26" t="s">
        <v>58</v>
      </c>
      <c r="J19" s="27">
        <v>68595.16</v>
      </c>
      <c r="K19" s="26">
        <v>4.7300000000000004</v>
      </c>
      <c r="L19" s="27">
        <f t="shared" si="2"/>
        <v>16555</v>
      </c>
      <c r="M19" s="26">
        <v>7.5</v>
      </c>
      <c r="N19" s="27">
        <f>QTY*M19</f>
        <v>26250</v>
      </c>
    </row>
    <row r="20" spans="1:14" ht="33" customHeight="1" x14ac:dyDescent="0.25">
      <c r="A20" s="11" t="str">
        <f>'Bid Item List'!A32</f>
        <v>0013</v>
      </c>
      <c r="B20" s="52" t="str">
        <f>'Bid Item List'!B32</f>
        <v>Concrete to Asphalt Joint Seal
(Item P-605)</v>
      </c>
      <c r="C20" s="56">
        <f>'Bid Item List'!C32</f>
        <v>1740</v>
      </c>
      <c r="D20" s="20" t="str">
        <f>'Bid Item List'!D32</f>
        <v>LF</v>
      </c>
      <c r="E20" s="26">
        <v>7.6</v>
      </c>
      <c r="F20" s="27">
        <f t="shared" si="0"/>
        <v>13224</v>
      </c>
      <c r="G20" s="26">
        <v>2.65</v>
      </c>
      <c r="H20" s="27">
        <f t="shared" si="1"/>
        <v>4611</v>
      </c>
      <c r="I20" s="26" t="s">
        <v>58</v>
      </c>
      <c r="J20" s="27">
        <v>29867.03</v>
      </c>
      <c r="K20" s="26">
        <v>5.33</v>
      </c>
      <c r="L20" s="27">
        <f t="shared" si="2"/>
        <v>9274.2000000000007</v>
      </c>
      <c r="M20" s="26">
        <v>5</v>
      </c>
      <c r="N20" s="27">
        <f t="shared" si="3"/>
        <v>8700</v>
      </c>
    </row>
    <row r="21" spans="1:14" ht="27.75" customHeight="1" x14ac:dyDescent="0.25">
      <c r="A21" s="12"/>
      <c r="B21" s="21" t="s">
        <v>30</v>
      </c>
      <c r="C21" s="38"/>
      <c r="D21" s="22"/>
      <c r="E21" s="28"/>
      <c r="F21" s="53">
        <f>SUM(F8:F20)</f>
        <v>1347131.5</v>
      </c>
      <c r="G21" s="28"/>
      <c r="H21" s="53">
        <f>SUM(H8:H20)</f>
        <v>681107.1</v>
      </c>
      <c r="I21" s="28"/>
      <c r="J21" s="53">
        <f t="shared" ref="J21" si="4">SUM(J8:J20)</f>
        <v>945062.70000000007</v>
      </c>
      <c r="K21" s="28"/>
      <c r="L21" s="53">
        <f t="shared" ref="L21" si="5">SUM(L8:L20)</f>
        <v>697331.79999999993</v>
      </c>
      <c r="M21" s="28"/>
      <c r="N21" s="53">
        <f t="shared" ref="N21" si="6">SUM(N8:N20)</f>
        <v>991760</v>
      </c>
    </row>
  </sheetData>
  <mergeCells count="11">
    <mergeCell ref="M1:N5"/>
    <mergeCell ref="K1:L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4"/>
  <sheetViews>
    <sheetView view="pageBreakPreview" zoomScaleNormal="75" zoomScaleSheetLayoutView="100" workbookViewId="0">
      <selection activeCell="A10" sqref="A10"/>
    </sheetView>
  </sheetViews>
  <sheetFormatPr defaultRowHeight="15" x14ac:dyDescent="0.25"/>
  <cols>
    <col min="1" max="1" width="53.7109375" style="13" customWidth="1"/>
    <col min="2" max="2" width="27" style="47" customWidth="1"/>
  </cols>
  <sheetData>
    <row r="1" spans="1:2" ht="30" customHeight="1" x14ac:dyDescent="0.25">
      <c r="A1" s="24" t="str">
        <f>ProjectLocation</f>
        <v>PORTLAND INTERNATIONAL AIRPORT</v>
      </c>
      <c r="B1" s="43"/>
    </row>
    <row r="2" spans="1:2" ht="15" customHeight="1" x14ac:dyDescent="0.25">
      <c r="A2" s="25" t="str">
        <f>ProjectTitle</f>
        <v>RESERVE RAMP JOINT AND CRACK SEAL</v>
      </c>
      <c r="B2" s="44"/>
    </row>
    <row r="3" spans="1:2" ht="15" customHeight="1" x14ac:dyDescent="0.25">
      <c r="A3" s="25">
        <f>ProjectTitle2</f>
        <v>0</v>
      </c>
      <c r="B3" s="44"/>
    </row>
    <row r="4" spans="1:2" x14ac:dyDescent="0.25">
      <c r="A4" s="14" t="str">
        <f>EAN</f>
        <v>EAN 2024D045</v>
      </c>
      <c r="B4" s="44"/>
    </row>
    <row r="5" spans="1:2" ht="15" customHeight="1" x14ac:dyDescent="0.25">
      <c r="A5" s="15" t="str">
        <f>SolicitationNo</f>
        <v>Solicitation No. 2024-10691</v>
      </c>
      <c r="B5" s="44"/>
    </row>
    <row r="6" spans="1:2" ht="15" customHeight="1" x14ac:dyDescent="0.25">
      <c r="A6" s="16">
        <f ca="1">TODAY()</f>
        <v>45735</v>
      </c>
      <c r="B6" s="45"/>
    </row>
    <row r="7" spans="1:2" ht="33" customHeight="1" x14ac:dyDescent="0.25">
      <c r="A7" s="17" t="s">
        <v>31</v>
      </c>
      <c r="B7" s="46" t="s">
        <v>18</v>
      </c>
    </row>
    <row r="8" spans="1:2" ht="33" customHeight="1" x14ac:dyDescent="0.25">
      <c r="A8" s="18" t="str">
        <f>Contractor2</f>
        <v>C.R. Contracting, LLC</v>
      </c>
      <c r="B8" s="48">
        <f>Total2</f>
        <v>681107.1</v>
      </c>
    </row>
    <row r="9" spans="1:2" ht="33" customHeight="1" x14ac:dyDescent="0.25">
      <c r="A9" s="18" t="str">
        <f>Contractor4</f>
        <v>Roger Langeliers Construction Co.</v>
      </c>
      <c r="B9" s="48">
        <f>Total4</f>
        <v>697331.79999999993</v>
      </c>
    </row>
    <row r="10" spans="1:2" ht="33" customHeight="1" x14ac:dyDescent="0.25">
      <c r="A10" s="18" t="str">
        <f>Contractor3</f>
        <v>Pullman SST, Inc.</v>
      </c>
      <c r="B10" s="48" t="s">
        <v>60</v>
      </c>
    </row>
    <row r="11" spans="1:2" ht="33" customHeight="1" x14ac:dyDescent="0.25">
      <c r="A11" s="18" t="str">
        <f>Contractor1</f>
        <v>Acme Concrete 
Paving, Inc.</v>
      </c>
      <c r="B11" s="48">
        <f>Total1</f>
        <v>1347131.5</v>
      </c>
    </row>
    <row r="12" spans="1:2" ht="33" customHeight="1" x14ac:dyDescent="0.25">
      <c r="A12" s="54" t="str">
        <f>EngineerEstimate</f>
        <v>Engineer's Estimate</v>
      </c>
      <c r="B12" s="55">
        <f>TotalEE</f>
        <v>991760</v>
      </c>
    </row>
    <row r="13" spans="1:2" x14ac:dyDescent="0.25">
      <c r="A13" s="49" t="s">
        <v>59</v>
      </c>
    </row>
    <row r="14" spans="1:2" x14ac:dyDescent="0.25">
      <c r="A14" s="49" t="s">
        <v>34</v>
      </c>
    </row>
  </sheetData>
  <sortState xmlns:xlrd2="http://schemas.microsoft.com/office/spreadsheetml/2017/richdata2" ref="A8:B11">
    <sortCondition ref="B8:B11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B16191-1D0A-46E2-8A4B-BF08639E9E9F}"/>
</file>

<file path=customXml/itemProps2.xml><?xml version="1.0" encoding="utf-8"?>
<ds:datastoreItem xmlns:ds="http://schemas.openxmlformats.org/officeDocument/2006/customXml" ds:itemID="{08F67748-5AB2-4519-910F-8EC35C5BCF33}"/>
</file>

<file path=customXml/itemProps3.xml><?xml version="1.0" encoding="utf-8"?>
<ds:datastoreItem xmlns:ds="http://schemas.openxmlformats.org/officeDocument/2006/customXml" ds:itemID="{5DBCD400-3405-4101-A42A-576E463D8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EAN</vt:lpstr>
      <vt:lpstr>EngineerEstimate</vt:lpstr>
      <vt:lpstr>'Bid Item List'!Print_Area</vt:lpstr>
      <vt:lpstr>'Bid Tabulation'!Print_Area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Doherty, Colin</cp:lastModifiedBy>
  <cp:lastPrinted>2025-03-19T17:50:11Z</cp:lastPrinted>
  <dcterms:created xsi:type="dcterms:W3CDTF">2014-05-02T22:08:37Z</dcterms:created>
  <dcterms:modified xsi:type="dcterms:W3CDTF">2025-03-19T17:50:18Z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