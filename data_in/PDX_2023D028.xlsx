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POPFS\Eng-Spec\Pdx\23D\028\"/>
    </mc:Choice>
  </mc:AlternateContent>
  <xr:revisionPtr revIDLastSave="0" documentId="13_ncr:1_{28C707EF-219B-4751-BC99-3679BFD782DA}" xr6:coauthVersionLast="47" xr6:coauthVersionMax="47" xr10:uidLastSave="{00000000-0000-0000-0000-000000000000}"/>
  <bookViews>
    <workbookView xWindow="-120" yWindow="-120" windowWidth="29040" windowHeight="15990" tabRatio="716" activeTab="2" xr2:uid="{00000000-000D-0000-FFFF-FFFF00000000}"/>
  </bookViews>
  <sheets>
    <sheet name="Bid Item List" sheetId="1" r:id="rId1"/>
    <sheet name="Bid Tabulation" sheetId="2" r:id="rId2"/>
    <sheet name="Summary" sheetId="5" r:id="rId3"/>
  </sheets>
  <definedNames>
    <definedName name="Contractor1">'Bid Tabulation'!$E$1</definedName>
    <definedName name="Contractor2">'Bid Tabulation'!$G$1</definedName>
    <definedName name="Contractor3">'Bid Tabulation'!$I$1</definedName>
    <definedName name="Contractor3A">'Bid Tabulation'!#REF!</definedName>
    <definedName name="Contractor4">'Bid Tabulation'!$K$1</definedName>
    <definedName name="Contractor5">'Bid Tabulation'!$M$1</definedName>
    <definedName name="Contractor6">'Bid Tabulation'!$O$1</definedName>
    <definedName name="Contractor7">'Bid Tabulation'!#REF!</definedName>
    <definedName name="Contractor8">'Bid Tabulation'!#REF!</definedName>
    <definedName name="EAN">'Bid Tabulation'!$A$4</definedName>
    <definedName name="EngineerEstimate">'Bid Tabulation'!$Q$1</definedName>
    <definedName name="_xlnm.Print_Area" localSheetId="0">'Bid Item List'!$A$14:$F$42</definedName>
    <definedName name="_xlnm.Print_Area" localSheetId="2">Summary!$A$1:$B$15</definedName>
    <definedName name="_xlnm.Print_Titles" localSheetId="0">'Bid Item List'!$14:$19</definedName>
    <definedName name="_xlnm.Print_Titles" localSheetId="1">'Bid Tabulation'!$A:$D,'Bid Tabulation'!$1:$7</definedName>
    <definedName name="ProjectLocation">'Bid Item List'!$A$15</definedName>
    <definedName name="ProjectTitle">'Bid Item List'!$A$16</definedName>
    <definedName name="ProjectTitle2">'Bid Item List'!$A$17</definedName>
    <definedName name="QTY">'Bid Tabulation'!$C:$C</definedName>
    <definedName name="SolicitationNo">'Bid Tabulation'!$A$5</definedName>
    <definedName name="Total1">'Bid Tabulation'!$F$30</definedName>
    <definedName name="Total2">'Bid Tabulation'!$H$30</definedName>
    <definedName name="Total3">'Bid Tabulation'!$J$30</definedName>
    <definedName name="Total3A">'Bid Tabulation'!#REF!</definedName>
    <definedName name="Total4">'Bid Tabulation'!$L$30</definedName>
    <definedName name="Total5">'Bid Tabulation'!$N$30</definedName>
    <definedName name="Total6">'Bid Tabulation'!$P$30</definedName>
    <definedName name="Total7">'Bid Tabulation'!#REF!</definedName>
    <definedName name="Total8">'Bid Tabulation'!#REF!</definedName>
    <definedName name="TotalEE">'Bid Tabulation'!$R$30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2" l="1"/>
  <c r="A9" i="2" l="1"/>
  <c r="B9" i="2"/>
  <c r="C9" i="2"/>
  <c r="H9" i="2" s="1"/>
  <c r="D9" i="2"/>
  <c r="A10" i="2"/>
  <c r="B10" i="2"/>
  <c r="C10" i="2"/>
  <c r="H10" i="2" s="1"/>
  <c r="D10" i="2"/>
  <c r="A11" i="2"/>
  <c r="B11" i="2"/>
  <c r="C11" i="2"/>
  <c r="H11" i="2" s="1"/>
  <c r="D11" i="2"/>
  <c r="A12" i="2"/>
  <c r="B12" i="2"/>
  <c r="C12" i="2"/>
  <c r="H12" i="2" s="1"/>
  <c r="D12" i="2"/>
  <c r="A13" i="2"/>
  <c r="B13" i="2"/>
  <c r="C13" i="2"/>
  <c r="H13" i="2" s="1"/>
  <c r="D13" i="2"/>
  <c r="A14" i="2"/>
  <c r="B14" i="2"/>
  <c r="C14" i="2"/>
  <c r="H14" i="2" s="1"/>
  <c r="D14" i="2"/>
  <c r="A15" i="2"/>
  <c r="B15" i="2"/>
  <c r="C15" i="2"/>
  <c r="H15" i="2" s="1"/>
  <c r="D15" i="2"/>
  <c r="A16" i="2"/>
  <c r="B16" i="2"/>
  <c r="C16" i="2"/>
  <c r="H16" i="2" s="1"/>
  <c r="D16" i="2"/>
  <c r="A17" i="2"/>
  <c r="B17" i="2"/>
  <c r="C17" i="2"/>
  <c r="H17" i="2" s="1"/>
  <c r="D17" i="2"/>
  <c r="A18" i="2"/>
  <c r="B18" i="2"/>
  <c r="C18" i="2"/>
  <c r="H18" i="2" s="1"/>
  <c r="D18" i="2"/>
  <c r="A19" i="2"/>
  <c r="B19" i="2"/>
  <c r="C19" i="2"/>
  <c r="H19" i="2" s="1"/>
  <c r="D19" i="2"/>
  <c r="A20" i="2"/>
  <c r="B20" i="2"/>
  <c r="C20" i="2"/>
  <c r="H20" i="2" s="1"/>
  <c r="D20" i="2"/>
  <c r="A21" i="2"/>
  <c r="B21" i="2"/>
  <c r="C21" i="2"/>
  <c r="H21" i="2" s="1"/>
  <c r="D21" i="2"/>
  <c r="A22" i="2"/>
  <c r="B22" i="2"/>
  <c r="C22" i="2"/>
  <c r="H22" i="2" s="1"/>
  <c r="D22" i="2"/>
  <c r="A23" i="2"/>
  <c r="B23" i="2"/>
  <c r="C23" i="2"/>
  <c r="H23" i="2" s="1"/>
  <c r="D23" i="2"/>
  <c r="A24" i="2"/>
  <c r="B24" i="2"/>
  <c r="C24" i="2"/>
  <c r="H24" i="2" s="1"/>
  <c r="D24" i="2"/>
  <c r="A25" i="2"/>
  <c r="B25" i="2"/>
  <c r="C25" i="2"/>
  <c r="H25" i="2" s="1"/>
  <c r="D25" i="2"/>
  <c r="A26" i="2"/>
  <c r="B26" i="2"/>
  <c r="C26" i="2"/>
  <c r="H26" i="2" s="1"/>
  <c r="D26" i="2"/>
  <c r="A27" i="2"/>
  <c r="B27" i="2"/>
  <c r="C27" i="2"/>
  <c r="H27" i="2" s="1"/>
  <c r="D27" i="2"/>
  <c r="A28" i="2"/>
  <c r="B28" i="2"/>
  <c r="C28" i="2"/>
  <c r="H28" i="2" s="1"/>
  <c r="D28" i="2"/>
  <c r="A29" i="2"/>
  <c r="B29" i="2"/>
  <c r="C29" i="2"/>
  <c r="H29" i="2" s="1"/>
  <c r="D29" i="2"/>
  <c r="F17" i="2" l="1"/>
  <c r="L19" i="2"/>
  <c r="L20" i="2"/>
  <c r="L21" i="2"/>
  <c r="L22" i="2"/>
  <c r="L23" i="2"/>
  <c r="F24" i="2"/>
  <c r="L26" i="2"/>
  <c r="L27" i="2"/>
  <c r="L28" i="2"/>
  <c r="N29" i="2"/>
  <c r="P26" i="2" l="1"/>
  <c r="J26" i="2"/>
  <c r="P20" i="2"/>
  <c r="R21" i="2"/>
  <c r="R18" i="2"/>
  <c r="P22" i="2"/>
  <c r="L18" i="2"/>
  <c r="F26" i="2"/>
  <c r="F22" i="2"/>
  <c r="P18" i="2"/>
  <c r="R26" i="2"/>
  <c r="J22" i="2"/>
  <c r="J17" i="2"/>
  <c r="L24" i="2"/>
  <c r="N21" i="2"/>
  <c r="F18" i="2"/>
  <c r="R22" i="2"/>
  <c r="J21" i="2"/>
  <c r="J18" i="2"/>
  <c r="N22" i="2"/>
  <c r="P17" i="2"/>
  <c r="L17" i="2"/>
  <c r="J24" i="2"/>
  <c r="N18" i="2"/>
  <c r="R17" i="2"/>
  <c r="N17" i="2"/>
  <c r="J27" i="2"/>
  <c r="N26" i="2"/>
  <c r="P24" i="2"/>
  <c r="L25" i="2"/>
  <c r="P21" i="2"/>
  <c r="F21" i="2"/>
  <c r="R29" i="2"/>
  <c r="F25" i="2"/>
  <c r="J20" i="2"/>
  <c r="P25" i="2"/>
  <c r="J25" i="2"/>
  <c r="J29" i="2"/>
  <c r="P29" i="2"/>
  <c r="F29" i="2"/>
  <c r="F28" i="2"/>
  <c r="J28" i="2"/>
  <c r="N28" i="2"/>
  <c r="R28" i="2"/>
  <c r="P28" i="2"/>
  <c r="R25" i="2"/>
  <c r="N25" i="2"/>
  <c r="R24" i="2"/>
  <c r="N24" i="2"/>
  <c r="J23" i="2"/>
  <c r="J19" i="2"/>
  <c r="L29" i="2"/>
  <c r="P27" i="2"/>
  <c r="P23" i="2"/>
  <c r="R20" i="2"/>
  <c r="N20" i="2"/>
  <c r="F20" i="2"/>
  <c r="P19" i="2"/>
  <c r="R27" i="2"/>
  <c r="N27" i="2"/>
  <c r="F27" i="2"/>
  <c r="R23" i="2"/>
  <c r="N23" i="2"/>
  <c r="F23" i="2"/>
  <c r="R19" i="2"/>
  <c r="N19" i="2"/>
  <c r="F19" i="2"/>
  <c r="A5" i="5"/>
  <c r="A4" i="5"/>
  <c r="A3" i="5"/>
  <c r="A2" i="5"/>
  <c r="A1" i="5"/>
  <c r="A3" i="2"/>
  <c r="A2" i="2"/>
  <c r="A1" i="2"/>
  <c r="L16" i="2" l="1"/>
  <c r="N16" i="2"/>
  <c r="R16" i="2"/>
  <c r="P16" i="2"/>
  <c r="P15" i="2"/>
  <c r="L15" i="2"/>
  <c r="N15" i="2"/>
  <c r="R15" i="2"/>
  <c r="L14" i="2"/>
  <c r="N14" i="2"/>
  <c r="R14" i="2"/>
  <c r="P14" i="2"/>
  <c r="P13" i="2"/>
  <c r="L13" i="2"/>
  <c r="N13" i="2"/>
  <c r="R13" i="2"/>
  <c r="J16" i="2"/>
  <c r="F16" i="2"/>
  <c r="J15" i="2"/>
  <c r="F15" i="2"/>
  <c r="F14" i="2"/>
  <c r="J14" i="2"/>
  <c r="F13" i="2"/>
  <c r="J13" i="2"/>
  <c r="A14" i="5"/>
  <c r="A12" i="5"/>
  <c r="A8" i="5"/>
  <c r="A9" i="5"/>
  <c r="A11" i="5"/>
  <c r="A13" i="5"/>
  <c r="A10" i="5"/>
  <c r="A6" i="5" l="1"/>
  <c r="D8" i="2"/>
  <c r="C8" i="2"/>
  <c r="B8" i="2"/>
  <c r="A8" i="2"/>
  <c r="A6" i="2"/>
  <c r="P9" i="2" l="1"/>
  <c r="L9" i="2"/>
  <c r="N9" i="2"/>
  <c r="R9" i="2"/>
  <c r="L12" i="2"/>
  <c r="N12" i="2"/>
  <c r="R12" i="2"/>
  <c r="P12" i="2"/>
  <c r="P11" i="2"/>
  <c r="L11" i="2"/>
  <c r="N11" i="2"/>
  <c r="R11" i="2"/>
  <c r="L10" i="2"/>
  <c r="N10" i="2"/>
  <c r="R10" i="2"/>
  <c r="P10" i="2"/>
  <c r="L8" i="2"/>
  <c r="N8" i="2"/>
  <c r="R8" i="2"/>
  <c r="P8" i="2"/>
  <c r="J8" i="2"/>
  <c r="F8" i="2"/>
  <c r="H8" i="2"/>
  <c r="H30" i="2" s="1"/>
  <c r="J12" i="2"/>
  <c r="F12" i="2"/>
  <c r="J11" i="2"/>
  <c r="F11" i="2"/>
  <c r="F10" i="2"/>
  <c r="J10" i="2"/>
  <c r="J9" i="2"/>
  <c r="F9" i="2"/>
  <c r="N30" i="2" l="1"/>
  <c r="B8" i="5" s="1"/>
  <c r="B13" i="5"/>
  <c r="L30" i="2"/>
  <c r="J30" i="2"/>
  <c r="B11" i="5" s="1"/>
  <c r="P30" i="2"/>
  <c r="B12" i="5" s="1"/>
  <c r="R30" i="2"/>
  <c r="B14" i="5" s="1"/>
</calcChain>
</file>

<file path=xl/sharedStrings.xml><?xml version="1.0" encoding="utf-8"?>
<sst xmlns="http://schemas.openxmlformats.org/spreadsheetml/2006/main" count="122" uniqueCount="80">
  <si>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</si>
  <si>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</si>
  <si>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</si>
  <si>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</si>
  <si>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</si>
  <si>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</si>
  <si>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</si>
  <si>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</si>
  <si>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</si>
  <si>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</si>
  <si>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</si>
  <si>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</si>
  <si>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</si>
  <si>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Item No.</t>
  </si>
  <si>
    <t>Item Description</t>
  </si>
  <si>
    <t>Estimated Quantity</t>
  </si>
  <si>
    <t xml:space="preserve">Units </t>
  </si>
  <si>
    <t>Unit Price</t>
  </si>
  <si>
    <t>Total Price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</si>
  <si>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</si>
  <si>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</si>
  <si>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</si>
  <si>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</si>
  <si>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</si>
  <si>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</si>
  <si>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</si>
  <si>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</si>
  <si>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</si>
  <si>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</si>
  <si>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$___________</t>
  </si>
  <si>
    <t>Total Amount Bid (Basis of Award)</t>
  </si>
  <si>
    <t>Bidder</t>
  </si>
  <si>
    <t>Engineer's Estimate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</si>
  <si>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</si>
  <si>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</si>
  <si>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</si>
  <si>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</si>
  <si>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</si>
  <si>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</si>
  <si>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</si>
  <si>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</si>
  <si>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</si>
  <si>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</si>
  <si>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</si>
  <si>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Mobilization, Surveying, Cleanup, and Demobilization</t>
  </si>
  <si>
    <t>Traffic Control</t>
  </si>
  <si>
    <t>Temporary Erosion, Sediment, and Pollution Control</t>
  </si>
  <si>
    <t>General Demolition</t>
  </si>
  <si>
    <t>Pavement Removal and Disposal, 9-Inch Depth</t>
  </si>
  <si>
    <t>Cold Plane Pavement Removal and Disposal, 3-Inch Depth</t>
  </si>
  <si>
    <t>Signage</t>
  </si>
  <si>
    <t>Signal Modification</t>
  </si>
  <si>
    <t>Lighting</t>
  </si>
  <si>
    <t>Common Excavation</t>
  </si>
  <si>
    <t>Site Preparation</t>
  </si>
  <si>
    <t>Subgrade Preparation</t>
  </si>
  <si>
    <t>Aggregate Base Course</t>
  </si>
  <si>
    <t>Level 3, 1/2-Inch-Dense HMAC</t>
  </si>
  <si>
    <t>Geotextile Fabric</t>
  </si>
  <si>
    <t>Tack Coat</t>
  </si>
  <si>
    <t>Concrete Curb</t>
  </si>
  <si>
    <t>Concrete Walks</t>
  </si>
  <si>
    <t>Pavement Markings</t>
  </si>
  <si>
    <t>PORTLAND INTERNATIONAL AIRPORT</t>
  </si>
  <si>
    <t>AIR CARGO ROAD AND INTERSECTION IMPROVEMENTS</t>
  </si>
  <si>
    <t>0022</t>
  </si>
  <si>
    <t>Clearing and Seeding</t>
  </si>
  <si>
    <t>Storm Culvert</t>
  </si>
  <si>
    <t>Valley Gutter</t>
  </si>
  <si>
    <t>EAN 2023D028</t>
  </si>
  <si>
    <t>Solicitation No. 2024-10569</t>
  </si>
  <si>
    <t>Brix Paving 
Northwest, Inc.</t>
  </si>
  <si>
    <t>Dirt &amp; Aggregate Interchange</t>
  </si>
  <si>
    <t>Kerr Contractors 
Oregon, LLC</t>
  </si>
  <si>
    <t>Knife River 
Corporation - Northwest</t>
  </si>
  <si>
    <t>Kodiak Pacific Construction</t>
  </si>
  <si>
    <t>Pacific Excavation, Inc.</t>
  </si>
  <si>
    <t>$837,843.50*</t>
  </si>
  <si>
    <t>*Corrected Bid Total</t>
  </si>
  <si>
    <t>$883,359.00*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</si>
</sst>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"/>
    <numFmt numFmtId="165" formatCode="General;\–General;"/>
    <numFmt numFmtId="166" formatCode="&quot;$&quot;#,##0.00"/>
    <numFmt numFmtId="167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 applyProtection="1">
      <protection hidden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5" fillId="0" borderId="1" xfId="0" applyFont="1" applyBorder="1"/>
    <xf numFmtId="0" fontId="3" fillId="0" borderId="5" xfId="0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vertical="top"/>
    </xf>
    <xf numFmtId="0" fontId="3" fillId="0" borderId="5" xfId="0" applyFont="1" applyBorder="1"/>
    <xf numFmtId="0" fontId="0" fillId="0" borderId="0" xfId="0" applyAlignment="1">
      <alignment horizontal="left" vertic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left" vertical="center"/>
    </xf>
    <xf numFmtId="165" fontId="3" fillId="0" borderId="5" xfId="0" applyNumberFormat="1" applyFont="1" applyBorder="1"/>
    <xf numFmtId="165" fontId="0" fillId="0" borderId="0" xfId="0" applyNumberFormat="1"/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166" fontId="7" fillId="0" borderId="5" xfId="0" applyNumberFormat="1" applyFont="1" applyBorder="1" applyAlignment="1">
      <alignment horizontal="center" vertical="top"/>
    </xf>
    <xf numFmtId="166" fontId="7" fillId="0" borderId="5" xfId="1" applyNumberFormat="1" applyFont="1" applyBorder="1" applyAlignment="1">
      <alignment horizontal="center" vertical="top"/>
    </xf>
    <xf numFmtId="166" fontId="3" fillId="0" borderId="5" xfId="0" applyNumberFormat="1" applyFont="1" applyBorder="1"/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/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3" fillId="0" borderId="5" xfId="0" applyNumberFormat="1" applyFont="1" applyBorder="1"/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center" vertical="top"/>
    </xf>
    <xf numFmtId="165" fontId="7" fillId="0" borderId="5" xfId="0" applyNumberFormat="1" applyFont="1" applyBorder="1" applyAlignment="1">
      <alignment horizontal="left" vertical="top" wrapText="1"/>
    </xf>
    <xf numFmtId="167" fontId="7" fillId="0" borderId="5" xfId="0" applyNumberFormat="1" applyFont="1" applyBorder="1" applyAlignment="1">
      <alignment horizontal="center" vertical="top"/>
    </xf>
    <xf numFmtId="0" fontId="4" fillId="2" borderId="5" xfId="0" applyFont="1" applyFill="1" applyBorder="1" applyAlignment="1">
      <alignment horizontal="left" vertical="center"/>
    </xf>
    <xf numFmtId="166" fontId="4" fillId="2" borderId="5" xfId="0" applyNumberFormat="1" applyFont="1" applyFill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Border="1" applyAlignment="1" applyProtection="1">
      <alignment horizontal="left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6" fontId="5" fillId="0" borderId="8" xfId="0" applyNumberFormat="1" applyFont="1" applyBorder="1" applyAlignment="1">
      <alignment horizontal="center" wrapText="1"/>
    </xf>
    <xf numFmtId="166" fontId="5" fillId="0" borderId="9" xfId="0" applyNumberFormat="1" applyFont="1" applyBorder="1" applyAlignment="1">
      <alignment horizontal="center" wrapText="1"/>
    </xf>
    <xf numFmtId="166" fontId="5" fillId="0" borderId="10" xfId="0" applyNumberFormat="1" applyFont="1" applyBorder="1" applyAlignment="1">
      <alignment horizontal="center" wrapText="1"/>
    </xf>
    <xf numFmtId="166" fontId="5" fillId="0" borderId="11" xfId="0" applyNumberFormat="1" applyFont="1" applyBorder="1" applyAlignment="1">
      <alignment horizontal="center" wrapText="1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166" fontId="5" fillId="0" borderId="8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5" tint="-0.499984740745262"/>
  </sheetPr>
  <dimension ref="A1:F42"/>
  <sheetViews>
    <sheetView view="pageBreakPreview" topLeftCell="A14" zoomScaleNormal="100" zoomScaleSheetLayoutView="100" workbookViewId="0">
      <selection activeCell="B35" sqref="B35"/>
    </sheetView>
  </sheetViews>
  <sheetFormatPr defaultRowHeight="15" x14ac:dyDescent="0.25"/>
  <cols>
    <col min="1" max="1" width="6.5703125" customWidth="1"/>
    <col min="2" max="2" width="36.7109375" customWidth="1"/>
    <col min="3" max="3" width="10.7109375" style="27" customWidth="1"/>
    <col min="4" max="4" width="8.28515625" customWidth="1"/>
    <col min="5" max="6" width="13.28515625" style="30" customWidth="1"/>
  </cols>
  <sheetData>
    <row r="1" spans="1:6" hidden="1" x14ac:dyDescent="0.25">
      <c r="A1" s="1" t="s">
        <v>0</v>
      </c>
    </row>
    <row r="2" spans="1:6" hidden="1" x14ac:dyDescent="0.25">
      <c r="A2" s="1" t="s">
        <v>1</v>
      </c>
    </row>
    <row r="3" spans="1:6" hidden="1" x14ac:dyDescent="0.25">
      <c r="A3" s="1" t="s">
        <v>2</v>
      </c>
    </row>
    <row r="4" spans="1:6" hidden="1" x14ac:dyDescent="0.25">
      <c r="A4" s="1" t="s">
        <v>3</v>
      </c>
    </row>
    <row r="5" spans="1:6" hidden="1" x14ac:dyDescent="0.25">
      <c r="A5" s="1" t="s">
        <v>4</v>
      </c>
    </row>
    <row r="6" spans="1:6" hidden="1" x14ac:dyDescent="0.25">
      <c r="A6" s="1" t="s">
        <v>5</v>
      </c>
    </row>
    <row r="7" spans="1:6" hidden="1" x14ac:dyDescent="0.25">
      <c r="A7" s="1" t="s">
        <v>6</v>
      </c>
    </row>
    <row r="8" spans="1:6" hidden="1" x14ac:dyDescent="0.25">
      <c r="A8" s="1" t="s">
        <v>7</v>
      </c>
    </row>
    <row r="9" spans="1:6" hidden="1" x14ac:dyDescent="0.25">
      <c r="A9" s="1" t="s">
        <v>8</v>
      </c>
    </row>
    <row r="10" spans="1:6" hidden="1" x14ac:dyDescent="0.25">
      <c r="A10" s="1" t="s">
        <v>9</v>
      </c>
    </row>
    <row r="11" spans="1:6" hidden="1" x14ac:dyDescent="0.25">
      <c r="A11" s="1" t="s">
        <v>10</v>
      </c>
    </row>
    <row r="12" spans="1:6" hidden="1" x14ac:dyDescent="0.25">
      <c r="A12" s="1" t="s">
        <v>11</v>
      </c>
    </row>
    <row r="13" spans="1:6" hidden="1" x14ac:dyDescent="0.25">
      <c r="A13" s="1" t="s">
        <v>12</v>
      </c>
    </row>
    <row r="14" spans="1:6" x14ac:dyDescent="0.25">
      <c r="A14" s="60"/>
      <c r="B14" s="60"/>
      <c r="C14" s="60"/>
      <c r="D14" s="60"/>
      <c r="E14" s="54"/>
      <c r="F14" s="54"/>
    </row>
    <row r="15" spans="1:6" x14ac:dyDescent="0.25">
      <c r="A15" s="57" t="s">
        <v>63</v>
      </c>
      <c r="B15" s="57"/>
      <c r="C15" s="57"/>
      <c r="D15" s="57"/>
      <c r="E15" s="55"/>
      <c r="F15" s="55"/>
    </row>
    <row r="16" spans="1:6" x14ac:dyDescent="0.25">
      <c r="A16" s="58" t="s">
        <v>64</v>
      </c>
      <c r="B16" s="58"/>
      <c r="C16" s="58"/>
      <c r="D16" s="58"/>
      <c r="E16" s="55"/>
      <c r="F16" s="55"/>
    </row>
    <row r="17" spans="1:6" x14ac:dyDescent="0.25">
      <c r="A17" s="58"/>
      <c r="B17" s="58"/>
      <c r="C17" s="58"/>
      <c r="D17" s="58"/>
      <c r="E17" s="55"/>
      <c r="F17" s="55"/>
    </row>
    <row r="18" spans="1:6" x14ac:dyDescent="0.25">
      <c r="A18" s="59"/>
      <c r="B18" s="59"/>
      <c r="C18" s="59"/>
      <c r="D18" s="59"/>
      <c r="E18" s="56"/>
      <c r="F18" s="56"/>
    </row>
    <row r="19" spans="1:6" s="2" customFormat="1" ht="24" customHeight="1" x14ac:dyDescent="0.2">
      <c r="A19" s="3" t="s">
        <v>13</v>
      </c>
      <c r="B19" s="3" t="s">
        <v>14</v>
      </c>
      <c r="C19" s="28" t="s">
        <v>15</v>
      </c>
      <c r="D19" s="3" t="s">
        <v>16</v>
      </c>
      <c r="E19" s="31" t="s">
        <v>17</v>
      </c>
      <c r="F19" s="31" t="s">
        <v>18</v>
      </c>
    </row>
    <row r="20" spans="1:6" ht="40.5" customHeight="1" x14ac:dyDescent="0.25">
      <c r="A20" s="4" t="s">
        <v>19</v>
      </c>
      <c r="B20" s="47" t="s">
        <v>44</v>
      </c>
      <c r="C20" s="48">
        <v>1</v>
      </c>
      <c r="D20" s="5" t="s">
        <v>8</v>
      </c>
      <c r="E20" s="32"/>
      <c r="F20" s="32"/>
    </row>
    <row r="21" spans="1:6" ht="40.5" customHeight="1" x14ac:dyDescent="0.25">
      <c r="A21" s="4" t="s">
        <v>20</v>
      </c>
      <c r="B21" s="47" t="s">
        <v>45</v>
      </c>
      <c r="C21" s="48">
        <v>1</v>
      </c>
      <c r="D21" s="5" t="s">
        <v>8</v>
      </c>
      <c r="E21" s="32"/>
      <c r="F21" s="32"/>
    </row>
    <row r="22" spans="1:6" ht="40.5" customHeight="1" x14ac:dyDescent="0.25">
      <c r="A22" s="4" t="s">
        <v>21</v>
      </c>
      <c r="B22" s="47" t="s">
        <v>46</v>
      </c>
      <c r="C22" s="48">
        <v>1</v>
      </c>
      <c r="D22" s="5" t="s">
        <v>8</v>
      </c>
      <c r="E22" s="32"/>
      <c r="F22" s="32"/>
    </row>
    <row r="23" spans="1:6" ht="40.5" customHeight="1" x14ac:dyDescent="0.25">
      <c r="A23" s="4" t="s">
        <v>22</v>
      </c>
      <c r="B23" s="47" t="s">
        <v>47</v>
      </c>
      <c r="C23" s="48">
        <v>1</v>
      </c>
      <c r="D23" s="5" t="s">
        <v>8</v>
      </c>
      <c r="E23" s="32"/>
      <c r="F23" s="32"/>
    </row>
    <row r="24" spans="1:6" ht="40.5" customHeight="1" x14ac:dyDescent="0.25">
      <c r="A24" s="4" t="s">
        <v>23</v>
      </c>
      <c r="B24" s="47" t="s">
        <v>48</v>
      </c>
      <c r="C24" s="48">
        <v>230</v>
      </c>
      <c r="D24" s="5" t="s">
        <v>11</v>
      </c>
      <c r="E24" s="32"/>
      <c r="F24" s="32"/>
    </row>
    <row r="25" spans="1:6" ht="40.5" customHeight="1" x14ac:dyDescent="0.25">
      <c r="A25" s="4" t="s">
        <v>24</v>
      </c>
      <c r="B25" s="47" t="s">
        <v>49</v>
      </c>
      <c r="C25" s="48">
        <v>5000</v>
      </c>
      <c r="D25" s="5" t="s">
        <v>11</v>
      </c>
      <c r="E25" s="32"/>
      <c r="F25" s="32"/>
    </row>
    <row r="26" spans="1:6" ht="40.5" customHeight="1" x14ac:dyDescent="0.25">
      <c r="A26" s="4" t="s">
        <v>25</v>
      </c>
      <c r="B26" s="47" t="s">
        <v>50</v>
      </c>
      <c r="C26" s="48">
        <v>1</v>
      </c>
      <c r="D26" s="5" t="s">
        <v>8</v>
      </c>
      <c r="E26" s="32"/>
      <c r="F26" s="32"/>
    </row>
    <row r="27" spans="1:6" ht="40.5" customHeight="1" x14ac:dyDescent="0.25">
      <c r="A27" s="4" t="s">
        <v>26</v>
      </c>
      <c r="B27" s="47" t="s">
        <v>51</v>
      </c>
      <c r="C27" s="48">
        <v>1</v>
      </c>
      <c r="D27" s="5" t="s">
        <v>8</v>
      </c>
      <c r="E27" s="32"/>
      <c r="F27" s="32"/>
    </row>
    <row r="28" spans="1:6" ht="40.5" customHeight="1" x14ac:dyDescent="0.25">
      <c r="A28" s="4" t="s">
        <v>27</v>
      </c>
      <c r="B28" s="47" t="s">
        <v>52</v>
      </c>
      <c r="C28" s="48">
        <v>1</v>
      </c>
      <c r="D28" s="5" t="s">
        <v>8</v>
      </c>
      <c r="E28" s="32"/>
      <c r="F28" s="32"/>
    </row>
    <row r="29" spans="1:6" ht="40.5" customHeight="1" x14ac:dyDescent="0.25">
      <c r="A29" s="4" t="s">
        <v>28</v>
      </c>
      <c r="B29" s="47" t="s">
        <v>53</v>
      </c>
      <c r="C29" s="48">
        <v>1030</v>
      </c>
      <c r="D29" s="5" t="s">
        <v>1</v>
      </c>
      <c r="E29" s="32"/>
      <c r="F29" s="32"/>
    </row>
    <row r="30" spans="1:6" ht="40.5" customHeight="1" x14ac:dyDescent="0.25">
      <c r="A30" s="4" t="s">
        <v>33</v>
      </c>
      <c r="B30" s="47" t="s">
        <v>54</v>
      </c>
      <c r="C30" s="48">
        <v>1</v>
      </c>
      <c r="D30" s="5" t="s">
        <v>8</v>
      </c>
      <c r="E30" s="32"/>
      <c r="F30" s="32"/>
    </row>
    <row r="31" spans="1:6" ht="40.5" customHeight="1" x14ac:dyDescent="0.25">
      <c r="A31" s="4" t="s">
        <v>34</v>
      </c>
      <c r="B31" s="47" t="s">
        <v>55</v>
      </c>
      <c r="C31" s="48">
        <v>670</v>
      </c>
      <c r="D31" s="5" t="s">
        <v>11</v>
      </c>
      <c r="E31" s="32"/>
      <c r="F31" s="32"/>
    </row>
    <row r="32" spans="1:6" ht="40.5" customHeight="1" x14ac:dyDescent="0.25">
      <c r="A32" s="4" t="s">
        <v>35</v>
      </c>
      <c r="B32" s="47" t="s">
        <v>56</v>
      </c>
      <c r="C32" s="48">
        <v>250</v>
      </c>
      <c r="D32" s="5" t="s">
        <v>1</v>
      </c>
      <c r="E32" s="32"/>
      <c r="F32" s="32"/>
    </row>
    <row r="33" spans="1:6" ht="40.5" customHeight="1" x14ac:dyDescent="0.25">
      <c r="A33" s="4" t="s">
        <v>36</v>
      </c>
      <c r="B33" s="47" t="s">
        <v>57</v>
      </c>
      <c r="C33" s="48">
        <v>1500</v>
      </c>
      <c r="D33" s="5" t="s">
        <v>12</v>
      </c>
      <c r="E33" s="32"/>
      <c r="F33" s="32"/>
    </row>
    <row r="34" spans="1:6" ht="40.5" customHeight="1" x14ac:dyDescent="0.25">
      <c r="A34" s="4" t="s">
        <v>37</v>
      </c>
      <c r="B34" s="47" t="s">
        <v>58</v>
      </c>
      <c r="C34" s="48">
        <v>700</v>
      </c>
      <c r="D34" s="5" t="s">
        <v>11</v>
      </c>
      <c r="E34" s="32"/>
      <c r="F34" s="32"/>
    </row>
    <row r="35" spans="1:6" ht="40.5" customHeight="1" x14ac:dyDescent="0.25">
      <c r="A35" s="4" t="s">
        <v>38</v>
      </c>
      <c r="B35" s="47" t="s">
        <v>59</v>
      </c>
      <c r="C35" s="48">
        <v>4</v>
      </c>
      <c r="D35" s="5" t="s">
        <v>12</v>
      </c>
      <c r="E35" s="32"/>
      <c r="F35" s="32"/>
    </row>
    <row r="36" spans="1:6" ht="40.5" customHeight="1" x14ac:dyDescent="0.25">
      <c r="A36" s="4" t="s">
        <v>39</v>
      </c>
      <c r="B36" s="47" t="s">
        <v>68</v>
      </c>
      <c r="C36" s="48">
        <v>105</v>
      </c>
      <c r="D36" s="5" t="s">
        <v>10</v>
      </c>
      <c r="E36" s="32"/>
      <c r="F36" s="32"/>
    </row>
    <row r="37" spans="1:6" ht="40.5" customHeight="1" x14ac:dyDescent="0.25">
      <c r="A37" s="4" t="s">
        <v>40</v>
      </c>
      <c r="B37" s="47" t="s">
        <v>60</v>
      </c>
      <c r="C37" s="48">
        <v>180</v>
      </c>
      <c r="D37" s="5" t="s">
        <v>7</v>
      </c>
      <c r="E37" s="32"/>
      <c r="F37" s="32"/>
    </row>
    <row r="38" spans="1:6" ht="40.5" customHeight="1" x14ac:dyDescent="0.25">
      <c r="A38" s="4" t="s">
        <v>41</v>
      </c>
      <c r="B38" s="47" t="s">
        <v>61</v>
      </c>
      <c r="C38" s="48">
        <v>700</v>
      </c>
      <c r="D38" s="5" t="s">
        <v>10</v>
      </c>
      <c r="E38" s="32"/>
      <c r="F38" s="32"/>
    </row>
    <row r="39" spans="1:6" ht="40.5" customHeight="1" x14ac:dyDescent="0.25">
      <c r="A39" s="4" t="s">
        <v>42</v>
      </c>
      <c r="B39" s="47" t="s">
        <v>62</v>
      </c>
      <c r="C39" s="48">
        <v>1</v>
      </c>
      <c r="D39" s="5" t="s">
        <v>8</v>
      </c>
      <c r="E39" s="32"/>
      <c r="F39" s="32"/>
    </row>
    <row r="40" spans="1:6" ht="40.5" customHeight="1" x14ac:dyDescent="0.25">
      <c r="A40" s="4" t="s">
        <v>43</v>
      </c>
      <c r="B40" s="47" t="s">
        <v>66</v>
      </c>
      <c r="C40" s="48">
        <v>0.3</v>
      </c>
      <c r="D40" s="5" t="s">
        <v>0</v>
      </c>
      <c r="E40" s="32"/>
      <c r="F40" s="32"/>
    </row>
    <row r="41" spans="1:6" ht="40.5" customHeight="1" x14ac:dyDescent="0.25">
      <c r="A41" s="4" t="s">
        <v>65</v>
      </c>
      <c r="B41" s="47" t="s">
        <v>67</v>
      </c>
      <c r="C41" s="48">
        <v>55</v>
      </c>
      <c r="D41" s="5" t="s">
        <v>7</v>
      </c>
      <c r="E41" s="32"/>
      <c r="F41" s="32"/>
    </row>
    <row r="42" spans="1:6" ht="27.75" customHeight="1" x14ac:dyDescent="0.25">
      <c r="A42" s="6"/>
      <c r="B42" s="7" t="s">
        <v>30</v>
      </c>
      <c r="C42" s="29"/>
      <c r="D42" s="6"/>
      <c r="E42" s="33"/>
      <c r="F42" s="33" t="s">
        <v>29</v>
      </c>
    </row>
  </sheetData>
  <dataConsolidate function="count"/>
  <mergeCells count="6">
    <mergeCell ref="E14:F18"/>
    <mergeCell ref="A15:D15"/>
    <mergeCell ref="A16:D16"/>
    <mergeCell ref="A17:D17"/>
    <mergeCell ref="A18:D18"/>
    <mergeCell ref="A14:D14"/>
  </mergeCells>
  <phoneticPr fontId="9" type="noConversion"/>
  <dataValidations count="1">
    <dataValidation type="list" allowBlank="1" showInputMessage="1" showErrorMessage="1" sqref="D20:D41" xr:uid="{00000000-0002-0000-0000-000000000000}">
      <formula1>$A$1:$A$13</formula1>
    </dataValidation>
  </dataValidations>
  <printOptions horizontalCentered="1"/>
  <pageMargins left="0.75" right="0.75" top="1" bottom="1" header="0.5" footer="0.7"/>
  <pageSetup firstPageNumber="2" orientation="portrait" useFirstPageNumber="1" r:id="rId1"/>
  <headerFooter>
    <oddHeader>&amp;RBidder: _________________________</oddHeader>
    <oddFooter>&amp;L&amp;"Times New Roman,Regular"&amp;8&amp;Z&amp;F&amp;R&amp;"Times New Roman,Regular"&amp;9Bid 
004100-&amp;P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-0.499984740745262"/>
  </sheetPr>
  <dimension ref="A1:R30"/>
  <sheetViews>
    <sheetView topLeftCell="A18" zoomScaleNormal="100" zoomScaleSheetLayoutView="100" workbookViewId="0">
      <selection sqref="A1:D1"/>
    </sheetView>
  </sheetViews>
  <sheetFormatPr defaultRowHeight="15" x14ac:dyDescent="0.25"/>
  <cols>
    <col min="1" max="1" width="6.7109375" customWidth="1"/>
    <col min="2" max="2" width="28.85546875" style="21" customWidth="1"/>
    <col min="3" max="3" width="11.28515625" style="36" customWidth="1"/>
    <col min="4" max="4" width="6.7109375" style="21" customWidth="1"/>
    <col min="5" max="5" width="11" style="30" customWidth="1"/>
    <col min="6" max="6" width="13.42578125" style="30" customWidth="1"/>
    <col min="7" max="7" width="11" style="30" customWidth="1"/>
    <col min="8" max="8" width="13.42578125" style="30" customWidth="1"/>
    <col min="9" max="9" width="11" style="30" customWidth="1"/>
    <col min="10" max="10" width="13.42578125" style="30" customWidth="1"/>
    <col min="11" max="11" width="11" customWidth="1"/>
    <col min="12" max="12" width="13.42578125" customWidth="1"/>
    <col min="13" max="13" width="11" customWidth="1"/>
    <col min="14" max="14" width="13.42578125" customWidth="1"/>
    <col min="15" max="15" width="11" customWidth="1"/>
    <col min="16" max="16" width="13.42578125" customWidth="1"/>
    <col min="17" max="17" width="11" customWidth="1"/>
    <col min="18" max="18" width="13.42578125" customWidth="1"/>
  </cols>
  <sheetData>
    <row r="1" spans="1:18" ht="30" customHeight="1" x14ac:dyDescent="0.25">
      <c r="A1" s="68" t="str">
        <f>ProjectLocation</f>
        <v>PORTLAND INTERNATIONAL AIRPORT</v>
      </c>
      <c r="B1" s="69"/>
      <c r="C1" s="69"/>
      <c r="D1" s="70"/>
      <c r="E1" s="64" t="s">
        <v>71</v>
      </c>
      <c r="F1" s="65"/>
      <c r="G1" s="64" t="s">
        <v>72</v>
      </c>
      <c r="H1" s="65"/>
      <c r="I1" s="64" t="s">
        <v>73</v>
      </c>
      <c r="J1" s="65"/>
      <c r="K1" s="64" t="s">
        <v>74</v>
      </c>
      <c r="L1" s="65"/>
      <c r="M1" s="64" t="s">
        <v>75</v>
      </c>
      <c r="N1" s="65"/>
      <c r="O1" s="64" t="s">
        <v>76</v>
      </c>
      <c r="P1" s="65"/>
      <c r="Q1" s="77" t="s">
        <v>32</v>
      </c>
      <c r="R1" s="78"/>
    </row>
    <row r="2" spans="1:18" x14ac:dyDescent="0.25">
      <c r="A2" s="71" t="str">
        <f>ProjectTitle</f>
        <v>AIR CARGO ROAD AND INTERSECTION IMPROVEMENTS</v>
      </c>
      <c r="B2" s="72"/>
      <c r="C2" s="72"/>
      <c r="D2" s="73"/>
      <c r="E2" s="66"/>
      <c r="F2" s="67"/>
      <c r="G2" s="66"/>
      <c r="H2" s="67"/>
      <c r="I2" s="66"/>
      <c r="J2" s="67"/>
      <c r="K2" s="66"/>
      <c r="L2" s="67"/>
      <c r="M2" s="66"/>
      <c r="N2" s="67"/>
      <c r="O2" s="66"/>
      <c r="P2" s="67"/>
      <c r="Q2" s="79"/>
      <c r="R2" s="80"/>
    </row>
    <row r="3" spans="1:18" x14ac:dyDescent="0.25">
      <c r="A3" s="71">
        <f>ProjectTitle2</f>
        <v>0</v>
      </c>
      <c r="B3" s="72"/>
      <c r="C3" s="72"/>
      <c r="D3" s="73"/>
      <c r="E3" s="66"/>
      <c r="F3" s="67"/>
      <c r="G3" s="66"/>
      <c r="H3" s="67"/>
      <c r="I3" s="66"/>
      <c r="J3" s="67"/>
      <c r="K3" s="66"/>
      <c r="L3" s="67"/>
      <c r="M3" s="66"/>
      <c r="N3" s="67"/>
      <c r="O3" s="66"/>
      <c r="P3" s="67"/>
      <c r="Q3" s="79"/>
      <c r="R3" s="80"/>
    </row>
    <row r="4" spans="1:18" x14ac:dyDescent="0.25">
      <c r="A4" s="74" t="s">
        <v>69</v>
      </c>
      <c r="B4" s="75"/>
      <c r="C4" s="75"/>
      <c r="D4" s="76"/>
      <c r="E4" s="66"/>
      <c r="F4" s="67"/>
      <c r="G4" s="66"/>
      <c r="H4" s="67"/>
      <c r="I4" s="66"/>
      <c r="J4" s="67"/>
      <c r="K4" s="66"/>
      <c r="L4" s="67"/>
      <c r="M4" s="66"/>
      <c r="N4" s="67"/>
      <c r="O4" s="66"/>
      <c r="P4" s="67"/>
      <c r="Q4" s="79"/>
      <c r="R4" s="80"/>
    </row>
    <row r="5" spans="1:18" x14ac:dyDescent="0.25">
      <c r="A5" s="74" t="s">
        <v>70</v>
      </c>
      <c r="B5" s="75"/>
      <c r="C5" s="75"/>
      <c r="D5" s="76"/>
      <c r="E5" s="66"/>
      <c r="F5" s="67"/>
      <c r="G5" s="66"/>
      <c r="H5" s="67"/>
      <c r="I5" s="66"/>
      <c r="J5" s="67"/>
      <c r="K5" s="66"/>
      <c r="L5" s="67"/>
      <c r="M5" s="66"/>
      <c r="N5" s="67"/>
      <c r="O5" s="66"/>
      <c r="P5" s="67"/>
      <c r="Q5" s="79"/>
      <c r="R5" s="80"/>
    </row>
    <row r="6" spans="1:18" x14ac:dyDescent="0.25">
      <c r="A6" s="61">
        <f ca="1">TODAY()</f>
        <v>45697</v>
      </c>
      <c r="B6" s="62"/>
      <c r="C6" s="62"/>
      <c r="D6" s="63"/>
      <c r="E6" s="37"/>
      <c r="F6" s="38"/>
      <c r="G6" s="37"/>
      <c r="H6" s="38"/>
      <c r="I6" s="37"/>
      <c r="J6" s="38"/>
      <c r="K6" s="37"/>
      <c r="L6" s="38"/>
      <c r="M6" s="37"/>
      <c r="N6" s="38"/>
      <c r="O6" s="37"/>
      <c r="P6" s="38"/>
      <c r="Q6" s="37"/>
      <c r="R6" s="38"/>
    </row>
    <row r="7" spans="1:18" ht="32.25" customHeight="1" x14ac:dyDescent="0.25">
      <c r="A7" s="8" t="s">
        <v>13</v>
      </c>
      <c r="B7" s="17" t="s">
        <v>14</v>
      </c>
      <c r="C7" s="34" t="s">
        <v>15</v>
      </c>
      <c r="D7" s="17" t="s">
        <v>16</v>
      </c>
      <c r="E7" s="39" t="s">
        <v>17</v>
      </c>
      <c r="F7" s="39" t="s">
        <v>18</v>
      </c>
      <c r="G7" s="39" t="s">
        <v>17</v>
      </c>
      <c r="H7" s="39" t="s">
        <v>18</v>
      </c>
      <c r="I7" s="39" t="s">
        <v>17</v>
      </c>
      <c r="J7" s="39" t="s">
        <v>18</v>
      </c>
      <c r="K7" s="39" t="s">
        <v>17</v>
      </c>
      <c r="L7" s="39" t="s">
        <v>18</v>
      </c>
      <c r="M7" s="39" t="s">
        <v>17</v>
      </c>
      <c r="N7" s="39" t="s">
        <v>18</v>
      </c>
      <c r="O7" s="39" t="s">
        <v>17</v>
      </c>
      <c r="P7" s="39" t="s">
        <v>18</v>
      </c>
      <c r="Q7" s="39" t="s">
        <v>17</v>
      </c>
      <c r="R7" s="39" t="s">
        <v>18</v>
      </c>
    </row>
    <row r="8" spans="1:18" ht="33" customHeight="1" x14ac:dyDescent="0.25">
      <c r="A8" s="9" t="str">
        <f>'Bid Item List'!A20</f>
        <v>0001</v>
      </c>
      <c r="B8" s="49" t="str">
        <f>'Bid Item List'!B20</f>
        <v>Mobilization, Surveying, Cleanup, and Demobilization</v>
      </c>
      <c r="C8" s="50">
        <f>'Bid Item List'!C20</f>
        <v>1</v>
      </c>
      <c r="D8" s="18" t="str">
        <f>'Bid Item List'!D20</f>
        <v>LS</v>
      </c>
      <c r="E8" s="24">
        <v>11000</v>
      </c>
      <c r="F8" s="25">
        <f t="shared" ref="F8:F16" si="0">QTY*E8</f>
        <v>11000</v>
      </c>
      <c r="G8" s="24">
        <v>100000</v>
      </c>
      <c r="H8" s="25">
        <f t="shared" ref="H8:H29" si="1">QTY*G8</f>
        <v>100000</v>
      </c>
      <c r="I8" s="24">
        <v>92000</v>
      </c>
      <c r="J8" s="25">
        <f t="shared" ref="J8:J16" si="2">QTY*I8</f>
        <v>92000</v>
      </c>
      <c r="K8" s="24">
        <v>36000</v>
      </c>
      <c r="L8" s="25">
        <f t="shared" ref="L8:L16" si="3">QTY*K8</f>
        <v>36000</v>
      </c>
      <c r="M8" s="24">
        <v>109266</v>
      </c>
      <c r="N8" s="25">
        <f t="shared" ref="N8:N16" si="4">QTY*M8</f>
        <v>109266</v>
      </c>
      <c r="O8" s="24">
        <v>130386</v>
      </c>
      <c r="P8" s="25">
        <f t="shared" ref="P8:P16" si="5">QTY*O8</f>
        <v>130386</v>
      </c>
      <c r="Q8" s="24">
        <v>96600</v>
      </c>
      <c r="R8" s="25">
        <f t="shared" ref="R8:R16" si="6">QTY*Q8</f>
        <v>96600</v>
      </c>
    </row>
    <row r="9" spans="1:18" ht="33" customHeight="1" x14ac:dyDescent="0.25">
      <c r="A9" s="9" t="str">
        <f>'Bid Item List'!A21</f>
        <v>0002</v>
      </c>
      <c r="B9" s="49" t="str">
        <f>'Bid Item List'!B21</f>
        <v>Traffic Control</v>
      </c>
      <c r="C9" s="50">
        <f>'Bid Item List'!C21</f>
        <v>1</v>
      </c>
      <c r="D9" s="18" t="str">
        <f>'Bid Item List'!D21</f>
        <v>LS</v>
      </c>
      <c r="E9" s="24">
        <v>170000</v>
      </c>
      <c r="F9" s="25">
        <f t="shared" si="0"/>
        <v>170000</v>
      </c>
      <c r="G9" s="24">
        <v>135000</v>
      </c>
      <c r="H9" s="25">
        <f t="shared" si="1"/>
        <v>135000</v>
      </c>
      <c r="I9" s="24">
        <v>90000</v>
      </c>
      <c r="J9" s="25">
        <f t="shared" si="2"/>
        <v>90000</v>
      </c>
      <c r="K9" s="24">
        <v>50900</v>
      </c>
      <c r="L9" s="25">
        <f t="shared" si="3"/>
        <v>50900</v>
      </c>
      <c r="M9" s="24">
        <v>41600</v>
      </c>
      <c r="N9" s="25">
        <f t="shared" si="4"/>
        <v>41600</v>
      </c>
      <c r="O9" s="24">
        <v>100000</v>
      </c>
      <c r="P9" s="25">
        <f t="shared" si="5"/>
        <v>100000</v>
      </c>
      <c r="Q9" s="24">
        <v>87000</v>
      </c>
      <c r="R9" s="25">
        <f t="shared" si="6"/>
        <v>87000</v>
      </c>
    </row>
    <row r="10" spans="1:18" ht="33" customHeight="1" x14ac:dyDescent="0.25">
      <c r="A10" s="9" t="str">
        <f>'Bid Item List'!A22</f>
        <v>0003</v>
      </c>
      <c r="B10" s="49" t="str">
        <f>'Bid Item List'!B22</f>
        <v>Temporary Erosion, Sediment, and Pollution Control</v>
      </c>
      <c r="C10" s="50">
        <f>'Bid Item List'!C22</f>
        <v>1</v>
      </c>
      <c r="D10" s="18" t="str">
        <f>'Bid Item List'!D22</f>
        <v>LS</v>
      </c>
      <c r="E10" s="24">
        <v>20000</v>
      </c>
      <c r="F10" s="25">
        <f t="shared" si="0"/>
        <v>20000</v>
      </c>
      <c r="G10" s="24">
        <v>27098</v>
      </c>
      <c r="H10" s="25">
        <f t="shared" si="1"/>
        <v>27098</v>
      </c>
      <c r="I10" s="24">
        <v>25000</v>
      </c>
      <c r="J10" s="25">
        <f t="shared" si="2"/>
        <v>25000</v>
      </c>
      <c r="K10" s="24">
        <v>8780</v>
      </c>
      <c r="L10" s="25">
        <f t="shared" si="3"/>
        <v>8780</v>
      </c>
      <c r="M10" s="24">
        <v>9700</v>
      </c>
      <c r="N10" s="25">
        <f t="shared" si="4"/>
        <v>9700</v>
      </c>
      <c r="O10" s="24">
        <v>20000</v>
      </c>
      <c r="P10" s="25">
        <f t="shared" si="5"/>
        <v>20000</v>
      </c>
      <c r="Q10" s="24">
        <v>23000</v>
      </c>
      <c r="R10" s="25">
        <f t="shared" si="6"/>
        <v>23000</v>
      </c>
    </row>
    <row r="11" spans="1:18" ht="33" customHeight="1" x14ac:dyDescent="0.25">
      <c r="A11" s="9" t="str">
        <f>'Bid Item List'!A23</f>
        <v>0004</v>
      </c>
      <c r="B11" s="49" t="str">
        <f>'Bid Item List'!B23</f>
        <v>General Demolition</v>
      </c>
      <c r="C11" s="50">
        <f>'Bid Item List'!C23</f>
        <v>1</v>
      </c>
      <c r="D11" s="18" t="str">
        <f>'Bid Item List'!D23</f>
        <v>LS</v>
      </c>
      <c r="E11" s="24">
        <v>5000</v>
      </c>
      <c r="F11" s="25">
        <f t="shared" si="0"/>
        <v>5000</v>
      </c>
      <c r="G11" s="24">
        <v>18700</v>
      </c>
      <c r="H11" s="25">
        <f t="shared" si="1"/>
        <v>18700</v>
      </c>
      <c r="I11" s="24">
        <v>44500</v>
      </c>
      <c r="J11" s="25">
        <f t="shared" si="2"/>
        <v>44500</v>
      </c>
      <c r="K11" s="24">
        <v>21300</v>
      </c>
      <c r="L11" s="25">
        <f t="shared" si="3"/>
        <v>21300</v>
      </c>
      <c r="M11" s="24">
        <v>22700</v>
      </c>
      <c r="N11" s="25">
        <f t="shared" si="4"/>
        <v>22700</v>
      </c>
      <c r="O11" s="24">
        <v>15000</v>
      </c>
      <c r="P11" s="25">
        <f t="shared" si="5"/>
        <v>15000</v>
      </c>
      <c r="Q11" s="24">
        <v>8100</v>
      </c>
      <c r="R11" s="25">
        <f t="shared" si="6"/>
        <v>8100</v>
      </c>
    </row>
    <row r="12" spans="1:18" ht="33" customHeight="1" x14ac:dyDescent="0.25">
      <c r="A12" s="9" t="str">
        <f>'Bid Item List'!A24</f>
        <v>0005</v>
      </c>
      <c r="B12" s="49" t="str">
        <f>'Bid Item List'!B24</f>
        <v>Pavement Removal and Disposal, 9-Inch Depth</v>
      </c>
      <c r="C12" s="50">
        <f>'Bid Item List'!C24</f>
        <v>230</v>
      </c>
      <c r="D12" s="18" t="str">
        <f>'Bid Item List'!D24</f>
        <v>SY</v>
      </c>
      <c r="E12" s="24">
        <v>20</v>
      </c>
      <c r="F12" s="25">
        <f t="shared" si="0"/>
        <v>4600</v>
      </c>
      <c r="G12" s="24">
        <v>25</v>
      </c>
      <c r="H12" s="25">
        <f t="shared" si="1"/>
        <v>5750</v>
      </c>
      <c r="I12" s="24">
        <v>25</v>
      </c>
      <c r="J12" s="25">
        <f t="shared" si="2"/>
        <v>5750</v>
      </c>
      <c r="K12" s="24">
        <v>39.200000000000003</v>
      </c>
      <c r="L12" s="25">
        <f t="shared" si="3"/>
        <v>9016</v>
      </c>
      <c r="M12" s="24">
        <v>17</v>
      </c>
      <c r="N12" s="25">
        <f t="shared" si="4"/>
        <v>3910</v>
      </c>
      <c r="O12" s="24">
        <v>40</v>
      </c>
      <c r="P12" s="25">
        <f t="shared" si="5"/>
        <v>9200</v>
      </c>
      <c r="Q12" s="24">
        <v>80</v>
      </c>
      <c r="R12" s="25">
        <f t="shared" si="6"/>
        <v>18400</v>
      </c>
    </row>
    <row r="13" spans="1:18" ht="33" customHeight="1" x14ac:dyDescent="0.25">
      <c r="A13" s="9" t="str">
        <f>'Bid Item List'!A25</f>
        <v>0006</v>
      </c>
      <c r="B13" s="49" t="str">
        <f>'Bid Item List'!B25</f>
        <v>Cold Plane Pavement Removal and Disposal, 3-Inch Depth</v>
      </c>
      <c r="C13" s="50">
        <f>'Bid Item List'!C25</f>
        <v>5000</v>
      </c>
      <c r="D13" s="18" t="str">
        <f>'Bid Item List'!D25</f>
        <v>SY</v>
      </c>
      <c r="E13" s="24">
        <v>7</v>
      </c>
      <c r="F13" s="25">
        <f t="shared" si="0"/>
        <v>35000</v>
      </c>
      <c r="G13" s="24">
        <v>4.75</v>
      </c>
      <c r="H13" s="25">
        <f t="shared" si="1"/>
        <v>23750</v>
      </c>
      <c r="I13" s="24">
        <v>7.5</v>
      </c>
      <c r="J13" s="25">
        <f t="shared" si="2"/>
        <v>37500</v>
      </c>
      <c r="K13" s="24">
        <v>7.25</v>
      </c>
      <c r="L13" s="25">
        <f t="shared" si="3"/>
        <v>36250</v>
      </c>
      <c r="M13" s="24">
        <v>5.25</v>
      </c>
      <c r="N13" s="25">
        <f t="shared" si="4"/>
        <v>26250</v>
      </c>
      <c r="O13" s="24">
        <v>7</v>
      </c>
      <c r="P13" s="25">
        <f t="shared" si="5"/>
        <v>35000</v>
      </c>
      <c r="Q13" s="24">
        <v>8</v>
      </c>
      <c r="R13" s="25">
        <f t="shared" si="6"/>
        <v>40000</v>
      </c>
    </row>
    <row r="14" spans="1:18" ht="33" customHeight="1" x14ac:dyDescent="0.25">
      <c r="A14" s="9" t="str">
        <f>'Bid Item List'!A26</f>
        <v>0007</v>
      </c>
      <c r="B14" s="49" t="str">
        <f>'Bid Item List'!B26</f>
        <v>Signage</v>
      </c>
      <c r="C14" s="50">
        <f>'Bid Item List'!C26</f>
        <v>1</v>
      </c>
      <c r="D14" s="18" t="str">
        <f>'Bid Item List'!D26</f>
        <v>LS</v>
      </c>
      <c r="E14" s="24">
        <v>33000</v>
      </c>
      <c r="F14" s="25">
        <f t="shared" si="0"/>
        <v>33000</v>
      </c>
      <c r="G14" s="24">
        <v>35800</v>
      </c>
      <c r="H14" s="25">
        <f t="shared" si="1"/>
        <v>35800</v>
      </c>
      <c r="I14" s="24">
        <v>29120</v>
      </c>
      <c r="J14" s="25">
        <f t="shared" si="2"/>
        <v>29120</v>
      </c>
      <c r="K14" s="24">
        <v>29100</v>
      </c>
      <c r="L14" s="25">
        <f t="shared" si="3"/>
        <v>29100</v>
      </c>
      <c r="M14" s="24">
        <v>31600</v>
      </c>
      <c r="N14" s="25">
        <f t="shared" si="4"/>
        <v>31600</v>
      </c>
      <c r="O14" s="24">
        <v>34000</v>
      </c>
      <c r="P14" s="25">
        <f t="shared" si="5"/>
        <v>34000</v>
      </c>
      <c r="Q14" s="24">
        <v>13000</v>
      </c>
      <c r="R14" s="25">
        <f t="shared" si="6"/>
        <v>13000</v>
      </c>
    </row>
    <row r="15" spans="1:18" ht="33" customHeight="1" x14ac:dyDescent="0.25">
      <c r="A15" s="9" t="str">
        <f>'Bid Item List'!A27</f>
        <v>0008</v>
      </c>
      <c r="B15" s="49" t="str">
        <f>'Bid Item List'!B27</f>
        <v>Signal Modification</v>
      </c>
      <c r="C15" s="50">
        <f>'Bid Item List'!C27</f>
        <v>1</v>
      </c>
      <c r="D15" s="18" t="str">
        <f>'Bid Item List'!D27</f>
        <v>LS</v>
      </c>
      <c r="E15" s="24">
        <v>150000</v>
      </c>
      <c r="F15" s="25">
        <f t="shared" si="0"/>
        <v>150000</v>
      </c>
      <c r="G15" s="24">
        <v>165000</v>
      </c>
      <c r="H15" s="25">
        <f t="shared" si="1"/>
        <v>165000</v>
      </c>
      <c r="I15" s="24">
        <v>133963</v>
      </c>
      <c r="J15" s="25">
        <f t="shared" si="2"/>
        <v>133963</v>
      </c>
      <c r="K15" s="24">
        <v>134000</v>
      </c>
      <c r="L15" s="25">
        <f t="shared" si="3"/>
        <v>134000</v>
      </c>
      <c r="M15" s="24">
        <v>145700</v>
      </c>
      <c r="N15" s="25">
        <f t="shared" si="4"/>
        <v>145700</v>
      </c>
      <c r="O15" s="24">
        <v>145000</v>
      </c>
      <c r="P15" s="25">
        <f t="shared" si="5"/>
        <v>145000</v>
      </c>
      <c r="Q15" s="24">
        <v>175100</v>
      </c>
      <c r="R15" s="25">
        <f t="shared" si="6"/>
        <v>175100</v>
      </c>
    </row>
    <row r="16" spans="1:18" ht="33" customHeight="1" x14ac:dyDescent="0.25">
      <c r="A16" s="9" t="str">
        <f>'Bid Item List'!A28</f>
        <v>0009</v>
      </c>
      <c r="B16" s="49" t="str">
        <f>'Bid Item List'!B28</f>
        <v>Lighting</v>
      </c>
      <c r="C16" s="50">
        <f>'Bid Item List'!C28</f>
        <v>1</v>
      </c>
      <c r="D16" s="18" t="str">
        <f>'Bid Item List'!D28</f>
        <v>LS</v>
      </c>
      <c r="E16" s="24">
        <v>7000</v>
      </c>
      <c r="F16" s="25">
        <f t="shared" si="0"/>
        <v>7000</v>
      </c>
      <c r="G16" s="24">
        <v>7700</v>
      </c>
      <c r="H16" s="25">
        <f t="shared" si="1"/>
        <v>7700</v>
      </c>
      <c r="I16" s="24">
        <v>6232</v>
      </c>
      <c r="J16" s="25">
        <f t="shared" si="2"/>
        <v>6232</v>
      </c>
      <c r="K16" s="24">
        <v>6230</v>
      </c>
      <c r="L16" s="25">
        <f t="shared" si="3"/>
        <v>6230</v>
      </c>
      <c r="M16" s="24">
        <v>6800</v>
      </c>
      <c r="N16" s="25">
        <f t="shared" si="4"/>
        <v>6800</v>
      </c>
      <c r="O16" s="24">
        <v>11000</v>
      </c>
      <c r="P16" s="25">
        <f t="shared" si="5"/>
        <v>11000</v>
      </c>
      <c r="Q16" s="24">
        <v>6200</v>
      </c>
      <c r="R16" s="25">
        <f t="shared" si="6"/>
        <v>6200</v>
      </c>
    </row>
    <row r="17" spans="1:18" ht="33" customHeight="1" x14ac:dyDescent="0.25">
      <c r="A17" s="9" t="str">
        <f>'Bid Item List'!A29</f>
        <v>0010</v>
      </c>
      <c r="B17" s="49" t="str">
        <f>'Bid Item List'!B29</f>
        <v>Common Excavation</v>
      </c>
      <c r="C17" s="50">
        <f>'Bid Item List'!C29</f>
        <v>1030</v>
      </c>
      <c r="D17" s="18" t="str">
        <f>'Bid Item List'!D29</f>
        <v>CY</v>
      </c>
      <c r="E17" s="24">
        <v>60</v>
      </c>
      <c r="F17" s="25">
        <f t="shared" ref="F17:F29" si="7">QTY*E17</f>
        <v>61800</v>
      </c>
      <c r="G17" s="24">
        <v>63</v>
      </c>
      <c r="H17" s="25">
        <f t="shared" si="1"/>
        <v>64890</v>
      </c>
      <c r="I17" s="24">
        <v>70</v>
      </c>
      <c r="J17" s="25">
        <f t="shared" ref="J17:J29" si="8">QTY*I17</f>
        <v>72100</v>
      </c>
      <c r="K17" s="24">
        <v>65.7</v>
      </c>
      <c r="L17" s="25">
        <f t="shared" ref="L17:L29" si="9">QTY*K17</f>
        <v>67671</v>
      </c>
      <c r="M17" s="24">
        <v>50</v>
      </c>
      <c r="N17" s="25">
        <f t="shared" ref="N17:N29" si="10">QTY*M17</f>
        <v>51500</v>
      </c>
      <c r="O17" s="24">
        <v>100</v>
      </c>
      <c r="P17" s="25">
        <f t="shared" ref="P17:P29" si="11">QTY*O17</f>
        <v>103000</v>
      </c>
      <c r="Q17" s="24">
        <v>80</v>
      </c>
      <c r="R17" s="25">
        <f t="shared" ref="R17:R29" si="12">QTY*Q17</f>
        <v>82400</v>
      </c>
    </row>
    <row r="18" spans="1:18" ht="33" customHeight="1" x14ac:dyDescent="0.25">
      <c r="A18" s="9" t="str">
        <f>'Bid Item List'!A30</f>
        <v>0011</v>
      </c>
      <c r="B18" s="49" t="str">
        <f>'Bid Item List'!B30</f>
        <v>Site Preparation</v>
      </c>
      <c r="C18" s="50">
        <f>'Bid Item List'!C30</f>
        <v>1</v>
      </c>
      <c r="D18" s="18" t="str">
        <f>'Bid Item List'!D30</f>
        <v>LS</v>
      </c>
      <c r="E18" s="24">
        <v>5500</v>
      </c>
      <c r="F18" s="25">
        <f t="shared" si="7"/>
        <v>5500</v>
      </c>
      <c r="G18" s="24">
        <v>8900</v>
      </c>
      <c r="H18" s="25">
        <f t="shared" si="1"/>
        <v>8900</v>
      </c>
      <c r="I18" s="24">
        <v>20000</v>
      </c>
      <c r="J18" s="25">
        <f t="shared" si="8"/>
        <v>20000</v>
      </c>
      <c r="K18" s="24">
        <v>24000</v>
      </c>
      <c r="L18" s="25">
        <f t="shared" si="9"/>
        <v>24000</v>
      </c>
      <c r="M18" s="24">
        <v>5200</v>
      </c>
      <c r="N18" s="25">
        <f t="shared" si="10"/>
        <v>5200</v>
      </c>
      <c r="O18" s="24">
        <v>6000</v>
      </c>
      <c r="P18" s="25">
        <f t="shared" si="11"/>
        <v>6000</v>
      </c>
      <c r="Q18" s="24">
        <v>12100</v>
      </c>
      <c r="R18" s="25">
        <f t="shared" si="12"/>
        <v>12100</v>
      </c>
    </row>
    <row r="19" spans="1:18" ht="33" customHeight="1" x14ac:dyDescent="0.25">
      <c r="A19" s="9" t="str">
        <f>'Bid Item List'!A31</f>
        <v>0012</v>
      </c>
      <c r="B19" s="49" t="str">
        <f>'Bid Item List'!B31</f>
        <v>Subgrade Preparation</v>
      </c>
      <c r="C19" s="50">
        <f>'Bid Item List'!C31</f>
        <v>670</v>
      </c>
      <c r="D19" s="18" t="str">
        <f>'Bid Item List'!D31</f>
        <v>SY</v>
      </c>
      <c r="E19" s="24">
        <v>6.5</v>
      </c>
      <c r="F19" s="25">
        <f t="shared" si="7"/>
        <v>4355</v>
      </c>
      <c r="G19" s="24">
        <v>10</v>
      </c>
      <c r="H19" s="25">
        <f t="shared" si="1"/>
        <v>6700</v>
      </c>
      <c r="I19" s="24">
        <v>57</v>
      </c>
      <c r="J19" s="25">
        <f t="shared" si="8"/>
        <v>38190</v>
      </c>
      <c r="K19" s="24">
        <v>20</v>
      </c>
      <c r="L19" s="25">
        <f t="shared" si="9"/>
        <v>13400</v>
      </c>
      <c r="M19" s="24">
        <v>4</v>
      </c>
      <c r="N19" s="25">
        <f t="shared" si="10"/>
        <v>2680</v>
      </c>
      <c r="O19" s="24">
        <v>18</v>
      </c>
      <c r="P19" s="25">
        <f t="shared" si="11"/>
        <v>12060</v>
      </c>
      <c r="Q19" s="24">
        <v>13</v>
      </c>
      <c r="R19" s="25">
        <f t="shared" si="12"/>
        <v>8710</v>
      </c>
    </row>
    <row r="20" spans="1:18" ht="33" customHeight="1" x14ac:dyDescent="0.25">
      <c r="A20" s="9" t="str">
        <f>'Bid Item List'!A32</f>
        <v>0013</v>
      </c>
      <c r="B20" s="49" t="str">
        <f>'Bid Item List'!B32</f>
        <v>Aggregate Base Course</v>
      </c>
      <c r="C20" s="50">
        <f>'Bid Item List'!C32</f>
        <v>250</v>
      </c>
      <c r="D20" s="18" t="str">
        <f>'Bid Item List'!D32</f>
        <v>CY</v>
      </c>
      <c r="E20" s="24">
        <v>115</v>
      </c>
      <c r="F20" s="25">
        <f t="shared" si="7"/>
        <v>28750</v>
      </c>
      <c r="G20" s="24">
        <v>154</v>
      </c>
      <c r="H20" s="25">
        <f t="shared" si="1"/>
        <v>38500</v>
      </c>
      <c r="I20" s="24">
        <v>136</v>
      </c>
      <c r="J20" s="25">
        <f t="shared" si="8"/>
        <v>34000</v>
      </c>
      <c r="K20" s="24">
        <v>113</v>
      </c>
      <c r="L20" s="25">
        <f t="shared" si="9"/>
        <v>28250</v>
      </c>
      <c r="M20" s="24">
        <v>105</v>
      </c>
      <c r="N20" s="25">
        <f t="shared" si="10"/>
        <v>26250</v>
      </c>
      <c r="O20" s="24">
        <v>140</v>
      </c>
      <c r="P20" s="25">
        <f t="shared" si="11"/>
        <v>35000</v>
      </c>
      <c r="Q20" s="24">
        <v>112</v>
      </c>
      <c r="R20" s="25">
        <f t="shared" si="12"/>
        <v>28000</v>
      </c>
    </row>
    <row r="21" spans="1:18" ht="33" customHeight="1" x14ac:dyDescent="0.25">
      <c r="A21" s="9" t="str">
        <f>'Bid Item List'!A33</f>
        <v>0014</v>
      </c>
      <c r="B21" s="49" t="str">
        <f>'Bid Item List'!B33</f>
        <v>Level 3, 1/2-Inch-Dense HMAC</v>
      </c>
      <c r="C21" s="50">
        <f>'Bid Item List'!C33</f>
        <v>1500</v>
      </c>
      <c r="D21" s="18" t="str">
        <f>'Bid Item List'!D33</f>
        <v>Ton</v>
      </c>
      <c r="E21" s="24">
        <v>145</v>
      </c>
      <c r="F21" s="25">
        <f t="shared" si="7"/>
        <v>217500</v>
      </c>
      <c r="G21" s="24">
        <v>165</v>
      </c>
      <c r="H21" s="25">
        <f t="shared" si="1"/>
        <v>247500</v>
      </c>
      <c r="I21" s="24">
        <v>140</v>
      </c>
      <c r="J21" s="25">
        <f t="shared" si="8"/>
        <v>210000</v>
      </c>
      <c r="K21" s="24">
        <v>188</v>
      </c>
      <c r="L21" s="25">
        <f t="shared" si="9"/>
        <v>282000</v>
      </c>
      <c r="M21" s="24">
        <v>134</v>
      </c>
      <c r="N21" s="25">
        <f t="shared" si="10"/>
        <v>201000</v>
      </c>
      <c r="O21" s="24">
        <v>156</v>
      </c>
      <c r="P21" s="25">
        <f t="shared" si="11"/>
        <v>234000</v>
      </c>
      <c r="Q21" s="24">
        <v>210</v>
      </c>
      <c r="R21" s="25">
        <f t="shared" si="12"/>
        <v>315000</v>
      </c>
    </row>
    <row r="22" spans="1:18" ht="33" customHeight="1" x14ac:dyDescent="0.25">
      <c r="A22" s="9" t="str">
        <f>'Bid Item List'!A34</f>
        <v>0015</v>
      </c>
      <c r="B22" s="49" t="str">
        <f>'Bid Item List'!B34</f>
        <v>Geotextile Fabric</v>
      </c>
      <c r="C22" s="50">
        <f>'Bid Item List'!C34</f>
        <v>700</v>
      </c>
      <c r="D22" s="18" t="str">
        <f>'Bid Item List'!D34</f>
        <v>SY</v>
      </c>
      <c r="E22" s="24">
        <v>9</v>
      </c>
      <c r="F22" s="25">
        <f t="shared" si="7"/>
        <v>6300</v>
      </c>
      <c r="G22" s="24">
        <v>4</v>
      </c>
      <c r="H22" s="25">
        <f t="shared" si="1"/>
        <v>2800</v>
      </c>
      <c r="I22" s="24">
        <v>2</v>
      </c>
      <c r="J22" s="25">
        <f t="shared" si="8"/>
        <v>1400</v>
      </c>
      <c r="K22" s="24">
        <v>2.4500000000000002</v>
      </c>
      <c r="L22" s="25">
        <f t="shared" si="9"/>
        <v>1715.0000000000002</v>
      </c>
      <c r="M22" s="24">
        <v>3</v>
      </c>
      <c r="N22" s="25">
        <f t="shared" si="10"/>
        <v>2100</v>
      </c>
      <c r="O22" s="24">
        <v>1.5</v>
      </c>
      <c r="P22" s="25">
        <f t="shared" si="11"/>
        <v>1050</v>
      </c>
      <c r="Q22" s="24">
        <v>3</v>
      </c>
      <c r="R22" s="25">
        <f t="shared" si="12"/>
        <v>2100</v>
      </c>
    </row>
    <row r="23" spans="1:18" ht="33" customHeight="1" x14ac:dyDescent="0.25">
      <c r="A23" s="9" t="str">
        <f>'Bid Item List'!A35</f>
        <v>0016</v>
      </c>
      <c r="B23" s="49" t="str">
        <f>'Bid Item List'!B35</f>
        <v>Tack Coat</v>
      </c>
      <c r="C23" s="50">
        <f>'Bid Item List'!C35</f>
        <v>4</v>
      </c>
      <c r="D23" s="18" t="str">
        <f>'Bid Item List'!D35</f>
        <v>Ton</v>
      </c>
      <c r="E23" s="24">
        <v>1</v>
      </c>
      <c r="F23" s="25">
        <f t="shared" si="7"/>
        <v>4</v>
      </c>
      <c r="G23" s="24">
        <v>1.25</v>
      </c>
      <c r="H23" s="25">
        <f t="shared" si="1"/>
        <v>5</v>
      </c>
      <c r="I23" s="24">
        <v>100</v>
      </c>
      <c r="J23" s="25">
        <f t="shared" si="8"/>
        <v>400</v>
      </c>
      <c r="K23" s="24">
        <v>487</v>
      </c>
      <c r="L23" s="25">
        <f t="shared" si="9"/>
        <v>1948</v>
      </c>
      <c r="M23" s="24">
        <v>1</v>
      </c>
      <c r="N23" s="25">
        <f t="shared" si="10"/>
        <v>4</v>
      </c>
      <c r="O23" s="24">
        <v>1</v>
      </c>
      <c r="P23" s="25">
        <f t="shared" si="11"/>
        <v>4</v>
      </c>
      <c r="Q23" s="24">
        <v>1000</v>
      </c>
      <c r="R23" s="25">
        <f t="shared" si="12"/>
        <v>4000</v>
      </c>
    </row>
    <row r="24" spans="1:18" ht="33" customHeight="1" x14ac:dyDescent="0.25">
      <c r="A24" s="9" t="str">
        <f>'Bid Item List'!A36</f>
        <v>0017</v>
      </c>
      <c r="B24" s="49" t="str">
        <f>'Bid Item List'!B36</f>
        <v>Valley Gutter</v>
      </c>
      <c r="C24" s="50">
        <f>'Bid Item List'!C36</f>
        <v>105</v>
      </c>
      <c r="D24" s="18" t="str">
        <f>'Bid Item List'!D36</f>
        <v>SF</v>
      </c>
      <c r="E24" s="24">
        <v>70</v>
      </c>
      <c r="F24" s="25">
        <f t="shared" si="7"/>
        <v>7350</v>
      </c>
      <c r="G24" s="24">
        <v>132</v>
      </c>
      <c r="H24" s="25">
        <f t="shared" si="1"/>
        <v>13860</v>
      </c>
      <c r="I24" s="24">
        <v>46</v>
      </c>
      <c r="J24" s="25">
        <f t="shared" si="8"/>
        <v>4830</v>
      </c>
      <c r="K24" s="24">
        <v>57.9</v>
      </c>
      <c r="L24" s="25">
        <f t="shared" si="9"/>
        <v>6079.5</v>
      </c>
      <c r="M24" s="24">
        <v>58</v>
      </c>
      <c r="N24" s="25">
        <f t="shared" si="10"/>
        <v>6090</v>
      </c>
      <c r="O24" s="24">
        <v>70</v>
      </c>
      <c r="P24" s="25">
        <f t="shared" si="11"/>
        <v>7350</v>
      </c>
      <c r="Q24" s="24">
        <v>60</v>
      </c>
      <c r="R24" s="25">
        <f t="shared" si="12"/>
        <v>6300</v>
      </c>
    </row>
    <row r="25" spans="1:18" ht="33" customHeight="1" x14ac:dyDescent="0.25">
      <c r="A25" s="9" t="str">
        <f>'Bid Item List'!A37</f>
        <v>0018</v>
      </c>
      <c r="B25" s="49" t="str">
        <f>'Bid Item List'!B37</f>
        <v>Concrete Curb</v>
      </c>
      <c r="C25" s="50">
        <f>'Bid Item List'!C37</f>
        <v>180</v>
      </c>
      <c r="D25" s="18" t="str">
        <f>'Bid Item List'!D37</f>
        <v>LF</v>
      </c>
      <c r="E25" s="24">
        <v>95</v>
      </c>
      <c r="F25" s="25">
        <f t="shared" si="7"/>
        <v>17100</v>
      </c>
      <c r="G25" s="24">
        <v>42</v>
      </c>
      <c r="H25" s="25">
        <f t="shared" si="1"/>
        <v>7560</v>
      </c>
      <c r="I25" s="24">
        <v>58</v>
      </c>
      <c r="J25" s="25">
        <f t="shared" si="8"/>
        <v>10440</v>
      </c>
      <c r="K25" s="24">
        <v>52.3</v>
      </c>
      <c r="L25" s="25">
        <f t="shared" si="9"/>
        <v>9414</v>
      </c>
      <c r="M25" s="24">
        <v>18</v>
      </c>
      <c r="N25" s="25">
        <f t="shared" si="10"/>
        <v>3240</v>
      </c>
      <c r="O25" s="24">
        <v>100</v>
      </c>
      <c r="P25" s="25">
        <f t="shared" si="11"/>
        <v>18000</v>
      </c>
      <c r="Q25" s="24">
        <v>60</v>
      </c>
      <c r="R25" s="25">
        <f t="shared" si="12"/>
        <v>10800</v>
      </c>
    </row>
    <row r="26" spans="1:18" ht="33" customHeight="1" x14ac:dyDescent="0.25">
      <c r="A26" s="9" t="str">
        <f>'Bid Item List'!A38</f>
        <v>0019</v>
      </c>
      <c r="B26" s="49" t="str">
        <f>'Bid Item List'!B38</f>
        <v>Concrete Walks</v>
      </c>
      <c r="C26" s="50">
        <f>'Bid Item List'!C38</f>
        <v>700</v>
      </c>
      <c r="D26" s="18" t="str">
        <f>'Bid Item List'!D38</f>
        <v>SF</v>
      </c>
      <c r="E26" s="24">
        <v>38</v>
      </c>
      <c r="F26" s="25">
        <f t="shared" si="7"/>
        <v>26600</v>
      </c>
      <c r="G26" s="24">
        <v>33</v>
      </c>
      <c r="H26" s="25">
        <f t="shared" si="1"/>
        <v>23100</v>
      </c>
      <c r="I26" s="24">
        <v>32</v>
      </c>
      <c r="J26" s="25">
        <f t="shared" si="8"/>
        <v>22400</v>
      </c>
      <c r="K26" s="24">
        <v>29.9</v>
      </c>
      <c r="L26" s="25">
        <f t="shared" si="9"/>
        <v>20930</v>
      </c>
      <c r="M26" s="24">
        <v>39</v>
      </c>
      <c r="N26" s="25">
        <f t="shared" si="10"/>
        <v>27300</v>
      </c>
      <c r="O26" s="24">
        <v>43</v>
      </c>
      <c r="P26" s="25">
        <f t="shared" si="11"/>
        <v>30100</v>
      </c>
      <c r="Q26" s="24">
        <v>61</v>
      </c>
      <c r="R26" s="25">
        <f t="shared" si="12"/>
        <v>42700</v>
      </c>
    </row>
    <row r="27" spans="1:18" ht="33" customHeight="1" x14ac:dyDescent="0.25">
      <c r="A27" s="9" t="str">
        <f>'Bid Item List'!A39</f>
        <v>0020</v>
      </c>
      <c r="B27" s="49" t="str">
        <f>'Bid Item List'!B39</f>
        <v>Pavement Markings</v>
      </c>
      <c r="C27" s="50">
        <f>'Bid Item List'!C39</f>
        <v>1</v>
      </c>
      <c r="D27" s="18" t="str">
        <f>'Bid Item List'!D39</f>
        <v>LS</v>
      </c>
      <c r="E27" s="24">
        <v>36000</v>
      </c>
      <c r="F27" s="25">
        <f t="shared" si="7"/>
        <v>36000</v>
      </c>
      <c r="G27" s="24">
        <v>76400</v>
      </c>
      <c r="H27" s="25">
        <f t="shared" si="1"/>
        <v>76400</v>
      </c>
      <c r="I27" s="24">
        <v>31755</v>
      </c>
      <c r="J27" s="25">
        <f t="shared" si="8"/>
        <v>31755</v>
      </c>
      <c r="K27" s="24">
        <v>34155</v>
      </c>
      <c r="L27" s="25">
        <f t="shared" si="9"/>
        <v>34155</v>
      </c>
      <c r="M27" s="24">
        <v>34500</v>
      </c>
      <c r="N27" s="25">
        <f t="shared" si="10"/>
        <v>34500</v>
      </c>
      <c r="O27" s="24">
        <v>35000</v>
      </c>
      <c r="P27" s="25">
        <f t="shared" si="11"/>
        <v>35000</v>
      </c>
      <c r="Q27" s="24">
        <v>55000</v>
      </c>
      <c r="R27" s="25">
        <f t="shared" si="12"/>
        <v>55000</v>
      </c>
    </row>
    <row r="28" spans="1:18" ht="33" customHeight="1" x14ac:dyDescent="0.25">
      <c r="A28" s="9" t="str">
        <f>'Bid Item List'!A40</f>
        <v>0021</v>
      </c>
      <c r="B28" s="49" t="str">
        <f>'Bid Item List'!B40</f>
        <v>Clearing and Seeding</v>
      </c>
      <c r="C28" s="50">
        <f>'Bid Item List'!C40</f>
        <v>0.3</v>
      </c>
      <c r="D28" s="18" t="str">
        <f>'Bid Item List'!D40</f>
        <v>Acre</v>
      </c>
      <c r="E28" s="24">
        <v>85000</v>
      </c>
      <c r="F28" s="25">
        <f t="shared" si="7"/>
        <v>25500</v>
      </c>
      <c r="G28" s="24">
        <v>27000</v>
      </c>
      <c r="H28" s="25">
        <f t="shared" si="1"/>
        <v>8100</v>
      </c>
      <c r="I28" s="24">
        <v>6000</v>
      </c>
      <c r="J28" s="25">
        <f t="shared" si="8"/>
        <v>1800</v>
      </c>
      <c r="K28" s="24">
        <v>8200</v>
      </c>
      <c r="L28" s="25">
        <f t="shared" si="9"/>
        <v>2460</v>
      </c>
      <c r="M28" s="24">
        <v>38000</v>
      </c>
      <c r="N28" s="25">
        <f t="shared" si="10"/>
        <v>11400</v>
      </c>
      <c r="O28" s="24">
        <v>7000</v>
      </c>
      <c r="P28" s="25">
        <f t="shared" si="11"/>
        <v>2100</v>
      </c>
      <c r="Q28" s="24">
        <v>26000</v>
      </c>
      <c r="R28" s="25">
        <f t="shared" si="12"/>
        <v>7800</v>
      </c>
    </row>
    <row r="29" spans="1:18" ht="33" customHeight="1" x14ac:dyDescent="0.25">
      <c r="A29" s="9" t="str">
        <f>'Bid Item List'!A41</f>
        <v>0022</v>
      </c>
      <c r="B29" s="49" t="str">
        <f>'Bid Item List'!B41</f>
        <v>Storm Culvert</v>
      </c>
      <c r="C29" s="50">
        <f>'Bid Item List'!C41</f>
        <v>55</v>
      </c>
      <c r="D29" s="18" t="str">
        <f>'Bid Item List'!D41</f>
        <v>LF</v>
      </c>
      <c r="E29" s="24">
        <v>200</v>
      </c>
      <c r="F29" s="25">
        <f t="shared" si="7"/>
        <v>11000</v>
      </c>
      <c r="G29" s="24">
        <v>350</v>
      </c>
      <c r="H29" s="25">
        <f t="shared" si="1"/>
        <v>19250</v>
      </c>
      <c r="I29" s="24">
        <v>230</v>
      </c>
      <c r="J29" s="25">
        <f t="shared" si="8"/>
        <v>12650</v>
      </c>
      <c r="K29" s="24">
        <v>259</v>
      </c>
      <c r="L29" s="25">
        <f t="shared" si="9"/>
        <v>14245</v>
      </c>
      <c r="M29" s="24">
        <v>400</v>
      </c>
      <c r="N29" s="25">
        <f t="shared" si="10"/>
        <v>22000</v>
      </c>
      <c r="O29" s="24">
        <v>250</v>
      </c>
      <c r="P29" s="25">
        <f t="shared" si="11"/>
        <v>13750</v>
      </c>
      <c r="Q29" s="24">
        <v>350</v>
      </c>
      <c r="R29" s="25">
        <f t="shared" si="12"/>
        <v>19250</v>
      </c>
    </row>
    <row r="30" spans="1:18" ht="27.75" customHeight="1" x14ac:dyDescent="0.25">
      <c r="A30" s="10"/>
      <c r="B30" s="19" t="s">
        <v>30</v>
      </c>
      <c r="C30" s="35"/>
      <c r="D30" s="20"/>
      <c r="E30" s="26"/>
      <c r="F30" s="53">
        <f>SUM(F8:F29)</f>
        <v>883359</v>
      </c>
      <c r="G30" s="26"/>
      <c r="H30" s="53">
        <f>SUM(H8:H29)</f>
        <v>1036363</v>
      </c>
      <c r="I30" s="26"/>
      <c r="J30" s="53">
        <f>SUM($J8:$J29)</f>
        <v>924030</v>
      </c>
      <c r="K30" s="26"/>
      <c r="L30" s="53">
        <f>SUM($L8:$L29)</f>
        <v>837843.5</v>
      </c>
      <c r="M30" s="26"/>
      <c r="N30" s="53">
        <f>SUM($N8:$N29)</f>
        <v>790790</v>
      </c>
      <c r="O30" s="26"/>
      <c r="P30" s="53">
        <f>SUM($P8:$P29)</f>
        <v>997000</v>
      </c>
      <c r="Q30" s="26"/>
      <c r="R30" s="53">
        <f>SUM($R8:$R29)</f>
        <v>1061560</v>
      </c>
    </row>
  </sheetData>
  <mergeCells count="13">
    <mergeCell ref="Q1:R5"/>
    <mergeCell ref="K1:L5"/>
    <mergeCell ref="M1:N5"/>
    <mergeCell ref="O1:P5"/>
    <mergeCell ref="A6:D6"/>
    <mergeCell ref="E1:F5"/>
    <mergeCell ref="G1:H5"/>
    <mergeCell ref="I1:J5"/>
    <mergeCell ref="A1:D1"/>
    <mergeCell ref="A2:D2"/>
    <mergeCell ref="A3:D3"/>
    <mergeCell ref="A4:D4"/>
    <mergeCell ref="A5:D5"/>
  </mergeCells>
  <printOptions horizontalCentered="1"/>
  <pageMargins left="0.5" right="0.5" top="0.5" bottom="0.5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6" tint="-0.499984740745262"/>
  </sheetPr>
  <dimension ref="A1:B15"/>
  <sheetViews>
    <sheetView tabSelected="1" view="pageBreakPreview" zoomScaleNormal="75" zoomScaleSheetLayoutView="100" workbookViewId="0">
      <selection activeCell="A8" sqref="A8"/>
    </sheetView>
  </sheetViews>
  <sheetFormatPr defaultRowHeight="15" x14ac:dyDescent="0.25"/>
  <cols>
    <col min="1" max="1" width="53.7109375" style="11" customWidth="1"/>
    <col min="2" max="2" width="27" style="44" customWidth="1"/>
  </cols>
  <sheetData>
    <row r="1" spans="1:2" ht="30" customHeight="1" x14ac:dyDescent="0.25">
      <c r="A1" s="22" t="str">
        <f>ProjectLocation</f>
        <v>PORTLAND INTERNATIONAL AIRPORT</v>
      </c>
      <c r="B1" s="40"/>
    </row>
    <row r="2" spans="1:2" ht="15" customHeight="1" x14ac:dyDescent="0.25">
      <c r="A2" s="23" t="str">
        <f>ProjectTitle</f>
        <v>AIR CARGO ROAD AND INTERSECTION IMPROVEMENTS</v>
      </c>
      <c r="B2" s="41"/>
    </row>
    <row r="3" spans="1:2" ht="15" customHeight="1" x14ac:dyDescent="0.25">
      <c r="A3" s="23">
        <f>ProjectTitle2</f>
        <v>0</v>
      </c>
      <c r="B3" s="41"/>
    </row>
    <row r="4" spans="1:2" x14ac:dyDescent="0.25">
      <c r="A4" s="12" t="str">
        <f>EAN</f>
        <v>EAN 2023D028</v>
      </c>
      <c r="B4" s="41"/>
    </row>
    <row r="5" spans="1:2" ht="15" customHeight="1" x14ac:dyDescent="0.25">
      <c r="A5" s="13" t="str">
        <f>SolicitationNo</f>
        <v>Solicitation No. 2024-10569</v>
      </c>
      <c r="B5" s="41"/>
    </row>
    <row r="6" spans="1:2" ht="15" customHeight="1" x14ac:dyDescent="0.25">
      <c r="A6" s="14">
        <f ca="1">TODAY()</f>
        <v>45697</v>
      </c>
      <c r="B6" s="42"/>
    </row>
    <row r="7" spans="1:2" ht="33" customHeight="1" x14ac:dyDescent="0.25">
      <c r="A7" s="15" t="s">
        <v>31</v>
      </c>
      <c r="B7" s="43" t="s">
        <v>18</v>
      </c>
    </row>
    <row r="8" spans="1:2" ht="33" customHeight="1" x14ac:dyDescent="0.25">
      <c r="A8" s="16" t="str">
        <f>Contractor5</f>
        <v>Kodiak Pacific Construction</v>
      </c>
      <c r="B8" s="45">
        <f>Total5</f>
        <v>790790</v>
      </c>
    </row>
    <row r="9" spans="1:2" ht="33" customHeight="1" x14ac:dyDescent="0.25">
      <c r="A9" s="16" t="str">
        <f>Contractor4</f>
        <v>Knife River 
Corporation - Northwest</v>
      </c>
      <c r="B9" s="45" t="s">
        <v>77</v>
      </c>
    </row>
    <row r="10" spans="1:2" ht="33" customHeight="1" x14ac:dyDescent="0.25">
      <c r="A10" s="16" t="str">
        <f>Contractor1</f>
        <v>Brix Paving 
Northwest, Inc.</v>
      </c>
      <c r="B10" s="45" t="s">
        <v>79</v>
      </c>
    </row>
    <row r="11" spans="1:2" ht="33" customHeight="1" x14ac:dyDescent="0.25">
      <c r="A11" s="16" t="str">
        <f>Contractor3</f>
        <v>Kerr Contractors 
Oregon, LLC</v>
      </c>
      <c r="B11" s="45">
        <f>Total3</f>
        <v>924030</v>
      </c>
    </row>
    <row r="12" spans="1:2" ht="33" customHeight="1" x14ac:dyDescent="0.25">
      <c r="A12" s="16" t="str">
        <f>Contractor6</f>
        <v>Pacific Excavation, Inc.</v>
      </c>
      <c r="B12" s="45">
        <f>Total6</f>
        <v>997000</v>
      </c>
    </row>
    <row r="13" spans="1:2" ht="33" customHeight="1" x14ac:dyDescent="0.25">
      <c r="A13" s="16" t="str">
        <f>Contractor2</f>
        <v>Dirt &amp; Aggregate Interchange</v>
      </c>
      <c r="B13" s="45">
        <f>Total2</f>
        <v>1036363</v>
      </c>
    </row>
    <row r="14" spans="1:2" ht="33" customHeight="1" x14ac:dyDescent="0.25">
      <c r="A14" s="51" t="str">
        <f>EngineerEstimate</f>
        <v>Engineer's Estimate</v>
      </c>
      <c r="B14" s="52">
        <f>TotalEE</f>
        <v>1061560</v>
      </c>
    </row>
    <row r="15" spans="1:2" x14ac:dyDescent="0.25">
      <c r="A15" s="46" t="s">
        <v>78</v>
      </c>
    </row>
  </sheetData>
  <sortState xmlns:xlrd2="http://schemas.microsoft.com/office/spreadsheetml/2017/richdata2" ref="A8:B13">
    <sortCondition ref="B8:B13"/>
  </sortState>
  <printOptions horizont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EBB2EF-99A7-4DDD-90B2-EC988FD210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64FC69-BCE4-49F6-88EA-FDD198690DF4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7c6c660-755b-4039-a3a9-78d53b440b94"/>
    <ds:schemaRef ds:uri="46b42bef-a970-4510-bfd9-16367ac4cc7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4670845-4E9C-4EAC-A3D0-AE9BD522B1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24</vt:i4>
      </vt:variant>
    </vt:vector>
  </HeadingPairs>
  <TitlesOfParts>
    <vt:vector size="27" baseType="lpstr">
      <vt:lpstr>Bid Item List</vt:lpstr>
      <vt:lpstr>Bid Tabulation</vt:lpstr>
      <vt:lpstr>Summary</vt:lpstr>
      <vt:lpstr>Contractor1</vt:lpstr>
      <vt:lpstr>Contractor2</vt:lpstr>
      <vt:lpstr>Contractor3</vt:lpstr>
      <vt:lpstr>Contractor4</vt:lpstr>
      <vt:lpstr>Contractor5</vt:lpstr>
      <vt:lpstr>Contractor6</vt:lpstr>
      <vt:lpstr>EAN</vt:lpstr>
      <vt:lpstr>EngineerEstimate</vt:lpstr>
      <vt:lpstr>'Bid Item List'!Print_Area</vt:lpstr>
      <vt:lpstr>Summary!Print_Area</vt:lpstr>
      <vt:lpstr>'Bid Item List'!Print_Titles</vt:lpstr>
      <vt:lpstr>'Bid Tabulation'!Print_Titles</vt:lpstr>
      <vt:lpstr>ProjectLocation</vt:lpstr>
      <vt:lpstr>ProjectTitle</vt:lpstr>
      <vt:lpstr>ProjectTitle2</vt:lpstr>
      <vt:lpstr>QTY</vt:lpstr>
      <vt:lpstr>SolicitationNo</vt:lpstr>
      <vt:lpstr>Total1</vt:lpstr>
      <vt:lpstr>Total2</vt:lpstr>
      <vt:lpstr>Total3</vt:lpstr>
      <vt:lpstr>Total4</vt:lpstr>
      <vt:lpstr>Total5</vt:lpstr>
      <vt:lpstr>Total6</vt:lpstr>
      <vt:lpstr>TotalEE</vt:lpstr>
    </vt:vector>
  </TitlesOfParts>
  <Company>Port of Portland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Etta Goerl</dc:creator>
  <cp:lastModifiedBy>Doherty, Colin</cp:lastModifiedBy>
  <cp:lastPrinted>2025-02-10T05:00:26Z</cp:lastPrinted>
  <dcterms:created xsi:type="dcterms:W3CDTF">2014-05-02T22:08:37Z</dcterms:created>
  <dcterms:modified xsi:type="dcterms:W3CDTF">2025-02-10T05:01:22Z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</Properties>
</file>