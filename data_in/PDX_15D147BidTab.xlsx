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5" yWindow="-15" windowWidth="24840" windowHeight="12270" tabRatio="716" activeTab="1"/>
  </bookViews>
  <sheets>
    <sheet name="Bid Item List A (FAA)" sheetId="8" r:id="rId1"/>
    <sheet name="Bid Item List B (Port)" sheetId="1" r:id="rId2"/>
    <sheet name="Bid Tab A (FAA)" sheetId="9" r:id="rId3"/>
    <sheet name="Bid Tab B (Port)" sheetId="2" r:id="rId4"/>
    <sheet name="Summary" sheetId="5" r:id="rId5"/>
  </sheets>
  <definedNames>
    <definedName name="Contractor1" localSheetId="2">'Bid Tab A (FAA)'!$E$1</definedName>
    <definedName name="Contractor1">'Bid Tab B (Port)'!$E$1</definedName>
    <definedName name="Contractor2" localSheetId="2">'Bid Tab A (FAA)'!$G$1</definedName>
    <definedName name="Contractor2">'Bid Tab B (Port)'!$G$1</definedName>
    <definedName name="Contractor3" localSheetId="2">'Bid Tab A (FAA)'!$I$1</definedName>
    <definedName name="Contractor3">'Bid Tab B (Port)'!$I$1</definedName>
    <definedName name="Contractor4" localSheetId="2">'Bid Tab A (FAA)'!$K$1</definedName>
    <definedName name="Contractor4">'Bid Tab B (Port)'!$K$1</definedName>
    <definedName name="Contractor5" localSheetId="2">'Bid Tab A (FAA)'!$M$1</definedName>
    <definedName name="Contractor5">'Bid Tab B (Port)'!$M$1</definedName>
    <definedName name="Contractor6" localSheetId="2">'Bid Tab A (FAA)'!$O$1</definedName>
    <definedName name="Contractor6">'Bid Tab B (Port)'!$O$1</definedName>
    <definedName name="Contractor7" localSheetId="2">'Bid Tab A (FAA)'!#REF!</definedName>
    <definedName name="Contractor7">'Bid Tab B (Port)'!#REF!</definedName>
    <definedName name="Contractor8" localSheetId="2">'Bid Tab A (FAA)'!#REF!</definedName>
    <definedName name="Contractor8">'Bid Tab B (Port)'!#REF!</definedName>
    <definedName name="EngineerEstimate" localSheetId="2">'Bid Tab A (FAA)'!$Q$1</definedName>
    <definedName name="EngineerEstimate">'Bid Tab B (Port)'!$Q$1</definedName>
    <definedName name="_xlnm.Print_Area" localSheetId="0">'Bid Item List A (FAA)'!$A$14:$F$109</definedName>
    <definedName name="_xlnm.Print_Area" localSheetId="1">'Bid Item List B (Port)'!$A$14:$F$25</definedName>
    <definedName name="_xlnm.Print_Area" localSheetId="4">Summary!$A$1:$B$16</definedName>
    <definedName name="_xlnm.Print_Titles" localSheetId="0">'Bid Item List A (FAA)'!$14:$19</definedName>
    <definedName name="_xlnm.Print_Titles" localSheetId="1">'Bid Item List B (Port)'!$14:$19</definedName>
    <definedName name="_xlnm.Print_Titles" localSheetId="2">'Bid Tab A (FAA)'!$A:$D,'Bid Tab A (FAA)'!$1:$7</definedName>
    <definedName name="_xlnm.Print_Titles" localSheetId="3">'Bid Tab B (Port)'!$A:$D,'Bid Tab B (Port)'!$1:$7</definedName>
  </definedNames>
  <calcPr calcId="145621"/>
</workbook>
</file>

<file path=xl/calcChain.xml><?xml version="1.0" encoding="utf-8"?>
<calcChain xmlns="http://schemas.openxmlformats.org/spreadsheetml/2006/main">
  <c r="A139" i="9" l="1"/>
  <c r="B139" i="9"/>
  <c r="C139" i="9"/>
  <c r="F139" i="9" s="1"/>
  <c r="D139" i="9"/>
  <c r="R139" i="9"/>
  <c r="A140" i="9"/>
  <c r="B140" i="9"/>
  <c r="C140" i="9"/>
  <c r="H140" i="9" s="1"/>
  <c r="D140" i="9"/>
  <c r="F140" i="9"/>
  <c r="J140" i="9"/>
  <c r="L140" i="9"/>
  <c r="N140" i="9"/>
  <c r="R140" i="9"/>
  <c r="A20" i="2"/>
  <c r="B20" i="2"/>
  <c r="C20" i="2"/>
  <c r="F20" i="2" s="1"/>
  <c r="D20" i="2"/>
  <c r="A21" i="2"/>
  <c r="B21" i="2"/>
  <c r="C21" i="2"/>
  <c r="L21" i="2" s="1"/>
  <c r="D21" i="2"/>
  <c r="A22" i="2"/>
  <c r="B22" i="2"/>
  <c r="C22" i="2"/>
  <c r="L22" i="2" s="1"/>
  <c r="D22" i="2"/>
  <c r="A23" i="2"/>
  <c r="B23" i="2"/>
  <c r="C23" i="2"/>
  <c r="F23" i="2" s="1"/>
  <c r="D23" i="2"/>
  <c r="J23" i="2"/>
  <c r="A11" i="2"/>
  <c r="B11" i="2"/>
  <c r="C11" i="2"/>
  <c r="F11" i="2" s="1"/>
  <c r="D11" i="2"/>
  <c r="J11" i="2"/>
  <c r="A12" i="2"/>
  <c r="B12" i="2"/>
  <c r="C12" i="2"/>
  <c r="L12" i="2" s="1"/>
  <c r="D12" i="2"/>
  <c r="F12" i="2"/>
  <c r="N12" i="2"/>
  <c r="A13" i="2"/>
  <c r="B13" i="2"/>
  <c r="C13" i="2"/>
  <c r="L13" i="2" s="1"/>
  <c r="D13" i="2"/>
  <c r="A14" i="2"/>
  <c r="B14" i="2"/>
  <c r="C14" i="2"/>
  <c r="H14" i="2" s="1"/>
  <c r="D14" i="2"/>
  <c r="J14" i="2"/>
  <c r="P14" i="2"/>
  <c r="A15" i="2"/>
  <c r="B15" i="2"/>
  <c r="C15" i="2"/>
  <c r="J15" i="2" s="1"/>
  <c r="D15" i="2"/>
  <c r="A16" i="2"/>
  <c r="B16" i="2"/>
  <c r="C16" i="2"/>
  <c r="L16" i="2" s="1"/>
  <c r="D16" i="2"/>
  <c r="A17" i="2"/>
  <c r="B17" i="2"/>
  <c r="C17" i="2"/>
  <c r="L17" i="2" s="1"/>
  <c r="D17" i="2"/>
  <c r="A18" i="2"/>
  <c r="B18" i="2"/>
  <c r="C18" i="2"/>
  <c r="P18" i="2" s="1"/>
  <c r="D18" i="2"/>
  <c r="A19" i="2"/>
  <c r="B19" i="2"/>
  <c r="C19" i="2"/>
  <c r="J19" i="2" s="1"/>
  <c r="D19" i="2"/>
  <c r="N19" i="2"/>
  <c r="A25" i="9"/>
  <c r="B25" i="9"/>
  <c r="C25" i="9"/>
  <c r="D25" i="9"/>
  <c r="A26" i="9"/>
  <c r="B26" i="9"/>
  <c r="C26" i="9"/>
  <c r="D26" i="9"/>
  <c r="A27" i="9"/>
  <c r="B27" i="9"/>
  <c r="C27" i="9"/>
  <c r="D27" i="9"/>
  <c r="A28" i="9"/>
  <c r="B28" i="9"/>
  <c r="C28" i="9"/>
  <c r="D28" i="9"/>
  <c r="A29" i="9"/>
  <c r="B29" i="9"/>
  <c r="C29" i="9"/>
  <c r="D29" i="9"/>
  <c r="A30" i="9"/>
  <c r="B30" i="9"/>
  <c r="C30" i="9"/>
  <c r="D30" i="9"/>
  <c r="A31" i="9"/>
  <c r="B31" i="9"/>
  <c r="C31" i="9"/>
  <c r="D31" i="9"/>
  <c r="A32" i="9"/>
  <c r="B32" i="9"/>
  <c r="C32" i="9"/>
  <c r="D32" i="9"/>
  <c r="A33" i="9"/>
  <c r="B33" i="9"/>
  <c r="C33" i="9"/>
  <c r="D33" i="9"/>
  <c r="A34" i="9"/>
  <c r="B34" i="9"/>
  <c r="C34" i="9"/>
  <c r="D34" i="9"/>
  <c r="A35" i="9"/>
  <c r="B35" i="9"/>
  <c r="C35" i="9"/>
  <c r="D35" i="9"/>
  <c r="A36" i="9"/>
  <c r="B36" i="9"/>
  <c r="C36" i="9"/>
  <c r="D36" i="9"/>
  <c r="A37" i="9"/>
  <c r="B37" i="9"/>
  <c r="C37" i="9"/>
  <c r="D37" i="9"/>
  <c r="A38" i="9"/>
  <c r="B38" i="9"/>
  <c r="C38" i="9"/>
  <c r="D38" i="9"/>
  <c r="A39" i="9"/>
  <c r="B39" i="9"/>
  <c r="C39" i="9"/>
  <c r="D39" i="9"/>
  <c r="A40" i="9"/>
  <c r="B40" i="9"/>
  <c r="C40" i="9"/>
  <c r="D40" i="9"/>
  <c r="A41" i="9"/>
  <c r="B41" i="9"/>
  <c r="C41" i="9"/>
  <c r="D41" i="9"/>
  <c r="A42" i="9"/>
  <c r="B42" i="9"/>
  <c r="C42" i="9"/>
  <c r="D42" i="9"/>
  <c r="A43" i="9"/>
  <c r="B43" i="9"/>
  <c r="C43" i="9"/>
  <c r="D43" i="9"/>
  <c r="A44" i="9"/>
  <c r="B44" i="9"/>
  <c r="C44" i="9"/>
  <c r="D44" i="9"/>
  <c r="A45" i="9"/>
  <c r="B45" i="9"/>
  <c r="C45" i="9"/>
  <c r="D45" i="9"/>
  <c r="A46" i="9"/>
  <c r="B46" i="9"/>
  <c r="C46" i="9"/>
  <c r="D46" i="9"/>
  <c r="A47" i="9"/>
  <c r="B47" i="9"/>
  <c r="C47" i="9"/>
  <c r="D47" i="9"/>
  <c r="A48" i="9"/>
  <c r="B48" i="9"/>
  <c r="C48" i="9"/>
  <c r="D48" i="9"/>
  <c r="A49" i="9"/>
  <c r="B49" i="9"/>
  <c r="C49" i="9"/>
  <c r="D49" i="9"/>
  <c r="A50" i="9"/>
  <c r="B50" i="9"/>
  <c r="C50" i="9"/>
  <c r="D50" i="9"/>
  <c r="A51" i="9"/>
  <c r="B51" i="9"/>
  <c r="C51" i="9"/>
  <c r="D51" i="9"/>
  <c r="A52" i="9"/>
  <c r="B52" i="9"/>
  <c r="C52" i="9"/>
  <c r="D52" i="9"/>
  <c r="A53" i="9"/>
  <c r="B53" i="9"/>
  <c r="C53" i="9"/>
  <c r="D53" i="9"/>
  <c r="A54" i="9"/>
  <c r="B54" i="9"/>
  <c r="C54" i="9"/>
  <c r="D54" i="9"/>
  <c r="A55" i="9"/>
  <c r="B55" i="9"/>
  <c r="C55" i="9"/>
  <c r="D55" i="9"/>
  <c r="A56" i="9"/>
  <c r="B56" i="9"/>
  <c r="C56" i="9"/>
  <c r="D56" i="9"/>
  <c r="A57" i="9"/>
  <c r="B57" i="9"/>
  <c r="C57" i="9"/>
  <c r="D57" i="9"/>
  <c r="A58" i="9"/>
  <c r="B58" i="9"/>
  <c r="C58" i="9"/>
  <c r="D58" i="9"/>
  <c r="A59" i="9"/>
  <c r="B59" i="9"/>
  <c r="C59" i="9"/>
  <c r="D59" i="9"/>
  <c r="A60" i="9"/>
  <c r="B60" i="9"/>
  <c r="C60" i="9"/>
  <c r="D60" i="9"/>
  <c r="A61" i="9"/>
  <c r="B61" i="9"/>
  <c r="C61" i="9"/>
  <c r="D61" i="9"/>
  <c r="A62" i="9"/>
  <c r="B62" i="9"/>
  <c r="C62" i="9"/>
  <c r="D62" i="9"/>
  <c r="A63" i="9"/>
  <c r="B63" i="9"/>
  <c r="C63" i="9"/>
  <c r="D63" i="9"/>
  <c r="A64" i="9"/>
  <c r="B64" i="9"/>
  <c r="C64" i="9"/>
  <c r="D64" i="9"/>
  <c r="A65" i="9"/>
  <c r="B65" i="9"/>
  <c r="C65" i="9"/>
  <c r="D65" i="9"/>
  <c r="A66" i="9"/>
  <c r="B66" i="9"/>
  <c r="C66" i="9"/>
  <c r="D66" i="9"/>
  <c r="A67" i="9"/>
  <c r="B67" i="9"/>
  <c r="C67" i="9"/>
  <c r="D67" i="9"/>
  <c r="A68" i="9"/>
  <c r="B68" i="9"/>
  <c r="C68" i="9"/>
  <c r="D68" i="9"/>
  <c r="A69" i="9"/>
  <c r="B69" i="9"/>
  <c r="C69" i="9"/>
  <c r="D69" i="9"/>
  <c r="A70" i="9"/>
  <c r="B70" i="9"/>
  <c r="C70" i="9"/>
  <c r="D70" i="9"/>
  <c r="A71" i="9"/>
  <c r="B71" i="9"/>
  <c r="C71" i="9"/>
  <c r="D71" i="9"/>
  <c r="A72" i="9"/>
  <c r="B72" i="9"/>
  <c r="C72" i="9"/>
  <c r="D72" i="9"/>
  <c r="A73" i="9"/>
  <c r="B73" i="9"/>
  <c r="C73" i="9"/>
  <c r="D73" i="9"/>
  <c r="A74" i="9"/>
  <c r="B74" i="9"/>
  <c r="C74" i="9"/>
  <c r="D74" i="9"/>
  <c r="A75" i="9"/>
  <c r="B75" i="9"/>
  <c r="C75" i="9"/>
  <c r="D75" i="9"/>
  <c r="A76" i="9"/>
  <c r="B76" i="9"/>
  <c r="C76" i="9"/>
  <c r="D76" i="9"/>
  <c r="A77" i="9"/>
  <c r="B77" i="9"/>
  <c r="C77" i="9"/>
  <c r="D77" i="9"/>
  <c r="A78" i="9"/>
  <c r="B78" i="9"/>
  <c r="C78" i="9"/>
  <c r="D78" i="9"/>
  <c r="A79" i="9"/>
  <c r="B79" i="9"/>
  <c r="C79" i="9"/>
  <c r="D79" i="9"/>
  <c r="A80" i="9"/>
  <c r="B80" i="9"/>
  <c r="C80" i="9"/>
  <c r="D80" i="9"/>
  <c r="A81" i="9"/>
  <c r="B81" i="9"/>
  <c r="C81" i="9"/>
  <c r="D81" i="9"/>
  <c r="A82" i="9"/>
  <c r="B82" i="9"/>
  <c r="C82" i="9"/>
  <c r="D82" i="9"/>
  <c r="A83" i="9"/>
  <c r="B83" i="9"/>
  <c r="C83" i="9"/>
  <c r="D83" i="9"/>
  <c r="A84" i="9"/>
  <c r="B84" i="9"/>
  <c r="C84" i="9"/>
  <c r="D84" i="9"/>
  <c r="A85" i="9"/>
  <c r="B85" i="9"/>
  <c r="C85" i="9"/>
  <c r="D85" i="9"/>
  <c r="A86" i="9"/>
  <c r="B86" i="9"/>
  <c r="C86" i="9"/>
  <c r="D86" i="9"/>
  <c r="A87" i="9"/>
  <c r="B87" i="9"/>
  <c r="C87" i="9"/>
  <c r="D87" i="9"/>
  <c r="A88" i="9"/>
  <c r="B88" i="9"/>
  <c r="C88" i="9"/>
  <c r="D88" i="9"/>
  <c r="A89" i="9"/>
  <c r="B89" i="9"/>
  <c r="C89" i="9"/>
  <c r="D89" i="9"/>
  <c r="A90" i="9"/>
  <c r="B90" i="9"/>
  <c r="C90" i="9"/>
  <c r="D90" i="9"/>
  <c r="A91" i="9"/>
  <c r="B91" i="9"/>
  <c r="C91" i="9"/>
  <c r="D91" i="9"/>
  <c r="A92" i="9"/>
  <c r="B92" i="9"/>
  <c r="C92" i="9"/>
  <c r="D92" i="9"/>
  <c r="A93" i="9"/>
  <c r="B93" i="9"/>
  <c r="C93" i="9"/>
  <c r="D93" i="9"/>
  <c r="A94" i="9"/>
  <c r="B94" i="9"/>
  <c r="C94" i="9"/>
  <c r="D94" i="9"/>
  <c r="A95" i="9"/>
  <c r="B95" i="9"/>
  <c r="C95" i="9"/>
  <c r="D95" i="9"/>
  <c r="A96" i="9"/>
  <c r="B96" i="9"/>
  <c r="C96" i="9"/>
  <c r="D96" i="9"/>
  <c r="A97" i="9"/>
  <c r="B97" i="9"/>
  <c r="C97" i="9"/>
  <c r="D97" i="9"/>
  <c r="A98" i="9"/>
  <c r="B98" i="9"/>
  <c r="C98" i="9"/>
  <c r="D98" i="9"/>
  <c r="A99" i="9"/>
  <c r="B99" i="9"/>
  <c r="C99" i="9"/>
  <c r="D99" i="9"/>
  <c r="A100" i="9"/>
  <c r="B100" i="9"/>
  <c r="C100" i="9"/>
  <c r="D100" i="9"/>
  <c r="A101" i="9"/>
  <c r="B101" i="9"/>
  <c r="C101" i="9"/>
  <c r="D101" i="9"/>
  <c r="A102" i="9"/>
  <c r="B102" i="9"/>
  <c r="C102" i="9"/>
  <c r="D102" i="9"/>
  <c r="A103" i="9"/>
  <c r="B103" i="9"/>
  <c r="C103" i="9"/>
  <c r="D103" i="9"/>
  <c r="A104" i="9"/>
  <c r="B104" i="9"/>
  <c r="C104" i="9"/>
  <c r="D104" i="9"/>
  <c r="A105" i="9"/>
  <c r="B105" i="9"/>
  <c r="C105" i="9"/>
  <c r="D105" i="9"/>
  <c r="A106" i="9"/>
  <c r="B106" i="9"/>
  <c r="C106" i="9"/>
  <c r="D106" i="9"/>
  <c r="A107" i="9"/>
  <c r="B107" i="9"/>
  <c r="C107" i="9"/>
  <c r="D107" i="9"/>
  <c r="A108" i="9"/>
  <c r="B108" i="9"/>
  <c r="C108" i="9"/>
  <c r="D108" i="9"/>
  <c r="A109" i="9"/>
  <c r="B109" i="9"/>
  <c r="C109" i="9"/>
  <c r="D109" i="9"/>
  <c r="A110" i="9"/>
  <c r="B110" i="9"/>
  <c r="C110" i="9"/>
  <c r="D110" i="9"/>
  <c r="A111" i="9"/>
  <c r="B111" i="9"/>
  <c r="C111" i="9"/>
  <c r="D111" i="9"/>
  <c r="A112" i="9"/>
  <c r="B112" i="9"/>
  <c r="C112" i="9"/>
  <c r="D112" i="9"/>
  <c r="A113" i="9"/>
  <c r="B113" i="9"/>
  <c r="C113" i="9"/>
  <c r="D113" i="9"/>
  <c r="A114" i="9"/>
  <c r="B114" i="9"/>
  <c r="C114" i="9"/>
  <c r="D114" i="9"/>
  <c r="A115" i="9"/>
  <c r="B115" i="9"/>
  <c r="C115" i="9"/>
  <c r="D115" i="9"/>
  <c r="A116" i="9"/>
  <c r="B116" i="9"/>
  <c r="C116" i="9"/>
  <c r="D116" i="9"/>
  <c r="A117" i="9"/>
  <c r="B117" i="9"/>
  <c r="C117" i="9"/>
  <c r="D117" i="9"/>
  <c r="A118" i="9"/>
  <c r="B118" i="9"/>
  <c r="C118" i="9"/>
  <c r="D118" i="9"/>
  <c r="A119" i="9"/>
  <c r="B119" i="9"/>
  <c r="C119" i="9"/>
  <c r="D119" i="9"/>
  <c r="A120" i="9"/>
  <c r="B120" i="9"/>
  <c r="C120" i="9"/>
  <c r="D120" i="9"/>
  <c r="A121" i="9"/>
  <c r="B121" i="9"/>
  <c r="C121" i="9"/>
  <c r="D121" i="9"/>
  <c r="A122" i="9"/>
  <c r="B122" i="9"/>
  <c r="C122" i="9"/>
  <c r="D122" i="9"/>
  <c r="A123" i="9"/>
  <c r="B123" i="9"/>
  <c r="C123" i="9"/>
  <c r="D123" i="9"/>
  <c r="A124" i="9"/>
  <c r="B124" i="9"/>
  <c r="C124" i="9"/>
  <c r="D124" i="9"/>
  <c r="A125" i="9"/>
  <c r="B125" i="9"/>
  <c r="C125" i="9"/>
  <c r="D125" i="9"/>
  <c r="A126" i="9"/>
  <c r="B126" i="9"/>
  <c r="C126" i="9"/>
  <c r="D126" i="9"/>
  <c r="A127" i="9"/>
  <c r="B127" i="9"/>
  <c r="C127" i="9"/>
  <c r="D127" i="9"/>
  <c r="A128" i="9"/>
  <c r="B128" i="9"/>
  <c r="C128" i="9"/>
  <c r="D128" i="9"/>
  <c r="A129" i="9"/>
  <c r="B129" i="9"/>
  <c r="C129" i="9"/>
  <c r="D129" i="9"/>
  <c r="A130" i="9"/>
  <c r="B130" i="9"/>
  <c r="C130" i="9"/>
  <c r="D130" i="9"/>
  <c r="A131" i="9"/>
  <c r="B131" i="9"/>
  <c r="C131" i="9"/>
  <c r="D131" i="9"/>
  <c r="A132" i="9"/>
  <c r="B132" i="9"/>
  <c r="C132" i="9"/>
  <c r="D132" i="9"/>
  <c r="A133" i="9"/>
  <c r="B133" i="9"/>
  <c r="C133" i="9"/>
  <c r="D133" i="9"/>
  <c r="A134" i="9"/>
  <c r="B134" i="9"/>
  <c r="C134" i="9"/>
  <c r="D134" i="9"/>
  <c r="A135" i="9"/>
  <c r="B135" i="9"/>
  <c r="C135" i="9"/>
  <c r="D135" i="9"/>
  <c r="A136" i="9"/>
  <c r="B136" i="9"/>
  <c r="C136" i="9"/>
  <c r="D136" i="9"/>
  <c r="A137" i="9"/>
  <c r="B137" i="9"/>
  <c r="C137" i="9"/>
  <c r="D137" i="9"/>
  <c r="A138" i="9"/>
  <c r="B138" i="9"/>
  <c r="C138" i="9"/>
  <c r="D138" i="9"/>
  <c r="A16" i="9"/>
  <c r="B16" i="9"/>
  <c r="C16" i="9"/>
  <c r="L16" i="9" s="1"/>
  <c r="D16" i="9"/>
  <c r="A17" i="9"/>
  <c r="B17" i="9"/>
  <c r="C17" i="9"/>
  <c r="J17" i="9" s="1"/>
  <c r="D17" i="9"/>
  <c r="A18" i="9"/>
  <c r="B18" i="9"/>
  <c r="C18" i="9"/>
  <c r="D18" i="9"/>
  <c r="A19" i="9"/>
  <c r="B19" i="9"/>
  <c r="C19" i="9"/>
  <c r="D19" i="9"/>
  <c r="A20" i="9"/>
  <c r="B20" i="9"/>
  <c r="C20" i="9"/>
  <c r="D20" i="9"/>
  <c r="A21" i="9"/>
  <c r="B21" i="9"/>
  <c r="C21" i="9"/>
  <c r="D21" i="9"/>
  <c r="A22" i="9"/>
  <c r="B22" i="9"/>
  <c r="C22" i="9"/>
  <c r="D22" i="9"/>
  <c r="A23" i="9"/>
  <c r="B23" i="9"/>
  <c r="C23" i="9"/>
  <c r="D23" i="9"/>
  <c r="A24" i="9"/>
  <c r="B24" i="9"/>
  <c r="C24" i="9"/>
  <c r="D24" i="9"/>
  <c r="A12" i="9"/>
  <c r="B12" i="9"/>
  <c r="C12" i="9"/>
  <c r="L12" i="9" s="1"/>
  <c r="D12" i="9"/>
  <c r="A13" i="9"/>
  <c r="B13" i="9"/>
  <c r="C13" i="9"/>
  <c r="J13" i="9" s="1"/>
  <c r="D13" i="9"/>
  <c r="A14" i="9"/>
  <c r="B14" i="9"/>
  <c r="C14" i="9"/>
  <c r="J14" i="9" s="1"/>
  <c r="D14" i="9"/>
  <c r="A15" i="9"/>
  <c r="B15" i="9"/>
  <c r="C15" i="9"/>
  <c r="L15" i="9" s="1"/>
  <c r="D15" i="9"/>
  <c r="A11" i="9"/>
  <c r="B11" i="9"/>
  <c r="C11" i="9"/>
  <c r="D11" i="9"/>
  <c r="A10" i="9"/>
  <c r="A9" i="9"/>
  <c r="A8" i="9"/>
  <c r="N13" i="9"/>
  <c r="F16" i="9"/>
  <c r="R16" i="9"/>
  <c r="R17" i="9"/>
  <c r="N16" i="2" l="1"/>
  <c r="J12" i="2"/>
  <c r="R21" i="2"/>
  <c r="R16" i="2"/>
  <c r="N17" i="9"/>
  <c r="P16" i="9"/>
  <c r="P15" i="9"/>
  <c r="F13" i="9"/>
  <c r="L17" i="9"/>
  <c r="N16" i="9"/>
  <c r="H15" i="9"/>
  <c r="P12" i="9"/>
  <c r="F17" i="9"/>
  <c r="H16" i="9"/>
  <c r="R13" i="9"/>
  <c r="H12" i="9"/>
  <c r="J139" i="9"/>
  <c r="P140" i="9"/>
  <c r="N11" i="2"/>
  <c r="L23" i="2"/>
  <c r="L19" i="2"/>
  <c r="L15" i="2"/>
  <c r="L11" i="2"/>
  <c r="L18" i="2"/>
  <c r="L14" i="2"/>
  <c r="R15" i="2"/>
  <c r="R11" i="2"/>
  <c r="H11" i="2"/>
  <c r="N21" i="2"/>
  <c r="P11" i="2"/>
  <c r="L20" i="2"/>
  <c r="L139" i="9"/>
  <c r="P139" i="9"/>
  <c r="H139" i="9"/>
  <c r="N139" i="9"/>
  <c r="J18" i="2"/>
  <c r="P15" i="2"/>
  <c r="H15" i="2"/>
  <c r="R19" i="2"/>
  <c r="H19" i="2"/>
  <c r="H18" i="2"/>
  <c r="J16" i="2"/>
  <c r="N15" i="2"/>
  <c r="F15" i="2"/>
  <c r="R12" i="2"/>
  <c r="N22" i="2"/>
  <c r="J21" i="2"/>
  <c r="P19" i="2"/>
  <c r="F19" i="2"/>
  <c r="J17" i="2"/>
  <c r="F16" i="2"/>
  <c r="J22" i="2"/>
  <c r="F21" i="2"/>
  <c r="P16" i="2"/>
  <c r="H16" i="2"/>
  <c r="J13" i="2"/>
  <c r="P12" i="2"/>
  <c r="H12" i="2"/>
  <c r="R22" i="2"/>
  <c r="F22" i="2"/>
  <c r="P21" i="2"/>
  <c r="H21" i="2"/>
  <c r="P23" i="2"/>
  <c r="H23" i="2"/>
  <c r="R23" i="2"/>
  <c r="N23" i="2"/>
  <c r="J20" i="2"/>
  <c r="P22" i="2"/>
  <c r="H22" i="2"/>
  <c r="P20" i="2"/>
  <c r="H20" i="2"/>
  <c r="R20" i="2"/>
  <c r="N20" i="2"/>
  <c r="R18" i="2"/>
  <c r="N18" i="2"/>
  <c r="F18" i="2"/>
  <c r="P17" i="2"/>
  <c r="H17" i="2"/>
  <c r="R14" i="2"/>
  <c r="N14" i="2"/>
  <c r="F14" i="2"/>
  <c r="P13" i="2"/>
  <c r="H13" i="2"/>
  <c r="R17" i="2"/>
  <c r="N17" i="2"/>
  <c r="F17" i="2"/>
  <c r="R13" i="2"/>
  <c r="N13" i="2"/>
  <c r="F13" i="2"/>
  <c r="P17" i="9"/>
  <c r="H17" i="9"/>
  <c r="J16" i="9"/>
  <c r="J15" i="9"/>
  <c r="H14" i="9"/>
  <c r="P13" i="9"/>
  <c r="H13" i="9"/>
  <c r="J12" i="9"/>
  <c r="R15" i="9"/>
  <c r="N15" i="9"/>
  <c r="F15" i="9"/>
  <c r="L13" i="9"/>
  <c r="R12" i="9"/>
  <c r="N12" i="9"/>
  <c r="F12" i="9"/>
  <c r="P14" i="9"/>
  <c r="R14" i="9"/>
  <c r="N14" i="9"/>
  <c r="F14" i="9"/>
  <c r="L14" i="9"/>
  <c r="F18" i="9"/>
  <c r="L18" i="9"/>
  <c r="L19" i="9"/>
  <c r="J19" i="9"/>
  <c r="F20" i="9"/>
  <c r="H20" i="9"/>
  <c r="J20" i="9"/>
  <c r="L20" i="9"/>
  <c r="P20" i="9"/>
  <c r="H21" i="9"/>
  <c r="J21" i="9"/>
  <c r="L21" i="9"/>
  <c r="R21" i="9"/>
  <c r="F22" i="9"/>
  <c r="J22" i="9"/>
  <c r="L22" i="9"/>
  <c r="P22" i="9"/>
  <c r="L23" i="9"/>
  <c r="F23" i="9"/>
  <c r="H23" i="9"/>
  <c r="J23" i="9"/>
  <c r="N23" i="9"/>
  <c r="P23" i="9"/>
  <c r="R23" i="9"/>
  <c r="L24" i="9"/>
  <c r="F24" i="9"/>
  <c r="H24" i="9"/>
  <c r="J24" i="9"/>
  <c r="N24" i="9"/>
  <c r="P24" i="9"/>
  <c r="R24" i="9"/>
  <c r="H25" i="9"/>
  <c r="L25" i="9"/>
  <c r="R25" i="9"/>
  <c r="H26" i="9"/>
  <c r="P26" i="9"/>
  <c r="F27" i="9"/>
  <c r="F28" i="9"/>
  <c r="H28" i="9"/>
  <c r="J28" i="9"/>
  <c r="L28" i="9"/>
  <c r="P28" i="9"/>
  <c r="L29" i="9"/>
  <c r="J29" i="9"/>
  <c r="N29" i="9"/>
  <c r="R29" i="9"/>
  <c r="F30" i="9"/>
  <c r="J30" i="9"/>
  <c r="L30" i="9"/>
  <c r="P30" i="9"/>
  <c r="F31" i="9"/>
  <c r="H32" i="9"/>
  <c r="F32" i="9"/>
  <c r="J32" i="9"/>
  <c r="L32" i="9"/>
  <c r="N32" i="9"/>
  <c r="R32" i="9"/>
  <c r="H33" i="9"/>
  <c r="R33" i="9"/>
  <c r="F34" i="9"/>
  <c r="H34" i="9"/>
  <c r="J34" i="9"/>
  <c r="L34" i="9"/>
  <c r="P34" i="9"/>
  <c r="F35" i="9"/>
  <c r="L36" i="9"/>
  <c r="F36" i="9"/>
  <c r="H36" i="9"/>
  <c r="J36" i="9"/>
  <c r="N36" i="9"/>
  <c r="P36" i="9"/>
  <c r="R36" i="9"/>
  <c r="H37" i="9"/>
  <c r="F37" i="9"/>
  <c r="L37" i="9"/>
  <c r="R37" i="9"/>
  <c r="H38" i="9"/>
  <c r="J38" i="9"/>
  <c r="L38" i="9"/>
  <c r="F39" i="9"/>
  <c r="J39" i="9"/>
  <c r="F40" i="9"/>
  <c r="J40" i="9"/>
  <c r="L40" i="9"/>
  <c r="P40" i="9"/>
  <c r="H41" i="9"/>
  <c r="F41" i="9"/>
  <c r="L41" i="9"/>
  <c r="R41" i="9"/>
  <c r="H42" i="9"/>
  <c r="L42" i="9"/>
  <c r="F43" i="9"/>
  <c r="F44" i="9"/>
  <c r="H44" i="9"/>
  <c r="J44" i="9"/>
  <c r="L44" i="9"/>
  <c r="N44" i="9"/>
  <c r="P44" i="9"/>
  <c r="R44" i="9"/>
  <c r="H45" i="9"/>
  <c r="H46" i="9"/>
  <c r="J47" i="9"/>
  <c r="F48" i="9"/>
  <c r="H48" i="9"/>
  <c r="J48" i="9"/>
  <c r="L48" i="9"/>
  <c r="H49" i="9"/>
  <c r="H50" i="9"/>
  <c r="F51" i="9"/>
  <c r="H51" i="9"/>
  <c r="J51" i="9"/>
  <c r="N51" i="9"/>
  <c r="R51" i="9"/>
  <c r="L52" i="9"/>
  <c r="N52" i="9"/>
  <c r="F53" i="9"/>
  <c r="L53" i="9"/>
  <c r="N53" i="9"/>
  <c r="P54" i="9"/>
  <c r="H54" i="9"/>
  <c r="L54" i="9"/>
  <c r="N55" i="9"/>
  <c r="R55" i="9"/>
  <c r="L56" i="9"/>
  <c r="F56" i="9"/>
  <c r="J56" i="9"/>
  <c r="N56" i="9"/>
  <c r="R56" i="9"/>
  <c r="J57" i="9"/>
  <c r="H58" i="9"/>
  <c r="L58" i="9"/>
  <c r="F59" i="9"/>
  <c r="R59" i="9"/>
  <c r="F60" i="9"/>
  <c r="H60" i="9"/>
  <c r="J60" i="9"/>
  <c r="L60" i="9"/>
  <c r="P60" i="9"/>
  <c r="F61" i="9"/>
  <c r="J62" i="9"/>
  <c r="P62" i="9"/>
  <c r="L63" i="9"/>
  <c r="P63" i="9"/>
  <c r="F64" i="9"/>
  <c r="P64" i="9"/>
  <c r="L65" i="9"/>
  <c r="J65" i="9"/>
  <c r="N65" i="9"/>
  <c r="H66" i="9"/>
  <c r="J66" i="9"/>
  <c r="L66" i="9"/>
  <c r="N66" i="9"/>
  <c r="R66" i="9"/>
  <c r="H67" i="9"/>
  <c r="J67" i="9"/>
  <c r="F68" i="9"/>
  <c r="P68" i="9"/>
  <c r="H69" i="9"/>
  <c r="F69" i="9"/>
  <c r="J69" i="9"/>
  <c r="L69" i="9"/>
  <c r="N69" i="9"/>
  <c r="R69" i="9"/>
  <c r="H70" i="9"/>
  <c r="J70" i="9"/>
  <c r="L70" i="9"/>
  <c r="N70" i="9"/>
  <c r="R70" i="9"/>
  <c r="H71" i="9"/>
  <c r="J71" i="9"/>
  <c r="F72" i="9"/>
  <c r="H72" i="9"/>
  <c r="P72" i="9"/>
  <c r="H73" i="9"/>
  <c r="J73" i="9"/>
  <c r="L73" i="9"/>
  <c r="R73" i="9"/>
  <c r="H74" i="9"/>
  <c r="R74" i="9"/>
  <c r="H75" i="9"/>
  <c r="J75" i="9"/>
  <c r="F76" i="9"/>
  <c r="J76" i="9"/>
  <c r="J77" i="9"/>
  <c r="H78" i="9"/>
  <c r="J78" i="9"/>
  <c r="L78" i="9"/>
  <c r="R78" i="9"/>
  <c r="J79" i="9"/>
  <c r="F80" i="9"/>
  <c r="F81" i="9"/>
  <c r="J81" i="9"/>
  <c r="L81" i="9"/>
  <c r="N81" i="9"/>
  <c r="R81" i="9"/>
  <c r="H83" i="9"/>
  <c r="F84" i="9"/>
  <c r="L85" i="9"/>
  <c r="J85" i="9"/>
  <c r="H86" i="9"/>
  <c r="N86" i="9"/>
  <c r="H87" i="9"/>
  <c r="F88" i="9"/>
  <c r="J88" i="9"/>
  <c r="F89" i="9"/>
  <c r="J89" i="9"/>
  <c r="H90" i="9"/>
  <c r="L90" i="9"/>
  <c r="H91" i="9"/>
  <c r="L91" i="9"/>
  <c r="F92" i="9"/>
  <c r="F93" i="9"/>
  <c r="H93" i="9"/>
  <c r="J93" i="9"/>
  <c r="L93" i="9"/>
  <c r="P93" i="9"/>
  <c r="H94" i="9"/>
  <c r="R94" i="9"/>
  <c r="H95" i="9"/>
  <c r="F96" i="9"/>
  <c r="J96" i="9"/>
  <c r="P96" i="9"/>
  <c r="F97" i="9"/>
  <c r="H97" i="9"/>
  <c r="J97" i="9"/>
  <c r="L97" i="9"/>
  <c r="H98" i="9"/>
  <c r="H99" i="9"/>
  <c r="F100" i="9"/>
  <c r="J100" i="9"/>
  <c r="P100" i="9"/>
  <c r="F101" i="9"/>
  <c r="H101" i="9"/>
  <c r="J101" i="9"/>
  <c r="L101" i="9"/>
  <c r="H102" i="9"/>
  <c r="R102" i="9"/>
  <c r="H103" i="9"/>
  <c r="L103" i="9"/>
  <c r="F104" i="9"/>
  <c r="P104" i="9"/>
  <c r="L105" i="9"/>
  <c r="N105" i="9"/>
  <c r="H106" i="9"/>
  <c r="L106" i="9"/>
  <c r="N106" i="9"/>
  <c r="H107" i="9"/>
  <c r="J107" i="9"/>
  <c r="F108" i="9"/>
  <c r="N109" i="9"/>
  <c r="H110" i="9"/>
  <c r="F110" i="9"/>
  <c r="J110" i="9"/>
  <c r="L110" i="9"/>
  <c r="N110" i="9"/>
  <c r="R110" i="9"/>
  <c r="H111" i="9"/>
  <c r="F112" i="9"/>
  <c r="F113" i="9"/>
  <c r="L113" i="9"/>
  <c r="H114" i="9"/>
  <c r="L114" i="9"/>
  <c r="R114" i="9"/>
  <c r="F115" i="9"/>
  <c r="F116" i="9"/>
  <c r="F117" i="9"/>
  <c r="J117" i="9"/>
  <c r="H118" i="9"/>
  <c r="P120" i="9"/>
  <c r="L121" i="9"/>
  <c r="N121" i="9"/>
  <c r="H122" i="9"/>
  <c r="L122" i="9"/>
  <c r="N122" i="9"/>
  <c r="H125" i="9"/>
  <c r="J125" i="9"/>
  <c r="H126" i="9"/>
  <c r="L126" i="9"/>
  <c r="N126" i="9"/>
  <c r="R126" i="9"/>
  <c r="J127" i="9"/>
  <c r="F129" i="9"/>
  <c r="H129" i="9"/>
  <c r="J129" i="9"/>
  <c r="L129" i="9"/>
  <c r="N129" i="9"/>
  <c r="P129" i="9"/>
  <c r="R129" i="9"/>
  <c r="H130" i="9"/>
  <c r="J131" i="9"/>
  <c r="J132" i="9"/>
  <c r="F133" i="9"/>
  <c r="H134" i="9"/>
  <c r="N134" i="9"/>
  <c r="J135" i="9"/>
  <c r="H136" i="9"/>
  <c r="H137" i="9"/>
  <c r="F137" i="9"/>
  <c r="L137" i="9"/>
  <c r="N137" i="9"/>
  <c r="R137" i="9"/>
  <c r="H138" i="9"/>
  <c r="L117" i="9" l="1"/>
  <c r="P113" i="9"/>
  <c r="R98" i="9"/>
  <c r="L89" i="9"/>
  <c r="R45" i="9"/>
  <c r="J25" i="9"/>
  <c r="R19" i="9"/>
  <c r="H19" i="9"/>
  <c r="L134" i="9"/>
  <c r="L26" i="9"/>
  <c r="F25" i="9"/>
  <c r="F21" i="9"/>
  <c r="F19" i="9"/>
  <c r="R138" i="9"/>
  <c r="N138" i="9"/>
  <c r="R134" i="9"/>
  <c r="F134" i="9"/>
  <c r="N130" i="9"/>
  <c r="F126" i="9"/>
  <c r="R122" i="9"/>
  <c r="J122" i="9"/>
  <c r="J121" i="9"/>
  <c r="F118" i="9"/>
  <c r="P117" i="9"/>
  <c r="H117" i="9"/>
  <c r="J113" i="9"/>
  <c r="J109" i="9"/>
  <c r="R106" i="9"/>
  <c r="J106" i="9"/>
  <c r="J105" i="9"/>
  <c r="P101" i="9"/>
  <c r="L98" i="9"/>
  <c r="P97" i="9"/>
  <c r="L94" i="9"/>
  <c r="J92" i="9"/>
  <c r="J91" i="9"/>
  <c r="F90" i="9"/>
  <c r="P89" i="9"/>
  <c r="H89" i="9"/>
  <c r="L86" i="9"/>
  <c r="L83" i="9"/>
  <c r="J80" i="9"/>
  <c r="F78" i="9"/>
  <c r="N74" i="9"/>
  <c r="F73" i="9"/>
  <c r="H68" i="9"/>
  <c r="R65" i="9"/>
  <c r="F65" i="9"/>
  <c r="J64" i="9"/>
  <c r="N59" i="9"/>
  <c r="N57" i="9"/>
  <c r="P55" i="9"/>
  <c r="R53" i="9"/>
  <c r="J53" i="9"/>
  <c r="J52" i="9"/>
  <c r="P50" i="9"/>
  <c r="P48" i="9"/>
  <c r="L46" i="9"/>
  <c r="L45" i="9"/>
  <c r="H40" i="9"/>
  <c r="L33" i="9"/>
  <c r="P32" i="9"/>
  <c r="H30" i="9"/>
  <c r="F29" i="9"/>
  <c r="J27" i="9"/>
  <c r="J26" i="9"/>
  <c r="N25" i="9"/>
  <c r="P19" i="9"/>
  <c r="F130" i="9"/>
  <c r="R121" i="9"/>
  <c r="F121" i="9"/>
  <c r="R117" i="9"/>
  <c r="N117" i="9"/>
  <c r="L115" i="9"/>
  <c r="H113" i="9"/>
  <c r="J108" i="9"/>
  <c r="R105" i="9"/>
  <c r="F105" i="9"/>
  <c r="L102" i="9"/>
  <c r="L99" i="9"/>
  <c r="F98" i="9"/>
  <c r="L95" i="9"/>
  <c r="R90" i="9"/>
  <c r="R89" i="9"/>
  <c r="N89" i="9"/>
  <c r="R86" i="9"/>
  <c r="J86" i="9"/>
  <c r="P84" i="9"/>
  <c r="N82" i="9"/>
  <c r="N78" i="9"/>
  <c r="L74" i="9"/>
  <c r="N73" i="9"/>
  <c r="R64" i="9"/>
  <c r="H64" i="9"/>
  <c r="H59" i="9"/>
  <c r="L57" i="9"/>
  <c r="R52" i="9"/>
  <c r="F52" i="9"/>
  <c r="L50" i="9"/>
  <c r="J46" i="9"/>
  <c r="F45" i="9"/>
  <c r="R49" i="9"/>
  <c r="L49" i="9"/>
  <c r="L138" i="9"/>
  <c r="J137" i="9"/>
  <c r="P136" i="9"/>
  <c r="N133" i="9"/>
  <c r="H132" i="9"/>
  <c r="R125" i="9"/>
  <c r="N125" i="9"/>
  <c r="F125" i="9"/>
  <c r="J112" i="9"/>
  <c r="F109" i="9"/>
  <c r="F138" i="9"/>
  <c r="P137" i="9"/>
  <c r="L133" i="9"/>
  <c r="R130" i="9"/>
  <c r="L130" i="9"/>
  <c r="L125" i="9"/>
  <c r="P124" i="9"/>
  <c r="F122" i="9"/>
  <c r="P121" i="9"/>
  <c r="H121" i="9"/>
  <c r="R118" i="9"/>
  <c r="L118" i="9"/>
  <c r="J116" i="9"/>
  <c r="J115" i="9"/>
  <c r="N114" i="9"/>
  <c r="R113" i="9"/>
  <c r="N113" i="9"/>
  <c r="L109" i="9"/>
  <c r="L107" i="9"/>
  <c r="F106" i="9"/>
  <c r="P105" i="9"/>
  <c r="H105" i="9"/>
  <c r="J104" i="9"/>
  <c r="J103" i="9"/>
  <c r="N102" i="9"/>
  <c r="R101" i="9"/>
  <c r="N101" i="9"/>
  <c r="H100" i="9"/>
  <c r="J99" i="9"/>
  <c r="N98" i="9"/>
  <c r="R97" i="9"/>
  <c r="N97" i="9"/>
  <c r="H96" i="9"/>
  <c r="J95" i="9"/>
  <c r="N94" i="9"/>
  <c r="R93" i="9"/>
  <c r="N93" i="9"/>
  <c r="J90" i="9"/>
  <c r="P88" i="9"/>
  <c r="L87" i="9"/>
  <c r="F86" i="9"/>
  <c r="P85" i="9"/>
  <c r="H85" i="9"/>
  <c r="J84" i="9"/>
  <c r="J83" i="9"/>
  <c r="L82" i="9"/>
  <c r="L79" i="9"/>
  <c r="F77" i="9"/>
  <c r="N77" i="9"/>
  <c r="R77" i="9"/>
  <c r="H77" i="9"/>
  <c r="P77" i="9"/>
  <c r="L77" i="9"/>
  <c r="J133" i="9"/>
  <c r="J87" i="9"/>
  <c r="R85" i="9"/>
  <c r="N85" i="9"/>
  <c r="F85" i="9"/>
  <c r="R82" i="9"/>
  <c r="J82" i="9"/>
  <c r="P132" i="9"/>
  <c r="P133" i="9"/>
  <c r="H133" i="9"/>
  <c r="L131" i="9"/>
  <c r="P125" i="9"/>
  <c r="J114" i="9"/>
  <c r="P112" i="9"/>
  <c r="L111" i="9"/>
  <c r="P109" i="9"/>
  <c r="H109" i="9"/>
  <c r="J102" i="9"/>
  <c r="J98" i="9"/>
  <c r="J94" i="9"/>
  <c r="N90" i="9"/>
  <c r="H81" i="9"/>
  <c r="P81" i="9"/>
  <c r="J138" i="9"/>
  <c r="R133" i="9"/>
  <c r="N118" i="9"/>
  <c r="F114" i="9"/>
  <c r="J111" i="9"/>
  <c r="R109" i="9"/>
  <c r="F102" i="9"/>
  <c r="F94" i="9"/>
  <c r="H82" i="9"/>
  <c r="F82" i="9"/>
  <c r="H79" i="9"/>
  <c r="L75" i="9"/>
  <c r="F74" i="9"/>
  <c r="P73" i="9"/>
  <c r="J72" i="9"/>
  <c r="L71" i="9"/>
  <c r="F70" i="9"/>
  <c r="P69" i="9"/>
  <c r="J68" i="9"/>
  <c r="L67" i="9"/>
  <c r="F66" i="9"/>
  <c r="P65" i="9"/>
  <c r="H65" i="9"/>
  <c r="R61" i="9"/>
  <c r="R60" i="9"/>
  <c r="N60" i="9"/>
  <c r="J59" i="9"/>
  <c r="P58" i="9"/>
  <c r="R57" i="9"/>
  <c r="F57" i="9"/>
  <c r="P56" i="9"/>
  <c r="H56" i="9"/>
  <c r="J55" i="9"/>
  <c r="J54" i="9"/>
  <c r="P52" i="9"/>
  <c r="H52" i="9"/>
  <c r="P51" i="9"/>
  <c r="J50" i="9"/>
  <c r="N49" i="9"/>
  <c r="R48" i="9"/>
  <c r="N48" i="9"/>
  <c r="J45" i="9"/>
  <c r="J43" i="9"/>
  <c r="J42" i="9"/>
  <c r="N41" i="9"/>
  <c r="R40" i="9"/>
  <c r="N40" i="9"/>
  <c r="J37" i="9"/>
  <c r="J35" i="9"/>
  <c r="J33" i="9"/>
  <c r="J31" i="9"/>
  <c r="R28" i="9"/>
  <c r="N28" i="9"/>
  <c r="H22" i="9"/>
  <c r="N21" i="9"/>
  <c r="R20" i="9"/>
  <c r="N20" i="9"/>
  <c r="N19" i="9"/>
  <c r="J18" i="9"/>
  <c r="F33" i="9"/>
  <c r="H18" i="9"/>
  <c r="J63" i="9"/>
  <c r="L62" i="9"/>
  <c r="N61" i="9"/>
  <c r="J58" i="9"/>
  <c r="J49" i="9"/>
  <c r="N45" i="9"/>
  <c r="J41" i="9"/>
  <c r="N37" i="9"/>
  <c r="N33" i="9"/>
  <c r="P18" i="9"/>
  <c r="J74" i="9"/>
  <c r="H63" i="9"/>
  <c r="H62" i="9"/>
  <c r="L61" i="9"/>
  <c r="F49" i="9"/>
  <c r="L135" i="9"/>
  <c r="F128" i="9"/>
  <c r="N128" i="9"/>
  <c r="R128" i="9"/>
  <c r="L128" i="9"/>
  <c r="L123" i="9"/>
  <c r="J120" i="9"/>
  <c r="L119" i="9"/>
  <c r="F132" i="9"/>
  <c r="N132" i="9"/>
  <c r="R132" i="9"/>
  <c r="L132" i="9"/>
  <c r="H131" i="9"/>
  <c r="P131" i="9"/>
  <c r="F131" i="9"/>
  <c r="N131" i="9"/>
  <c r="R131" i="9"/>
  <c r="J128" i="9"/>
  <c r="L127" i="9"/>
  <c r="H124" i="9"/>
  <c r="J123" i="9"/>
  <c r="H120" i="9"/>
  <c r="J119" i="9"/>
  <c r="H128" i="9"/>
  <c r="F136" i="9"/>
  <c r="N136" i="9"/>
  <c r="R136" i="9"/>
  <c r="L136" i="9"/>
  <c r="F135" i="9"/>
  <c r="N135" i="9"/>
  <c r="R135" i="9"/>
  <c r="H135" i="9"/>
  <c r="P135" i="9"/>
  <c r="F124" i="9"/>
  <c r="N124" i="9"/>
  <c r="L124" i="9"/>
  <c r="R124" i="9"/>
  <c r="F123" i="9"/>
  <c r="N123" i="9"/>
  <c r="R123" i="9"/>
  <c r="H123" i="9"/>
  <c r="P123" i="9"/>
  <c r="L120" i="9"/>
  <c r="F120" i="9"/>
  <c r="N120" i="9"/>
  <c r="R120" i="9"/>
  <c r="H119" i="9"/>
  <c r="F119" i="9"/>
  <c r="N119" i="9"/>
  <c r="R119" i="9"/>
  <c r="P119" i="9"/>
  <c r="J136" i="9"/>
  <c r="P128" i="9"/>
  <c r="H127" i="9"/>
  <c r="P127" i="9"/>
  <c r="F127" i="9"/>
  <c r="N127" i="9"/>
  <c r="R127" i="9"/>
  <c r="J124" i="9"/>
  <c r="J134" i="9"/>
  <c r="J130" i="9"/>
  <c r="J126" i="9"/>
  <c r="J118" i="9"/>
  <c r="R116" i="9"/>
  <c r="P115" i="9"/>
  <c r="H115" i="9"/>
  <c r="P138" i="9"/>
  <c r="P134" i="9"/>
  <c r="P130" i="9"/>
  <c r="P126" i="9"/>
  <c r="P122" i="9"/>
  <c r="P118" i="9"/>
  <c r="L116" i="9"/>
  <c r="R115" i="9"/>
  <c r="N115" i="9"/>
  <c r="P114" i="9"/>
  <c r="L112" i="9"/>
  <c r="R111" i="9"/>
  <c r="N111" i="9"/>
  <c r="F111" i="9"/>
  <c r="P110" i="9"/>
  <c r="L108" i="9"/>
  <c r="R107" i="9"/>
  <c r="N107" i="9"/>
  <c r="F107" i="9"/>
  <c r="P106" i="9"/>
  <c r="L104" i="9"/>
  <c r="R103" i="9"/>
  <c r="N103" i="9"/>
  <c r="F103" i="9"/>
  <c r="P102" i="9"/>
  <c r="L100" i="9"/>
  <c r="R99" i="9"/>
  <c r="N99" i="9"/>
  <c r="F99" i="9"/>
  <c r="P98" i="9"/>
  <c r="L96" i="9"/>
  <c r="R95" i="9"/>
  <c r="N95" i="9"/>
  <c r="F95" i="9"/>
  <c r="P94" i="9"/>
  <c r="L92" i="9"/>
  <c r="R91" i="9"/>
  <c r="N91" i="9"/>
  <c r="F91" i="9"/>
  <c r="P90" i="9"/>
  <c r="L88" i="9"/>
  <c r="R87" i="9"/>
  <c r="N87" i="9"/>
  <c r="F87" i="9"/>
  <c r="P86" i="9"/>
  <c r="L84" i="9"/>
  <c r="R83" i="9"/>
  <c r="N83" i="9"/>
  <c r="F83" i="9"/>
  <c r="P82" i="9"/>
  <c r="L80" i="9"/>
  <c r="R79" i="9"/>
  <c r="N79" i="9"/>
  <c r="F79" i="9"/>
  <c r="P78" i="9"/>
  <c r="L76" i="9"/>
  <c r="R75" i="9"/>
  <c r="N75" i="9"/>
  <c r="F75" i="9"/>
  <c r="P74" i="9"/>
  <c r="L72" i="9"/>
  <c r="R71" i="9"/>
  <c r="N71" i="9"/>
  <c r="F71" i="9"/>
  <c r="P70" i="9"/>
  <c r="L68" i="9"/>
  <c r="R67" i="9"/>
  <c r="N67" i="9"/>
  <c r="F67" i="9"/>
  <c r="P66" i="9"/>
  <c r="L64" i="9"/>
  <c r="R63" i="9"/>
  <c r="N63" i="9"/>
  <c r="P59" i="9"/>
  <c r="F58" i="9"/>
  <c r="N58" i="9"/>
  <c r="R58" i="9"/>
  <c r="H55" i="9"/>
  <c r="H53" i="9"/>
  <c r="P53" i="9"/>
  <c r="L51" i="9"/>
  <c r="F47" i="9"/>
  <c r="N47" i="9"/>
  <c r="R47" i="9"/>
  <c r="H47" i="9"/>
  <c r="P47" i="9"/>
  <c r="L47" i="9"/>
  <c r="F55" i="9"/>
  <c r="F54" i="9"/>
  <c r="N54" i="9"/>
  <c r="R54" i="9"/>
  <c r="P116" i="9"/>
  <c r="H116" i="9"/>
  <c r="H112" i="9"/>
  <c r="P108" i="9"/>
  <c r="H108" i="9"/>
  <c r="H104" i="9"/>
  <c r="P92" i="9"/>
  <c r="H92" i="9"/>
  <c r="H88" i="9"/>
  <c r="H84" i="9"/>
  <c r="P80" i="9"/>
  <c r="H80" i="9"/>
  <c r="P76" i="9"/>
  <c r="H76" i="9"/>
  <c r="H61" i="9"/>
  <c r="P61" i="9"/>
  <c r="L59" i="9"/>
  <c r="F50" i="9"/>
  <c r="N50" i="9"/>
  <c r="R50" i="9"/>
  <c r="N116" i="9"/>
  <c r="R112" i="9"/>
  <c r="N112" i="9"/>
  <c r="P111" i="9"/>
  <c r="R108" i="9"/>
  <c r="N108" i="9"/>
  <c r="P107" i="9"/>
  <c r="R104" i="9"/>
  <c r="N104" i="9"/>
  <c r="P103" i="9"/>
  <c r="R100" i="9"/>
  <c r="N100" i="9"/>
  <c r="P99" i="9"/>
  <c r="R96" i="9"/>
  <c r="N96" i="9"/>
  <c r="P95" i="9"/>
  <c r="R92" i="9"/>
  <c r="N92" i="9"/>
  <c r="P91" i="9"/>
  <c r="R88" i="9"/>
  <c r="N88" i="9"/>
  <c r="P87" i="9"/>
  <c r="R84" i="9"/>
  <c r="N84" i="9"/>
  <c r="P83" i="9"/>
  <c r="R80" i="9"/>
  <c r="N80" i="9"/>
  <c r="P79" i="9"/>
  <c r="R76" i="9"/>
  <c r="N76" i="9"/>
  <c r="P75" i="9"/>
  <c r="R72" i="9"/>
  <c r="N72" i="9"/>
  <c r="P71" i="9"/>
  <c r="R68" i="9"/>
  <c r="N68" i="9"/>
  <c r="P67" i="9"/>
  <c r="N64" i="9"/>
  <c r="F63" i="9"/>
  <c r="F62" i="9"/>
  <c r="N62" i="9"/>
  <c r="R62" i="9"/>
  <c r="J61" i="9"/>
  <c r="H57" i="9"/>
  <c r="P57" i="9"/>
  <c r="L55" i="9"/>
  <c r="P49" i="9"/>
  <c r="R46" i="9"/>
  <c r="N46" i="9"/>
  <c r="F46" i="9"/>
  <c r="P45" i="9"/>
  <c r="L43" i="9"/>
  <c r="R42" i="9"/>
  <c r="N42" i="9"/>
  <c r="F42" i="9"/>
  <c r="P41" i="9"/>
  <c r="L39" i="9"/>
  <c r="R38" i="9"/>
  <c r="N38" i="9"/>
  <c r="F38" i="9"/>
  <c r="P37" i="9"/>
  <c r="L35" i="9"/>
  <c r="R34" i="9"/>
  <c r="N34" i="9"/>
  <c r="P33" i="9"/>
  <c r="L31" i="9"/>
  <c r="R30" i="9"/>
  <c r="N30" i="9"/>
  <c r="P29" i="9"/>
  <c r="H29" i="9"/>
  <c r="L27" i="9"/>
  <c r="R26" i="9"/>
  <c r="N26" i="9"/>
  <c r="F26" i="9"/>
  <c r="P25" i="9"/>
  <c r="R22" i="9"/>
  <c r="N22" i="9"/>
  <c r="P21" i="9"/>
  <c r="R18" i="9"/>
  <c r="N18" i="9"/>
  <c r="P43" i="9"/>
  <c r="H43" i="9"/>
  <c r="P39" i="9"/>
  <c r="H39" i="9"/>
  <c r="P35" i="9"/>
  <c r="H35" i="9"/>
  <c r="P31" i="9"/>
  <c r="H31" i="9"/>
  <c r="P27" i="9"/>
  <c r="H27" i="9"/>
  <c r="P46" i="9"/>
  <c r="R43" i="9"/>
  <c r="N43" i="9"/>
  <c r="P42" i="9"/>
  <c r="R39" i="9"/>
  <c r="N39" i="9"/>
  <c r="P38" i="9"/>
  <c r="R35" i="9"/>
  <c r="N35" i="9"/>
  <c r="R31" i="9"/>
  <c r="N31" i="9"/>
  <c r="R27" i="9"/>
  <c r="N27" i="9"/>
  <c r="Q1" i="2"/>
  <c r="O1" i="2"/>
  <c r="M1" i="2"/>
  <c r="K1" i="2"/>
  <c r="I1" i="2"/>
  <c r="G1" i="2"/>
  <c r="E1" i="2"/>
  <c r="A4" i="2"/>
  <c r="A5" i="2"/>
  <c r="D10" i="9"/>
  <c r="D9" i="9"/>
  <c r="D8" i="9"/>
  <c r="C10" i="9"/>
  <c r="C9" i="9"/>
  <c r="C8" i="9"/>
  <c r="B10" i="9"/>
  <c r="B9" i="9"/>
  <c r="B8" i="9"/>
  <c r="D10" i="2"/>
  <c r="D9" i="2"/>
  <c r="D8" i="2"/>
  <c r="C10" i="2"/>
  <c r="C9" i="2"/>
  <c r="C8" i="2"/>
  <c r="B10" i="2"/>
  <c r="B9" i="2"/>
  <c r="B8" i="2"/>
  <c r="A10" i="2"/>
  <c r="A9" i="2"/>
  <c r="A8" i="2"/>
  <c r="F9" i="2" l="1"/>
  <c r="L9" i="2"/>
  <c r="P10" i="2"/>
  <c r="L10" i="2"/>
  <c r="J8" i="2"/>
  <c r="L8" i="2"/>
  <c r="P9" i="2"/>
  <c r="N10" i="2"/>
  <c r="N8" i="2"/>
  <c r="F8" i="2"/>
  <c r="N9" i="2"/>
  <c r="P8" i="2"/>
  <c r="F10" i="2"/>
  <c r="H8" i="2"/>
  <c r="J9" i="2"/>
  <c r="H9" i="2"/>
  <c r="J10" i="2"/>
  <c r="H10" i="2"/>
  <c r="R11" i="9"/>
  <c r="P10" i="9"/>
  <c r="A6" i="9"/>
  <c r="A3" i="9"/>
  <c r="A2" i="9"/>
  <c r="A1" i="9"/>
  <c r="L24" i="2" l="1"/>
  <c r="F24" i="2"/>
  <c r="J24" i="2"/>
  <c r="P24" i="2"/>
  <c r="N24" i="2"/>
  <c r="F8" i="9"/>
  <c r="H8" i="9"/>
  <c r="P8" i="9"/>
  <c r="R8" i="9"/>
  <c r="N8" i="9"/>
  <c r="L9" i="9"/>
  <c r="L10" i="9"/>
  <c r="N9" i="9"/>
  <c r="F9" i="9"/>
  <c r="R9" i="9"/>
  <c r="J10" i="9"/>
  <c r="H11" i="9"/>
  <c r="P11" i="9"/>
  <c r="J8" i="9"/>
  <c r="H9" i="9"/>
  <c r="P9" i="9"/>
  <c r="F10" i="9"/>
  <c r="N10" i="9"/>
  <c r="R10" i="9"/>
  <c r="L11" i="9"/>
  <c r="J11" i="9"/>
  <c r="L8" i="9"/>
  <c r="J9" i="9"/>
  <c r="H10" i="9"/>
  <c r="F11" i="9"/>
  <c r="N11" i="9"/>
  <c r="A14" i="5"/>
  <c r="A13" i="5"/>
  <c r="A11" i="5"/>
  <c r="A8" i="5"/>
  <c r="A10" i="5"/>
  <c r="A9" i="5"/>
  <c r="A12" i="5"/>
  <c r="R141" i="9" l="1"/>
  <c r="H141" i="9"/>
  <c r="P141" i="9"/>
  <c r="P25" i="2" s="1"/>
  <c r="F141" i="9"/>
  <c r="F25" i="2" s="1"/>
  <c r="B12" i="5" s="1"/>
  <c r="N141" i="9"/>
  <c r="N25" i="2" s="1"/>
  <c r="B11" i="5" s="1"/>
  <c r="L141" i="9"/>
  <c r="L25" i="2" s="1"/>
  <c r="D8" i="5" s="1"/>
  <c r="J141" i="9"/>
  <c r="J25" i="2" s="1"/>
  <c r="B10" i="5" s="1"/>
  <c r="D13" i="5" l="1"/>
  <c r="A3" i="5"/>
  <c r="A3" i="2"/>
  <c r="A2" i="5"/>
  <c r="A2" i="2"/>
  <c r="A1" i="5"/>
  <c r="A1" i="2"/>
  <c r="A5" i="5"/>
  <c r="A4" i="5"/>
  <c r="A6" i="5" l="1"/>
  <c r="A6" i="2"/>
  <c r="R10" i="2" l="1"/>
  <c r="R9" i="2"/>
  <c r="R8" i="2"/>
  <c r="R24" i="2" l="1"/>
  <c r="R25" i="2" s="1"/>
  <c r="B14" i="5" s="1"/>
  <c r="H24" i="2"/>
  <c r="H25" i="2" s="1"/>
  <c r="B9" i="5" s="1"/>
</calcChain>
</file>

<file path=xl/sharedStrings.xml><?xml version="1.0" encoding="utf-8"?>
<sst xmlns="http://schemas.openxmlformats.org/spreadsheetml/2006/main" count="381" uniqueCount="221">
  <si>
    <t>Acre</t>
  </si>
  <si>
    <t>CY</t>
  </si>
  <si>
    <t>Each</t>
  </si>
  <si>
    <t>FT</t>
  </si>
  <si>
    <t>Gal</t>
  </si>
  <si>
    <t>Hour</t>
  </si>
  <si>
    <t>LB</t>
  </si>
  <si>
    <t>LF</t>
  </si>
  <si>
    <t>LS</t>
  </si>
  <si>
    <t>Mile</t>
  </si>
  <si>
    <t>SF</t>
  </si>
  <si>
    <t>SY</t>
  </si>
  <si>
    <t>Ton</t>
  </si>
  <si>
    <t>Item No.</t>
  </si>
  <si>
    <t>Item Description</t>
  </si>
  <si>
    <t>Estimated Quantity</t>
  </si>
  <si>
    <t xml:space="preserve">Units </t>
  </si>
  <si>
    <t>Unit Price</t>
  </si>
  <si>
    <t>Total Price</t>
  </si>
  <si>
    <t>$___________</t>
  </si>
  <si>
    <t>Bidder</t>
  </si>
  <si>
    <t>Engineer's Estimate</t>
  </si>
  <si>
    <t>Joint and Crack Repair
(Item P-101)</t>
  </si>
  <si>
    <t>Cold Milling - 4 Inch Maximum Depth
(Item P-101)</t>
  </si>
  <si>
    <t>Unclassified Excavation
(P-152)</t>
  </si>
  <si>
    <t>Unsuitable Excavation
(Item P-152)</t>
  </si>
  <si>
    <t>Geotextile
(Item P-152)</t>
  </si>
  <si>
    <t>Subbase Course
(Item P-154)</t>
  </si>
  <si>
    <t>Crushed Aggregate Base Course
(Item P-209)</t>
  </si>
  <si>
    <t>Controlled Low-Strength Material (CLSM)
(Item P-153)</t>
  </si>
  <si>
    <t>Hot Mix Asphalt (HMA) Pavement
(Item P-401)</t>
  </si>
  <si>
    <t>Bituminous Prime Coat
(Item P-602)</t>
  </si>
  <si>
    <t>Bituminous Tack Coat
(Item P-603)</t>
  </si>
  <si>
    <t>Compression Joint Sealant
(Item P-604)</t>
  </si>
  <si>
    <t>Joint Sealant
(Item P-605)</t>
  </si>
  <si>
    <t>Adhesive Compound
(Item P-606)</t>
  </si>
  <si>
    <t>Structural Portland Cement Concrete (PCC)
(Item P-610)</t>
  </si>
  <si>
    <t>Pavement Marking
(Item P-620)</t>
  </si>
  <si>
    <t>Saw-Cut Grooving
(Item P-621)</t>
  </si>
  <si>
    <t>Seeding
(Item T-901)</t>
  </si>
  <si>
    <t>Topsoiling
(Item T-905)</t>
  </si>
  <si>
    <t>12-Inch RCP Pipe
(Item D-701)</t>
  </si>
  <si>
    <t>24-Inch RCP Pipe
(Item D-701)</t>
  </si>
  <si>
    <t>6-Inch Perforated Pipe Underdrains
(Item D-705)</t>
  </si>
  <si>
    <t>48-Inch Manhole, Type A
(Item D-751)</t>
  </si>
  <si>
    <t>48-Inch Manhole, Type B
(Item D-751)</t>
  </si>
  <si>
    <t>Mobilization, Cleanup, and Demobilization
(Section 012200)</t>
  </si>
  <si>
    <t>Sweeper
(Section 012200)</t>
  </si>
  <si>
    <t>Security Control Monitoring
(Section 012200)</t>
  </si>
  <si>
    <t>Traffic Control
(Section 012200)</t>
  </si>
  <si>
    <t>Escort
(Section 012200)</t>
  </si>
  <si>
    <t>General Electrical Removal
(Section 260500)</t>
  </si>
  <si>
    <t>Temporary Circuit Connection
(Section 260500)</t>
  </si>
  <si>
    <t>3-Inch Diameter Brass Marker
(Section 260553)</t>
  </si>
  <si>
    <t>PORTLAND INTERNATIONAL AIRPORT</t>
  </si>
  <si>
    <t>TAXIWAY B CENTER AND EXITS REHABILITATION</t>
  </si>
  <si>
    <t>Total Amount Bid Schedule A</t>
  </si>
  <si>
    <t>Total Amount Bid Schedule B</t>
  </si>
  <si>
    <t>EAN 2015D147</t>
  </si>
  <si>
    <t>Jet Blast Control Material
(Section 015713)</t>
  </si>
  <si>
    <t>Inlet Protection
(Section 015713)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</si>
  <si>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</si>
  <si>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</si>
  <si>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</si>
  <si>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</si>
  <si>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</si>
  <si>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</si>
  <si>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</si>
  <si>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</si>
  <si>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</si>
  <si>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</si>
  <si>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</si>
  <si>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</si>
  <si>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</si>
  <si>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</si>
  <si>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</si>
  <si>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</si>
  <si>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</si>
  <si>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</si>
  <si>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</si>
  <si>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</si>
  <si>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</si>
  <si>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</si>
  <si>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</si>
  <si>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</si>
  <si>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</si>
  <si>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</si>
  <si>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</si>
  <si>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</si>
  <si>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</si>
  <si>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</si>
  <si>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</si>
  <si>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</si>
  <si>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</si>
  <si>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</si>
  <si>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</si>
  <si>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</si>
  <si>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</si>
  <si>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</si>
  <si>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</si>
  <si>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</si>
  <si>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</si>
  <si>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</si>
  <si>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</si>
  <si>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</si>
  <si>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</si>
  <si>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0049</t>
  </si>
  <si>
    <t>0051</t>
  </si>
  <si>
    <t>0052</t>
  </si>
  <si>
    <t>0053</t>
  </si>
  <si>
    <t>0054</t>
  </si>
  <si>
    <t>0056</t>
  </si>
  <si>
    <t>0057</t>
  </si>
  <si>
    <t>0058</t>
  </si>
  <si>
    <t>0059</t>
  </si>
  <si>
    <t>0060</t>
  </si>
  <si>
    <t>0061</t>
  </si>
  <si>
    <t>0062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</si>
  <si>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</si>
  <si>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</si>
  <si>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</si>
  <si>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</si>
  <si>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</si>
  <si>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</si>
  <si>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</si>
  <si>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</si>
  <si>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</si>
  <si>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</si>
  <si>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</si>
  <si>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</si>
  <si>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</si>
  <si>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</si>
  <si>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</si>
  <si>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</si>
  <si>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</si>
  <si>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</si>
  <si>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</si>
  <si>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</si>
  <si>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</si>
  <si>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0086</t>
  </si>
  <si>
    <t>0087</t>
  </si>
  <si>
    <t>0088</t>
  </si>
  <si>
    <t>0089</t>
  </si>
  <si>
    <t>Install PF LED Taxiway Centerline Light on Existing Base Can with CF Isolation Transformer  (Section 344300)</t>
  </si>
  <si>
    <t>No. 8 AWG 5kV Cable
(Item L-108)</t>
  </si>
  <si>
    <t>2-Inch PVC in Existing AC 
(Item L-110)</t>
  </si>
  <si>
    <t>Ground Rod for Counterpoise
(Item L-108)</t>
  </si>
  <si>
    <t>Construction Access
(Section 015713)</t>
  </si>
  <si>
    <t>Ditch Protection/Check Dams
(Section 015713)</t>
  </si>
  <si>
    <t>Wattles
(Section 015713)</t>
  </si>
  <si>
    <t>Construction Survey
(Item GP-50)</t>
  </si>
  <si>
    <t>6-Inch STS Pipe
(Item D-701)</t>
  </si>
  <si>
    <t>12-Inch STS Pipe
(Item D-701)</t>
  </si>
  <si>
    <t>24-Inch STS Pipe
(Item D-701)</t>
  </si>
  <si>
    <t>48-Inch STS Pipe
(Item D-701)</t>
  </si>
  <si>
    <t>4-Inch STS Pipe
(Item D-701)</t>
  </si>
  <si>
    <t>18-Inch STS Pipe
(Item D-701)</t>
  </si>
  <si>
    <t>0024</t>
  </si>
  <si>
    <t>0037</t>
  </si>
  <si>
    <t>Existing Manhole Adjustment to Grade
(Section 312300)</t>
  </si>
  <si>
    <t>Removal of Existing Storm Pipe, Manholes, and Inlets
(Section 312300)</t>
  </si>
  <si>
    <t>Wildlife Access Road, Asphalt Grindings
(Section 012200)</t>
  </si>
  <si>
    <t>72-Inch Manhole, Type A
(Item D-751)</t>
  </si>
  <si>
    <t>72-Inch Manhole, Type B
(Item D-751)</t>
  </si>
  <si>
    <t>Catch Basin
(Item D-751)</t>
  </si>
  <si>
    <t>0048</t>
  </si>
  <si>
    <t>0050</t>
  </si>
  <si>
    <t>0055</t>
  </si>
  <si>
    <t>0063</t>
  </si>
  <si>
    <t>0085</t>
  </si>
  <si>
    <t>84-Inch Manhole, Type A
(Item D-751)</t>
  </si>
  <si>
    <t>84-Inch Manhole, Type B
(Item D-751)</t>
  </si>
  <si>
    <t>PCC Pavement Removal - 3" Depth
(Item P-101)</t>
  </si>
  <si>
    <t>PCC Pavement Removal - 6" Depth
(Item P-101)</t>
  </si>
  <si>
    <t>Silt Fence
(Item P-156)</t>
  </si>
  <si>
    <t>Hot Mix Asphalt (HMA) Pavement Base Course
(Item P-403)</t>
  </si>
  <si>
    <t>Steel Reinforcement
(Item P-610)</t>
  </si>
  <si>
    <t>Phasing Pavement Marking
(Item P-620)</t>
  </si>
  <si>
    <t>60-Inch Manhole, Type B
(Item D-751)</t>
  </si>
  <si>
    <t>Connection to Existing Storm Drainage System
(Section 312300)</t>
  </si>
  <si>
    <t>Existing Catch Basin Adjustment to Grade
(Section 312300)</t>
  </si>
  <si>
    <t>Portland Cement Concrete (PCC) Pavement
(Item P-501)</t>
  </si>
  <si>
    <t>Reflective Media
(Item P-620)</t>
  </si>
  <si>
    <t>Asphalt Pavement Removal - 3" Depth
(Item P-101)</t>
  </si>
  <si>
    <t>Asphalt Pavement Removal - 5" Depth
(Item P-101)</t>
  </si>
  <si>
    <t>Asphalt Pavement Removal - 7.5" Depth
(Item P-101)</t>
  </si>
  <si>
    <t>Asphalt Pavement Removal - 12" Depth
(Item P-101)</t>
  </si>
  <si>
    <t>Asphalt Pavement Removal - 14" Depth
(Item P-101)</t>
  </si>
  <si>
    <t>Asphalt Pavement Removal - 16" Depth
(Item P-101)</t>
  </si>
  <si>
    <t>Asphalt Pavement Removal - 20" Depth
(Item P-101)</t>
  </si>
  <si>
    <t>Asphalt Pavement Removal - 22" Depth
(Item P-101)</t>
  </si>
  <si>
    <t>Asphalt Pavement Removal - 12" Depth Asphalt Grindings
(Item P-101)</t>
  </si>
  <si>
    <t>Existing Electrical Vault Adjustment to Grade
(Section 312300)</t>
  </si>
  <si>
    <t>Total Amount Bid Schedules A and B (Basis of Award)</t>
  </si>
  <si>
    <t>Solicitation No. 2016-6920</t>
  </si>
  <si>
    <t>Kodiak Pacific Construction</t>
  </si>
  <si>
    <t>Nutter Corp.</t>
  </si>
  <si>
    <t>*Corrected bid total</t>
  </si>
  <si>
    <t>^Non-responsive</t>
  </si>
  <si>
    <t>$16,474,320.00*^</t>
  </si>
  <si>
    <t>K&amp;E Excavating, Inc.</t>
  </si>
  <si>
    <t>Goodfella Bros., Inc.</t>
  </si>
  <si>
    <t>Kerr Contractors 
Oregon, Inc.</t>
  </si>
  <si>
    <t>Wildish Standard 
Paving Co.</t>
  </si>
  <si>
    <t>$19,685,462.00*</t>
  </si>
  <si>
    <t>No. 6 AWG Solid Wire for Counterpoise
(Item L-108)</t>
  </si>
  <si>
    <t>2-Inch PVC Direct Buried
(Item L-110)</t>
  </si>
  <si>
    <t>12-Inch Ductile Iron (Force Main) Pipe
(Section 334100)</t>
  </si>
  <si>
    <t>20-Inch Ductile Iron (Force Main) Pipe
(Section 334100)</t>
  </si>
  <si>
    <t>Riprap
(Section 334100)</t>
  </si>
  <si>
    <t>Stormwater Pump Station, Electrical Equipment Installation
(Section 334213)</t>
  </si>
  <si>
    <t>Stormwater Valve Vault
(Section 334213)</t>
  </si>
  <si>
    <t>Install PF LED Taxiway Centerline Light with PF Base Can, CF Transformer in New AC (Section 344300)</t>
  </si>
  <si>
    <t>Adjust Existing Elevated Runway Threshold Light
(Section 344301)</t>
  </si>
  <si>
    <t>Adjust Existing In-Pavement Runway Edge Light
(Section 344301)</t>
  </si>
  <si>
    <t>Adjust Existing In-Pavement Stop Bar Light
(Section 344301)</t>
  </si>
  <si>
    <t>Sign E6-6
(Section 344302)</t>
  </si>
  <si>
    <t>Sign E6-9
(Section 344302)</t>
  </si>
  <si>
    <t>Sign G-3
(Section 344302)</t>
  </si>
  <si>
    <t>Heat Shrink for 5kV L-823 Primary Connector
(Item L-108)</t>
  </si>
  <si>
    <t>1-Inch IMC in Existing AC 
(Item L-110)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</si>
</sst>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General;\–General;"/>
    <numFmt numFmtId="166" formatCode="&quot;$&quot;#,##0.00"/>
    <numFmt numFmtId="167" formatCode="#,##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0070C0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>
      <alignment horizontal="center" wrapText="1"/>
    </xf>
    <xf numFmtId="0" fontId="0" fillId="0" borderId="0" xfId="0" applyAlignment="1"/>
    <xf numFmtId="0" fontId="3" fillId="0" borderId="5" xfId="0" applyFont="1" applyBorder="1" applyAlignment="1">
      <alignment horizontal="center" wrapText="1"/>
    </xf>
    <xf numFmtId="49" fontId="7" fillId="0" borderId="5" xfId="0" applyNumberFormat="1" applyFont="1" applyBorder="1" applyAlignment="1">
      <alignment horizontal="center" vertical="top"/>
    </xf>
    <xf numFmtId="0" fontId="3" fillId="0" borderId="5" xfId="0" applyFont="1" applyBorder="1"/>
    <xf numFmtId="0" fontId="0" fillId="0" borderId="0" xfId="0" applyAlignment="1">
      <alignment horizontal="left" vertical="center"/>
    </xf>
    <xf numFmtId="0" fontId="7" fillId="0" borderId="15" xfId="0" applyFont="1" applyBorder="1" applyAlignment="1">
      <alignment horizontal="left"/>
    </xf>
    <xf numFmtId="0" fontId="7" fillId="0" borderId="15" xfId="0" applyFont="1" applyBorder="1" applyAlignment="1">
      <alignment horizontal="left" vertical="center"/>
    </xf>
    <xf numFmtId="14" fontId="7" fillId="0" borderId="1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165" fontId="3" fillId="0" borderId="5" xfId="0" applyNumberFormat="1" applyFont="1" applyBorder="1" applyAlignment="1">
      <alignment horizontal="center" wrapText="1"/>
    </xf>
    <xf numFmtId="165" fontId="7" fillId="0" borderId="5" xfId="0" applyNumberFormat="1" applyFont="1" applyBorder="1" applyAlignment="1">
      <alignment horizontal="center" vertical="top"/>
    </xf>
    <xf numFmtId="165" fontId="0" fillId="0" borderId="0" xfId="0" applyNumberFormat="1"/>
    <xf numFmtId="165" fontId="5" fillId="0" borderId="7" xfId="0" applyNumberFormat="1" applyFont="1" applyBorder="1" applyAlignment="1">
      <alignment horizontal="left"/>
    </xf>
    <xf numFmtId="165" fontId="5" fillId="0" borderId="15" xfId="0" applyNumberFormat="1" applyFont="1" applyBorder="1" applyAlignment="1">
      <alignment horizontal="left" vertical="center"/>
    </xf>
    <xf numFmtId="166" fontId="7" fillId="0" borderId="5" xfId="0" applyNumberFormat="1" applyFont="1" applyBorder="1" applyAlignment="1">
      <alignment horizontal="center" vertical="top"/>
    </xf>
    <xf numFmtId="166" fontId="7" fillId="0" borderId="5" xfId="1" applyNumberFormat="1" applyFont="1" applyBorder="1" applyAlignment="1">
      <alignment horizontal="center" vertical="top"/>
    </xf>
    <xf numFmtId="166" fontId="3" fillId="0" borderId="5" xfId="0" applyNumberFormat="1" applyFont="1" applyBorder="1"/>
    <xf numFmtId="2" fontId="0" fillId="0" borderId="0" xfId="0" applyNumberFormat="1"/>
    <xf numFmtId="2" fontId="3" fillId="0" borderId="1" xfId="0" applyNumberFormat="1" applyFont="1" applyBorder="1" applyAlignment="1">
      <alignment horizontal="center" wrapText="1"/>
    </xf>
    <xf numFmtId="166" fontId="0" fillId="0" borderId="0" xfId="0" applyNumberFormat="1"/>
    <xf numFmtId="166" fontId="3" fillId="0" borderId="1" xfId="0" applyNumberFormat="1" applyFont="1" applyBorder="1" applyAlignment="1">
      <alignment horizontal="center" wrapText="1"/>
    </xf>
    <xf numFmtId="166" fontId="4" fillId="0" borderId="1" xfId="0" applyNumberFormat="1" applyFont="1" applyBorder="1" applyAlignment="1">
      <alignment horizontal="center" vertical="top"/>
    </xf>
    <xf numFmtId="166" fontId="4" fillId="0" borderId="1" xfId="0" applyNumberFormat="1" applyFont="1" applyBorder="1"/>
    <xf numFmtId="164" fontId="3" fillId="0" borderId="5" xfId="0" applyNumberFormat="1" applyFont="1" applyBorder="1" applyAlignment="1">
      <alignment horizontal="center" wrapText="1"/>
    </xf>
    <xf numFmtId="164" fontId="0" fillId="0" borderId="0" xfId="0" applyNumberFormat="1"/>
    <xf numFmtId="166" fontId="0" fillId="0" borderId="12" xfId="0" applyNumberFormat="1" applyBorder="1"/>
    <xf numFmtId="166" fontId="0" fillId="0" borderId="13" xfId="0" applyNumberFormat="1" applyBorder="1"/>
    <xf numFmtId="166" fontId="3" fillId="0" borderId="5" xfId="0" applyNumberFormat="1" applyFont="1" applyBorder="1" applyAlignment="1">
      <alignment horizontal="center" wrapText="1"/>
    </xf>
    <xf numFmtId="44" fontId="0" fillId="0" borderId="7" xfId="0" applyNumberFormat="1" applyBorder="1" applyAlignment="1">
      <alignment horizontal="center" vertical="center"/>
    </xf>
    <xf numFmtId="44" fontId="0" fillId="0" borderId="15" xfId="0" applyNumberFormat="1" applyBorder="1" applyAlignment="1">
      <alignment horizontal="center" vertical="center"/>
    </xf>
    <xf numFmtId="44" fontId="0" fillId="0" borderId="16" xfId="0" applyNumberFormat="1" applyBorder="1" applyAlignment="1">
      <alignment horizontal="center" vertical="center"/>
    </xf>
    <xf numFmtId="44" fontId="5" fillId="0" borderId="5" xfId="0" applyNumberFormat="1" applyFont="1" applyBorder="1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165" fontId="7" fillId="0" borderId="5" xfId="0" applyNumberFormat="1" applyFont="1" applyBorder="1" applyAlignment="1">
      <alignment horizontal="left" vertical="top" wrapText="1"/>
    </xf>
    <xf numFmtId="165" fontId="0" fillId="0" borderId="0" xfId="0" applyNumberFormat="1" applyAlignment="1">
      <alignment wrapText="1"/>
    </xf>
    <xf numFmtId="43" fontId="0" fillId="0" borderId="0" xfId="2" applyFont="1"/>
    <xf numFmtId="43" fontId="3" fillId="0" borderId="1" xfId="2" applyFont="1" applyBorder="1" applyAlignment="1">
      <alignment horizontal="center" wrapText="1"/>
    </xf>
    <xf numFmtId="167" fontId="7" fillId="0" borderId="5" xfId="0" applyNumberFormat="1" applyFont="1" applyBorder="1" applyAlignment="1">
      <alignment horizontal="center" vertical="top"/>
    </xf>
    <xf numFmtId="4" fontId="7" fillId="0" borderId="5" xfId="0" applyNumberFormat="1" applyFont="1" applyBorder="1" applyAlignment="1">
      <alignment horizontal="center" vertical="top"/>
    </xf>
    <xf numFmtId="4" fontId="0" fillId="0" borderId="0" xfId="0" applyNumberFormat="1"/>
    <xf numFmtId="0" fontId="7" fillId="0" borderId="5" xfId="0" applyNumberFormat="1" applyFont="1" applyBorder="1" applyAlignment="1">
      <alignment horizontal="center" vertical="top"/>
    </xf>
    <xf numFmtId="0" fontId="3" fillId="0" borderId="5" xfId="0" applyNumberFormat="1" applyFont="1" applyBorder="1" applyAlignment="1">
      <alignment horizontal="center" wrapText="1"/>
    </xf>
    <xf numFmtId="0" fontId="3" fillId="0" borderId="5" xfId="0" applyNumberFormat="1" applyFont="1" applyBorder="1"/>
    <xf numFmtId="0" fontId="0" fillId="0" borderId="0" xfId="0" applyNumberFormat="1"/>
    <xf numFmtId="0" fontId="2" fillId="0" borderId="0" xfId="0" applyNumberFormat="1" applyFont="1" applyBorder="1" applyProtection="1">
      <protection hidden="1"/>
    </xf>
    <xf numFmtId="0" fontId="2" fillId="0" borderId="0" xfId="0" applyNumberFormat="1" applyFont="1" applyFill="1" applyBorder="1" applyProtection="1">
      <protection hidden="1"/>
    </xf>
    <xf numFmtId="0" fontId="3" fillId="0" borderId="1" xfId="0" applyNumberFormat="1" applyFont="1" applyBorder="1" applyAlignment="1">
      <alignment horizontal="center" wrapText="1"/>
    </xf>
    <xf numFmtId="0" fontId="4" fillId="0" borderId="1" xfId="0" applyNumberFormat="1" applyFont="1" applyBorder="1" applyAlignment="1">
      <alignment horizontal="center" vertical="top"/>
    </xf>
    <xf numFmtId="0" fontId="4" fillId="0" borderId="1" xfId="0" applyNumberFormat="1" applyFont="1" applyBorder="1"/>
    <xf numFmtId="0" fontId="7" fillId="0" borderId="5" xfId="0" applyNumberFormat="1" applyFont="1" applyBorder="1" applyAlignment="1">
      <alignment horizontal="left" vertical="top" wrapText="1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166" fontId="4" fillId="2" borderId="5" xfId="0" applyNumberFormat="1" applyFont="1" applyFill="1" applyBorder="1" applyAlignment="1">
      <alignment horizontal="center" vertical="center"/>
    </xf>
    <xf numFmtId="166" fontId="0" fillId="2" borderId="12" xfId="0" applyNumberFormat="1" applyFill="1" applyBorder="1"/>
    <xf numFmtId="166" fontId="0" fillId="2" borderId="13" xfId="0" applyNumberFormat="1" applyFill="1" applyBorder="1"/>
    <xf numFmtId="166" fontId="3" fillId="2" borderId="5" xfId="0" applyNumberFormat="1" applyFont="1" applyFill="1" applyBorder="1" applyAlignment="1">
      <alignment horizontal="center" wrapText="1"/>
    </xf>
    <xf numFmtId="166" fontId="7" fillId="2" borderId="5" xfId="0" applyNumberFormat="1" applyFont="1" applyFill="1" applyBorder="1" applyAlignment="1">
      <alignment horizontal="center" vertical="top"/>
    </xf>
    <xf numFmtId="166" fontId="7" fillId="2" borderId="5" xfId="1" applyNumberFormat="1" applyFont="1" applyFill="1" applyBorder="1" applyAlignment="1">
      <alignment horizontal="center" vertical="top"/>
    </xf>
    <xf numFmtId="166" fontId="3" fillId="2" borderId="5" xfId="0" applyNumberFormat="1" applyFont="1" applyFill="1" applyBorder="1"/>
    <xf numFmtId="0" fontId="5" fillId="0" borderId="17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6" fontId="5" fillId="0" borderId="2" xfId="0" applyNumberFormat="1" applyFont="1" applyBorder="1" applyAlignment="1">
      <alignment horizontal="center"/>
    </xf>
    <xf numFmtId="166" fontId="5" fillId="0" borderId="3" xfId="0" applyNumberFormat="1" applyFont="1" applyBorder="1" applyAlignment="1">
      <alignment horizontal="center"/>
    </xf>
    <xf numFmtId="166" fontId="5" fillId="0" borderId="4" xfId="0" applyNumberFormat="1" applyFont="1" applyBorder="1" applyAlignment="1">
      <alignment horizontal="center"/>
    </xf>
    <xf numFmtId="0" fontId="6" fillId="0" borderId="3" xfId="0" applyFont="1" applyFill="1" applyBorder="1" applyAlignment="1" applyProtection="1">
      <alignment horizontal="left"/>
      <protection hidden="1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165" fontId="3" fillId="0" borderId="20" xfId="0" applyNumberFormat="1" applyFont="1" applyBorder="1" applyAlignment="1">
      <alignment horizontal="left" vertical="center" wrapText="1"/>
    </xf>
    <xf numFmtId="165" fontId="3" fillId="0" borderId="21" xfId="0" applyNumberFormat="1" applyFont="1" applyBorder="1" applyAlignment="1">
      <alignment horizontal="left" vertical="center" wrapText="1"/>
    </xf>
    <xf numFmtId="165" fontId="3" fillId="0" borderId="22" xfId="0" applyNumberFormat="1" applyFont="1" applyBorder="1" applyAlignment="1">
      <alignment horizontal="left" vertical="center" wrapText="1"/>
    </xf>
    <xf numFmtId="14" fontId="7" fillId="0" borderId="12" xfId="0" applyNumberFormat="1" applyFont="1" applyBorder="1" applyAlignment="1">
      <alignment horizontal="left" vertical="center"/>
    </xf>
    <xf numFmtId="14" fontId="7" fillId="0" borderId="6" xfId="0" applyNumberFormat="1" applyFont="1" applyBorder="1" applyAlignment="1">
      <alignment horizontal="left" vertical="center"/>
    </xf>
    <xf numFmtId="14" fontId="7" fillId="0" borderId="13" xfId="0" applyNumberFormat="1" applyFont="1" applyBorder="1" applyAlignment="1">
      <alignment horizontal="left" vertical="center"/>
    </xf>
    <xf numFmtId="166" fontId="5" fillId="0" borderId="8" xfId="0" applyNumberFormat="1" applyFont="1" applyBorder="1" applyAlignment="1">
      <alignment horizontal="center" wrapText="1"/>
    </xf>
    <xf numFmtId="166" fontId="5" fillId="0" borderId="9" xfId="0" applyNumberFormat="1" applyFont="1" applyBorder="1" applyAlignment="1">
      <alignment horizontal="center" wrapText="1"/>
    </xf>
    <xf numFmtId="166" fontId="5" fillId="0" borderId="10" xfId="0" applyNumberFormat="1" applyFont="1" applyBorder="1" applyAlignment="1">
      <alignment horizontal="center" wrapText="1"/>
    </xf>
    <xf numFmtId="166" fontId="5" fillId="0" borderId="11" xfId="0" applyNumberFormat="1" applyFont="1" applyBorder="1" applyAlignment="1">
      <alignment horizontal="center" wrapText="1"/>
    </xf>
    <xf numFmtId="166" fontId="5" fillId="2" borderId="8" xfId="0" applyNumberFormat="1" applyFont="1" applyFill="1" applyBorder="1" applyAlignment="1">
      <alignment horizontal="center" wrapText="1"/>
    </xf>
    <xf numFmtId="166" fontId="5" fillId="2" borderId="9" xfId="0" applyNumberFormat="1" applyFont="1" applyFill="1" applyBorder="1" applyAlignment="1">
      <alignment horizontal="center" wrapText="1"/>
    </xf>
    <xf numFmtId="166" fontId="5" fillId="2" borderId="10" xfId="0" applyNumberFormat="1" applyFont="1" applyFill="1" applyBorder="1" applyAlignment="1">
      <alignment horizontal="center" wrapText="1"/>
    </xf>
    <xf numFmtId="166" fontId="5" fillId="2" borderId="11" xfId="0" applyNumberFormat="1" applyFont="1" applyFill="1" applyBorder="1" applyAlignment="1">
      <alignment horizontal="center" wrapText="1"/>
    </xf>
    <xf numFmtId="165" fontId="5" fillId="0" borderId="10" xfId="0" applyNumberFormat="1" applyFont="1" applyBorder="1" applyAlignment="1">
      <alignment horizontal="left" vertical="center"/>
    </xf>
    <xf numFmtId="165" fontId="5" fillId="0" borderId="0" xfId="0" applyNumberFormat="1" applyFont="1" applyBorder="1" applyAlignment="1">
      <alignment horizontal="left" vertical="center"/>
    </xf>
    <xf numFmtId="165" fontId="5" fillId="0" borderId="11" xfId="0" applyNumberFormat="1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165" fontId="5" fillId="0" borderId="8" xfId="0" applyNumberFormat="1" applyFont="1" applyBorder="1" applyAlignment="1">
      <alignment horizontal="left"/>
    </xf>
    <xf numFmtId="165" fontId="5" fillId="0" borderId="14" xfId="0" applyNumberFormat="1" applyFont="1" applyBorder="1" applyAlignment="1">
      <alignment horizontal="left"/>
    </xf>
    <xf numFmtId="165" fontId="5" fillId="0" borderId="9" xfId="0" applyNumberFormat="1" applyFont="1" applyBorder="1" applyAlignment="1">
      <alignment horizontal="left"/>
    </xf>
    <xf numFmtId="0" fontId="2" fillId="0" borderId="1" xfId="0" applyNumberFormat="1" applyFont="1" applyFill="1" applyBorder="1" applyAlignment="1">
      <alignment horizontal="center" vertical="top"/>
    </xf>
    <xf numFmtId="0" fontId="2" fillId="0" borderId="1" xfId="0" applyNumberFormat="1" applyFont="1" applyFill="1" applyBorder="1" applyAlignment="1">
      <alignment horizontal="left" vertical="top" wrapText="1"/>
    </xf>
    <xf numFmtId="39" fontId="2" fillId="0" borderId="1" xfId="2" applyNumberFormat="1" applyFont="1" applyFill="1" applyBorder="1" applyAlignment="1">
      <alignment horizontal="center" vertical="top"/>
    </xf>
    <xf numFmtId="0" fontId="11" fillId="0" borderId="1" xfId="0" applyNumberFormat="1" applyFont="1" applyFill="1" applyBorder="1" applyAlignment="1">
      <alignment horizontal="left" vertical="top" wrapText="1"/>
    </xf>
    <xf numFmtId="39" fontId="11" fillId="0" borderId="1" xfId="2" applyNumberFormat="1" applyFont="1" applyFill="1" applyBorder="1" applyAlignment="1">
      <alignment horizontal="center" vertical="top"/>
    </xf>
    <xf numFmtId="0" fontId="11" fillId="0" borderId="1" xfId="0" applyNumberFormat="1" applyFont="1" applyFill="1" applyBorder="1" applyAlignment="1">
      <alignment horizontal="center" vertical="top"/>
    </xf>
    <xf numFmtId="0" fontId="12" fillId="0" borderId="1" xfId="0" applyNumberFormat="1" applyFont="1" applyBorder="1" applyAlignment="1">
      <alignment horizontal="center" wrapText="1"/>
    </xf>
    <xf numFmtId="0" fontId="2" fillId="0" borderId="1" xfId="0" applyNumberFormat="1" applyFont="1" applyBorder="1" applyAlignment="1">
      <alignment horizontal="center" vertical="top"/>
    </xf>
    <xf numFmtId="0" fontId="13" fillId="0" borderId="0" xfId="0" applyNumberFormat="1" applyFont="1"/>
    <xf numFmtId="4" fontId="2" fillId="0" borderId="1" xfId="2" applyNumberFormat="1" applyFont="1" applyFill="1" applyBorder="1" applyAlignment="1">
      <alignment horizontal="center" vertical="top"/>
    </xf>
    <xf numFmtId="4" fontId="2" fillId="0" borderId="1" xfId="0" applyNumberFormat="1" applyFont="1" applyFill="1" applyBorder="1" applyAlignment="1">
      <alignment horizontal="center" vertical="top"/>
    </xf>
    <xf numFmtId="4" fontId="11" fillId="0" borderId="1" xfId="0" applyNumberFormat="1" applyFont="1" applyFill="1" applyBorder="1" applyAlignment="1">
      <alignment horizontal="center" vertical="top"/>
    </xf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109"/>
  <sheetViews>
    <sheetView topLeftCell="A95" zoomScaleNormal="100" zoomScaleSheetLayoutView="100" workbookViewId="0">
      <selection activeCell="A98" sqref="A98"/>
    </sheetView>
  </sheetViews>
  <sheetFormatPr defaultRowHeight="15" x14ac:dyDescent="0.25"/>
  <cols>
    <col min="1" max="1" width="6.5703125" style="106" customWidth="1"/>
    <col min="2" max="2" width="36.7109375" style="47" customWidth="1"/>
    <col min="3" max="3" width="10.7109375" style="39" customWidth="1"/>
    <col min="4" max="4" width="8.28515625" style="47" customWidth="1"/>
    <col min="5" max="6" width="13.28515625" style="22" customWidth="1"/>
  </cols>
  <sheetData>
    <row r="1" spans="1:6" hidden="1" x14ac:dyDescent="0.25">
      <c r="A1" s="48" t="s">
        <v>0</v>
      </c>
    </row>
    <row r="2" spans="1:6" hidden="1" x14ac:dyDescent="0.25">
      <c r="A2" s="48" t="s">
        <v>1</v>
      </c>
    </row>
    <row r="3" spans="1:6" hidden="1" x14ac:dyDescent="0.25">
      <c r="A3" s="49" t="s">
        <v>2</v>
      </c>
    </row>
    <row r="4" spans="1:6" hidden="1" x14ac:dyDescent="0.25">
      <c r="A4" s="49" t="s">
        <v>3</v>
      </c>
    </row>
    <row r="5" spans="1:6" hidden="1" x14ac:dyDescent="0.25">
      <c r="A5" s="49" t="s">
        <v>4</v>
      </c>
    </row>
    <row r="6" spans="1:6" hidden="1" x14ac:dyDescent="0.25">
      <c r="A6" s="49" t="s">
        <v>5</v>
      </c>
    </row>
    <row r="7" spans="1:6" hidden="1" x14ac:dyDescent="0.25">
      <c r="A7" s="49" t="s">
        <v>6</v>
      </c>
    </row>
    <row r="8" spans="1:6" hidden="1" x14ac:dyDescent="0.25">
      <c r="A8" s="49" t="s">
        <v>7</v>
      </c>
    </row>
    <row r="9" spans="1:6" hidden="1" x14ac:dyDescent="0.25">
      <c r="A9" s="48" t="s">
        <v>8</v>
      </c>
    </row>
    <row r="10" spans="1:6" hidden="1" x14ac:dyDescent="0.25">
      <c r="A10" s="49" t="s">
        <v>9</v>
      </c>
    </row>
    <row r="11" spans="1:6" hidden="1" x14ac:dyDescent="0.25">
      <c r="A11" s="49" t="s">
        <v>10</v>
      </c>
    </row>
    <row r="12" spans="1:6" hidden="1" x14ac:dyDescent="0.25">
      <c r="A12" s="49" t="s">
        <v>11</v>
      </c>
    </row>
    <row r="13" spans="1:6" hidden="1" x14ac:dyDescent="0.25">
      <c r="A13" s="49" t="s">
        <v>12</v>
      </c>
    </row>
    <row r="14" spans="1:6" x14ac:dyDescent="0.25">
      <c r="A14" s="68"/>
      <c r="B14" s="68"/>
      <c r="C14" s="68"/>
      <c r="D14" s="68"/>
      <c r="E14" s="69"/>
      <c r="F14" s="69"/>
    </row>
    <row r="15" spans="1:6" x14ac:dyDescent="0.25">
      <c r="A15" s="72" t="s">
        <v>54</v>
      </c>
      <c r="B15" s="72"/>
      <c r="C15" s="72"/>
      <c r="D15" s="72"/>
      <c r="E15" s="70"/>
      <c r="F15" s="70"/>
    </row>
    <row r="16" spans="1:6" x14ac:dyDescent="0.25">
      <c r="A16" s="72" t="s">
        <v>55</v>
      </c>
      <c r="B16" s="72"/>
      <c r="C16" s="72"/>
      <c r="D16" s="72"/>
      <c r="E16" s="70"/>
      <c r="F16" s="70"/>
    </row>
    <row r="17" spans="1:6" x14ac:dyDescent="0.25">
      <c r="A17" s="73"/>
      <c r="B17" s="73"/>
      <c r="C17" s="73"/>
      <c r="D17" s="73"/>
      <c r="E17" s="70"/>
      <c r="F17" s="70"/>
    </row>
    <row r="18" spans="1:6" x14ac:dyDescent="0.25">
      <c r="A18" s="74"/>
      <c r="B18" s="74"/>
      <c r="C18" s="74"/>
      <c r="D18" s="74"/>
      <c r="E18" s="71"/>
      <c r="F18" s="71"/>
    </row>
    <row r="19" spans="1:6" s="1" customFormat="1" ht="24" customHeight="1" x14ac:dyDescent="0.2">
      <c r="A19" s="104" t="s">
        <v>13</v>
      </c>
      <c r="B19" s="50" t="s">
        <v>14</v>
      </c>
      <c r="C19" s="40" t="s">
        <v>15</v>
      </c>
      <c r="D19" s="50" t="s">
        <v>16</v>
      </c>
      <c r="E19" s="23" t="s">
        <v>17</v>
      </c>
      <c r="F19" s="23" t="s">
        <v>18</v>
      </c>
    </row>
    <row r="20" spans="1:6" ht="40.5" customHeight="1" x14ac:dyDescent="0.25">
      <c r="A20" s="98" t="s">
        <v>61</v>
      </c>
      <c r="B20" s="101" t="s">
        <v>46</v>
      </c>
      <c r="C20" s="102">
        <v>1</v>
      </c>
      <c r="D20" s="103" t="s">
        <v>8</v>
      </c>
      <c r="E20" s="24"/>
      <c r="F20" s="24"/>
    </row>
    <row r="21" spans="1:6" ht="40.5" customHeight="1" x14ac:dyDescent="0.25">
      <c r="A21" s="98" t="s">
        <v>62</v>
      </c>
      <c r="B21" s="101" t="s">
        <v>47</v>
      </c>
      <c r="C21" s="102">
        <v>1</v>
      </c>
      <c r="D21" s="103" t="s">
        <v>8</v>
      </c>
      <c r="E21" s="24"/>
      <c r="F21" s="24"/>
    </row>
    <row r="22" spans="1:6" ht="40.5" customHeight="1" x14ac:dyDescent="0.25">
      <c r="A22" s="98" t="s">
        <v>63</v>
      </c>
      <c r="B22" s="101" t="s">
        <v>48</v>
      </c>
      <c r="C22" s="102">
        <v>1</v>
      </c>
      <c r="D22" s="103" t="s">
        <v>8</v>
      </c>
      <c r="E22" s="24"/>
      <c r="F22" s="24"/>
    </row>
    <row r="23" spans="1:6" ht="40.5" customHeight="1" x14ac:dyDescent="0.25">
      <c r="A23" s="98" t="s">
        <v>64</v>
      </c>
      <c r="B23" s="101" t="s">
        <v>49</v>
      </c>
      <c r="C23" s="102">
        <v>1</v>
      </c>
      <c r="D23" s="103" t="s">
        <v>8</v>
      </c>
      <c r="E23" s="24"/>
      <c r="F23" s="24"/>
    </row>
    <row r="24" spans="1:6" ht="40.5" customHeight="1" x14ac:dyDescent="0.25">
      <c r="A24" s="98" t="s">
        <v>65</v>
      </c>
      <c r="B24" s="101" t="s">
        <v>50</v>
      </c>
      <c r="C24" s="102">
        <v>1</v>
      </c>
      <c r="D24" s="103" t="s">
        <v>8</v>
      </c>
      <c r="E24" s="24"/>
      <c r="F24" s="24"/>
    </row>
    <row r="25" spans="1:6" ht="40.5" customHeight="1" x14ac:dyDescent="0.25">
      <c r="A25" s="98" t="s">
        <v>66</v>
      </c>
      <c r="B25" s="101" t="s">
        <v>147</v>
      </c>
      <c r="C25" s="102">
        <v>2</v>
      </c>
      <c r="D25" s="103" t="s">
        <v>2</v>
      </c>
      <c r="E25" s="24"/>
      <c r="F25" s="24"/>
    </row>
    <row r="26" spans="1:6" ht="40.5" customHeight="1" x14ac:dyDescent="0.25">
      <c r="A26" s="98" t="s">
        <v>67</v>
      </c>
      <c r="B26" s="101" t="s">
        <v>59</v>
      </c>
      <c r="C26" s="102">
        <v>2.5</v>
      </c>
      <c r="D26" s="103" t="s">
        <v>0</v>
      </c>
      <c r="E26" s="24"/>
      <c r="F26" s="24"/>
    </row>
    <row r="27" spans="1:6" ht="40.5" customHeight="1" x14ac:dyDescent="0.25">
      <c r="A27" s="98" t="s">
        <v>68</v>
      </c>
      <c r="B27" s="101" t="s">
        <v>60</v>
      </c>
      <c r="C27" s="102">
        <v>85</v>
      </c>
      <c r="D27" s="103" t="s">
        <v>2</v>
      </c>
      <c r="E27" s="24"/>
      <c r="F27" s="24"/>
    </row>
    <row r="28" spans="1:6" ht="40.5" customHeight="1" x14ac:dyDescent="0.25">
      <c r="A28" s="98" t="s">
        <v>69</v>
      </c>
      <c r="B28" s="101" t="s">
        <v>148</v>
      </c>
      <c r="C28" s="102">
        <v>12</v>
      </c>
      <c r="D28" s="103" t="s">
        <v>2</v>
      </c>
      <c r="E28" s="24"/>
      <c r="F28" s="24"/>
    </row>
    <row r="29" spans="1:6" ht="40.5" customHeight="1" x14ac:dyDescent="0.25">
      <c r="A29" s="98" t="s">
        <v>70</v>
      </c>
      <c r="B29" s="101" t="s">
        <v>149</v>
      </c>
      <c r="C29" s="102">
        <v>1000</v>
      </c>
      <c r="D29" s="103" t="s">
        <v>7</v>
      </c>
      <c r="E29" s="24"/>
      <c r="F29" s="24"/>
    </row>
    <row r="30" spans="1:6" ht="40.5" customHeight="1" x14ac:dyDescent="0.25">
      <c r="A30" s="98" t="s">
        <v>71</v>
      </c>
      <c r="B30" s="101" t="s">
        <v>150</v>
      </c>
      <c r="C30" s="102">
        <v>1</v>
      </c>
      <c r="D30" s="103" t="s">
        <v>8</v>
      </c>
      <c r="E30" s="24"/>
      <c r="F30" s="24"/>
    </row>
    <row r="31" spans="1:6" ht="40.5" customHeight="1" x14ac:dyDescent="0.25">
      <c r="A31" s="98" t="s">
        <v>72</v>
      </c>
      <c r="B31" s="101" t="s">
        <v>172</v>
      </c>
      <c r="C31" s="102">
        <v>375</v>
      </c>
      <c r="D31" s="103" t="s">
        <v>11</v>
      </c>
      <c r="E31" s="24"/>
      <c r="F31" s="24"/>
    </row>
    <row r="32" spans="1:6" ht="40.5" customHeight="1" x14ac:dyDescent="0.25">
      <c r="A32" s="98" t="s">
        <v>73</v>
      </c>
      <c r="B32" s="101" t="s">
        <v>173</v>
      </c>
      <c r="C32" s="102">
        <v>950</v>
      </c>
      <c r="D32" s="103" t="s">
        <v>11</v>
      </c>
      <c r="E32" s="24"/>
      <c r="F32" s="24"/>
    </row>
    <row r="33" spans="1:6" ht="40.5" customHeight="1" x14ac:dyDescent="0.25">
      <c r="A33" s="98" t="s">
        <v>74</v>
      </c>
      <c r="B33" s="101" t="s">
        <v>183</v>
      </c>
      <c r="C33" s="102">
        <v>19700</v>
      </c>
      <c r="D33" s="103" t="s">
        <v>11</v>
      </c>
      <c r="E33" s="24"/>
      <c r="F33" s="24"/>
    </row>
    <row r="34" spans="1:6" ht="40.5" customHeight="1" x14ac:dyDescent="0.25">
      <c r="A34" s="98" t="s">
        <v>75</v>
      </c>
      <c r="B34" s="101" t="s">
        <v>184</v>
      </c>
      <c r="C34" s="102">
        <v>2100</v>
      </c>
      <c r="D34" s="103" t="s">
        <v>11</v>
      </c>
      <c r="E34" s="24"/>
      <c r="F34" s="24"/>
    </row>
    <row r="35" spans="1:6" ht="40.5" customHeight="1" x14ac:dyDescent="0.25">
      <c r="A35" s="98" t="s">
        <v>76</v>
      </c>
      <c r="B35" s="101" t="s">
        <v>185</v>
      </c>
      <c r="C35" s="102">
        <v>2600</v>
      </c>
      <c r="D35" s="103" t="s">
        <v>11</v>
      </c>
      <c r="E35" s="24"/>
      <c r="F35" s="24"/>
    </row>
    <row r="36" spans="1:6" ht="40.5" customHeight="1" x14ac:dyDescent="0.25">
      <c r="A36" s="98" t="s">
        <v>77</v>
      </c>
      <c r="B36" s="101" t="s">
        <v>186</v>
      </c>
      <c r="C36" s="102">
        <v>8700</v>
      </c>
      <c r="D36" s="103" t="s">
        <v>11</v>
      </c>
      <c r="E36" s="24"/>
      <c r="F36" s="24"/>
    </row>
    <row r="37" spans="1:6" ht="40.5" customHeight="1" x14ac:dyDescent="0.25">
      <c r="A37" s="98" t="s">
        <v>78</v>
      </c>
      <c r="B37" s="101" t="s">
        <v>187</v>
      </c>
      <c r="C37" s="102">
        <v>950</v>
      </c>
      <c r="D37" s="103" t="s">
        <v>11</v>
      </c>
      <c r="E37" s="24"/>
      <c r="F37" s="24"/>
    </row>
    <row r="38" spans="1:6" ht="40.5" customHeight="1" x14ac:dyDescent="0.25">
      <c r="A38" s="98" t="s">
        <v>79</v>
      </c>
      <c r="B38" s="101" t="s">
        <v>188</v>
      </c>
      <c r="C38" s="102">
        <v>15200</v>
      </c>
      <c r="D38" s="103" t="s">
        <v>11</v>
      </c>
      <c r="E38" s="24"/>
      <c r="F38" s="24"/>
    </row>
    <row r="39" spans="1:6" ht="40.5" customHeight="1" x14ac:dyDescent="0.25">
      <c r="A39" s="98" t="s">
        <v>80</v>
      </c>
      <c r="B39" s="101" t="s">
        <v>189</v>
      </c>
      <c r="C39" s="102">
        <v>23600</v>
      </c>
      <c r="D39" s="103" t="s">
        <v>11</v>
      </c>
      <c r="E39" s="24"/>
      <c r="F39" s="24"/>
    </row>
    <row r="40" spans="1:6" ht="40.5" customHeight="1" x14ac:dyDescent="0.25">
      <c r="A40" s="98" t="s">
        <v>81</v>
      </c>
      <c r="B40" s="101" t="s">
        <v>190</v>
      </c>
      <c r="C40" s="102">
        <v>6100</v>
      </c>
      <c r="D40" s="103" t="s">
        <v>11</v>
      </c>
      <c r="E40" s="24"/>
      <c r="F40" s="24"/>
    </row>
    <row r="41" spans="1:6" ht="40.5" customHeight="1" x14ac:dyDescent="0.25">
      <c r="A41" s="98" t="s">
        <v>82</v>
      </c>
      <c r="B41" s="101" t="s">
        <v>191</v>
      </c>
      <c r="C41" s="102">
        <v>375</v>
      </c>
      <c r="D41" s="103" t="s">
        <v>11</v>
      </c>
      <c r="E41" s="24"/>
      <c r="F41" s="24"/>
    </row>
    <row r="42" spans="1:6" ht="40.5" customHeight="1" x14ac:dyDescent="0.25">
      <c r="A42" s="98" t="s">
        <v>83</v>
      </c>
      <c r="B42" s="101" t="s">
        <v>22</v>
      </c>
      <c r="C42" s="102">
        <v>1500</v>
      </c>
      <c r="D42" s="103" t="s">
        <v>7</v>
      </c>
      <c r="E42" s="24"/>
      <c r="F42" s="24"/>
    </row>
    <row r="43" spans="1:6" ht="40.5" customHeight="1" x14ac:dyDescent="0.25">
      <c r="A43" s="98" t="s">
        <v>157</v>
      </c>
      <c r="B43" s="101" t="s">
        <v>23</v>
      </c>
      <c r="C43" s="102">
        <v>5500</v>
      </c>
      <c r="D43" s="103" t="s">
        <v>11</v>
      </c>
      <c r="E43" s="24"/>
      <c r="F43" s="24"/>
    </row>
    <row r="44" spans="1:6" ht="40.5" customHeight="1" x14ac:dyDescent="0.25">
      <c r="A44" s="98" t="s">
        <v>84</v>
      </c>
      <c r="B44" s="101" t="s">
        <v>24</v>
      </c>
      <c r="C44" s="102">
        <v>37500</v>
      </c>
      <c r="D44" s="103" t="s">
        <v>1</v>
      </c>
      <c r="E44" s="24"/>
      <c r="F44" s="24"/>
    </row>
    <row r="45" spans="1:6" ht="40.5" customHeight="1" x14ac:dyDescent="0.25">
      <c r="A45" s="98" t="s">
        <v>85</v>
      </c>
      <c r="B45" s="101" t="s">
        <v>25</v>
      </c>
      <c r="C45" s="102">
        <v>1000</v>
      </c>
      <c r="D45" s="103" t="s">
        <v>1</v>
      </c>
      <c r="E45" s="24"/>
      <c r="F45" s="24"/>
    </row>
    <row r="46" spans="1:6" ht="40.5" customHeight="1" x14ac:dyDescent="0.25">
      <c r="A46" s="98" t="s">
        <v>86</v>
      </c>
      <c r="B46" s="101" t="s">
        <v>26</v>
      </c>
      <c r="C46" s="102">
        <v>87400</v>
      </c>
      <c r="D46" s="103" t="s">
        <v>11</v>
      </c>
      <c r="E46" s="24"/>
      <c r="F46" s="24"/>
    </row>
    <row r="47" spans="1:6" ht="40.5" customHeight="1" x14ac:dyDescent="0.25">
      <c r="A47" s="98" t="s">
        <v>87</v>
      </c>
      <c r="B47" s="101" t="s">
        <v>29</v>
      </c>
      <c r="C47" s="102">
        <v>1500</v>
      </c>
      <c r="D47" s="103" t="s">
        <v>1</v>
      </c>
      <c r="E47" s="24"/>
      <c r="F47" s="24"/>
    </row>
    <row r="48" spans="1:6" ht="40.5" customHeight="1" x14ac:dyDescent="0.25">
      <c r="A48" s="98" t="s">
        <v>88</v>
      </c>
      <c r="B48" s="101" t="s">
        <v>27</v>
      </c>
      <c r="C48" s="102">
        <v>6900</v>
      </c>
      <c r="D48" s="103" t="s">
        <v>1</v>
      </c>
      <c r="E48" s="24"/>
      <c r="F48" s="24"/>
    </row>
    <row r="49" spans="1:6" ht="40.5" customHeight="1" x14ac:dyDescent="0.25">
      <c r="A49" s="98" t="s">
        <v>89</v>
      </c>
      <c r="B49" s="101" t="s">
        <v>174</v>
      </c>
      <c r="C49" s="102">
        <v>5100</v>
      </c>
      <c r="D49" s="103" t="s">
        <v>7</v>
      </c>
      <c r="E49" s="24"/>
      <c r="F49" s="24"/>
    </row>
    <row r="50" spans="1:6" ht="40.5" customHeight="1" x14ac:dyDescent="0.25">
      <c r="A50" s="98" t="s">
        <v>90</v>
      </c>
      <c r="B50" s="101" t="s">
        <v>28</v>
      </c>
      <c r="C50" s="102">
        <v>17800</v>
      </c>
      <c r="D50" s="103" t="s">
        <v>1</v>
      </c>
      <c r="E50" s="24"/>
      <c r="F50" s="24"/>
    </row>
    <row r="51" spans="1:6" ht="40.5" customHeight="1" x14ac:dyDescent="0.25">
      <c r="A51" s="98" t="s">
        <v>91</v>
      </c>
      <c r="B51" s="101" t="s">
        <v>30</v>
      </c>
      <c r="C51" s="102">
        <v>11300</v>
      </c>
      <c r="D51" s="103" t="s">
        <v>12</v>
      </c>
      <c r="E51" s="24"/>
      <c r="F51" s="24"/>
    </row>
    <row r="52" spans="1:6" ht="40.5" customHeight="1" x14ac:dyDescent="0.25">
      <c r="A52" s="98" t="s">
        <v>92</v>
      </c>
      <c r="B52" s="101" t="s">
        <v>175</v>
      </c>
      <c r="C52" s="102">
        <v>22800</v>
      </c>
      <c r="D52" s="103" t="s">
        <v>12</v>
      </c>
      <c r="E52" s="24"/>
      <c r="F52" s="24"/>
    </row>
    <row r="53" spans="1:6" ht="40.5" customHeight="1" x14ac:dyDescent="0.25">
      <c r="A53" s="98" t="s">
        <v>93</v>
      </c>
      <c r="B53" s="101" t="s">
        <v>181</v>
      </c>
      <c r="C53" s="102">
        <v>48500</v>
      </c>
      <c r="D53" s="103" t="s">
        <v>11</v>
      </c>
      <c r="E53" s="24"/>
      <c r="F53" s="24"/>
    </row>
    <row r="54" spans="1:6" ht="40.5" customHeight="1" x14ac:dyDescent="0.25">
      <c r="A54" s="98" t="s">
        <v>94</v>
      </c>
      <c r="B54" s="101" t="s">
        <v>31</v>
      </c>
      <c r="C54" s="102">
        <v>2800</v>
      </c>
      <c r="D54" s="103" t="s">
        <v>4</v>
      </c>
      <c r="E54" s="24"/>
      <c r="F54" s="24"/>
    </row>
    <row r="55" spans="1:6" ht="40.5" customHeight="1" x14ac:dyDescent="0.25">
      <c r="A55" s="98" t="s">
        <v>95</v>
      </c>
      <c r="B55" s="101" t="s">
        <v>32</v>
      </c>
      <c r="C55" s="102">
        <v>600</v>
      </c>
      <c r="D55" s="103" t="s">
        <v>4</v>
      </c>
      <c r="E55" s="24"/>
      <c r="F55" s="24"/>
    </row>
    <row r="56" spans="1:6" ht="40.5" customHeight="1" x14ac:dyDescent="0.25">
      <c r="A56" s="98" t="s">
        <v>158</v>
      </c>
      <c r="B56" s="101" t="s">
        <v>33</v>
      </c>
      <c r="C56" s="102">
        <v>39900</v>
      </c>
      <c r="D56" s="103" t="s">
        <v>7</v>
      </c>
      <c r="E56" s="24"/>
      <c r="F56" s="24"/>
    </row>
    <row r="57" spans="1:6" ht="40.5" customHeight="1" x14ac:dyDescent="0.25">
      <c r="A57" s="98" t="s">
        <v>96</v>
      </c>
      <c r="B57" s="101" t="s">
        <v>34</v>
      </c>
      <c r="C57" s="102">
        <v>300</v>
      </c>
      <c r="D57" s="103" t="s">
        <v>4</v>
      </c>
      <c r="E57" s="24"/>
      <c r="F57" s="24"/>
    </row>
    <row r="58" spans="1:6" ht="40.5" customHeight="1" x14ac:dyDescent="0.25">
      <c r="A58" s="98" t="s">
        <v>97</v>
      </c>
      <c r="B58" s="101" t="s">
        <v>35</v>
      </c>
      <c r="C58" s="102">
        <v>300</v>
      </c>
      <c r="D58" s="103" t="s">
        <v>4</v>
      </c>
      <c r="E58" s="24"/>
      <c r="F58" s="24"/>
    </row>
    <row r="59" spans="1:6" ht="40.5" customHeight="1" x14ac:dyDescent="0.25">
      <c r="A59" s="98" t="s">
        <v>98</v>
      </c>
      <c r="B59" s="101" t="s">
        <v>36</v>
      </c>
      <c r="C59" s="102">
        <v>250</v>
      </c>
      <c r="D59" s="103" t="s">
        <v>1</v>
      </c>
      <c r="E59" s="24"/>
      <c r="F59" s="24"/>
    </row>
    <row r="60" spans="1:6" ht="40.5" customHeight="1" x14ac:dyDescent="0.25">
      <c r="A60" s="98" t="s">
        <v>99</v>
      </c>
      <c r="B60" s="101" t="s">
        <v>176</v>
      </c>
      <c r="C60" s="102">
        <v>5600</v>
      </c>
      <c r="D60" s="103" t="s">
        <v>6</v>
      </c>
      <c r="E60" s="24"/>
      <c r="F60" s="24"/>
    </row>
    <row r="61" spans="1:6" ht="40.5" customHeight="1" x14ac:dyDescent="0.25">
      <c r="A61" s="98" t="s">
        <v>100</v>
      </c>
      <c r="B61" s="101" t="s">
        <v>37</v>
      </c>
      <c r="C61" s="102">
        <v>36000</v>
      </c>
      <c r="D61" s="103" t="s">
        <v>10</v>
      </c>
      <c r="E61" s="24"/>
      <c r="F61" s="24"/>
    </row>
    <row r="62" spans="1:6" ht="40.5" customHeight="1" x14ac:dyDescent="0.25">
      <c r="A62" s="98" t="s">
        <v>101</v>
      </c>
      <c r="B62" s="101" t="s">
        <v>182</v>
      </c>
      <c r="C62" s="102">
        <v>2300</v>
      </c>
      <c r="D62" s="103" t="s">
        <v>6</v>
      </c>
      <c r="E62" s="24"/>
      <c r="F62" s="24"/>
    </row>
    <row r="63" spans="1:6" ht="40.5" customHeight="1" x14ac:dyDescent="0.25">
      <c r="A63" s="98" t="s">
        <v>102</v>
      </c>
      <c r="B63" s="101" t="s">
        <v>177</v>
      </c>
      <c r="C63" s="102">
        <v>22500</v>
      </c>
      <c r="D63" s="103" t="s">
        <v>10</v>
      </c>
      <c r="E63" s="24"/>
      <c r="F63" s="24"/>
    </row>
    <row r="64" spans="1:6" ht="40.5" customHeight="1" x14ac:dyDescent="0.25">
      <c r="A64" s="98" t="s">
        <v>103</v>
      </c>
      <c r="B64" s="101" t="s">
        <v>38</v>
      </c>
      <c r="C64" s="102">
        <v>450</v>
      </c>
      <c r="D64" s="103" t="s">
        <v>11</v>
      </c>
      <c r="E64" s="24"/>
      <c r="F64" s="24"/>
    </row>
    <row r="65" spans="1:6" ht="40.5" customHeight="1" x14ac:dyDescent="0.25">
      <c r="A65" s="98" t="s">
        <v>104</v>
      </c>
      <c r="B65" s="101" t="s">
        <v>155</v>
      </c>
      <c r="C65" s="102">
        <v>210</v>
      </c>
      <c r="D65" s="103" t="s">
        <v>7</v>
      </c>
      <c r="E65" s="24"/>
      <c r="F65" s="24"/>
    </row>
    <row r="66" spans="1:6" ht="40.5" customHeight="1" x14ac:dyDescent="0.25">
      <c r="A66" s="98" t="s">
        <v>105</v>
      </c>
      <c r="B66" s="101" t="s">
        <v>151</v>
      </c>
      <c r="C66" s="102">
        <v>1061</v>
      </c>
      <c r="D66" s="103" t="s">
        <v>7</v>
      </c>
      <c r="E66" s="24"/>
      <c r="F66" s="24"/>
    </row>
    <row r="67" spans="1:6" ht="40.5" customHeight="1" x14ac:dyDescent="0.25">
      <c r="A67" s="98" t="s">
        <v>165</v>
      </c>
      <c r="B67" s="101" t="s">
        <v>152</v>
      </c>
      <c r="C67" s="102">
        <v>1682</v>
      </c>
      <c r="D67" s="103" t="s">
        <v>7</v>
      </c>
      <c r="E67" s="24"/>
      <c r="F67" s="24"/>
    </row>
    <row r="68" spans="1:6" ht="40.5" customHeight="1" x14ac:dyDescent="0.25">
      <c r="A68" s="98" t="s">
        <v>106</v>
      </c>
      <c r="B68" s="101" t="s">
        <v>41</v>
      </c>
      <c r="C68" s="102">
        <v>707</v>
      </c>
      <c r="D68" s="103" t="s">
        <v>7</v>
      </c>
      <c r="E68" s="24"/>
      <c r="F68" s="24"/>
    </row>
    <row r="69" spans="1:6" ht="40.5" customHeight="1" x14ac:dyDescent="0.25">
      <c r="A69" s="98" t="s">
        <v>166</v>
      </c>
      <c r="B69" s="101" t="s">
        <v>156</v>
      </c>
      <c r="C69" s="102">
        <v>743</v>
      </c>
      <c r="D69" s="103" t="s">
        <v>7</v>
      </c>
      <c r="E69" s="24"/>
      <c r="F69" s="24"/>
    </row>
    <row r="70" spans="1:6" ht="40.5" customHeight="1" x14ac:dyDescent="0.25">
      <c r="A70" s="98" t="s">
        <v>107</v>
      </c>
      <c r="B70" s="101" t="s">
        <v>153</v>
      </c>
      <c r="C70" s="102">
        <v>192</v>
      </c>
      <c r="D70" s="103" t="s">
        <v>7</v>
      </c>
      <c r="E70" s="24"/>
      <c r="F70" s="24"/>
    </row>
    <row r="71" spans="1:6" ht="40.5" customHeight="1" x14ac:dyDescent="0.25">
      <c r="A71" s="98" t="s">
        <v>108</v>
      </c>
      <c r="B71" s="101" t="s">
        <v>42</v>
      </c>
      <c r="C71" s="102">
        <v>251</v>
      </c>
      <c r="D71" s="103" t="s">
        <v>7</v>
      </c>
      <c r="E71" s="24"/>
      <c r="F71" s="24"/>
    </row>
    <row r="72" spans="1:6" ht="40.5" customHeight="1" x14ac:dyDescent="0.25">
      <c r="A72" s="98" t="s">
        <v>109</v>
      </c>
      <c r="B72" s="101" t="s">
        <v>154</v>
      </c>
      <c r="C72" s="102">
        <v>1020</v>
      </c>
      <c r="D72" s="103" t="s">
        <v>7</v>
      </c>
      <c r="E72" s="24"/>
      <c r="F72" s="24"/>
    </row>
    <row r="73" spans="1:6" ht="40.5" customHeight="1" x14ac:dyDescent="0.25">
      <c r="A73" s="98" t="s">
        <v>110</v>
      </c>
      <c r="B73" s="101" t="s">
        <v>43</v>
      </c>
      <c r="C73" s="102">
        <v>5379</v>
      </c>
      <c r="D73" s="103" t="s">
        <v>7</v>
      </c>
      <c r="E73" s="24"/>
      <c r="F73" s="24"/>
    </row>
    <row r="74" spans="1:6" ht="40.5" customHeight="1" x14ac:dyDescent="0.25">
      <c r="A74" s="98" t="s">
        <v>167</v>
      </c>
      <c r="B74" s="101" t="s">
        <v>44</v>
      </c>
      <c r="C74" s="102">
        <v>1</v>
      </c>
      <c r="D74" s="103" t="s">
        <v>2</v>
      </c>
      <c r="E74" s="24"/>
      <c r="F74" s="24"/>
    </row>
    <row r="75" spans="1:6" ht="40.5" customHeight="1" x14ac:dyDescent="0.25">
      <c r="A75" s="98" t="s">
        <v>111</v>
      </c>
      <c r="B75" s="101" t="s">
        <v>45</v>
      </c>
      <c r="C75" s="102">
        <v>6</v>
      </c>
      <c r="D75" s="103" t="s">
        <v>2</v>
      </c>
      <c r="E75" s="24"/>
      <c r="F75" s="24"/>
    </row>
    <row r="76" spans="1:6" ht="40.5" customHeight="1" x14ac:dyDescent="0.25">
      <c r="A76" s="98" t="s">
        <v>112</v>
      </c>
      <c r="B76" s="101" t="s">
        <v>178</v>
      </c>
      <c r="C76" s="102">
        <v>1</v>
      </c>
      <c r="D76" s="103" t="s">
        <v>2</v>
      </c>
      <c r="E76" s="24"/>
      <c r="F76" s="24"/>
    </row>
    <row r="77" spans="1:6" ht="40.5" customHeight="1" x14ac:dyDescent="0.25">
      <c r="A77" s="98" t="s">
        <v>113</v>
      </c>
      <c r="B77" s="101" t="s">
        <v>162</v>
      </c>
      <c r="C77" s="102">
        <v>1</v>
      </c>
      <c r="D77" s="103" t="s">
        <v>2</v>
      </c>
      <c r="E77" s="24"/>
      <c r="F77" s="24"/>
    </row>
    <row r="78" spans="1:6" ht="40.5" customHeight="1" x14ac:dyDescent="0.25">
      <c r="A78" s="98" t="s">
        <v>114</v>
      </c>
      <c r="B78" s="101" t="s">
        <v>163</v>
      </c>
      <c r="C78" s="102">
        <v>3</v>
      </c>
      <c r="D78" s="103" t="s">
        <v>2</v>
      </c>
      <c r="E78" s="24"/>
      <c r="F78" s="24"/>
    </row>
    <row r="79" spans="1:6" ht="40.5" customHeight="1" x14ac:dyDescent="0.25">
      <c r="A79" s="98" t="s">
        <v>115</v>
      </c>
      <c r="B79" s="101" t="s">
        <v>170</v>
      </c>
      <c r="C79" s="102">
        <v>2</v>
      </c>
      <c r="D79" s="103" t="s">
        <v>2</v>
      </c>
      <c r="E79" s="24"/>
      <c r="F79" s="24"/>
    </row>
    <row r="80" spans="1:6" ht="40.5" customHeight="1" x14ac:dyDescent="0.25">
      <c r="A80" s="98" t="s">
        <v>116</v>
      </c>
      <c r="B80" s="101" t="s">
        <v>171</v>
      </c>
      <c r="C80" s="102">
        <v>1</v>
      </c>
      <c r="D80" s="103" t="s">
        <v>2</v>
      </c>
      <c r="E80" s="24"/>
      <c r="F80" s="24"/>
    </row>
    <row r="81" spans="1:6" ht="40.5" customHeight="1" x14ac:dyDescent="0.25">
      <c r="A81" s="98" t="s">
        <v>117</v>
      </c>
      <c r="B81" s="101" t="s">
        <v>164</v>
      </c>
      <c r="C81" s="102">
        <v>31</v>
      </c>
      <c r="D81" s="103" t="s">
        <v>2</v>
      </c>
      <c r="E81" s="24"/>
      <c r="F81" s="24"/>
    </row>
    <row r="82" spans="1:6" ht="40.5" customHeight="1" x14ac:dyDescent="0.25">
      <c r="A82" s="98" t="s">
        <v>168</v>
      </c>
      <c r="B82" s="101" t="s">
        <v>39</v>
      </c>
      <c r="C82" s="102">
        <v>8.1999999999999993</v>
      </c>
      <c r="D82" s="103" t="s">
        <v>0</v>
      </c>
      <c r="E82" s="24"/>
      <c r="F82" s="24"/>
    </row>
    <row r="83" spans="1:6" ht="40.5" customHeight="1" x14ac:dyDescent="0.25">
      <c r="A83" s="98" t="s">
        <v>118</v>
      </c>
      <c r="B83" s="101" t="s">
        <v>40</v>
      </c>
      <c r="C83" s="102">
        <v>6900</v>
      </c>
      <c r="D83" s="103" t="s">
        <v>1</v>
      </c>
      <c r="E83" s="24"/>
      <c r="F83" s="24"/>
    </row>
    <row r="84" spans="1:6" ht="40.5" customHeight="1" x14ac:dyDescent="0.25">
      <c r="A84" s="98" t="s">
        <v>119</v>
      </c>
      <c r="B84" s="99" t="s">
        <v>144</v>
      </c>
      <c r="C84" s="100">
        <v>5000</v>
      </c>
      <c r="D84" s="98" t="s">
        <v>7</v>
      </c>
      <c r="E84" s="24"/>
      <c r="F84" s="24"/>
    </row>
    <row r="85" spans="1:6" ht="40.5" customHeight="1" x14ac:dyDescent="0.25">
      <c r="A85" s="98" t="s">
        <v>120</v>
      </c>
      <c r="B85" s="99" t="s">
        <v>205</v>
      </c>
      <c r="C85" s="100">
        <v>1060</v>
      </c>
      <c r="D85" s="98" t="s">
        <v>7</v>
      </c>
      <c r="E85" s="24"/>
      <c r="F85" s="24"/>
    </row>
    <row r="86" spans="1:6" ht="40.5" customHeight="1" x14ac:dyDescent="0.25">
      <c r="A86" s="98" t="s">
        <v>121</v>
      </c>
      <c r="B86" s="99" t="s">
        <v>146</v>
      </c>
      <c r="C86" s="100">
        <v>6</v>
      </c>
      <c r="D86" s="98" t="s">
        <v>2</v>
      </c>
      <c r="E86" s="24"/>
      <c r="F86" s="24"/>
    </row>
    <row r="87" spans="1:6" ht="40.5" customHeight="1" x14ac:dyDescent="0.25">
      <c r="A87" s="98" t="s">
        <v>122</v>
      </c>
      <c r="B87" s="99" t="s">
        <v>206</v>
      </c>
      <c r="C87" s="100">
        <v>65</v>
      </c>
      <c r="D87" s="98" t="s">
        <v>7</v>
      </c>
      <c r="E87" s="24"/>
      <c r="F87" s="24"/>
    </row>
    <row r="88" spans="1:6" ht="40.5" customHeight="1" x14ac:dyDescent="0.25">
      <c r="A88" s="98" t="s">
        <v>123</v>
      </c>
      <c r="B88" s="99" t="s">
        <v>145</v>
      </c>
      <c r="C88" s="100">
        <v>1175</v>
      </c>
      <c r="D88" s="98" t="s">
        <v>7</v>
      </c>
      <c r="E88" s="24"/>
      <c r="F88" s="24"/>
    </row>
    <row r="89" spans="1:6" ht="40.5" customHeight="1" x14ac:dyDescent="0.25">
      <c r="A89" s="98" t="s">
        <v>124</v>
      </c>
      <c r="B89" s="99" t="s">
        <v>51</v>
      </c>
      <c r="C89" s="100">
        <v>1</v>
      </c>
      <c r="D89" s="98" t="s">
        <v>8</v>
      </c>
      <c r="E89" s="24"/>
      <c r="F89" s="24"/>
    </row>
    <row r="90" spans="1:6" ht="40.5" customHeight="1" x14ac:dyDescent="0.25">
      <c r="A90" s="98" t="s">
        <v>125</v>
      </c>
      <c r="B90" s="99" t="s">
        <v>52</v>
      </c>
      <c r="C90" s="100">
        <v>1</v>
      </c>
      <c r="D90" s="98" t="s">
        <v>8</v>
      </c>
      <c r="E90" s="24"/>
      <c r="F90" s="24"/>
    </row>
    <row r="91" spans="1:6" ht="40.5" customHeight="1" x14ac:dyDescent="0.25">
      <c r="A91" s="98" t="s">
        <v>126</v>
      </c>
      <c r="B91" s="101" t="s">
        <v>160</v>
      </c>
      <c r="C91" s="102">
        <v>1</v>
      </c>
      <c r="D91" s="103" t="s">
        <v>8</v>
      </c>
      <c r="E91" s="24"/>
      <c r="F91" s="24"/>
    </row>
    <row r="92" spans="1:6" ht="40.5" customHeight="1" x14ac:dyDescent="0.25">
      <c r="A92" s="98" t="s">
        <v>127</v>
      </c>
      <c r="B92" s="101" t="s">
        <v>179</v>
      </c>
      <c r="C92" s="102"/>
      <c r="D92" s="103" t="s">
        <v>2</v>
      </c>
      <c r="E92" s="24"/>
      <c r="F92" s="24"/>
    </row>
    <row r="93" spans="1:6" ht="40.5" customHeight="1" x14ac:dyDescent="0.25">
      <c r="A93" s="98" t="s">
        <v>128</v>
      </c>
      <c r="B93" s="101" t="s">
        <v>159</v>
      </c>
      <c r="C93" s="102"/>
      <c r="D93" s="103" t="s">
        <v>2</v>
      </c>
      <c r="E93" s="24"/>
      <c r="F93" s="24"/>
    </row>
    <row r="94" spans="1:6" ht="40.5" customHeight="1" x14ac:dyDescent="0.25">
      <c r="A94" s="98" t="s">
        <v>129</v>
      </c>
      <c r="B94" s="101" t="s">
        <v>180</v>
      </c>
      <c r="C94" s="102"/>
      <c r="D94" s="103" t="s">
        <v>2</v>
      </c>
      <c r="E94" s="24"/>
      <c r="F94" s="24"/>
    </row>
    <row r="95" spans="1:6" ht="40.5" customHeight="1" x14ac:dyDescent="0.25">
      <c r="A95" s="98" t="s">
        <v>130</v>
      </c>
      <c r="B95" s="99" t="s">
        <v>192</v>
      </c>
      <c r="C95" s="100">
        <v>2</v>
      </c>
      <c r="D95" s="98" t="s">
        <v>2</v>
      </c>
      <c r="E95" s="24"/>
      <c r="F95" s="24"/>
    </row>
    <row r="96" spans="1:6" ht="40.5" customHeight="1" x14ac:dyDescent="0.25">
      <c r="A96" s="98" t="s">
        <v>131</v>
      </c>
      <c r="B96" s="101" t="s">
        <v>207</v>
      </c>
      <c r="C96" s="102"/>
      <c r="D96" s="103" t="s">
        <v>7</v>
      </c>
      <c r="E96" s="24"/>
      <c r="F96" s="24"/>
    </row>
    <row r="97" spans="1:6" ht="40.5" customHeight="1" x14ac:dyDescent="0.25">
      <c r="A97" s="98" t="s">
        <v>132</v>
      </c>
      <c r="B97" s="101" t="s">
        <v>208</v>
      </c>
      <c r="C97" s="102"/>
      <c r="D97" s="103" t="s">
        <v>7</v>
      </c>
      <c r="E97" s="24"/>
      <c r="F97" s="24"/>
    </row>
    <row r="98" spans="1:6" ht="40.5" customHeight="1" x14ac:dyDescent="0.25">
      <c r="A98" s="98" t="s">
        <v>133</v>
      </c>
      <c r="B98" s="101" t="s">
        <v>209</v>
      </c>
      <c r="C98" s="102"/>
      <c r="D98" s="103" t="s">
        <v>1</v>
      </c>
      <c r="E98" s="24"/>
      <c r="F98" s="24"/>
    </row>
    <row r="99" spans="1:6" ht="40.5" customHeight="1" x14ac:dyDescent="0.25">
      <c r="A99" s="98" t="s">
        <v>134</v>
      </c>
      <c r="B99" s="99" t="s">
        <v>210</v>
      </c>
      <c r="C99" s="100">
        <v>1</v>
      </c>
      <c r="D99" s="98" t="s">
        <v>8</v>
      </c>
      <c r="E99" s="24"/>
      <c r="F99" s="24"/>
    </row>
    <row r="100" spans="1:6" ht="40.5" customHeight="1" x14ac:dyDescent="0.25">
      <c r="A100" s="98" t="s">
        <v>135</v>
      </c>
      <c r="B100" s="101" t="s">
        <v>211</v>
      </c>
      <c r="C100" s="102">
        <v>1</v>
      </c>
      <c r="D100" s="103" t="s">
        <v>8</v>
      </c>
      <c r="E100" s="24"/>
      <c r="F100" s="24"/>
    </row>
    <row r="101" spans="1:6" ht="40.5" customHeight="1" x14ac:dyDescent="0.25">
      <c r="A101" s="98" t="s">
        <v>136</v>
      </c>
      <c r="B101" s="99" t="s">
        <v>212</v>
      </c>
      <c r="C101" s="100">
        <v>22</v>
      </c>
      <c r="D101" s="98" t="s">
        <v>2</v>
      </c>
      <c r="E101" s="24"/>
      <c r="F101" s="24"/>
    </row>
    <row r="102" spans="1:6" ht="40.5" customHeight="1" x14ac:dyDescent="0.25">
      <c r="A102" s="98" t="s">
        <v>137</v>
      </c>
      <c r="B102" s="99" t="s">
        <v>143</v>
      </c>
      <c r="C102" s="100">
        <v>9</v>
      </c>
      <c r="D102" s="98" t="s">
        <v>2</v>
      </c>
      <c r="E102" s="24"/>
      <c r="F102" s="24"/>
    </row>
    <row r="103" spans="1:6" ht="40.5" customHeight="1" x14ac:dyDescent="0.25">
      <c r="A103" s="98" t="s">
        <v>138</v>
      </c>
      <c r="B103" s="99" t="s">
        <v>213</v>
      </c>
      <c r="C103" s="100">
        <v>8</v>
      </c>
      <c r="D103" s="98" t="s">
        <v>2</v>
      </c>
      <c r="E103" s="24"/>
      <c r="F103" s="24"/>
    </row>
    <row r="104" spans="1:6" ht="40.5" customHeight="1" x14ac:dyDescent="0.25">
      <c r="A104" s="98" t="s">
        <v>169</v>
      </c>
      <c r="B104" s="99" t="s">
        <v>214</v>
      </c>
      <c r="C104" s="100">
        <v>8</v>
      </c>
      <c r="D104" s="98" t="s">
        <v>2</v>
      </c>
      <c r="E104" s="24"/>
      <c r="F104" s="24"/>
    </row>
    <row r="105" spans="1:6" ht="40.5" customHeight="1" x14ac:dyDescent="0.25">
      <c r="A105" s="98" t="s">
        <v>139</v>
      </c>
      <c r="B105" s="99" t="s">
        <v>215</v>
      </c>
      <c r="C105" s="100">
        <v>15</v>
      </c>
      <c r="D105" s="98" t="s">
        <v>2</v>
      </c>
      <c r="E105" s="24"/>
      <c r="F105" s="24"/>
    </row>
    <row r="106" spans="1:6" ht="40.5" customHeight="1" x14ac:dyDescent="0.25">
      <c r="A106" s="98" t="s">
        <v>140</v>
      </c>
      <c r="B106" s="99" t="s">
        <v>216</v>
      </c>
      <c r="C106" s="100">
        <v>1</v>
      </c>
      <c r="D106" s="98" t="s">
        <v>8</v>
      </c>
      <c r="E106" s="24"/>
      <c r="F106" s="24"/>
    </row>
    <row r="107" spans="1:6" ht="40.5" customHeight="1" x14ac:dyDescent="0.25">
      <c r="A107" s="98" t="s">
        <v>141</v>
      </c>
      <c r="B107" s="99" t="s">
        <v>217</v>
      </c>
      <c r="C107" s="100">
        <v>1</v>
      </c>
      <c r="D107" s="98" t="s">
        <v>8</v>
      </c>
      <c r="E107" s="24"/>
      <c r="F107" s="24"/>
    </row>
    <row r="108" spans="1:6" ht="40.5" customHeight="1" x14ac:dyDescent="0.25">
      <c r="A108" s="98" t="s">
        <v>142</v>
      </c>
      <c r="B108" s="99" t="s">
        <v>218</v>
      </c>
      <c r="C108" s="100">
        <v>1</v>
      </c>
      <c r="D108" s="98" t="s">
        <v>8</v>
      </c>
      <c r="E108" s="24"/>
      <c r="F108" s="24"/>
    </row>
    <row r="109" spans="1:6" ht="27.75" customHeight="1" x14ac:dyDescent="0.25">
      <c r="A109" s="105"/>
      <c r="B109" s="65" t="s">
        <v>56</v>
      </c>
      <c r="C109" s="66"/>
      <c r="D109" s="67"/>
      <c r="E109" s="25"/>
      <c r="F109" s="25" t="s">
        <v>19</v>
      </c>
    </row>
  </sheetData>
  <mergeCells count="7">
    <mergeCell ref="B109:D109"/>
    <mergeCell ref="A14:D14"/>
    <mergeCell ref="E14:F18"/>
    <mergeCell ref="A15:D15"/>
    <mergeCell ref="A16:D16"/>
    <mergeCell ref="A17:D17"/>
    <mergeCell ref="A18:D18"/>
  </mergeCells>
  <dataValidations count="1">
    <dataValidation type="list" allowBlank="1" showInputMessage="1" showErrorMessage="1" sqref="D20:D108">
      <formula1>$A$1:$A$13</formula1>
    </dataValidation>
  </dataValidations>
  <printOptions horizontalCentered="1"/>
  <pageMargins left="0.75" right="0.75" top="1" bottom="1" header="0.5" footer="0.7"/>
  <pageSetup firstPageNumber="3" orientation="portrait" useFirstPageNumber="1" r:id="rId1"/>
  <headerFooter>
    <oddHeader>&amp;LSCHEDULE A (AIP ELIGIBLE ITEMS)
&amp;RBidder: _________________________
ADDENDUM NO. 2</oddHeader>
    <oddFooter>&amp;L&amp;"Times New Roman,Regular"&amp;8&amp;Z&amp;F&amp;R&amp;"Times New Roman,Regular"&amp;9Bid 
004100-&amp;P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25"/>
  <sheetViews>
    <sheetView tabSelected="1" topLeftCell="A14" zoomScaleNormal="100" zoomScaleSheetLayoutView="100" workbookViewId="0">
      <selection activeCell="B22" sqref="B22"/>
    </sheetView>
  </sheetViews>
  <sheetFormatPr defaultRowHeight="15" x14ac:dyDescent="0.25"/>
  <cols>
    <col min="1" max="1" width="6.5703125" style="47" customWidth="1"/>
    <col min="2" max="2" width="36.7109375" style="47" customWidth="1"/>
    <col min="3" max="3" width="10.7109375" style="20" customWidth="1"/>
    <col min="4" max="4" width="8.28515625" style="47" customWidth="1"/>
    <col min="5" max="6" width="13.28515625" style="22" customWidth="1"/>
  </cols>
  <sheetData>
    <row r="1" spans="1:6" hidden="1" x14ac:dyDescent="0.25">
      <c r="A1" s="48" t="s">
        <v>0</v>
      </c>
    </row>
    <row r="2" spans="1:6" hidden="1" x14ac:dyDescent="0.25">
      <c r="A2" s="48" t="s">
        <v>1</v>
      </c>
    </row>
    <row r="3" spans="1:6" hidden="1" x14ac:dyDescent="0.25">
      <c r="A3" s="49" t="s">
        <v>2</v>
      </c>
    </row>
    <row r="4" spans="1:6" hidden="1" x14ac:dyDescent="0.25">
      <c r="A4" s="49" t="s">
        <v>3</v>
      </c>
    </row>
    <row r="5" spans="1:6" hidden="1" x14ac:dyDescent="0.25">
      <c r="A5" s="49" t="s">
        <v>4</v>
      </c>
    </row>
    <row r="6" spans="1:6" hidden="1" x14ac:dyDescent="0.25">
      <c r="A6" s="49" t="s">
        <v>5</v>
      </c>
    </row>
    <row r="7" spans="1:6" hidden="1" x14ac:dyDescent="0.25">
      <c r="A7" s="49" t="s">
        <v>6</v>
      </c>
    </row>
    <row r="8" spans="1:6" hidden="1" x14ac:dyDescent="0.25">
      <c r="A8" s="49" t="s">
        <v>7</v>
      </c>
    </row>
    <row r="9" spans="1:6" hidden="1" x14ac:dyDescent="0.25">
      <c r="A9" s="48" t="s">
        <v>8</v>
      </c>
    </row>
    <row r="10" spans="1:6" hidden="1" x14ac:dyDescent="0.25">
      <c r="A10" s="49" t="s">
        <v>9</v>
      </c>
    </row>
    <row r="11" spans="1:6" hidden="1" x14ac:dyDescent="0.25">
      <c r="A11" s="49" t="s">
        <v>10</v>
      </c>
    </row>
    <row r="12" spans="1:6" hidden="1" x14ac:dyDescent="0.25">
      <c r="A12" s="49" t="s">
        <v>11</v>
      </c>
    </row>
    <row r="13" spans="1:6" hidden="1" x14ac:dyDescent="0.25">
      <c r="A13" s="49" t="s">
        <v>12</v>
      </c>
    </row>
    <row r="14" spans="1:6" x14ac:dyDescent="0.25">
      <c r="A14" s="68"/>
      <c r="B14" s="68"/>
      <c r="C14" s="68"/>
      <c r="D14" s="68"/>
      <c r="E14" s="69"/>
      <c r="F14" s="69"/>
    </row>
    <row r="15" spans="1:6" x14ac:dyDescent="0.25">
      <c r="A15" s="72" t="s">
        <v>54</v>
      </c>
      <c r="B15" s="72"/>
      <c r="C15" s="72"/>
      <c r="D15" s="72"/>
      <c r="E15" s="70"/>
      <c r="F15" s="70"/>
    </row>
    <row r="16" spans="1:6" x14ac:dyDescent="0.25">
      <c r="A16" s="72" t="s">
        <v>55</v>
      </c>
      <c r="B16" s="72"/>
      <c r="C16" s="72"/>
      <c r="D16" s="72"/>
      <c r="E16" s="70"/>
      <c r="F16" s="70"/>
    </row>
    <row r="17" spans="1:6" x14ac:dyDescent="0.25">
      <c r="A17" s="73"/>
      <c r="B17" s="73"/>
      <c r="C17" s="73"/>
      <c r="D17" s="73"/>
      <c r="E17" s="70"/>
      <c r="F17" s="70"/>
    </row>
    <row r="18" spans="1:6" x14ac:dyDescent="0.25">
      <c r="A18" s="74"/>
      <c r="B18" s="74"/>
      <c r="C18" s="74"/>
      <c r="D18" s="74"/>
      <c r="E18" s="71"/>
      <c r="F18" s="71"/>
    </row>
    <row r="19" spans="1:6" s="1" customFormat="1" ht="24" customHeight="1" x14ac:dyDescent="0.2">
      <c r="A19" s="50" t="s">
        <v>13</v>
      </c>
      <c r="B19" s="50" t="s">
        <v>14</v>
      </c>
      <c r="C19" s="21" t="s">
        <v>15</v>
      </c>
      <c r="D19" s="50" t="s">
        <v>16</v>
      </c>
      <c r="E19" s="23" t="s">
        <v>17</v>
      </c>
      <c r="F19" s="23" t="s">
        <v>18</v>
      </c>
    </row>
    <row r="20" spans="1:6" ht="40.5" customHeight="1" x14ac:dyDescent="0.25">
      <c r="A20" s="51" t="s">
        <v>61</v>
      </c>
      <c r="B20" s="101" t="s">
        <v>161</v>
      </c>
      <c r="C20" s="109">
        <v>200</v>
      </c>
      <c r="D20" s="103" t="s">
        <v>1</v>
      </c>
      <c r="E20" s="24"/>
      <c r="F20" s="24"/>
    </row>
    <row r="21" spans="1:6" ht="40.5" customHeight="1" x14ac:dyDescent="0.25">
      <c r="A21" s="51" t="s">
        <v>62</v>
      </c>
      <c r="B21" s="99" t="s">
        <v>219</v>
      </c>
      <c r="C21" s="107">
        <v>435</v>
      </c>
      <c r="D21" s="98" t="s">
        <v>2</v>
      </c>
      <c r="E21" s="24"/>
      <c r="F21" s="24"/>
    </row>
    <row r="22" spans="1:6" ht="40.5" customHeight="1" x14ac:dyDescent="0.25">
      <c r="A22" s="51" t="s">
        <v>63</v>
      </c>
      <c r="B22" s="99" t="s">
        <v>220</v>
      </c>
      <c r="C22" s="107">
        <v>25</v>
      </c>
      <c r="D22" s="98" t="s">
        <v>7</v>
      </c>
      <c r="E22" s="24"/>
      <c r="F22" s="24"/>
    </row>
    <row r="23" spans="1:6" ht="40.5" customHeight="1" x14ac:dyDescent="0.25">
      <c r="A23" s="51" t="s">
        <v>64</v>
      </c>
      <c r="B23" s="99" t="s">
        <v>53</v>
      </c>
      <c r="C23" s="108">
        <v>3</v>
      </c>
      <c r="D23" s="98" t="s">
        <v>2</v>
      </c>
      <c r="E23" s="24"/>
      <c r="F23" s="24"/>
    </row>
    <row r="24" spans="1:6" ht="27.75" customHeight="1" x14ac:dyDescent="0.25">
      <c r="A24" s="52"/>
      <c r="B24" s="65" t="s">
        <v>57</v>
      </c>
      <c r="C24" s="66"/>
      <c r="D24" s="67"/>
      <c r="E24" s="25"/>
      <c r="F24" s="25" t="s">
        <v>19</v>
      </c>
    </row>
    <row r="25" spans="1:6" ht="27.75" customHeight="1" x14ac:dyDescent="0.25">
      <c r="A25" s="52"/>
      <c r="B25" s="65" t="s">
        <v>193</v>
      </c>
      <c r="C25" s="66"/>
      <c r="D25" s="67"/>
      <c r="E25" s="25"/>
      <c r="F25" s="25" t="s">
        <v>19</v>
      </c>
    </row>
  </sheetData>
  <mergeCells count="8">
    <mergeCell ref="B25:D25"/>
    <mergeCell ref="B24:D24"/>
    <mergeCell ref="E14:F18"/>
    <mergeCell ref="A15:D15"/>
    <mergeCell ref="A16:D16"/>
    <mergeCell ref="A17:D17"/>
    <mergeCell ref="A18:D18"/>
    <mergeCell ref="A14:D14"/>
  </mergeCells>
  <dataValidations count="1">
    <dataValidation type="list" allowBlank="1" showInputMessage="1" showErrorMessage="1" sqref="D20:D23">
      <formula1>$A$1:$A$13</formula1>
    </dataValidation>
  </dataValidations>
  <printOptions horizontalCentered="1"/>
  <pageMargins left="0.75" right="0.75" top="1" bottom="1" header="0.5" footer="0.7"/>
  <pageSetup firstPageNumber="13" orientation="portrait" useFirstPageNumber="1" r:id="rId1"/>
  <headerFooter>
    <oddHeader>&amp;LSCHEDULE B (NON-AIP ELIGIBLE ITEMS)
&amp;RBidder: _________________________
ADDENDUM NO. 2</oddHeader>
    <oddFooter>&amp;L&amp;"Times New Roman,Regular"&amp;8&amp;Z&amp;F&amp;R&amp;"Times New Roman,Regular"&amp;9Bid 
004100-&amp;P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R141"/>
  <sheetViews>
    <sheetView view="pageBreakPreview" topLeftCell="A67" zoomScaleNormal="100" zoomScaleSheetLayoutView="100" workbookViewId="0">
      <selection activeCell="P141" sqref="P141"/>
    </sheetView>
  </sheetViews>
  <sheetFormatPr defaultRowHeight="15" x14ac:dyDescent="0.25"/>
  <cols>
    <col min="1" max="1" width="6.7109375" style="47" customWidth="1"/>
    <col min="2" max="2" width="29" style="38" customWidth="1"/>
    <col min="3" max="3" width="10.7109375" style="43" customWidth="1"/>
    <col min="4" max="4" width="6.7109375" style="14" customWidth="1"/>
    <col min="5" max="5" width="11" style="22" customWidth="1"/>
    <col min="6" max="6" width="13.7109375" style="22" customWidth="1"/>
    <col min="7" max="7" width="11" style="22" customWidth="1"/>
    <col min="8" max="8" width="13.7109375" style="22" customWidth="1"/>
    <col min="9" max="9" width="11" style="22" customWidth="1"/>
    <col min="10" max="10" width="13.7109375" style="22" customWidth="1"/>
    <col min="11" max="11" width="11" customWidth="1"/>
    <col min="12" max="12" width="13.7109375" customWidth="1"/>
    <col min="13" max="13" width="11" customWidth="1"/>
    <col min="14" max="14" width="13.7109375" customWidth="1"/>
    <col min="15" max="15" width="11" customWidth="1"/>
    <col min="16" max="16" width="13.7109375" customWidth="1"/>
    <col min="17" max="17" width="11" customWidth="1"/>
    <col min="18" max="18" width="13.7109375" customWidth="1"/>
  </cols>
  <sheetData>
    <row r="1" spans="1:18" s="2" customFormat="1" ht="30" customHeight="1" x14ac:dyDescent="0.25">
      <c r="A1" s="95" t="str">
        <f>'Bid Item List B (Port)'!$A$15</f>
        <v>PORTLAND INTERNATIONAL AIRPORT</v>
      </c>
      <c r="B1" s="96"/>
      <c r="C1" s="96"/>
      <c r="D1" s="97"/>
      <c r="E1" s="81" t="s">
        <v>201</v>
      </c>
      <c r="F1" s="82"/>
      <c r="G1" s="81" t="s">
        <v>200</v>
      </c>
      <c r="H1" s="82"/>
      <c r="I1" s="81" t="s">
        <v>202</v>
      </c>
      <c r="J1" s="82"/>
      <c r="K1" s="81" t="s">
        <v>195</v>
      </c>
      <c r="L1" s="82"/>
      <c r="M1" s="81" t="s">
        <v>196</v>
      </c>
      <c r="N1" s="82"/>
      <c r="O1" s="81" t="s">
        <v>203</v>
      </c>
      <c r="P1" s="82"/>
      <c r="Q1" s="85" t="s">
        <v>21</v>
      </c>
      <c r="R1" s="86"/>
    </row>
    <row r="2" spans="1:18" x14ac:dyDescent="0.25">
      <c r="A2" s="89" t="str">
        <f>'Bid Item List B (Port)'!$A$16</f>
        <v>TAXIWAY B CENTER AND EXITS REHABILITATION</v>
      </c>
      <c r="B2" s="90"/>
      <c r="C2" s="90"/>
      <c r="D2" s="91"/>
      <c r="E2" s="83"/>
      <c r="F2" s="84"/>
      <c r="G2" s="83"/>
      <c r="H2" s="84"/>
      <c r="I2" s="83"/>
      <c r="J2" s="84"/>
      <c r="K2" s="83"/>
      <c r="L2" s="84"/>
      <c r="M2" s="83"/>
      <c r="N2" s="84"/>
      <c r="O2" s="83"/>
      <c r="P2" s="84"/>
      <c r="Q2" s="87"/>
      <c r="R2" s="88"/>
    </row>
    <row r="3" spans="1:18" x14ac:dyDescent="0.25">
      <c r="A3" s="89">
        <f>'Bid Item List B (Port)'!$A$17</f>
        <v>0</v>
      </c>
      <c r="B3" s="90"/>
      <c r="C3" s="90"/>
      <c r="D3" s="91"/>
      <c r="E3" s="83"/>
      <c r="F3" s="84"/>
      <c r="G3" s="83"/>
      <c r="H3" s="84"/>
      <c r="I3" s="83"/>
      <c r="J3" s="84"/>
      <c r="K3" s="83"/>
      <c r="L3" s="84"/>
      <c r="M3" s="83"/>
      <c r="N3" s="84"/>
      <c r="O3" s="83"/>
      <c r="P3" s="84"/>
      <c r="Q3" s="87"/>
      <c r="R3" s="88"/>
    </row>
    <row r="4" spans="1:18" x14ac:dyDescent="0.25">
      <c r="A4" s="92" t="s">
        <v>58</v>
      </c>
      <c r="B4" s="93"/>
      <c r="C4" s="93"/>
      <c r="D4" s="94"/>
      <c r="E4" s="83"/>
      <c r="F4" s="84"/>
      <c r="G4" s="83"/>
      <c r="H4" s="84"/>
      <c r="I4" s="83"/>
      <c r="J4" s="84"/>
      <c r="K4" s="83"/>
      <c r="L4" s="84"/>
      <c r="M4" s="83"/>
      <c r="N4" s="84"/>
      <c r="O4" s="83"/>
      <c r="P4" s="84"/>
      <c r="Q4" s="87"/>
      <c r="R4" s="88"/>
    </row>
    <row r="5" spans="1:18" x14ac:dyDescent="0.25">
      <c r="A5" s="92" t="s">
        <v>194</v>
      </c>
      <c r="B5" s="93"/>
      <c r="C5" s="93"/>
      <c r="D5" s="94"/>
      <c r="E5" s="83"/>
      <c r="F5" s="84"/>
      <c r="G5" s="83"/>
      <c r="H5" s="84"/>
      <c r="I5" s="83"/>
      <c r="J5" s="84"/>
      <c r="K5" s="83"/>
      <c r="L5" s="84"/>
      <c r="M5" s="83"/>
      <c r="N5" s="84"/>
      <c r="O5" s="83"/>
      <c r="P5" s="84"/>
      <c r="Q5" s="87"/>
      <c r="R5" s="88"/>
    </row>
    <row r="6" spans="1:18" x14ac:dyDescent="0.25">
      <c r="A6" s="78">
        <f ca="1">TODAY()</f>
        <v>42754</v>
      </c>
      <c r="B6" s="79"/>
      <c r="C6" s="79"/>
      <c r="D6" s="80"/>
      <c r="E6" s="28"/>
      <c r="F6" s="29"/>
      <c r="G6" s="28"/>
      <c r="H6" s="29"/>
      <c r="I6" s="28"/>
      <c r="J6" s="29"/>
      <c r="K6" s="28"/>
      <c r="L6" s="29"/>
      <c r="M6" s="28"/>
      <c r="N6" s="29"/>
      <c r="O6" s="28"/>
      <c r="P6" s="29"/>
      <c r="Q6" s="59"/>
      <c r="R6" s="60"/>
    </row>
    <row r="7" spans="1:18" ht="32.25" customHeight="1" x14ac:dyDescent="0.25">
      <c r="A7" s="45" t="s">
        <v>13</v>
      </c>
      <c r="B7" s="45" t="s">
        <v>14</v>
      </c>
      <c r="C7" s="12" t="s">
        <v>15</v>
      </c>
      <c r="D7" s="45" t="s">
        <v>16</v>
      </c>
      <c r="E7" s="30" t="s">
        <v>17</v>
      </c>
      <c r="F7" s="30" t="s">
        <v>18</v>
      </c>
      <c r="G7" s="30" t="s">
        <v>17</v>
      </c>
      <c r="H7" s="30" t="s">
        <v>18</v>
      </c>
      <c r="I7" s="30" t="s">
        <v>17</v>
      </c>
      <c r="J7" s="30" t="s">
        <v>18</v>
      </c>
      <c r="K7" s="30" t="s">
        <v>17</v>
      </c>
      <c r="L7" s="30" t="s">
        <v>18</v>
      </c>
      <c r="M7" s="30" t="s">
        <v>17</v>
      </c>
      <c r="N7" s="30" t="s">
        <v>18</v>
      </c>
      <c r="O7" s="30" t="s">
        <v>17</v>
      </c>
      <c r="P7" s="30" t="s">
        <v>18</v>
      </c>
      <c r="Q7" s="61" t="s">
        <v>17</v>
      </c>
      <c r="R7" s="61" t="s">
        <v>18</v>
      </c>
    </row>
    <row r="8" spans="1:18" ht="33" customHeight="1" x14ac:dyDescent="0.25">
      <c r="A8" s="44" t="str">
        <f>'Bid Item List A (FAA)'!$A20</f>
        <v>0001</v>
      </c>
      <c r="B8" s="53" t="str">
        <f>'Bid Item List A (FAA)'!B20</f>
        <v>Mobilization, Cleanup, and Demobilization
(Section 012200)</v>
      </c>
      <c r="C8" s="42">
        <f>'Bid Item List A (FAA)'!C20</f>
        <v>1</v>
      </c>
      <c r="D8" s="44" t="str">
        <f>'Bid Item List A (FAA)'!D20</f>
        <v>LS</v>
      </c>
      <c r="E8" s="17">
        <v>1907000</v>
      </c>
      <c r="F8" s="18">
        <f>C8*E8</f>
        <v>1907000</v>
      </c>
      <c r="G8" s="17">
        <v>1800000</v>
      </c>
      <c r="H8" s="18">
        <f t="shared" ref="H8:H12" si="0">C8*G8</f>
        <v>1800000</v>
      </c>
      <c r="I8" s="17">
        <v>1825000</v>
      </c>
      <c r="J8" s="18">
        <f t="shared" ref="J8:J12" si="1">C8*I8</f>
        <v>1825000</v>
      </c>
      <c r="K8" s="17">
        <v>900000</v>
      </c>
      <c r="L8" s="18">
        <f t="shared" ref="L8:L12" si="2">C8*K8</f>
        <v>900000</v>
      </c>
      <c r="M8" s="17">
        <v>1820000</v>
      </c>
      <c r="N8" s="18">
        <f t="shared" ref="N8:N12" si="3">C8*M8</f>
        <v>1820000</v>
      </c>
      <c r="O8" s="17">
        <v>475000</v>
      </c>
      <c r="P8" s="18">
        <f t="shared" ref="P8:P12" si="4">C8*O8</f>
        <v>475000</v>
      </c>
      <c r="Q8" s="62">
        <v>1310268</v>
      </c>
      <c r="R8" s="63">
        <f t="shared" ref="R8:R39" si="5">C8*Q8</f>
        <v>1310268</v>
      </c>
    </row>
    <row r="9" spans="1:18" ht="33" customHeight="1" x14ac:dyDescent="0.25">
      <c r="A9" s="44" t="str">
        <f>'Bid Item List A (FAA)'!A21</f>
        <v>0002</v>
      </c>
      <c r="B9" s="53" t="str">
        <f>'Bid Item List A (FAA)'!B21</f>
        <v>Sweeper
(Section 012200)</v>
      </c>
      <c r="C9" s="42">
        <f>'Bid Item List A (FAA)'!C21</f>
        <v>1</v>
      </c>
      <c r="D9" s="44" t="str">
        <f>'Bid Item List A (FAA)'!D21</f>
        <v>LS</v>
      </c>
      <c r="E9" s="17">
        <v>130000</v>
      </c>
      <c r="F9" s="18">
        <f>C9*E9</f>
        <v>130000</v>
      </c>
      <c r="G9" s="17">
        <v>260000</v>
      </c>
      <c r="H9" s="18">
        <f t="shared" si="0"/>
        <v>260000</v>
      </c>
      <c r="I9" s="17">
        <v>225000</v>
      </c>
      <c r="J9" s="18">
        <f t="shared" si="1"/>
        <v>225000</v>
      </c>
      <c r="K9" s="17">
        <v>265000</v>
      </c>
      <c r="L9" s="18">
        <f t="shared" si="2"/>
        <v>265000</v>
      </c>
      <c r="M9" s="17">
        <v>400000</v>
      </c>
      <c r="N9" s="18">
        <f t="shared" si="3"/>
        <v>400000</v>
      </c>
      <c r="O9" s="17">
        <v>600000</v>
      </c>
      <c r="P9" s="18">
        <f t="shared" si="4"/>
        <v>600000</v>
      </c>
      <c r="Q9" s="62">
        <v>150000</v>
      </c>
      <c r="R9" s="63">
        <f t="shared" si="5"/>
        <v>150000</v>
      </c>
    </row>
    <row r="10" spans="1:18" ht="33" customHeight="1" x14ac:dyDescent="0.25">
      <c r="A10" s="44" t="str">
        <f>'Bid Item List A (FAA)'!A22</f>
        <v>0003</v>
      </c>
      <c r="B10" s="53" t="str">
        <f>'Bid Item List A (FAA)'!B22</f>
        <v>Security Control Monitoring
(Section 012200)</v>
      </c>
      <c r="C10" s="42">
        <f>'Bid Item List A (FAA)'!C22</f>
        <v>1</v>
      </c>
      <c r="D10" s="44" t="str">
        <f>'Bid Item List A (FAA)'!D22</f>
        <v>LS</v>
      </c>
      <c r="E10" s="17">
        <v>65000</v>
      </c>
      <c r="F10" s="18">
        <f t="shared" ref="F10:F16" si="6">C10*E10</f>
        <v>65000</v>
      </c>
      <c r="G10" s="17">
        <v>25000</v>
      </c>
      <c r="H10" s="18">
        <f t="shared" si="0"/>
        <v>25000</v>
      </c>
      <c r="I10" s="17">
        <v>100000</v>
      </c>
      <c r="J10" s="18">
        <f t="shared" si="1"/>
        <v>100000</v>
      </c>
      <c r="K10" s="17">
        <v>103000</v>
      </c>
      <c r="L10" s="18">
        <f t="shared" si="2"/>
        <v>103000</v>
      </c>
      <c r="M10" s="17">
        <v>115000</v>
      </c>
      <c r="N10" s="18">
        <f t="shared" si="3"/>
        <v>115000</v>
      </c>
      <c r="O10" s="17">
        <v>340000</v>
      </c>
      <c r="P10" s="18">
        <f t="shared" si="4"/>
        <v>340000</v>
      </c>
      <c r="Q10" s="62">
        <v>30000</v>
      </c>
      <c r="R10" s="63">
        <f t="shared" si="5"/>
        <v>30000</v>
      </c>
    </row>
    <row r="11" spans="1:18" ht="33" customHeight="1" x14ac:dyDescent="0.25">
      <c r="A11" s="44" t="str">
        <f>'Bid Item List A (FAA)'!A23</f>
        <v>0004</v>
      </c>
      <c r="B11" s="53" t="str">
        <f>'Bid Item List A (FAA)'!B23</f>
        <v>Traffic Control
(Section 012200)</v>
      </c>
      <c r="C11" s="42">
        <f>'Bid Item List A (FAA)'!C23</f>
        <v>1</v>
      </c>
      <c r="D11" s="44" t="str">
        <f>'Bid Item List A (FAA)'!D23</f>
        <v>LS</v>
      </c>
      <c r="E11" s="17">
        <v>75000</v>
      </c>
      <c r="F11" s="18">
        <f t="shared" si="6"/>
        <v>75000</v>
      </c>
      <c r="G11" s="17">
        <v>300000</v>
      </c>
      <c r="H11" s="18">
        <f t="shared" si="0"/>
        <v>300000</v>
      </c>
      <c r="I11" s="17">
        <v>251566.5</v>
      </c>
      <c r="J11" s="18">
        <f t="shared" si="1"/>
        <v>251566.5</v>
      </c>
      <c r="K11" s="17">
        <v>420000</v>
      </c>
      <c r="L11" s="18">
        <f t="shared" si="2"/>
        <v>420000</v>
      </c>
      <c r="M11" s="17">
        <v>100000</v>
      </c>
      <c r="N11" s="18">
        <f t="shared" si="3"/>
        <v>100000</v>
      </c>
      <c r="O11" s="17">
        <v>500000</v>
      </c>
      <c r="P11" s="18">
        <f t="shared" si="4"/>
        <v>500000</v>
      </c>
      <c r="Q11" s="62">
        <v>175000</v>
      </c>
      <c r="R11" s="63">
        <f t="shared" si="5"/>
        <v>175000</v>
      </c>
    </row>
    <row r="12" spans="1:18" ht="33" customHeight="1" x14ac:dyDescent="0.25">
      <c r="A12" s="44" t="str">
        <f>'Bid Item List A (FAA)'!$A24</f>
        <v>0005</v>
      </c>
      <c r="B12" s="53" t="str">
        <f>'Bid Item List A (FAA)'!B24</f>
        <v>Escort
(Section 012200)</v>
      </c>
      <c r="C12" s="42">
        <f>'Bid Item List A (FAA)'!C24</f>
        <v>1</v>
      </c>
      <c r="D12" s="44" t="str">
        <f>'Bid Item List A (FAA)'!D24</f>
        <v>LS</v>
      </c>
      <c r="E12" s="17">
        <v>75000</v>
      </c>
      <c r="F12" s="18">
        <f t="shared" si="6"/>
        <v>75000</v>
      </c>
      <c r="G12" s="17">
        <v>250000</v>
      </c>
      <c r="H12" s="18">
        <f t="shared" si="0"/>
        <v>250000</v>
      </c>
      <c r="I12" s="17">
        <v>250000</v>
      </c>
      <c r="J12" s="18">
        <f t="shared" si="1"/>
        <v>250000</v>
      </c>
      <c r="K12" s="17">
        <v>278000</v>
      </c>
      <c r="L12" s="18">
        <f t="shared" si="2"/>
        <v>278000</v>
      </c>
      <c r="M12" s="17">
        <v>306000</v>
      </c>
      <c r="N12" s="18">
        <f t="shared" si="3"/>
        <v>306000</v>
      </c>
      <c r="O12" s="17">
        <v>1400000</v>
      </c>
      <c r="P12" s="18">
        <f t="shared" si="4"/>
        <v>1400000</v>
      </c>
      <c r="Q12" s="62">
        <v>100000</v>
      </c>
      <c r="R12" s="63">
        <f t="shared" si="5"/>
        <v>100000</v>
      </c>
    </row>
    <row r="13" spans="1:18" ht="33" customHeight="1" x14ac:dyDescent="0.25">
      <c r="A13" s="44" t="str">
        <f>'Bid Item List A (FAA)'!A25</f>
        <v>0006</v>
      </c>
      <c r="B13" s="53" t="str">
        <f>'Bid Item List A (FAA)'!B25</f>
        <v>Construction Access
(Section 015713)</v>
      </c>
      <c r="C13" s="42">
        <f>'Bid Item List A (FAA)'!C25</f>
        <v>2</v>
      </c>
      <c r="D13" s="44" t="str">
        <f>'Bid Item List A (FAA)'!D25</f>
        <v>Each</v>
      </c>
      <c r="E13" s="17">
        <v>10000</v>
      </c>
      <c r="F13" s="18">
        <f t="shared" si="6"/>
        <v>20000</v>
      </c>
      <c r="G13" s="17">
        <v>3500</v>
      </c>
      <c r="H13" s="18">
        <f t="shared" ref="H13:H19" si="7">C13*G13</f>
        <v>7000</v>
      </c>
      <c r="I13" s="17">
        <v>2500</v>
      </c>
      <c r="J13" s="18">
        <f t="shared" ref="J13:J19" si="8">C13*I13</f>
        <v>5000</v>
      </c>
      <c r="K13" s="17">
        <v>1330</v>
      </c>
      <c r="L13" s="18">
        <f t="shared" ref="L13:L19" si="9">C13*K13</f>
        <v>2660</v>
      </c>
      <c r="M13" s="17">
        <v>5000</v>
      </c>
      <c r="N13" s="18">
        <f t="shared" ref="N13:N19" si="10">C13*M13</f>
        <v>10000</v>
      </c>
      <c r="O13" s="17">
        <v>7000</v>
      </c>
      <c r="P13" s="18">
        <f t="shared" ref="P13:P19" si="11">C13*O13</f>
        <v>14000</v>
      </c>
      <c r="Q13" s="62">
        <v>2500</v>
      </c>
      <c r="R13" s="63">
        <f t="shared" si="5"/>
        <v>5000</v>
      </c>
    </row>
    <row r="14" spans="1:18" ht="33" customHeight="1" x14ac:dyDescent="0.25">
      <c r="A14" s="44" t="str">
        <f>'Bid Item List A (FAA)'!A26</f>
        <v>0007</v>
      </c>
      <c r="B14" s="53" t="str">
        <f>'Bid Item List A (FAA)'!B26</f>
        <v>Jet Blast Control Material
(Section 015713)</v>
      </c>
      <c r="C14" s="42">
        <f>'Bid Item List A (FAA)'!C26</f>
        <v>2.5</v>
      </c>
      <c r="D14" s="44" t="str">
        <f>'Bid Item List A (FAA)'!D26</f>
        <v>Acre</v>
      </c>
      <c r="E14" s="17">
        <v>5150</v>
      </c>
      <c r="F14" s="18">
        <f t="shared" si="6"/>
        <v>12875</v>
      </c>
      <c r="G14" s="17">
        <v>3500</v>
      </c>
      <c r="H14" s="18">
        <f t="shared" si="7"/>
        <v>8750</v>
      </c>
      <c r="I14" s="17">
        <v>3050</v>
      </c>
      <c r="J14" s="18">
        <f t="shared" si="8"/>
        <v>7625</v>
      </c>
      <c r="K14" s="17">
        <v>3200</v>
      </c>
      <c r="L14" s="18">
        <f t="shared" si="9"/>
        <v>8000</v>
      </c>
      <c r="M14" s="17">
        <v>3300</v>
      </c>
      <c r="N14" s="18">
        <f t="shared" si="10"/>
        <v>8250</v>
      </c>
      <c r="O14" s="17">
        <v>4000</v>
      </c>
      <c r="P14" s="18">
        <f t="shared" si="11"/>
        <v>10000</v>
      </c>
      <c r="Q14" s="62">
        <v>3600</v>
      </c>
      <c r="R14" s="63">
        <f t="shared" si="5"/>
        <v>9000</v>
      </c>
    </row>
    <row r="15" spans="1:18" ht="33" customHeight="1" x14ac:dyDescent="0.25">
      <c r="A15" s="44" t="str">
        <f>'Bid Item List A (FAA)'!A27</f>
        <v>0008</v>
      </c>
      <c r="B15" s="53" t="str">
        <f>'Bid Item List A (FAA)'!B27</f>
        <v>Inlet Protection
(Section 015713)</v>
      </c>
      <c r="C15" s="42">
        <f>'Bid Item List A (FAA)'!C27</f>
        <v>85</v>
      </c>
      <c r="D15" s="44" t="str">
        <f>'Bid Item List A (FAA)'!D27</f>
        <v>Each</v>
      </c>
      <c r="E15" s="17">
        <v>150</v>
      </c>
      <c r="F15" s="18">
        <f t="shared" si="6"/>
        <v>12750</v>
      </c>
      <c r="G15" s="17">
        <v>85</v>
      </c>
      <c r="H15" s="18">
        <f t="shared" si="7"/>
        <v>7225</v>
      </c>
      <c r="I15" s="17">
        <v>65</v>
      </c>
      <c r="J15" s="18">
        <f t="shared" si="8"/>
        <v>5525</v>
      </c>
      <c r="K15" s="17">
        <v>103</v>
      </c>
      <c r="L15" s="18">
        <f t="shared" si="9"/>
        <v>8755</v>
      </c>
      <c r="M15" s="17">
        <v>70</v>
      </c>
      <c r="N15" s="18">
        <f t="shared" si="10"/>
        <v>5950</v>
      </c>
      <c r="O15" s="17">
        <v>125</v>
      </c>
      <c r="P15" s="18">
        <f t="shared" si="11"/>
        <v>10625</v>
      </c>
      <c r="Q15" s="62">
        <v>80</v>
      </c>
      <c r="R15" s="63">
        <f t="shared" si="5"/>
        <v>6800</v>
      </c>
    </row>
    <row r="16" spans="1:18" ht="33" customHeight="1" x14ac:dyDescent="0.25">
      <c r="A16" s="44" t="str">
        <f>'Bid Item List A (FAA)'!$A28</f>
        <v>0009</v>
      </c>
      <c r="B16" s="53" t="str">
        <f>'Bid Item List A (FAA)'!B28</f>
        <v>Ditch Protection/Check Dams
(Section 015713)</v>
      </c>
      <c r="C16" s="42">
        <f>'Bid Item List A (FAA)'!C28</f>
        <v>12</v>
      </c>
      <c r="D16" s="44" t="str">
        <f>'Bid Item List A (FAA)'!D28</f>
        <v>Each</v>
      </c>
      <c r="E16" s="17">
        <v>500</v>
      </c>
      <c r="F16" s="18">
        <f t="shared" si="6"/>
        <v>6000</v>
      </c>
      <c r="G16" s="17">
        <v>100</v>
      </c>
      <c r="H16" s="18">
        <f t="shared" si="7"/>
        <v>1200</v>
      </c>
      <c r="I16" s="17">
        <v>70</v>
      </c>
      <c r="J16" s="18">
        <f t="shared" si="8"/>
        <v>840</v>
      </c>
      <c r="K16" s="17">
        <v>165</v>
      </c>
      <c r="L16" s="18">
        <f t="shared" si="9"/>
        <v>1980</v>
      </c>
      <c r="M16" s="17">
        <v>130</v>
      </c>
      <c r="N16" s="18">
        <f t="shared" si="10"/>
        <v>1560</v>
      </c>
      <c r="O16" s="17">
        <v>150</v>
      </c>
      <c r="P16" s="18">
        <f t="shared" si="11"/>
        <v>1800</v>
      </c>
      <c r="Q16" s="62">
        <v>175</v>
      </c>
      <c r="R16" s="63">
        <f t="shared" si="5"/>
        <v>2100</v>
      </c>
    </row>
    <row r="17" spans="1:18" ht="33" customHeight="1" x14ac:dyDescent="0.25">
      <c r="A17" s="44" t="str">
        <f>'Bid Item List A (FAA)'!A29</f>
        <v>0010</v>
      </c>
      <c r="B17" s="53" t="str">
        <f>'Bid Item List A (FAA)'!B29</f>
        <v>Wattles
(Section 015713)</v>
      </c>
      <c r="C17" s="42">
        <f>'Bid Item List A (FAA)'!C29</f>
        <v>1000</v>
      </c>
      <c r="D17" s="44" t="str">
        <f>'Bid Item List A (FAA)'!D29</f>
        <v>LF</v>
      </c>
      <c r="E17" s="17">
        <v>5</v>
      </c>
      <c r="F17" s="18">
        <f t="shared" ref="F17:F80" si="12">C17*E17</f>
        <v>5000</v>
      </c>
      <c r="G17" s="17">
        <v>3</v>
      </c>
      <c r="H17" s="18">
        <f t="shared" si="7"/>
        <v>3000</v>
      </c>
      <c r="I17" s="17">
        <v>2.75</v>
      </c>
      <c r="J17" s="18">
        <f t="shared" si="8"/>
        <v>2750</v>
      </c>
      <c r="K17" s="17">
        <v>2.85</v>
      </c>
      <c r="L17" s="18">
        <f t="shared" si="9"/>
        <v>2850</v>
      </c>
      <c r="M17" s="17">
        <v>4</v>
      </c>
      <c r="N17" s="18">
        <f t="shared" si="10"/>
        <v>4000</v>
      </c>
      <c r="O17" s="17">
        <v>4</v>
      </c>
      <c r="P17" s="18">
        <f t="shared" si="11"/>
        <v>4000</v>
      </c>
      <c r="Q17" s="62">
        <v>3.5</v>
      </c>
      <c r="R17" s="63">
        <f t="shared" si="5"/>
        <v>3500</v>
      </c>
    </row>
    <row r="18" spans="1:18" ht="33" customHeight="1" x14ac:dyDescent="0.25">
      <c r="A18" s="44" t="str">
        <f>'Bid Item List A (FAA)'!A30</f>
        <v>0011</v>
      </c>
      <c r="B18" s="53" t="str">
        <f>'Bid Item List A (FAA)'!B30</f>
        <v>Construction Survey
(Item GP-50)</v>
      </c>
      <c r="C18" s="42">
        <f>'Bid Item List A (FAA)'!C30</f>
        <v>1</v>
      </c>
      <c r="D18" s="44" t="str">
        <f>'Bid Item List A (FAA)'!D30</f>
        <v>LS</v>
      </c>
      <c r="E18" s="17">
        <v>400000</v>
      </c>
      <c r="F18" s="18">
        <f t="shared" si="12"/>
        <v>400000</v>
      </c>
      <c r="G18" s="17">
        <v>240000</v>
      </c>
      <c r="H18" s="18">
        <f t="shared" si="7"/>
        <v>240000</v>
      </c>
      <c r="I18" s="17">
        <v>200000</v>
      </c>
      <c r="J18" s="18">
        <f t="shared" si="8"/>
        <v>200000</v>
      </c>
      <c r="K18" s="17">
        <v>447000</v>
      </c>
      <c r="L18" s="18">
        <f t="shared" si="9"/>
        <v>447000</v>
      </c>
      <c r="M18" s="17">
        <v>400000.47</v>
      </c>
      <c r="N18" s="18">
        <f t="shared" si="10"/>
        <v>400000.47</v>
      </c>
      <c r="O18" s="17">
        <v>250000</v>
      </c>
      <c r="P18" s="18">
        <f t="shared" si="11"/>
        <v>250000</v>
      </c>
      <c r="Q18" s="62">
        <v>115000</v>
      </c>
      <c r="R18" s="63">
        <f t="shared" si="5"/>
        <v>115000</v>
      </c>
    </row>
    <row r="19" spans="1:18" ht="33" customHeight="1" x14ac:dyDescent="0.25">
      <c r="A19" s="44" t="str">
        <f>'Bid Item List A (FAA)'!A31</f>
        <v>0012</v>
      </c>
      <c r="B19" s="53" t="str">
        <f>'Bid Item List A (FAA)'!B31</f>
        <v>PCC Pavement Removal - 3" Depth
(Item P-101)</v>
      </c>
      <c r="C19" s="42">
        <f>'Bid Item List A (FAA)'!C31</f>
        <v>375</v>
      </c>
      <c r="D19" s="44" t="str">
        <f>'Bid Item List A (FAA)'!D31</f>
        <v>SY</v>
      </c>
      <c r="E19" s="17">
        <v>20</v>
      </c>
      <c r="F19" s="18">
        <f t="shared" si="12"/>
        <v>7500</v>
      </c>
      <c r="G19" s="17">
        <v>11</v>
      </c>
      <c r="H19" s="18">
        <f t="shared" si="7"/>
        <v>4125</v>
      </c>
      <c r="I19" s="17">
        <v>2.75</v>
      </c>
      <c r="J19" s="18">
        <f t="shared" si="8"/>
        <v>1031.25</v>
      </c>
      <c r="K19" s="17">
        <v>6.9</v>
      </c>
      <c r="L19" s="18">
        <f t="shared" si="9"/>
        <v>2587.5</v>
      </c>
      <c r="M19" s="17">
        <v>11</v>
      </c>
      <c r="N19" s="18">
        <f t="shared" si="10"/>
        <v>4125</v>
      </c>
      <c r="O19" s="17">
        <v>30</v>
      </c>
      <c r="P19" s="18">
        <f t="shared" si="11"/>
        <v>11250</v>
      </c>
      <c r="Q19" s="62">
        <v>11.25</v>
      </c>
      <c r="R19" s="63">
        <f t="shared" si="5"/>
        <v>4218.75</v>
      </c>
    </row>
    <row r="20" spans="1:18" ht="33" customHeight="1" x14ac:dyDescent="0.25">
      <c r="A20" s="44" t="str">
        <f>'Bid Item List A (FAA)'!$A32</f>
        <v>0013</v>
      </c>
      <c r="B20" s="53" t="str">
        <f>'Bid Item List A (FAA)'!B32</f>
        <v>PCC Pavement Removal - 6" Depth
(Item P-101)</v>
      </c>
      <c r="C20" s="42">
        <f>'Bid Item List A (FAA)'!C32</f>
        <v>950</v>
      </c>
      <c r="D20" s="44" t="str">
        <f>'Bid Item List A (FAA)'!D32</f>
        <v>SY</v>
      </c>
      <c r="E20" s="17">
        <v>15</v>
      </c>
      <c r="F20" s="18">
        <f t="shared" si="12"/>
        <v>14250</v>
      </c>
      <c r="G20" s="17">
        <v>10</v>
      </c>
      <c r="H20" s="18">
        <f t="shared" ref="H20:H83" si="13">C20*G20</f>
        <v>9500</v>
      </c>
      <c r="I20" s="17">
        <v>6.5</v>
      </c>
      <c r="J20" s="18">
        <f t="shared" ref="J20:J83" si="14">C20*I20</f>
        <v>6175</v>
      </c>
      <c r="K20" s="17">
        <v>11</v>
      </c>
      <c r="L20" s="18">
        <f t="shared" ref="L20:L83" si="15">C20*K20</f>
        <v>10450</v>
      </c>
      <c r="M20" s="17">
        <v>13</v>
      </c>
      <c r="N20" s="18">
        <f t="shared" ref="N20:N83" si="16">C20*M20</f>
        <v>12350</v>
      </c>
      <c r="O20" s="17">
        <v>30</v>
      </c>
      <c r="P20" s="18">
        <f t="shared" ref="P20:P83" si="17">C20*O20</f>
        <v>28500</v>
      </c>
      <c r="Q20" s="62">
        <v>22.5</v>
      </c>
      <c r="R20" s="63">
        <f t="shared" si="5"/>
        <v>21375</v>
      </c>
    </row>
    <row r="21" spans="1:18" ht="33" customHeight="1" x14ac:dyDescent="0.25">
      <c r="A21" s="44" t="str">
        <f>'Bid Item List A (FAA)'!A33</f>
        <v>0014</v>
      </c>
      <c r="B21" s="53" t="str">
        <f>'Bid Item List A (FAA)'!B33</f>
        <v>Asphalt Pavement Removal - 3" Depth
(Item P-101)</v>
      </c>
      <c r="C21" s="42">
        <f>'Bid Item List A (FAA)'!C33</f>
        <v>19700</v>
      </c>
      <c r="D21" s="44" t="str">
        <f>'Bid Item List A (FAA)'!D33</f>
        <v>SY</v>
      </c>
      <c r="E21" s="17">
        <v>4</v>
      </c>
      <c r="F21" s="18">
        <f t="shared" si="12"/>
        <v>78800</v>
      </c>
      <c r="G21" s="17">
        <v>2</v>
      </c>
      <c r="H21" s="18">
        <f t="shared" si="13"/>
        <v>39400</v>
      </c>
      <c r="I21" s="17">
        <v>2.35</v>
      </c>
      <c r="J21" s="18">
        <f t="shared" si="14"/>
        <v>46295</v>
      </c>
      <c r="K21" s="17">
        <v>2</v>
      </c>
      <c r="L21" s="18">
        <f t="shared" si="15"/>
        <v>39400</v>
      </c>
      <c r="M21" s="17">
        <v>3</v>
      </c>
      <c r="N21" s="18">
        <f t="shared" si="16"/>
        <v>59100</v>
      </c>
      <c r="O21" s="17">
        <v>3</v>
      </c>
      <c r="P21" s="18">
        <f t="shared" si="17"/>
        <v>59100</v>
      </c>
      <c r="Q21" s="62">
        <v>1.7</v>
      </c>
      <c r="R21" s="63">
        <f t="shared" si="5"/>
        <v>33490</v>
      </c>
    </row>
    <row r="22" spans="1:18" ht="33" customHeight="1" x14ac:dyDescent="0.25">
      <c r="A22" s="44" t="str">
        <f>'Bid Item List A (FAA)'!A34</f>
        <v>0015</v>
      </c>
      <c r="B22" s="53" t="str">
        <f>'Bid Item List A (FAA)'!B34</f>
        <v>Asphalt Pavement Removal - 5" Depth
(Item P-101)</v>
      </c>
      <c r="C22" s="42">
        <f>'Bid Item List A (FAA)'!C34</f>
        <v>2100</v>
      </c>
      <c r="D22" s="44" t="str">
        <f>'Bid Item List A (FAA)'!D34</f>
        <v>SY</v>
      </c>
      <c r="E22" s="17">
        <v>5</v>
      </c>
      <c r="F22" s="18">
        <f t="shared" si="12"/>
        <v>10500</v>
      </c>
      <c r="G22" s="17">
        <v>3.5</v>
      </c>
      <c r="H22" s="18">
        <f t="shared" si="13"/>
        <v>7350</v>
      </c>
      <c r="I22" s="17">
        <v>4</v>
      </c>
      <c r="J22" s="18">
        <f t="shared" si="14"/>
        <v>8400</v>
      </c>
      <c r="K22" s="17">
        <v>4.75</v>
      </c>
      <c r="L22" s="18">
        <f t="shared" si="15"/>
        <v>9975</v>
      </c>
      <c r="M22" s="17">
        <v>6.5</v>
      </c>
      <c r="N22" s="18">
        <f t="shared" si="16"/>
        <v>13650</v>
      </c>
      <c r="O22" s="17">
        <v>4</v>
      </c>
      <c r="P22" s="18">
        <f t="shared" si="17"/>
        <v>8400</v>
      </c>
      <c r="Q22" s="62">
        <v>2.8</v>
      </c>
      <c r="R22" s="63">
        <f t="shared" si="5"/>
        <v>5880</v>
      </c>
    </row>
    <row r="23" spans="1:18" ht="33" customHeight="1" x14ac:dyDescent="0.25">
      <c r="A23" s="44" t="str">
        <f>'Bid Item List A (FAA)'!A35</f>
        <v>0016</v>
      </c>
      <c r="B23" s="53" t="str">
        <f>'Bid Item List A (FAA)'!B35</f>
        <v>Asphalt Pavement Removal - 7.5" Depth
(Item P-101)</v>
      </c>
      <c r="C23" s="42">
        <f>'Bid Item List A (FAA)'!C35</f>
        <v>2600</v>
      </c>
      <c r="D23" s="44" t="str">
        <f>'Bid Item List A (FAA)'!D35</f>
        <v>SY</v>
      </c>
      <c r="E23" s="17">
        <v>7</v>
      </c>
      <c r="F23" s="18">
        <f t="shared" si="12"/>
        <v>18200</v>
      </c>
      <c r="G23" s="17">
        <v>4.8499999999999996</v>
      </c>
      <c r="H23" s="18">
        <f t="shared" si="13"/>
        <v>12609.999999999998</v>
      </c>
      <c r="I23" s="17">
        <v>6.15</v>
      </c>
      <c r="J23" s="18">
        <f t="shared" si="14"/>
        <v>15990.000000000002</v>
      </c>
      <c r="K23" s="17">
        <v>2.9</v>
      </c>
      <c r="L23" s="18">
        <f t="shared" si="15"/>
        <v>7540</v>
      </c>
      <c r="M23" s="17">
        <v>7</v>
      </c>
      <c r="N23" s="18">
        <f t="shared" si="16"/>
        <v>18200</v>
      </c>
      <c r="O23" s="17">
        <v>6</v>
      </c>
      <c r="P23" s="18">
        <f t="shared" si="17"/>
        <v>15600</v>
      </c>
      <c r="Q23" s="62">
        <v>4.2</v>
      </c>
      <c r="R23" s="63">
        <f t="shared" si="5"/>
        <v>10920</v>
      </c>
    </row>
    <row r="24" spans="1:18" ht="33" customHeight="1" x14ac:dyDescent="0.25">
      <c r="A24" s="44" t="str">
        <f>'Bid Item List A (FAA)'!$A36</f>
        <v>0017</v>
      </c>
      <c r="B24" s="53" t="str">
        <f>'Bid Item List A (FAA)'!B36</f>
        <v>Asphalt Pavement Removal - 12" Depth
(Item P-101)</v>
      </c>
      <c r="C24" s="42">
        <f>'Bid Item List A (FAA)'!C36</f>
        <v>8700</v>
      </c>
      <c r="D24" s="44" t="str">
        <f>'Bid Item List A (FAA)'!D36</f>
        <v>SY</v>
      </c>
      <c r="E24" s="17">
        <v>10</v>
      </c>
      <c r="F24" s="18">
        <f t="shared" si="12"/>
        <v>87000</v>
      </c>
      <c r="G24" s="17">
        <v>9.5</v>
      </c>
      <c r="H24" s="18">
        <f t="shared" si="13"/>
        <v>82650</v>
      </c>
      <c r="I24" s="17">
        <v>9.5</v>
      </c>
      <c r="J24" s="18">
        <f t="shared" si="14"/>
        <v>82650</v>
      </c>
      <c r="K24" s="17">
        <v>7</v>
      </c>
      <c r="L24" s="18">
        <f t="shared" si="15"/>
        <v>60900</v>
      </c>
      <c r="M24" s="17">
        <v>8</v>
      </c>
      <c r="N24" s="18">
        <f t="shared" si="16"/>
        <v>69600</v>
      </c>
      <c r="O24" s="17">
        <v>8</v>
      </c>
      <c r="P24" s="18">
        <f t="shared" si="17"/>
        <v>69600</v>
      </c>
      <c r="Q24" s="62">
        <v>6.7</v>
      </c>
      <c r="R24" s="63">
        <f t="shared" si="5"/>
        <v>58290</v>
      </c>
    </row>
    <row r="25" spans="1:18" ht="33" customHeight="1" x14ac:dyDescent="0.25">
      <c r="A25" s="44" t="str">
        <f>'Bid Item List A (FAA)'!$A37</f>
        <v>0018</v>
      </c>
      <c r="B25" s="53" t="str">
        <f>'Bid Item List A (FAA)'!B37</f>
        <v>Asphalt Pavement Removal - 14" Depth
(Item P-101)</v>
      </c>
      <c r="C25" s="42">
        <f>'Bid Item List A (FAA)'!C37</f>
        <v>950</v>
      </c>
      <c r="D25" s="44" t="str">
        <f>'Bid Item List A (FAA)'!D37</f>
        <v>SY</v>
      </c>
      <c r="E25" s="17">
        <v>11</v>
      </c>
      <c r="F25" s="18">
        <f t="shared" si="12"/>
        <v>10450</v>
      </c>
      <c r="G25" s="17">
        <v>12.5</v>
      </c>
      <c r="H25" s="18">
        <f t="shared" si="13"/>
        <v>11875</v>
      </c>
      <c r="I25" s="17">
        <v>11</v>
      </c>
      <c r="J25" s="18">
        <f t="shared" si="14"/>
        <v>10450</v>
      </c>
      <c r="K25" s="17">
        <v>8.1</v>
      </c>
      <c r="L25" s="18">
        <f t="shared" si="15"/>
        <v>7695</v>
      </c>
      <c r="M25" s="17">
        <v>16</v>
      </c>
      <c r="N25" s="18">
        <f t="shared" si="16"/>
        <v>15200</v>
      </c>
      <c r="O25" s="17">
        <v>10</v>
      </c>
      <c r="P25" s="18">
        <f t="shared" si="17"/>
        <v>9500</v>
      </c>
      <c r="Q25" s="62">
        <v>7.8</v>
      </c>
      <c r="R25" s="63">
        <f t="shared" si="5"/>
        <v>7410</v>
      </c>
    </row>
    <row r="26" spans="1:18" ht="33" customHeight="1" x14ac:dyDescent="0.25">
      <c r="A26" s="44" t="str">
        <f>'Bid Item List A (FAA)'!A38</f>
        <v>0019</v>
      </c>
      <c r="B26" s="53" t="str">
        <f>'Bid Item List A (FAA)'!B38</f>
        <v>Asphalt Pavement Removal - 16" Depth
(Item P-101)</v>
      </c>
      <c r="C26" s="42">
        <f>'Bid Item List A (FAA)'!C38</f>
        <v>15200</v>
      </c>
      <c r="D26" s="44" t="str">
        <f>'Bid Item List A (FAA)'!D38</f>
        <v>SY</v>
      </c>
      <c r="E26" s="17">
        <v>13</v>
      </c>
      <c r="F26" s="18">
        <f t="shared" si="12"/>
        <v>197600</v>
      </c>
      <c r="G26" s="17">
        <v>10.75</v>
      </c>
      <c r="H26" s="18">
        <f t="shared" si="13"/>
        <v>163400</v>
      </c>
      <c r="I26" s="17">
        <v>12.5</v>
      </c>
      <c r="J26" s="18">
        <f t="shared" si="14"/>
        <v>190000</v>
      </c>
      <c r="K26" s="17">
        <v>9.3000000000000007</v>
      </c>
      <c r="L26" s="18">
        <f t="shared" si="15"/>
        <v>141360</v>
      </c>
      <c r="M26" s="17">
        <v>13</v>
      </c>
      <c r="N26" s="18">
        <f t="shared" si="16"/>
        <v>197600</v>
      </c>
      <c r="O26" s="17">
        <v>11</v>
      </c>
      <c r="P26" s="18">
        <f t="shared" si="17"/>
        <v>167200</v>
      </c>
      <c r="Q26" s="62">
        <v>8.9</v>
      </c>
      <c r="R26" s="63">
        <f t="shared" si="5"/>
        <v>135280</v>
      </c>
    </row>
    <row r="27" spans="1:18" ht="33" customHeight="1" x14ac:dyDescent="0.25">
      <c r="A27" s="44" t="str">
        <f>'Bid Item List A (FAA)'!A39</f>
        <v>0020</v>
      </c>
      <c r="B27" s="53" t="str">
        <f>'Bid Item List A (FAA)'!B39</f>
        <v>Asphalt Pavement Removal - 20" Depth
(Item P-101)</v>
      </c>
      <c r="C27" s="42">
        <f>'Bid Item List A (FAA)'!C39</f>
        <v>23600</v>
      </c>
      <c r="D27" s="44" t="str">
        <f>'Bid Item List A (FAA)'!D39</f>
        <v>SY</v>
      </c>
      <c r="E27" s="17">
        <v>14</v>
      </c>
      <c r="F27" s="18">
        <f t="shared" si="12"/>
        <v>330400</v>
      </c>
      <c r="G27" s="17">
        <v>12.5</v>
      </c>
      <c r="H27" s="18">
        <f t="shared" si="13"/>
        <v>295000</v>
      </c>
      <c r="I27" s="17">
        <v>15.5</v>
      </c>
      <c r="J27" s="18">
        <f t="shared" si="14"/>
        <v>365800</v>
      </c>
      <c r="K27" s="17">
        <v>10</v>
      </c>
      <c r="L27" s="18">
        <f t="shared" si="15"/>
        <v>236000</v>
      </c>
      <c r="M27" s="17">
        <v>16</v>
      </c>
      <c r="N27" s="18">
        <f t="shared" si="16"/>
        <v>377600</v>
      </c>
      <c r="O27" s="17">
        <v>12</v>
      </c>
      <c r="P27" s="18">
        <f t="shared" si="17"/>
        <v>283200</v>
      </c>
      <c r="Q27" s="62">
        <v>11.15</v>
      </c>
      <c r="R27" s="63">
        <f t="shared" si="5"/>
        <v>263140</v>
      </c>
    </row>
    <row r="28" spans="1:18" ht="33" customHeight="1" x14ac:dyDescent="0.25">
      <c r="A28" s="44" t="str">
        <f>'Bid Item List A (FAA)'!A40</f>
        <v>0021</v>
      </c>
      <c r="B28" s="53" t="str">
        <f>'Bid Item List A (FAA)'!B40</f>
        <v>Asphalt Pavement Removal - 22" Depth
(Item P-101)</v>
      </c>
      <c r="C28" s="42">
        <f>'Bid Item List A (FAA)'!C40</f>
        <v>6100</v>
      </c>
      <c r="D28" s="44" t="str">
        <f>'Bid Item List A (FAA)'!D40</f>
        <v>SY</v>
      </c>
      <c r="E28" s="17">
        <v>20</v>
      </c>
      <c r="F28" s="18">
        <f t="shared" si="12"/>
        <v>122000</v>
      </c>
      <c r="G28" s="17">
        <v>13</v>
      </c>
      <c r="H28" s="18">
        <f t="shared" si="13"/>
        <v>79300</v>
      </c>
      <c r="I28" s="17">
        <v>17.25</v>
      </c>
      <c r="J28" s="18">
        <f t="shared" si="14"/>
        <v>105225</v>
      </c>
      <c r="K28" s="17">
        <v>12.8</v>
      </c>
      <c r="L28" s="18">
        <f t="shared" si="15"/>
        <v>78080</v>
      </c>
      <c r="M28" s="17">
        <v>16</v>
      </c>
      <c r="N28" s="18">
        <f t="shared" si="16"/>
        <v>97600</v>
      </c>
      <c r="O28" s="17">
        <v>13</v>
      </c>
      <c r="P28" s="18">
        <f t="shared" si="17"/>
        <v>79300</v>
      </c>
      <c r="Q28" s="62">
        <v>12.25</v>
      </c>
      <c r="R28" s="63">
        <f t="shared" si="5"/>
        <v>74725</v>
      </c>
    </row>
    <row r="29" spans="1:18" ht="33" customHeight="1" x14ac:dyDescent="0.25">
      <c r="A29" s="44" t="str">
        <f>'Bid Item List A (FAA)'!$A41</f>
        <v>0022</v>
      </c>
      <c r="B29" s="53" t="str">
        <f>'Bid Item List A (FAA)'!B41</f>
        <v>Asphalt Pavement Removal - 12" Depth Asphalt Grindings
(Item P-101)</v>
      </c>
      <c r="C29" s="42">
        <f>'Bid Item List A (FAA)'!C41</f>
        <v>375</v>
      </c>
      <c r="D29" s="44" t="str">
        <f>'Bid Item List A (FAA)'!D41</f>
        <v>SY</v>
      </c>
      <c r="E29" s="17">
        <v>25</v>
      </c>
      <c r="F29" s="18">
        <f t="shared" si="12"/>
        <v>9375</v>
      </c>
      <c r="G29" s="17">
        <v>11</v>
      </c>
      <c r="H29" s="18">
        <f t="shared" si="13"/>
        <v>4125</v>
      </c>
      <c r="I29" s="17">
        <v>6.5</v>
      </c>
      <c r="J29" s="18">
        <f t="shared" si="14"/>
        <v>2437.5</v>
      </c>
      <c r="K29" s="17">
        <v>6.2</v>
      </c>
      <c r="L29" s="18">
        <f t="shared" si="15"/>
        <v>2325</v>
      </c>
      <c r="M29" s="17">
        <v>5</v>
      </c>
      <c r="N29" s="18">
        <f t="shared" si="16"/>
        <v>1875</v>
      </c>
      <c r="O29" s="17">
        <v>6</v>
      </c>
      <c r="P29" s="18">
        <f t="shared" si="17"/>
        <v>2250</v>
      </c>
      <c r="Q29" s="62">
        <v>6.5</v>
      </c>
      <c r="R29" s="63">
        <f t="shared" si="5"/>
        <v>2437.5</v>
      </c>
    </row>
    <row r="30" spans="1:18" ht="33" customHeight="1" x14ac:dyDescent="0.25">
      <c r="A30" s="44" t="str">
        <f>'Bid Item List A (FAA)'!A42</f>
        <v>0023</v>
      </c>
      <c r="B30" s="53" t="str">
        <f>'Bid Item List A (FAA)'!B42</f>
        <v>Joint and Crack Repair
(Item P-101)</v>
      </c>
      <c r="C30" s="42">
        <f>'Bid Item List A (FAA)'!C42</f>
        <v>1500</v>
      </c>
      <c r="D30" s="44" t="str">
        <f>'Bid Item List A (FAA)'!D42</f>
        <v>LF</v>
      </c>
      <c r="E30" s="17">
        <v>12</v>
      </c>
      <c r="F30" s="18">
        <f t="shared" si="12"/>
        <v>18000</v>
      </c>
      <c r="G30" s="17">
        <v>4.5</v>
      </c>
      <c r="H30" s="18">
        <f t="shared" si="13"/>
        <v>6750</v>
      </c>
      <c r="I30" s="17">
        <v>4</v>
      </c>
      <c r="J30" s="18">
        <f t="shared" si="14"/>
        <v>6000</v>
      </c>
      <c r="K30" s="17">
        <v>5.0999999999999996</v>
      </c>
      <c r="L30" s="18">
        <f t="shared" si="15"/>
        <v>7649.9999999999991</v>
      </c>
      <c r="M30" s="17">
        <v>4</v>
      </c>
      <c r="N30" s="18">
        <f t="shared" si="16"/>
        <v>6000</v>
      </c>
      <c r="O30" s="17">
        <v>5</v>
      </c>
      <c r="P30" s="18">
        <f t="shared" si="17"/>
        <v>7500</v>
      </c>
      <c r="Q30" s="62">
        <v>5</v>
      </c>
      <c r="R30" s="63">
        <f t="shared" si="5"/>
        <v>7500</v>
      </c>
    </row>
    <row r="31" spans="1:18" ht="33" customHeight="1" x14ac:dyDescent="0.25">
      <c r="A31" s="44" t="str">
        <f>'Bid Item List A (FAA)'!A43</f>
        <v>0024</v>
      </c>
      <c r="B31" s="53" t="str">
        <f>'Bid Item List A (FAA)'!B43</f>
        <v>Cold Milling - 4 Inch Maximum Depth
(Item P-101)</v>
      </c>
      <c r="C31" s="42">
        <f>'Bid Item List A (FAA)'!C43</f>
        <v>5500</v>
      </c>
      <c r="D31" s="44" t="str">
        <f>'Bid Item List A (FAA)'!D43</f>
        <v>SY</v>
      </c>
      <c r="E31" s="17">
        <v>5</v>
      </c>
      <c r="F31" s="18">
        <f t="shared" si="12"/>
        <v>27500</v>
      </c>
      <c r="G31" s="17">
        <v>4.3499999999999996</v>
      </c>
      <c r="H31" s="18">
        <f t="shared" si="13"/>
        <v>23924.999999999996</v>
      </c>
      <c r="I31" s="17">
        <v>3.75</v>
      </c>
      <c r="J31" s="18">
        <f t="shared" si="14"/>
        <v>20625</v>
      </c>
      <c r="K31" s="17">
        <v>4.7</v>
      </c>
      <c r="L31" s="18">
        <f t="shared" si="15"/>
        <v>25850</v>
      </c>
      <c r="M31" s="17">
        <v>5.5</v>
      </c>
      <c r="N31" s="18">
        <f t="shared" si="16"/>
        <v>30250</v>
      </c>
      <c r="O31" s="17">
        <v>7</v>
      </c>
      <c r="P31" s="18">
        <f t="shared" si="17"/>
        <v>38500</v>
      </c>
      <c r="Q31" s="62">
        <v>5.5</v>
      </c>
      <c r="R31" s="63">
        <f t="shared" si="5"/>
        <v>30250</v>
      </c>
    </row>
    <row r="32" spans="1:18" ht="33" customHeight="1" x14ac:dyDescent="0.25">
      <c r="A32" s="44" t="str">
        <f>'Bid Item List A (FAA)'!A44</f>
        <v>0025</v>
      </c>
      <c r="B32" s="53" t="str">
        <f>'Bid Item List A (FAA)'!B44</f>
        <v>Unclassified Excavation
(P-152)</v>
      </c>
      <c r="C32" s="42">
        <f>'Bid Item List A (FAA)'!C44</f>
        <v>37500</v>
      </c>
      <c r="D32" s="44" t="str">
        <f>'Bid Item List A (FAA)'!D44</f>
        <v>CY</v>
      </c>
      <c r="E32" s="17">
        <v>41</v>
      </c>
      <c r="F32" s="18">
        <f t="shared" si="12"/>
        <v>1537500</v>
      </c>
      <c r="G32" s="17">
        <v>17</v>
      </c>
      <c r="H32" s="18">
        <f t="shared" si="13"/>
        <v>637500</v>
      </c>
      <c r="I32" s="17">
        <v>17.5</v>
      </c>
      <c r="J32" s="18">
        <f t="shared" si="14"/>
        <v>656250</v>
      </c>
      <c r="K32" s="17">
        <v>31</v>
      </c>
      <c r="L32" s="18">
        <f t="shared" si="15"/>
        <v>1162500</v>
      </c>
      <c r="M32" s="17">
        <v>20</v>
      </c>
      <c r="N32" s="18">
        <f t="shared" si="16"/>
        <v>750000</v>
      </c>
      <c r="O32" s="17">
        <v>10</v>
      </c>
      <c r="P32" s="18">
        <f t="shared" si="17"/>
        <v>375000</v>
      </c>
      <c r="Q32" s="62">
        <v>15</v>
      </c>
      <c r="R32" s="63">
        <f t="shared" si="5"/>
        <v>562500</v>
      </c>
    </row>
    <row r="33" spans="1:18" ht="33" customHeight="1" x14ac:dyDescent="0.25">
      <c r="A33" s="44" t="str">
        <f>'Bid Item List A (FAA)'!$A45</f>
        <v>0026</v>
      </c>
      <c r="B33" s="53" t="str">
        <f>'Bid Item List A (FAA)'!B45</f>
        <v>Unsuitable Excavation
(Item P-152)</v>
      </c>
      <c r="C33" s="42">
        <f>'Bid Item List A (FAA)'!C45</f>
        <v>1000</v>
      </c>
      <c r="D33" s="44" t="str">
        <f>'Bid Item List A (FAA)'!D45</f>
        <v>CY</v>
      </c>
      <c r="E33" s="17">
        <v>90</v>
      </c>
      <c r="F33" s="18">
        <f t="shared" si="12"/>
        <v>90000</v>
      </c>
      <c r="G33" s="17">
        <v>57</v>
      </c>
      <c r="H33" s="18">
        <f t="shared" si="13"/>
        <v>57000</v>
      </c>
      <c r="I33" s="17">
        <v>58</v>
      </c>
      <c r="J33" s="18">
        <f t="shared" si="14"/>
        <v>58000</v>
      </c>
      <c r="K33" s="17">
        <v>38</v>
      </c>
      <c r="L33" s="18">
        <f t="shared" si="15"/>
        <v>38000</v>
      </c>
      <c r="M33" s="17">
        <v>22</v>
      </c>
      <c r="N33" s="18">
        <f t="shared" si="16"/>
        <v>22000</v>
      </c>
      <c r="O33" s="17">
        <v>60</v>
      </c>
      <c r="P33" s="18">
        <f t="shared" si="17"/>
        <v>60000</v>
      </c>
      <c r="Q33" s="62">
        <v>50</v>
      </c>
      <c r="R33" s="63">
        <f t="shared" si="5"/>
        <v>50000</v>
      </c>
    </row>
    <row r="34" spans="1:18" ht="33" customHeight="1" x14ac:dyDescent="0.25">
      <c r="A34" s="44" t="str">
        <f>'Bid Item List A (FAA)'!A46</f>
        <v>0027</v>
      </c>
      <c r="B34" s="53" t="str">
        <f>'Bid Item List A (FAA)'!B46</f>
        <v>Geotextile
(Item P-152)</v>
      </c>
      <c r="C34" s="42">
        <f>'Bid Item List A (FAA)'!C46</f>
        <v>87400</v>
      </c>
      <c r="D34" s="44" t="str">
        <f>'Bid Item List A (FAA)'!D46</f>
        <v>SY</v>
      </c>
      <c r="E34" s="17">
        <v>1.25</v>
      </c>
      <c r="F34" s="18">
        <f t="shared" si="12"/>
        <v>109250</v>
      </c>
      <c r="G34" s="17">
        <v>0.7</v>
      </c>
      <c r="H34" s="18">
        <f t="shared" si="13"/>
        <v>61179.999999999993</v>
      </c>
      <c r="I34" s="17">
        <v>0.8</v>
      </c>
      <c r="J34" s="18">
        <f t="shared" si="14"/>
        <v>69920</v>
      </c>
      <c r="K34" s="17">
        <v>0.8</v>
      </c>
      <c r="L34" s="18">
        <f t="shared" si="15"/>
        <v>69920</v>
      </c>
      <c r="M34" s="17">
        <v>0.8</v>
      </c>
      <c r="N34" s="18">
        <f t="shared" si="16"/>
        <v>69920</v>
      </c>
      <c r="O34" s="17">
        <v>3</v>
      </c>
      <c r="P34" s="18">
        <f t="shared" si="17"/>
        <v>262200</v>
      </c>
      <c r="Q34" s="62">
        <v>1.1000000000000001</v>
      </c>
      <c r="R34" s="63">
        <f t="shared" si="5"/>
        <v>96140.000000000015</v>
      </c>
    </row>
    <row r="35" spans="1:18" ht="33" customHeight="1" x14ac:dyDescent="0.25">
      <c r="A35" s="44" t="str">
        <f>'Bid Item List A (FAA)'!A47</f>
        <v>0028</v>
      </c>
      <c r="B35" s="53" t="str">
        <f>'Bid Item List A (FAA)'!B47</f>
        <v>Controlled Low-Strength Material (CLSM)
(Item P-153)</v>
      </c>
      <c r="C35" s="42">
        <f>'Bid Item List A (FAA)'!C47</f>
        <v>1500</v>
      </c>
      <c r="D35" s="44" t="str">
        <f>'Bid Item List A (FAA)'!D47</f>
        <v>CY</v>
      </c>
      <c r="E35" s="17">
        <v>145</v>
      </c>
      <c r="F35" s="18">
        <f t="shared" si="12"/>
        <v>217500</v>
      </c>
      <c r="G35" s="17">
        <v>115</v>
      </c>
      <c r="H35" s="18">
        <f t="shared" si="13"/>
        <v>172500</v>
      </c>
      <c r="I35" s="17">
        <v>105</v>
      </c>
      <c r="J35" s="18">
        <f t="shared" si="14"/>
        <v>157500</v>
      </c>
      <c r="K35" s="17">
        <v>200</v>
      </c>
      <c r="L35" s="18">
        <f t="shared" si="15"/>
        <v>300000</v>
      </c>
      <c r="M35" s="17">
        <v>120</v>
      </c>
      <c r="N35" s="18">
        <f t="shared" si="16"/>
        <v>180000</v>
      </c>
      <c r="O35" s="17">
        <v>50</v>
      </c>
      <c r="P35" s="18">
        <f t="shared" si="17"/>
        <v>75000</v>
      </c>
      <c r="Q35" s="62">
        <v>100</v>
      </c>
      <c r="R35" s="63">
        <f t="shared" si="5"/>
        <v>150000</v>
      </c>
    </row>
    <row r="36" spans="1:18" ht="33" customHeight="1" x14ac:dyDescent="0.25">
      <c r="A36" s="44" t="str">
        <f>'Bid Item List A (FAA)'!A48</f>
        <v>0029</v>
      </c>
      <c r="B36" s="53" t="str">
        <f>'Bid Item List A (FAA)'!B48</f>
        <v>Subbase Course
(Item P-154)</v>
      </c>
      <c r="C36" s="42">
        <f>'Bid Item List A (FAA)'!C48</f>
        <v>6900</v>
      </c>
      <c r="D36" s="44" t="str">
        <f>'Bid Item List A (FAA)'!D48</f>
        <v>CY</v>
      </c>
      <c r="E36" s="17">
        <v>36</v>
      </c>
      <c r="F36" s="18">
        <f t="shared" si="12"/>
        <v>248400</v>
      </c>
      <c r="G36" s="17">
        <v>35</v>
      </c>
      <c r="H36" s="18">
        <f t="shared" si="13"/>
        <v>241500</v>
      </c>
      <c r="I36" s="17">
        <v>25</v>
      </c>
      <c r="J36" s="18">
        <f t="shared" si="14"/>
        <v>172500</v>
      </c>
      <c r="K36" s="17">
        <v>36</v>
      </c>
      <c r="L36" s="18">
        <f t="shared" si="15"/>
        <v>248400</v>
      </c>
      <c r="M36" s="17">
        <v>20</v>
      </c>
      <c r="N36" s="18">
        <f t="shared" si="16"/>
        <v>138000</v>
      </c>
      <c r="O36" s="17">
        <v>6</v>
      </c>
      <c r="P36" s="18">
        <f t="shared" si="17"/>
        <v>41400</v>
      </c>
      <c r="Q36" s="62">
        <v>18</v>
      </c>
      <c r="R36" s="63">
        <f t="shared" si="5"/>
        <v>124200</v>
      </c>
    </row>
    <row r="37" spans="1:18" ht="33" customHeight="1" x14ac:dyDescent="0.25">
      <c r="A37" s="44" t="str">
        <f>'Bid Item List A (FAA)'!$A49</f>
        <v>0030</v>
      </c>
      <c r="B37" s="53" t="str">
        <f>'Bid Item List A (FAA)'!B49</f>
        <v>Silt Fence
(Item P-156)</v>
      </c>
      <c r="C37" s="42">
        <f>'Bid Item List A (FAA)'!C49</f>
        <v>5100</v>
      </c>
      <c r="D37" s="44" t="str">
        <f>'Bid Item List A (FAA)'!D49</f>
        <v>LF</v>
      </c>
      <c r="E37" s="17">
        <v>3</v>
      </c>
      <c r="F37" s="18">
        <f t="shared" si="12"/>
        <v>15300</v>
      </c>
      <c r="G37" s="17">
        <v>2</v>
      </c>
      <c r="H37" s="18">
        <f t="shared" si="13"/>
        <v>10200</v>
      </c>
      <c r="I37" s="17">
        <v>2</v>
      </c>
      <c r="J37" s="18">
        <f t="shared" si="14"/>
        <v>10200</v>
      </c>
      <c r="K37" s="17">
        <v>2</v>
      </c>
      <c r="L37" s="18">
        <f t="shared" si="15"/>
        <v>10200</v>
      </c>
      <c r="M37" s="17">
        <v>3</v>
      </c>
      <c r="N37" s="18">
        <f t="shared" si="16"/>
        <v>15300</v>
      </c>
      <c r="O37" s="17">
        <v>4</v>
      </c>
      <c r="P37" s="18">
        <f t="shared" si="17"/>
        <v>20400</v>
      </c>
      <c r="Q37" s="62">
        <v>2.5</v>
      </c>
      <c r="R37" s="63">
        <f t="shared" si="5"/>
        <v>12750</v>
      </c>
    </row>
    <row r="38" spans="1:18" ht="33" customHeight="1" x14ac:dyDescent="0.25">
      <c r="A38" s="44" t="str">
        <f>'Bid Item List A (FAA)'!A50</f>
        <v>0031</v>
      </c>
      <c r="B38" s="53" t="str">
        <f>'Bid Item List A (FAA)'!B50</f>
        <v>Crushed Aggregate Base Course
(Item P-209)</v>
      </c>
      <c r="C38" s="42">
        <f>'Bid Item List A (FAA)'!C50</f>
        <v>17800</v>
      </c>
      <c r="D38" s="44" t="str">
        <f>'Bid Item List A (FAA)'!D50</f>
        <v>CY</v>
      </c>
      <c r="E38" s="17">
        <v>55</v>
      </c>
      <c r="F38" s="18">
        <f t="shared" si="12"/>
        <v>979000</v>
      </c>
      <c r="G38" s="17">
        <v>46</v>
      </c>
      <c r="H38" s="18">
        <f t="shared" si="13"/>
        <v>818800</v>
      </c>
      <c r="I38" s="17">
        <v>60</v>
      </c>
      <c r="J38" s="18">
        <f t="shared" si="14"/>
        <v>1068000</v>
      </c>
      <c r="K38" s="17">
        <v>45</v>
      </c>
      <c r="L38" s="18">
        <f t="shared" si="15"/>
        <v>801000</v>
      </c>
      <c r="M38" s="17">
        <v>45</v>
      </c>
      <c r="N38" s="18">
        <f t="shared" si="16"/>
        <v>801000</v>
      </c>
      <c r="O38" s="17">
        <v>48</v>
      </c>
      <c r="P38" s="18">
        <f t="shared" si="17"/>
        <v>854400</v>
      </c>
      <c r="Q38" s="62">
        <v>42.5</v>
      </c>
      <c r="R38" s="63">
        <f t="shared" si="5"/>
        <v>756500</v>
      </c>
    </row>
    <row r="39" spans="1:18" ht="33" customHeight="1" x14ac:dyDescent="0.25">
      <c r="A39" s="44" t="str">
        <f>'Bid Item List A (FAA)'!A51</f>
        <v>0032</v>
      </c>
      <c r="B39" s="53" t="str">
        <f>'Bid Item List A (FAA)'!B51</f>
        <v>Hot Mix Asphalt (HMA) Pavement
(Item P-401)</v>
      </c>
      <c r="C39" s="42">
        <f>'Bid Item List A (FAA)'!C51</f>
        <v>11300</v>
      </c>
      <c r="D39" s="44" t="str">
        <f>'Bid Item List A (FAA)'!D51</f>
        <v>Ton</v>
      </c>
      <c r="E39" s="17">
        <v>85</v>
      </c>
      <c r="F39" s="18">
        <f t="shared" si="12"/>
        <v>960500</v>
      </c>
      <c r="G39" s="17">
        <v>85</v>
      </c>
      <c r="H39" s="18">
        <f t="shared" si="13"/>
        <v>960500</v>
      </c>
      <c r="I39" s="17">
        <v>80</v>
      </c>
      <c r="J39" s="18">
        <f t="shared" si="14"/>
        <v>904000</v>
      </c>
      <c r="K39" s="17">
        <v>82</v>
      </c>
      <c r="L39" s="18">
        <f t="shared" si="15"/>
        <v>926600</v>
      </c>
      <c r="M39" s="17">
        <v>85</v>
      </c>
      <c r="N39" s="18">
        <f t="shared" si="16"/>
        <v>960500</v>
      </c>
      <c r="O39" s="17">
        <v>88</v>
      </c>
      <c r="P39" s="18">
        <f t="shared" si="17"/>
        <v>994400</v>
      </c>
      <c r="Q39" s="62">
        <v>98</v>
      </c>
      <c r="R39" s="63">
        <f t="shared" si="5"/>
        <v>1107400</v>
      </c>
    </row>
    <row r="40" spans="1:18" ht="33" customHeight="1" x14ac:dyDescent="0.25">
      <c r="A40" s="44" t="str">
        <f>'Bid Item List A (FAA)'!A52</f>
        <v>0033</v>
      </c>
      <c r="B40" s="53" t="str">
        <f>'Bid Item List A (FAA)'!B52</f>
        <v>Hot Mix Asphalt (HMA) Pavement Base Course
(Item P-403)</v>
      </c>
      <c r="C40" s="42">
        <f>'Bid Item List A (FAA)'!C52</f>
        <v>22800</v>
      </c>
      <c r="D40" s="44" t="str">
        <f>'Bid Item List A (FAA)'!D52</f>
        <v>Ton</v>
      </c>
      <c r="E40" s="17">
        <v>81</v>
      </c>
      <c r="F40" s="18">
        <f t="shared" si="12"/>
        <v>1846800</v>
      </c>
      <c r="G40" s="17">
        <v>85</v>
      </c>
      <c r="H40" s="18">
        <f t="shared" si="13"/>
        <v>1938000</v>
      </c>
      <c r="I40" s="17">
        <v>80</v>
      </c>
      <c r="J40" s="18">
        <f t="shared" si="14"/>
        <v>1824000</v>
      </c>
      <c r="K40" s="17">
        <v>82</v>
      </c>
      <c r="L40" s="18">
        <f t="shared" si="15"/>
        <v>1869600</v>
      </c>
      <c r="M40" s="17">
        <v>85</v>
      </c>
      <c r="N40" s="18">
        <f t="shared" si="16"/>
        <v>1938000</v>
      </c>
      <c r="O40" s="17">
        <v>85</v>
      </c>
      <c r="P40" s="18">
        <f t="shared" si="17"/>
        <v>1938000</v>
      </c>
      <c r="Q40" s="62">
        <v>90</v>
      </c>
      <c r="R40" s="63">
        <f t="shared" ref="R40:R71" si="18">C40*Q40</f>
        <v>2052000</v>
      </c>
    </row>
    <row r="41" spans="1:18" ht="33" customHeight="1" x14ac:dyDescent="0.25">
      <c r="A41" s="44" t="str">
        <f>'Bid Item List A (FAA)'!$A53</f>
        <v>0034</v>
      </c>
      <c r="B41" s="53" t="str">
        <f>'Bid Item List A (FAA)'!B53</f>
        <v>Portland Cement Concrete (PCC) Pavement
(Item P-501)</v>
      </c>
      <c r="C41" s="42">
        <f>'Bid Item List A (FAA)'!C53</f>
        <v>48500</v>
      </c>
      <c r="D41" s="44" t="str">
        <f>'Bid Item List A (FAA)'!D53</f>
        <v>SY</v>
      </c>
      <c r="E41" s="17">
        <v>110</v>
      </c>
      <c r="F41" s="18">
        <f t="shared" si="12"/>
        <v>5335000</v>
      </c>
      <c r="G41" s="17">
        <v>100</v>
      </c>
      <c r="H41" s="18">
        <f t="shared" si="13"/>
        <v>4850000</v>
      </c>
      <c r="I41" s="17">
        <v>95</v>
      </c>
      <c r="J41" s="18">
        <f t="shared" si="14"/>
        <v>4607500</v>
      </c>
      <c r="K41" s="17">
        <v>100</v>
      </c>
      <c r="L41" s="18">
        <f t="shared" si="15"/>
        <v>4850000</v>
      </c>
      <c r="M41" s="17">
        <v>105</v>
      </c>
      <c r="N41" s="18">
        <f t="shared" si="16"/>
        <v>5092500</v>
      </c>
      <c r="O41" s="17">
        <v>110</v>
      </c>
      <c r="P41" s="18">
        <f t="shared" si="17"/>
        <v>5335000</v>
      </c>
      <c r="Q41" s="62">
        <v>105</v>
      </c>
      <c r="R41" s="63">
        <f t="shared" si="18"/>
        <v>5092500</v>
      </c>
    </row>
    <row r="42" spans="1:18" ht="33" customHeight="1" x14ac:dyDescent="0.25">
      <c r="A42" s="44" t="str">
        <f>'Bid Item List A (FAA)'!$A54</f>
        <v>0035</v>
      </c>
      <c r="B42" s="53" t="str">
        <f>'Bid Item List A (FAA)'!B54</f>
        <v>Bituminous Prime Coat
(Item P-602)</v>
      </c>
      <c r="C42" s="42">
        <f>'Bid Item List A (FAA)'!C54</f>
        <v>2800</v>
      </c>
      <c r="D42" s="44" t="str">
        <f>'Bid Item List A (FAA)'!D54</f>
        <v>Gal</v>
      </c>
      <c r="E42" s="17">
        <v>8</v>
      </c>
      <c r="F42" s="18">
        <f t="shared" si="12"/>
        <v>22400</v>
      </c>
      <c r="G42" s="17">
        <v>6</v>
      </c>
      <c r="H42" s="18">
        <f t="shared" si="13"/>
        <v>16800</v>
      </c>
      <c r="I42" s="17">
        <v>3.5</v>
      </c>
      <c r="J42" s="18">
        <f t="shared" si="14"/>
        <v>9800</v>
      </c>
      <c r="K42" s="17">
        <v>5.0999999999999996</v>
      </c>
      <c r="L42" s="18">
        <f t="shared" si="15"/>
        <v>14279.999999999998</v>
      </c>
      <c r="M42" s="17">
        <v>7.5</v>
      </c>
      <c r="N42" s="18">
        <f t="shared" si="16"/>
        <v>21000</v>
      </c>
      <c r="O42" s="17">
        <v>7.5</v>
      </c>
      <c r="P42" s="18">
        <f t="shared" si="17"/>
        <v>21000</v>
      </c>
      <c r="Q42" s="62">
        <v>22.5</v>
      </c>
      <c r="R42" s="63">
        <f t="shared" si="18"/>
        <v>63000</v>
      </c>
    </row>
    <row r="43" spans="1:18" ht="33" customHeight="1" x14ac:dyDescent="0.25">
      <c r="A43" s="44" t="str">
        <f>'Bid Item List A (FAA)'!A55</f>
        <v>0036</v>
      </c>
      <c r="B43" s="53" t="str">
        <f>'Bid Item List A (FAA)'!B55</f>
        <v>Bituminous Tack Coat
(Item P-603)</v>
      </c>
      <c r="C43" s="42">
        <f>'Bid Item List A (FAA)'!C55</f>
        <v>600</v>
      </c>
      <c r="D43" s="44" t="str">
        <f>'Bid Item List A (FAA)'!D55</f>
        <v>Gal</v>
      </c>
      <c r="E43" s="17">
        <v>8</v>
      </c>
      <c r="F43" s="18">
        <f t="shared" si="12"/>
        <v>4800</v>
      </c>
      <c r="G43" s="17">
        <v>8</v>
      </c>
      <c r="H43" s="18">
        <f t="shared" si="13"/>
        <v>4800</v>
      </c>
      <c r="I43" s="17">
        <v>7.3</v>
      </c>
      <c r="J43" s="18">
        <f t="shared" si="14"/>
        <v>4380</v>
      </c>
      <c r="K43" s="17">
        <v>7.5</v>
      </c>
      <c r="L43" s="18">
        <f t="shared" si="15"/>
        <v>4500</v>
      </c>
      <c r="M43" s="17">
        <v>7.5</v>
      </c>
      <c r="N43" s="18">
        <f t="shared" si="16"/>
        <v>4500</v>
      </c>
      <c r="O43" s="17">
        <v>10</v>
      </c>
      <c r="P43" s="18">
        <f t="shared" si="17"/>
        <v>6000</v>
      </c>
      <c r="Q43" s="62">
        <v>22.5</v>
      </c>
      <c r="R43" s="63">
        <f t="shared" si="18"/>
        <v>13500</v>
      </c>
    </row>
    <row r="44" spans="1:18" ht="33" customHeight="1" x14ac:dyDescent="0.25">
      <c r="A44" s="44" t="str">
        <f>'Bid Item List A (FAA)'!A56</f>
        <v>0037</v>
      </c>
      <c r="B44" s="53" t="str">
        <f>'Bid Item List A (FAA)'!B56</f>
        <v>Compression Joint Sealant
(Item P-604)</v>
      </c>
      <c r="C44" s="42">
        <f>'Bid Item List A (FAA)'!C56</f>
        <v>39900</v>
      </c>
      <c r="D44" s="44" t="str">
        <f>'Bid Item List A (FAA)'!D56</f>
        <v>LF</v>
      </c>
      <c r="E44" s="17">
        <v>6</v>
      </c>
      <c r="F44" s="18">
        <f t="shared" si="12"/>
        <v>239400</v>
      </c>
      <c r="G44" s="17">
        <v>8</v>
      </c>
      <c r="H44" s="18">
        <f t="shared" si="13"/>
        <v>319200</v>
      </c>
      <c r="I44" s="17">
        <v>7</v>
      </c>
      <c r="J44" s="18">
        <f t="shared" si="14"/>
        <v>279300</v>
      </c>
      <c r="K44" s="17">
        <v>7.2</v>
      </c>
      <c r="L44" s="18">
        <f t="shared" si="15"/>
        <v>287280</v>
      </c>
      <c r="M44" s="17">
        <v>6</v>
      </c>
      <c r="N44" s="18">
        <f t="shared" si="16"/>
        <v>239400</v>
      </c>
      <c r="O44" s="17">
        <v>6.5</v>
      </c>
      <c r="P44" s="18">
        <f t="shared" si="17"/>
        <v>259350</v>
      </c>
      <c r="Q44" s="62">
        <v>3</v>
      </c>
      <c r="R44" s="63">
        <f t="shared" si="18"/>
        <v>119700</v>
      </c>
    </row>
    <row r="45" spans="1:18" ht="33" customHeight="1" x14ac:dyDescent="0.25">
      <c r="A45" s="44" t="str">
        <f>'Bid Item List A (FAA)'!A57</f>
        <v>0038</v>
      </c>
      <c r="B45" s="53" t="str">
        <f>'Bid Item List A (FAA)'!B57</f>
        <v>Joint Sealant
(Item P-605)</v>
      </c>
      <c r="C45" s="42">
        <f>'Bid Item List A (FAA)'!C57</f>
        <v>300</v>
      </c>
      <c r="D45" s="44" t="str">
        <f>'Bid Item List A (FAA)'!D57</f>
        <v>Gal</v>
      </c>
      <c r="E45" s="17">
        <v>220</v>
      </c>
      <c r="F45" s="18">
        <f t="shared" si="12"/>
        <v>66000</v>
      </c>
      <c r="G45" s="17">
        <v>160</v>
      </c>
      <c r="H45" s="18">
        <f t="shared" si="13"/>
        <v>48000</v>
      </c>
      <c r="I45" s="17">
        <v>145</v>
      </c>
      <c r="J45" s="18">
        <f t="shared" si="14"/>
        <v>43500</v>
      </c>
      <c r="K45" s="17">
        <v>225</v>
      </c>
      <c r="L45" s="18">
        <f t="shared" si="15"/>
        <v>67500</v>
      </c>
      <c r="M45" s="17">
        <v>230</v>
      </c>
      <c r="N45" s="18">
        <f t="shared" si="16"/>
        <v>69000</v>
      </c>
      <c r="O45" s="17">
        <v>250</v>
      </c>
      <c r="P45" s="18">
        <f t="shared" si="17"/>
        <v>75000</v>
      </c>
      <c r="Q45" s="62">
        <v>300</v>
      </c>
      <c r="R45" s="63">
        <f t="shared" si="18"/>
        <v>90000</v>
      </c>
    </row>
    <row r="46" spans="1:18" ht="33" customHeight="1" x14ac:dyDescent="0.25">
      <c r="A46" s="44" t="str">
        <f>'Bid Item List A (FAA)'!$A58</f>
        <v>0039</v>
      </c>
      <c r="B46" s="53" t="str">
        <f>'Bid Item List A (FAA)'!B58</f>
        <v>Adhesive Compound
(Item P-606)</v>
      </c>
      <c r="C46" s="42">
        <f>'Bid Item List A (FAA)'!C58</f>
        <v>300</v>
      </c>
      <c r="D46" s="44" t="str">
        <f>'Bid Item List A (FAA)'!D58</f>
        <v>Gal</v>
      </c>
      <c r="E46" s="17">
        <v>55</v>
      </c>
      <c r="F46" s="18">
        <f t="shared" si="12"/>
        <v>16500</v>
      </c>
      <c r="G46" s="17">
        <v>240</v>
      </c>
      <c r="H46" s="18">
        <f t="shared" si="13"/>
        <v>72000</v>
      </c>
      <c r="I46" s="17">
        <v>205</v>
      </c>
      <c r="J46" s="18">
        <f t="shared" si="14"/>
        <v>61500</v>
      </c>
      <c r="K46" s="17">
        <v>313</v>
      </c>
      <c r="L46" s="18">
        <f t="shared" si="15"/>
        <v>93900</v>
      </c>
      <c r="M46" s="17">
        <v>220</v>
      </c>
      <c r="N46" s="18">
        <f t="shared" si="16"/>
        <v>66000</v>
      </c>
      <c r="O46" s="17">
        <v>250</v>
      </c>
      <c r="P46" s="18">
        <f t="shared" si="17"/>
        <v>75000</v>
      </c>
      <c r="Q46" s="62">
        <v>300</v>
      </c>
      <c r="R46" s="63">
        <f t="shared" si="18"/>
        <v>90000</v>
      </c>
    </row>
    <row r="47" spans="1:18" ht="33" customHeight="1" x14ac:dyDescent="0.25">
      <c r="A47" s="44" t="str">
        <f>'Bid Item List A (FAA)'!A59</f>
        <v>0040</v>
      </c>
      <c r="B47" s="53" t="str">
        <f>'Bid Item List A (FAA)'!B59</f>
        <v>Structural Portland Cement Concrete (PCC)
(Item P-610)</v>
      </c>
      <c r="C47" s="42">
        <f>'Bid Item List A (FAA)'!C59</f>
        <v>250</v>
      </c>
      <c r="D47" s="44" t="str">
        <f>'Bid Item List A (FAA)'!D59</f>
        <v>CY</v>
      </c>
      <c r="E47" s="17">
        <v>250</v>
      </c>
      <c r="F47" s="18">
        <f t="shared" si="12"/>
        <v>62500</v>
      </c>
      <c r="G47" s="17">
        <v>365</v>
      </c>
      <c r="H47" s="18">
        <f t="shared" si="13"/>
        <v>91250</v>
      </c>
      <c r="I47" s="17">
        <v>315</v>
      </c>
      <c r="J47" s="18">
        <f t="shared" si="14"/>
        <v>78750</v>
      </c>
      <c r="K47" s="17">
        <v>325</v>
      </c>
      <c r="L47" s="18">
        <f t="shared" si="15"/>
        <v>81250</v>
      </c>
      <c r="M47" s="17">
        <v>340</v>
      </c>
      <c r="N47" s="18">
        <f t="shared" si="16"/>
        <v>85000</v>
      </c>
      <c r="O47" s="17">
        <v>300</v>
      </c>
      <c r="P47" s="18">
        <f t="shared" si="17"/>
        <v>75000</v>
      </c>
      <c r="Q47" s="62">
        <v>125</v>
      </c>
      <c r="R47" s="63">
        <f t="shared" si="18"/>
        <v>31250</v>
      </c>
    </row>
    <row r="48" spans="1:18" ht="33" customHeight="1" x14ac:dyDescent="0.25">
      <c r="A48" s="44" t="str">
        <f>'Bid Item List A (FAA)'!A60</f>
        <v>0041</v>
      </c>
      <c r="B48" s="53" t="str">
        <f>'Bid Item List A (FAA)'!B60</f>
        <v>Steel Reinforcement
(Item P-610)</v>
      </c>
      <c r="C48" s="42">
        <f>'Bid Item List A (FAA)'!C60</f>
        <v>5600</v>
      </c>
      <c r="D48" s="44" t="str">
        <f>'Bid Item List A (FAA)'!D60</f>
        <v>LB</v>
      </c>
      <c r="E48" s="17">
        <v>5</v>
      </c>
      <c r="F48" s="18">
        <f t="shared" si="12"/>
        <v>28000</v>
      </c>
      <c r="G48" s="17">
        <v>5</v>
      </c>
      <c r="H48" s="18">
        <f t="shared" si="13"/>
        <v>28000</v>
      </c>
      <c r="I48" s="17">
        <v>3.8</v>
      </c>
      <c r="J48" s="18">
        <f t="shared" si="14"/>
        <v>21280</v>
      </c>
      <c r="K48" s="17">
        <v>4.3</v>
      </c>
      <c r="L48" s="18">
        <f t="shared" si="15"/>
        <v>24080</v>
      </c>
      <c r="M48" s="17">
        <v>4.5</v>
      </c>
      <c r="N48" s="18">
        <f t="shared" si="16"/>
        <v>25200</v>
      </c>
      <c r="O48" s="17">
        <v>1.5</v>
      </c>
      <c r="P48" s="18">
        <f t="shared" si="17"/>
        <v>8400</v>
      </c>
      <c r="Q48" s="62">
        <v>0.5</v>
      </c>
      <c r="R48" s="63">
        <f t="shared" si="18"/>
        <v>2800</v>
      </c>
    </row>
    <row r="49" spans="1:18" ht="33" customHeight="1" x14ac:dyDescent="0.25">
      <c r="A49" s="44" t="str">
        <f>'Bid Item List A (FAA)'!A61</f>
        <v>0042</v>
      </c>
      <c r="B49" s="53" t="str">
        <f>'Bid Item List A (FAA)'!B61</f>
        <v>Pavement Marking
(Item P-620)</v>
      </c>
      <c r="C49" s="42">
        <f>'Bid Item List A (FAA)'!C61</f>
        <v>36000</v>
      </c>
      <c r="D49" s="44" t="str">
        <f>'Bid Item List A (FAA)'!D61</f>
        <v>SF</v>
      </c>
      <c r="E49" s="17">
        <v>1.25</v>
      </c>
      <c r="F49" s="18">
        <f t="shared" si="12"/>
        <v>45000</v>
      </c>
      <c r="G49" s="17">
        <v>1.4</v>
      </c>
      <c r="H49" s="18">
        <f t="shared" si="13"/>
        <v>50400</v>
      </c>
      <c r="I49" s="17">
        <v>1.25</v>
      </c>
      <c r="J49" s="18">
        <f t="shared" si="14"/>
        <v>45000</v>
      </c>
      <c r="K49" s="17">
        <v>1.3</v>
      </c>
      <c r="L49" s="18">
        <f t="shared" si="15"/>
        <v>46800</v>
      </c>
      <c r="M49" s="17">
        <v>1.3</v>
      </c>
      <c r="N49" s="18">
        <f t="shared" si="16"/>
        <v>46800</v>
      </c>
      <c r="O49" s="17">
        <v>1.25</v>
      </c>
      <c r="P49" s="18">
        <f t="shared" si="17"/>
        <v>45000</v>
      </c>
      <c r="Q49" s="62">
        <v>1.7</v>
      </c>
      <c r="R49" s="63">
        <f t="shared" si="18"/>
        <v>61200</v>
      </c>
    </row>
    <row r="50" spans="1:18" ht="33" customHeight="1" x14ac:dyDescent="0.25">
      <c r="A50" s="44" t="str">
        <f>'Bid Item List A (FAA)'!$A62</f>
        <v>0043</v>
      </c>
      <c r="B50" s="53" t="str">
        <f>'Bid Item List A (FAA)'!B62</f>
        <v>Reflective Media
(Item P-620)</v>
      </c>
      <c r="C50" s="42">
        <f>'Bid Item List A (FAA)'!C62</f>
        <v>2300</v>
      </c>
      <c r="D50" s="44" t="str">
        <f>'Bid Item List A (FAA)'!D62</f>
        <v>LB</v>
      </c>
      <c r="E50" s="17">
        <v>1.75</v>
      </c>
      <c r="F50" s="18">
        <f t="shared" si="12"/>
        <v>4025</v>
      </c>
      <c r="G50" s="17">
        <v>2</v>
      </c>
      <c r="H50" s="18">
        <f t="shared" si="13"/>
        <v>4600</v>
      </c>
      <c r="I50" s="17">
        <v>1.75</v>
      </c>
      <c r="J50" s="18">
        <f t="shared" si="14"/>
        <v>4025</v>
      </c>
      <c r="K50" s="17">
        <v>1.8</v>
      </c>
      <c r="L50" s="18">
        <f t="shared" si="15"/>
        <v>4140</v>
      </c>
      <c r="M50" s="17">
        <v>1.8</v>
      </c>
      <c r="N50" s="18">
        <f t="shared" si="16"/>
        <v>4140</v>
      </c>
      <c r="O50" s="17">
        <v>1.75</v>
      </c>
      <c r="P50" s="18">
        <f t="shared" si="17"/>
        <v>4025</v>
      </c>
      <c r="Q50" s="62">
        <v>0.5</v>
      </c>
      <c r="R50" s="63">
        <f t="shared" si="18"/>
        <v>1150</v>
      </c>
    </row>
    <row r="51" spans="1:18" ht="33" customHeight="1" x14ac:dyDescent="0.25">
      <c r="A51" s="44" t="str">
        <f>'Bid Item List A (FAA)'!A63</f>
        <v>0044</v>
      </c>
      <c r="B51" s="53" t="str">
        <f>'Bid Item List A (FAA)'!B63</f>
        <v>Phasing Pavement Marking
(Item P-620)</v>
      </c>
      <c r="C51" s="42">
        <f>'Bid Item List A (FAA)'!C63</f>
        <v>22500</v>
      </c>
      <c r="D51" s="44" t="str">
        <f>'Bid Item List A (FAA)'!D63</f>
        <v>SF</v>
      </c>
      <c r="E51" s="17">
        <v>1</v>
      </c>
      <c r="F51" s="18">
        <f t="shared" si="12"/>
        <v>22500</v>
      </c>
      <c r="G51" s="17">
        <v>0.95</v>
      </c>
      <c r="H51" s="18">
        <f t="shared" si="13"/>
        <v>21375</v>
      </c>
      <c r="I51" s="17">
        <v>2.35</v>
      </c>
      <c r="J51" s="18">
        <f t="shared" si="14"/>
        <v>52875</v>
      </c>
      <c r="K51" s="17">
        <v>0.9</v>
      </c>
      <c r="L51" s="18">
        <f t="shared" si="15"/>
        <v>20250</v>
      </c>
      <c r="M51" s="17">
        <v>1</v>
      </c>
      <c r="N51" s="18">
        <f t="shared" si="16"/>
        <v>22500</v>
      </c>
      <c r="O51" s="17">
        <v>2.5</v>
      </c>
      <c r="P51" s="18">
        <f t="shared" si="17"/>
        <v>56250</v>
      </c>
      <c r="Q51" s="62">
        <v>2</v>
      </c>
      <c r="R51" s="63">
        <f t="shared" si="18"/>
        <v>45000</v>
      </c>
    </row>
    <row r="52" spans="1:18" ht="33" customHeight="1" x14ac:dyDescent="0.25">
      <c r="A52" s="44" t="str">
        <f>'Bid Item List A (FAA)'!A64</f>
        <v>0045</v>
      </c>
      <c r="B52" s="53" t="str">
        <f>'Bid Item List A (FAA)'!B64</f>
        <v>Saw-Cut Grooving
(Item P-621)</v>
      </c>
      <c r="C52" s="42">
        <f>'Bid Item List A (FAA)'!C64</f>
        <v>450</v>
      </c>
      <c r="D52" s="44" t="str">
        <f>'Bid Item List A (FAA)'!D64</f>
        <v>SY</v>
      </c>
      <c r="E52" s="17">
        <v>10</v>
      </c>
      <c r="F52" s="18">
        <f t="shared" si="12"/>
        <v>4500</v>
      </c>
      <c r="G52" s="17">
        <v>55</v>
      </c>
      <c r="H52" s="18">
        <f t="shared" si="13"/>
        <v>24750</v>
      </c>
      <c r="I52" s="17">
        <v>4</v>
      </c>
      <c r="J52" s="18">
        <f t="shared" si="14"/>
        <v>1800</v>
      </c>
      <c r="K52" s="17">
        <v>6.1</v>
      </c>
      <c r="L52" s="18">
        <f t="shared" si="15"/>
        <v>2745</v>
      </c>
      <c r="M52" s="17">
        <v>6</v>
      </c>
      <c r="N52" s="18">
        <f t="shared" si="16"/>
        <v>2700</v>
      </c>
      <c r="O52" s="17">
        <v>5</v>
      </c>
      <c r="P52" s="18">
        <f t="shared" si="17"/>
        <v>2250</v>
      </c>
      <c r="Q52" s="62">
        <v>15</v>
      </c>
      <c r="R52" s="63">
        <f t="shared" si="18"/>
        <v>6750</v>
      </c>
    </row>
    <row r="53" spans="1:18" ht="33" customHeight="1" x14ac:dyDescent="0.25">
      <c r="A53" s="44" t="str">
        <f>'Bid Item List A (FAA)'!A65</f>
        <v>0046</v>
      </c>
      <c r="B53" s="53" t="str">
        <f>'Bid Item List A (FAA)'!B65</f>
        <v>4-Inch STS Pipe
(Item D-701)</v>
      </c>
      <c r="C53" s="42">
        <f>'Bid Item List A (FAA)'!C65</f>
        <v>210</v>
      </c>
      <c r="D53" s="44" t="str">
        <f>'Bid Item List A (FAA)'!D65</f>
        <v>LF</v>
      </c>
      <c r="E53" s="17">
        <v>50</v>
      </c>
      <c r="F53" s="18">
        <f t="shared" si="12"/>
        <v>10500</v>
      </c>
      <c r="G53" s="17">
        <v>36</v>
      </c>
      <c r="H53" s="18">
        <f t="shared" si="13"/>
        <v>7560</v>
      </c>
      <c r="I53" s="17">
        <v>30</v>
      </c>
      <c r="J53" s="18">
        <f t="shared" si="14"/>
        <v>6300</v>
      </c>
      <c r="K53" s="17">
        <v>99</v>
      </c>
      <c r="L53" s="18">
        <f t="shared" si="15"/>
        <v>20790</v>
      </c>
      <c r="M53" s="17">
        <v>31</v>
      </c>
      <c r="N53" s="18">
        <f t="shared" si="16"/>
        <v>6510</v>
      </c>
      <c r="O53" s="17">
        <v>75</v>
      </c>
      <c r="P53" s="18">
        <f t="shared" si="17"/>
        <v>15750</v>
      </c>
      <c r="Q53" s="62">
        <v>40</v>
      </c>
      <c r="R53" s="63">
        <f t="shared" si="18"/>
        <v>8400</v>
      </c>
    </row>
    <row r="54" spans="1:18" ht="33" customHeight="1" x14ac:dyDescent="0.25">
      <c r="A54" s="44" t="str">
        <f>'Bid Item List A (FAA)'!$A66</f>
        <v>0047</v>
      </c>
      <c r="B54" s="53" t="str">
        <f>'Bid Item List A (FAA)'!B66</f>
        <v>6-Inch STS Pipe
(Item D-701)</v>
      </c>
      <c r="C54" s="42">
        <f>'Bid Item List A (FAA)'!C66</f>
        <v>1061</v>
      </c>
      <c r="D54" s="44" t="str">
        <f>'Bid Item List A (FAA)'!D66</f>
        <v>LF</v>
      </c>
      <c r="E54" s="17">
        <v>60</v>
      </c>
      <c r="F54" s="18">
        <f t="shared" si="12"/>
        <v>63660</v>
      </c>
      <c r="G54" s="17">
        <v>28</v>
      </c>
      <c r="H54" s="18">
        <f t="shared" si="13"/>
        <v>29708</v>
      </c>
      <c r="I54" s="17">
        <v>35</v>
      </c>
      <c r="J54" s="18">
        <f t="shared" si="14"/>
        <v>37135</v>
      </c>
      <c r="K54" s="17">
        <v>22</v>
      </c>
      <c r="L54" s="18">
        <f t="shared" si="15"/>
        <v>23342</v>
      </c>
      <c r="M54" s="17">
        <v>34</v>
      </c>
      <c r="N54" s="18">
        <f t="shared" si="16"/>
        <v>36074</v>
      </c>
      <c r="O54" s="17">
        <v>35</v>
      </c>
      <c r="P54" s="18">
        <f t="shared" si="17"/>
        <v>37135</v>
      </c>
      <c r="Q54" s="62">
        <v>45</v>
      </c>
      <c r="R54" s="63">
        <f t="shared" si="18"/>
        <v>47745</v>
      </c>
    </row>
    <row r="55" spans="1:18" ht="33" customHeight="1" x14ac:dyDescent="0.25">
      <c r="A55" s="44" t="str">
        <f>'Bid Item List A (FAA)'!A67</f>
        <v>0048</v>
      </c>
      <c r="B55" s="53" t="str">
        <f>'Bid Item List A (FAA)'!B67</f>
        <v>12-Inch STS Pipe
(Item D-701)</v>
      </c>
      <c r="C55" s="42">
        <f>'Bid Item List A (FAA)'!C67</f>
        <v>1682</v>
      </c>
      <c r="D55" s="44" t="str">
        <f>'Bid Item List A (FAA)'!D67</f>
        <v>LF</v>
      </c>
      <c r="E55" s="17">
        <v>70</v>
      </c>
      <c r="F55" s="18">
        <f t="shared" si="12"/>
        <v>117740</v>
      </c>
      <c r="G55" s="17">
        <v>38</v>
      </c>
      <c r="H55" s="18">
        <f t="shared" si="13"/>
        <v>63916</v>
      </c>
      <c r="I55" s="17">
        <v>45</v>
      </c>
      <c r="J55" s="18">
        <f t="shared" si="14"/>
        <v>75690</v>
      </c>
      <c r="K55" s="17">
        <v>50</v>
      </c>
      <c r="L55" s="18">
        <f t="shared" si="15"/>
        <v>84100</v>
      </c>
      <c r="M55" s="17">
        <v>45</v>
      </c>
      <c r="N55" s="18">
        <f t="shared" si="16"/>
        <v>75690</v>
      </c>
      <c r="O55" s="17">
        <v>55</v>
      </c>
      <c r="P55" s="18">
        <f t="shared" si="17"/>
        <v>92510</v>
      </c>
      <c r="Q55" s="62">
        <v>60</v>
      </c>
      <c r="R55" s="63">
        <f t="shared" si="18"/>
        <v>100920</v>
      </c>
    </row>
    <row r="56" spans="1:18" ht="33" customHeight="1" x14ac:dyDescent="0.25">
      <c r="A56" s="44" t="str">
        <f>'Bid Item List A (FAA)'!A68</f>
        <v>0049</v>
      </c>
      <c r="B56" s="53" t="str">
        <f>'Bid Item List A (FAA)'!B68</f>
        <v>12-Inch RCP Pipe
(Item D-701)</v>
      </c>
      <c r="C56" s="42">
        <f>'Bid Item List A (FAA)'!C68</f>
        <v>707</v>
      </c>
      <c r="D56" s="44" t="str">
        <f>'Bid Item List A (FAA)'!D68</f>
        <v>LF</v>
      </c>
      <c r="E56" s="17">
        <v>72</v>
      </c>
      <c r="F56" s="18">
        <f t="shared" si="12"/>
        <v>50904</v>
      </c>
      <c r="G56" s="17">
        <v>55</v>
      </c>
      <c r="H56" s="18">
        <f t="shared" si="13"/>
        <v>38885</v>
      </c>
      <c r="I56" s="17">
        <v>60</v>
      </c>
      <c r="J56" s="18">
        <f t="shared" si="14"/>
        <v>42420</v>
      </c>
      <c r="K56" s="17">
        <v>76</v>
      </c>
      <c r="L56" s="18">
        <f t="shared" si="15"/>
        <v>53732</v>
      </c>
      <c r="M56" s="17">
        <v>87</v>
      </c>
      <c r="N56" s="18">
        <f t="shared" si="16"/>
        <v>61509</v>
      </c>
      <c r="O56" s="17">
        <v>60</v>
      </c>
      <c r="P56" s="18">
        <f t="shared" si="17"/>
        <v>42420</v>
      </c>
      <c r="Q56" s="62">
        <v>65</v>
      </c>
      <c r="R56" s="63">
        <f t="shared" si="18"/>
        <v>45955</v>
      </c>
    </row>
    <row r="57" spans="1:18" ht="33" customHeight="1" x14ac:dyDescent="0.25">
      <c r="A57" s="44" t="str">
        <f>'Bid Item List A (FAA)'!A69</f>
        <v>0050</v>
      </c>
      <c r="B57" s="53" t="str">
        <f>'Bid Item List A (FAA)'!B69</f>
        <v>18-Inch STS Pipe
(Item D-701)</v>
      </c>
      <c r="C57" s="42">
        <f>'Bid Item List A (FAA)'!C69</f>
        <v>743</v>
      </c>
      <c r="D57" s="44" t="str">
        <f>'Bid Item List A (FAA)'!D69</f>
        <v>LF</v>
      </c>
      <c r="E57" s="17">
        <v>88</v>
      </c>
      <c r="F57" s="18">
        <f t="shared" si="12"/>
        <v>65384</v>
      </c>
      <c r="G57" s="17">
        <v>63</v>
      </c>
      <c r="H57" s="18">
        <f t="shared" si="13"/>
        <v>46809</v>
      </c>
      <c r="I57" s="17">
        <v>70</v>
      </c>
      <c r="J57" s="18">
        <f t="shared" si="14"/>
        <v>52010</v>
      </c>
      <c r="K57" s="17">
        <v>75</v>
      </c>
      <c r="L57" s="18">
        <f t="shared" si="15"/>
        <v>55725</v>
      </c>
      <c r="M57" s="17">
        <v>101</v>
      </c>
      <c r="N57" s="18">
        <f t="shared" si="16"/>
        <v>75043</v>
      </c>
      <c r="O57" s="17">
        <v>155</v>
      </c>
      <c r="P57" s="18">
        <f t="shared" si="17"/>
        <v>115165</v>
      </c>
      <c r="Q57" s="62">
        <v>95</v>
      </c>
      <c r="R57" s="63">
        <f t="shared" si="18"/>
        <v>70585</v>
      </c>
    </row>
    <row r="58" spans="1:18" ht="33" customHeight="1" x14ac:dyDescent="0.25">
      <c r="A58" s="44" t="str">
        <f>'Bid Item List A (FAA)'!$A70</f>
        <v>0051</v>
      </c>
      <c r="B58" s="53" t="str">
        <f>'Bid Item List A (FAA)'!B70</f>
        <v>24-Inch STS Pipe
(Item D-701)</v>
      </c>
      <c r="C58" s="42">
        <f>'Bid Item List A (FAA)'!C70</f>
        <v>192</v>
      </c>
      <c r="D58" s="44" t="str">
        <f>'Bid Item List A (FAA)'!D70</f>
        <v>LF</v>
      </c>
      <c r="E58" s="17">
        <v>100</v>
      </c>
      <c r="F58" s="18">
        <f t="shared" si="12"/>
        <v>19200</v>
      </c>
      <c r="G58" s="17">
        <v>82.5</v>
      </c>
      <c r="H58" s="18">
        <f t="shared" si="13"/>
        <v>15840</v>
      </c>
      <c r="I58" s="17">
        <v>95</v>
      </c>
      <c r="J58" s="18">
        <f t="shared" si="14"/>
        <v>18240</v>
      </c>
      <c r="K58" s="17">
        <v>100</v>
      </c>
      <c r="L58" s="18">
        <f t="shared" si="15"/>
        <v>19200</v>
      </c>
      <c r="M58" s="17">
        <v>160</v>
      </c>
      <c r="N58" s="18">
        <f t="shared" si="16"/>
        <v>30720</v>
      </c>
      <c r="O58" s="17">
        <v>415</v>
      </c>
      <c r="P58" s="18">
        <f t="shared" si="17"/>
        <v>79680</v>
      </c>
      <c r="Q58" s="62">
        <v>200</v>
      </c>
      <c r="R58" s="63">
        <f t="shared" si="18"/>
        <v>38400</v>
      </c>
    </row>
    <row r="59" spans="1:18" ht="33" customHeight="1" x14ac:dyDescent="0.25">
      <c r="A59" s="44" t="str">
        <f>'Bid Item List A (FAA)'!$A71</f>
        <v>0052</v>
      </c>
      <c r="B59" s="53" t="str">
        <f>'Bid Item List A (FAA)'!B71</f>
        <v>24-Inch RCP Pipe
(Item D-701)</v>
      </c>
      <c r="C59" s="42">
        <f>'Bid Item List A (FAA)'!C71</f>
        <v>251</v>
      </c>
      <c r="D59" s="44" t="str">
        <f>'Bid Item List A (FAA)'!D71</f>
        <v>LF</v>
      </c>
      <c r="E59" s="17">
        <v>106</v>
      </c>
      <c r="F59" s="18">
        <f t="shared" si="12"/>
        <v>26606</v>
      </c>
      <c r="G59" s="17">
        <v>121</v>
      </c>
      <c r="H59" s="18">
        <f t="shared" si="13"/>
        <v>30371</v>
      </c>
      <c r="I59" s="17">
        <v>120</v>
      </c>
      <c r="J59" s="18">
        <f t="shared" si="14"/>
        <v>30120</v>
      </c>
      <c r="K59" s="17">
        <v>106</v>
      </c>
      <c r="L59" s="18">
        <f t="shared" si="15"/>
        <v>26606</v>
      </c>
      <c r="M59" s="17">
        <v>175</v>
      </c>
      <c r="N59" s="18">
        <f t="shared" si="16"/>
        <v>43925</v>
      </c>
      <c r="O59" s="17">
        <v>115</v>
      </c>
      <c r="P59" s="18">
        <f t="shared" si="17"/>
        <v>28865</v>
      </c>
      <c r="Q59" s="62">
        <v>200</v>
      </c>
      <c r="R59" s="63">
        <f t="shared" si="18"/>
        <v>50200</v>
      </c>
    </row>
    <row r="60" spans="1:18" ht="33" customHeight="1" x14ac:dyDescent="0.25">
      <c r="A60" s="44" t="str">
        <f>'Bid Item List A (FAA)'!A72</f>
        <v>0053</v>
      </c>
      <c r="B60" s="53" t="str">
        <f>'Bid Item List A (FAA)'!B72</f>
        <v>48-Inch STS Pipe
(Item D-701)</v>
      </c>
      <c r="C60" s="42">
        <f>'Bid Item List A (FAA)'!C72</f>
        <v>1020</v>
      </c>
      <c r="D60" s="44" t="str">
        <f>'Bid Item List A (FAA)'!D72</f>
        <v>LF</v>
      </c>
      <c r="E60" s="17">
        <v>300</v>
      </c>
      <c r="F60" s="18">
        <f t="shared" si="12"/>
        <v>306000</v>
      </c>
      <c r="G60" s="17">
        <v>226</v>
      </c>
      <c r="H60" s="18">
        <f t="shared" si="13"/>
        <v>230520</v>
      </c>
      <c r="I60" s="17">
        <v>220</v>
      </c>
      <c r="J60" s="18">
        <f t="shared" si="14"/>
        <v>224400</v>
      </c>
      <c r="K60" s="17">
        <v>260</v>
      </c>
      <c r="L60" s="18">
        <f t="shared" si="15"/>
        <v>265200</v>
      </c>
      <c r="M60" s="17">
        <v>235</v>
      </c>
      <c r="N60" s="18">
        <f t="shared" si="16"/>
        <v>239700</v>
      </c>
      <c r="O60" s="17">
        <v>480</v>
      </c>
      <c r="P60" s="18">
        <f t="shared" si="17"/>
        <v>489600</v>
      </c>
      <c r="Q60" s="62">
        <v>300</v>
      </c>
      <c r="R60" s="63">
        <f t="shared" si="18"/>
        <v>306000</v>
      </c>
    </row>
    <row r="61" spans="1:18" ht="33" customHeight="1" x14ac:dyDescent="0.25">
      <c r="A61" s="44" t="str">
        <f>'Bid Item List A (FAA)'!A73</f>
        <v>0054</v>
      </c>
      <c r="B61" s="53" t="str">
        <f>'Bid Item List A (FAA)'!B73</f>
        <v>6-Inch Perforated Pipe Underdrains
(Item D-705)</v>
      </c>
      <c r="C61" s="42">
        <f>'Bid Item List A (FAA)'!C73</f>
        <v>5379</v>
      </c>
      <c r="D61" s="44" t="str">
        <f>'Bid Item List A (FAA)'!D73</f>
        <v>LF</v>
      </c>
      <c r="E61" s="17">
        <v>25</v>
      </c>
      <c r="F61" s="18">
        <f t="shared" si="12"/>
        <v>134475</v>
      </c>
      <c r="G61" s="17">
        <v>26.5</v>
      </c>
      <c r="H61" s="18">
        <f t="shared" si="13"/>
        <v>142543.5</v>
      </c>
      <c r="I61" s="17">
        <v>24</v>
      </c>
      <c r="J61" s="18">
        <f t="shared" si="14"/>
        <v>129096</v>
      </c>
      <c r="K61" s="17">
        <v>33</v>
      </c>
      <c r="L61" s="18">
        <f t="shared" si="15"/>
        <v>177507</v>
      </c>
      <c r="M61" s="17">
        <v>25</v>
      </c>
      <c r="N61" s="18">
        <f t="shared" si="16"/>
        <v>134475</v>
      </c>
      <c r="O61" s="17">
        <v>23</v>
      </c>
      <c r="P61" s="18">
        <f t="shared" si="17"/>
        <v>123717</v>
      </c>
      <c r="Q61" s="62">
        <v>20</v>
      </c>
      <c r="R61" s="63">
        <f t="shared" si="18"/>
        <v>107580</v>
      </c>
    </row>
    <row r="62" spans="1:18" ht="33" customHeight="1" x14ac:dyDescent="0.25">
      <c r="A62" s="44" t="str">
        <f>'Bid Item List A (FAA)'!A74</f>
        <v>0055</v>
      </c>
      <c r="B62" s="53" t="str">
        <f>'Bid Item List A (FAA)'!B74</f>
        <v>48-Inch Manhole, Type A
(Item D-751)</v>
      </c>
      <c r="C62" s="42">
        <f>'Bid Item List A (FAA)'!C74</f>
        <v>1</v>
      </c>
      <c r="D62" s="44" t="str">
        <f>'Bid Item List A (FAA)'!D74</f>
        <v>Each</v>
      </c>
      <c r="E62" s="17">
        <v>4000</v>
      </c>
      <c r="F62" s="18">
        <f t="shared" si="12"/>
        <v>4000</v>
      </c>
      <c r="G62" s="17">
        <v>5425</v>
      </c>
      <c r="H62" s="18">
        <f t="shared" si="13"/>
        <v>5425</v>
      </c>
      <c r="I62" s="17">
        <v>5000</v>
      </c>
      <c r="J62" s="18">
        <f t="shared" si="14"/>
        <v>5000</v>
      </c>
      <c r="K62" s="17">
        <v>6700</v>
      </c>
      <c r="L62" s="18">
        <f t="shared" si="15"/>
        <v>6700</v>
      </c>
      <c r="M62" s="17">
        <v>4400</v>
      </c>
      <c r="N62" s="18">
        <f t="shared" si="16"/>
        <v>4400</v>
      </c>
      <c r="O62" s="17">
        <v>7000</v>
      </c>
      <c r="P62" s="18">
        <f t="shared" si="17"/>
        <v>7000</v>
      </c>
      <c r="Q62" s="62">
        <v>6000</v>
      </c>
      <c r="R62" s="63">
        <f t="shared" si="18"/>
        <v>6000</v>
      </c>
    </row>
    <row r="63" spans="1:18" ht="33" customHeight="1" x14ac:dyDescent="0.25">
      <c r="A63" s="44" t="str">
        <f>'Bid Item List A (FAA)'!$A75</f>
        <v>0056</v>
      </c>
      <c r="B63" s="53" t="str">
        <f>'Bid Item List A (FAA)'!B75</f>
        <v>48-Inch Manhole, Type B
(Item D-751)</v>
      </c>
      <c r="C63" s="42">
        <f>'Bid Item List A (FAA)'!C75</f>
        <v>6</v>
      </c>
      <c r="D63" s="44" t="str">
        <f>'Bid Item List A (FAA)'!D75</f>
        <v>Each</v>
      </c>
      <c r="E63" s="17">
        <v>4500</v>
      </c>
      <c r="F63" s="18">
        <f t="shared" si="12"/>
        <v>27000</v>
      </c>
      <c r="G63" s="17">
        <v>4550</v>
      </c>
      <c r="H63" s="18">
        <f t="shared" si="13"/>
        <v>27300</v>
      </c>
      <c r="I63" s="17">
        <v>4500</v>
      </c>
      <c r="J63" s="18">
        <f t="shared" si="14"/>
        <v>27000</v>
      </c>
      <c r="K63" s="17">
        <v>6000</v>
      </c>
      <c r="L63" s="18">
        <f t="shared" si="15"/>
        <v>36000</v>
      </c>
      <c r="M63" s="17">
        <v>4200</v>
      </c>
      <c r="N63" s="18">
        <f t="shared" si="16"/>
        <v>25200</v>
      </c>
      <c r="O63" s="17">
        <v>6000</v>
      </c>
      <c r="P63" s="18">
        <f t="shared" si="17"/>
        <v>36000</v>
      </c>
      <c r="Q63" s="62">
        <v>6000</v>
      </c>
      <c r="R63" s="63">
        <f t="shared" si="18"/>
        <v>36000</v>
      </c>
    </row>
    <row r="64" spans="1:18" ht="33" customHeight="1" x14ac:dyDescent="0.25">
      <c r="A64" s="44" t="str">
        <f>'Bid Item List A (FAA)'!A76</f>
        <v>0057</v>
      </c>
      <c r="B64" s="53" t="str">
        <f>'Bid Item List A (FAA)'!B76</f>
        <v>60-Inch Manhole, Type B
(Item D-751)</v>
      </c>
      <c r="C64" s="42">
        <f>'Bid Item List A (FAA)'!C76</f>
        <v>1</v>
      </c>
      <c r="D64" s="44" t="str">
        <f>'Bid Item List A (FAA)'!D76</f>
        <v>Each</v>
      </c>
      <c r="E64" s="17">
        <v>7000</v>
      </c>
      <c r="F64" s="18">
        <f t="shared" si="12"/>
        <v>7000</v>
      </c>
      <c r="G64" s="17">
        <v>7875</v>
      </c>
      <c r="H64" s="18">
        <f t="shared" si="13"/>
        <v>7875</v>
      </c>
      <c r="I64" s="17">
        <v>6000</v>
      </c>
      <c r="J64" s="18">
        <f t="shared" si="14"/>
        <v>6000</v>
      </c>
      <c r="K64" s="17">
        <v>8900</v>
      </c>
      <c r="L64" s="18">
        <f t="shared" si="15"/>
        <v>8900</v>
      </c>
      <c r="M64" s="17">
        <v>5600</v>
      </c>
      <c r="N64" s="18">
        <f t="shared" si="16"/>
        <v>5600</v>
      </c>
      <c r="O64" s="17">
        <v>9000</v>
      </c>
      <c r="P64" s="18">
        <f t="shared" si="17"/>
        <v>9000</v>
      </c>
      <c r="Q64" s="62">
        <v>8000</v>
      </c>
      <c r="R64" s="63">
        <f t="shared" si="18"/>
        <v>8000</v>
      </c>
    </row>
    <row r="65" spans="1:18" ht="33" customHeight="1" x14ac:dyDescent="0.25">
      <c r="A65" s="44" t="str">
        <f>'Bid Item List A (FAA)'!A77</f>
        <v>0058</v>
      </c>
      <c r="B65" s="53" t="str">
        <f>'Bid Item List A (FAA)'!B77</f>
        <v>72-Inch Manhole, Type A
(Item D-751)</v>
      </c>
      <c r="C65" s="42">
        <f>'Bid Item List A (FAA)'!C77</f>
        <v>1</v>
      </c>
      <c r="D65" s="44" t="str">
        <f>'Bid Item List A (FAA)'!D77</f>
        <v>Each</v>
      </c>
      <c r="E65" s="17">
        <v>12000</v>
      </c>
      <c r="F65" s="18">
        <f t="shared" si="12"/>
        <v>12000</v>
      </c>
      <c r="G65" s="17">
        <v>11375</v>
      </c>
      <c r="H65" s="18">
        <f t="shared" si="13"/>
        <v>11375</v>
      </c>
      <c r="I65" s="17">
        <v>8500</v>
      </c>
      <c r="J65" s="18">
        <f t="shared" si="14"/>
        <v>8500</v>
      </c>
      <c r="K65" s="17">
        <v>18900</v>
      </c>
      <c r="L65" s="18">
        <f t="shared" si="15"/>
        <v>18900</v>
      </c>
      <c r="M65" s="17">
        <v>7600</v>
      </c>
      <c r="N65" s="18">
        <f t="shared" si="16"/>
        <v>7600</v>
      </c>
      <c r="O65" s="17">
        <v>13000</v>
      </c>
      <c r="P65" s="18">
        <f t="shared" si="17"/>
        <v>13000</v>
      </c>
      <c r="Q65" s="62">
        <v>11000</v>
      </c>
      <c r="R65" s="63">
        <f t="shared" si="18"/>
        <v>11000</v>
      </c>
    </row>
    <row r="66" spans="1:18" ht="33" customHeight="1" x14ac:dyDescent="0.25">
      <c r="A66" s="44" t="str">
        <f>'Bid Item List A (FAA)'!A78</f>
        <v>0059</v>
      </c>
      <c r="B66" s="53" t="str">
        <f>'Bid Item List A (FAA)'!B78</f>
        <v>72-Inch Manhole, Type B
(Item D-751)</v>
      </c>
      <c r="C66" s="42">
        <f>'Bid Item List A (FAA)'!C78</f>
        <v>3</v>
      </c>
      <c r="D66" s="44" t="str">
        <f>'Bid Item List A (FAA)'!D78</f>
        <v>Each</v>
      </c>
      <c r="E66" s="17">
        <v>11000</v>
      </c>
      <c r="F66" s="18">
        <f t="shared" si="12"/>
        <v>33000</v>
      </c>
      <c r="G66" s="17">
        <v>8850</v>
      </c>
      <c r="H66" s="18">
        <f t="shared" si="13"/>
        <v>26550</v>
      </c>
      <c r="I66" s="17">
        <v>7500</v>
      </c>
      <c r="J66" s="18">
        <f t="shared" si="14"/>
        <v>22500</v>
      </c>
      <c r="K66" s="17">
        <v>13000</v>
      </c>
      <c r="L66" s="18">
        <f t="shared" si="15"/>
        <v>39000</v>
      </c>
      <c r="M66" s="17">
        <v>8000</v>
      </c>
      <c r="N66" s="18">
        <f t="shared" si="16"/>
        <v>24000</v>
      </c>
      <c r="O66" s="17">
        <v>11000</v>
      </c>
      <c r="P66" s="18">
        <f t="shared" si="17"/>
        <v>33000</v>
      </c>
      <c r="Q66" s="62">
        <v>11000</v>
      </c>
      <c r="R66" s="63">
        <f t="shared" si="18"/>
        <v>33000</v>
      </c>
    </row>
    <row r="67" spans="1:18" ht="33" customHeight="1" x14ac:dyDescent="0.25">
      <c r="A67" s="44" t="str">
        <f>'Bid Item List A (FAA)'!$A79</f>
        <v>0060</v>
      </c>
      <c r="B67" s="53" t="str">
        <f>'Bid Item List A (FAA)'!B79</f>
        <v>84-Inch Manhole, Type A
(Item D-751)</v>
      </c>
      <c r="C67" s="42">
        <f>'Bid Item List A (FAA)'!C79</f>
        <v>2</v>
      </c>
      <c r="D67" s="44" t="str">
        <f>'Bid Item List A (FAA)'!D79</f>
        <v>Each</v>
      </c>
      <c r="E67" s="17">
        <v>17000</v>
      </c>
      <c r="F67" s="18">
        <f t="shared" si="12"/>
        <v>34000</v>
      </c>
      <c r="G67" s="17">
        <v>12525</v>
      </c>
      <c r="H67" s="18">
        <f t="shared" si="13"/>
        <v>25050</v>
      </c>
      <c r="I67" s="17">
        <v>10000</v>
      </c>
      <c r="J67" s="18">
        <f t="shared" si="14"/>
        <v>20000</v>
      </c>
      <c r="K67" s="17">
        <v>33130</v>
      </c>
      <c r="L67" s="18">
        <f t="shared" si="15"/>
        <v>66260</v>
      </c>
      <c r="M67" s="17">
        <v>14500</v>
      </c>
      <c r="N67" s="18">
        <f t="shared" si="16"/>
        <v>29000</v>
      </c>
      <c r="O67" s="17">
        <v>18000</v>
      </c>
      <c r="P67" s="18">
        <f t="shared" si="17"/>
        <v>36000</v>
      </c>
      <c r="Q67" s="62">
        <v>15000</v>
      </c>
      <c r="R67" s="63">
        <f t="shared" si="18"/>
        <v>30000</v>
      </c>
    </row>
    <row r="68" spans="1:18" ht="33" customHeight="1" x14ac:dyDescent="0.25">
      <c r="A68" s="44" t="str">
        <f>'Bid Item List A (FAA)'!A80</f>
        <v>0061</v>
      </c>
      <c r="B68" s="53" t="str">
        <f>'Bid Item List A (FAA)'!B80</f>
        <v>84-Inch Manhole, Type B
(Item D-751)</v>
      </c>
      <c r="C68" s="42">
        <f>'Bid Item List A (FAA)'!C80</f>
        <v>1</v>
      </c>
      <c r="D68" s="44" t="str">
        <f>'Bid Item List A (FAA)'!D80</f>
        <v>Each</v>
      </c>
      <c r="E68" s="17">
        <v>17500</v>
      </c>
      <c r="F68" s="18">
        <f t="shared" si="12"/>
        <v>17500</v>
      </c>
      <c r="G68" s="17">
        <v>15500</v>
      </c>
      <c r="H68" s="18">
        <f t="shared" si="13"/>
        <v>15500</v>
      </c>
      <c r="I68" s="17">
        <v>13000</v>
      </c>
      <c r="J68" s="18">
        <f t="shared" si="14"/>
        <v>13000</v>
      </c>
      <c r="K68" s="17">
        <v>26260</v>
      </c>
      <c r="L68" s="18">
        <f t="shared" si="15"/>
        <v>26260</v>
      </c>
      <c r="M68" s="17">
        <v>14000</v>
      </c>
      <c r="N68" s="18">
        <f t="shared" si="16"/>
        <v>14000</v>
      </c>
      <c r="O68" s="17">
        <v>20000</v>
      </c>
      <c r="P68" s="18">
        <f t="shared" si="17"/>
        <v>20000</v>
      </c>
      <c r="Q68" s="62">
        <v>15000</v>
      </c>
      <c r="R68" s="63">
        <f t="shared" si="18"/>
        <v>15000</v>
      </c>
    </row>
    <row r="69" spans="1:18" ht="33" customHeight="1" x14ac:dyDescent="0.25">
      <c r="A69" s="44" t="str">
        <f>'Bid Item List A (FAA)'!A81</f>
        <v>0062</v>
      </c>
      <c r="B69" s="53" t="str">
        <f>'Bid Item List A (FAA)'!B81</f>
        <v>Catch Basin
(Item D-751)</v>
      </c>
      <c r="C69" s="42">
        <f>'Bid Item List A (FAA)'!C81</f>
        <v>31</v>
      </c>
      <c r="D69" s="44" t="str">
        <f>'Bid Item List A (FAA)'!D81</f>
        <v>Each</v>
      </c>
      <c r="E69" s="17">
        <v>4000</v>
      </c>
      <c r="F69" s="18">
        <f t="shared" si="12"/>
        <v>124000</v>
      </c>
      <c r="G69" s="17">
        <v>2775</v>
      </c>
      <c r="H69" s="18">
        <f t="shared" si="13"/>
        <v>86025</v>
      </c>
      <c r="I69" s="17">
        <v>3000</v>
      </c>
      <c r="J69" s="18">
        <f t="shared" si="14"/>
        <v>93000</v>
      </c>
      <c r="K69" s="17">
        <v>4400</v>
      </c>
      <c r="L69" s="18">
        <f t="shared" si="15"/>
        <v>136400</v>
      </c>
      <c r="M69" s="17">
        <v>2600</v>
      </c>
      <c r="N69" s="18">
        <f t="shared" si="16"/>
        <v>80600</v>
      </c>
      <c r="O69" s="17">
        <v>3000</v>
      </c>
      <c r="P69" s="18">
        <f t="shared" si="17"/>
        <v>93000</v>
      </c>
      <c r="Q69" s="62">
        <v>3500</v>
      </c>
      <c r="R69" s="63">
        <f t="shared" si="18"/>
        <v>108500</v>
      </c>
    </row>
    <row r="70" spans="1:18" ht="33" customHeight="1" x14ac:dyDescent="0.25">
      <c r="A70" s="44" t="str">
        <f>'Bid Item List A (FAA)'!A82</f>
        <v>0063</v>
      </c>
      <c r="B70" s="53" t="str">
        <f>'Bid Item List A (FAA)'!B82</f>
        <v>Seeding
(Item T-901)</v>
      </c>
      <c r="C70" s="42">
        <f>'Bid Item List A (FAA)'!C82</f>
        <v>8.1999999999999993</v>
      </c>
      <c r="D70" s="44" t="str">
        <f>'Bid Item List A (FAA)'!D82</f>
        <v>Acre</v>
      </c>
      <c r="E70" s="17">
        <v>2450</v>
      </c>
      <c r="F70" s="18">
        <f t="shared" si="12"/>
        <v>20090</v>
      </c>
      <c r="G70" s="17">
        <v>1850</v>
      </c>
      <c r="H70" s="18">
        <f t="shared" si="13"/>
        <v>15169.999999999998</v>
      </c>
      <c r="I70" s="17">
        <v>1650</v>
      </c>
      <c r="J70" s="18">
        <f t="shared" si="14"/>
        <v>13529.999999999998</v>
      </c>
      <c r="K70" s="17">
        <v>1700</v>
      </c>
      <c r="L70" s="18">
        <f t="shared" si="15"/>
        <v>13939.999999999998</v>
      </c>
      <c r="M70" s="17">
        <v>1700</v>
      </c>
      <c r="N70" s="18">
        <f t="shared" si="16"/>
        <v>13939.999999999998</v>
      </c>
      <c r="O70" s="17">
        <v>2000</v>
      </c>
      <c r="P70" s="18">
        <f t="shared" si="17"/>
        <v>16400</v>
      </c>
      <c r="Q70" s="62">
        <v>2200</v>
      </c>
      <c r="R70" s="63">
        <f t="shared" si="18"/>
        <v>18040</v>
      </c>
    </row>
    <row r="71" spans="1:18" ht="33" customHeight="1" x14ac:dyDescent="0.25">
      <c r="A71" s="44" t="str">
        <f>'Bid Item List A (FAA)'!$A83</f>
        <v>0064</v>
      </c>
      <c r="B71" s="53" t="str">
        <f>'Bid Item List A (FAA)'!B83</f>
        <v>Topsoiling
(Item T-905)</v>
      </c>
      <c r="C71" s="42">
        <f>'Bid Item List A (FAA)'!C83</f>
        <v>6900</v>
      </c>
      <c r="D71" s="44" t="str">
        <f>'Bid Item List A (FAA)'!D83</f>
        <v>CY</v>
      </c>
      <c r="E71" s="17">
        <v>18</v>
      </c>
      <c r="F71" s="18">
        <f t="shared" si="12"/>
        <v>124200</v>
      </c>
      <c r="G71" s="17">
        <v>13</v>
      </c>
      <c r="H71" s="18">
        <f t="shared" si="13"/>
        <v>89700</v>
      </c>
      <c r="I71" s="17">
        <v>17</v>
      </c>
      <c r="J71" s="18">
        <f t="shared" si="14"/>
        <v>117300</v>
      </c>
      <c r="K71" s="17">
        <v>10.3</v>
      </c>
      <c r="L71" s="18">
        <f t="shared" si="15"/>
        <v>71070</v>
      </c>
      <c r="M71" s="17">
        <v>20</v>
      </c>
      <c r="N71" s="18">
        <f t="shared" si="16"/>
        <v>138000</v>
      </c>
      <c r="O71" s="17">
        <v>17</v>
      </c>
      <c r="P71" s="18">
        <f t="shared" si="17"/>
        <v>117300</v>
      </c>
      <c r="Q71" s="62">
        <v>20</v>
      </c>
      <c r="R71" s="63">
        <f t="shared" si="18"/>
        <v>138000</v>
      </c>
    </row>
    <row r="72" spans="1:18" ht="33" customHeight="1" x14ac:dyDescent="0.25">
      <c r="A72" s="44" t="str">
        <f>'Bid Item List A (FAA)'!A84</f>
        <v>0065</v>
      </c>
      <c r="B72" s="53" t="str">
        <f>'Bid Item List A (FAA)'!B84</f>
        <v>No. 8 AWG 5kV Cable
(Item L-108)</v>
      </c>
      <c r="C72" s="42">
        <f>'Bid Item List A (FAA)'!C84</f>
        <v>5000</v>
      </c>
      <c r="D72" s="44" t="str">
        <f>'Bid Item List A (FAA)'!D84</f>
        <v>LF</v>
      </c>
      <c r="E72" s="17">
        <v>1.1499999999999999</v>
      </c>
      <c r="F72" s="18">
        <f t="shared" si="12"/>
        <v>5750</v>
      </c>
      <c r="G72" s="17">
        <v>1.25</v>
      </c>
      <c r="H72" s="18">
        <f t="shared" si="13"/>
        <v>6250</v>
      </c>
      <c r="I72" s="17">
        <v>1.1499999999999999</v>
      </c>
      <c r="J72" s="18">
        <f t="shared" si="14"/>
        <v>5750</v>
      </c>
      <c r="K72" s="17">
        <v>1.1499999999999999</v>
      </c>
      <c r="L72" s="18">
        <f t="shared" si="15"/>
        <v>5750</v>
      </c>
      <c r="M72" s="17">
        <v>1.1499999999999999</v>
      </c>
      <c r="N72" s="18">
        <f t="shared" si="16"/>
        <v>5750</v>
      </c>
      <c r="O72" s="17">
        <v>1.2</v>
      </c>
      <c r="P72" s="18">
        <f t="shared" si="17"/>
        <v>6000</v>
      </c>
      <c r="Q72" s="62">
        <v>1.8</v>
      </c>
      <c r="R72" s="63">
        <f t="shared" ref="R72:R103" si="19">C72*Q72</f>
        <v>9000</v>
      </c>
    </row>
    <row r="73" spans="1:18" ht="33" customHeight="1" x14ac:dyDescent="0.25">
      <c r="A73" s="44" t="str">
        <f>'Bid Item List A (FAA)'!A85</f>
        <v>0066</v>
      </c>
      <c r="B73" s="53" t="str">
        <f>'Bid Item List A (FAA)'!B85</f>
        <v>No. 6 AWG Solid Wire for Counterpoise
(Item L-108)</v>
      </c>
      <c r="C73" s="42">
        <f>'Bid Item List A (FAA)'!C85</f>
        <v>1060</v>
      </c>
      <c r="D73" s="44" t="str">
        <f>'Bid Item List A (FAA)'!D85</f>
        <v>LF</v>
      </c>
      <c r="E73" s="17">
        <v>0.95</v>
      </c>
      <c r="F73" s="18">
        <f t="shared" si="12"/>
        <v>1007</v>
      </c>
      <c r="G73" s="17">
        <v>1</v>
      </c>
      <c r="H73" s="18">
        <f t="shared" si="13"/>
        <v>1060</v>
      </c>
      <c r="I73" s="17">
        <v>1</v>
      </c>
      <c r="J73" s="18">
        <f t="shared" si="14"/>
        <v>1060</v>
      </c>
      <c r="K73" s="17">
        <v>0.95</v>
      </c>
      <c r="L73" s="18">
        <f t="shared" si="15"/>
        <v>1007</v>
      </c>
      <c r="M73" s="17">
        <v>1</v>
      </c>
      <c r="N73" s="18">
        <f t="shared" si="16"/>
        <v>1060</v>
      </c>
      <c r="O73" s="17">
        <v>1</v>
      </c>
      <c r="P73" s="18">
        <f t="shared" si="17"/>
        <v>1060</v>
      </c>
      <c r="Q73" s="62">
        <v>1.25</v>
      </c>
      <c r="R73" s="63">
        <f t="shared" si="19"/>
        <v>1325</v>
      </c>
    </row>
    <row r="74" spans="1:18" ht="33" customHeight="1" x14ac:dyDescent="0.25">
      <c r="A74" s="44" t="str">
        <f>'Bid Item List A (FAA)'!A86</f>
        <v>0067</v>
      </c>
      <c r="B74" s="53" t="str">
        <f>'Bid Item List A (FAA)'!B86</f>
        <v>Ground Rod for Counterpoise
(Item L-108)</v>
      </c>
      <c r="C74" s="42">
        <f>'Bid Item List A (FAA)'!C86</f>
        <v>6</v>
      </c>
      <c r="D74" s="44" t="str">
        <f>'Bid Item List A (FAA)'!D86</f>
        <v>Each</v>
      </c>
      <c r="E74" s="17">
        <v>160</v>
      </c>
      <c r="F74" s="18">
        <f t="shared" si="12"/>
        <v>960</v>
      </c>
      <c r="G74" s="17">
        <v>175</v>
      </c>
      <c r="H74" s="18">
        <f t="shared" si="13"/>
        <v>1050</v>
      </c>
      <c r="I74" s="17">
        <v>165</v>
      </c>
      <c r="J74" s="18">
        <f t="shared" si="14"/>
        <v>990</v>
      </c>
      <c r="K74" s="17">
        <v>164</v>
      </c>
      <c r="L74" s="18">
        <f t="shared" si="15"/>
        <v>984</v>
      </c>
      <c r="M74" s="17">
        <v>165</v>
      </c>
      <c r="N74" s="18">
        <f t="shared" si="16"/>
        <v>990</v>
      </c>
      <c r="O74" s="17">
        <v>200</v>
      </c>
      <c r="P74" s="18">
        <f t="shared" si="17"/>
        <v>1200</v>
      </c>
      <c r="Q74" s="62">
        <v>200</v>
      </c>
      <c r="R74" s="63">
        <f t="shared" si="19"/>
        <v>1200</v>
      </c>
    </row>
    <row r="75" spans="1:18" ht="33" customHeight="1" x14ac:dyDescent="0.25">
      <c r="A75" s="44" t="str">
        <f>'Bid Item List A (FAA)'!$A87</f>
        <v>0068</v>
      </c>
      <c r="B75" s="53" t="str">
        <f>'Bid Item List A (FAA)'!B87</f>
        <v>2-Inch PVC Direct Buried
(Item L-110)</v>
      </c>
      <c r="C75" s="42">
        <f>'Bid Item List A (FAA)'!C87</f>
        <v>65</v>
      </c>
      <c r="D75" s="44" t="str">
        <f>'Bid Item List A (FAA)'!D87</f>
        <v>LF</v>
      </c>
      <c r="E75" s="17">
        <v>10</v>
      </c>
      <c r="F75" s="18">
        <f t="shared" si="12"/>
        <v>650</v>
      </c>
      <c r="G75" s="17">
        <v>11</v>
      </c>
      <c r="H75" s="18">
        <f t="shared" si="13"/>
        <v>715</v>
      </c>
      <c r="I75" s="17">
        <v>10</v>
      </c>
      <c r="J75" s="18">
        <f t="shared" si="14"/>
        <v>650</v>
      </c>
      <c r="K75" s="17">
        <v>10.5</v>
      </c>
      <c r="L75" s="18">
        <f t="shared" si="15"/>
        <v>682.5</v>
      </c>
      <c r="M75" s="17">
        <v>10</v>
      </c>
      <c r="N75" s="18">
        <f t="shared" si="16"/>
        <v>650</v>
      </c>
      <c r="O75" s="17">
        <v>11</v>
      </c>
      <c r="P75" s="18">
        <f t="shared" si="17"/>
        <v>715</v>
      </c>
      <c r="Q75" s="62">
        <v>7.5</v>
      </c>
      <c r="R75" s="63">
        <f t="shared" si="19"/>
        <v>487.5</v>
      </c>
    </row>
    <row r="76" spans="1:18" ht="33" customHeight="1" x14ac:dyDescent="0.25">
      <c r="A76" s="44" t="str">
        <f>'Bid Item List A (FAA)'!$A88</f>
        <v>0069</v>
      </c>
      <c r="B76" s="53" t="str">
        <f>'Bid Item List A (FAA)'!B88</f>
        <v>2-Inch PVC in Existing AC 
(Item L-110)</v>
      </c>
      <c r="C76" s="42">
        <f>'Bid Item List A (FAA)'!C88</f>
        <v>1175</v>
      </c>
      <c r="D76" s="44" t="str">
        <f>'Bid Item List A (FAA)'!D88</f>
        <v>LF</v>
      </c>
      <c r="E76" s="17">
        <v>20</v>
      </c>
      <c r="F76" s="18">
        <f t="shared" si="12"/>
        <v>23500</v>
      </c>
      <c r="G76" s="17">
        <v>21</v>
      </c>
      <c r="H76" s="18">
        <f t="shared" si="13"/>
        <v>24675</v>
      </c>
      <c r="I76" s="17">
        <v>20</v>
      </c>
      <c r="J76" s="18">
        <f t="shared" si="14"/>
        <v>23500</v>
      </c>
      <c r="K76" s="17">
        <v>20.100000000000001</v>
      </c>
      <c r="L76" s="18">
        <f t="shared" si="15"/>
        <v>23617.5</v>
      </c>
      <c r="M76" s="17">
        <v>20</v>
      </c>
      <c r="N76" s="18">
        <f t="shared" si="16"/>
        <v>23500</v>
      </c>
      <c r="O76" s="17">
        <v>21</v>
      </c>
      <c r="P76" s="18">
        <f t="shared" si="17"/>
        <v>24675</v>
      </c>
      <c r="Q76" s="62">
        <v>13.5</v>
      </c>
      <c r="R76" s="63">
        <f t="shared" si="19"/>
        <v>15862.5</v>
      </c>
    </row>
    <row r="77" spans="1:18" ht="33" customHeight="1" x14ac:dyDescent="0.25">
      <c r="A77" s="44" t="str">
        <f>'Bid Item List A (FAA)'!A89</f>
        <v>0070</v>
      </c>
      <c r="B77" s="53" t="str">
        <f>'Bid Item List A (FAA)'!B89</f>
        <v>General Electrical Removal
(Section 260500)</v>
      </c>
      <c r="C77" s="42">
        <f>'Bid Item List A (FAA)'!C89</f>
        <v>1</v>
      </c>
      <c r="D77" s="44" t="str">
        <f>'Bid Item List A (FAA)'!D89</f>
        <v>LS</v>
      </c>
      <c r="E77" s="17">
        <v>12</v>
      </c>
      <c r="F77" s="18">
        <f t="shared" si="12"/>
        <v>12</v>
      </c>
      <c r="G77" s="17">
        <v>13</v>
      </c>
      <c r="H77" s="18">
        <f t="shared" si="13"/>
        <v>13</v>
      </c>
      <c r="I77" s="17">
        <v>12</v>
      </c>
      <c r="J77" s="18">
        <f t="shared" si="14"/>
        <v>12</v>
      </c>
      <c r="K77" s="17">
        <v>12.25</v>
      </c>
      <c r="L77" s="18">
        <f t="shared" si="15"/>
        <v>12.25</v>
      </c>
      <c r="M77" s="17">
        <v>13</v>
      </c>
      <c r="N77" s="18">
        <f t="shared" si="16"/>
        <v>13</v>
      </c>
      <c r="O77" s="17">
        <v>13</v>
      </c>
      <c r="P77" s="18">
        <f t="shared" si="17"/>
        <v>13</v>
      </c>
      <c r="Q77" s="62">
        <v>13.5</v>
      </c>
      <c r="R77" s="63">
        <f t="shared" si="19"/>
        <v>13.5</v>
      </c>
    </row>
    <row r="78" spans="1:18" ht="33" customHeight="1" x14ac:dyDescent="0.25">
      <c r="A78" s="44" t="str">
        <f>'Bid Item List A (FAA)'!A90</f>
        <v>0071</v>
      </c>
      <c r="B78" s="53" t="str">
        <f>'Bid Item List A (FAA)'!B90</f>
        <v>Temporary Circuit Connection
(Section 260500)</v>
      </c>
      <c r="C78" s="42">
        <f>'Bid Item List A (FAA)'!C90</f>
        <v>1</v>
      </c>
      <c r="D78" s="44" t="str">
        <f>'Bid Item List A (FAA)'!D90</f>
        <v>LS</v>
      </c>
      <c r="E78" s="17">
        <v>21</v>
      </c>
      <c r="F78" s="18">
        <f t="shared" si="12"/>
        <v>21</v>
      </c>
      <c r="G78" s="17">
        <v>23</v>
      </c>
      <c r="H78" s="18">
        <f t="shared" si="13"/>
        <v>23</v>
      </c>
      <c r="I78" s="17">
        <v>21</v>
      </c>
      <c r="J78" s="18">
        <f t="shared" si="14"/>
        <v>21</v>
      </c>
      <c r="K78" s="17">
        <v>21.5</v>
      </c>
      <c r="L78" s="18">
        <f t="shared" si="15"/>
        <v>21.5</v>
      </c>
      <c r="M78" s="17">
        <v>21</v>
      </c>
      <c r="N78" s="18">
        <f t="shared" si="16"/>
        <v>21</v>
      </c>
      <c r="O78" s="17">
        <v>22</v>
      </c>
      <c r="P78" s="18">
        <f t="shared" si="17"/>
        <v>22</v>
      </c>
      <c r="Q78" s="62">
        <v>27</v>
      </c>
      <c r="R78" s="63">
        <f t="shared" si="19"/>
        <v>27</v>
      </c>
    </row>
    <row r="79" spans="1:18" ht="33" customHeight="1" x14ac:dyDescent="0.25">
      <c r="A79" s="44" t="str">
        <f>'Bid Item List A (FAA)'!A91</f>
        <v>0072</v>
      </c>
      <c r="B79" s="53" t="str">
        <f>'Bid Item List A (FAA)'!B91</f>
        <v>Removal of Existing Storm Pipe, Manholes, and Inlets
(Section 312300)</v>
      </c>
      <c r="C79" s="42">
        <f>'Bid Item List A (FAA)'!C91</f>
        <v>1</v>
      </c>
      <c r="D79" s="44" t="str">
        <f>'Bid Item List A (FAA)'!D91</f>
        <v>LS</v>
      </c>
      <c r="E79" s="17">
        <v>31</v>
      </c>
      <c r="F79" s="18">
        <f t="shared" si="12"/>
        <v>31</v>
      </c>
      <c r="G79" s="17">
        <v>34</v>
      </c>
      <c r="H79" s="18">
        <f t="shared" si="13"/>
        <v>34</v>
      </c>
      <c r="I79" s="17">
        <v>31</v>
      </c>
      <c r="J79" s="18">
        <f t="shared" si="14"/>
        <v>31</v>
      </c>
      <c r="K79" s="17">
        <v>31.6</v>
      </c>
      <c r="L79" s="18">
        <f t="shared" si="15"/>
        <v>31.6</v>
      </c>
      <c r="M79" s="17">
        <v>31.5</v>
      </c>
      <c r="N79" s="18">
        <f t="shared" si="16"/>
        <v>31.5</v>
      </c>
      <c r="O79" s="17">
        <v>32</v>
      </c>
      <c r="P79" s="18">
        <f t="shared" si="17"/>
        <v>32</v>
      </c>
      <c r="Q79" s="62">
        <v>25</v>
      </c>
      <c r="R79" s="63">
        <f t="shared" si="19"/>
        <v>25</v>
      </c>
    </row>
    <row r="80" spans="1:18" ht="33" customHeight="1" x14ac:dyDescent="0.25">
      <c r="A80" s="44" t="str">
        <f>'Bid Item List A (FAA)'!$A92</f>
        <v>0073</v>
      </c>
      <c r="B80" s="53" t="str">
        <f>'Bid Item List A (FAA)'!B92</f>
        <v>Connection to Existing Storm Drainage System
(Section 312300)</v>
      </c>
      <c r="C80" s="42">
        <f>'Bid Item List A (FAA)'!C92</f>
        <v>0</v>
      </c>
      <c r="D80" s="44" t="str">
        <f>'Bid Item List A (FAA)'!D92</f>
        <v>Each</v>
      </c>
      <c r="E80" s="17">
        <v>26</v>
      </c>
      <c r="F80" s="18">
        <f t="shared" si="12"/>
        <v>0</v>
      </c>
      <c r="G80" s="17">
        <v>28</v>
      </c>
      <c r="H80" s="18">
        <f t="shared" si="13"/>
        <v>0</v>
      </c>
      <c r="I80" s="17">
        <v>26</v>
      </c>
      <c r="J80" s="18">
        <f t="shared" si="14"/>
        <v>0</v>
      </c>
      <c r="K80" s="17">
        <v>26.5</v>
      </c>
      <c r="L80" s="18">
        <f t="shared" si="15"/>
        <v>0</v>
      </c>
      <c r="M80" s="17">
        <v>27</v>
      </c>
      <c r="N80" s="18">
        <f t="shared" si="16"/>
        <v>0</v>
      </c>
      <c r="O80" s="17">
        <v>27</v>
      </c>
      <c r="P80" s="18">
        <f t="shared" si="17"/>
        <v>0</v>
      </c>
      <c r="Q80" s="62">
        <v>85</v>
      </c>
      <c r="R80" s="63">
        <f t="shared" si="19"/>
        <v>0</v>
      </c>
    </row>
    <row r="81" spans="1:18" ht="33" customHeight="1" x14ac:dyDescent="0.25">
      <c r="A81" s="44" t="str">
        <f>'Bid Item List A (FAA)'!A93</f>
        <v>0074</v>
      </c>
      <c r="B81" s="53" t="str">
        <f>'Bid Item List A (FAA)'!B93</f>
        <v>Existing Manhole Adjustment to Grade
(Section 312300)</v>
      </c>
      <c r="C81" s="42">
        <f>'Bid Item List A (FAA)'!C93</f>
        <v>0</v>
      </c>
      <c r="D81" s="44" t="str">
        <f>'Bid Item List A (FAA)'!D93</f>
        <v>Each</v>
      </c>
      <c r="E81" s="17">
        <v>16</v>
      </c>
      <c r="F81" s="18">
        <f t="shared" ref="F81:F138" si="20">C81*E81</f>
        <v>0</v>
      </c>
      <c r="G81" s="17">
        <v>17</v>
      </c>
      <c r="H81" s="18">
        <f t="shared" si="13"/>
        <v>0</v>
      </c>
      <c r="I81" s="17">
        <v>16</v>
      </c>
      <c r="J81" s="18">
        <f t="shared" si="14"/>
        <v>0</v>
      </c>
      <c r="K81" s="17">
        <v>16.5</v>
      </c>
      <c r="L81" s="18">
        <f t="shared" si="15"/>
        <v>0</v>
      </c>
      <c r="M81" s="17">
        <v>17.5</v>
      </c>
      <c r="N81" s="18">
        <f t="shared" si="16"/>
        <v>0</v>
      </c>
      <c r="O81" s="17">
        <v>20</v>
      </c>
      <c r="P81" s="18">
        <f t="shared" si="17"/>
        <v>0</v>
      </c>
      <c r="Q81" s="62">
        <v>40</v>
      </c>
      <c r="R81" s="63">
        <f t="shared" si="19"/>
        <v>0</v>
      </c>
    </row>
    <row r="82" spans="1:18" ht="33" customHeight="1" x14ac:dyDescent="0.25">
      <c r="A82" s="44" t="str">
        <f>'Bid Item List A (FAA)'!A94</f>
        <v>0075</v>
      </c>
      <c r="B82" s="53" t="str">
        <f>'Bid Item List A (FAA)'!B94</f>
        <v>Existing Catch Basin Adjustment to Grade
(Section 312300)</v>
      </c>
      <c r="C82" s="42">
        <f>'Bid Item List A (FAA)'!C94</f>
        <v>0</v>
      </c>
      <c r="D82" s="44" t="str">
        <f>'Bid Item List A (FAA)'!D94</f>
        <v>Each</v>
      </c>
      <c r="E82" s="17">
        <v>18</v>
      </c>
      <c r="F82" s="18">
        <f t="shared" si="20"/>
        <v>0</v>
      </c>
      <c r="G82" s="17">
        <v>19</v>
      </c>
      <c r="H82" s="18">
        <f t="shared" si="13"/>
        <v>0</v>
      </c>
      <c r="I82" s="17">
        <v>18</v>
      </c>
      <c r="J82" s="18">
        <f t="shared" si="14"/>
        <v>0</v>
      </c>
      <c r="K82" s="17">
        <v>18.399999999999999</v>
      </c>
      <c r="L82" s="18">
        <f t="shared" si="15"/>
        <v>0</v>
      </c>
      <c r="M82" s="17">
        <v>18</v>
      </c>
      <c r="N82" s="18">
        <f t="shared" si="16"/>
        <v>0</v>
      </c>
      <c r="O82" s="17">
        <v>25</v>
      </c>
      <c r="P82" s="18">
        <f t="shared" si="17"/>
        <v>0</v>
      </c>
      <c r="Q82" s="62">
        <v>50</v>
      </c>
      <c r="R82" s="63">
        <f t="shared" si="19"/>
        <v>0</v>
      </c>
    </row>
    <row r="83" spans="1:18" ht="33" customHeight="1" x14ac:dyDescent="0.25">
      <c r="A83" s="44" t="str">
        <f>'Bid Item List A (FAA)'!A95</f>
        <v>0076</v>
      </c>
      <c r="B83" s="53" t="str">
        <f>'Bid Item List A (FAA)'!B95</f>
        <v>Existing Electrical Vault Adjustment to Grade
(Section 312300)</v>
      </c>
      <c r="C83" s="42">
        <f>'Bid Item List A (FAA)'!C95</f>
        <v>2</v>
      </c>
      <c r="D83" s="44" t="str">
        <f>'Bid Item List A (FAA)'!D95</f>
        <v>Each</v>
      </c>
      <c r="E83" s="17">
        <v>22</v>
      </c>
      <c r="F83" s="18">
        <f t="shared" si="20"/>
        <v>44</v>
      </c>
      <c r="G83" s="17">
        <v>24</v>
      </c>
      <c r="H83" s="18">
        <f t="shared" si="13"/>
        <v>48</v>
      </c>
      <c r="I83" s="17">
        <v>22</v>
      </c>
      <c r="J83" s="18">
        <f t="shared" si="14"/>
        <v>44</v>
      </c>
      <c r="K83" s="17">
        <v>22.5</v>
      </c>
      <c r="L83" s="18">
        <f t="shared" si="15"/>
        <v>45</v>
      </c>
      <c r="M83" s="17">
        <v>22</v>
      </c>
      <c r="N83" s="18">
        <f t="shared" si="16"/>
        <v>44</v>
      </c>
      <c r="O83" s="17">
        <v>26</v>
      </c>
      <c r="P83" s="18">
        <f t="shared" si="17"/>
        <v>52</v>
      </c>
      <c r="Q83" s="62">
        <v>55</v>
      </c>
      <c r="R83" s="63">
        <f t="shared" si="19"/>
        <v>110</v>
      </c>
    </row>
    <row r="84" spans="1:18" ht="33" customHeight="1" x14ac:dyDescent="0.25">
      <c r="A84" s="44" t="str">
        <f>'Bid Item List A (FAA)'!$A96</f>
        <v>0077</v>
      </c>
      <c r="B84" s="53" t="str">
        <f>'Bid Item List A (FAA)'!B96</f>
        <v>12-Inch Ductile Iron (Force Main) Pipe
(Section 334100)</v>
      </c>
      <c r="C84" s="42">
        <f>'Bid Item List A (FAA)'!C96</f>
        <v>0</v>
      </c>
      <c r="D84" s="44" t="str">
        <f>'Bid Item List A (FAA)'!D96</f>
        <v>LF</v>
      </c>
      <c r="E84" s="17">
        <v>22</v>
      </c>
      <c r="F84" s="18">
        <f t="shared" si="20"/>
        <v>0</v>
      </c>
      <c r="G84" s="17">
        <v>22</v>
      </c>
      <c r="H84" s="18">
        <f t="shared" ref="H84:H138" si="21">C84*G84</f>
        <v>0</v>
      </c>
      <c r="I84" s="17">
        <v>21</v>
      </c>
      <c r="J84" s="18">
        <f t="shared" ref="J84:J138" si="22">C84*I84</f>
        <v>0</v>
      </c>
      <c r="K84" s="17">
        <v>21.5</v>
      </c>
      <c r="L84" s="18">
        <f t="shared" ref="L84:L138" si="23">C84*K84</f>
        <v>0</v>
      </c>
      <c r="M84" s="17">
        <v>22</v>
      </c>
      <c r="N84" s="18">
        <f t="shared" ref="N84:N138" si="24">C84*M84</f>
        <v>0</v>
      </c>
      <c r="O84" s="17">
        <v>30</v>
      </c>
      <c r="P84" s="18">
        <f t="shared" ref="P84:P138" si="25">C84*O84</f>
        <v>0</v>
      </c>
      <c r="Q84" s="62">
        <v>57.5</v>
      </c>
      <c r="R84" s="63">
        <f t="shared" si="19"/>
        <v>0</v>
      </c>
    </row>
    <row r="85" spans="1:18" ht="33" customHeight="1" x14ac:dyDescent="0.25">
      <c r="A85" s="44" t="str">
        <f>'Bid Item List A (FAA)'!A97</f>
        <v>0078</v>
      </c>
      <c r="B85" s="53" t="str">
        <f>'Bid Item List A (FAA)'!B97</f>
        <v>20-Inch Ductile Iron (Force Main) Pipe
(Section 334100)</v>
      </c>
      <c r="C85" s="42">
        <f>'Bid Item List A (FAA)'!C97</f>
        <v>0</v>
      </c>
      <c r="D85" s="44" t="str">
        <f>'Bid Item List A (FAA)'!D97</f>
        <v>LF</v>
      </c>
      <c r="E85" s="17">
        <v>72</v>
      </c>
      <c r="F85" s="18">
        <f t="shared" si="20"/>
        <v>0</v>
      </c>
      <c r="G85" s="17">
        <v>75</v>
      </c>
      <c r="H85" s="18">
        <f t="shared" si="21"/>
        <v>0</v>
      </c>
      <c r="I85" s="17">
        <v>70</v>
      </c>
      <c r="J85" s="18">
        <f t="shared" si="22"/>
        <v>0</v>
      </c>
      <c r="K85" s="17">
        <v>71</v>
      </c>
      <c r="L85" s="18">
        <f t="shared" si="23"/>
        <v>0</v>
      </c>
      <c r="M85" s="17">
        <v>72</v>
      </c>
      <c r="N85" s="18">
        <f t="shared" si="24"/>
        <v>0</v>
      </c>
      <c r="O85" s="17">
        <v>80</v>
      </c>
      <c r="P85" s="18">
        <f t="shared" si="25"/>
        <v>0</v>
      </c>
      <c r="Q85" s="62">
        <v>55</v>
      </c>
      <c r="R85" s="63">
        <f t="shared" si="19"/>
        <v>0</v>
      </c>
    </row>
    <row r="86" spans="1:18" ht="33" customHeight="1" x14ac:dyDescent="0.25">
      <c r="A86" s="44" t="str">
        <f>'Bid Item List A (FAA)'!A98</f>
        <v>0079</v>
      </c>
      <c r="B86" s="53" t="str">
        <f>'Bid Item List A (FAA)'!B98</f>
        <v>Riprap
(Section 334100)</v>
      </c>
      <c r="C86" s="42">
        <f>'Bid Item List A (FAA)'!C98</f>
        <v>0</v>
      </c>
      <c r="D86" s="44" t="str">
        <f>'Bid Item List A (FAA)'!D98</f>
        <v>CY</v>
      </c>
      <c r="E86" s="17">
        <v>33000</v>
      </c>
      <c r="F86" s="18">
        <f t="shared" si="20"/>
        <v>0</v>
      </c>
      <c r="G86" s="17">
        <v>65000</v>
      </c>
      <c r="H86" s="18">
        <f t="shared" si="21"/>
        <v>0</v>
      </c>
      <c r="I86" s="17">
        <v>100000</v>
      </c>
      <c r="J86" s="18">
        <f t="shared" si="22"/>
        <v>0</v>
      </c>
      <c r="K86" s="17">
        <v>141000</v>
      </c>
      <c r="L86" s="18">
        <f t="shared" si="23"/>
        <v>0</v>
      </c>
      <c r="M86" s="17">
        <v>35000</v>
      </c>
      <c r="N86" s="18">
        <f t="shared" si="24"/>
        <v>0</v>
      </c>
      <c r="O86" s="17">
        <v>50000</v>
      </c>
      <c r="P86" s="18">
        <f t="shared" si="25"/>
        <v>0</v>
      </c>
      <c r="Q86" s="62">
        <v>140000</v>
      </c>
      <c r="R86" s="63">
        <f t="shared" si="19"/>
        <v>0</v>
      </c>
    </row>
    <row r="87" spans="1:18" ht="33" customHeight="1" x14ac:dyDescent="0.25">
      <c r="A87" s="44" t="str">
        <f>'Bid Item List A (FAA)'!A99</f>
        <v>0080</v>
      </c>
      <c r="B87" s="53" t="str">
        <f>'Bid Item List A (FAA)'!B99</f>
        <v>Stormwater Pump Station, Electrical Equipment Installation
(Section 334213)</v>
      </c>
      <c r="C87" s="42">
        <f>'Bid Item List A (FAA)'!C99</f>
        <v>1</v>
      </c>
      <c r="D87" s="44" t="str">
        <f>'Bid Item List A (FAA)'!D99</f>
        <v>LS</v>
      </c>
      <c r="E87" s="17">
        <v>10000</v>
      </c>
      <c r="F87" s="18">
        <f t="shared" si="20"/>
        <v>10000</v>
      </c>
      <c r="G87" s="17">
        <v>10500</v>
      </c>
      <c r="H87" s="18">
        <f t="shared" si="21"/>
        <v>10500</v>
      </c>
      <c r="I87" s="17">
        <v>25000</v>
      </c>
      <c r="J87" s="18">
        <f t="shared" si="22"/>
        <v>25000</v>
      </c>
      <c r="K87" s="17">
        <v>9800</v>
      </c>
      <c r="L87" s="18">
        <f t="shared" si="23"/>
        <v>9800</v>
      </c>
      <c r="M87" s="17">
        <v>9000</v>
      </c>
      <c r="N87" s="18">
        <f t="shared" si="24"/>
        <v>9000</v>
      </c>
      <c r="O87" s="17">
        <v>10000</v>
      </c>
      <c r="P87" s="18">
        <f t="shared" si="25"/>
        <v>10000</v>
      </c>
      <c r="Q87" s="62">
        <v>50000</v>
      </c>
      <c r="R87" s="63">
        <f t="shared" si="19"/>
        <v>50000</v>
      </c>
    </row>
    <row r="88" spans="1:18" ht="33" customHeight="1" x14ac:dyDescent="0.25">
      <c r="A88" s="44" t="str">
        <f>'Bid Item List A (FAA)'!$A100</f>
        <v>0081</v>
      </c>
      <c r="B88" s="53" t="str">
        <f>'Bid Item List A (FAA)'!B100</f>
        <v>Stormwater Valve Vault
(Section 334213)</v>
      </c>
      <c r="C88" s="42">
        <f>'Bid Item List A (FAA)'!C100</f>
        <v>1</v>
      </c>
      <c r="D88" s="44" t="str">
        <f>'Bid Item List A (FAA)'!D100</f>
        <v>LS</v>
      </c>
      <c r="E88" s="17">
        <v>3200</v>
      </c>
      <c r="F88" s="18">
        <f t="shared" si="20"/>
        <v>3200</v>
      </c>
      <c r="G88" s="17">
        <v>7000</v>
      </c>
      <c r="H88" s="18">
        <f t="shared" si="21"/>
        <v>7000</v>
      </c>
      <c r="I88" s="17">
        <v>3500</v>
      </c>
      <c r="J88" s="18">
        <f t="shared" si="22"/>
        <v>3500</v>
      </c>
      <c r="K88" s="17">
        <v>4200</v>
      </c>
      <c r="L88" s="18">
        <f t="shared" si="23"/>
        <v>4200</v>
      </c>
      <c r="M88" s="17">
        <v>3200</v>
      </c>
      <c r="N88" s="18">
        <f t="shared" si="24"/>
        <v>3200</v>
      </c>
      <c r="O88" s="17">
        <v>4000</v>
      </c>
      <c r="P88" s="18">
        <f t="shared" si="25"/>
        <v>4000</v>
      </c>
      <c r="Q88" s="62">
        <v>3000</v>
      </c>
      <c r="R88" s="63">
        <f t="shared" si="19"/>
        <v>3000</v>
      </c>
    </row>
    <row r="89" spans="1:18" ht="33" customHeight="1" x14ac:dyDescent="0.25">
      <c r="A89" s="44" t="str">
        <f>'Bid Item List A (FAA)'!A101</f>
        <v>0082</v>
      </c>
      <c r="B89" s="53" t="str">
        <f>'Bid Item List A (FAA)'!B101</f>
        <v>Install PF LED Taxiway Centerline Light with PF Base Can, CF Transformer in New AC (Section 344300)</v>
      </c>
      <c r="C89" s="42">
        <f>'Bid Item List A (FAA)'!C101</f>
        <v>22</v>
      </c>
      <c r="D89" s="44" t="str">
        <f>'Bid Item List A (FAA)'!D101</f>
        <v>Each</v>
      </c>
      <c r="E89" s="17">
        <v>100000</v>
      </c>
      <c r="F89" s="18">
        <f t="shared" si="20"/>
        <v>2200000</v>
      </c>
      <c r="G89" s="17">
        <v>105000</v>
      </c>
      <c r="H89" s="18">
        <f t="shared" si="21"/>
        <v>2310000</v>
      </c>
      <c r="I89" s="17">
        <v>150000</v>
      </c>
      <c r="J89" s="18">
        <f t="shared" si="22"/>
        <v>3300000</v>
      </c>
      <c r="K89" s="17">
        <v>267000</v>
      </c>
      <c r="L89" s="18">
        <f t="shared" si="23"/>
        <v>5874000</v>
      </c>
      <c r="M89" s="17">
        <v>45000</v>
      </c>
      <c r="N89" s="18">
        <f t="shared" si="24"/>
        <v>990000</v>
      </c>
      <c r="O89" s="17">
        <v>60000</v>
      </c>
      <c r="P89" s="18">
        <f t="shared" si="25"/>
        <v>1320000</v>
      </c>
      <c r="Q89" s="62">
        <v>75000</v>
      </c>
      <c r="R89" s="63">
        <f t="shared" si="19"/>
        <v>1650000</v>
      </c>
    </row>
    <row r="90" spans="1:18" ht="33" customHeight="1" x14ac:dyDescent="0.25">
      <c r="A90" s="44" t="str">
        <f>'Bid Item List A (FAA)'!A102</f>
        <v>0083</v>
      </c>
      <c r="B90" s="53" t="str">
        <f>'Bid Item List A (FAA)'!B102</f>
        <v>Install PF LED Taxiway Centerline Light on Existing Base Can with CF Isolation Transformer  (Section 344300)</v>
      </c>
      <c r="C90" s="42">
        <f>'Bid Item List A (FAA)'!C102</f>
        <v>9</v>
      </c>
      <c r="D90" s="44" t="str">
        <f>'Bid Item List A (FAA)'!D102</f>
        <v>Each</v>
      </c>
      <c r="E90" s="17">
        <v>2000</v>
      </c>
      <c r="F90" s="18">
        <f t="shared" si="20"/>
        <v>18000</v>
      </c>
      <c r="G90" s="17">
        <v>1100</v>
      </c>
      <c r="H90" s="18">
        <f t="shared" si="21"/>
        <v>9900</v>
      </c>
      <c r="I90" s="17">
        <v>1000</v>
      </c>
      <c r="J90" s="18">
        <f t="shared" si="22"/>
        <v>9000</v>
      </c>
      <c r="K90" s="17">
        <v>1375</v>
      </c>
      <c r="L90" s="18">
        <f t="shared" si="23"/>
        <v>12375</v>
      </c>
      <c r="M90" s="17">
        <v>1500</v>
      </c>
      <c r="N90" s="18">
        <f t="shared" si="24"/>
        <v>13500</v>
      </c>
      <c r="O90" s="17">
        <v>1000</v>
      </c>
      <c r="P90" s="18">
        <f t="shared" si="25"/>
        <v>9000</v>
      </c>
      <c r="Q90" s="62">
        <v>1200</v>
      </c>
      <c r="R90" s="63">
        <f t="shared" si="19"/>
        <v>10800</v>
      </c>
    </row>
    <row r="91" spans="1:18" ht="33" customHeight="1" x14ac:dyDescent="0.25">
      <c r="A91" s="44" t="str">
        <f>'Bid Item List A (FAA)'!A103</f>
        <v>0084</v>
      </c>
      <c r="B91" s="53" t="str">
        <f>'Bid Item List A (FAA)'!B103</f>
        <v>Adjust Existing Elevated Runway Threshold Light
(Section 344301)</v>
      </c>
      <c r="C91" s="42">
        <f>'Bid Item List A (FAA)'!C103</f>
        <v>8</v>
      </c>
      <c r="D91" s="44" t="str">
        <f>'Bid Item List A (FAA)'!D103</f>
        <v>Each</v>
      </c>
      <c r="E91" s="17">
        <v>1600</v>
      </c>
      <c r="F91" s="18">
        <f t="shared" si="20"/>
        <v>12800</v>
      </c>
      <c r="G91" s="17">
        <v>850</v>
      </c>
      <c r="H91" s="18">
        <f t="shared" si="21"/>
        <v>6800</v>
      </c>
      <c r="I91" s="17">
        <v>500</v>
      </c>
      <c r="J91" s="18">
        <f t="shared" si="22"/>
        <v>4000</v>
      </c>
      <c r="K91" s="17">
        <v>1030</v>
      </c>
      <c r="L91" s="18">
        <f t="shared" si="23"/>
        <v>8240</v>
      </c>
      <c r="M91" s="17">
        <v>750</v>
      </c>
      <c r="N91" s="18">
        <f t="shared" si="24"/>
        <v>6000</v>
      </c>
      <c r="O91" s="17">
        <v>1500</v>
      </c>
      <c r="P91" s="18">
        <f t="shared" si="25"/>
        <v>12000</v>
      </c>
      <c r="Q91" s="62">
        <v>750</v>
      </c>
      <c r="R91" s="63">
        <f t="shared" si="19"/>
        <v>6000</v>
      </c>
    </row>
    <row r="92" spans="1:18" ht="33" customHeight="1" x14ac:dyDescent="0.25">
      <c r="A92" s="44" t="str">
        <f>'Bid Item List A (FAA)'!$A104</f>
        <v>0085</v>
      </c>
      <c r="B92" s="53" t="str">
        <f>'Bid Item List A (FAA)'!B104</f>
        <v>Adjust Existing In-Pavement Runway Edge Light
(Section 344301)</v>
      </c>
      <c r="C92" s="42">
        <f>'Bid Item List A (FAA)'!C104</f>
        <v>8</v>
      </c>
      <c r="D92" s="44" t="str">
        <f>'Bid Item List A (FAA)'!D104</f>
        <v>Each</v>
      </c>
      <c r="E92" s="17">
        <v>900</v>
      </c>
      <c r="F92" s="18">
        <f t="shared" si="20"/>
        <v>7200</v>
      </c>
      <c r="G92" s="17">
        <v>950</v>
      </c>
      <c r="H92" s="18">
        <f t="shared" si="21"/>
        <v>7600</v>
      </c>
      <c r="I92" s="17">
        <v>1000</v>
      </c>
      <c r="J92" s="18">
        <f t="shared" si="22"/>
        <v>8000</v>
      </c>
      <c r="K92" s="17">
        <v>2600</v>
      </c>
      <c r="L92" s="18">
        <f t="shared" si="23"/>
        <v>20800</v>
      </c>
      <c r="M92" s="17">
        <v>500</v>
      </c>
      <c r="N92" s="18">
        <f t="shared" si="24"/>
        <v>4000</v>
      </c>
      <c r="O92" s="17">
        <v>1500</v>
      </c>
      <c r="P92" s="18">
        <f t="shared" si="25"/>
        <v>12000</v>
      </c>
      <c r="Q92" s="62">
        <v>1000</v>
      </c>
      <c r="R92" s="63">
        <f t="shared" si="19"/>
        <v>8000</v>
      </c>
    </row>
    <row r="93" spans="1:18" ht="33" customHeight="1" x14ac:dyDescent="0.25">
      <c r="A93" s="44" t="str">
        <f>'Bid Item List A (FAA)'!$A105</f>
        <v>0086</v>
      </c>
      <c r="B93" s="53" t="str">
        <f>'Bid Item List A (FAA)'!B105</f>
        <v>Adjust Existing In-Pavement Stop Bar Light
(Section 344301)</v>
      </c>
      <c r="C93" s="42">
        <f>'Bid Item List A (FAA)'!C105</f>
        <v>15</v>
      </c>
      <c r="D93" s="44" t="str">
        <f>'Bid Item List A (FAA)'!D105</f>
        <v>Each</v>
      </c>
      <c r="E93" s="17">
        <v>1200</v>
      </c>
      <c r="F93" s="18">
        <f t="shared" si="20"/>
        <v>18000</v>
      </c>
      <c r="G93" s="17">
        <v>2500</v>
      </c>
      <c r="H93" s="18">
        <f t="shared" si="21"/>
        <v>37500</v>
      </c>
      <c r="I93" s="17">
        <v>1150</v>
      </c>
      <c r="J93" s="18">
        <f t="shared" si="22"/>
        <v>17250</v>
      </c>
      <c r="K93" s="17">
        <v>1150</v>
      </c>
      <c r="L93" s="18">
        <f t="shared" si="23"/>
        <v>17250</v>
      </c>
      <c r="M93" s="17">
        <v>1125</v>
      </c>
      <c r="N93" s="18">
        <f t="shared" si="24"/>
        <v>16875</v>
      </c>
      <c r="O93" s="17">
        <v>1300</v>
      </c>
      <c r="P93" s="18">
        <f t="shared" si="25"/>
        <v>19500</v>
      </c>
      <c r="Q93" s="62">
        <v>1000</v>
      </c>
      <c r="R93" s="63">
        <f t="shared" si="19"/>
        <v>15000</v>
      </c>
    </row>
    <row r="94" spans="1:18" ht="33" customHeight="1" x14ac:dyDescent="0.25">
      <c r="A94" s="44" t="str">
        <f>'Bid Item List A (FAA)'!A106</f>
        <v>0087</v>
      </c>
      <c r="B94" s="53" t="str">
        <f>'Bid Item List A (FAA)'!B106</f>
        <v>Sign E6-6
(Section 344302)</v>
      </c>
      <c r="C94" s="42">
        <f>'Bid Item List A (FAA)'!C106</f>
        <v>1</v>
      </c>
      <c r="D94" s="44" t="str">
        <f>'Bid Item List A (FAA)'!D106</f>
        <v>LS</v>
      </c>
      <c r="E94" s="17">
        <v>940</v>
      </c>
      <c r="F94" s="18">
        <f t="shared" si="20"/>
        <v>940</v>
      </c>
      <c r="G94" s="17">
        <v>1000</v>
      </c>
      <c r="H94" s="18">
        <f t="shared" si="21"/>
        <v>1000</v>
      </c>
      <c r="I94" s="17">
        <v>950</v>
      </c>
      <c r="J94" s="18">
        <f t="shared" si="22"/>
        <v>950</v>
      </c>
      <c r="K94" s="17">
        <v>950</v>
      </c>
      <c r="L94" s="18">
        <f t="shared" si="23"/>
        <v>950</v>
      </c>
      <c r="M94" s="17">
        <v>940</v>
      </c>
      <c r="N94" s="18">
        <f t="shared" si="24"/>
        <v>940</v>
      </c>
      <c r="O94" s="17">
        <v>1100</v>
      </c>
      <c r="P94" s="18">
        <f t="shared" si="25"/>
        <v>1100</v>
      </c>
      <c r="Q94" s="62">
        <v>1500</v>
      </c>
      <c r="R94" s="63">
        <f t="shared" si="19"/>
        <v>1500</v>
      </c>
    </row>
    <row r="95" spans="1:18" ht="33" customHeight="1" x14ac:dyDescent="0.25">
      <c r="A95" s="44" t="str">
        <f>'Bid Item List A (FAA)'!A107</f>
        <v>0088</v>
      </c>
      <c r="B95" s="53" t="str">
        <f>'Bid Item List A (FAA)'!B107</f>
        <v>Sign E6-9
(Section 344302)</v>
      </c>
      <c r="C95" s="42">
        <f>'Bid Item List A (FAA)'!C107</f>
        <v>1</v>
      </c>
      <c r="D95" s="44" t="str">
        <f>'Bid Item List A (FAA)'!D107</f>
        <v>LS</v>
      </c>
      <c r="E95" s="17">
        <v>910</v>
      </c>
      <c r="F95" s="18">
        <f t="shared" si="20"/>
        <v>910</v>
      </c>
      <c r="G95" s="17">
        <v>975</v>
      </c>
      <c r="H95" s="18">
        <f t="shared" si="21"/>
        <v>975</v>
      </c>
      <c r="I95" s="17">
        <v>950</v>
      </c>
      <c r="J95" s="18">
        <f t="shared" si="22"/>
        <v>950</v>
      </c>
      <c r="K95" s="17">
        <v>925</v>
      </c>
      <c r="L95" s="18">
        <f t="shared" si="23"/>
        <v>925</v>
      </c>
      <c r="M95" s="17">
        <v>910</v>
      </c>
      <c r="N95" s="18">
        <f t="shared" si="24"/>
        <v>910</v>
      </c>
      <c r="O95" s="17">
        <v>1000</v>
      </c>
      <c r="P95" s="18">
        <f t="shared" si="25"/>
        <v>1000</v>
      </c>
      <c r="Q95" s="62">
        <v>1450</v>
      </c>
      <c r="R95" s="63">
        <f t="shared" si="19"/>
        <v>1450</v>
      </c>
    </row>
    <row r="96" spans="1:18" ht="33" customHeight="1" x14ac:dyDescent="0.25">
      <c r="A96" s="44" t="str">
        <f>'Bid Item List A (FAA)'!A108</f>
        <v>0089</v>
      </c>
      <c r="B96" s="53" t="str">
        <f>'Bid Item List A (FAA)'!B108</f>
        <v>Sign G-3
(Section 344302)</v>
      </c>
      <c r="C96" s="42">
        <f>'Bid Item List A (FAA)'!C108</f>
        <v>1</v>
      </c>
      <c r="D96" s="44" t="str">
        <f>'Bid Item List A (FAA)'!D108</f>
        <v>LS</v>
      </c>
      <c r="E96" s="17">
        <v>940</v>
      </c>
      <c r="F96" s="18">
        <f t="shared" si="20"/>
        <v>940</v>
      </c>
      <c r="G96" s="17">
        <v>1000</v>
      </c>
      <c r="H96" s="18">
        <f t="shared" si="21"/>
        <v>1000</v>
      </c>
      <c r="I96" s="17">
        <v>950</v>
      </c>
      <c r="J96" s="18">
        <f t="shared" si="22"/>
        <v>950</v>
      </c>
      <c r="K96" s="17">
        <v>950</v>
      </c>
      <c r="L96" s="18">
        <f t="shared" si="23"/>
        <v>950</v>
      </c>
      <c r="M96" s="17">
        <v>940</v>
      </c>
      <c r="N96" s="18">
        <f t="shared" si="24"/>
        <v>940</v>
      </c>
      <c r="O96" s="17">
        <v>1100</v>
      </c>
      <c r="P96" s="18">
        <f t="shared" si="25"/>
        <v>1100</v>
      </c>
      <c r="Q96" s="62">
        <v>1550</v>
      </c>
      <c r="R96" s="63">
        <f t="shared" si="19"/>
        <v>1550</v>
      </c>
    </row>
    <row r="97" spans="1:18" ht="33" customHeight="1" x14ac:dyDescent="0.25">
      <c r="A97" s="44" t="e">
        <f>'Bid Item List A (FAA)'!#REF!</f>
        <v>#REF!</v>
      </c>
      <c r="B97" s="53" t="e">
        <f>'Bid Item List A (FAA)'!#REF!</f>
        <v>#REF!</v>
      </c>
      <c r="C97" s="42" t="e">
        <f>'Bid Item List A (FAA)'!#REF!</f>
        <v>#REF!</v>
      </c>
      <c r="D97" s="44" t="e">
        <f>'Bid Item List A (FAA)'!#REF!</f>
        <v>#REF!</v>
      </c>
      <c r="E97" s="17">
        <v>1100</v>
      </c>
      <c r="F97" s="18" t="e">
        <f t="shared" si="20"/>
        <v>#REF!</v>
      </c>
      <c r="G97" s="17">
        <v>1150</v>
      </c>
      <c r="H97" s="18" t="e">
        <f t="shared" si="21"/>
        <v>#REF!</v>
      </c>
      <c r="I97" s="17">
        <v>1100</v>
      </c>
      <c r="J97" s="18" t="e">
        <f t="shared" si="22"/>
        <v>#REF!</v>
      </c>
      <c r="K97" s="17">
        <v>1100</v>
      </c>
      <c r="L97" s="18" t="e">
        <f t="shared" si="23"/>
        <v>#REF!</v>
      </c>
      <c r="M97" s="17">
        <v>1100</v>
      </c>
      <c r="N97" s="18" t="e">
        <f t="shared" si="24"/>
        <v>#REF!</v>
      </c>
      <c r="O97" s="17">
        <v>1200</v>
      </c>
      <c r="P97" s="18" t="e">
        <f t="shared" si="25"/>
        <v>#REF!</v>
      </c>
      <c r="Q97" s="62">
        <v>1450</v>
      </c>
      <c r="R97" s="63" t="e">
        <f t="shared" si="19"/>
        <v>#REF!</v>
      </c>
    </row>
    <row r="98" spans="1:18" ht="33" customHeight="1" x14ac:dyDescent="0.25">
      <c r="A98" s="44" t="e">
        <f>'Bid Item List A (FAA)'!#REF!</f>
        <v>#REF!</v>
      </c>
      <c r="B98" s="53" t="e">
        <f>'Bid Item List A (FAA)'!#REF!</f>
        <v>#REF!</v>
      </c>
      <c r="C98" s="42" t="e">
        <f>'Bid Item List A (FAA)'!#REF!</f>
        <v>#REF!</v>
      </c>
      <c r="D98" s="44" t="e">
        <f>'Bid Item List A (FAA)'!#REF!</f>
        <v>#REF!</v>
      </c>
      <c r="E98" s="17">
        <v>1025</v>
      </c>
      <c r="F98" s="18" t="e">
        <f t="shared" si="20"/>
        <v>#REF!</v>
      </c>
      <c r="G98" s="17">
        <v>1100</v>
      </c>
      <c r="H98" s="18" t="e">
        <f t="shared" si="21"/>
        <v>#REF!</v>
      </c>
      <c r="I98" s="17">
        <v>1100</v>
      </c>
      <c r="J98" s="18" t="e">
        <f t="shared" si="22"/>
        <v>#REF!</v>
      </c>
      <c r="K98" s="17">
        <v>1050</v>
      </c>
      <c r="L98" s="18" t="e">
        <f t="shared" si="23"/>
        <v>#REF!</v>
      </c>
      <c r="M98" s="17">
        <v>1050</v>
      </c>
      <c r="N98" s="18" t="e">
        <f t="shared" si="24"/>
        <v>#REF!</v>
      </c>
      <c r="O98" s="17">
        <v>1100</v>
      </c>
      <c r="P98" s="18" t="e">
        <f t="shared" si="25"/>
        <v>#REF!</v>
      </c>
      <c r="Q98" s="62">
        <v>2500</v>
      </c>
      <c r="R98" s="63" t="e">
        <f t="shared" si="19"/>
        <v>#REF!</v>
      </c>
    </row>
    <row r="99" spans="1:18" ht="33" customHeight="1" x14ac:dyDescent="0.25">
      <c r="A99" s="44" t="e">
        <f>'Bid Item List A (FAA)'!#REF!</f>
        <v>#REF!</v>
      </c>
      <c r="B99" s="53" t="e">
        <f>'Bid Item List A (FAA)'!#REF!</f>
        <v>#REF!</v>
      </c>
      <c r="C99" s="42" t="e">
        <f>'Bid Item List A (FAA)'!#REF!</f>
        <v>#REF!</v>
      </c>
      <c r="D99" s="44" t="e">
        <f>'Bid Item List A (FAA)'!#REF!</f>
        <v>#REF!</v>
      </c>
      <c r="E99" s="17">
        <v>1100</v>
      </c>
      <c r="F99" s="18" t="e">
        <f t="shared" si="20"/>
        <v>#REF!</v>
      </c>
      <c r="G99" s="17">
        <v>1150</v>
      </c>
      <c r="H99" s="18" t="e">
        <f t="shared" si="21"/>
        <v>#REF!</v>
      </c>
      <c r="I99" s="17">
        <v>1100</v>
      </c>
      <c r="J99" s="18" t="e">
        <f t="shared" si="22"/>
        <v>#REF!</v>
      </c>
      <c r="K99" s="17">
        <v>1100</v>
      </c>
      <c r="L99" s="18" t="e">
        <f t="shared" si="23"/>
        <v>#REF!</v>
      </c>
      <c r="M99" s="17">
        <v>1080</v>
      </c>
      <c r="N99" s="18" t="e">
        <f t="shared" si="24"/>
        <v>#REF!</v>
      </c>
      <c r="O99" s="17">
        <v>1100</v>
      </c>
      <c r="P99" s="18" t="e">
        <f t="shared" si="25"/>
        <v>#REF!</v>
      </c>
      <c r="Q99" s="62">
        <v>1500</v>
      </c>
      <c r="R99" s="63" t="e">
        <f t="shared" si="19"/>
        <v>#REF!</v>
      </c>
    </row>
    <row r="100" spans="1:18" ht="33" customHeight="1" x14ac:dyDescent="0.25">
      <c r="A100" s="44" t="e">
        <f>'Bid Item List A (FAA)'!#REF!</f>
        <v>#REF!</v>
      </c>
      <c r="B100" s="53" t="e">
        <f>'Bid Item List A (FAA)'!#REF!</f>
        <v>#REF!</v>
      </c>
      <c r="C100" s="42" t="e">
        <f>'Bid Item List A (FAA)'!#REF!</f>
        <v>#REF!</v>
      </c>
      <c r="D100" s="44" t="e">
        <f>'Bid Item List A (FAA)'!#REF!</f>
        <v>#REF!</v>
      </c>
      <c r="E100" s="17">
        <v>1050</v>
      </c>
      <c r="F100" s="18" t="e">
        <f t="shared" si="20"/>
        <v>#REF!</v>
      </c>
      <c r="G100" s="17">
        <v>1100</v>
      </c>
      <c r="H100" s="18" t="e">
        <f t="shared" si="21"/>
        <v>#REF!</v>
      </c>
      <c r="I100" s="17">
        <v>1100</v>
      </c>
      <c r="J100" s="18" t="e">
        <f t="shared" si="22"/>
        <v>#REF!</v>
      </c>
      <c r="K100" s="17">
        <v>1050</v>
      </c>
      <c r="L100" s="18" t="e">
        <f t="shared" si="23"/>
        <v>#REF!</v>
      </c>
      <c r="M100" s="17">
        <v>1035</v>
      </c>
      <c r="N100" s="18" t="e">
        <f t="shared" si="24"/>
        <v>#REF!</v>
      </c>
      <c r="O100" s="17">
        <v>1100</v>
      </c>
      <c r="P100" s="18" t="e">
        <f t="shared" si="25"/>
        <v>#REF!</v>
      </c>
      <c r="Q100" s="62">
        <v>2550</v>
      </c>
      <c r="R100" s="63" t="e">
        <f t="shared" si="19"/>
        <v>#REF!</v>
      </c>
    </row>
    <row r="101" spans="1:18" ht="33" customHeight="1" x14ac:dyDescent="0.25">
      <c r="A101" s="44" t="e">
        <f>'Bid Item List A (FAA)'!#REF!</f>
        <v>#REF!</v>
      </c>
      <c r="B101" s="53" t="e">
        <f>'Bid Item List A (FAA)'!#REF!</f>
        <v>#REF!</v>
      </c>
      <c r="C101" s="42" t="e">
        <f>'Bid Item List A (FAA)'!#REF!</f>
        <v>#REF!</v>
      </c>
      <c r="D101" s="44" t="e">
        <f>'Bid Item List A (FAA)'!#REF!</f>
        <v>#REF!</v>
      </c>
      <c r="E101" s="17">
        <v>300</v>
      </c>
      <c r="F101" s="18" t="e">
        <f t="shared" si="20"/>
        <v>#REF!</v>
      </c>
      <c r="G101" s="17">
        <v>300</v>
      </c>
      <c r="H101" s="18" t="e">
        <f t="shared" si="21"/>
        <v>#REF!</v>
      </c>
      <c r="I101" s="17">
        <v>300</v>
      </c>
      <c r="J101" s="18" t="e">
        <f t="shared" si="22"/>
        <v>#REF!</v>
      </c>
      <c r="K101" s="17">
        <v>300</v>
      </c>
      <c r="L101" s="18" t="e">
        <f t="shared" si="23"/>
        <v>#REF!</v>
      </c>
      <c r="M101" s="17">
        <v>275</v>
      </c>
      <c r="N101" s="18" t="e">
        <f t="shared" si="24"/>
        <v>#REF!</v>
      </c>
      <c r="O101" s="17">
        <v>300</v>
      </c>
      <c r="P101" s="18" t="e">
        <f t="shared" si="25"/>
        <v>#REF!</v>
      </c>
      <c r="Q101" s="62">
        <v>275</v>
      </c>
      <c r="R101" s="63" t="e">
        <f t="shared" si="19"/>
        <v>#REF!</v>
      </c>
    </row>
    <row r="102" spans="1:18" ht="33" customHeight="1" x14ac:dyDescent="0.25">
      <c r="A102" s="44" t="e">
        <f>'Bid Item List A (FAA)'!#REF!</f>
        <v>#REF!</v>
      </c>
      <c r="B102" s="53" t="e">
        <f>'Bid Item List A (FAA)'!#REF!</f>
        <v>#REF!</v>
      </c>
      <c r="C102" s="42" t="e">
        <f>'Bid Item List A (FAA)'!#REF!</f>
        <v>#REF!</v>
      </c>
      <c r="D102" s="44" t="e">
        <f>'Bid Item List A (FAA)'!#REF!</f>
        <v>#REF!</v>
      </c>
      <c r="E102" s="17">
        <v>1200</v>
      </c>
      <c r="F102" s="18" t="e">
        <f t="shared" si="20"/>
        <v>#REF!</v>
      </c>
      <c r="G102" s="17">
        <v>1250</v>
      </c>
      <c r="H102" s="18" t="e">
        <f t="shared" si="21"/>
        <v>#REF!</v>
      </c>
      <c r="I102" s="17">
        <v>1150</v>
      </c>
      <c r="J102" s="18" t="e">
        <f t="shared" si="22"/>
        <v>#REF!</v>
      </c>
      <c r="K102" s="17">
        <v>1150</v>
      </c>
      <c r="L102" s="18" t="e">
        <f t="shared" si="23"/>
        <v>#REF!</v>
      </c>
      <c r="M102" s="17">
        <v>1040</v>
      </c>
      <c r="N102" s="18" t="e">
        <f t="shared" si="24"/>
        <v>#REF!</v>
      </c>
      <c r="O102" s="17">
        <v>1300</v>
      </c>
      <c r="P102" s="18" t="e">
        <f t="shared" si="25"/>
        <v>#REF!</v>
      </c>
      <c r="Q102" s="62">
        <v>1550</v>
      </c>
      <c r="R102" s="63" t="e">
        <f t="shared" si="19"/>
        <v>#REF!</v>
      </c>
    </row>
    <row r="103" spans="1:18" ht="33" customHeight="1" x14ac:dyDescent="0.25">
      <c r="A103" s="44" t="e">
        <f>'Bid Item List A (FAA)'!#REF!</f>
        <v>#REF!</v>
      </c>
      <c r="B103" s="53" t="e">
        <f>'Bid Item List A (FAA)'!#REF!</f>
        <v>#REF!</v>
      </c>
      <c r="C103" s="42" t="e">
        <f>'Bid Item List A (FAA)'!#REF!</f>
        <v>#REF!</v>
      </c>
      <c r="D103" s="44" t="e">
        <f>'Bid Item List A (FAA)'!#REF!</f>
        <v>#REF!</v>
      </c>
      <c r="E103" s="17">
        <v>1000</v>
      </c>
      <c r="F103" s="18" t="e">
        <f t="shared" si="20"/>
        <v>#REF!</v>
      </c>
      <c r="G103" s="17">
        <v>1050</v>
      </c>
      <c r="H103" s="18" t="e">
        <f t="shared" si="21"/>
        <v>#REF!</v>
      </c>
      <c r="I103" s="17">
        <v>1000</v>
      </c>
      <c r="J103" s="18" t="e">
        <f t="shared" si="22"/>
        <v>#REF!</v>
      </c>
      <c r="K103" s="17">
        <v>1000</v>
      </c>
      <c r="L103" s="18" t="e">
        <f t="shared" si="23"/>
        <v>#REF!</v>
      </c>
      <c r="M103" s="17">
        <v>990</v>
      </c>
      <c r="N103" s="18" t="e">
        <f t="shared" si="24"/>
        <v>#REF!</v>
      </c>
      <c r="O103" s="17">
        <v>1100</v>
      </c>
      <c r="P103" s="18" t="e">
        <f t="shared" si="25"/>
        <v>#REF!</v>
      </c>
      <c r="Q103" s="62">
        <v>1550</v>
      </c>
      <c r="R103" s="63" t="e">
        <f t="shared" si="19"/>
        <v>#REF!</v>
      </c>
    </row>
    <row r="104" spans="1:18" ht="33" customHeight="1" x14ac:dyDescent="0.25">
      <c r="A104" s="44" t="e">
        <f>'Bid Item List A (FAA)'!#REF!</f>
        <v>#REF!</v>
      </c>
      <c r="B104" s="53" t="e">
        <f>'Bid Item List A (FAA)'!#REF!</f>
        <v>#REF!</v>
      </c>
      <c r="C104" s="42" t="e">
        <f>'Bid Item List A (FAA)'!#REF!</f>
        <v>#REF!</v>
      </c>
      <c r="D104" s="44" t="e">
        <f>'Bid Item List A (FAA)'!#REF!</f>
        <v>#REF!</v>
      </c>
      <c r="E104" s="17">
        <v>1100</v>
      </c>
      <c r="F104" s="18" t="e">
        <f t="shared" si="20"/>
        <v>#REF!</v>
      </c>
      <c r="G104" s="17">
        <v>1200</v>
      </c>
      <c r="H104" s="18" t="e">
        <f t="shared" si="21"/>
        <v>#REF!</v>
      </c>
      <c r="I104" s="17">
        <v>1100</v>
      </c>
      <c r="J104" s="18" t="e">
        <f t="shared" si="22"/>
        <v>#REF!</v>
      </c>
      <c r="K104" s="17">
        <v>1100</v>
      </c>
      <c r="L104" s="18" t="e">
        <f t="shared" si="23"/>
        <v>#REF!</v>
      </c>
      <c r="M104" s="17">
        <v>1100</v>
      </c>
      <c r="N104" s="18" t="e">
        <f t="shared" si="24"/>
        <v>#REF!</v>
      </c>
      <c r="O104" s="17">
        <v>1200</v>
      </c>
      <c r="P104" s="18" t="e">
        <f t="shared" si="25"/>
        <v>#REF!</v>
      </c>
      <c r="Q104" s="62">
        <v>1550</v>
      </c>
      <c r="R104" s="63" t="e">
        <f t="shared" ref="R104:R135" si="26">C104*Q104</f>
        <v>#REF!</v>
      </c>
    </row>
    <row r="105" spans="1:18" ht="33" customHeight="1" x14ac:dyDescent="0.25">
      <c r="A105" s="44" t="e">
        <f>'Bid Item List A (FAA)'!#REF!</f>
        <v>#REF!</v>
      </c>
      <c r="B105" s="53" t="e">
        <f>'Bid Item List A (FAA)'!#REF!</f>
        <v>#REF!</v>
      </c>
      <c r="C105" s="42" t="e">
        <f>'Bid Item List A (FAA)'!#REF!</f>
        <v>#REF!</v>
      </c>
      <c r="D105" s="44" t="e">
        <f>'Bid Item List A (FAA)'!#REF!</f>
        <v>#REF!</v>
      </c>
      <c r="E105" s="17">
        <v>1100</v>
      </c>
      <c r="F105" s="18" t="e">
        <f t="shared" si="20"/>
        <v>#REF!</v>
      </c>
      <c r="G105" s="17">
        <v>1100</v>
      </c>
      <c r="H105" s="18" t="e">
        <f t="shared" si="21"/>
        <v>#REF!</v>
      </c>
      <c r="I105" s="17">
        <v>1100</v>
      </c>
      <c r="J105" s="18" t="e">
        <f t="shared" si="22"/>
        <v>#REF!</v>
      </c>
      <c r="K105" s="17">
        <v>1050</v>
      </c>
      <c r="L105" s="18" t="e">
        <f t="shared" si="23"/>
        <v>#REF!</v>
      </c>
      <c r="M105" s="17">
        <v>1050</v>
      </c>
      <c r="N105" s="18" t="e">
        <f t="shared" si="24"/>
        <v>#REF!</v>
      </c>
      <c r="O105" s="17">
        <v>1100</v>
      </c>
      <c r="P105" s="18" t="e">
        <f t="shared" si="25"/>
        <v>#REF!</v>
      </c>
      <c r="Q105" s="62">
        <v>1600</v>
      </c>
      <c r="R105" s="63" t="e">
        <f t="shared" si="26"/>
        <v>#REF!</v>
      </c>
    </row>
    <row r="106" spans="1:18" ht="33" customHeight="1" x14ac:dyDescent="0.25">
      <c r="A106" s="44" t="e">
        <f>'Bid Item List A (FAA)'!#REF!</f>
        <v>#REF!</v>
      </c>
      <c r="B106" s="53" t="e">
        <f>'Bid Item List A (FAA)'!#REF!</f>
        <v>#REF!</v>
      </c>
      <c r="C106" s="42" t="e">
        <f>'Bid Item List A (FAA)'!#REF!</f>
        <v>#REF!</v>
      </c>
      <c r="D106" s="44" t="e">
        <f>'Bid Item List A (FAA)'!#REF!</f>
        <v>#REF!</v>
      </c>
      <c r="E106" s="17">
        <v>1100</v>
      </c>
      <c r="F106" s="18" t="e">
        <f t="shared" si="20"/>
        <v>#REF!</v>
      </c>
      <c r="G106" s="17">
        <v>1100</v>
      </c>
      <c r="H106" s="18" t="e">
        <f t="shared" si="21"/>
        <v>#REF!</v>
      </c>
      <c r="I106" s="17">
        <v>1100</v>
      </c>
      <c r="J106" s="18" t="e">
        <f t="shared" si="22"/>
        <v>#REF!</v>
      </c>
      <c r="K106" s="17">
        <v>1120</v>
      </c>
      <c r="L106" s="18" t="e">
        <f t="shared" si="23"/>
        <v>#REF!</v>
      </c>
      <c r="M106" s="17">
        <v>1050</v>
      </c>
      <c r="N106" s="18" t="e">
        <f t="shared" si="24"/>
        <v>#REF!</v>
      </c>
      <c r="O106" s="17">
        <v>1100</v>
      </c>
      <c r="P106" s="18" t="e">
        <f t="shared" si="25"/>
        <v>#REF!</v>
      </c>
      <c r="Q106" s="62">
        <v>1650</v>
      </c>
      <c r="R106" s="63" t="e">
        <f t="shared" si="26"/>
        <v>#REF!</v>
      </c>
    </row>
    <row r="107" spans="1:18" ht="33" customHeight="1" x14ac:dyDescent="0.25">
      <c r="A107" s="44" t="e">
        <f>'Bid Item List A (FAA)'!#REF!</f>
        <v>#REF!</v>
      </c>
      <c r="B107" s="53" t="e">
        <f>'Bid Item List A (FAA)'!#REF!</f>
        <v>#REF!</v>
      </c>
      <c r="C107" s="42" t="e">
        <f>'Bid Item List A (FAA)'!#REF!</f>
        <v>#REF!</v>
      </c>
      <c r="D107" s="44" t="e">
        <f>'Bid Item List A (FAA)'!#REF!</f>
        <v>#REF!</v>
      </c>
      <c r="E107" s="17">
        <v>1100</v>
      </c>
      <c r="F107" s="18" t="e">
        <f t="shared" si="20"/>
        <v>#REF!</v>
      </c>
      <c r="G107" s="17">
        <v>1150</v>
      </c>
      <c r="H107" s="18" t="e">
        <f t="shared" si="21"/>
        <v>#REF!</v>
      </c>
      <c r="I107" s="17">
        <v>1100</v>
      </c>
      <c r="J107" s="18" t="e">
        <f t="shared" si="22"/>
        <v>#REF!</v>
      </c>
      <c r="K107" s="17">
        <v>1120</v>
      </c>
      <c r="L107" s="18" t="e">
        <f t="shared" si="23"/>
        <v>#REF!</v>
      </c>
      <c r="M107" s="17">
        <v>1100</v>
      </c>
      <c r="N107" s="18" t="e">
        <f t="shared" si="24"/>
        <v>#REF!</v>
      </c>
      <c r="O107" s="17">
        <v>1100</v>
      </c>
      <c r="P107" s="18" t="e">
        <f t="shared" si="25"/>
        <v>#REF!</v>
      </c>
      <c r="Q107" s="62">
        <v>1700</v>
      </c>
      <c r="R107" s="63" t="e">
        <f t="shared" si="26"/>
        <v>#REF!</v>
      </c>
    </row>
    <row r="108" spans="1:18" ht="33" customHeight="1" x14ac:dyDescent="0.25">
      <c r="A108" s="44" t="e">
        <f>'Bid Item List A (FAA)'!#REF!</f>
        <v>#REF!</v>
      </c>
      <c r="B108" s="53" t="e">
        <f>'Bid Item List A (FAA)'!#REF!</f>
        <v>#REF!</v>
      </c>
      <c r="C108" s="42" t="e">
        <f>'Bid Item List A (FAA)'!#REF!</f>
        <v>#REF!</v>
      </c>
      <c r="D108" s="44" t="e">
        <f>'Bid Item List A (FAA)'!#REF!</f>
        <v>#REF!</v>
      </c>
      <c r="E108" s="17">
        <v>1100</v>
      </c>
      <c r="F108" s="18" t="e">
        <f t="shared" si="20"/>
        <v>#REF!</v>
      </c>
      <c r="G108" s="17">
        <v>1150</v>
      </c>
      <c r="H108" s="18" t="e">
        <f t="shared" si="21"/>
        <v>#REF!</v>
      </c>
      <c r="I108" s="17">
        <v>1100</v>
      </c>
      <c r="J108" s="18" t="e">
        <f t="shared" si="22"/>
        <v>#REF!</v>
      </c>
      <c r="K108" s="17">
        <v>52</v>
      </c>
      <c r="L108" s="18" t="e">
        <f t="shared" si="23"/>
        <v>#REF!</v>
      </c>
      <c r="M108" s="17">
        <v>1100</v>
      </c>
      <c r="N108" s="18" t="e">
        <f t="shared" si="24"/>
        <v>#REF!</v>
      </c>
      <c r="O108" s="17">
        <v>1200</v>
      </c>
      <c r="P108" s="18" t="e">
        <f t="shared" si="25"/>
        <v>#REF!</v>
      </c>
      <c r="Q108" s="62">
        <v>2800</v>
      </c>
      <c r="R108" s="63" t="e">
        <f t="shared" si="26"/>
        <v>#REF!</v>
      </c>
    </row>
    <row r="109" spans="1:18" ht="33" customHeight="1" x14ac:dyDescent="0.25">
      <c r="A109" s="44" t="e">
        <f>'Bid Item List A (FAA)'!#REF!</f>
        <v>#REF!</v>
      </c>
      <c r="B109" s="53" t="e">
        <f>'Bid Item List A (FAA)'!#REF!</f>
        <v>#REF!</v>
      </c>
      <c r="C109" s="42" t="e">
        <f>'Bid Item List A (FAA)'!#REF!</f>
        <v>#REF!</v>
      </c>
      <c r="D109" s="44" t="e">
        <f>'Bid Item List A (FAA)'!#REF!</f>
        <v>#REF!</v>
      </c>
      <c r="E109" s="17">
        <v>52</v>
      </c>
      <c r="F109" s="18" t="e">
        <f t="shared" si="20"/>
        <v>#REF!</v>
      </c>
      <c r="G109" s="17">
        <v>55</v>
      </c>
      <c r="H109" s="18" t="e">
        <f t="shared" si="21"/>
        <v>#REF!</v>
      </c>
      <c r="I109" s="17">
        <v>55</v>
      </c>
      <c r="J109" s="18" t="e">
        <f t="shared" si="22"/>
        <v>#REF!</v>
      </c>
      <c r="K109" s="17">
        <v>700</v>
      </c>
      <c r="L109" s="18" t="e">
        <f t="shared" si="23"/>
        <v>#REF!</v>
      </c>
      <c r="M109" s="17">
        <v>53</v>
      </c>
      <c r="N109" s="18" t="e">
        <f t="shared" si="24"/>
        <v>#REF!</v>
      </c>
      <c r="O109" s="17">
        <v>60</v>
      </c>
      <c r="P109" s="18" t="e">
        <f t="shared" si="25"/>
        <v>#REF!</v>
      </c>
      <c r="Q109" s="62">
        <v>75</v>
      </c>
      <c r="R109" s="63" t="e">
        <f t="shared" si="26"/>
        <v>#REF!</v>
      </c>
    </row>
    <row r="110" spans="1:18" ht="33" customHeight="1" x14ac:dyDescent="0.25">
      <c r="A110" s="44" t="e">
        <f>'Bid Item List A (FAA)'!#REF!</f>
        <v>#REF!</v>
      </c>
      <c r="B110" s="53" t="e">
        <f>'Bid Item List A (FAA)'!#REF!</f>
        <v>#REF!</v>
      </c>
      <c r="C110" s="42" t="e">
        <f>'Bid Item List A (FAA)'!#REF!</f>
        <v>#REF!</v>
      </c>
      <c r="D110" s="44" t="e">
        <f>'Bid Item List A (FAA)'!#REF!</f>
        <v>#REF!</v>
      </c>
      <c r="E110" s="17">
        <v>700</v>
      </c>
      <c r="F110" s="18" t="e">
        <f t="shared" si="20"/>
        <v>#REF!</v>
      </c>
      <c r="G110" s="17">
        <v>750</v>
      </c>
      <c r="H110" s="18" t="e">
        <f t="shared" si="21"/>
        <v>#REF!</v>
      </c>
      <c r="I110" s="17">
        <v>700</v>
      </c>
      <c r="J110" s="18" t="e">
        <f t="shared" si="22"/>
        <v>#REF!</v>
      </c>
      <c r="K110" s="17">
        <v>1150</v>
      </c>
      <c r="L110" s="18" t="e">
        <f t="shared" si="23"/>
        <v>#REF!</v>
      </c>
      <c r="M110" s="17">
        <v>700</v>
      </c>
      <c r="N110" s="18" t="e">
        <f t="shared" si="24"/>
        <v>#REF!</v>
      </c>
      <c r="O110" s="17">
        <v>800</v>
      </c>
      <c r="P110" s="18" t="e">
        <f t="shared" si="25"/>
        <v>#REF!</v>
      </c>
      <c r="Q110" s="62">
        <v>1350</v>
      </c>
      <c r="R110" s="63" t="e">
        <f t="shared" si="26"/>
        <v>#REF!</v>
      </c>
    </row>
    <row r="111" spans="1:18" ht="33" customHeight="1" x14ac:dyDescent="0.25">
      <c r="A111" s="44" t="e">
        <f>'Bid Item List A (FAA)'!#REF!</f>
        <v>#REF!</v>
      </c>
      <c r="B111" s="53" t="e">
        <f>'Bid Item List A (FAA)'!#REF!</f>
        <v>#REF!</v>
      </c>
      <c r="C111" s="42" t="e">
        <f>'Bid Item List A (FAA)'!#REF!</f>
        <v>#REF!</v>
      </c>
      <c r="D111" s="44" t="e">
        <f>'Bid Item List A (FAA)'!#REF!</f>
        <v>#REF!</v>
      </c>
      <c r="E111" s="17">
        <v>1200</v>
      </c>
      <c r="F111" s="18" t="e">
        <f t="shared" si="20"/>
        <v>#REF!</v>
      </c>
      <c r="G111" s="17">
        <v>1250</v>
      </c>
      <c r="H111" s="18" t="e">
        <f t="shared" si="21"/>
        <v>#REF!</v>
      </c>
      <c r="I111" s="17">
        <v>1200</v>
      </c>
      <c r="J111" s="18" t="e">
        <f t="shared" si="22"/>
        <v>#REF!</v>
      </c>
      <c r="K111" s="17">
        <v>1060</v>
      </c>
      <c r="L111" s="18" t="e">
        <f t="shared" si="23"/>
        <v>#REF!</v>
      </c>
      <c r="M111" s="17">
        <v>1150</v>
      </c>
      <c r="N111" s="18" t="e">
        <f t="shared" si="24"/>
        <v>#REF!</v>
      </c>
      <c r="O111" s="17">
        <v>1300</v>
      </c>
      <c r="P111" s="18" t="e">
        <f t="shared" si="25"/>
        <v>#REF!</v>
      </c>
      <c r="Q111" s="62">
        <v>1600</v>
      </c>
      <c r="R111" s="63" t="e">
        <f t="shared" si="26"/>
        <v>#REF!</v>
      </c>
    </row>
    <row r="112" spans="1:18" ht="33" customHeight="1" x14ac:dyDescent="0.25">
      <c r="A112" s="44" t="e">
        <f>'Bid Item List A (FAA)'!#REF!</f>
        <v>#REF!</v>
      </c>
      <c r="B112" s="53" t="e">
        <f>'Bid Item List A (FAA)'!#REF!</f>
        <v>#REF!</v>
      </c>
      <c r="C112" s="42" t="e">
        <f>'Bid Item List A (FAA)'!#REF!</f>
        <v>#REF!</v>
      </c>
      <c r="D112" s="44" t="e">
        <f>'Bid Item List A (FAA)'!#REF!</f>
        <v>#REF!</v>
      </c>
      <c r="E112" s="17">
        <v>1100</v>
      </c>
      <c r="F112" s="18" t="e">
        <f t="shared" si="20"/>
        <v>#REF!</v>
      </c>
      <c r="G112" s="17">
        <v>1100</v>
      </c>
      <c r="H112" s="18" t="e">
        <f t="shared" si="21"/>
        <v>#REF!</v>
      </c>
      <c r="I112" s="17">
        <v>1100</v>
      </c>
      <c r="J112" s="18" t="e">
        <f t="shared" si="22"/>
        <v>#REF!</v>
      </c>
      <c r="K112" s="17">
        <v>1060</v>
      </c>
      <c r="L112" s="18" t="e">
        <f t="shared" si="23"/>
        <v>#REF!</v>
      </c>
      <c r="M112" s="17">
        <v>1040</v>
      </c>
      <c r="N112" s="18" t="e">
        <f t="shared" si="24"/>
        <v>#REF!</v>
      </c>
      <c r="O112" s="17">
        <v>1100</v>
      </c>
      <c r="P112" s="18" t="e">
        <f t="shared" si="25"/>
        <v>#REF!</v>
      </c>
      <c r="Q112" s="62">
        <v>1550</v>
      </c>
      <c r="R112" s="63" t="e">
        <f t="shared" si="26"/>
        <v>#REF!</v>
      </c>
    </row>
    <row r="113" spans="1:18" ht="33" customHeight="1" x14ac:dyDescent="0.25">
      <c r="A113" s="44" t="e">
        <f>'Bid Item List A (FAA)'!#REF!</f>
        <v>#REF!</v>
      </c>
      <c r="B113" s="53" t="e">
        <f>'Bid Item List A (FAA)'!#REF!</f>
        <v>#REF!</v>
      </c>
      <c r="C113" s="42" t="e">
        <f>'Bid Item List A (FAA)'!#REF!</f>
        <v>#REF!</v>
      </c>
      <c r="D113" s="44" t="e">
        <f>'Bid Item List A (FAA)'!#REF!</f>
        <v>#REF!</v>
      </c>
      <c r="E113" s="17">
        <v>800</v>
      </c>
      <c r="F113" s="18" t="e">
        <f t="shared" si="20"/>
        <v>#REF!</v>
      </c>
      <c r="G113" s="17">
        <v>800</v>
      </c>
      <c r="H113" s="18" t="e">
        <f t="shared" si="21"/>
        <v>#REF!</v>
      </c>
      <c r="I113" s="17">
        <v>800</v>
      </c>
      <c r="J113" s="18" t="e">
        <f t="shared" si="22"/>
        <v>#REF!</v>
      </c>
      <c r="K113" s="17">
        <v>800</v>
      </c>
      <c r="L113" s="18" t="e">
        <f t="shared" si="23"/>
        <v>#REF!</v>
      </c>
      <c r="M113" s="17">
        <v>780</v>
      </c>
      <c r="N113" s="18" t="e">
        <f t="shared" si="24"/>
        <v>#REF!</v>
      </c>
      <c r="O113" s="17">
        <v>900</v>
      </c>
      <c r="P113" s="18" t="e">
        <f t="shared" si="25"/>
        <v>#REF!</v>
      </c>
      <c r="Q113" s="62">
        <v>1500</v>
      </c>
      <c r="R113" s="63" t="e">
        <f t="shared" si="26"/>
        <v>#REF!</v>
      </c>
    </row>
    <row r="114" spans="1:18" ht="33" customHeight="1" x14ac:dyDescent="0.25">
      <c r="A114" s="44" t="e">
        <f>'Bid Item List A (FAA)'!#REF!</f>
        <v>#REF!</v>
      </c>
      <c r="B114" s="53" t="e">
        <f>'Bid Item List A (FAA)'!#REF!</f>
        <v>#REF!</v>
      </c>
      <c r="C114" s="42" t="e">
        <f>'Bid Item List A (FAA)'!#REF!</f>
        <v>#REF!</v>
      </c>
      <c r="D114" s="44" t="e">
        <f>'Bid Item List A (FAA)'!#REF!</f>
        <v>#REF!</v>
      </c>
      <c r="E114" s="17">
        <v>800</v>
      </c>
      <c r="F114" s="18" t="e">
        <f t="shared" si="20"/>
        <v>#REF!</v>
      </c>
      <c r="G114" s="17">
        <v>800</v>
      </c>
      <c r="H114" s="18" t="e">
        <f t="shared" si="21"/>
        <v>#REF!</v>
      </c>
      <c r="I114" s="17">
        <v>800</v>
      </c>
      <c r="J114" s="18" t="e">
        <f t="shared" si="22"/>
        <v>#REF!</v>
      </c>
      <c r="K114" s="17">
        <v>800</v>
      </c>
      <c r="L114" s="18" t="e">
        <f t="shared" si="23"/>
        <v>#REF!</v>
      </c>
      <c r="M114" s="17">
        <v>780</v>
      </c>
      <c r="N114" s="18" t="e">
        <f t="shared" si="24"/>
        <v>#REF!</v>
      </c>
      <c r="O114" s="17">
        <v>1000</v>
      </c>
      <c r="P114" s="18" t="e">
        <f t="shared" si="25"/>
        <v>#REF!</v>
      </c>
      <c r="Q114" s="62">
        <v>1250</v>
      </c>
      <c r="R114" s="63" t="e">
        <f t="shared" si="26"/>
        <v>#REF!</v>
      </c>
    </row>
    <row r="115" spans="1:18" ht="33" customHeight="1" x14ac:dyDescent="0.25">
      <c r="A115" s="44" t="e">
        <f>'Bid Item List A (FAA)'!#REF!</f>
        <v>#REF!</v>
      </c>
      <c r="B115" s="53" t="e">
        <f>'Bid Item List A (FAA)'!#REF!</f>
        <v>#REF!</v>
      </c>
      <c r="C115" s="42" t="e">
        <f>'Bid Item List A (FAA)'!#REF!</f>
        <v>#REF!</v>
      </c>
      <c r="D115" s="44" t="e">
        <f>'Bid Item List A (FAA)'!#REF!</f>
        <v>#REF!</v>
      </c>
      <c r="E115" s="17">
        <v>320</v>
      </c>
      <c r="F115" s="18" t="e">
        <f t="shared" si="20"/>
        <v>#REF!</v>
      </c>
      <c r="G115" s="17">
        <v>300</v>
      </c>
      <c r="H115" s="18" t="e">
        <f t="shared" si="21"/>
        <v>#REF!</v>
      </c>
      <c r="I115" s="17">
        <v>350</v>
      </c>
      <c r="J115" s="18" t="e">
        <f t="shared" si="22"/>
        <v>#REF!</v>
      </c>
      <c r="K115" s="17">
        <v>320</v>
      </c>
      <c r="L115" s="18" t="e">
        <f t="shared" si="23"/>
        <v>#REF!</v>
      </c>
      <c r="M115" s="17">
        <v>320</v>
      </c>
      <c r="N115" s="18" t="e">
        <f t="shared" si="24"/>
        <v>#REF!</v>
      </c>
      <c r="O115" s="17">
        <v>400</v>
      </c>
      <c r="P115" s="18" t="e">
        <f t="shared" si="25"/>
        <v>#REF!</v>
      </c>
      <c r="Q115" s="62">
        <v>275</v>
      </c>
      <c r="R115" s="63" t="e">
        <f t="shared" si="26"/>
        <v>#REF!</v>
      </c>
    </row>
    <row r="116" spans="1:18" ht="33" customHeight="1" x14ac:dyDescent="0.25">
      <c r="A116" s="44" t="e">
        <f>'Bid Item List A (FAA)'!#REF!</f>
        <v>#REF!</v>
      </c>
      <c r="B116" s="53" t="e">
        <f>'Bid Item List A (FAA)'!#REF!</f>
        <v>#REF!</v>
      </c>
      <c r="C116" s="42" t="e">
        <f>'Bid Item List A (FAA)'!#REF!</f>
        <v>#REF!</v>
      </c>
      <c r="D116" s="44" t="e">
        <f>'Bid Item List A (FAA)'!#REF!</f>
        <v>#REF!</v>
      </c>
      <c r="E116" s="17">
        <v>370</v>
      </c>
      <c r="F116" s="18" t="e">
        <f t="shared" si="20"/>
        <v>#REF!</v>
      </c>
      <c r="G116" s="17">
        <v>390</v>
      </c>
      <c r="H116" s="18" t="e">
        <f t="shared" si="21"/>
        <v>#REF!</v>
      </c>
      <c r="I116" s="17">
        <v>375</v>
      </c>
      <c r="J116" s="18" t="e">
        <f t="shared" si="22"/>
        <v>#REF!</v>
      </c>
      <c r="K116" s="17">
        <v>370</v>
      </c>
      <c r="L116" s="18" t="e">
        <f t="shared" si="23"/>
        <v>#REF!</v>
      </c>
      <c r="M116" s="17">
        <v>370</v>
      </c>
      <c r="N116" s="18" t="e">
        <f t="shared" si="24"/>
        <v>#REF!</v>
      </c>
      <c r="O116" s="17">
        <v>500</v>
      </c>
      <c r="P116" s="18" t="e">
        <f t="shared" si="25"/>
        <v>#REF!</v>
      </c>
      <c r="Q116" s="62">
        <v>275</v>
      </c>
      <c r="R116" s="63" t="e">
        <f t="shared" si="26"/>
        <v>#REF!</v>
      </c>
    </row>
    <row r="117" spans="1:18" ht="33" customHeight="1" x14ac:dyDescent="0.25">
      <c r="A117" s="44" t="e">
        <f>'Bid Item List A (FAA)'!#REF!</f>
        <v>#REF!</v>
      </c>
      <c r="B117" s="53" t="e">
        <f>'Bid Item List A (FAA)'!#REF!</f>
        <v>#REF!</v>
      </c>
      <c r="C117" s="42" t="e">
        <f>'Bid Item List A (FAA)'!#REF!</f>
        <v>#REF!</v>
      </c>
      <c r="D117" s="44" t="e">
        <f>'Bid Item List A (FAA)'!#REF!</f>
        <v>#REF!</v>
      </c>
      <c r="E117" s="17">
        <v>300</v>
      </c>
      <c r="F117" s="18" t="e">
        <f t="shared" si="20"/>
        <v>#REF!</v>
      </c>
      <c r="G117" s="17">
        <v>320</v>
      </c>
      <c r="H117" s="18" t="e">
        <f t="shared" si="21"/>
        <v>#REF!</v>
      </c>
      <c r="I117" s="17">
        <v>300</v>
      </c>
      <c r="J117" s="18" t="e">
        <f t="shared" si="22"/>
        <v>#REF!</v>
      </c>
      <c r="K117" s="17">
        <v>300</v>
      </c>
      <c r="L117" s="18" t="e">
        <f t="shared" si="23"/>
        <v>#REF!</v>
      </c>
      <c r="M117" s="17">
        <v>300</v>
      </c>
      <c r="N117" s="18" t="e">
        <f t="shared" si="24"/>
        <v>#REF!</v>
      </c>
      <c r="O117" s="17">
        <v>400</v>
      </c>
      <c r="P117" s="18" t="e">
        <f t="shared" si="25"/>
        <v>#REF!</v>
      </c>
      <c r="Q117" s="62">
        <v>175</v>
      </c>
      <c r="R117" s="63" t="e">
        <f t="shared" si="26"/>
        <v>#REF!</v>
      </c>
    </row>
    <row r="118" spans="1:18" ht="33" customHeight="1" x14ac:dyDescent="0.25">
      <c r="A118" s="44" t="e">
        <f>'Bid Item List A (FAA)'!#REF!</f>
        <v>#REF!</v>
      </c>
      <c r="B118" s="53" t="e">
        <f>'Bid Item List A (FAA)'!#REF!</f>
        <v>#REF!</v>
      </c>
      <c r="C118" s="42" t="e">
        <f>'Bid Item List A (FAA)'!#REF!</f>
        <v>#REF!</v>
      </c>
      <c r="D118" s="44" t="e">
        <f>'Bid Item List A (FAA)'!#REF!</f>
        <v>#REF!</v>
      </c>
      <c r="E118" s="17">
        <v>100</v>
      </c>
      <c r="F118" s="18" t="e">
        <f t="shared" si="20"/>
        <v>#REF!</v>
      </c>
      <c r="G118" s="17">
        <v>110</v>
      </c>
      <c r="H118" s="18" t="e">
        <f t="shared" si="21"/>
        <v>#REF!</v>
      </c>
      <c r="I118" s="17">
        <v>100</v>
      </c>
      <c r="J118" s="18" t="e">
        <f t="shared" si="22"/>
        <v>#REF!</v>
      </c>
      <c r="K118" s="17">
        <v>103</v>
      </c>
      <c r="L118" s="18" t="e">
        <f t="shared" si="23"/>
        <v>#REF!</v>
      </c>
      <c r="M118" s="17">
        <v>105</v>
      </c>
      <c r="N118" s="18" t="e">
        <f t="shared" si="24"/>
        <v>#REF!</v>
      </c>
      <c r="O118" s="17">
        <v>200</v>
      </c>
      <c r="P118" s="18" t="e">
        <f t="shared" si="25"/>
        <v>#REF!</v>
      </c>
      <c r="Q118" s="62">
        <v>175</v>
      </c>
      <c r="R118" s="63" t="e">
        <f t="shared" si="26"/>
        <v>#REF!</v>
      </c>
    </row>
    <row r="119" spans="1:18" ht="33" customHeight="1" x14ac:dyDescent="0.25">
      <c r="A119" s="44" t="e">
        <f>'Bid Item List A (FAA)'!#REF!</f>
        <v>#REF!</v>
      </c>
      <c r="B119" s="53" t="e">
        <f>'Bid Item List A (FAA)'!#REF!</f>
        <v>#REF!</v>
      </c>
      <c r="C119" s="42" t="e">
        <f>'Bid Item List A (FAA)'!#REF!</f>
        <v>#REF!</v>
      </c>
      <c r="D119" s="44" t="e">
        <f>'Bid Item List A (FAA)'!#REF!</f>
        <v>#REF!</v>
      </c>
      <c r="E119" s="17">
        <v>106</v>
      </c>
      <c r="F119" s="18" t="e">
        <f t="shared" si="20"/>
        <v>#REF!</v>
      </c>
      <c r="G119" s="17">
        <v>115</v>
      </c>
      <c r="H119" s="18" t="e">
        <f t="shared" si="21"/>
        <v>#REF!</v>
      </c>
      <c r="I119" s="17">
        <v>150</v>
      </c>
      <c r="J119" s="18" t="e">
        <f t="shared" si="22"/>
        <v>#REF!</v>
      </c>
      <c r="K119" s="17">
        <v>107</v>
      </c>
      <c r="L119" s="18" t="e">
        <f t="shared" si="23"/>
        <v>#REF!</v>
      </c>
      <c r="M119" s="17">
        <v>110</v>
      </c>
      <c r="N119" s="18" t="e">
        <f t="shared" si="24"/>
        <v>#REF!</v>
      </c>
      <c r="O119" s="17">
        <v>250</v>
      </c>
      <c r="P119" s="18" t="e">
        <f t="shared" si="25"/>
        <v>#REF!</v>
      </c>
      <c r="Q119" s="62">
        <v>225</v>
      </c>
      <c r="R119" s="63" t="e">
        <f t="shared" si="26"/>
        <v>#REF!</v>
      </c>
    </row>
    <row r="120" spans="1:18" ht="33" customHeight="1" x14ac:dyDescent="0.25">
      <c r="A120" s="44" t="e">
        <f>'Bid Item List A (FAA)'!#REF!</f>
        <v>#REF!</v>
      </c>
      <c r="B120" s="53" t="e">
        <f>'Bid Item List A (FAA)'!#REF!</f>
        <v>#REF!</v>
      </c>
      <c r="C120" s="42" t="e">
        <f>'Bid Item List A (FAA)'!#REF!</f>
        <v>#REF!</v>
      </c>
      <c r="D120" s="44" t="e">
        <f>'Bid Item List A (FAA)'!#REF!</f>
        <v>#REF!</v>
      </c>
      <c r="E120" s="17">
        <v>200</v>
      </c>
      <c r="F120" s="18" t="e">
        <f t="shared" si="20"/>
        <v>#REF!</v>
      </c>
      <c r="G120" s="17">
        <v>215</v>
      </c>
      <c r="H120" s="18" t="e">
        <f t="shared" si="21"/>
        <v>#REF!</v>
      </c>
      <c r="I120" s="17">
        <v>200</v>
      </c>
      <c r="J120" s="18" t="e">
        <f t="shared" si="22"/>
        <v>#REF!</v>
      </c>
      <c r="K120" s="17">
        <v>200</v>
      </c>
      <c r="L120" s="18" t="e">
        <f t="shared" si="23"/>
        <v>#REF!</v>
      </c>
      <c r="M120" s="17">
        <v>200</v>
      </c>
      <c r="N120" s="18" t="e">
        <f t="shared" si="24"/>
        <v>#REF!</v>
      </c>
      <c r="O120" s="17">
        <v>300</v>
      </c>
      <c r="P120" s="18" t="e">
        <f t="shared" si="25"/>
        <v>#REF!</v>
      </c>
      <c r="Q120" s="62">
        <v>300</v>
      </c>
      <c r="R120" s="63" t="e">
        <f t="shared" si="26"/>
        <v>#REF!</v>
      </c>
    </row>
    <row r="121" spans="1:18" ht="33" customHeight="1" x14ac:dyDescent="0.25">
      <c r="A121" s="44" t="e">
        <f>'Bid Item List A (FAA)'!#REF!</f>
        <v>#REF!</v>
      </c>
      <c r="B121" s="53" t="e">
        <f>'Bid Item List A (FAA)'!#REF!</f>
        <v>#REF!</v>
      </c>
      <c r="C121" s="42" t="e">
        <f>'Bid Item List A (FAA)'!#REF!</f>
        <v>#REF!</v>
      </c>
      <c r="D121" s="44" t="e">
        <f>'Bid Item List A (FAA)'!#REF!</f>
        <v>#REF!</v>
      </c>
      <c r="E121" s="17">
        <v>5000</v>
      </c>
      <c r="F121" s="18" t="e">
        <f t="shared" si="20"/>
        <v>#REF!</v>
      </c>
      <c r="G121" s="17">
        <v>5300</v>
      </c>
      <c r="H121" s="18" t="e">
        <f t="shared" si="21"/>
        <v>#REF!</v>
      </c>
      <c r="I121" s="17">
        <v>5000</v>
      </c>
      <c r="J121" s="18" t="e">
        <f t="shared" si="22"/>
        <v>#REF!</v>
      </c>
      <c r="K121" s="17">
        <v>5000</v>
      </c>
      <c r="L121" s="18" t="e">
        <f t="shared" si="23"/>
        <v>#REF!</v>
      </c>
      <c r="M121" s="17">
        <v>5100</v>
      </c>
      <c r="N121" s="18" t="e">
        <f t="shared" si="24"/>
        <v>#REF!</v>
      </c>
      <c r="O121" s="17">
        <v>6000</v>
      </c>
      <c r="P121" s="18" t="e">
        <f t="shared" si="25"/>
        <v>#REF!</v>
      </c>
      <c r="Q121" s="62">
        <v>5300</v>
      </c>
      <c r="R121" s="63" t="e">
        <f t="shared" si="26"/>
        <v>#REF!</v>
      </c>
    </row>
    <row r="122" spans="1:18" ht="33" customHeight="1" x14ac:dyDescent="0.25">
      <c r="A122" s="44" t="e">
        <f>'Bid Item List A (FAA)'!#REF!</f>
        <v>#REF!</v>
      </c>
      <c r="B122" s="53" t="e">
        <f>'Bid Item List A (FAA)'!#REF!</f>
        <v>#REF!</v>
      </c>
      <c r="C122" s="42" t="e">
        <f>'Bid Item List A (FAA)'!#REF!</f>
        <v>#REF!</v>
      </c>
      <c r="D122" s="44" t="e">
        <f>'Bid Item List A (FAA)'!#REF!</f>
        <v>#REF!</v>
      </c>
      <c r="E122" s="17">
        <v>5000</v>
      </c>
      <c r="F122" s="18" t="e">
        <f t="shared" si="20"/>
        <v>#REF!</v>
      </c>
      <c r="G122" s="17">
        <v>5300</v>
      </c>
      <c r="H122" s="18" t="e">
        <f t="shared" si="21"/>
        <v>#REF!</v>
      </c>
      <c r="I122" s="17">
        <v>5000</v>
      </c>
      <c r="J122" s="18" t="e">
        <f t="shared" si="22"/>
        <v>#REF!</v>
      </c>
      <c r="K122" s="17">
        <v>5000</v>
      </c>
      <c r="L122" s="18" t="e">
        <f t="shared" si="23"/>
        <v>#REF!</v>
      </c>
      <c r="M122" s="17">
        <v>5100</v>
      </c>
      <c r="N122" s="18" t="e">
        <f t="shared" si="24"/>
        <v>#REF!</v>
      </c>
      <c r="O122" s="17">
        <v>6000</v>
      </c>
      <c r="P122" s="18" t="e">
        <f t="shared" si="25"/>
        <v>#REF!</v>
      </c>
      <c r="Q122" s="62">
        <v>5300</v>
      </c>
      <c r="R122" s="63" t="e">
        <f t="shared" si="26"/>
        <v>#REF!</v>
      </c>
    </row>
    <row r="123" spans="1:18" ht="33" customHeight="1" x14ac:dyDescent="0.25">
      <c r="A123" s="44" t="e">
        <f>'Bid Item List A (FAA)'!#REF!</f>
        <v>#REF!</v>
      </c>
      <c r="B123" s="53" t="e">
        <f>'Bid Item List A (FAA)'!#REF!</f>
        <v>#REF!</v>
      </c>
      <c r="C123" s="42" t="e">
        <f>'Bid Item List A (FAA)'!#REF!</f>
        <v>#REF!</v>
      </c>
      <c r="D123" s="44" t="e">
        <f>'Bid Item List A (FAA)'!#REF!</f>
        <v>#REF!</v>
      </c>
      <c r="E123" s="17">
        <v>5000</v>
      </c>
      <c r="F123" s="18" t="e">
        <f t="shared" si="20"/>
        <v>#REF!</v>
      </c>
      <c r="G123" s="17">
        <v>5300</v>
      </c>
      <c r="H123" s="18" t="e">
        <f t="shared" si="21"/>
        <v>#REF!</v>
      </c>
      <c r="I123" s="17">
        <v>5000</v>
      </c>
      <c r="J123" s="18" t="e">
        <f t="shared" si="22"/>
        <v>#REF!</v>
      </c>
      <c r="K123" s="17">
        <v>5000</v>
      </c>
      <c r="L123" s="18" t="e">
        <f t="shared" si="23"/>
        <v>#REF!</v>
      </c>
      <c r="M123" s="17">
        <v>5100</v>
      </c>
      <c r="N123" s="18" t="e">
        <f t="shared" si="24"/>
        <v>#REF!</v>
      </c>
      <c r="O123" s="17">
        <v>6000</v>
      </c>
      <c r="P123" s="18" t="e">
        <f t="shared" si="25"/>
        <v>#REF!</v>
      </c>
      <c r="Q123" s="62">
        <v>5300</v>
      </c>
      <c r="R123" s="63" t="e">
        <f t="shared" si="26"/>
        <v>#REF!</v>
      </c>
    </row>
    <row r="124" spans="1:18" ht="33" customHeight="1" x14ac:dyDescent="0.25">
      <c r="A124" s="44" t="e">
        <f>'Bid Item List A (FAA)'!#REF!</f>
        <v>#REF!</v>
      </c>
      <c r="B124" s="53" t="e">
        <f>'Bid Item List A (FAA)'!#REF!</f>
        <v>#REF!</v>
      </c>
      <c r="C124" s="42" t="e">
        <f>'Bid Item List A (FAA)'!#REF!</f>
        <v>#REF!</v>
      </c>
      <c r="D124" s="44" t="e">
        <f>'Bid Item List A (FAA)'!#REF!</f>
        <v>#REF!</v>
      </c>
      <c r="E124" s="17">
        <v>5000</v>
      </c>
      <c r="F124" s="18" t="e">
        <f t="shared" si="20"/>
        <v>#REF!</v>
      </c>
      <c r="G124" s="17">
        <v>5300</v>
      </c>
      <c r="H124" s="18" t="e">
        <f t="shared" si="21"/>
        <v>#REF!</v>
      </c>
      <c r="I124" s="17">
        <v>5000</v>
      </c>
      <c r="J124" s="18" t="e">
        <f t="shared" si="22"/>
        <v>#REF!</v>
      </c>
      <c r="K124" s="17">
        <v>5000</v>
      </c>
      <c r="L124" s="18" t="e">
        <f t="shared" si="23"/>
        <v>#REF!</v>
      </c>
      <c r="M124" s="17">
        <v>5100</v>
      </c>
      <c r="N124" s="18" t="e">
        <f t="shared" si="24"/>
        <v>#REF!</v>
      </c>
      <c r="O124" s="17">
        <v>6000</v>
      </c>
      <c r="P124" s="18" t="e">
        <f t="shared" si="25"/>
        <v>#REF!</v>
      </c>
      <c r="Q124" s="62">
        <v>5000</v>
      </c>
      <c r="R124" s="63" t="e">
        <f t="shared" si="26"/>
        <v>#REF!</v>
      </c>
    </row>
    <row r="125" spans="1:18" ht="33" customHeight="1" x14ac:dyDescent="0.25">
      <c r="A125" s="44" t="e">
        <f>'Bid Item List A (FAA)'!#REF!</f>
        <v>#REF!</v>
      </c>
      <c r="B125" s="53" t="e">
        <f>'Bid Item List A (FAA)'!#REF!</f>
        <v>#REF!</v>
      </c>
      <c r="C125" s="42" t="e">
        <f>'Bid Item List A (FAA)'!#REF!</f>
        <v>#REF!</v>
      </c>
      <c r="D125" s="44" t="e">
        <f>'Bid Item List A (FAA)'!#REF!</f>
        <v>#REF!</v>
      </c>
      <c r="E125" s="17">
        <v>5000</v>
      </c>
      <c r="F125" s="18" t="e">
        <f t="shared" si="20"/>
        <v>#REF!</v>
      </c>
      <c r="G125" s="17">
        <v>5300</v>
      </c>
      <c r="H125" s="18" t="e">
        <f t="shared" si="21"/>
        <v>#REF!</v>
      </c>
      <c r="I125" s="17">
        <v>5000</v>
      </c>
      <c r="J125" s="18" t="e">
        <f t="shared" si="22"/>
        <v>#REF!</v>
      </c>
      <c r="K125" s="17">
        <v>5000</v>
      </c>
      <c r="L125" s="18" t="e">
        <f t="shared" si="23"/>
        <v>#REF!</v>
      </c>
      <c r="M125" s="17">
        <v>5100</v>
      </c>
      <c r="N125" s="18" t="e">
        <f t="shared" si="24"/>
        <v>#REF!</v>
      </c>
      <c r="O125" s="17">
        <v>6000</v>
      </c>
      <c r="P125" s="18" t="e">
        <f t="shared" si="25"/>
        <v>#REF!</v>
      </c>
      <c r="Q125" s="62">
        <v>5300</v>
      </c>
      <c r="R125" s="63" t="e">
        <f t="shared" si="26"/>
        <v>#REF!</v>
      </c>
    </row>
    <row r="126" spans="1:18" ht="33" customHeight="1" x14ac:dyDescent="0.25">
      <c r="A126" s="44" t="e">
        <f>'Bid Item List A (FAA)'!#REF!</f>
        <v>#REF!</v>
      </c>
      <c r="B126" s="53" t="e">
        <f>'Bid Item List A (FAA)'!#REF!</f>
        <v>#REF!</v>
      </c>
      <c r="C126" s="42" t="e">
        <f>'Bid Item List A (FAA)'!#REF!</f>
        <v>#REF!</v>
      </c>
      <c r="D126" s="44" t="e">
        <f>'Bid Item List A (FAA)'!#REF!</f>
        <v>#REF!</v>
      </c>
      <c r="E126" s="17">
        <v>4200</v>
      </c>
      <c r="F126" s="18" t="e">
        <f t="shared" si="20"/>
        <v>#REF!</v>
      </c>
      <c r="G126" s="17">
        <v>4500</v>
      </c>
      <c r="H126" s="18" t="e">
        <f t="shared" si="21"/>
        <v>#REF!</v>
      </c>
      <c r="I126" s="17">
        <v>4200</v>
      </c>
      <c r="J126" s="18" t="e">
        <f t="shared" si="22"/>
        <v>#REF!</v>
      </c>
      <c r="K126" s="17">
        <v>4200</v>
      </c>
      <c r="L126" s="18" t="e">
        <f t="shared" si="23"/>
        <v>#REF!</v>
      </c>
      <c r="M126" s="17">
        <v>4300</v>
      </c>
      <c r="N126" s="18" t="e">
        <f t="shared" si="24"/>
        <v>#REF!</v>
      </c>
      <c r="O126" s="17">
        <v>5000</v>
      </c>
      <c r="P126" s="18" t="e">
        <f t="shared" si="25"/>
        <v>#REF!</v>
      </c>
      <c r="Q126" s="62">
        <v>5000</v>
      </c>
      <c r="R126" s="63" t="e">
        <f t="shared" si="26"/>
        <v>#REF!</v>
      </c>
    </row>
    <row r="127" spans="1:18" ht="33" customHeight="1" x14ac:dyDescent="0.25">
      <c r="A127" s="44" t="e">
        <f>'Bid Item List A (FAA)'!#REF!</f>
        <v>#REF!</v>
      </c>
      <c r="B127" s="53" t="e">
        <f>'Bid Item List A (FAA)'!#REF!</f>
        <v>#REF!</v>
      </c>
      <c r="C127" s="42" t="e">
        <f>'Bid Item List A (FAA)'!#REF!</f>
        <v>#REF!</v>
      </c>
      <c r="D127" s="44" t="e">
        <f>'Bid Item List A (FAA)'!#REF!</f>
        <v>#REF!</v>
      </c>
      <c r="E127" s="17">
        <v>5000</v>
      </c>
      <c r="F127" s="18" t="e">
        <f t="shared" si="20"/>
        <v>#REF!</v>
      </c>
      <c r="G127" s="17">
        <v>5300</v>
      </c>
      <c r="H127" s="18" t="e">
        <f t="shared" si="21"/>
        <v>#REF!</v>
      </c>
      <c r="I127" s="17">
        <v>5000</v>
      </c>
      <c r="J127" s="18" t="e">
        <f t="shared" si="22"/>
        <v>#REF!</v>
      </c>
      <c r="K127" s="17">
        <v>5000</v>
      </c>
      <c r="L127" s="18" t="e">
        <f t="shared" si="23"/>
        <v>#REF!</v>
      </c>
      <c r="M127" s="17">
        <v>5100</v>
      </c>
      <c r="N127" s="18" t="e">
        <f t="shared" si="24"/>
        <v>#REF!</v>
      </c>
      <c r="O127" s="17">
        <v>6000</v>
      </c>
      <c r="P127" s="18" t="e">
        <f t="shared" si="25"/>
        <v>#REF!</v>
      </c>
      <c r="Q127" s="62">
        <v>5300</v>
      </c>
      <c r="R127" s="63" t="e">
        <f t="shared" si="26"/>
        <v>#REF!</v>
      </c>
    </row>
    <row r="128" spans="1:18" ht="33" customHeight="1" x14ac:dyDescent="0.25">
      <c r="A128" s="44" t="e">
        <f>'Bid Item List A (FAA)'!#REF!</f>
        <v>#REF!</v>
      </c>
      <c r="B128" s="53" t="e">
        <f>'Bid Item List A (FAA)'!#REF!</f>
        <v>#REF!</v>
      </c>
      <c r="C128" s="42" t="e">
        <f>'Bid Item List A (FAA)'!#REF!</f>
        <v>#REF!</v>
      </c>
      <c r="D128" s="44" t="e">
        <f>'Bid Item List A (FAA)'!#REF!</f>
        <v>#REF!</v>
      </c>
      <c r="E128" s="17">
        <v>5000</v>
      </c>
      <c r="F128" s="18" t="e">
        <f t="shared" si="20"/>
        <v>#REF!</v>
      </c>
      <c r="G128" s="17">
        <v>5300</v>
      </c>
      <c r="H128" s="18" t="e">
        <f t="shared" si="21"/>
        <v>#REF!</v>
      </c>
      <c r="I128" s="17">
        <v>5000</v>
      </c>
      <c r="J128" s="18" t="e">
        <f t="shared" si="22"/>
        <v>#REF!</v>
      </c>
      <c r="K128" s="17">
        <v>5000</v>
      </c>
      <c r="L128" s="18" t="e">
        <f t="shared" si="23"/>
        <v>#REF!</v>
      </c>
      <c r="M128" s="17">
        <v>5100</v>
      </c>
      <c r="N128" s="18" t="e">
        <f t="shared" si="24"/>
        <v>#REF!</v>
      </c>
      <c r="O128" s="17">
        <v>6000</v>
      </c>
      <c r="P128" s="18" t="e">
        <f t="shared" si="25"/>
        <v>#REF!</v>
      </c>
      <c r="Q128" s="62">
        <v>5300</v>
      </c>
      <c r="R128" s="63" t="e">
        <f t="shared" si="26"/>
        <v>#REF!</v>
      </c>
    </row>
    <row r="129" spans="1:18" ht="33" customHeight="1" x14ac:dyDescent="0.25">
      <c r="A129" s="44" t="e">
        <f>'Bid Item List A (FAA)'!#REF!</f>
        <v>#REF!</v>
      </c>
      <c r="B129" s="53" t="e">
        <f>'Bid Item List A (FAA)'!#REF!</f>
        <v>#REF!</v>
      </c>
      <c r="C129" s="42" t="e">
        <f>'Bid Item List A (FAA)'!#REF!</f>
        <v>#REF!</v>
      </c>
      <c r="D129" s="44" t="e">
        <f>'Bid Item List A (FAA)'!#REF!</f>
        <v>#REF!</v>
      </c>
      <c r="E129" s="17">
        <v>5000</v>
      </c>
      <c r="F129" s="18" t="e">
        <f t="shared" si="20"/>
        <v>#REF!</v>
      </c>
      <c r="G129" s="17">
        <v>5300</v>
      </c>
      <c r="H129" s="18" t="e">
        <f t="shared" si="21"/>
        <v>#REF!</v>
      </c>
      <c r="I129" s="17">
        <v>5000</v>
      </c>
      <c r="J129" s="18" t="e">
        <f t="shared" si="22"/>
        <v>#REF!</v>
      </c>
      <c r="K129" s="17">
        <v>5000</v>
      </c>
      <c r="L129" s="18" t="e">
        <f t="shared" si="23"/>
        <v>#REF!</v>
      </c>
      <c r="M129" s="17">
        <v>5100</v>
      </c>
      <c r="N129" s="18" t="e">
        <f t="shared" si="24"/>
        <v>#REF!</v>
      </c>
      <c r="O129" s="17">
        <v>6000</v>
      </c>
      <c r="P129" s="18" t="e">
        <f t="shared" si="25"/>
        <v>#REF!</v>
      </c>
      <c r="Q129" s="62">
        <v>5300</v>
      </c>
      <c r="R129" s="63" t="e">
        <f t="shared" si="26"/>
        <v>#REF!</v>
      </c>
    </row>
    <row r="130" spans="1:18" ht="33" customHeight="1" x14ac:dyDescent="0.25">
      <c r="A130" s="44" t="e">
        <f>'Bid Item List A (FAA)'!#REF!</f>
        <v>#REF!</v>
      </c>
      <c r="B130" s="53" t="e">
        <f>'Bid Item List A (FAA)'!#REF!</f>
        <v>#REF!</v>
      </c>
      <c r="C130" s="42" t="e">
        <f>'Bid Item List A (FAA)'!#REF!</f>
        <v>#REF!</v>
      </c>
      <c r="D130" s="44" t="e">
        <f>'Bid Item List A (FAA)'!#REF!</f>
        <v>#REF!</v>
      </c>
      <c r="E130" s="17">
        <v>5000</v>
      </c>
      <c r="F130" s="18" t="e">
        <f t="shared" si="20"/>
        <v>#REF!</v>
      </c>
      <c r="G130" s="17">
        <v>5300</v>
      </c>
      <c r="H130" s="18" t="e">
        <f t="shared" si="21"/>
        <v>#REF!</v>
      </c>
      <c r="I130" s="17">
        <v>5000</v>
      </c>
      <c r="J130" s="18" t="e">
        <f t="shared" si="22"/>
        <v>#REF!</v>
      </c>
      <c r="K130" s="17">
        <v>5000</v>
      </c>
      <c r="L130" s="18" t="e">
        <f t="shared" si="23"/>
        <v>#REF!</v>
      </c>
      <c r="M130" s="17">
        <v>5100</v>
      </c>
      <c r="N130" s="18" t="e">
        <f t="shared" si="24"/>
        <v>#REF!</v>
      </c>
      <c r="O130" s="17">
        <v>6000</v>
      </c>
      <c r="P130" s="18" t="e">
        <f t="shared" si="25"/>
        <v>#REF!</v>
      </c>
      <c r="Q130" s="62">
        <v>5300</v>
      </c>
      <c r="R130" s="63" t="e">
        <f t="shared" si="26"/>
        <v>#REF!</v>
      </c>
    </row>
    <row r="131" spans="1:18" ht="33" customHeight="1" x14ac:dyDescent="0.25">
      <c r="A131" s="44" t="e">
        <f>'Bid Item List A (FAA)'!#REF!</f>
        <v>#REF!</v>
      </c>
      <c r="B131" s="53" t="e">
        <f>'Bid Item List A (FAA)'!#REF!</f>
        <v>#REF!</v>
      </c>
      <c r="C131" s="42" t="e">
        <f>'Bid Item List A (FAA)'!#REF!</f>
        <v>#REF!</v>
      </c>
      <c r="D131" s="44" t="e">
        <f>'Bid Item List A (FAA)'!#REF!</f>
        <v>#REF!</v>
      </c>
      <c r="E131" s="17">
        <v>3100</v>
      </c>
      <c r="F131" s="18" t="e">
        <f t="shared" si="20"/>
        <v>#REF!</v>
      </c>
      <c r="G131" s="17">
        <v>3300</v>
      </c>
      <c r="H131" s="18" t="e">
        <f t="shared" si="21"/>
        <v>#REF!</v>
      </c>
      <c r="I131" s="17">
        <v>3200</v>
      </c>
      <c r="J131" s="18" t="e">
        <f t="shared" si="22"/>
        <v>#REF!</v>
      </c>
      <c r="K131" s="17">
        <v>3100</v>
      </c>
      <c r="L131" s="18" t="e">
        <f t="shared" si="23"/>
        <v>#REF!</v>
      </c>
      <c r="M131" s="17">
        <v>3100</v>
      </c>
      <c r="N131" s="18" t="e">
        <f t="shared" si="24"/>
        <v>#REF!</v>
      </c>
      <c r="O131" s="17">
        <v>4000</v>
      </c>
      <c r="P131" s="18" t="e">
        <f t="shared" si="25"/>
        <v>#REF!</v>
      </c>
      <c r="Q131" s="62">
        <v>4200</v>
      </c>
      <c r="R131" s="63" t="e">
        <f t="shared" si="26"/>
        <v>#REF!</v>
      </c>
    </row>
    <row r="132" spans="1:18" ht="33" customHeight="1" x14ac:dyDescent="0.25">
      <c r="A132" s="44" t="e">
        <f>'Bid Item List A (FAA)'!#REF!</f>
        <v>#REF!</v>
      </c>
      <c r="B132" s="53" t="e">
        <f>'Bid Item List A (FAA)'!#REF!</f>
        <v>#REF!</v>
      </c>
      <c r="C132" s="42" t="e">
        <f>'Bid Item List A (FAA)'!#REF!</f>
        <v>#REF!</v>
      </c>
      <c r="D132" s="44" t="e">
        <f>'Bid Item List A (FAA)'!#REF!</f>
        <v>#REF!</v>
      </c>
      <c r="E132" s="17">
        <v>4200</v>
      </c>
      <c r="F132" s="18" t="e">
        <f t="shared" si="20"/>
        <v>#REF!</v>
      </c>
      <c r="G132" s="17">
        <v>4500</v>
      </c>
      <c r="H132" s="18" t="e">
        <f t="shared" si="21"/>
        <v>#REF!</v>
      </c>
      <c r="I132" s="17">
        <v>4200</v>
      </c>
      <c r="J132" s="18" t="e">
        <f t="shared" si="22"/>
        <v>#REF!</v>
      </c>
      <c r="K132" s="17">
        <v>4300</v>
      </c>
      <c r="L132" s="18" t="e">
        <f t="shared" si="23"/>
        <v>#REF!</v>
      </c>
      <c r="M132" s="17">
        <v>4300</v>
      </c>
      <c r="N132" s="18" t="e">
        <f t="shared" si="24"/>
        <v>#REF!</v>
      </c>
      <c r="O132" s="17">
        <v>5000</v>
      </c>
      <c r="P132" s="18" t="e">
        <f t="shared" si="25"/>
        <v>#REF!</v>
      </c>
      <c r="Q132" s="62">
        <v>5000</v>
      </c>
      <c r="R132" s="63" t="e">
        <f t="shared" si="26"/>
        <v>#REF!</v>
      </c>
    </row>
    <row r="133" spans="1:18" ht="33" customHeight="1" x14ac:dyDescent="0.25">
      <c r="A133" s="44" t="e">
        <f>'Bid Item List A (FAA)'!#REF!</f>
        <v>#REF!</v>
      </c>
      <c r="B133" s="53" t="e">
        <f>'Bid Item List A (FAA)'!#REF!</f>
        <v>#REF!</v>
      </c>
      <c r="C133" s="42" t="e">
        <f>'Bid Item List A (FAA)'!#REF!</f>
        <v>#REF!</v>
      </c>
      <c r="D133" s="44" t="e">
        <f>'Bid Item List A (FAA)'!#REF!</f>
        <v>#REF!</v>
      </c>
      <c r="E133" s="17">
        <v>4200</v>
      </c>
      <c r="F133" s="18" t="e">
        <f t="shared" si="20"/>
        <v>#REF!</v>
      </c>
      <c r="G133" s="17">
        <v>4500</v>
      </c>
      <c r="H133" s="18" t="e">
        <f t="shared" si="21"/>
        <v>#REF!</v>
      </c>
      <c r="I133" s="17">
        <v>4200</v>
      </c>
      <c r="J133" s="18" t="e">
        <f t="shared" si="22"/>
        <v>#REF!</v>
      </c>
      <c r="K133" s="17">
        <v>4300</v>
      </c>
      <c r="L133" s="18" t="e">
        <f t="shared" si="23"/>
        <v>#REF!</v>
      </c>
      <c r="M133" s="17">
        <v>4300</v>
      </c>
      <c r="N133" s="18" t="e">
        <f t="shared" si="24"/>
        <v>#REF!</v>
      </c>
      <c r="O133" s="17">
        <v>5000</v>
      </c>
      <c r="P133" s="18" t="e">
        <f t="shared" si="25"/>
        <v>#REF!</v>
      </c>
      <c r="Q133" s="62">
        <v>4200</v>
      </c>
      <c r="R133" s="63" t="e">
        <f t="shared" si="26"/>
        <v>#REF!</v>
      </c>
    </row>
    <row r="134" spans="1:18" ht="33" customHeight="1" x14ac:dyDescent="0.25">
      <c r="A134" s="44" t="e">
        <f>'Bid Item List A (FAA)'!#REF!</f>
        <v>#REF!</v>
      </c>
      <c r="B134" s="53" t="e">
        <f>'Bid Item List A (FAA)'!#REF!</f>
        <v>#REF!</v>
      </c>
      <c r="C134" s="42" t="e">
        <f>'Bid Item List A (FAA)'!#REF!</f>
        <v>#REF!</v>
      </c>
      <c r="D134" s="44" t="e">
        <f>'Bid Item List A (FAA)'!#REF!</f>
        <v>#REF!</v>
      </c>
      <c r="E134" s="17">
        <v>4200</v>
      </c>
      <c r="F134" s="18" t="e">
        <f t="shared" si="20"/>
        <v>#REF!</v>
      </c>
      <c r="G134" s="17">
        <v>4500</v>
      </c>
      <c r="H134" s="18" t="e">
        <f t="shared" si="21"/>
        <v>#REF!</v>
      </c>
      <c r="I134" s="17">
        <v>4200</v>
      </c>
      <c r="J134" s="18" t="e">
        <f t="shared" si="22"/>
        <v>#REF!</v>
      </c>
      <c r="K134" s="17">
        <v>4300</v>
      </c>
      <c r="L134" s="18" t="e">
        <f t="shared" si="23"/>
        <v>#REF!</v>
      </c>
      <c r="M134" s="17">
        <v>4300</v>
      </c>
      <c r="N134" s="18" t="e">
        <f t="shared" si="24"/>
        <v>#REF!</v>
      </c>
      <c r="O134" s="17">
        <v>5000</v>
      </c>
      <c r="P134" s="18" t="e">
        <f t="shared" si="25"/>
        <v>#REF!</v>
      </c>
      <c r="Q134" s="62">
        <v>5300</v>
      </c>
      <c r="R134" s="63" t="e">
        <f t="shared" si="26"/>
        <v>#REF!</v>
      </c>
    </row>
    <row r="135" spans="1:18" ht="33" customHeight="1" x14ac:dyDescent="0.25">
      <c r="A135" s="44" t="e">
        <f>'Bid Item List A (FAA)'!#REF!</f>
        <v>#REF!</v>
      </c>
      <c r="B135" s="53" t="e">
        <f>'Bid Item List A (FAA)'!#REF!</f>
        <v>#REF!</v>
      </c>
      <c r="C135" s="42" t="e">
        <f>'Bid Item List A (FAA)'!#REF!</f>
        <v>#REF!</v>
      </c>
      <c r="D135" s="44" t="e">
        <f>'Bid Item List A (FAA)'!#REF!</f>
        <v>#REF!</v>
      </c>
      <c r="E135" s="17">
        <v>3100</v>
      </c>
      <c r="F135" s="18" t="e">
        <f t="shared" si="20"/>
        <v>#REF!</v>
      </c>
      <c r="G135" s="17">
        <v>3300</v>
      </c>
      <c r="H135" s="18" t="e">
        <f t="shared" si="21"/>
        <v>#REF!</v>
      </c>
      <c r="I135" s="17">
        <v>3200</v>
      </c>
      <c r="J135" s="18" t="e">
        <f t="shared" si="22"/>
        <v>#REF!</v>
      </c>
      <c r="K135" s="17">
        <v>3100</v>
      </c>
      <c r="L135" s="18" t="e">
        <f t="shared" si="23"/>
        <v>#REF!</v>
      </c>
      <c r="M135" s="17">
        <v>3100</v>
      </c>
      <c r="N135" s="18" t="e">
        <f t="shared" si="24"/>
        <v>#REF!</v>
      </c>
      <c r="O135" s="17">
        <v>4000</v>
      </c>
      <c r="P135" s="18" t="e">
        <f t="shared" si="25"/>
        <v>#REF!</v>
      </c>
      <c r="Q135" s="62">
        <v>4200</v>
      </c>
      <c r="R135" s="63" t="e">
        <f t="shared" si="26"/>
        <v>#REF!</v>
      </c>
    </row>
    <row r="136" spans="1:18" ht="33" customHeight="1" x14ac:dyDescent="0.25">
      <c r="A136" s="44" t="e">
        <f>'Bid Item List A (FAA)'!#REF!</f>
        <v>#REF!</v>
      </c>
      <c r="B136" s="53" t="e">
        <f>'Bid Item List A (FAA)'!#REF!</f>
        <v>#REF!</v>
      </c>
      <c r="C136" s="42" t="e">
        <f>'Bid Item List A (FAA)'!#REF!</f>
        <v>#REF!</v>
      </c>
      <c r="D136" s="44" t="e">
        <f>'Bid Item List A (FAA)'!#REF!</f>
        <v>#REF!</v>
      </c>
      <c r="E136" s="17">
        <v>4200</v>
      </c>
      <c r="F136" s="18" t="e">
        <f t="shared" si="20"/>
        <v>#REF!</v>
      </c>
      <c r="G136" s="17">
        <v>4500</v>
      </c>
      <c r="H136" s="18" t="e">
        <f t="shared" si="21"/>
        <v>#REF!</v>
      </c>
      <c r="I136" s="17">
        <v>4200</v>
      </c>
      <c r="J136" s="18" t="e">
        <f t="shared" si="22"/>
        <v>#REF!</v>
      </c>
      <c r="K136" s="17">
        <v>4200</v>
      </c>
      <c r="L136" s="18" t="e">
        <f t="shared" si="23"/>
        <v>#REF!</v>
      </c>
      <c r="M136" s="17">
        <v>4300</v>
      </c>
      <c r="N136" s="18" t="e">
        <f t="shared" si="24"/>
        <v>#REF!</v>
      </c>
      <c r="O136" s="17">
        <v>5000</v>
      </c>
      <c r="P136" s="18" t="e">
        <f t="shared" si="25"/>
        <v>#REF!</v>
      </c>
      <c r="Q136" s="62">
        <v>5000</v>
      </c>
      <c r="R136" s="63" t="e">
        <f t="shared" ref="R136:R140" si="27">C136*Q136</f>
        <v>#REF!</v>
      </c>
    </row>
    <row r="137" spans="1:18" ht="33" customHeight="1" x14ac:dyDescent="0.25">
      <c r="A137" s="44" t="e">
        <f>'Bid Item List A (FAA)'!#REF!</f>
        <v>#REF!</v>
      </c>
      <c r="B137" s="53" t="e">
        <f>'Bid Item List A (FAA)'!#REF!</f>
        <v>#REF!</v>
      </c>
      <c r="C137" s="42" t="e">
        <f>'Bid Item List A (FAA)'!#REF!</f>
        <v>#REF!</v>
      </c>
      <c r="D137" s="44" t="e">
        <f>'Bid Item List A (FAA)'!#REF!</f>
        <v>#REF!</v>
      </c>
      <c r="E137" s="17">
        <v>4200</v>
      </c>
      <c r="F137" s="18" t="e">
        <f t="shared" si="20"/>
        <v>#REF!</v>
      </c>
      <c r="G137" s="17">
        <v>4500</v>
      </c>
      <c r="H137" s="18" t="e">
        <f t="shared" si="21"/>
        <v>#REF!</v>
      </c>
      <c r="I137" s="17">
        <v>4200</v>
      </c>
      <c r="J137" s="18" t="e">
        <f t="shared" si="22"/>
        <v>#REF!</v>
      </c>
      <c r="K137" s="17">
        <v>4300</v>
      </c>
      <c r="L137" s="18" t="e">
        <f t="shared" si="23"/>
        <v>#REF!</v>
      </c>
      <c r="M137" s="17">
        <v>4300</v>
      </c>
      <c r="N137" s="18" t="e">
        <f t="shared" si="24"/>
        <v>#REF!</v>
      </c>
      <c r="O137" s="17">
        <v>5000</v>
      </c>
      <c r="P137" s="18" t="e">
        <f t="shared" si="25"/>
        <v>#REF!</v>
      </c>
      <c r="Q137" s="62">
        <v>5000</v>
      </c>
      <c r="R137" s="63" t="e">
        <f t="shared" si="27"/>
        <v>#REF!</v>
      </c>
    </row>
    <row r="138" spans="1:18" ht="33" customHeight="1" x14ac:dyDescent="0.25">
      <c r="A138" s="44" t="e">
        <f>'Bid Item List A (FAA)'!#REF!</f>
        <v>#REF!</v>
      </c>
      <c r="B138" s="53" t="e">
        <f>'Bid Item List A (FAA)'!#REF!</f>
        <v>#REF!</v>
      </c>
      <c r="C138" s="42" t="e">
        <f>'Bid Item List A (FAA)'!#REF!</f>
        <v>#REF!</v>
      </c>
      <c r="D138" s="44" t="e">
        <f>'Bid Item List A (FAA)'!#REF!</f>
        <v>#REF!</v>
      </c>
      <c r="E138" s="17">
        <v>3100</v>
      </c>
      <c r="F138" s="18" t="e">
        <f t="shared" si="20"/>
        <v>#REF!</v>
      </c>
      <c r="G138" s="17">
        <v>3300</v>
      </c>
      <c r="H138" s="18" t="e">
        <f t="shared" si="21"/>
        <v>#REF!</v>
      </c>
      <c r="I138" s="17">
        <v>3200</v>
      </c>
      <c r="J138" s="18" t="e">
        <f t="shared" si="22"/>
        <v>#REF!</v>
      </c>
      <c r="K138" s="17">
        <v>3100</v>
      </c>
      <c r="L138" s="18" t="e">
        <f t="shared" si="23"/>
        <v>#REF!</v>
      </c>
      <c r="M138" s="17">
        <v>3100</v>
      </c>
      <c r="N138" s="18" t="e">
        <f t="shared" si="24"/>
        <v>#REF!</v>
      </c>
      <c r="O138" s="17">
        <v>4000</v>
      </c>
      <c r="P138" s="18" t="e">
        <f t="shared" si="25"/>
        <v>#REF!</v>
      </c>
      <c r="Q138" s="62">
        <v>2800</v>
      </c>
      <c r="R138" s="63" t="e">
        <f t="shared" si="27"/>
        <v>#REF!</v>
      </c>
    </row>
    <row r="139" spans="1:18" ht="33" customHeight="1" x14ac:dyDescent="0.25">
      <c r="A139" s="44" t="e">
        <f>'Bid Item List A (FAA)'!#REF!</f>
        <v>#REF!</v>
      </c>
      <c r="B139" s="53" t="e">
        <f>'Bid Item List A (FAA)'!#REF!</f>
        <v>#REF!</v>
      </c>
      <c r="C139" s="42" t="e">
        <f>'Bid Item List A (FAA)'!#REF!</f>
        <v>#REF!</v>
      </c>
      <c r="D139" s="44" t="e">
        <f>'Bid Item List A (FAA)'!#REF!</f>
        <v>#REF!</v>
      </c>
      <c r="E139" s="17">
        <v>3100</v>
      </c>
      <c r="F139" s="18" t="e">
        <f t="shared" ref="F139:F140" si="28">C139*E139</f>
        <v>#REF!</v>
      </c>
      <c r="G139" s="17">
        <v>3300</v>
      </c>
      <c r="H139" s="18" t="e">
        <f t="shared" ref="H139:H140" si="29">C139*G139</f>
        <v>#REF!</v>
      </c>
      <c r="I139" s="17">
        <v>3200</v>
      </c>
      <c r="J139" s="18" t="e">
        <f t="shared" ref="J139:J140" si="30">C139*I139</f>
        <v>#REF!</v>
      </c>
      <c r="K139" s="17">
        <v>3100</v>
      </c>
      <c r="L139" s="18" t="e">
        <f t="shared" ref="L139:L140" si="31">C139*K139</f>
        <v>#REF!</v>
      </c>
      <c r="M139" s="17">
        <v>3100</v>
      </c>
      <c r="N139" s="18" t="e">
        <f t="shared" ref="N139:N140" si="32">C139*M139</f>
        <v>#REF!</v>
      </c>
      <c r="O139" s="17">
        <v>4000</v>
      </c>
      <c r="P139" s="18" t="e">
        <f t="shared" ref="P139:P140" si="33">C139*O139</f>
        <v>#REF!</v>
      </c>
      <c r="Q139" s="62">
        <v>2800</v>
      </c>
      <c r="R139" s="63" t="e">
        <f t="shared" si="27"/>
        <v>#REF!</v>
      </c>
    </row>
    <row r="140" spans="1:18" ht="33" customHeight="1" x14ac:dyDescent="0.25">
      <c r="A140" s="44" t="e">
        <f>'Bid Item List A (FAA)'!#REF!</f>
        <v>#REF!</v>
      </c>
      <c r="B140" s="53" t="e">
        <f>'Bid Item List A (FAA)'!#REF!</f>
        <v>#REF!</v>
      </c>
      <c r="C140" s="42" t="e">
        <f>'Bid Item List A (FAA)'!#REF!</f>
        <v>#REF!</v>
      </c>
      <c r="D140" s="44" t="e">
        <f>'Bid Item List A (FAA)'!#REF!</f>
        <v>#REF!</v>
      </c>
      <c r="E140" s="17">
        <v>5000</v>
      </c>
      <c r="F140" s="18" t="e">
        <f t="shared" si="28"/>
        <v>#REF!</v>
      </c>
      <c r="G140" s="17">
        <v>5300</v>
      </c>
      <c r="H140" s="18" t="e">
        <f t="shared" si="29"/>
        <v>#REF!</v>
      </c>
      <c r="I140" s="17">
        <v>5000</v>
      </c>
      <c r="J140" s="18" t="e">
        <f t="shared" si="30"/>
        <v>#REF!</v>
      </c>
      <c r="K140" s="17">
        <v>5100</v>
      </c>
      <c r="L140" s="18" t="e">
        <f t="shared" si="31"/>
        <v>#REF!</v>
      </c>
      <c r="M140" s="17">
        <v>5100</v>
      </c>
      <c r="N140" s="18" t="e">
        <f t="shared" si="32"/>
        <v>#REF!</v>
      </c>
      <c r="O140" s="17">
        <v>6000</v>
      </c>
      <c r="P140" s="18" t="e">
        <f t="shared" si="33"/>
        <v>#REF!</v>
      </c>
      <c r="Q140" s="62">
        <v>5000</v>
      </c>
      <c r="R140" s="63" t="e">
        <f t="shared" si="27"/>
        <v>#REF!</v>
      </c>
    </row>
    <row r="141" spans="1:18" ht="27.75" customHeight="1" x14ac:dyDescent="0.25">
      <c r="A141" s="46"/>
      <c r="B141" s="75" t="s">
        <v>56</v>
      </c>
      <c r="C141" s="76"/>
      <c r="D141" s="77"/>
      <c r="E141" s="19"/>
      <c r="F141" s="19" t="e">
        <f>SUM(F8:F140)</f>
        <v>#REF!</v>
      </c>
      <c r="G141" s="19"/>
      <c r="H141" s="19" t="e">
        <f>SUM(H8:H140)</f>
        <v>#REF!</v>
      </c>
      <c r="I141" s="19"/>
      <c r="J141" s="19" t="e">
        <f>SUM(J8:J140)</f>
        <v>#REF!</v>
      </c>
      <c r="K141" s="19"/>
      <c r="L141" s="19" t="e">
        <f>SUM(L8:L140)</f>
        <v>#REF!</v>
      </c>
      <c r="M141" s="19"/>
      <c r="N141" s="19" t="e">
        <f>SUM(N8:N140)</f>
        <v>#REF!</v>
      </c>
      <c r="O141" s="19"/>
      <c r="P141" s="19" t="e">
        <f>SUM(P8:P140)</f>
        <v>#REF!</v>
      </c>
      <c r="Q141" s="64"/>
      <c r="R141" s="64" t="e">
        <f>SUM(R8:R140)</f>
        <v>#REF!</v>
      </c>
    </row>
  </sheetData>
  <mergeCells count="14">
    <mergeCell ref="B141:D141"/>
    <mergeCell ref="A6:D6"/>
    <mergeCell ref="O1:P5"/>
    <mergeCell ref="Q1:R5"/>
    <mergeCell ref="A2:D2"/>
    <mergeCell ref="A3:D3"/>
    <mergeCell ref="A4:D4"/>
    <mergeCell ref="A5:D5"/>
    <mergeCell ref="A1:D1"/>
    <mergeCell ref="E1:F5"/>
    <mergeCell ref="G1:H5"/>
    <mergeCell ref="I1:J5"/>
    <mergeCell ref="K1:L5"/>
    <mergeCell ref="M1:N5"/>
  </mergeCells>
  <printOptions horizontalCentered="1"/>
  <pageMargins left="0.5" right="0.5" top="0.5" bottom="0.5" header="0.5" footer="0.5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R25"/>
  <sheetViews>
    <sheetView view="pageBreakPreview" zoomScaleNormal="100" zoomScaleSheetLayoutView="100" workbookViewId="0">
      <selection activeCell="P21" sqref="P21"/>
    </sheetView>
  </sheetViews>
  <sheetFormatPr defaultRowHeight="15" x14ac:dyDescent="0.25"/>
  <cols>
    <col min="1" max="1" width="6.7109375" customWidth="1"/>
    <col min="2" max="2" width="29" style="38" customWidth="1"/>
    <col min="3" max="3" width="10.7109375" style="27" customWidth="1"/>
    <col min="4" max="4" width="6.7109375" style="14" customWidth="1"/>
    <col min="5" max="5" width="11" style="22" customWidth="1"/>
    <col min="6" max="6" width="13.7109375" style="22" customWidth="1"/>
    <col min="7" max="7" width="11" style="22" customWidth="1"/>
    <col min="8" max="8" width="13.7109375" style="22" customWidth="1"/>
    <col min="9" max="9" width="11" style="22" customWidth="1"/>
    <col min="10" max="10" width="13.7109375" style="22" customWidth="1"/>
    <col min="11" max="11" width="11" customWidth="1"/>
    <col min="12" max="12" width="13.7109375" customWidth="1"/>
    <col min="13" max="13" width="11" customWidth="1"/>
    <col min="14" max="14" width="13.7109375" customWidth="1"/>
    <col min="15" max="15" width="11" customWidth="1"/>
    <col min="16" max="16" width="13.7109375" customWidth="1"/>
    <col min="17" max="17" width="11" customWidth="1"/>
    <col min="18" max="18" width="13.7109375" customWidth="1"/>
  </cols>
  <sheetData>
    <row r="1" spans="1:18" s="2" customFormat="1" ht="30" customHeight="1" x14ac:dyDescent="0.25">
      <c r="A1" s="95" t="str">
        <f>'Bid Item List B (Port)'!$A$15</f>
        <v>PORTLAND INTERNATIONAL AIRPORT</v>
      </c>
      <c r="B1" s="96"/>
      <c r="C1" s="96"/>
      <c r="D1" s="97"/>
      <c r="E1" s="81" t="str">
        <f>'Bid Tab A (FAA)'!Contractor1</f>
        <v>Goodfella Bros., Inc.</v>
      </c>
      <c r="F1" s="82"/>
      <c r="G1" s="81" t="str">
        <f>'Bid Tab A (FAA)'!Contractor2</f>
        <v>K&amp;E Excavating, Inc.</v>
      </c>
      <c r="H1" s="82"/>
      <c r="I1" s="81" t="str">
        <f>'Bid Tab A (FAA)'!Contractor3</f>
        <v>Kerr Contractors 
Oregon, Inc.</v>
      </c>
      <c r="J1" s="82"/>
      <c r="K1" s="81" t="str">
        <f>'Bid Tab A (FAA)'!Contractor4</f>
        <v>Kodiak Pacific Construction</v>
      </c>
      <c r="L1" s="82"/>
      <c r="M1" s="81" t="str">
        <f>'Bid Tab A (FAA)'!Contractor5</f>
        <v>Nutter Corp.</v>
      </c>
      <c r="N1" s="82"/>
      <c r="O1" s="81" t="str">
        <f>'Bid Tab A (FAA)'!Contractor6</f>
        <v>Wildish Standard 
Paving Co.</v>
      </c>
      <c r="P1" s="82"/>
      <c r="Q1" s="85" t="str">
        <f>'Bid Tab A (FAA)'!EngineerEstimate</f>
        <v>Engineer's Estimate</v>
      </c>
      <c r="R1" s="86"/>
    </row>
    <row r="2" spans="1:18" x14ac:dyDescent="0.25">
      <c r="A2" s="89" t="str">
        <f>'Bid Item List B (Port)'!$A$16</f>
        <v>TAXIWAY B CENTER AND EXITS REHABILITATION</v>
      </c>
      <c r="B2" s="90"/>
      <c r="C2" s="90"/>
      <c r="D2" s="91"/>
      <c r="E2" s="83"/>
      <c r="F2" s="84"/>
      <c r="G2" s="83"/>
      <c r="H2" s="84"/>
      <c r="I2" s="83"/>
      <c r="J2" s="84"/>
      <c r="K2" s="83"/>
      <c r="L2" s="84"/>
      <c r="M2" s="83"/>
      <c r="N2" s="84"/>
      <c r="O2" s="83"/>
      <c r="P2" s="84"/>
      <c r="Q2" s="87"/>
      <c r="R2" s="88"/>
    </row>
    <row r="3" spans="1:18" x14ac:dyDescent="0.25">
      <c r="A3" s="89">
        <f>'Bid Item List B (Port)'!$A$17</f>
        <v>0</v>
      </c>
      <c r="B3" s="90"/>
      <c r="C3" s="90"/>
      <c r="D3" s="91"/>
      <c r="E3" s="83"/>
      <c r="F3" s="84"/>
      <c r="G3" s="83"/>
      <c r="H3" s="84"/>
      <c r="I3" s="83"/>
      <c r="J3" s="84"/>
      <c r="K3" s="83"/>
      <c r="L3" s="84"/>
      <c r="M3" s="83"/>
      <c r="N3" s="84"/>
      <c r="O3" s="83"/>
      <c r="P3" s="84"/>
      <c r="Q3" s="87"/>
      <c r="R3" s="88"/>
    </row>
    <row r="4" spans="1:18" x14ac:dyDescent="0.25">
      <c r="A4" s="92" t="str">
        <f>'Bid Tab A (FAA)'!A4:D4</f>
        <v>EAN 2015D147</v>
      </c>
      <c r="B4" s="93"/>
      <c r="C4" s="93"/>
      <c r="D4" s="94"/>
      <c r="E4" s="83"/>
      <c r="F4" s="84"/>
      <c r="G4" s="83"/>
      <c r="H4" s="84"/>
      <c r="I4" s="83"/>
      <c r="J4" s="84"/>
      <c r="K4" s="83"/>
      <c r="L4" s="84"/>
      <c r="M4" s="83"/>
      <c r="N4" s="84"/>
      <c r="O4" s="83"/>
      <c r="P4" s="84"/>
      <c r="Q4" s="87"/>
      <c r="R4" s="88"/>
    </row>
    <row r="5" spans="1:18" x14ac:dyDescent="0.25">
      <c r="A5" s="92" t="str">
        <f>'Bid Tab A (FAA)'!A5:D5</f>
        <v>Solicitation No. 2016-6920</v>
      </c>
      <c r="B5" s="93"/>
      <c r="C5" s="93"/>
      <c r="D5" s="94"/>
      <c r="E5" s="83"/>
      <c r="F5" s="84"/>
      <c r="G5" s="83"/>
      <c r="H5" s="84"/>
      <c r="I5" s="83"/>
      <c r="J5" s="84"/>
      <c r="K5" s="83"/>
      <c r="L5" s="84"/>
      <c r="M5" s="83"/>
      <c r="N5" s="84"/>
      <c r="O5" s="83"/>
      <c r="P5" s="84"/>
      <c r="Q5" s="87"/>
      <c r="R5" s="88"/>
    </row>
    <row r="6" spans="1:18" x14ac:dyDescent="0.25">
      <c r="A6" s="78">
        <f ca="1">TODAY()</f>
        <v>42754</v>
      </c>
      <c r="B6" s="79"/>
      <c r="C6" s="79"/>
      <c r="D6" s="80"/>
      <c r="E6" s="28"/>
      <c r="F6" s="29"/>
      <c r="G6" s="28"/>
      <c r="H6" s="29"/>
      <c r="I6" s="28"/>
      <c r="J6" s="29"/>
      <c r="K6" s="28"/>
      <c r="L6" s="29"/>
      <c r="M6" s="28"/>
      <c r="N6" s="29"/>
      <c r="O6" s="28"/>
      <c r="P6" s="29"/>
      <c r="Q6" s="59"/>
      <c r="R6" s="60"/>
    </row>
    <row r="7" spans="1:18" ht="32.25" customHeight="1" x14ac:dyDescent="0.25">
      <c r="A7" s="3" t="s">
        <v>13</v>
      </c>
      <c r="B7" s="12" t="s">
        <v>14</v>
      </c>
      <c r="C7" s="26" t="s">
        <v>15</v>
      </c>
      <c r="D7" s="12" t="s">
        <v>16</v>
      </c>
      <c r="E7" s="30" t="s">
        <v>17</v>
      </c>
      <c r="F7" s="30" t="s">
        <v>18</v>
      </c>
      <c r="G7" s="30" t="s">
        <v>17</v>
      </c>
      <c r="H7" s="30" t="s">
        <v>18</v>
      </c>
      <c r="I7" s="30" t="s">
        <v>17</v>
      </c>
      <c r="J7" s="30" t="s">
        <v>18</v>
      </c>
      <c r="K7" s="30" t="s">
        <v>17</v>
      </c>
      <c r="L7" s="30" t="s">
        <v>18</v>
      </c>
      <c r="M7" s="30" t="s">
        <v>17</v>
      </c>
      <c r="N7" s="30" t="s">
        <v>18</v>
      </c>
      <c r="O7" s="30" t="s">
        <v>17</v>
      </c>
      <c r="P7" s="30" t="s">
        <v>18</v>
      </c>
      <c r="Q7" s="61" t="s">
        <v>17</v>
      </c>
      <c r="R7" s="61" t="s">
        <v>18</v>
      </c>
    </row>
    <row r="8" spans="1:18" ht="33" customHeight="1" x14ac:dyDescent="0.25">
      <c r="A8" s="4" t="str">
        <f>'Bid Item List B (Port)'!A20</f>
        <v>0001</v>
      </c>
      <c r="B8" s="37" t="str">
        <f>'Bid Item List B (Port)'!B20</f>
        <v>Wildlife Access Road, Asphalt Grindings
(Section 012200)</v>
      </c>
      <c r="C8" s="41">
        <f>'Bid Item List B (Port)'!C20</f>
        <v>200</v>
      </c>
      <c r="D8" s="13" t="str">
        <f>'Bid Item List B (Port)'!D20</f>
        <v>CY</v>
      </c>
      <c r="E8" s="17">
        <v>100</v>
      </c>
      <c r="F8" s="18">
        <f t="shared" ref="F8:F10" si="0">C8*E8</f>
        <v>20000</v>
      </c>
      <c r="G8" s="17">
        <v>12</v>
      </c>
      <c r="H8" s="18">
        <f>C8*G8</f>
        <v>2400</v>
      </c>
      <c r="I8" s="17">
        <v>15</v>
      </c>
      <c r="J8" s="18">
        <f t="shared" ref="J8:J10" si="1">C8*I8</f>
        <v>3000</v>
      </c>
      <c r="K8" s="17">
        <v>0</v>
      </c>
      <c r="L8" s="18">
        <f t="shared" ref="L8:L10" si="2">C8*K8</f>
        <v>0</v>
      </c>
      <c r="M8" s="17">
        <v>10</v>
      </c>
      <c r="N8" s="18">
        <f t="shared" ref="N8:N10" si="3">C8*M8</f>
        <v>2000</v>
      </c>
      <c r="O8" s="17">
        <v>25</v>
      </c>
      <c r="P8" s="18">
        <f t="shared" ref="P8:P10" si="4">C8*O8</f>
        <v>5000</v>
      </c>
      <c r="Q8" s="62">
        <v>35</v>
      </c>
      <c r="R8" s="63">
        <f t="shared" ref="R8:R23" si="5">C8*Q8</f>
        <v>7000</v>
      </c>
    </row>
    <row r="9" spans="1:18" ht="33" customHeight="1" x14ac:dyDescent="0.25">
      <c r="A9" s="4" t="str">
        <f>'Bid Item List B (Port)'!A21</f>
        <v>0002</v>
      </c>
      <c r="B9" s="37" t="str">
        <f>'Bid Item List B (Port)'!B21</f>
        <v>Heat Shrink for 5kV L-823 Primary Connector
(Item L-108)</v>
      </c>
      <c r="C9" s="41">
        <f>'Bid Item List B (Port)'!C21</f>
        <v>435</v>
      </c>
      <c r="D9" s="13" t="str">
        <f>'Bid Item List B (Port)'!D21</f>
        <v>Each</v>
      </c>
      <c r="E9" s="17">
        <v>5</v>
      </c>
      <c r="F9" s="18">
        <f t="shared" si="0"/>
        <v>2175</v>
      </c>
      <c r="G9" s="17">
        <v>1</v>
      </c>
      <c r="H9" s="18">
        <f>C9*G9</f>
        <v>435</v>
      </c>
      <c r="I9" s="17">
        <v>1</v>
      </c>
      <c r="J9" s="18">
        <f t="shared" si="1"/>
        <v>435</v>
      </c>
      <c r="K9" s="17">
        <v>0</v>
      </c>
      <c r="L9" s="18">
        <f t="shared" si="2"/>
        <v>0</v>
      </c>
      <c r="M9" s="17">
        <v>1</v>
      </c>
      <c r="N9" s="18">
        <f t="shared" si="3"/>
        <v>435</v>
      </c>
      <c r="O9" s="17">
        <v>1</v>
      </c>
      <c r="P9" s="18">
        <f t="shared" si="4"/>
        <v>435</v>
      </c>
      <c r="Q9" s="62">
        <v>1.25</v>
      </c>
      <c r="R9" s="63">
        <f t="shared" si="5"/>
        <v>543.75</v>
      </c>
    </row>
    <row r="10" spans="1:18" ht="33" customHeight="1" x14ac:dyDescent="0.25">
      <c r="A10" s="4" t="str">
        <f>'Bid Item List B (Port)'!A22</f>
        <v>0003</v>
      </c>
      <c r="B10" s="37" t="str">
        <f>'Bid Item List B (Port)'!B22</f>
        <v>1-Inch IMC in Existing AC 
(Item L-110)</v>
      </c>
      <c r="C10" s="41">
        <f>'Bid Item List B (Port)'!C22</f>
        <v>25</v>
      </c>
      <c r="D10" s="13" t="str">
        <f>'Bid Item List B (Port)'!D22</f>
        <v>LF</v>
      </c>
      <c r="E10" s="17">
        <v>5</v>
      </c>
      <c r="F10" s="18">
        <f t="shared" si="0"/>
        <v>125</v>
      </c>
      <c r="G10" s="17">
        <v>0.7</v>
      </c>
      <c r="H10" s="18">
        <f>C10*G10</f>
        <v>17.5</v>
      </c>
      <c r="I10" s="17">
        <v>0.75</v>
      </c>
      <c r="J10" s="18">
        <f t="shared" si="1"/>
        <v>18.75</v>
      </c>
      <c r="K10" s="17">
        <v>0</v>
      </c>
      <c r="L10" s="18">
        <f t="shared" si="2"/>
        <v>0</v>
      </c>
      <c r="M10" s="17">
        <v>1</v>
      </c>
      <c r="N10" s="18">
        <f t="shared" si="3"/>
        <v>25</v>
      </c>
      <c r="O10" s="17">
        <v>1</v>
      </c>
      <c r="P10" s="18">
        <f t="shared" si="4"/>
        <v>25</v>
      </c>
      <c r="Q10" s="62">
        <v>3.5</v>
      </c>
      <c r="R10" s="63">
        <f t="shared" si="5"/>
        <v>87.5</v>
      </c>
    </row>
    <row r="11" spans="1:18" ht="33" customHeight="1" x14ac:dyDescent="0.25">
      <c r="A11" s="4" t="str">
        <f>'Bid Item List B (Port)'!A23</f>
        <v>0004</v>
      </c>
      <c r="B11" s="37" t="str">
        <f>'Bid Item List B (Port)'!B23</f>
        <v>3-Inch Diameter Brass Marker
(Section 260553)</v>
      </c>
      <c r="C11" s="41">
        <f>'Bid Item List B (Port)'!C23</f>
        <v>3</v>
      </c>
      <c r="D11" s="13" t="str">
        <f>'Bid Item List B (Port)'!D23</f>
        <v>Each</v>
      </c>
      <c r="E11" s="17">
        <v>160</v>
      </c>
      <c r="F11" s="18">
        <f t="shared" ref="F11:F22" si="6">C11*E11</f>
        <v>480</v>
      </c>
      <c r="G11" s="17">
        <v>160</v>
      </c>
      <c r="H11" s="18">
        <f t="shared" ref="H11:H19" si="7">C11*G11</f>
        <v>480</v>
      </c>
      <c r="I11" s="17">
        <v>155</v>
      </c>
      <c r="J11" s="18">
        <f t="shared" ref="J11:J22" si="8">C11*I11</f>
        <v>465</v>
      </c>
      <c r="K11" s="17">
        <v>0</v>
      </c>
      <c r="L11" s="18">
        <f t="shared" ref="L11:L22" si="9">C11*K11</f>
        <v>0</v>
      </c>
      <c r="M11" s="17">
        <v>160</v>
      </c>
      <c r="N11" s="18">
        <f t="shared" ref="N11:N22" si="10">C11*M11</f>
        <v>480</v>
      </c>
      <c r="O11" s="17">
        <v>200</v>
      </c>
      <c r="P11" s="18">
        <f t="shared" ref="P11:P22" si="11">C11*O11</f>
        <v>600</v>
      </c>
      <c r="Q11" s="62">
        <v>200</v>
      </c>
      <c r="R11" s="63">
        <f t="shared" si="5"/>
        <v>600</v>
      </c>
    </row>
    <row r="12" spans="1:18" ht="33" customHeight="1" x14ac:dyDescent="0.25">
      <c r="A12" s="4" t="e">
        <f>'Bid Item List B (Port)'!#REF!</f>
        <v>#REF!</v>
      </c>
      <c r="B12" s="37" t="e">
        <f>'Bid Item List B (Port)'!#REF!</f>
        <v>#REF!</v>
      </c>
      <c r="C12" s="41" t="e">
        <f>'Bid Item List B (Port)'!#REF!</f>
        <v>#REF!</v>
      </c>
      <c r="D12" s="13" t="e">
        <f>'Bid Item List B (Port)'!#REF!</f>
        <v>#REF!</v>
      </c>
      <c r="E12" s="17">
        <v>36</v>
      </c>
      <c r="F12" s="18" t="e">
        <f t="shared" si="6"/>
        <v>#REF!</v>
      </c>
      <c r="G12" s="17">
        <v>38</v>
      </c>
      <c r="H12" s="18" t="e">
        <f t="shared" si="7"/>
        <v>#REF!</v>
      </c>
      <c r="I12" s="17">
        <v>36</v>
      </c>
      <c r="J12" s="18" t="e">
        <f t="shared" si="8"/>
        <v>#REF!</v>
      </c>
      <c r="K12" s="17">
        <v>0</v>
      </c>
      <c r="L12" s="18" t="e">
        <f t="shared" si="9"/>
        <v>#REF!</v>
      </c>
      <c r="M12" s="17">
        <v>37</v>
      </c>
      <c r="N12" s="18" t="e">
        <f t="shared" si="10"/>
        <v>#REF!</v>
      </c>
      <c r="O12" s="17">
        <v>40</v>
      </c>
      <c r="P12" s="18" t="e">
        <f t="shared" si="11"/>
        <v>#REF!</v>
      </c>
      <c r="Q12" s="62">
        <v>30</v>
      </c>
      <c r="R12" s="63" t="e">
        <f t="shared" si="5"/>
        <v>#REF!</v>
      </c>
    </row>
    <row r="13" spans="1:18" ht="33" customHeight="1" x14ac:dyDescent="0.25">
      <c r="A13" s="4" t="e">
        <f>'Bid Item List B (Port)'!#REF!</f>
        <v>#REF!</v>
      </c>
      <c r="B13" s="37" t="e">
        <f>'Bid Item List B (Port)'!#REF!</f>
        <v>#REF!</v>
      </c>
      <c r="C13" s="41" t="e">
        <f>'Bid Item List B (Port)'!#REF!</f>
        <v>#REF!</v>
      </c>
      <c r="D13" s="13" t="e">
        <f>'Bid Item List B (Port)'!#REF!</f>
        <v>#REF!</v>
      </c>
      <c r="E13" s="17">
        <v>110</v>
      </c>
      <c r="F13" s="18" t="e">
        <f t="shared" si="6"/>
        <v>#REF!</v>
      </c>
      <c r="G13" s="17">
        <v>120</v>
      </c>
      <c r="H13" s="18" t="e">
        <f t="shared" si="7"/>
        <v>#REF!</v>
      </c>
      <c r="I13" s="17">
        <v>110</v>
      </c>
      <c r="J13" s="18" t="e">
        <f t="shared" si="8"/>
        <v>#REF!</v>
      </c>
      <c r="K13" s="17">
        <v>0</v>
      </c>
      <c r="L13" s="18" t="e">
        <f t="shared" si="9"/>
        <v>#REF!</v>
      </c>
      <c r="M13" s="17">
        <v>115</v>
      </c>
      <c r="N13" s="18" t="e">
        <f t="shared" si="10"/>
        <v>#REF!</v>
      </c>
      <c r="O13" s="17">
        <v>120</v>
      </c>
      <c r="P13" s="18" t="e">
        <f t="shared" si="11"/>
        <v>#REF!</v>
      </c>
      <c r="Q13" s="62">
        <v>150</v>
      </c>
      <c r="R13" s="63" t="e">
        <f t="shared" si="5"/>
        <v>#REF!</v>
      </c>
    </row>
    <row r="14" spans="1:18" ht="33" customHeight="1" x14ac:dyDescent="0.25">
      <c r="A14" s="4" t="e">
        <f>'Bid Item List B (Port)'!#REF!</f>
        <v>#REF!</v>
      </c>
      <c r="B14" s="37" t="e">
        <f>'Bid Item List B (Port)'!#REF!</f>
        <v>#REF!</v>
      </c>
      <c r="C14" s="41" t="e">
        <f>'Bid Item List B (Port)'!#REF!</f>
        <v>#REF!</v>
      </c>
      <c r="D14" s="13" t="e">
        <f>'Bid Item List B (Port)'!#REF!</f>
        <v>#REF!</v>
      </c>
      <c r="E14" s="17">
        <v>36</v>
      </c>
      <c r="F14" s="18" t="e">
        <f t="shared" si="6"/>
        <v>#REF!</v>
      </c>
      <c r="G14" s="17">
        <v>38</v>
      </c>
      <c r="H14" s="18" t="e">
        <f t="shared" si="7"/>
        <v>#REF!</v>
      </c>
      <c r="I14" s="17">
        <v>36</v>
      </c>
      <c r="J14" s="18" t="e">
        <f t="shared" si="8"/>
        <v>#REF!</v>
      </c>
      <c r="K14" s="17">
        <v>0</v>
      </c>
      <c r="L14" s="18" t="e">
        <f t="shared" si="9"/>
        <v>#REF!</v>
      </c>
      <c r="M14" s="17">
        <v>39</v>
      </c>
      <c r="N14" s="18" t="e">
        <f t="shared" si="10"/>
        <v>#REF!</v>
      </c>
      <c r="O14" s="17">
        <v>40</v>
      </c>
      <c r="P14" s="18" t="e">
        <f t="shared" si="11"/>
        <v>#REF!</v>
      </c>
      <c r="Q14" s="62">
        <v>65</v>
      </c>
      <c r="R14" s="63" t="e">
        <f t="shared" si="5"/>
        <v>#REF!</v>
      </c>
    </row>
    <row r="15" spans="1:18" ht="33" customHeight="1" x14ac:dyDescent="0.25">
      <c r="A15" s="4" t="e">
        <f>'Bid Item List B (Port)'!#REF!</f>
        <v>#REF!</v>
      </c>
      <c r="B15" s="37" t="e">
        <f>'Bid Item List B (Port)'!#REF!</f>
        <v>#REF!</v>
      </c>
      <c r="C15" s="41" t="e">
        <f>'Bid Item List B (Port)'!#REF!</f>
        <v>#REF!</v>
      </c>
      <c r="D15" s="13" t="e">
        <f>'Bid Item List B (Port)'!#REF!</f>
        <v>#REF!</v>
      </c>
      <c r="E15" s="17">
        <v>100</v>
      </c>
      <c r="F15" s="18" t="e">
        <f t="shared" si="6"/>
        <v>#REF!</v>
      </c>
      <c r="G15" s="17">
        <v>55</v>
      </c>
      <c r="H15" s="18" t="e">
        <f t="shared" si="7"/>
        <v>#REF!</v>
      </c>
      <c r="I15" s="17">
        <v>70</v>
      </c>
      <c r="J15" s="18" t="e">
        <f t="shared" si="8"/>
        <v>#REF!</v>
      </c>
      <c r="K15" s="17">
        <v>0</v>
      </c>
      <c r="L15" s="18" t="e">
        <f t="shared" si="9"/>
        <v>#REF!</v>
      </c>
      <c r="M15" s="17">
        <v>48</v>
      </c>
      <c r="N15" s="18" t="e">
        <f t="shared" si="10"/>
        <v>#REF!</v>
      </c>
      <c r="O15" s="17">
        <v>75</v>
      </c>
      <c r="P15" s="18" t="e">
        <f t="shared" si="11"/>
        <v>#REF!</v>
      </c>
      <c r="Q15" s="62">
        <v>55</v>
      </c>
      <c r="R15" s="63" t="e">
        <f t="shared" si="5"/>
        <v>#REF!</v>
      </c>
    </row>
    <row r="16" spans="1:18" ht="33" customHeight="1" x14ac:dyDescent="0.25">
      <c r="A16" s="4" t="e">
        <f>'Bid Item List B (Port)'!#REF!</f>
        <v>#REF!</v>
      </c>
      <c r="B16" s="37" t="e">
        <f>'Bid Item List B (Port)'!#REF!</f>
        <v>#REF!</v>
      </c>
      <c r="C16" s="41" t="e">
        <f>'Bid Item List B (Port)'!#REF!</f>
        <v>#REF!</v>
      </c>
      <c r="D16" s="13" t="e">
        <f>'Bid Item List B (Port)'!#REF!</f>
        <v>#REF!</v>
      </c>
      <c r="E16" s="17">
        <v>6600</v>
      </c>
      <c r="F16" s="18" t="e">
        <f t="shared" si="6"/>
        <v>#REF!</v>
      </c>
      <c r="G16" s="17">
        <v>7000</v>
      </c>
      <c r="H16" s="18" t="e">
        <f t="shared" si="7"/>
        <v>#REF!</v>
      </c>
      <c r="I16" s="17">
        <v>7000</v>
      </c>
      <c r="J16" s="18" t="e">
        <f t="shared" si="8"/>
        <v>#REF!</v>
      </c>
      <c r="K16" s="17">
        <v>0</v>
      </c>
      <c r="L16" s="18" t="e">
        <f t="shared" si="9"/>
        <v>#REF!</v>
      </c>
      <c r="M16" s="17">
        <v>6700</v>
      </c>
      <c r="N16" s="18" t="e">
        <f t="shared" si="10"/>
        <v>#REF!</v>
      </c>
      <c r="O16" s="17">
        <v>7000</v>
      </c>
      <c r="P16" s="18" t="e">
        <f t="shared" si="11"/>
        <v>#REF!</v>
      </c>
      <c r="Q16" s="62">
        <v>6500</v>
      </c>
      <c r="R16" s="63" t="e">
        <f t="shared" si="5"/>
        <v>#REF!</v>
      </c>
    </row>
    <row r="17" spans="1:18" ht="33" customHeight="1" x14ac:dyDescent="0.25">
      <c r="A17" s="4" t="e">
        <f>'Bid Item List B (Port)'!#REF!</f>
        <v>#REF!</v>
      </c>
      <c r="B17" s="37" t="e">
        <f>'Bid Item List B (Port)'!#REF!</f>
        <v>#REF!</v>
      </c>
      <c r="C17" s="41" t="e">
        <f>'Bid Item List B (Port)'!#REF!</f>
        <v>#REF!</v>
      </c>
      <c r="D17" s="13" t="e">
        <f>'Bid Item List B (Port)'!#REF!</f>
        <v>#REF!</v>
      </c>
      <c r="E17" s="17">
        <v>8200</v>
      </c>
      <c r="F17" s="18" t="e">
        <f t="shared" si="6"/>
        <v>#REF!</v>
      </c>
      <c r="G17" s="17">
        <v>8500</v>
      </c>
      <c r="H17" s="18" t="e">
        <f t="shared" si="7"/>
        <v>#REF!</v>
      </c>
      <c r="I17" s="17">
        <v>8500</v>
      </c>
      <c r="J17" s="18" t="e">
        <f t="shared" si="8"/>
        <v>#REF!</v>
      </c>
      <c r="K17" s="17">
        <v>0</v>
      </c>
      <c r="L17" s="18" t="e">
        <f t="shared" si="9"/>
        <v>#REF!</v>
      </c>
      <c r="M17" s="17">
        <v>8300</v>
      </c>
      <c r="N17" s="18" t="e">
        <f t="shared" si="10"/>
        <v>#REF!</v>
      </c>
      <c r="O17" s="17">
        <v>10000</v>
      </c>
      <c r="P17" s="18" t="e">
        <f t="shared" si="11"/>
        <v>#REF!</v>
      </c>
      <c r="Q17" s="62">
        <v>15000</v>
      </c>
      <c r="R17" s="63" t="e">
        <f t="shared" si="5"/>
        <v>#REF!</v>
      </c>
    </row>
    <row r="18" spans="1:18" ht="33" customHeight="1" x14ac:dyDescent="0.25">
      <c r="A18" s="4" t="e">
        <f>'Bid Item List B (Port)'!#REF!</f>
        <v>#REF!</v>
      </c>
      <c r="B18" s="37" t="e">
        <f>'Bid Item List B (Port)'!#REF!</f>
        <v>#REF!</v>
      </c>
      <c r="C18" s="41" t="e">
        <f>'Bid Item List B (Port)'!#REF!</f>
        <v>#REF!</v>
      </c>
      <c r="D18" s="13" t="e">
        <f>'Bid Item List B (Port)'!#REF!</f>
        <v>#REF!</v>
      </c>
      <c r="E18" s="17">
        <v>540</v>
      </c>
      <c r="F18" s="18" t="e">
        <f t="shared" si="6"/>
        <v>#REF!</v>
      </c>
      <c r="G18" s="17">
        <v>975</v>
      </c>
      <c r="H18" s="18" t="e">
        <f t="shared" si="7"/>
        <v>#REF!</v>
      </c>
      <c r="I18" s="17">
        <v>800</v>
      </c>
      <c r="J18" s="18" t="e">
        <f t="shared" si="8"/>
        <v>#REF!</v>
      </c>
      <c r="K18" s="17">
        <v>0</v>
      </c>
      <c r="L18" s="18" t="e">
        <f t="shared" si="9"/>
        <v>#REF!</v>
      </c>
      <c r="M18" s="17">
        <v>750</v>
      </c>
      <c r="N18" s="18" t="e">
        <f t="shared" si="10"/>
        <v>#REF!</v>
      </c>
      <c r="O18" s="17">
        <v>2000</v>
      </c>
      <c r="P18" s="18" t="e">
        <f t="shared" si="11"/>
        <v>#REF!</v>
      </c>
      <c r="Q18" s="62">
        <v>800</v>
      </c>
      <c r="R18" s="63" t="e">
        <f t="shared" si="5"/>
        <v>#REF!</v>
      </c>
    </row>
    <row r="19" spans="1:18" ht="33" customHeight="1" x14ac:dyDescent="0.25">
      <c r="A19" s="4" t="e">
        <f>'Bid Item List B (Port)'!#REF!</f>
        <v>#REF!</v>
      </c>
      <c r="B19" s="37" t="e">
        <f>'Bid Item List B (Port)'!#REF!</f>
        <v>#REF!</v>
      </c>
      <c r="C19" s="41" t="e">
        <f>'Bid Item List B (Port)'!#REF!</f>
        <v>#REF!</v>
      </c>
      <c r="D19" s="13" t="e">
        <f>'Bid Item List B (Port)'!#REF!</f>
        <v>#REF!</v>
      </c>
      <c r="E19" s="17">
        <v>100</v>
      </c>
      <c r="F19" s="18" t="e">
        <f t="shared" si="6"/>
        <v>#REF!</v>
      </c>
      <c r="G19" s="17">
        <v>110</v>
      </c>
      <c r="H19" s="18" t="e">
        <f t="shared" si="7"/>
        <v>#REF!</v>
      </c>
      <c r="I19" s="17">
        <v>100</v>
      </c>
      <c r="J19" s="18" t="e">
        <f t="shared" si="8"/>
        <v>#REF!</v>
      </c>
      <c r="K19" s="17">
        <v>0</v>
      </c>
      <c r="L19" s="18" t="e">
        <f t="shared" si="9"/>
        <v>#REF!</v>
      </c>
      <c r="M19" s="17">
        <v>100</v>
      </c>
      <c r="N19" s="18" t="e">
        <f t="shared" si="10"/>
        <v>#REF!</v>
      </c>
      <c r="O19" s="17">
        <v>300</v>
      </c>
      <c r="P19" s="18" t="e">
        <f t="shared" si="11"/>
        <v>#REF!</v>
      </c>
      <c r="Q19" s="62">
        <v>150</v>
      </c>
      <c r="R19" s="63" t="e">
        <f t="shared" si="5"/>
        <v>#REF!</v>
      </c>
    </row>
    <row r="20" spans="1:18" ht="33" customHeight="1" x14ac:dyDescent="0.25">
      <c r="A20" s="4" t="e">
        <f>'Bid Item List B (Port)'!#REF!</f>
        <v>#REF!</v>
      </c>
      <c r="B20" s="37" t="e">
        <f>'Bid Item List B (Port)'!#REF!</f>
        <v>#REF!</v>
      </c>
      <c r="C20" s="41" t="e">
        <f>'Bid Item List B (Port)'!#REF!</f>
        <v>#REF!</v>
      </c>
      <c r="D20" s="13" t="e">
        <f>'Bid Item List B (Port)'!#REF!</f>
        <v>#REF!</v>
      </c>
      <c r="E20" s="17">
        <v>300</v>
      </c>
      <c r="F20" s="18" t="e">
        <f t="shared" si="6"/>
        <v>#REF!</v>
      </c>
      <c r="G20" s="17">
        <v>270</v>
      </c>
      <c r="H20" s="18" t="e">
        <f>C20*G20</f>
        <v>#REF!</v>
      </c>
      <c r="I20" s="17">
        <v>300</v>
      </c>
      <c r="J20" s="18" t="e">
        <f t="shared" si="8"/>
        <v>#REF!</v>
      </c>
      <c r="K20" s="17">
        <v>0</v>
      </c>
      <c r="L20" s="18" t="e">
        <f t="shared" si="9"/>
        <v>#REF!</v>
      </c>
      <c r="M20" s="17">
        <v>315</v>
      </c>
      <c r="N20" s="18" t="e">
        <f t="shared" si="10"/>
        <v>#REF!</v>
      </c>
      <c r="O20" s="17">
        <v>350</v>
      </c>
      <c r="P20" s="18" t="e">
        <f t="shared" si="11"/>
        <v>#REF!</v>
      </c>
      <c r="Q20" s="62">
        <v>275</v>
      </c>
      <c r="R20" s="63" t="e">
        <f t="shared" si="5"/>
        <v>#REF!</v>
      </c>
    </row>
    <row r="21" spans="1:18" ht="33" customHeight="1" x14ac:dyDescent="0.25">
      <c r="A21" s="4" t="e">
        <f>'Bid Item List B (Port)'!#REF!</f>
        <v>#REF!</v>
      </c>
      <c r="B21" s="37" t="e">
        <f>'Bid Item List B (Port)'!#REF!</f>
        <v>#REF!</v>
      </c>
      <c r="C21" s="41" t="e">
        <f>'Bid Item List B (Port)'!#REF!</f>
        <v>#REF!</v>
      </c>
      <c r="D21" s="13" t="e">
        <f>'Bid Item List B (Port)'!#REF!</f>
        <v>#REF!</v>
      </c>
      <c r="E21" s="17">
        <v>1450</v>
      </c>
      <c r="F21" s="18" t="e">
        <f t="shared" si="6"/>
        <v>#REF!</v>
      </c>
      <c r="G21" s="17">
        <v>1600</v>
      </c>
      <c r="H21" s="18" t="e">
        <f>C21*G21</f>
        <v>#REF!</v>
      </c>
      <c r="I21" s="17">
        <v>2000</v>
      </c>
      <c r="J21" s="18" t="e">
        <f t="shared" si="8"/>
        <v>#REF!</v>
      </c>
      <c r="K21" s="17">
        <v>0</v>
      </c>
      <c r="L21" s="18" t="e">
        <f t="shared" si="9"/>
        <v>#REF!</v>
      </c>
      <c r="M21" s="17">
        <v>1500</v>
      </c>
      <c r="N21" s="18" t="e">
        <f t="shared" si="10"/>
        <v>#REF!</v>
      </c>
      <c r="O21" s="17">
        <v>1700</v>
      </c>
      <c r="P21" s="18" t="e">
        <f t="shared" si="11"/>
        <v>#REF!</v>
      </c>
      <c r="Q21" s="62">
        <v>1250</v>
      </c>
      <c r="R21" s="63" t="e">
        <f t="shared" si="5"/>
        <v>#REF!</v>
      </c>
    </row>
    <row r="22" spans="1:18" ht="33" customHeight="1" x14ac:dyDescent="0.25">
      <c r="A22" s="4" t="e">
        <f>'Bid Item List B (Port)'!#REF!</f>
        <v>#REF!</v>
      </c>
      <c r="B22" s="37" t="e">
        <f>'Bid Item List B (Port)'!#REF!</f>
        <v>#REF!</v>
      </c>
      <c r="C22" s="41" t="e">
        <f>'Bid Item List B (Port)'!#REF!</f>
        <v>#REF!</v>
      </c>
      <c r="D22" s="13" t="e">
        <f>'Bid Item List B (Port)'!#REF!</f>
        <v>#REF!</v>
      </c>
      <c r="E22" s="17">
        <v>24000</v>
      </c>
      <c r="F22" s="18" t="e">
        <f t="shared" si="6"/>
        <v>#REF!</v>
      </c>
      <c r="G22" s="17">
        <v>90000</v>
      </c>
      <c r="H22" s="18" t="e">
        <f>C22*G22</f>
        <v>#REF!</v>
      </c>
      <c r="I22" s="17">
        <v>55000</v>
      </c>
      <c r="J22" s="18" t="e">
        <f t="shared" si="8"/>
        <v>#REF!</v>
      </c>
      <c r="K22" s="17">
        <v>0</v>
      </c>
      <c r="L22" s="18" t="e">
        <f t="shared" si="9"/>
        <v>#REF!</v>
      </c>
      <c r="M22" s="17">
        <v>38000</v>
      </c>
      <c r="N22" s="18" t="e">
        <f t="shared" si="10"/>
        <v>#REF!</v>
      </c>
      <c r="O22" s="17">
        <v>50000</v>
      </c>
      <c r="P22" s="18" t="e">
        <f t="shared" si="11"/>
        <v>#REF!</v>
      </c>
      <c r="Q22" s="62">
        <v>50000</v>
      </c>
      <c r="R22" s="63" t="e">
        <f t="shared" si="5"/>
        <v>#REF!</v>
      </c>
    </row>
    <row r="23" spans="1:18" ht="33" customHeight="1" x14ac:dyDescent="0.25">
      <c r="A23" s="4" t="e">
        <f>'Bid Item List B (Port)'!#REF!</f>
        <v>#REF!</v>
      </c>
      <c r="B23" s="37" t="e">
        <f>'Bid Item List B (Port)'!#REF!</f>
        <v>#REF!</v>
      </c>
      <c r="C23" s="41" t="e">
        <f>'Bid Item List B (Port)'!#REF!</f>
        <v>#REF!</v>
      </c>
      <c r="D23" s="13" t="e">
        <f>'Bid Item List B (Port)'!#REF!</f>
        <v>#REF!</v>
      </c>
      <c r="E23" s="17">
        <v>200</v>
      </c>
      <c r="F23" s="18" t="e">
        <f t="shared" ref="F23" si="12">C23*E23</f>
        <v>#REF!</v>
      </c>
      <c r="G23" s="17">
        <v>185</v>
      </c>
      <c r="H23" s="18" t="e">
        <f t="shared" ref="H23" si="13">C23*G23</f>
        <v>#REF!</v>
      </c>
      <c r="I23" s="17">
        <v>175</v>
      </c>
      <c r="J23" s="18" t="e">
        <f t="shared" ref="J23" si="14">C23*I23</f>
        <v>#REF!</v>
      </c>
      <c r="K23" s="17">
        <v>0</v>
      </c>
      <c r="L23" s="18" t="e">
        <f t="shared" ref="L23" si="15">C23*K23</f>
        <v>#REF!</v>
      </c>
      <c r="M23" s="17">
        <v>185</v>
      </c>
      <c r="N23" s="18" t="e">
        <f t="shared" ref="N23" si="16">C23*M23</f>
        <v>#REF!</v>
      </c>
      <c r="O23" s="17">
        <v>200</v>
      </c>
      <c r="P23" s="18" t="e">
        <f t="shared" ref="P23" si="17">C23*O23</f>
        <v>#REF!</v>
      </c>
      <c r="Q23" s="62">
        <v>100</v>
      </c>
      <c r="R23" s="63" t="e">
        <f t="shared" si="5"/>
        <v>#REF!</v>
      </c>
    </row>
    <row r="24" spans="1:18" ht="27.75" customHeight="1" x14ac:dyDescent="0.25">
      <c r="A24" s="5"/>
      <c r="B24" s="75" t="s">
        <v>57</v>
      </c>
      <c r="C24" s="76"/>
      <c r="D24" s="77"/>
      <c r="E24" s="19"/>
      <c r="F24" s="19" t="e">
        <f>SUM(F8:F23)</f>
        <v>#REF!</v>
      </c>
      <c r="G24" s="19"/>
      <c r="H24" s="19" t="e">
        <f>SUM(H8:H23)</f>
        <v>#REF!</v>
      </c>
      <c r="I24" s="19"/>
      <c r="J24" s="19" t="e">
        <f>SUM(J8:J23)</f>
        <v>#REF!</v>
      </c>
      <c r="K24" s="19"/>
      <c r="L24" s="19" t="e">
        <f>SUM(L8:L23)</f>
        <v>#REF!</v>
      </c>
      <c r="M24" s="19"/>
      <c r="N24" s="19" t="e">
        <f>SUM(N8:N23)</f>
        <v>#REF!</v>
      </c>
      <c r="O24" s="19"/>
      <c r="P24" s="19" t="e">
        <f>SUM(P8:P23)</f>
        <v>#REF!</v>
      </c>
      <c r="Q24" s="64"/>
      <c r="R24" s="64" t="e">
        <f>SUM(R8:R23)</f>
        <v>#REF!</v>
      </c>
    </row>
    <row r="25" spans="1:18" ht="33" customHeight="1" x14ac:dyDescent="0.25">
      <c r="A25" s="4"/>
      <c r="B25" s="75" t="s">
        <v>193</v>
      </c>
      <c r="C25" s="76"/>
      <c r="D25" s="77"/>
      <c r="E25" s="17"/>
      <c r="F25" s="19" t="e">
        <f>'Bid Tab A (FAA)'!F141+'Bid Tab B (Port)'!F24</f>
        <v>#REF!</v>
      </c>
      <c r="G25" s="17"/>
      <c r="H25" s="19" t="e">
        <f>'Bid Tab A (FAA)'!H141+'Bid Tab B (Port)'!H24</f>
        <v>#REF!</v>
      </c>
      <c r="I25" s="17"/>
      <c r="J25" s="19" t="e">
        <f>'Bid Tab A (FAA)'!J141+'Bid Tab B (Port)'!J24</f>
        <v>#REF!</v>
      </c>
      <c r="K25" s="17"/>
      <c r="L25" s="19" t="e">
        <f>'Bid Tab A (FAA)'!L141+'Bid Tab B (Port)'!L24</f>
        <v>#REF!</v>
      </c>
      <c r="M25" s="17"/>
      <c r="N25" s="19" t="e">
        <f>'Bid Tab A (FAA)'!N141+'Bid Tab B (Port)'!N24</f>
        <v>#REF!</v>
      </c>
      <c r="O25" s="17"/>
      <c r="P25" s="19" t="e">
        <f>P24+'Bid Tab A (FAA)'!P141</f>
        <v>#REF!</v>
      </c>
      <c r="Q25" s="62"/>
      <c r="R25" s="64" t="e">
        <f>'Bid Tab A (FAA)'!R141+'Bid Tab B (Port)'!R24</f>
        <v>#REF!</v>
      </c>
    </row>
  </sheetData>
  <mergeCells count="15">
    <mergeCell ref="Q1:R5"/>
    <mergeCell ref="K1:L5"/>
    <mergeCell ref="M1:N5"/>
    <mergeCell ref="O1:P5"/>
    <mergeCell ref="B25:D25"/>
    <mergeCell ref="A6:D6"/>
    <mergeCell ref="E1:F5"/>
    <mergeCell ref="G1:H5"/>
    <mergeCell ref="I1:J5"/>
    <mergeCell ref="A1:D1"/>
    <mergeCell ref="A2:D2"/>
    <mergeCell ref="A3:D3"/>
    <mergeCell ref="A4:D4"/>
    <mergeCell ref="A5:D5"/>
    <mergeCell ref="B24:D24"/>
  </mergeCells>
  <printOptions horizontalCentered="1"/>
  <pageMargins left="0.5" right="0.5" top="0.5" bottom="0.5" header="0.5" footer="0.5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D16"/>
  <sheetViews>
    <sheetView zoomScaleNormal="100" workbookViewId="0">
      <selection activeCell="A8" sqref="A8"/>
    </sheetView>
  </sheetViews>
  <sheetFormatPr defaultRowHeight="15" x14ac:dyDescent="0.25"/>
  <cols>
    <col min="1" max="1" width="53.7109375" style="6" customWidth="1"/>
    <col min="2" max="2" width="27" style="35" customWidth="1"/>
    <col min="4" max="4" width="13.85546875" style="22" bestFit="1" customWidth="1"/>
  </cols>
  <sheetData>
    <row r="1" spans="1:4" ht="30" customHeight="1" x14ac:dyDescent="0.25">
      <c r="A1" s="15" t="str">
        <f>'Bid Item List B (Port)'!$A$15</f>
        <v>PORTLAND INTERNATIONAL AIRPORT</v>
      </c>
      <c r="B1" s="31"/>
    </row>
    <row r="2" spans="1:4" ht="15" customHeight="1" x14ac:dyDescent="0.25">
      <c r="A2" s="16" t="str">
        <f>'Bid Item List B (Port)'!$A$16</f>
        <v>TAXIWAY B CENTER AND EXITS REHABILITATION</v>
      </c>
      <c r="B2" s="32"/>
    </row>
    <row r="3" spans="1:4" ht="15" customHeight="1" x14ac:dyDescent="0.25">
      <c r="A3" s="16">
        <f>'Bid Item List B (Port)'!$A$17</f>
        <v>0</v>
      </c>
      <c r="B3" s="32"/>
    </row>
    <row r="4" spans="1:4" x14ac:dyDescent="0.25">
      <c r="A4" s="7" t="str">
        <f>'Bid Tab B (Port)'!$A$4</f>
        <v>EAN 2015D147</v>
      </c>
      <c r="B4" s="32"/>
    </row>
    <row r="5" spans="1:4" ht="15" customHeight="1" x14ac:dyDescent="0.25">
      <c r="A5" s="8" t="str">
        <f>'Bid Tab B (Port)'!$A$5</f>
        <v>Solicitation No. 2016-6920</v>
      </c>
      <c r="B5" s="32"/>
    </row>
    <row r="6" spans="1:4" ht="15" customHeight="1" x14ac:dyDescent="0.25">
      <c r="A6" s="9">
        <f ca="1">TODAY()</f>
        <v>42754</v>
      </c>
      <c r="B6" s="33"/>
    </row>
    <row r="7" spans="1:4" ht="33" customHeight="1" x14ac:dyDescent="0.25">
      <c r="A7" s="10" t="s">
        <v>20</v>
      </c>
      <c r="B7" s="34" t="s">
        <v>18</v>
      </c>
    </row>
    <row r="8" spans="1:4" ht="33" customHeight="1" x14ac:dyDescent="0.25">
      <c r="A8" s="11" t="str">
        <f>Contractor4</f>
        <v>Kodiak Pacific Construction</v>
      </c>
      <c r="B8" s="36" t="s">
        <v>199</v>
      </c>
      <c r="D8" s="22" t="e">
        <f>'Bid Tab B (Port)'!L25</f>
        <v>#REF!</v>
      </c>
    </row>
    <row r="9" spans="1:4" ht="33" customHeight="1" x14ac:dyDescent="0.25">
      <c r="A9" s="11" t="str">
        <f>Contractor2</f>
        <v>K&amp;E Excavating, Inc.</v>
      </c>
      <c r="B9" s="36" t="e">
        <f>'Bid Tab B (Port)'!H25</f>
        <v>#REF!</v>
      </c>
    </row>
    <row r="10" spans="1:4" ht="33" customHeight="1" x14ac:dyDescent="0.25">
      <c r="A10" s="11" t="str">
        <f>Contractor3</f>
        <v>Kerr Contractors 
Oregon, Inc.</v>
      </c>
      <c r="B10" s="36" t="e">
        <f>'Bid Tab B (Port)'!J25</f>
        <v>#REF!</v>
      </c>
    </row>
    <row r="11" spans="1:4" ht="33" customHeight="1" x14ac:dyDescent="0.25">
      <c r="A11" s="11" t="str">
        <f>Contractor5</f>
        <v>Nutter Corp.</v>
      </c>
      <c r="B11" s="36" t="e">
        <f>'Bid Tab B (Port)'!N25</f>
        <v>#REF!</v>
      </c>
    </row>
    <row r="12" spans="1:4" ht="33" customHeight="1" x14ac:dyDescent="0.25">
      <c r="A12" s="11" t="str">
        <f>Contractor1</f>
        <v>Goodfella Bros., Inc.</v>
      </c>
      <c r="B12" s="36" t="e">
        <f>'Bid Tab B (Port)'!F25</f>
        <v>#REF!</v>
      </c>
    </row>
    <row r="13" spans="1:4" ht="33" customHeight="1" x14ac:dyDescent="0.25">
      <c r="A13" s="11" t="str">
        <f>Contractor6</f>
        <v>Wildish Standard 
Paving Co.</v>
      </c>
      <c r="B13" s="36" t="s">
        <v>204</v>
      </c>
      <c r="D13" s="22" t="e">
        <f>'Bid Tab B (Port)'!P25</f>
        <v>#REF!</v>
      </c>
    </row>
    <row r="14" spans="1:4" ht="33" customHeight="1" x14ac:dyDescent="0.25">
      <c r="A14" s="57" t="str">
        <f>EngineerEstimate</f>
        <v>Engineer's Estimate</v>
      </c>
      <c r="B14" s="58" t="e">
        <f>'Bid Tab B (Port)'!R25</f>
        <v>#REF!</v>
      </c>
    </row>
    <row r="15" spans="1:4" x14ac:dyDescent="0.25">
      <c r="A15" s="55" t="s">
        <v>197</v>
      </c>
      <c r="B15" s="54"/>
    </row>
    <row r="16" spans="1:4" x14ac:dyDescent="0.25">
      <c r="A16" s="56" t="s">
        <v>198</v>
      </c>
    </row>
  </sheetData>
  <sortState ref="A8:D13">
    <sortCondition ref="B8:B13"/>
  </sortState>
  <printOptions horizontalCentered="1"/>
  <pageMargins left="0.75" right="0.75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C3FC360486C3449A5BF21A412D0E8B" ma:contentTypeVersion="3" ma:contentTypeDescription="Create a new document." ma:contentTypeScope="" ma:versionID="ae1734035da06489cee3bc010ff747fc">
  <xsd:schema xmlns:xsd="http://www.w3.org/2001/XMLSchema" xmlns:xs="http://www.w3.org/2001/XMLSchema" xmlns:p="http://schemas.microsoft.com/office/2006/metadata/properties" xmlns:ns2="149230f7-eaf4-416e-8d5c-5c6c61cbabe4" targetNamespace="http://schemas.microsoft.com/office/2006/metadata/properties" ma:root="true" ma:fieldsID="6046d4d5e893a6dcf2a15683580b6564" ns2:_="">
    <xsd:import namespace="149230f7-eaf4-416e-8d5c-5c6c61cba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230f7-eaf4-416e-8d5c-5c6c61cbab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71385B-31CC-453B-858F-B2EB93161D94}"/>
</file>

<file path=customXml/itemProps2.xml><?xml version="1.0" encoding="utf-8"?>
<ds:datastoreItem xmlns:ds="http://schemas.openxmlformats.org/officeDocument/2006/customXml" ds:itemID="{9A006F68-B61C-47CB-9DB6-392C23DBB550}"/>
</file>

<file path=customXml/itemProps3.xml><?xml version="1.0" encoding="utf-8"?>
<ds:datastoreItem xmlns:ds="http://schemas.openxmlformats.org/officeDocument/2006/customXml" ds:itemID="{A20497A9-035E-4456-8030-AB1FC7972C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21</vt:i4>
      </vt:variant>
    </vt:vector>
  </HeadingPairs>
  <TitlesOfParts>
    <vt:vector size="26" baseType="lpstr">
      <vt:lpstr>Bid Item List A (FAA)</vt:lpstr>
      <vt:lpstr>Bid Item List B (Port)</vt:lpstr>
      <vt:lpstr>Bid Tab A (FAA)</vt:lpstr>
      <vt:lpstr>Bid Tab B (Port)</vt:lpstr>
      <vt:lpstr>Summary</vt:lpstr>
      <vt:lpstr>'Bid Tab A (FAA)'!Contractor1</vt:lpstr>
      <vt:lpstr>Contractor1</vt:lpstr>
      <vt:lpstr>'Bid Tab A (FAA)'!Contractor2</vt:lpstr>
      <vt:lpstr>Contractor2</vt:lpstr>
      <vt:lpstr>'Bid Tab A (FAA)'!Contractor3</vt:lpstr>
      <vt:lpstr>Contractor3</vt:lpstr>
      <vt:lpstr>'Bid Tab A (FAA)'!Contractor4</vt:lpstr>
      <vt:lpstr>Contractor4</vt:lpstr>
      <vt:lpstr>'Bid Tab A (FAA)'!Contractor5</vt:lpstr>
      <vt:lpstr>Contractor5</vt:lpstr>
      <vt:lpstr>'Bid Tab A (FAA)'!Contractor6</vt:lpstr>
      <vt:lpstr>Contractor6</vt:lpstr>
      <vt:lpstr>'Bid Tab A (FAA)'!EngineerEstimate</vt:lpstr>
      <vt:lpstr>EngineerEstimate</vt:lpstr>
      <vt:lpstr>'Bid Item List A (FAA)'!Print_Area</vt:lpstr>
      <vt:lpstr>'Bid Item List B (Port)'!Print_Area</vt:lpstr>
      <vt:lpstr>Summary!Print_Area</vt:lpstr>
      <vt:lpstr>'Bid Item List A (FAA)'!Print_Titles</vt:lpstr>
      <vt:lpstr>'Bid Item List B (Port)'!Print_Titles</vt:lpstr>
      <vt:lpstr>'Bid Tab A (FAA)'!Print_Titles</vt:lpstr>
      <vt:lpstr>'Bid Tab B (Port)'!Print_Titles</vt:lpstr>
    </vt:vector>
  </TitlesOfParts>
  <Company>Port of Portland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Etta Goerl</dc:creator>
  <cp:lastModifiedBy>Etta Goerl</cp:lastModifiedBy>
  <cp:lastPrinted>2016-06-22T22:31:29Z</cp:lastPrinted>
  <dcterms:created xsi:type="dcterms:W3CDTF">2014-05-02T22:08:37Z</dcterms:created>
  <dcterms:modified xsi:type="dcterms:W3CDTF">2017-01-19T18:22:13Z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0x010100C4C3FC360486C3449A5BF21A412D0E8B</vt:lpwstr>
  </property>
</Properties>
</file>