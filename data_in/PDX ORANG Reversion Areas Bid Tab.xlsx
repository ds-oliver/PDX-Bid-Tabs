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18"/>
  <workbookPr defaultThemeVersion="124226"/>
  <mc:AlternateContent xmlns:mc="http://schemas.openxmlformats.org/markup-compatibility/2006">
    <mc:Choice Requires="x15">
      <x15ac:absPath xmlns:x15ac="http://schemas.microsoft.com/office/spreadsheetml/2010/11/ac" url="\\POPFS\Eng-Spec\Pdx\21D\001\"/>
    </mc:Choice>
  </mc:AlternateContent>
  <xr:revisionPtr revIDLastSave="0" documentId="13_ncr:1_{469E9F63-BDD7-41B8-B546-C1D65429E29B}" xr6:coauthVersionLast="47" xr6:coauthVersionMax="47" xr10:uidLastSave="{00000000-0000-0000-0000-000000000000}"/>
  <bookViews>
    <workbookView xWindow="-120" yWindow="-120" windowWidth="29040" windowHeight="15990" tabRatio="716" firstSheet="2" activeTab="2" xr2:uid="{00000000-000D-0000-FFFF-FFFF00000000}"/>
  </bookViews>
  <sheets>
    <sheet name="Bid Item List" sheetId="1" r:id="rId1"/>
    <sheet name="Bid Tabulation" sheetId="2" r:id="rId2"/>
    <sheet name="Summary" sheetId="5" r:id="rId3"/>
  </sheets>
  <definedNames>
    <definedName name="Contractor1">'Bid Tabulation'!$E$1</definedName>
    <definedName name="Contractor2">'Bid Tabulation'!$G$1</definedName>
    <definedName name="Contractor3">'Bid Tabulation'!#REF!</definedName>
    <definedName name="Contractor3A">'Bid Tabulation'!#REF!</definedName>
    <definedName name="Contractor4">'Bid Tabulation'!#REF!</definedName>
    <definedName name="Contractor5">'Bid Tabulation'!#REF!</definedName>
    <definedName name="Contractor6">'Bid Tabulation'!#REF!</definedName>
    <definedName name="Contractor7">'Bid Tabulation'!#REF!</definedName>
    <definedName name="Contractor8">'Bid Tabulation'!#REF!</definedName>
    <definedName name="EAN">'Bid Tabulation'!$A$4</definedName>
    <definedName name="EngineerEstimate">'Bid Tabulation'!$I$1</definedName>
    <definedName name="_xlnm.Print_Area" localSheetId="0">'Bid Item List'!$A$14:$F$87</definedName>
    <definedName name="_xlnm.Print_Area" localSheetId="2">Summary!$A$1:$B$11</definedName>
    <definedName name="_xlnm.Print_Titles" localSheetId="0">'Bid Item List'!$14:$19</definedName>
    <definedName name="_xlnm.Print_Titles" localSheetId="1">'Bid Tabulation'!$A:$D,'Bid Tabulation'!$1:$7</definedName>
    <definedName name="ProjectLocation">'Bid Item List'!$A$15</definedName>
    <definedName name="ProjectTitle">'Bid Item List'!$A$16</definedName>
    <definedName name="ProjectTitle2">'Bid Item List'!$A$17</definedName>
    <definedName name="QTY">'Bid Tabulation'!$C:$C</definedName>
    <definedName name="SolicitationNo">'Bid Tabulation'!$A$5</definedName>
    <definedName name="Total1">'Bid Tabulation'!$F$75</definedName>
    <definedName name="Total2">'Bid Tabulation'!$H$75</definedName>
    <definedName name="Total3">'Bid Tabulation'!#REF!</definedName>
    <definedName name="Total3A">'Bid Tabulation'!#REF!</definedName>
    <definedName name="Total4">'Bid Tabulation'!#REF!</definedName>
    <definedName name="Total5">'Bid Tabulation'!#REF!</definedName>
    <definedName name="Total6">'Bid Tabulation'!#REF!</definedName>
    <definedName name="Total7">'Bid Tabulation'!#REF!</definedName>
    <definedName name="Total8">'Bid Tabulation'!#REF!</definedName>
    <definedName name="TotalEE">'Bid Tabulation'!$J$75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9" i="2" l="1"/>
  <c r="B9" i="2"/>
  <c r="C9" i="2"/>
  <c r="D9" i="2"/>
  <c r="A10" i="2"/>
  <c r="B10" i="2"/>
  <c r="C10" i="2"/>
  <c r="D10" i="2"/>
  <c r="A11" i="2"/>
  <c r="B11" i="2"/>
  <c r="C11" i="2"/>
  <c r="D11" i="2"/>
  <c r="A12" i="2"/>
  <c r="B12" i="2"/>
  <c r="C12" i="2"/>
  <c r="D12" i="2"/>
  <c r="A13" i="2"/>
  <c r="B13" i="2"/>
  <c r="C13" i="2"/>
  <c r="D13" i="2"/>
  <c r="A14" i="2"/>
  <c r="B14" i="2"/>
  <c r="C14" i="2"/>
  <c r="D14" i="2"/>
  <c r="A15" i="2"/>
  <c r="B15" i="2"/>
  <c r="C15" i="2"/>
  <c r="D15" i="2"/>
  <c r="A16" i="2"/>
  <c r="B16" i="2"/>
  <c r="C16" i="2"/>
  <c r="D16" i="2"/>
  <c r="A17" i="2"/>
  <c r="B17" i="2"/>
  <c r="C17" i="2"/>
  <c r="D17" i="2"/>
  <c r="A18" i="2"/>
  <c r="B18" i="2"/>
  <c r="C18" i="2"/>
  <c r="D18" i="2"/>
  <c r="A19" i="2"/>
  <c r="B19" i="2"/>
  <c r="C19" i="2"/>
  <c r="D19" i="2"/>
  <c r="A20" i="2"/>
  <c r="B20" i="2"/>
  <c r="C20" i="2"/>
  <c r="D20" i="2"/>
  <c r="A21" i="2"/>
  <c r="B21" i="2"/>
  <c r="C21" i="2"/>
  <c r="D21" i="2"/>
  <c r="A22" i="2"/>
  <c r="B22" i="2"/>
  <c r="C22" i="2"/>
  <c r="D22" i="2"/>
  <c r="A23" i="2"/>
  <c r="B23" i="2"/>
  <c r="C23" i="2"/>
  <c r="D23" i="2"/>
  <c r="A24" i="2"/>
  <c r="B24" i="2"/>
  <c r="C24" i="2"/>
  <c r="D24" i="2"/>
  <c r="A25" i="2"/>
  <c r="B25" i="2"/>
  <c r="C25" i="2"/>
  <c r="D25" i="2"/>
  <c r="A26" i="2"/>
  <c r="B26" i="2"/>
  <c r="C26" i="2"/>
  <c r="D26" i="2"/>
  <c r="A27" i="2"/>
  <c r="B27" i="2"/>
  <c r="C27" i="2"/>
  <c r="D27" i="2"/>
  <c r="A28" i="2"/>
  <c r="B28" i="2"/>
  <c r="C28" i="2"/>
  <c r="D28" i="2"/>
  <c r="A29" i="2"/>
  <c r="B29" i="2"/>
  <c r="C29" i="2"/>
  <c r="D29" i="2"/>
  <c r="A30" i="2"/>
  <c r="B30" i="2"/>
  <c r="C30" i="2"/>
  <c r="D30" i="2"/>
  <c r="A31" i="2"/>
  <c r="B31" i="2"/>
  <c r="C31" i="2"/>
  <c r="D31" i="2"/>
  <c r="A32" i="2"/>
  <c r="B32" i="2"/>
  <c r="C32" i="2"/>
  <c r="D32" i="2"/>
  <c r="A33" i="2"/>
  <c r="B33" i="2"/>
  <c r="C33" i="2"/>
  <c r="D33" i="2"/>
  <c r="A34" i="2"/>
  <c r="B34" i="2"/>
  <c r="C34" i="2"/>
  <c r="D34" i="2"/>
  <c r="A35" i="2"/>
  <c r="B35" i="2"/>
  <c r="C35" i="2"/>
  <c r="D35" i="2"/>
  <c r="A36" i="2"/>
  <c r="B36" i="2"/>
  <c r="C36" i="2"/>
  <c r="D36" i="2"/>
  <c r="A37" i="2"/>
  <c r="B37" i="2"/>
  <c r="C37" i="2"/>
  <c r="D37" i="2"/>
  <c r="A38" i="2"/>
  <c r="B38" i="2"/>
  <c r="C38" i="2"/>
  <c r="D38" i="2"/>
  <c r="A39" i="2"/>
  <c r="B39" i="2"/>
  <c r="C39" i="2"/>
  <c r="D39" i="2"/>
  <c r="A40" i="2"/>
  <c r="B40" i="2"/>
  <c r="C40" i="2"/>
  <c r="D40" i="2"/>
  <c r="A41" i="2"/>
  <c r="B41" i="2"/>
  <c r="C41" i="2"/>
  <c r="D41" i="2"/>
  <c r="A42" i="2"/>
  <c r="B42" i="2"/>
  <c r="C42" i="2"/>
  <c r="D42" i="2"/>
  <c r="A43" i="2"/>
  <c r="B43" i="2"/>
  <c r="C43" i="2"/>
  <c r="D43" i="2"/>
  <c r="A44" i="2"/>
  <c r="B44" i="2"/>
  <c r="C44" i="2"/>
  <c r="D44" i="2"/>
  <c r="A45" i="2"/>
  <c r="B45" i="2"/>
  <c r="C45" i="2"/>
  <c r="D45" i="2"/>
  <c r="A46" i="2"/>
  <c r="B46" i="2"/>
  <c r="C46" i="2"/>
  <c r="D46" i="2"/>
  <c r="A47" i="2"/>
  <c r="B47" i="2"/>
  <c r="C47" i="2"/>
  <c r="D47" i="2"/>
  <c r="A48" i="2"/>
  <c r="B48" i="2"/>
  <c r="C48" i="2"/>
  <c r="D48" i="2"/>
  <c r="A49" i="2"/>
  <c r="B49" i="2"/>
  <c r="C49" i="2"/>
  <c r="D49" i="2"/>
  <c r="A50" i="2"/>
  <c r="B50" i="2"/>
  <c r="C50" i="2"/>
  <c r="D50" i="2"/>
  <c r="A51" i="2"/>
  <c r="B51" i="2"/>
  <c r="C51" i="2"/>
  <c r="D51" i="2"/>
  <c r="A52" i="2"/>
  <c r="B52" i="2"/>
  <c r="C52" i="2"/>
  <c r="D52" i="2"/>
  <c r="A53" i="2"/>
  <c r="B53" i="2"/>
  <c r="C53" i="2"/>
  <c r="D53" i="2"/>
  <c r="A54" i="2"/>
  <c r="B54" i="2"/>
  <c r="C54" i="2"/>
  <c r="D54" i="2"/>
  <c r="A55" i="2"/>
  <c r="B55" i="2"/>
  <c r="C55" i="2"/>
  <c r="D55" i="2"/>
  <c r="A56" i="2"/>
  <c r="B56" i="2"/>
  <c r="C56" i="2"/>
  <c r="D56" i="2"/>
  <c r="A57" i="2"/>
  <c r="B57" i="2"/>
  <c r="C57" i="2"/>
  <c r="D57" i="2"/>
  <c r="A58" i="2"/>
  <c r="B58" i="2"/>
  <c r="C58" i="2"/>
  <c r="D58" i="2"/>
  <c r="A59" i="2"/>
  <c r="B59" i="2"/>
  <c r="C59" i="2"/>
  <c r="D59" i="2"/>
  <c r="A60" i="2"/>
  <c r="B60" i="2"/>
  <c r="C60" i="2"/>
  <c r="D60" i="2"/>
  <c r="A61" i="2"/>
  <c r="B61" i="2"/>
  <c r="C61" i="2"/>
  <c r="D61" i="2"/>
  <c r="A62" i="2"/>
  <c r="B62" i="2"/>
  <c r="C62" i="2"/>
  <c r="D62" i="2"/>
  <c r="A63" i="2"/>
  <c r="B63" i="2"/>
  <c r="C63" i="2"/>
  <c r="D63" i="2"/>
  <c r="A64" i="2"/>
  <c r="B64" i="2"/>
  <c r="C64" i="2"/>
  <c r="H64" i="2" s="1"/>
  <c r="D64" i="2"/>
  <c r="A65" i="2"/>
  <c r="B65" i="2"/>
  <c r="C65" i="2"/>
  <c r="D65" i="2"/>
  <c r="A66" i="2"/>
  <c r="B66" i="2"/>
  <c r="C66" i="2"/>
  <c r="D66" i="2"/>
  <c r="A67" i="2"/>
  <c r="B67" i="2"/>
  <c r="C67" i="2"/>
  <c r="J67" i="2" s="1"/>
  <c r="D67" i="2"/>
  <c r="A68" i="2"/>
  <c r="B68" i="2"/>
  <c r="C68" i="2"/>
  <c r="F68" i="2" s="1"/>
  <c r="D68" i="2"/>
  <c r="A69" i="2"/>
  <c r="B69" i="2"/>
  <c r="C69" i="2"/>
  <c r="F69" i="2" s="1"/>
  <c r="D69" i="2"/>
  <c r="A70" i="2"/>
  <c r="B70" i="2"/>
  <c r="C70" i="2"/>
  <c r="H70" i="2" s="1"/>
  <c r="D70" i="2"/>
  <c r="A71" i="2"/>
  <c r="B71" i="2"/>
  <c r="C71" i="2"/>
  <c r="J71" i="2" s="1"/>
  <c r="D71" i="2"/>
  <c r="A72" i="2"/>
  <c r="B72" i="2"/>
  <c r="C72" i="2"/>
  <c r="D72" i="2"/>
  <c r="A73" i="2"/>
  <c r="B73" i="2"/>
  <c r="C73" i="2"/>
  <c r="D73" i="2"/>
  <c r="A74" i="2"/>
  <c r="B74" i="2"/>
  <c r="C74" i="2"/>
  <c r="D74" i="2"/>
  <c r="F63" i="2"/>
  <c r="J66" i="2" l="1"/>
  <c r="F66" i="2"/>
  <c r="J65" i="2"/>
  <c r="H69" i="2"/>
  <c r="F70" i="2"/>
  <c r="H71" i="2"/>
  <c r="F71" i="2"/>
  <c r="H66" i="2"/>
  <c r="H65" i="2"/>
  <c r="F65" i="2"/>
  <c r="J69" i="2"/>
  <c r="J63" i="2"/>
  <c r="H72" i="2"/>
  <c r="F72" i="2"/>
  <c r="H67" i="2"/>
  <c r="J64" i="2"/>
  <c r="F67" i="2"/>
  <c r="J68" i="2"/>
  <c r="J70" i="2"/>
  <c r="H68" i="2"/>
  <c r="H63" i="2"/>
  <c r="J72" i="2"/>
  <c r="F64" i="2"/>
  <c r="F17" i="2"/>
  <c r="H18" i="2"/>
  <c r="F24" i="2"/>
  <c r="H25" i="2"/>
  <c r="F30" i="2"/>
  <c r="H32" i="2"/>
  <c r="H33" i="2"/>
  <c r="F34" i="2"/>
  <c r="H37" i="2"/>
  <c r="F38" i="2"/>
  <c r="H40" i="2"/>
  <c r="H41" i="2"/>
  <c r="F42" i="2"/>
  <c r="H45" i="2"/>
  <c r="H49" i="2"/>
  <c r="F52" i="2"/>
  <c r="H56" i="2"/>
  <c r="F57" i="2"/>
  <c r="F61" i="2"/>
  <c r="F73" i="2"/>
  <c r="J21" i="2" l="1"/>
  <c r="J18" i="2"/>
  <c r="J42" i="2"/>
  <c r="J38" i="2"/>
  <c r="F26" i="2"/>
  <c r="F22" i="2"/>
  <c r="J26" i="2"/>
  <c r="H26" i="2"/>
  <c r="F18" i="2"/>
  <c r="J22" i="2"/>
  <c r="H22" i="2"/>
  <c r="F32" i="2"/>
  <c r="J55" i="2"/>
  <c r="J40" i="2"/>
  <c r="J33" i="2"/>
  <c r="H17" i="2"/>
  <c r="J45" i="2"/>
  <c r="F40" i="2"/>
  <c r="J37" i="2"/>
  <c r="H24" i="2"/>
  <c r="J17" i="2"/>
  <c r="H58" i="2"/>
  <c r="J49" i="2"/>
  <c r="J41" i="2"/>
  <c r="H21" i="2"/>
  <c r="H74" i="2"/>
  <c r="H54" i="2"/>
  <c r="F37" i="2"/>
  <c r="F21" i="2"/>
  <c r="F59" i="2"/>
  <c r="J56" i="2"/>
  <c r="F56" i="2"/>
  <c r="F51" i="2"/>
  <c r="F49" i="2"/>
  <c r="H34" i="2"/>
  <c r="J32" i="2"/>
  <c r="J29" i="2"/>
  <c r="F25" i="2"/>
  <c r="J51" i="2"/>
  <c r="F45" i="2"/>
  <c r="H42" i="2"/>
  <c r="J34" i="2"/>
  <c r="H20" i="2"/>
  <c r="J59" i="2"/>
  <c r="H59" i="2"/>
  <c r="F53" i="2"/>
  <c r="J53" i="2"/>
  <c r="F46" i="2"/>
  <c r="H46" i="2"/>
  <c r="F50" i="2"/>
  <c r="H50" i="2"/>
  <c r="H44" i="2"/>
  <c r="F44" i="2"/>
  <c r="J44" i="2"/>
  <c r="H29" i="2"/>
  <c r="F29" i="2"/>
  <c r="H60" i="2"/>
  <c r="F60" i="2"/>
  <c r="J60" i="2"/>
  <c r="H48" i="2"/>
  <c r="F48" i="2"/>
  <c r="J48" i="2"/>
  <c r="H36" i="2"/>
  <c r="F36" i="2"/>
  <c r="J36" i="2"/>
  <c r="F28" i="2"/>
  <c r="J28" i="2"/>
  <c r="H28" i="2"/>
  <c r="H55" i="2"/>
  <c r="H52" i="2"/>
  <c r="H30" i="2"/>
  <c r="J25" i="2"/>
  <c r="J24" i="2"/>
  <c r="H62" i="2"/>
  <c r="F55" i="2"/>
  <c r="J52" i="2"/>
  <c r="F41" i="2"/>
  <c r="F33" i="2"/>
  <c r="J30" i="2"/>
  <c r="H51" i="2"/>
  <c r="H47" i="2"/>
  <c r="H43" i="2"/>
  <c r="H39" i="2"/>
  <c r="H35" i="2"/>
  <c r="H31" i="2"/>
  <c r="H27" i="2"/>
  <c r="H23" i="2"/>
  <c r="J20" i="2"/>
  <c r="F20" i="2"/>
  <c r="H19" i="2"/>
  <c r="J47" i="2"/>
  <c r="F47" i="2"/>
  <c r="J43" i="2"/>
  <c r="F43" i="2"/>
  <c r="J39" i="2"/>
  <c r="F39" i="2"/>
  <c r="H38" i="2"/>
  <c r="J35" i="2"/>
  <c r="F35" i="2"/>
  <c r="J31" i="2"/>
  <c r="F31" i="2"/>
  <c r="J27" i="2"/>
  <c r="F27" i="2"/>
  <c r="J23" i="2"/>
  <c r="F23" i="2"/>
  <c r="J19" i="2"/>
  <c r="F19" i="2"/>
  <c r="J74" i="2"/>
  <c r="F74" i="2"/>
  <c r="H73" i="2"/>
  <c r="J62" i="2"/>
  <c r="F62" i="2"/>
  <c r="H61" i="2"/>
  <c r="J58" i="2"/>
  <c r="F58" i="2"/>
  <c r="H57" i="2"/>
  <c r="J54" i="2"/>
  <c r="F54" i="2"/>
  <c r="H53" i="2"/>
  <c r="J50" i="2"/>
  <c r="J46" i="2"/>
  <c r="J73" i="2"/>
  <c r="J61" i="2"/>
  <c r="J57" i="2"/>
  <c r="A5" i="5"/>
  <c r="A4" i="5"/>
  <c r="A3" i="5"/>
  <c r="A2" i="5"/>
  <c r="A1" i="5"/>
  <c r="A3" i="2"/>
  <c r="A2" i="2"/>
  <c r="A1" i="2"/>
  <c r="J16" i="2" l="1"/>
  <c r="J15" i="2"/>
  <c r="J14" i="2"/>
  <c r="J13" i="2"/>
  <c r="H16" i="2"/>
  <c r="F16" i="2"/>
  <c r="H15" i="2"/>
  <c r="F15" i="2"/>
  <c r="F14" i="2"/>
  <c r="H14" i="2"/>
  <c r="F13" i="2"/>
  <c r="H13" i="2"/>
  <c r="A10" i="5"/>
  <c r="A8" i="5"/>
  <c r="A9" i="5"/>
  <c r="A6" i="5" l="1"/>
  <c r="D8" i="2"/>
  <c r="C8" i="2"/>
  <c r="B8" i="2"/>
  <c r="A8" i="2"/>
  <c r="A6" i="2"/>
  <c r="J9" i="2" l="1"/>
  <c r="J12" i="2"/>
  <c r="J11" i="2"/>
  <c r="J10" i="2"/>
  <c r="J8" i="2"/>
  <c r="F8" i="2"/>
  <c r="H8" i="2"/>
  <c r="H12" i="2"/>
  <c r="F12" i="2"/>
  <c r="H11" i="2"/>
  <c r="F11" i="2"/>
  <c r="F10" i="2"/>
  <c r="H10" i="2"/>
  <c r="H9" i="2"/>
  <c r="F9" i="2"/>
  <c r="J75" i="2" l="1"/>
  <c r="B10" i="5" s="1"/>
  <c r="H75" i="2"/>
  <c r="B8" i="5" s="1"/>
  <c r="F75" i="2"/>
</calcChain>
</file>

<file path=xl/sharedStrings.xml><?xml version="1.0" encoding="utf-8"?>
<sst xmlns="http://schemas.openxmlformats.org/spreadsheetml/2006/main" count="245" uniqueCount="166">
  <si>
    <t>Acre</t>
  </si>
  <si>
    <t>CY</t>
  </si>
  <si>
    <t>Each</t>
  </si>
  <si>
    <t>FT</t>
  </si>
  <si>
    <t>Gal</t>
  </si>
  <si>
    <t>Hour</t>
  </si>
  <si>
    <t>LB</t>
  </si>
  <si>
    <t>LF</t>
  </si>
  <si>
    <t>LS</t>
  </si>
  <si>
    <t>Mile</t>
  </si>
  <si>
    <t>SF</t>
  </si>
  <si>
    <t>SY</t>
  </si>
  <si>
    <t>Ton</t>
  </si>
  <si>
    <t>PORTLAND INTERNATIONAL AIRPORT</t>
  </si>
  <si>
    <t>OREGON AIR NATIONAL GUARD</t>
  </si>
  <si>
    <t>REVERSION AREAS UTILITY SERVICES</t>
  </si>
  <si>
    <t>Item No.</t>
  </si>
  <si>
    <t>Item Description</t>
  </si>
  <si>
    <t>Estimated Quantity</t>
  </si>
  <si>
    <t xml:space="preserve">Units </t>
  </si>
  <si>
    <t>Unit Price</t>
  </si>
  <si>
    <t>Total Price</t>
  </si>
  <si>
    <t>0001</t>
  </si>
  <si>
    <t>Mobilization, Surveying, Cleanup, and Demobilization</t>
  </si>
  <si>
    <t>0002</t>
  </si>
  <si>
    <t>Traffic Control</t>
  </si>
  <si>
    <t>0003</t>
  </si>
  <si>
    <t>Sweeper</t>
  </si>
  <si>
    <t>0004</t>
  </si>
  <si>
    <t>Tree and Plant Protection</t>
  </si>
  <si>
    <t>0005</t>
  </si>
  <si>
    <t>Temporary Erosion, Sediment, and Pollution Control</t>
  </si>
  <si>
    <t>0006</t>
  </si>
  <si>
    <t>Surfacings Removal</t>
  </si>
  <si>
    <t>0007</t>
  </si>
  <si>
    <t>Signage</t>
  </si>
  <si>
    <t>0008</t>
  </si>
  <si>
    <t>PVC Conduit (Power) - 6 Inch</t>
  </si>
  <si>
    <t>0009</t>
  </si>
  <si>
    <t>PVC Conduit (Power) - 4 Inch</t>
  </si>
  <si>
    <t>0010</t>
  </si>
  <si>
    <t>PVC Conduit (Power) - 3 Inch</t>
  </si>
  <si>
    <t>0011</t>
  </si>
  <si>
    <t>PVC Conduit (Power) - 2 Inch</t>
  </si>
  <si>
    <t>0012</t>
  </si>
  <si>
    <t>XHHW Conductor - #3 AWG (Power)</t>
  </si>
  <si>
    <t>0013</t>
  </si>
  <si>
    <t>XHHW Conductor - #6 AWG (Power)</t>
  </si>
  <si>
    <t>0014</t>
  </si>
  <si>
    <t>XHHW Conductor - #8 AWG (Power)</t>
  </si>
  <si>
    <t>0015</t>
  </si>
  <si>
    <t>XHHW Conductor - #10 AWG (Power)</t>
  </si>
  <si>
    <t>0016</t>
  </si>
  <si>
    <t>XHHW Conductor - #12 AWG (Power)</t>
  </si>
  <si>
    <t>0017</t>
  </si>
  <si>
    <t>Electric Utility Meter Base - 200A Direct</t>
  </si>
  <si>
    <t>0018</t>
  </si>
  <si>
    <t>Metered Switchgear Installation</t>
  </si>
  <si>
    <t>0019</t>
  </si>
  <si>
    <t>Vault (Power) - 712-SWITCH-PCORP</t>
  </si>
  <si>
    <t>0020</t>
  </si>
  <si>
    <t>Vault (Power) - 575-TRANS-PCORP</t>
  </si>
  <si>
    <t>0021</t>
  </si>
  <si>
    <t>Vault (Power) - 575-PCORP</t>
  </si>
  <si>
    <t>0022</t>
  </si>
  <si>
    <t>Vault (Power) - 776-TRANS-PCORP</t>
  </si>
  <si>
    <t>0023</t>
  </si>
  <si>
    <t>Vault (Power) - 776-TRANS-PCORP (Traffic Rated)</t>
  </si>
  <si>
    <t>0024</t>
  </si>
  <si>
    <t>PVC Conduit (Comm) - 4 Inch</t>
  </si>
  <si>
    <t>0025</t>
  </si>
  <si>
    <t>HDPE Interduct (Comm) - 1 1/4"</t>
  </si>
  <si>
    <t>0026</t>
  </si>
  <si>
    <t>Vault (Comm) - 444-LA</t>
  </si>
  <si>
    <t>0027</t>
  </si>
  <si>
    <t>Vault (Comm) - 444-LA (Traffic Rated)</t>
  </si>
  <si>
    <t>0028</t>
  </si>
  <si>
    <t>Demarcation Panel with Receptacles, Heater, and T-Stat</t>
  </si>
  <si>
    <t>0029</t>
  </si>
  <si>
    <t>H-Frame Support</t>
  </si>
  <si>
    <t>0030</t>
  </si>
  <si>
    <t>Mini-Power Zone (10 KVA)</t>
  </si>
  <si>
    <t>0031</t>
  </si>
  <si>
    <t>Panelboard - 480Y/277V, 100A, 3-Phase, NEMA 3R</t>
  </si>
  <si>
    <t>0032</t>
  </si>
  <si>
    <t>Panelboard - 240/120V, 100A, 1-Phase, NEMA 3R</t>
  </si>
  <si>
    <t>0033</t>
  </si>
  <si>
    <t>Electrical Demo (Existing ORANG)</t>
  </si>
  <si>
    <t>0034</t>
  </si>
  <si>
    <t>Clearing and Grubbing</t>
  </si>
  <si>
    <t>0035</t>
  </si>
  <si>
    <t>Contaminated Soil Excavation and Disposal</t>
  </si>
  <si>
    <t>0036</t>
  </si>
  <si>
    <t>Trench Excavation</t>
  </si>
  <si>
    <t>0037</t>
  </si>
  <si>
    <t>Trenchless Installation</t>
  </si>
  <si>
    <t>0038</t>
  </si>
  <si>
    <t xml:space="preserve">Bedding and Pipe Zone Material </t>
  </si>
  <si>
    <t>0039</t>
  </si>
  <si>
    <t xml:space="preserve">Trench Stabilization </t>
  </si>
  <si>
    <t>0040</t>
  </si>
  <si>
    <t>Level 3, 1/2-Inch Dense HMAC</t>
  </si>
  <si>
    <t>0041</t>
  </si>
  <si>
    <t>Crack Seal</t>
  </si>
  <si>
    <t>0042</t>
  </si>
  <si>
    <t>Aggregate Base Course</t>
  </si>
  <si>
    <t>0043</t>
  </si>
  <si>
    <t>Reinforced Concrete Pad</t>
  </si>
  <si>
    <t>0044</t>
  </si>
  <si>
    <t xml:space="preserve">Cast-In-Place Concrete Curb </t>
  </si>
  <si>
    <t>0045</t>
  </si>
  <si>
    <t>Concrete Sidewalk</t>
  </si>
  <si>
    <t>0046</t>
  </si>
  <si>
    <t>Pavement Marking</t>
  </si>
  <si>
    <t>0047</t>
  </si>
  <si>
    <t>One-Year Landscape Maintenance</t>
  </si>
  <si>
    <t>0048</t>
  </si>
  <si>
    <t>Area Seeding</t>
  </si>
  <si>
    <t>0049</t>
  </si>
  <si>
    <t>Mulch</t>
  </si>
  <si>
    <t>0050</t>
  </si>
  <si>
    <t xml:space="preserve">Irrigation Replacement </t>
  </si>
  <si>
    <t>0051</t>
  </si>
  <si>
    <t xml:space="preserve">3-Inch DR9 Pex Water Pipe </t>
  </si>
  <si>
    <t>0052</t>
  </si>
  <si>
    <t xml:space="preserve">4-Inch DIP Water Pipe </t>
  </si>
  <si>
    <t>0053</t>
  </si>
  <si>
    <t xml:space="preserve">12-Inch DIP Water Pipe </t>
  </si>
  <si>
    <t>0054</t>
  </si>
  <si>
    <t xml:space="preserve">16-Inch DIP Water Pipe </t>
  </si>
  <si>
    <t>0055</t>
  </si>
  <si>
    <t>4-Inch Reduced Pressure Backflow Assembly and Enclosure</t>
  </si>
  <si>
    <t>0056</t>
  </si>
  <si>
    <t>16-Inch Reduced Pressure Detector Assembly and Enclosure</t>
  </si>
  <si>
    <t>0057</t>
  </si>
  <si>
    <t>3-Inch Gate Valve</t>
  </si>
  <si>
    <t>0058</t>
  </si>
  <si>
    <t>4-Inch Gate Valve</t>
  </si>
  <si>
    <t>0059</t>
  </si>
  <si>
    <t>8-Inch Gate Valve</t>
  </si>
  <si>
    <t>0060</t>
  </si>
  <si>
    <t>16-Inch Butterfly Valve</t>
  </si>
  <si>
    <t>0061</t>
  </si>
  <si>
    <t xml:space="preserve">2-Inch Water Meter </t>
  </si>
  <si>
    <t>0062</t>
  </si>
  <si>
    <t xml:space="preserve">2-Inch Air Release Valve Assembly </t>
  </si>
  <si>
    <t>0063</t>
  </si>
  <si>
    <t xml:space="preserve">Central Water Meter Vault and Manifold </t>
  </si>
  <si>
    <t>0064</t>
  </si>
  <si>
    <t xml:space="preserve">Landside Utility Disconnections </t>
  </si>
  <si>
    <t>0065</t>
  </si>
  <si>
    <t xml:space="preserve">Airfield Fire Water Disconnection </t>
  </si>
  <si>
    <t>0066</t>
  </si>
  <si>
    <t>Fire Hydrant Assembly</t>
  </si>
  <si>
    <t>0067</t>
  </si>
  <si>
    <t>Manhole and Catch Basin Adjustment</t>
  </si>
  <si>
    <t>Total Amount Bid (Basis of Award)</t>
  </si>
  <si>
    <t>$___________</t>
  </si>
  <si>
    <t>Kodiak Pacific
Construction Co.</t>
  </si>
  <si>
    <t>Magnum Power LLC</t>
  </si>
  <si>
    <t>Engineer's Estimate</t>
  </si>
  <si>
    <t>EAN 2021D001</t>
  </si>
  <si>
    <t>Solicitation No. 2022-10053</t>
  </si>
  <si>
    <t>Bidder</t>
  </si>
  <si>
    <t>$3,002,271.00*</t>
  </si>
  <si>
    <t>*Corrected Bid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</si>
</sst>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164" formatCode="0.0"/>
    <numFmt numFmtId="165" formatCode="General;\–General;"/>
    <numFmt numFmtId="166" formatCode="&quot;$&quot;#,##0.00"/>
    <numFmt numFmtId="167" formatCode="#,##0.0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sz val="8"/>
      <color theme="1"/>
      <name val="Arial"/>
      <family val="2"/>
    </font>
    <font>
      <sz val="9"/>
      <color theme="1"/>
      <name val="Arial"/>
      <family val="2"/>
    </font>
    <font>
      <sz val="8"/>
      <name val="Calibri"/>
      <family val="2"/>
      <scheme val="minor"/>
    </font>
    <font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18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 style="thin">
        <color theme="1" tint="0.499984740745262"/>
      </right>
      <top/>
      <bottom/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/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/>
      <top/>
      <bottom/>
      <diagonal/>
    </border>
    <border>
      <left/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</cellStyleXfs>
  <cellXfs count="83">
    <xf numFmtId="0" fontId="0" fillId="0" borderId="0" xfId="0"/>
    <xf numFmtId="0" fontId="2" fillId="0" borderId="0" xfId="0" applyFont="1" applyProtection="1">
      <protection hidden="1"/>
    </xf>
    <xf numFmtId="0" fontId="3" fillId="0" borderId="0" xfId="0" applyFont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4" fillId="0" borderId="1" xfId="0" applyFont="1" applyBorder="1"/>
    <xf numFmtId="0" fontId="5" fillId="0" borderId="1" xfId="0" applyFont="1" applyBorder="1"/>
    <xf numFmtId="0" fontId="3" fillId="0" borderId="5" xfId="0" applyFont="1" applyBorder="1" applyAlignment="1">
      <alignment horizontal="center" wrapText="1"/>
    </xf>
    <xf numFmtId="49" fontId="7" fillId="0" borderId="5" xfId="0" applyNumberFormat="1" applyFont="1" applyBorder="1" applyAlignment="1">
      <alignment horizontal="center" vertical="top"/>
    </xf>
    <xf numFmtId="0" fontId="3" fillId="0" borderId="5" xfId="0" applyFont="1" applyBorder="1"/>
    <xf numFmtId="0" fontId="0" fillId="0" borderId="0" xfId="0" applyAlignment="1">
      <alignment horizontal="left" vertical="center"/>
    </xf>
    <xf numFmtId="0" fontId="7" fillId="0" borderId="15" xfId="0" applyFont="1" applyBorder="1" applyAlignment="1">
      <alignment horizontal="left"/>
    </xf>
    <xf numFmtId="0" fontId="7" fillId="0" borderId="15" xfId="0" applyFont="1" applyBorder="1" applyAlignment="1">
      <alignment horizontal="left" vertical="center"/>
    </xf>
    <xf numFmtId="14" fontId="7" fillId="0" borderId="15" xfId="0" applyNumberFormat="1" applyFont="1" applyBorder="1" applyAlignment="1">
      <alignment horizontal="left" vertical="center"/>
    </xf>
    <xf numFmtId="0" fontId="5" fillId="0" borderId="5" xfId="0" applyFont="1" applyBorder="1" applyAlignment="1">
      <alignment horizontal="center" vertical="center"/>
    </xf>
    <xf numFmtId="0" fontId="4" fillId="0" borderId="5" xfId="0" applyFont="1" applyBorder="1" applyAlignment="1">
      <alignment horizontal="left" vertical="center"/>
    </xf>
    <xf numFmtId="165" fontId="3" fillId="0" borderId="5" xfId="0" applyNumberFormat="1" applyFont="1" applyBorder="1" applyAlignment="1">
      <alignment horizontal="center" wrapText="1"/>
    </xf>
    <xf numFmtId="165" fontId="7" fillId="0" borderId="5" xfId="0" applyNumberFormat="1" applyFont="1" applyBorder="1" applyAlignment="1">
      <alignment horizontal="center" vertical="top"/>
    </xf>
    <xf numFmtId="165" fontId="3" fillId="0" borderId="5" xfId="0" applyNumberFormat="1" applyFont="1" applyBorder="1" applyAlignment="1">
      <alignment horizontal="left" vertical="center"/>
    </xf>
    <xf numFmtId="165" fontId="3" fillId="0" borderId="5" xfId="0" applyNumberFormat="1" applyFont="1" applyBorder="1"/>
    <xf numFmtId="165" fontId="0" fillId="0" borderId="0" xfId="0" applyNumberFormat="1"/>
    <xf numFmtId="165" fontId="5" fillId="0" borderId="7" xfId="0" applyNumberFormat="1" applyFont="1" applyBorder="1" applyAlignment="1">
      <alignment horizontal="left"/>
    </xf>
    <xf numFmtId="165" fontId="5" fillId="0" borderId="15" xfId="0" applyNumberFormat="1" applyFont="1" applyBorder="1" applyAlignment="1">
      <alignment horizontal="left" vertical="center"/>
    </xf>
    <xf numFmtId="166" fontId="7" fillId="0" borderId="5" xfId="0" applyNumberFormat="1" applyFont="1" applyBorder="1" applyAlignment="1">
      <alignment horizontal="center" vertical="top"/>
    </xf>
    <xf numFmtId="166" fontId="7" fillId="0" borderId="5" xfId="1" applyNumberFormat="1" applyFont="1" applyBorder="1" applyAlignment="1">
      <alignment horizontal="center" vertical="top"/>
    </xf>
    <xf numFmtId="166" fontId="3" fillId="0" borderId="5" xfId="0" applyNumberFormat="1" applyFont="1" applyBorder="1"/>
    <xf numFmtId="2" fontId="0" fillId="0" borderId="0" xfId="0" applyNumberFormat="1"/>
    <xf numFmtId="2" fontId="3" fillId="0" borderId="1" xfId="0" applyNumberFormat="1" applyFont="1" applyBorder="1" applyAlignment="1">
      <alignment horizontal="center" wrapText="1"/>
    </xf>
    <xf numFmtId="2" fontId="4" fillId="0" borderId="1" xfId="0" applyNumberFormat="1" applyFont="1" applyBorder="1"/>
    <xf numFmtId="166" fontId="0" fillId="0" borderId="0" xfId="0" applyNumberFormat="1"/>
    <xf numFmtId="166" fontId="3" fillId="0" borderId="1" xfId="0" applyNumberFormat="1" applyFont="1" applyBorder="1" applyAlignment="1">
      <alignment horizontal="center" wrapText="1"/>
    </xf>
    <xf numFmtId="166" fontId="4" fillId="0" borderId="1" xfId="0" applyNumberFormat="1" applyFont="1" applyBorder="1" applyAlignment="1">
      <alignment horizontal="center" vertical="top"/>
    </xf>
    <xf numFmtId="166" fontId="4" fillId="0" borderId="1" xfId="0" applyNumberFormat="1" applyFont="1" applyBorder="1"/>
    <xf numFmtId="164" fontId="3" fillId="0" borderId="5" xfId="0" applyNumberFormat="1" applyFont="1" applyBorder="1" applyAlignment="1">
      <alignment horizontal="center" wrapText="1"/>
    </xf>
    <xf numFmtId="164" fontId="7" fillId="0" borderId="5" xfId="0" applyNumberFormat="1" applyFont="1" applyBorder="1" applyAlignment="1">
      <alignment horizontal="center" vertical="top"/>
    </xf>
    <xf numFmtId="164" fontId="3" fillId="0" borderId="5" xfId="0" applyNumberFormat="1" applyFont="1" applyBorder="1"/>
    <xf numFmtId="164" fontId="0" fillId="0" borderId="0" xfId="0" applyNumberFormat="1"/>
    <xf numFmtId="166" fontId="0" fillId="0" borderId="12" xfId="0" applyNumberFormat="1" applyBorder="1"/>
    <xf numFmtId="166" fontId="0" fillId="0" borderId="13" xfId="0" applyNumberFormat="1" applyBorder="1"/>
    <xf numFmtId="166" fontId="3" fillId="0" borderId="5" xfId="0" applyNumberFormat="1" applyFont="1" applyBorder="1" applyAlignment="1">
      <alignment horizontal="center" wrapText="1"/>
    </xf>
    <xf numFmtId="44" fontId="0" fillId="0" borderId="7" xfId="0" applyNumberFormat="1" applyBorder="1" applyAlignment="1">
      <alignment horizontal="center" vertical="center"/>
    </xf>
    <xf numFmtId="44" fontId="0" fillId="0" borderId="15" xfId="0" applyNumberFormat="1" applyBorder="1" applyAlignment="1">
      <alignment horizontal="center" vertical="center"/>
    </xf>
    <xf numFmtId="44" fontId="0" fillId="0" borderId="16" xfId="0" applyNumberFormat="1" applyBorder="1" applyAlignment="1">
      <alignment horizontal="center" vertical="center"/>
    </xf>
    <xf numFmtId="44" fontId="5" fillId="0" borderId="5" xfId="0" applyNumberFormat="1" applyFont="1" applyBorder="1" applyAlignment="1">
      <alignment horizontal="center" vertical="center"/>
    </xf>
    <xf numFmtId="44" fontId="0" fillId="0" borderId="0" xfId="0" applyNumberFormat="1" applyAlignment="1">
      <alignment horizontal="center" vertical="center"/>
    </xf>
    <xf numFmtId="166" fontId="4" fillId="0" borderId="5" xfId="0" applyNumberFormat="1" applyFont="1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49" fontId="4" fillId="0" borderId="17" xfId="0" applyNumberFormat="1" applyFont="1" applyBorder="1" applyAlignment="1">
      <alignment horizontal="center" vertical="top"/>
    </xf>
    <xf numFmtId="0" fontId="3" fillId="0" borderId="2" xfId="0" applyFont="1" applyBorder="1" applyAlignment="1">
      <alignment horizontal="center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/>
    </xf>
    <xf numFmtId="167" fontId="4" fillId="0" borderId="1" xfId="0" applyNumberFormat="1" applyFont="1" applyBorder="1" applyAlignment="1">
      <alignment horizontal="center" vertical="top"/>
    </xf>
    <xf numFmtId="165" fontId="7" fillId="0" borderId="5" xfId="0" applyNumberFormat="1" applyFont="1" applyBorder="1" applyAlignment="1">
      <alignment horizontal="left" vertical="top" wrapText="1"/>
    </xf>
    <xf numFmtId="167" fontId="7" fillId="0" borderId="5" xfId="0" applyNumberFormat="1" applyFont="1" applyBorder="1" applyAlignment="1">
      <alignment horizontal="center" vertical="top"/>
    </xf>
    <xf numFmtId="166" fontId="3" fillId="0" borderId="5" xfId="0" applyNumberFormat="1" applyFont="1" applyBorder="1" applyAlignment="1">
      <alignment horizontal="center" vertical="center"/>
    </xf>
    <xf numFmtId="0" fontId="4" fillId="2" borderId="5" xfId="0" applyFont="1" applyFill="1" applyBorder="1" applyAlignment="1">
      <alignment horizontal="left" vertical="center"/>
    </xf>
    <xf numFmtId="166" fontId="4" fillId="2" borderId="5" xfId="0" applyNumberFormat="1" applyFont="1" applyFill="1" applyBorder="1" applyAlignment="1">
      <alignment horizontal="center" vertical="center"/>
    </xf>
    <xf numFmtId="166" fontId="5" fillId="0" borderId="2" xfId="0" applyNumberFormat="1" applyFont="1" applyBorder="1" applyAlignment="1">
      <alignment horizontal="center"/>
    </xf>
    <xf numFmtId="166" fontId="5" fillId="0" borderId="3" xfId="0" applyNumberFormat="1" applyFont="1" applyBorder="1" applyAlignment="1">
      <alignment horizontal="center"/>
    </xf>
    <xf numFmtId="166" fontId="5" fillId="0" borderId="4" xfId="0" applyNumberFormat="1" applyFont="1" applyBorder="1" applyAlignment="1">
      <alignment horizontal="center"/>
    </xf>
    <xf numFmtId="0" fontId="6" fillId="0" borderId="3" xfId="0" applyFont="1" applyBorder="1" applyAlignment="1" applyProtection="1">
      <alignment horizontal="left"/>
      <protection hidden="1"/>
    </xf>
    <xf numFmtId="0" fontId="5" fillId="0" borderId="3" xfId="0" applyFont="1" applyBorder="1" applyAlignment="1">
      <alignment horizontal="left"/>
    </xf>
    <xf numFmtId="0" fontId="5" fillId="0" borderId="4" xfId="0" applyFont="1" applyBorder="1" applyAlignment="1">
      <alignment horizontal="left"/>
    </xf>
    <xf numFmtId="0" fontId="5" fillId="0" borderId="2" xfId="0" applyFont="1" applyBorder="1" applyAlignment="1">
      <alignment horizontal="left"/>
    </xf>
    <xf numFmtId="166" fontId="5" fillId="0" borderId="8" xfId="0" applyNumberFormat="1" applyFont="1" applyBorder="1" applyAlignment="1">
      <alignment horizontal="center"/>
    </xf>
    <xf numFmtId="166" fontId="5" fillId="0" borderId="9" xfId="0" applyNumberFormat="1" applyFont="1" applyBorder="1" applyAlignment="1">
      <alignment horizontal="center"/>
    </xf>
    <xf numFmtId="166" fontId="5" fillId="0" borderId="10" xfId="0" applyNumberFormat="1" applyFont="1" applyBorder="1" applyAlignment="1">
      <alignment horizontal="center"/>
    </xf>
    <xf numFmtId="166" fontId="5" fillId="0" borderId="11" xfId="0" applyNumberFormat="1" applyFont="1" applyBorder="1" applyAlignment="1">
      <alignment horizontal="center"/>
    </xf>
    <xf numFmtId="14" fontId="7" fillId="0" borderId="12" xfId="0" applyNumberFormat="1" applyFont="1" applyBorder="1" applyAlignment="1">
      <alignment horizontal="left" vertical="center"/>
    </xf>
    <xf numFmtId="14" fontId="7" fillId="0" borderId="6" xfId="0" applyNumberFormat="1" applyFont="1" applyBorder="1" applyAlignment="1">
      <alignment horizontal="left" vertical="center"/>
    </xf>
    <xf numFmtId="14" fontId="7" fillId="0" borderId="13" xfId="0" applyNumberFormat="1" applyFont="1" applyBorder="1" applyAlignment="1">
      <alignment horizontal="left" vertical="center"/>
    </xf>
    <xf numFmtId="166" fontId="5" fillId="0" borderId="8" xfId="0" applyNumberFormat="1" applyFont="1" applyBorder="1" applyAlignment="1">
      <alignment horizontal="center" wrapText="1"/>
    </xf>
    <xf numFmtId="166" fontId="5" fillId="0" borderId="9" xfId="0" applyNumberFormat="1" applyFont="1" applyBorder="1" applyAlignment="1">
      <alignment horizontal="center" wrapText="1"/>
    </xf>
    <xf numFmtId="166" fontId="5" fillId="0" borderId="10" xfId="0" applyNumberFormat="1" applyFont="1" applyBorder="1" applyAlignment="1">
      <alignment horizontal="center" wrapText="1"/>
    </xf>
    <xf numFmtId="166" fontId="5" fillId="0" borderId="11" xfId="0" applyNumberFormat="1" applyFont="1" applyBorder="1" applyAlignment="1">
      <alignment horizontal="center" wrapText="1"/>
    </xf>
    <xf numFmtId="165" fontId="5" fillId="0" borderId="8" xfId="0" applyNumberFormat="1" applyFont="1" applyBorder="1" applyAlignment="1">
      <alignment horizontal="left"/>
    </xf>
    <xf numFmtId="165" fontId="5" fillId="0" borderId="14" xfId="0" applyNumberFormat="1" applyFont="1" applyBorder="1" applyAlignment="1">
      <alignment horizontal="left"/>
    </xf>
    <xf numFmtId="165" fontId="5" fillId="0" borderId="9" xfId="0" applyNumberFormat="1" applyFont="1" applyBorder="1" applyAlignment="1">
      <alignment horizontal="left"/>
    </xf>
    <xf numFmtId="165" fontId="5" fillId="0" borderId="10" xfId="0" applyNumberFormat="1" applyFont="1" applyBorder="1" applyAlignment="1">
      <alignment horizontal="left" vertical="center"/>
    </xf>
    <xf numFmtId="165" fontId="5" fillId="0" borderId="0" xfId="0" applyNumberFormat="1" applyFont="1" applyAlignment="1">
      <alignment horizontal="left" vertical="center"/>
    </xf>
    <xf numFmtId="165" fontId="5" fillId="0" borderId="11" xfId="0" applyNumberFormat="1" applyFont="1" applyBorder="1" applyAlignment="1">
      <alignment horizontal="left" vertical="center"/>
    </xf>
    <xf numFmtId="0" fontId="7" fillId="0" borderId="10" xfId="0" applyFont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7" fillId="0" borderId="11" xfId="0" applyFont="1" applyBorder="1" applyAlignment="1">
      <alignment horizontal="left" vertical="center"/>
    </xf>
  </cellXfs>
  <cellStyles count="3">
    <cellStyle name="Currency" xfId="1" builtinId="4"/>
    <cellStyle name="Currency 9" xfId="2" xr:uid="{23E20876-BD3B-43A7-A305-02BBE0ECA214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5" tint="-0.499984740745262"/>
  </sheetPr>
  <dimension ref="A1:F87"/>
  <sheetViews>
    <sheetView view="pageBreakPreview" topLeftCell="A14" zoomScaleNormal="100" zoomScaleSheetLayoutView="100" workbookViewId="0">
      <selection activeCell="B20" sqref="B20"/>
    </sheetView>
  </sheetViews>
  <sheetFormatPr defaultRowHeight="15"/>
  <cols>
    <col min="1" max="1" width="6.5703125" customWidth="1"/>
    <col min="2" max="2" width="36.7109375" customWidth="1"/>
    <col min="3" max="3" width="10.7109375" style="25" customWidth="1"/>
    <col min="4" max="4" width="8.28515625" customWidth="1"/>
    <col min="5" max="6" width="13.28515625" style="28" customWidth="1"/>
  </cols>
  <sheetData>
    <row r="1" spans="1:6" hidden="1">
      <c r="A1" s="1" t="s">
        <v>0</v>
      </c>
    </row>
    <row r="2" spans="1:6" hidden="1">
      <c r="A2" s="1" t="s">
        <v>1</v>
      </c>
    </row>
    <row r="3" spans="1:6" hidden="1">
      <c r="A3" s="1" t="s">
        <v>2</v>
      </c>
    </row>
    <row r="4" spans="1:6" hidden="1">
      <c r="A4" s="1" t="s">
        <v>3</v>
      </c>
    </row>
    <row r="5" spans="1:6" hidden="1">
      <c r="A5" s="1" t="s">
        <v>4</v>
      </c>
    </row>
    <row r="6" spans="1:6" hidden="1">
      <c r="A6" s="1" t="s">
        <v>5</v>
      </c>
    </row>
    <row r="7" spans="1:6" hidden="1">
      <c r="A7" s="1" t="s">
        <v>6</v>
      </c>
    </row>
    <row r="8" spans="1:6" hidden="1">
      <c r="A8" s="1" t="s">
        <v>7</v>
      </c>
    </row>
    <row r="9" spans="1:6" hidden="1">
      <c r="A9" s="1" t="s">
        <v>8</v>
      </c>
    </row>
    <row r="10" spans="1:6" hidden="1">
      <c r="A10" s="1" t="s">
        <v>9</v>
      </c>
    </row>
    <row r="11" spans="1:6" hidden="1">
      <c r="A11" s="1" t="s">
        <v>10</v>
      </c>
    </row>
    <row r="12" spans="1:6" hidden="1">
      <c r="A12" s="1" t="s">
        <v>11</v>
      </c>
    </row>
    <row r="13" spans="1:6" hidden="1">
      <c r="A13" s="1" t="s">
        <v>12</v>
      </c>
    </row>
    <row r="14" spans="1:6">
      <c r="A14" s="62"/>
      <c r="B14" s="62"/>
      <c r="C14" s="62"/>
      <c r="D14" s="62"/>
      <c r="E14" s="56"/>
      <c r="F14" s="56"/>
    </row>
    <row r="15" spans="1:6">
      <c r="A15" s="59" t="s">
        <v>13</v>
      </c>
      <c r="B15" s="59"/>
      <c r="C15" s="59"/>
      <c r="D15" s="59"/>
      <c r="E15" s="57"/>
      <c r="F15" s="57"/>
    </row>
    <row r="16" spans="1:6">
      <c r="A16" s="59" t="s">
        <v>14</v>
      </c>
      <c r="B16" s="59"/>
      <c r="C16" s="59"/>
      <c r="D16" s="59"/>
      <c r="E16" s="57"/>
      <c r="F16" s="57"/>
    </row>
    <row r="17" spans="1:6">
      <c r="A17" s="60" t="s">
        <v>15</v>
      </c>
      <c r="B17" s="60"/>
      <c r="C17" s="60"/>
      <c r="D17" s="60"/>
      <c r="E17" s="57"/>
      <c r="F17" s="57"/>
    </row>
    <row r="18" spans="1:6">
      <c r="A18" s="61"/>
      <c r="B18" s="61"/>
      <c r="C18" s="61"/>
      <c r="D18" s="61"/>
      <c r="E18" s="58"/>
      <c r="F18" s="58"/>
    </row>
    <row r="19" spans="1:6" s="2" customFormat="1" ht="24" customHeight="1">
      <c r="A19" s="3" t="s">
        <v>16</v>
      </c>
      <c r="B19" s="47" t="s">
        <v>17</v>
      </c>
      <c r="C19" s="26" t="s">
        <v>18</v>
      </c>
      <c r="D19" s="47" t="s">
        <v>19</v>
      </c>
      <c r="E19" s="29" t="s">
        <v>20</v>
      </c>
      <c r="F19" s="29" t="s">
        <v>21</v>
      </c>
    </row>
    <row r="20" spans="1:6" ht="40.5" customHeight="1">
      <c r="A20" s="46" t="s">
        <v>22</v>
      </c>
      <c r="B20" s="48" t="s">
        <v>23</v>
      </c>
      <c r="C20" s="50">
        <v>1</v>
      </c>
      <c r="D20" s="49" t="s">
        <v>8</v>
      </c>
      <c r="E20" s="30"/>
      <c r="F20" s="30"/>
    </row>
    <row r="21" spans="1:6" ht="40.5" customHeight="1">
      <c r="A21" s="46" t="s">
        <v>24</v>
      </c>
      <c r="B21" s="48" t="s">
        <v>25</v>
      </c>
      <c r="C21" s="50">
        <v>1</v>
      </c>
      <c r="D21" s="49" t="s">
        <v>8</v>
      </c>
      <c r="E21" s="30"/>
      <c r="F21" s="30"/>
    </row>
    <row r="22" spans="1:6" ht="40.5" customHeight="1">
      <c r="A22" s="46" t="s">
        <v>26</v>
      </c>
      <c r="B22" s="48" t="s">
        <v>27</v>
      </c>
      <c r="C22" s="50">
        <v>1</v>
      </c>
      <c r="D22" s="49" t="s">
        <v>8</v>
      </c>
      <c r="E22" s="30"/>
      <c r="F22" s="30"/>
    </row>
    <row r="23" spans="1:6" ht="40.5" customHeight="1">
      <c r="A23" s="46" t="s">
        <v>28</v>
      </c>
      <c r="B23" s="48" t="s">
        <v>29</v>
      </c>
      <c r="C23" s="50">
        <v>1</v>
      </c>
      <c r="D23" s="49" t="s">
        <v>8</v>
      </c>
      <c r="E23" s="30"/>
      <c r="F23" s="30"/>
    </row>
    <row r="24" spans="1:6" ht="40.5" customHeight="1">
      <c r="A24" s="46" t="s">
        <v>30</v>
      </c>
      <c r="B24" s="48" t="s">
        <v>31</v>
      </c>
      <c r="C24" s="50">
        <v>1</v>
      </c>
      <c r="D24" s="49" t="s">
        <v>8</v>
      </c>
      <c r="E24" s="30"/>
      <c r="F24" s="30"/>
    </row>
    <row r="25" spans="1:6" ht="40.5" customHeight="1">
      <c r="A25" s="46" t="s">
        <v>32</v>
      </c>
      <c r="B25" s="48" t="s">
        <v>33</v>
      </c>
      <c r="C25" s="50">
        <v>1700</v>
      </c>
      <c r="D25" s="49" t="s">
        <v>11</v>
      </c>
      <c r="E25" s="30"/>
      <c r="F25" s="30"/>
    </row>
    <row r="26" spans="1:6" ht="40.5" customHeight="1">
      <c r="A26" s="46" t="s">
        <v>34</v>
      </c>
      <c r="B26" s="48" t="s">
        <v>35</v>
      </c>
      <c r="C26" s="50">
        <v>1</v>
      </c>
      <c r="D26" s="49" t="s">
        <v>8</v>
      </c>
      <c r="E26" s="30"/>
      <c r="F26" s="30"/>
    </row>
    <row r="27" spans="1:6" ht="40.5" customHeight="1">
      <c r="A27" s="46" t="s">
        <v>36</v>
      </c>
      <c r="B27" s="48" t="s">
        <v>37</v>
      </c>
      <c r="C27" s="50">
        <v>6500</v>
      </c>
      <c r="D27" s="49" t="s">
        <v>7</v>
      </c>
      <c r="E27" s="30"/>
      <c r="F27" s="30"/>
    </row>
    <row r="28" spans="1:6" ht="40.5" customHeight="1">
      <c r="A28" s="46" t="s">
        <v>38</v>
      </c>
      <c r="B28" s="48" t="s">
        <v>39</v>
      </c>
      <c r="C28" s="50">
        <v>1050</v>
      </c>
      <c r="D28" s="49" t="s">
        <v>7</v>
      </c>
      <c r="E28" s="30"/>
      <c r="F28" s="30"/>
    </row>
    <row r="29" spans="1:6" ht="40.5" customHeight="1">
      <c r="A29" s="46" t="s">
        <v>40</v>
      </c>
      <c r="B29" s="48" t="s">
        <v>41</v>
      </c>
      <c r="C29" s="50">
        <v>350</v>
      </c>
      <c r="D29" s="49" t="s">
        <v>7</v>
      </c>
      <c r="E29" s="30"/>
      <c r="F29" s="30"/>
    </row>
    <row r="30" spans="1:6" ht="40.5" customHeight="1">
      <c r="A30" s="46" t="s">
        <v>42</v>
      </c>
      <c r="B30" s="48" t="s">
        <v>43</v>
      </c>
      <c r="C30" s="50">
        <v>200</v>
      </c>
      <c r="D30" s="49" t="s">
        <v>7</v>
      </c>
      <c r="E30" s="30"/>
      <c r="F30" s="30"/>
    </row>
    <row r="31" spans="1:6" ht="40.5" customHeight="1">
      <c r="A31" s="46" t="s">
        <v>44</v>
      </c>
      <c r="B31" s="48" t="s">
        <v>45</v>
      </c>
      <c r="C31" s="50">
        <v>450</v>
      </c>
      <c r="D31" s="49" t="s">
        <v>7</v>
      </c>
      <c r="E31" s="30"/>
      <c r="F31" s="30"/>
    </row>
    <row r="32" spans="1:6" ht="40.5" customHeight="1">
      <c r="A32" s="46" t="s">
        <v>46</v>
      </c>
      <c r="B32" s="48" t="s">
        <v>47</v>
      </c>
      <c r="C32" s="50">
        <v>200</v>
      </c>
      <c r="D32" s="49" t="s">
        <v>7</v>
      </c>
      <c r="E32" s="30"/>
      <c r="F32" s="30"/>
    </row>
    <row r="33" spans="1:6" ht="40.5" customHeight="1">
      <c r="A33" s="46" t="s">
        <v>48</v>
      </c>
      <c r="B33" s="48" t="s">
        <v>49</v>
      </c>
      <c r="C33" s="50">
        <v>200</v>
      </c>
      <c r="D33" s="49" t="s">
        <v>7</v>
      </c>
      <c r="E33" s="30"/>
      <c r="F33" s="30"/>
    </row>
    <row r="34" spans="1:6" ht="40.5" customHeight="1">
      <c r="A34" s="46" t="s">
        <v>50</v>
      </c>
      <c r="B34" s="48" t="s">
        <v>51</v>
      </c>
      <c r="C34" s="50">
        <v>200</v>
      </c>
      <c r="D34" s="49" t="s">
        <v>7</v>
      </c>
      <c r="E34" s="30"/>
      <c r="F34" s="30"/>
    </row>
    <row r="35" spans="1:6" ht="40.5" customHeight="1">
      <c r="A35" s="46" t="s">
        <v>52</v>
      </c>
      <c r="B35" s="48" t="s">
        <v>53</v>
      </c>
      <c r="C35" s="50">
        <v>1250</v>
      </c>
      <c r="D35" s="49" t="s">
        <v>7</v>
      </c>
      <c r="E35" s="30"/>
      <c r="F35" s="30"/>
    </row>
    <row r="36" spans="1:6" ht="40.5" customHeight="1">
      <c r="A36" s="46" t="s">
        <v>54</v>
      </c>
      <c r="B36" s="48" t="s">
        <v>55</v>
      </c>
      <c r="C36" s="50">
        <v>3</v>
      </c>
      <c r="D36" s="49" t="s">
        <v>2</v>
      </c>
      <c r="E36" s="30"/>
      <c r="F36" s="30"/>
    </row>
    <row r="37" spans="1:6" ht="40.5" customHeight="1">
      <c r="A37" s="46" t="s">
        <v>56</v>
      </c>
      <c r="B37" s="48" t="s">
        <v>57</v>
      </c>
      <c r="C37" s="50">
        <v>1</v>
      </c>
      <c r="D37" s="49" t="s">
        <v>2</v>
      </c>
      <c r="E37" s="30"/>
      <c r="F37" s="30"/>
    </row>
    <row r="38" spans="1:6" ht="40.5" customHeight="1">
      <c r="A38" s="46" t="s">
        <v>58</v>
      </c>
      <c r="B38" s="48" t="s">
        <v>59</v>
      </c>
      <c r="C38" s="50">
        <v>1</v>
      </c>
      <c r="D38" s="49" t="s">
        <v>2</v>
      </c>
      <c r="E38" s="30"/>
      <c r="F38" s="30"/>
    </row>
    <row r="39" spans="1:6" ht="40.5" customHeight="1">
      <c r="A39" s="46" t="s">
        <v>60</v>
      </c>
      <c r="B39" s="48" t="s">
        <v>61</v>
      </c>
      <c r="C39" s="50">
        <v>4</v>
      </c>
      <c r="D39" s="49" t="s">
        <v>2</v>
      </c>
      <c r="E39" s="30"/>
      <c r="F39" s="30"/>
    </row>
    <row r="40" spans="1:6" ht="40.5" customHeight="1">
      <c r="A40" s="46" t="s">
        <v>62</v>
      </c>
      <c r="B40" s="48" t="s">
        <v>63</v>
      </c>
      <c r="C40" s="50">
        <v>2</v>
      </c>
      <c r="D40" s="49" t="s">
        <v>2</v>
      </c>
      <c r="E40" s="30"/>
      <c r="F40" s="30"/>
    </row>
    <row r="41" spans="1:6" ht="40.5" customHeight="1">
      <c r="A41" s="46" t="s">
        <v>64</v>
      </c>
      <c r="B41" s="48" t="s">
        <v>65</v>
      </c>
      <c r="C41" s="50">
        <v>2</v>
      </c>
      <c r="D41" s="49" t="s">
        <v>2</v>
      </c>
      <c r="E41" s="30"/>
      <c r="F41" s="30"/>
    </row>
    <row r="42" spans="1:6" ht="40.5" customHeight="1">
      <c r="A42" s="46" t="s">
        <v>66</v>
      </c>
      <c r="B42" s="48" t="s">
        <v>67</v>
      </c>
      <c r="C42" s="50">
        <v>1</v>
      </c>
      <c r="D42" s="49" t="s">
        <v>2</v>
      </c>
      <c r="E42" s="30"/>
      <c r="F42" s="30"/>
    </row>
    <row r="43" spans="1:6" ht="40.5" customHeight="1">
      <c r="A43" s="46" t="s">
        <v>68</v>
      </c>
      <c r="B43" s="48" t="s">
        <v>69</v>
      </c>
      <c r="C43" s="50">
        <v>12250</v>
      </c>
      <c r="D43" s="49" t="s">
        <v>7</v>
      </c>
      <c r="E43" s="30"/>
      <c r="F43" s="30"/>
    </row>
    <row r="44" spans="1:6" ht="40.5" customHeight="1">
      <c r="A44" s="46" t="s">
        <v>70</v>
      </c>
      <c r="B44" s="48" t="s">
        <v>71</v>
      </c>
      <c r="C44" s="50">
        <v>9300</v>
      </c>
      <c r="D44" s="49" t="s">
        <v>7</v>
      </c>
      <c r="E44" s="30"/>
      <c r="F44" s="30"/>
    </row>
    <row r="45" spans="1:6" ht="40.5" customHeight="1">
      <c r="A45" s="46" t="s">
        <v>72</v>
      </c>
      <c r="B45" s="48" t="s">
        <v>73</v>
      </c>
      <c r="C45" s="50">
        <v>8</v>
      </c>
      <c r="D45" s="49" t="s">
        <v>2</v>
      </c>
      <c r="E45" s="30"/>
      <c r="F45" s="30"/>
    </row>
    <row r="46" spans="1:6" ht="40.5" customHeight="1">
      <c r="A46" s="46" t="s">
        <v>74</v>
      </c>
      <c r="B46" s="48" t="s">
        <v>75</v>
      </c>
      <c r="C46" s="50">
        <v>1</v>
      </c>
      <c r="D46" s="49" t="s">
        <v>2</v>
      </c>
      <c r="E46" s="30"/>
      <c r="F46" s="30"/>
    </row>
    <row r="47" spans="1:6" ht="40.5" customHeight="1">
      <c r="A47" s="46" t="s">
        <v>76</v>
      </c>
      <c r="B47" s="48" t="s">
        <v>77</v>
      </c>
      <c r="C47" s="50">
        <v>1</v>
      </c>
      <c r="D47" s="49" t="s">
        <v>2</v>
      </c>
      <c r="E47" s="30"/>
      <c r="F47" s="30"/>
    </row>
    <row r="48" spans="1:6" ht="40.5" customHeight="1">
      <c r="A48" s="46" t="s">
        <v>78</v>
      </c>
      <c r="B48" s="48" t="s">
        <v>79</v>
      </c>
      <c r="C48" s="50">
        <v>2</v>
      </c>
      <c r="D48" s="49" t="s">
        <v>2</v>
      </c>
      <c r="E48" s="30"/>
      <c r="F48" s="30"/>
    </row>
    <row r="49" spans="1:6" ht="40.5" customHeight="1">
      <c r="A49" s="46" t="s">
        <v>80</v>
      </c>
      <c r="B49" s="48" t="s">
        <v>81</v>
      </c>
      <c r="C49" s="50">
        <v>1</v>
      </c>
      <c r="D49" s="49" t="s">
        <v>2</v>
      </c>
      <c r="E49" s="30"/>
      <c r="F49" s="30"/>
    </row>
    <row r="50" spans="1:6" ht="40.5" customHeight="1">
      <c r="A50" s="46" t="s">
        <v>82</v>
      </c>
      <c r="B50" s="48" t="s">
        <v>83</v>
      </c>
      <c r="C50" s="50">
        <v>1</v>
      </c>
      <c r="D50" s="49" t="s">
        <v>2</v>
      </c>
      <c r="E50" s="30"/>
      <c r="F50" s="30"/>
    </row>
    <row r="51" spans="1:6" ht="40.5" customHeight="1">
      <c r="A51" s="46" t="s">
        <v>84</v>
      </c>
      <c r="B51" s="48" t="s">
        <v>85</v>
      </c>
      <c r="C51" s="50">
        <v>1</v>
      </c>
      <c r="D51" s="49" t="s">
        <v>2</v>
      </c>
      <c r="E51" s="30"/>
      <c r="F51" s="30"/>
    </row>
    <row r="52" spans="1:6" ht="40.5" customHeight="1">
      <c r="A52" s="46" t="s">
        <v>86</v>
      </c>
      <c r="B52" s="48" t="s">
        <v>87</v>
      </c>
      <c r="C52" s="50">
        <v>1</v>
      </c>
      <c r="D52" s="49" t="s">
        <v>8</v>
      </c>
      <c r="E52" s="30"/>
      <c r="F52" s="30"/>
    </row>
    <row r="53" spans="1:6" ht="40.5" customHeight="1">
      <c r="A53" s="46" t="s">
        <v>88</v>
      </c>
      <c r="B53" s="48" t="s">
        <v>89</v>
      </c>
      <c r="C53" s="50">
        <v>1</v>
      </c>
      <c r="D53" s="49" t="s">
        <v>8</v>
      </c>
      <c r="E53" s="30"/>
      <c r="F53" s="30"/>
    </row>
    <row r="54" spans="1:6" ht="40.5" customHeight="1">
      <c r="A54" s="46" t="s">
        <v>90</v>
      </c>
      <c r="B54" s="48" t="s">
        <v>91</v>
      </c>
      <c r="C54" s="50">
        <v>2900</v>
      </c>
      <c r="D54" s="49" t="s">
        <v>1</v>
      </c>
      <c r="E54" s="30"/>
      <c r="F54" s="30"/>
    </row>
    <row r="55" spans="1:6" ht="40.5" customHeight="1">
      <c r="A55" s="46" t="s">
        <v>92</v>
      </c>
      <c r="B55" s="48" t="s">
        <v>93</v>
      </c>
      <c r="C55" s="50">
        <v>4800</v>
      </c>
      <c r="D55" s="49" t="s">
        <v>1</v>
      </c>
      <c r="E55" s="30"/>
      <c r="F55" s="30"/>
    </row>
    <row r="56" spans="1:6" ht="40.5" customHeight="1">
      <c r="A56" s="46" t="s">
        <v>94</v>
      </c>
      <c r="B56" s="48" t="s">
        <v>95</v>
      </c>
      <c r="C56" s="50">
        <v>330</v>
      </c>
      <c r="D56" s="49" t="s">
        <v>7</v>
      </c>
      <c r="E56" s="30"/>
      <c r="F56" s="30"/>
    </row>
    <row r="57" spans="1:6" ht="40.5" customHeight="1">
      <c r="A57" s="46" t="s">
        <v>96</v>
      </c>
      <c r="B57" s="48" t="s">
        <v>97</v>
      </c>
      <c r="C57" s="50">
        <v>2300</v>
      </c>
      <c r="D57" s="49" t="s">
        <v>1</v>
      </c>
      <c r="E57" s="30"/>
      <c r="F57" s="30"/>
    </row>
    <row r="58" spans="1:6" ht="40.5" customHeight="1">
      <c r="A58" s="46" t="s">
        <v>98</v>
      </c>
      <c r="B58" s="48" t="s">
        <v>99</v>
      </c>
      <c r="C58" s="50">
        <v>250</v>
      </c>
      <c r="D58" s="49" t="s">
        <v>1</v>
      </c>
      <c r="E58" s="30"/>
      <c r="F58" s="30"/>
    </row>
    <row r="59" spans="1:6" ht="40.5" customHeight="1">
      <c r="A59" s="46" t="s">
        <v>100</v>
      </c>
      <c r="B59" s="48" t="s">
        <v>101</v>
      </c>
      <c r="C59" s="50">
        <v>400</v>
      </c>
      <c r="D59" s="49" t="s">
        <v>12</v>
      </c>
      <c r="E59" s="30"/>
      <c r="F59" s="30"/>
    </row>
    <row r="60" spans="1:6" ht="40.5" customHeight="1">
      <c r="A60" s="46" t="s">
        <v>102</v>
      </c>
      <c r="B60" s="48" t="s">
        <v>103</v>
      </c>
      <c r="C60" s="50">
        <v>7950</v>
      </c>
      <c r="D60" s="49" t="s">
        <v>7</v>
      </c>
      <c r="E60" s="30"/>
      <c r="F60" s="30"/>
    </row>
    <row r="61" spans="1:6" ht="40.5" customHeight="1">
      <c r="A61" s="46" t="s">
        <v>104</v>
      </c>
      <c r="B61" s="48" t="s">
        <v>105</v>
      </c>
      <c r="C61" s="50">
        <v>550</v>
      </c>
      <c r="D61" s="49" t="s">
        <v>1</v>
      </c>
      <c r="E61" s="30"/>
      <c r="F61" s="30"/>
    </row>
    <row r="62" spans="1:6" ht="40.5" customHeight="1">
      <c r="A62" s="46" t="s">
        <v>106</v>
      </c>
      <c r="B62" s="48" t="s">
        <v>107</v>
      </c>
      <c r="C62" s="50">
        <v>840</v>
      </c>
      <c r="D62" s="49" t="s">
        <v>10</v>
      </c>
      <c r="E62" s="30"/>
      <c r="F62" s="30"/>
    </row>
    <row r="63" spans="1:6" ht="40.5" customHeight="1">
      <c r="A63" s="46" t="s">
        <v>108</v>
      </c>
      <c r="B63" s="48" t="s">
        <v>109</v>
      </c>
      <c r="C63" s="50">
        <v>220</v>
      </c>
      <c r="D63" s="49" t="s">
        <v>7</v>
      </c>
      <c r="E63" s="30"/>
      <c r="F63" s="30"/>
    </row>
    <row r="64" spans="1:6" ht="40.5" customHeight="1">
      <c r="A64" s="46" t="s">
        <v>110</v>
      </c>
      <c r="B64" s="48" t="s">
        <v>111</v>
      </c>
      <c r="C64" s="50">
        <v>500</v>
      </c>
      <c r="D64" s="49" t="s">
        <v>10</v>
      </c>
      <c r="E64" s="30"/>
      <c r="F64" s="30"/>
    </row>
    <row r="65" spans="1:6" ht="40.5" customHeight="1">
      <c r="A65" s="46" t="s">
        <v>112</v>
      </c>
      <c r="B65" s="48" t="s">
        <v>113</v>
      </c>
      <c r="C65" s="50">
        <v>2000</v>
      </c>
      <c r="D65" s="49" t="s">
        <v>10</v>
      </c>
      <c r="E65" s="30"/>
      <c r="F65" s="30"/>
    </row>
    <row r="66" spans="1:6" ht="40.5" customHeight="1">
      <c r="A66" s="46" t="s">
        <v>114</v>
      </c>
      <c r="B66" s="48" t="s">
        <v>115</v>
      </c>
      <c r="C66" s="50">
        <v>1</v>
      </c>
      <c r="D66" s="49" t="s">
        <v>8</v>
      </c>
      <c r="E66" s="30"/>
      <c r="F66" s="30"/>
    </row>
    <row r="67" spans="1:6" ht="40.5" customHeight="1">
      <c r="A67" s="46" t="s">
        <v>116</v>
      </c>
      <c r="B67" s="48" t="s">
        <v>117</v>
      </c>
      <c r="C67" s="50">
        <v>0.5</v>
      </c>
      <c r="D67" s="49" t="s">
        <v>0</v>
      </c>
      <c r="E67" s="30"/>
      <c r="F67" s="30"/>
    </row>
    <row r="68" spans="1:6" ht="40.5" customHeight="1">
      <c r="A68" s="46" t="s">
        <v>118</v>
      </c>
      <c r="B68" s="48" t="s">
        <v>119</v>
      </c>
      <c r="C68" s="50">
        <v>220</v>
      </c>
      <c r="D68" s="49" t="s">
        <v>11</v>
      </c>
      <c r="E68" s="30"/>
      <c r="F68" s="30"/>
    </row>
    <row r="69" spans="1:6" ht="40.5" customHeight="1">
      <c r="A69" s="46" t="s">
        <v>120</v>
      </c>
      <c r="B69" s="48" t="s">
        <v>121</v>
      </c>
      <c r="C69" s="50">
        <v>1</v>
      </c>
      <c r="D69" s="49" t="s">
        <v>8</v>
      </c>
      <c r="E69" s="30"/>
      <c r="F69" s="30"/>
    </row>
    <row r="70" spans="1:6" ht="40.5" customHeight="1">
      <c r="A70" s="46" t="s">
        <v>122</v>
      </c>
      <c r="B70" s="48" t="s">
        <v>123</v>
      </c>
      <c r="C70" s="50">
        <v>860</v>
      </c>
      <c r="D70" s="49" t="s">
        <v>7</v>
      </c>
      <c r="E70" s="30"/>
      <c r="F70" s="30"/>
    </row>
    <row r="71" spans="1:6" ht="40.5" customHeight="1">
      <c r="A71" s="46" t="s">
        <v>124</v>
      </c>
      <c r="B71" s="48" t="s">
        <v>125</v>
      </c>
      <c r="C71" s="50">
        <v>1260</v>
      </c>
      <c r="D71" s="49" t="s">
        <v>7</v>
      </c>
      <c r="E71" s="30"/>
      <c r="F71" s="30"/>
    </row>
    <row r="72" spans="1:6" ht="40.5" customHeight="1">
      <c r="A72" s="46" t="s">
        <v>126</v>
      </c>
      <c r="B72" s="48" t="s">
        <v>127</v>
      </c>
      <c r="C72" s="50">
        <v>110</v>
      </c>
      <c r="D72" s="49" t="s">
        <v>7</v>
      </c>
      <c r="E72" s="30"/>
      <c r="F72" s="30"/>
    </row>
    <row r="73" spans="1:6" ht="40.5" customHeight="1">
      <c r="A73" s="46" t="s">
        <v>128</v>
      </c>
      <c r="B73" s="48" t="s">
        <v>129</v>
      </c>
      <c r="C73" s="50">
        <v>1800</v>
      </c>
      <c r="D73" s="49" t="s">
        <v>7</v>
      </c>
      <c r="E73" s="30"/>
      <c r="F73" s="30"/>
    </row>
    <row r="74" spans="1:6" ht="40.5" customHeight="1">
      <c r="A74" s="46" t="s">
        <v>130</v>
      </c>
      <c r="B74" s="48" t="s">
        <v>131</v>
      </c>
      <c r="C74" s="50">
        <v>1</v>
      </c>
      <c r="D74" s="49" t="s">
        <v>8</v>
      </c>
      <c r="E74" s="30"/>
      <c r="F74" s="30"/>
    </row>
    <row r="75" spans="1:6" ht="40.5" customHeight="1">
      <c r="A75" s="46" t="s">
        <v>132</v>
      </c>
      <c r="B75" s="48" t="s">
        <v>133</v>
      </c>
      <c r="C75" s="50">
        <v>1</v>
      </c>
      <c r="D75" s="49" t="s">
        <v>8</v>
      </c>
      <c r="E75" s="30"/>
      <c r="F75" s="30"/>
    </row>
    <row r="76" spans="1:6" ht="40.5" customHeight="1">
      <c r="A76" s="46" t="s">
        <v>134</v>
      </c>
      <c r="B76" s="48" t="s">
        <v>135</v>
      </c>
      <c r="C76" s="50">
        <v>4</v>
      </c>
      <c r="D76" s="49" t="s">
        <v>2</v>
      </c>
      <c r="E76" s="30"/>
      <c r="F76" s="30"/>
    </row>
    <row r="77" spans="1:6" ht="40.5" customHeight="1">
      <c r="A77" s="46" t="s">
        <v>136</v>
      </c>
      <c r="B77" s="48" t="s">
        <v>137</v>
      </c>
      <c r="C77" s="50">
        <v>1</v>
      </c>
      <c r="D77" s="49" t="s">
        <v>2</v>
      </c>
      <c r="E77" s="30"/>
      <c r="F77" s="30"/>
    </row>
    <row r="78" spans="1:6" ht="40.5" customHeight="1">
      <c r="A78" s="46" t="s">
        <v>138</v>
      </c>
      <c r="B78" s="48" t="s">
        <v>139</v>
      </c>
      <c r="C78" s="50">
        <v>1</v>
      </c>
      <c r="D78" s="49" t="s">
        <v>2</v>
      </c>
      <c r="E78" s="30"/>
      <c r="F78" s="30"/>
    </row>
    <row r="79" spans="1:6" ht="40.5" customHeight="1">
      <c r="A79" s="46" t="s">
        <v>140</v>
      </c>
      <c r="B79" s="48" t="s">
        <v>141</v>
      </c>
      <c r="C79" s="50">
        <v>2</v>
      </c>
      <c r="D79" s="49" t="s">
        <v>2</v>
      </c>
      <c r="E79" s="30"/>
      <c r="F79" s="30"/>
    </row>
    <row r="80" spans="1:6" ht="40.5" customHeight="1">
      <c r="A80" s="46" t="s">
        <v>142</v>
      </c>
      <c r="B80" s="48" t="s">
        <v>143</v>
      </c>
      <c r="C80" s="50">
        <v>2</v>
      </c>
      <c r="D80" s="49" t="s">
        <v>2</v>
      </c>
      <c r="E80" s="30"/>
      <c r="F80" s="30"/>
    </row>
    <row r="81" spans="1:6" ht="40.5" customHeight="1">
      <c r="A81" s="46" t="s">
        <v>144</v>
      </c>
      <c r="B81" s="48" t="s">
        <v>145</v>
      </c>
      <c r="C81" s="50">
        <v>4</v>
      </c>
      <c r="D81" s="49" t="s">
        <v>2</v>
      </c>
      <c r="E81" s="30"/>
      <c r="F81" s="30"/>
    </row>
    <row r="82" spans="1:6" ht="40.5" customHeight="1">
      <c r="A82" s="46" t="s">
        <v>146</v>
      </c>
      <c r="B82" s="48" t="s">
        <v>147</v>
      </c>
      <c r="C82" s="50">
        <v>1</v>
      </c>
      <c r="D82" s="49" t="s">
        <v>8</v>
      </c>
      <c r="E82" s="30"/>
      <c r="F82" s="30"/>
    </row>
    <row r="83" spans="1:6" ht="40.5" customHeight="1">
      <c r="A83" s="46" t="s">
        <v>148</v>
      </c>
      <c r="B83" s="48" t="s">
        <v>149</v>
      </c>
      <c r="C83" s="50">
        <v>7</v>
      </c>
      <c r="D83" s="49" t="s">
        <v>2</v>
      </c>
      <c r="E83" s="30"/>
      <c r="F83" s="30"/>
    </row>
    <row r="84" spans="1:6" ht="40.5" customHeight="1">
      <c r="A84" s="46" t="s">
        <v>150</v>
      </c>
      <c r="B84" s="48" t="s">
        <v>151</v>
      </c>
      <c r="C84" s="50">
        <v>1</v>
      </c>
      <c r="D84" s="49" t="s">
        <v>8</v>
      </c>
      <c r="E84" s="30"/>
      <c r="F84" s="30"/>
    </row>
    <row r="85" spans="1:6" ht="40.5" customHeight="1">
      <c r="A85" s="46" t="s">
        <v>152</v>
      </c>
      <c r="B85" s="48" t="s">
        <v>153</v>
      </c>
      <c r="C85" s="50">
        <v>6</v>
      </c>
      <c r="D85" s="49" t="s">
        <v>2</v>
      </c>
      <c r="E85" s="30"/>
      <c r="F85" s="30"/>
    </row>
    <row r="86" spans="1:6" ht="40.5" customHeight="1">
      <c r="A86" s="46" t="s">
        <v>154</v>
      </c>
      <c r="B86" s="48" t="s">
        <v>155</v>
      </c>
      <c r="C86" s="50">
        <v>5</v>
      </c>
      <c r="D86" s="49" t="s">
        <v>2</v>
      </c>
      <c r="E86" s="30"/>
      <c r="F86" s="30"/>
    </row>
    <row r="87" spans="1:6" ht="27.75" customHeight="1">
      <c r="A87" s="4"/>
      <c r="B87" s="5" t="s">
        <v>156</v>
      </c>
      <c r="C87" s="27"/>
      <c r="D87" s="4"/>
      <c r="E87" s="31"/>
      <c r="F87" s="31" t="s">
        <v>157</v>
      </c>
    </row>
  </sheetData>
  <dataConsolidate function="count"/>
  <mergeCells count="6">
    <mergeCell ref="E14:F18"/>
    <mergeCell ref="A15:D15"/>
    <mergeCell ref="A16:D16"/>
    <mergeCell ref="A17:D17"/>
    <mergeCell ref="A18:D18"/>
    <mergeCell ref="A14:D14"/>
  </mergeCells>
  <phoneticPr fontId="9" type="noConversion"/>
  <dataValidations count="1">
    <dataValidation type="list" allowBlank="1" showInputMessage="1" showErrorMessage="1" sqref="D20:D86" xr:uid="{00000000-0002-0000-0000-000000000000}">
      <formula1>$A$1:$A$13</formula1>
    </dataValidation>
  </dataValidations>
  <printOptions horizontalCentered="1"/>
  <pageMargins left="0.75" right="0.75" top="1" bottom="1" header="0.5" footer="0.7"/>
  <pageSetup scale="92" firstPageNumber="2" orientation="portrait" useFirstPageNumber="1" r:id="rId1"/>
  <headerFooter>
    <oddHeader>&amp;RBidder: _________________________</oddHeader>
    <oddFooter>&amp;L&amp;"Times New Roman,Regular"&amp;8&amp;Z&amp;F&amp;R&amp;"Times New Roman,Regular"&amp;9Bid 
004100-&amp;P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theme="4" tint="-0.499984740745262"/>
  </sheetPr>
  <dimension ref="A1:J75"/>
  <sheetViews>
    <sheetView topLeftCell="C1" zoomScaleNormal="100" zoomScaleSheetLayoutView="100" workbookViewId="0">
      <selection activeCell="E1" sqref="E1:F5"/>
    </sheetView>
  </sheetViews>
  <sheetFormatPr defaultRowHeight="15"/>
  <cols>
    <col min="1" max="1" width="6.7109375" customWidth="1"/>
    <col min="2" max="2" width="28.85546875" style="19" customWidth="1"/>
    <col min="3" max="3" width="11.28515625" style="35" customWidth="1"/>
    <col min="4" max="4" width="6.7109375" style="19" customWidth="1"/>
    <col min="5" max="5" width="11" style="28" customWidth="1"/>
    <col min="6" max="6" width="13.42578125" style="28" customWidth="1"/>
    <col min="7" max="7" width="11" style="28" customWidth="1"/>
    <col min="8" max="8" width="13.42578125" style="28" customWidth="1"/>
    <col min="9" max="9" width="11" customWidth="1"/>
    <col min="10" max="10" width="13.42578125" customWidth="1"/>
  </cols>
  <sheetData>
    <row r="1" spans="1:10" ht="30" customHeight="1">
      <c r="A1" s="74" t="str">
        <f>ProjectLocation</f>
        <v>PORTLAND INTERNATIONAL AIRPORT</v>
      </c>
      <c r="B1" s="75"/>
      <c r="C1" s="75"/>
      <c r="D1" s="76"/>
      <c r="E1" s="70" t="s">
        <v>158</v>
      </c>
      <c r="F1" s="71"/>
      <c r="G1" s="63" t="s">
        <v>159</v>
      </c>
      <c r="H1" s="64"/>
      <c r="I1" s="63" t="s">
        <v>160</v>
      </c>
      <c r="J1" s="64"/>
    </row>
    <row r="2" spans="1:10">
      <c r="A2" s="77" t="str">
        <f>ProjectTitle</f>
        <v>OREGON AIR NATIONAL GUARD</v>
      </c>
      <c r="B2" s="78"/>
      <c r="C2" s="78"/>
      <c r="D2" s="79"/>
      <c r="E2" s="72"/>
      <c r="F2" s="73"/>
      <c r="G2" s="65"/>
      <c r="H2" s="66"/>
      <c r="I2" s="65"/>
      <c r="J2" s="66"/>
    </row>
    <row r="3" spans="1:10">
      <c r="A3" s="77" t="str">
        <f>ProjectTitle2</f>
        <v>REVERSION AREAS UTILITY SERVICES</v>
      </c>
      <c r="B3" s="78"/>
      <c r="C3" s="78"/>
      <c r="D3" s="79"/>
      <c r="E3" s="72"/>
      <c r="F3" s="73"/>
      <c r="G3" s="65"/>
      <c r="H3" s="66"/>
      <c r="I3" s="65"/>
      <c r="J3" s="66"/>
    </row>
    <row r="4" spans="1:10">
      <c r="A4" s="80" t="s">
        <v>161</v>
      </c>
      <c r="B4" s="81"/>
      <c r="C4" s="81"/>
      <c r="D4" s="82"/>
      <c r="E4" s="72"/>
      <c r="F4" s="73"/>
      <c r="G4" s="65"/>
      <c r="H4" s="66"/>
      <c r="I4" s="65"/>
      <c r="J4" s="66"/>
    </row>
    <row r="5" spans="1:10">
      <c r="A5" s="80" t="s">
        <v>162</v>
      </c>
      <c r="B5" s="81"/>
      <c r="C5" s="81"/>
      <c r="D5" s="82"/>
      <c r="E5" s="72"/>
      <c r="F5" s="73"/>
      <c r="G5" s="65"/>
      <c r="H5" s="66"/>
      <c r="I5" s="65"/>
      <c r="J5" s="66"/>
    </row>
    <row r="6" spans="1:10">
      <c r="A6" s="67">
        <f ca="1">TODAY()</f>
        <v>45713</v>
      </c>
      <c r="B6" s="68"/>
      <c r="C6" s="68"/>
      <c r="D6" s="69"/>
      <c r="E6" s="36"/>
      <c r="F6" s="37"/>
      <c r="G6" s="36"/>
      <c r="H6" s="37"/>
      <c r="I6" s="36"/>
      <c r="J6" s="37"/>
    </row>
    <row r="7" spans="1:10" ht="32.25" customHeight="1">
      <c r="A7" s="6" t="s">
        <v>16</v>
      </c>
      <c r="B7" s="15" t="s">
        <v>17</v>
      </c>
      <c r="C7" s="32" t="s">
        <v>18</v>
      </c>
      <c r="D7" s="15" t="s">
        <v>19</v>
      </c>
      <c r="E7" s="38" t="s">
        <v>20</v>
      </c>
      <c r="F7" s="38" t="s">
        <v>21</v>
      </c>
      <c r="G7" s="38" t="s">
        <v>20</v>
      </c>
      <c r="H7" s="38" t="s">
        <v>21</v>
      </c>
      <c r="I7" s="38" t="s">
        <v>20</v>
      </c>
      <c r="J7" s="38" t="s">
        <v>21</v>
      </c>
    </row>
    <row r="8" spans="1:10" ht="33" customHeight="1">
      <c r="A8" s="7" t="str">
        <f>'Bid Item List'!A20</f>
        <v>0001</v>
      </c>
      <c r="B8" s="51" t="str">
        <f>'Bid Item List'!B20</f>
        <v>Mobilization, Surveying, Cleanup, and Demobilization</v>
      </c>
      <c r="C8" s="33">
        <f>'Bid Item List'!C20</f>
        <v>1</v>
      </c>
      <c r="D8" s="16" t="str">
        <f>'Bid Item List'!D20</f>
        <v>LS</v>
      </c>
      <c r="E8" s="22">
        <v>249151</v>
      </c>
      <c r="F8" s="23">
        <f t="shared" ref="F8:F16" si="0">QTY*E8</f>
        <v>249151</v>
      </c>
      <c r="G8" s="22">
        <v>60000</v>
      </c>
      <c r="H8" s="23">
        <f t="shared" ref="H8:H16" si="1">QTY*G8</f>
        <v>60000</v>
      </c>
      <c r="I8" s="22">
        <v>283675</v>
      </c>
      <c r="J8" s="23">
        <f t="shared" ref="J8:J16" si="2">QTY*I8</f>
        <v>283675</v>
      </c>
    </row>
    <row r="9" spans="1:10" ht="33" customHeight="1">
      <c r="A9" s="7" t="str">
        <f>'Bid Item List'!A21</f>
        <v>0002</v>
      </c>
      <c r="B9" s="51" t="str">
        <f>'Bid Item List'!B21</f>
        <v>Traffic Control</v>
      </c>
      <c r="C9" s="33">
        <f>'Bid Item List'!C21</f>
        <v>1</v>
      </c>
      <c r="D9" s="16" t="str">
        <f>'Bid Item List'!D21</f>
        <v>LS</v>
      </c>
      <c r="E9" s="22">
        <v>81000</v>
      </c>
      <c r="F9" s="23">
        <f t="shared" si="0"/>
        <v>81000</v>
      </c>
      <c r="G9" s="22">
        <v>7500</v>
      </c>
      <c r="H9" s="23">
        <f t="shared" si="1"/>
        <v>7500</v>
      </c>
      <c r="I9" s="22">
        <v>15000</v>
      </c>
      <c r="J9" s="23">
        <f t="shared" si="2"/>
        <v>15000</v>
      </c>
    </row>
    <row r="10" spans="1:10" ht="33" customHeight="1">
      <c r="A10" s="7" t="str">
        <f>'Bid Item List'!A22</f>
        <v>0003</v>
      </c>
      <c r="B10" s="51" t="str">
        <f>'Bid Item List'!B22</f>
        <v>Sweeper</v>
      </c>
      <c r="C10" s="33">
        <f>'Bid Item List'!C22</f>
        <v>1</v>
      </c>
      <c r="D10" s="16" t="str">
        <f>'Bid Item List'!D22</f>
        <v>LS</v>
      </c>
      <c r="E10" s="22">
        <v>71000</v>
      </c>
      <c r="F10" s="23">
        <f t="shared" si="0"/>
        <v>71000</v>
      </c>
      <c r="G10" s="22">
        <v>10000</v>
      </c>
      <c r="H10" s="23">
        <f t="shared" si="1"/>
        <v>10000</v>
      </c>
      <c r="I10" s="22">
        <v>10000</v>
      </c>
      <c r="J10" s="23">
        <f t="shared" si="2"/>
        <v>10000</v>
      </c>
    </row>
    <row r="11" spans="1:10" ht="33" customHeight="1">
      <c r="A11" s="7" t="str">
        <f>'Bid Item List'!A23</f>
        <v>0004</v>
      </c>
      <c r="B11" s="51" t="str">
        <f>'Bid Item List'!B23</f>
        <v>Tree and Plant Protection</v>
      </c>
      <c r="C11" s="33">
        <f>'Bid Item List'!C23</f>
        <v>1</v>
      </c>
      <c r="D11" s="16" t="str">
        <f>'Bid Item List'!D23</f>
        <v>LS</v>
      </c>
      <c r="E11" s="22">
        <v>10000</v>
      </c>
      <c r="F11" s="23">
        <f t="shared" si="0"/>
        <v>10000</v>
      </c>
      <c r="G11" s="22">
        <v>5000</v>
      </c>
      <c r="H11" s="23">
        <f t="shared" si="1"/>
        <v>5000</v>
      </c>
      <c r="I11" s="22">
        <v>2000</v>
      </c>
      <c r="J11" s="23">
        <f t="shared" si="2"/>
        <v>2000</v>
      </c>
    </row>
    <row r="12" spans="1:10" ht="33" customHeight="1">
      <c r="A12" s="7" t="str">
        <f>'Bid Item List'!A24</f>
        <v>0005</v>
      </c>
      <c r="B12" s="51" t="str">
        <f>'Bid Item List'!B24</f>
        <v>Temporary Erosion, Sediment, and Pollution Control</v>
      </c>
      <c r="C12" s="33">
        <f>'Bid Item List'!C24</f>
        <v>1</v>
      </c>
      <c r="D12" s="16" t="str">
        <f>'Bid Item List'!D24</f>
        <v>LS</v>
      </c>
      <c r="E12" s="22">
        <v>65000</v>
      </c>
      <c r="F12" s="23">
        <f t="shared" si="0"/>
        <v>65000</v>
      </c>
      <c r="G12" s="22">
        <v>25000</v>
      </c>
      <c r="H12" s="23">
        <f t="shared" si="1"/>
        <v>25000</v>
      </c>
      <c r="I12" s="22">
        <v>17500</v>
      </c>
      <c r="J12" s="23">
        <f t="shared" si="2"/>
        <v>17500</v>
      </c>
    </row>
    <row r="13" spans="1:10" ht="33" customHeight="1">
      <c r="A13" s="7" t="str">
        <f>'Bid Item List'!A25</f>
        <v>0006</v>
      </c>
      <c r="B13" s="51" t="str">
        <f>'Bid Item List'!B25</f>
        <v>Surfacings Removal</v>
      </c>
      <c r="C13" s="52">
        <f>'Bid Item List'!C25</f>
        <v>1700</v>
      </c>
      <c r="D13" s="16" t="str">
        <f>'Bid Item List'!D25</f>
        <v>SY</v>
      </c>
      <c r="E13" s="22">
        <v>15.5</v>
      </c>
      <c r="F13" s="23">
        <f t="shared" si="0"/>
        <v>26350</v>
      </c>
      <c r="G13" s="22">
        <v>25</v>
      </c>
      <c r="H13" s="23">
        <f t="shared" si="1"/>
        <v>42500</v>
      </c>
      <c r="I13" s="22">
        <v>11</v>
      </c>
      <c r="J13" s="23">
        <f t="shared" si="2"/>
        <v>18700</v>
      </c>
    </row>
    <row r="14" spans="1:10" ht="33" customHeight="1">
      <c r="A14" s="7" t="str">
        <f>'Bid Item List'!A26</f>
        <v>0007</v>
      </c>
      <c r="B14" s="51" t="str">
        <f>'Bid Item List'!B26</f>
        <v>Signage</v>
      </c>
      <c r="C14" s="33">
        <f>'Bid Item List'!C26</f>
        <v>1</v>
      </c>
      <c r="D14" s="16" t="str">
        <f>'Bid Item List'!D26</f>
        <v>LS</v>
      </c>
      <c r="E14" s="22">
        <v>5000</v>
      </c>
      <c r="F14" s="23">
        <f t="shared" si="0"/>
        <v>5000</v>
      </c>
      <c r="G14" s="22">
        <v>7500</v>
      </c>
      <c r="H14" s="23">
        <f t="shared" si="1"/>
        <v>7500</v>
      </c>
      <c r="I14" s="22">
        <v>3500</v>
      </c>
      <c r="J14" s="23">
        <f t="shared" si="2"/>
        <v>3500</v>
      </c>
    </row>
    <row r="15" spans="1:10" ht="33" customHeight="1">
      <c r="A15" s="7" t="str">
        <f>'Bid Item List'!A27</f>
        <v>0008</v>
      </c>
      <c r="B15" s="51" t="str">
        <f>'Bid Item List'!B27</f>
        <v>PVC Conduit (Power) - 6 Inch</v>
      </c>
      <c r="C15" s="52">
        <f>'Bid Item List'!C27</f>
        <v>6500</v>
      </c>
      <c r="D15" s="16" t="str">
        <f>'Bid Item List'!D27</f>
        <v>LF</v>
      </c>
      <c r="E15" s="22">
        <v>35</v>
      </c>
      <c r="F15" s="23">
        <f t="shared" si="0"/>
        <v>227500</v>
      </c>
      <c r="G15" s="22">
        <v>42</v>
      </c>
      <c r="H15" s="23">
        <f t="shared" si="1"/>
        <v>273000</v>
      </c>
      <c r="I15" s="22">
        <v>44.481250000000003</v>
      </c>
      <c r="J15" s="23">
        <f t="shared" si="2"/>
        <v>289128.125</v>
      </c>
    </row>
    <row r="16" spans="1:10" ht="33" customHeight="1">
      <c r="A16" s="7" t="str">
        <f>'Bid Item List'!A28</f>
        <v>0009</v>
      </c>
      <c r="B16" s="51" t="str">
        <f>'Bid Item List'!B28</f>
        <v>PVC Conduit (Power) - 4 Inch</v>
      </c>
      <c r="C16" s="52">
        <f>'Bid Item List'!C28</f>
        <v>1050</v>
      </c>
      <c r="D16" s="16" t="str">
        <f>'Bid Item List'!D28</f>
        <v>LF</v>
      </c>
      <c r="E16" s="22">
        <v>24.5</v>
      </c>
      <c r="F16" s="23">
        <f t="shared" si="0"/>
        <v>25725</v>
      </c>
      <c r="G16" s="22">
        <v>30</v>
      </c>
      <c r="H16" s="23">
        <f t="shared" si="1"/>
        <v>31500</v>
      </c>
      <c r="I16" s="22">
        <v>28.949999999999996</v>
      </c>
      <c r="J16" s="23">
        <f t="shared" si="2"/>
        <v>30397.499999999996</v>
      </c>
    </row>
    <row r="17" spans="1:10" ht="33" customHeight="1">
      <c r="A17" s="7" t="str">
        <f>'Bid Item List'!A29</f>
        <v>0010</v>
      </c>
      <c r="B17" s="51" t="str">
        <f>'Bid Item List'!B29</f>
        <v>PVC Conduit (Power) - 3 Inch</v>
      </c>
      <c r="C17" s="52">
        <f>'Bid Item List'!C29</f>
        <v>350</v>
      </c>
      <c r="D17" s="16" t="str">
        <f>'Bid Item List'!D29</f>
        <v>LF</v>
      </c>
      <c r="E17" s="22">
        <v>20</v>
      </c>
      <c r="F17" s="23">
        <f t="shared" ref="F17:F74" si="3">QTY*E17</f>
        <v>7000</v>
      </c>
      <c r="G17" s="22">
        <v>25</v>
      </c>
      <c r="H17" s="23">
        <f t="shared" ref="H17:H74" si="4">QTY*G17</f>
        <v>8750</v>
      </c>
      <c r="I17" s="22">
        <v>23.28125</v>
      </c>
      <c r="J17" s="23">
        <f t="shared" ref="J17:J74" si="5">QTY*I17</f>
        <v>8148.4375</v>
      </c>
    </row>
    <row r="18" spans="1:10" ht="33" customHeight="1">
      <c r="A18" s="7" t="str">
        <f>'Bid Item List'!A30</f>
        <v>0011</v>
      </c>
      <c r="B18" s="51" t="str">
        <f>'Bid Item List'!B30</f>
        <v>PVC Conduit (Power) - 2 Inch</v>
      </c>
      <c r="C18" s="52">
        <f>'Bid Item List'!C30</f>
        <v>200</v>
      </c>
      <c r="D18" s="16" t="str">
        <f>'Bid Item List'!D30</f>
        <v>LF</v>
      </c>
      <c r="E18" s="22">
        <v>14.5</v>
      </c>
      <c r="F18" s="23">
        <f t="shared" si="3"/>
        <v>2900</v>
      </c>
      <c r="G18" s="22">
        <v>12</v>
      </c>
      <c r="H18" s="23">
        <f t="shared" si="4"/>
        <v>2400</v>
      </c>
      <c r="I18" s="22">
        <v>14.71875</v>
      </c>
      <c r="J18" s="23">
        <f t="shared" si="5"/>
        <v>2943.75</v>
      </c>
    </row>
    <row r="19" spans="1:10" ht="33" customHeight="1">
      <c r="A19" s="7" t="str">
        <f>'Bid Item List'!A31</f>
        <v>0012</v>
      </c>
      <c r="B19" s="51" t="str">
        <f>'Bid Item List'!B31</f>
        <v>XHHW Conductor - #3 AWG (Power)</v>
      </c>
      <c r="C19" s="52">
        <f>'Bid Item List'!C31</f>
        <v>450</v>
      </c>
      <c r="D19" s="16" t="str">
        <f>'Bid Item List'!D31</f>
        <v>LF</v>
      </c>
      <c r="E19" s="22">
        <v>3.5</v>
      </c>
      <c r="F19" s="23">
        <f t="shared" si="3"/>
        <v>1575</v>
      </c>
      <c r="G19" s="22">
        <v>6</v>
      </c>
      <c r="H19" s="23">
        <f t="shared" si="4"/>
        <v>2700</v>
      </c>
      <c r="I19" s="22">
        <v>2.6371249999999997</v>
      </c>
      <c r="J19" s="23">
        <f t="shared" si="5"/>
        <v>1186.70625</v>
      </c>
    </row>
    <row r="20" spans="1:10" ht="33" customHeight="1">
      <c r="A20" s="7" t="str">
        <f>'Bid Item List'!A32</f>
        <v>0013</v>
      </c>
      <c r="B20" s="51" t="str">
        <f>'Bid Item List'!B32</f>
        <v>XHHW Conductor - #6 AWG (Power)</v>
      </c>
      <c r="C20" s="52">
        <f>'Bid Item List'!C32</f>
        <v>200</v>
      </c>
      <c r="D20" s="16" t="str">
        <f>'Bid Item List'!D32</f>
        <v>LF</v>
      </c>
      <c r="E20" s="22">
        <v>2.35</v>
      </c>
      <c r="F20" s="23">
        <f t="shared" si="3"/>
        <v>470</v>
      </c>
      <c r="G20" s="22">
        <v>6</v>
      </c>
      <c r="H20" s="23">
        <f t="shared" si="4"/>
        <v>1200</v>
      </c>
      <c r="I20" s="22">
        <v>1.84595</v>
      </c>
      <c r="J20" s="23">
        <f t="shared" si="5"/>
        <v>369.19</v>
      </c>
    </row>
    <row r="21" spans="1:10" ht="33" customHeight="1">
      <c r="A21" s="7" t="str">
        <f>'Bid Item List'!A33</f>
        <v>0014</v>
      </c>
      <c r="B21" s="51" t="str">
        <f>'Bid Item List'!B33</f>
        <v>XHHW Conductor - #8 AWG (Power)</v>
      </c>
      <c r="C21" s="52">
        <f>'Bid Item List'!C33</f>
        <v>200</v>
      </c>
      <c r="D21" s="16" t="str">
        <f>'Bid Item List'!D33</f>
        <v>LF</v>
      </c>
      <c r="E21" s="22">
        <v>1.75</v>
      </c>
      <c r="F21" s="23">
        <f t="shared" si="3"/>
        <v>350</v>
      </c>
      <c r="G21" s="22">
        <v>6</v>
      </c>
      <c r="H21" s="23">
        <f t="shared" si="4"/>
        <v>1200</v>
      </c>
      <c r="I21" s="22">
        <v>1.37825</v>
      </c>
      <c r="J21" s="23">
        <f t="shared" si="5"/>
        <v>275.64999999999998</v>
      </c>
    </row>
    <row r="22" spans="1:10" ht="33" customHeight="1">
      <c r="A22" s="7" t="str">
        <f>'Bid Item List'!A34</f>
        <v>0015</v>
      </c>
      <c r="B22" s="51" t="str">
        <f>'Bid Item List'!B34</f>
        <v>XHHW Conductor - #10 AWG (Power)</v>
      </c>
      <c r="C22" s="52">
        <f>'Bid Item List'!C34</f>
        <v>200</v>
      </c>
      <c r="D22" s="16" t="str">
        <f>'Bid Item List'!D34</f>
        <v>LF</v>
      </c>
      <c r="E22" s="22">
        <v>1.3</v>
      </c>
      <c r="F22" s="23">
        <f t="shared" si="3"/>
        <v>260</v>
      </c>
      <c r="G22" s="22">
        <v>6</v>
      </c>
      <c r="H22" s="23">
        <f t="shared" si="4"/>
        <v>1200</v>
      </c>
      <c r="I22" s="22">
        <v>1.0703749999999999</v>
      </c>
      <c r="J22" s="23">
        <f t="shared" si="5"/>
        <v>214.07499999999996</v>
      </c>
    </row>
    <row r="23" spans="1:10" ht="33" customHeight="1">
      <c r="A23" s="7" t="str">
        <f>'Bid Item List'!A35</f>
        <v>0016</v>
      </c>
      <c r="B23" s="51" t="str">
        <f>'Bid Item List'!B35</f>
        <v>XHHW Conductor - #12 AWG (Power)</v>
      </c>
      <c r="C23" s="52">
        <f>'Bid Item List'!C35</f>
        <v>1250</v>
      </c>
      <c r="D23" s="16" t="str">
        <f>'Bid Item List'!D35</f>
        <v>LF</v>
      </c>
      <c r="E23" s="22">
        <v>1.05</v>
      </c>
      <c r="F23" s="23">
        <f t="shared" si="3"/>
        <v>1312.5</v>
      </c>
      <c r="G23" s="22">
        <v>5</v>
      </c>
      <c r="H23" s="23">
        <f t="shared" si="4"/>
        <v>6250</v>
      </c>
      <c r="I23" s="22">
        <v>0.91339999999999999</v>
      </c>
      <c r="J23" s="23">
        <f t="shared" si="5"/>
        <v>1141.75</v>
      </c>
    </row>
    <row r="24" spans="1:10" ht="33" customHeight="1">
      <c r="A24" s="7" t="str">
        <f>'Bid Item List'!A36</f>
        <v>0017</v>
      </c>
      <c r="B24" s="51" t="str">
        <f>'Bid Item List'!B36</f>
        <v>Electric Utility Meter Base - 200A Direct</v>
      </c>
      <c r="C24" s="52">
        <f>'Bid Item List'!C36</f>
        <v>3</v>
      </c>
      <c r="D24" s="16" t="str">
        <f>'Bid Item List'!D36</f>
        <v>Each</v>
      </c>
      <c r="E24" s="22">
        <v>815</v>
      </c>
      <c r="F24" s="23">
        <f t="shared" si="3"/>
        <v>2445</v>
      </c>
      <c r="G24" s="22">
        <v>7500</v>
      </c>
      <c r="H24" s="23">
        <f t="shared" si="4"/>
        <v>22500</v>
      </c>
      <c r="I24" s="22">
        <v>795.31</v>
      </c>
      <c r="J24" s="23">
        <f t="shared" si="5"/>
        <v>2385.9299999999998</v>
      </c>
    </row>
    <row r="25" spans="1:10" ht="33" customHeight="1">
      <c r="A25" s="7" t="str">
        <f>'Bid Item List'!A37</f>
        <v>0018</v>
      </c>
      <c r="B25" s="51" t="str">
        <f>'Bid Item List'!B37</f>
        <v>Metered Switchgear Installation</v>
      </c>
      <c r="C25" s="52">
        <f>'Bid Item List'!C37</f>
        <v>1</v>
      </c>
      <c r="D25" s="16" t="str">
        <f>'Bid Item List'!D37</f>
        <v>Each</v>
      </c>
      <c r="E25" s="22">
        <v>6600</v>
      </c>
      <c r="F25" s="23">
        <f t="shared" si="3"/>
        <v>6600</v>
      </c>
      <c r="G25" s="22">
        <v>20000</v>
      </c>
      <c r="H25" s="23">
        <f t="shared" si="4"/>
        <v>20000</v>
      </c>
      <c r="I25" s="22">
        <v>5700</v>
      </c>
      <c r="J25" s="23">
        <f t="shared" si="5"/>
        <v>5700</v>
      </c>
    </row>
    <row r="26" spans="1:10" ht="33" customHeight="1">
      <c r="A26" s="7" t="str">
        <f>'Bid Item List'!A38</f>
        <v>0019</v>
      </c>
      <c r="B26" s="51" t="str">
        <f>'Bid Item List'!B38</f>
        <v>Vault (Power) - 712-SWITCH-PCORP</v>
      </c>
      <c r="C26" s="52">
        <f>'Bid Item List'!C38</f>
        <v>1</v>
      </c>
      <c r="D26" s="16" t="str">
        <f>'Bid Item List'!D38</f>
        <v>Each</v>
      </c>
      <c r="E26" s="22">
        <v>20800</v>
      </c>
      <c r="F26" s="23">
        <f t="shared" si="3"/>
        <v>20800</v>
      </c>
      <c r="G26" s="22">
        <v>25000</v>
      </c>
      <c r="H26" s="23">
        <f t="shared" si="4"/>
        <v>25000</v>
      </c>
      <c r="I26" s="22">
        <v>28081.945</v>
      </c>
      <c r="J26" s="23">
        <f t="shared" si="5"/>
        <v>28081.945</v>
      </c>
    </row>
    <row r="27" spans="1:10" ht="33" customHeight="1">
      <c r="A27" s="7" t="str">
        <f>'Bid Item List'!A39</f>
        <v>0020</v>
      </c>
      <c r="B27" s="51" t="str">
        <f>'Bid Item List'!B39</f>
        <v>Vault (Power) - 575-TRANS-PCORP</v>
      </c>
      <c r="C27" s="52">
        <f>'Bid Item List'!C39</f>
        <v>4</v>
      </c>
      <c r="D27" s="16" t="str">
        <f>'Bid Item List'!D39</f>
        <v>Each</v>
      </c>
      <c r="E27" s="22">
        <v>9900</v>
      </c>
      <c r="F27" s="23">
        <f t="shared" si="3"/>
        <v>39600</v>
      </c>
      <c r="G27" s="22">
        <v>20000</v>
      </c>
      <c r="H27" s="23">
        <f t="shared" si="4"/>
        <v>80000</v>
      </c>
      <c r="I27" s="22">
        <v>13743.195</v>
      </c>
      <c r="J27" s="23">
        <f t="shared" si="5"/>
        <v>54972.78</v>
      </c>
    </row>
    <row r="28" spans="1:10" ht="33" customHeight="1">
      <c r="A28" s="7" t="str">
        <f>'Bid Item List'!A40</f>
        <v>0021</v>
      </c>
      <c r="B28" s="51" t="str">
        <f>'Bid Item List'!B40</f>
        <v>Vault (Power) - 575-PCORP</v>
      </c>
      <c r="C28" s="52">
        <f>'Bid Item List'!C40</f>
        <v>2</v>
      </c>
      <c r="D28" s="16" t="str">
        <f>'Bid Item List'!D40</f>
        <v>Each</v>
      </c>
      <c r="E28" s="22">
        <v>9100</v>
      </c>
      <c r="F28" s="23">
        <f t="shared" si="3"/>
        <v>18200</v>
      </c>
      <c r="G28" s="22">
        <v>20000</v>
      </c>
      <c r="H28" s="23">
        <f t="shared" si="4"/>
        <v>40000</v>
      </c>
      <c r="I28" s="22">
        <v>14835.195</v>
      </c>
      <c r="J28" s="23">
        <f t="shared" si="5"/>
        <v>29670.39</v>
      </c>
    </row>
    <row r="29" spans="1:10" ht="33" customHeight="1">
      <c r="A29" s="7" t="str">
        <f>'Bid Item List'!A41</f>
        <v>0022</v>
      </c>
      <c r="B29" s="51" t="str">
        <f>'Bid Item List'!B41</f>
        <v>Vault (Power) - 776-TRANS-PCORP</v>
      </c>
      <c r="C29" s="52">
        <f>'Bid Item List'!C41</f>
        <v>2</v>
      </c>
      <c r="D29" s="16" t="str">
        <f>'Bid Item List'!D41</f>
        <v>Each</v>
      </c>
      <c r="E29" s="22">
        <v>13800</v>
      </c>
      <c r="F29" s="23">
        <f t="shared" si="3"/>
        <v>27600</v>
      </c>
      <c r="G29" s="22">
        <v>25000</v>
      </c>
      <c r="H29" s="23">
        <f t="shared" si="4"/>
        <v>50000</v>
      </c>
      <c r="I29" s="22">
        <v>16783.695</v>
      </c>
      <c r="J29" s="23">
        <f t="shared" si="5"/>
        <v>33567.39</v>
      </c>
    </row>
    <row r="30" spans="1:10" ht="33" customHeight="1">
      <c r="A30" s="7" t="str">
        <f>'Bid Item List'!A42</f>
        <v>0023</v>
      </c>
      <c r="B30" s="51" t="str">
        <f>'Bid Item List'!B42</f>
        <v>Vault (Power) - 776-TRANS-PCORP (Traffic Rated)</v>
      </c>
      <c r="C30" s="52">
        <f>'Bid Item List'!C42</f>
        <v>1</v>
      </c>
      <c r="D30" s="16" t="str">
        <f>'Bid Item List'!D42</f>
        <v>Each</v>
      </c>
      <c r="E30" s="22">
        <v>13250</v>
      </c>
      <c r="F30" s="23">
        <f t="shared" si="3"/>
        <v>13250</v>
      </c>
      <c r="G30" s="22">
        <v>25000</v>
      </c>
      <c r="H30" s="23">
        <f t="shared" si="4"/>
        <v>25000</v>
      </c>
      <c r="I30" s="22">
        <v>19217.97</v>
      </c>
      <c r="J30" s="23">
        <f t="shared" si="5"/>
        <v>19217.97</v>
      </c>
    </row>
    <row r="31" spans="1:10" ht="33" customHeight="1">
      <c r="A31" s="7" t="str">
        <f>'Bid Item List'!A43</f>
        <v>0024</v>
      </c>
      <c r="B31" s="51" t="str">
        <f>'Bid Item List'!B43</f>
        <v>PVC Conduit (Comm) - 4 Inch</v>
      </c>
      <c r="C31" s="52">
        <f>'Bid Item List'!C43</f>
        <v>12250</v>
      </c>
      <c r="D31" s="16" t="str">
        <f>'Bid Item List'!D43</f>
        <v>LF</v>
      </c>
      <c r="E31" s="22">
        <v>18.45</v>
      </c>
      <c r="F31" s="23">
        <f t="shared" si="3"/>
        <v>226012.5</v>
      </c>
      <c r="G31" s="22">
        <v>30</v>
      </c>
      <c r="H31" s="23">
        <f t="shared" si="4"/>
        <v>367500</v>
      </c>
      <c r="I31" s="22">
        <v>28.949999999999996</v>
      </c>
      <c r="J31" s="23">
        <f t="shared" si="5"/>
        <v>354637.49999999994</v>
      </c>
    </row>
    <row r="32" spans="1:10" ht="33" customHeight="1">
      <c r="A32" s="7" t="str">
        <f>'Bid Item List'!A44</f>
        <v>0025</v>
      </c>
      <c r="B32" s="51" t="str">
        <f>'Bid Item List'!B44</f>
        <v>HDPE Interduct (Comm) - 1 1/4"</v>
      </c>
      <c r="C32" s="52">
        <f>'Bid Item List'!C44</f>
        <v>9300</v>
      </c>
      <c r="D32" s="16" t="str">
        <f>'Bid Item List'!D44</f>
        <v>LF</v>
      </c>
      <c r="E32" s="22">
        <v>6.8</v>
      </c>
      <c r="F32" s="23">
        <f t="shared" si="3"/>
        <v>63240</v>
      </c>
      <c r="G32" s="22">
        <v>5</v>
      </c>
      <c r="H32" s="23">
        <f t="shared" si="4"/>
        <v>46500</v>
      </c>
      <c r="I32" s="22">
        <v>8.6999999999999993</v>
      </c>
      <c r="J32" s="23">
        <f t="shared" si="5"/>
        <v>80910</v>
      </c>
    </row>
    <row r="33" spans="1:10" ht="33" customHeight="1">
      <c r="A33" s="7" t="str">
        <f>'Bid Item List'!A45</f>
        <v>0026</v>
      </c>
      <c r="B33" s="51" t="str">
        <f>'Bid Item List'!B45</f>
        <v>Vault (Comm) - 444-LA</v>
      </c>
      <c r="C33" s="52">
        <f>'Bid Item List'!C45</f>
        <v>8</v>
      </c>
      <c r="D33" s="16" t="str">
        <f>'Bid Item List'!D45</f>
        <v>Each</v>
      </c>
      <c r="E33" s="22">
        <v>5800</v>
      </c>
      <c r="F33" s="23">
        <f t="shared" si="3"/>
        <v>46400</v>
      </c>
      <c r="G33" s="22">
        <v>10000</v>
      </c>
      <c r="H33" s="23">
        <f t="shared" si="4"/>
        <v>80000</v>
      </c>
      <c r="I33" s="22">
        <v>9460.1949999999997</v>
      </c>
      <c r="J33" s="23">
        <f t="shared" si="5"/>
        <v>75681.56</v>
      </c>
    </row>
    <row r="34" spans="1:10" ht="33" customHeight="1">
      <c r="A34" s="7" t="str">
        <f>'Bid Item List'!A46</f>
        <v>0027</v>
      </c>
      <c r="B34" s="51" t="str">
        <f>'Bid Item List'!B46</f>
        <v>Vault (Comm) - 444-LA (Traffic Rated)</v>
      </c>
      <c r="C34" s="52">
        <f>'Bid Item List'!C46</f>
        <v>1</v>
      </c>
      <c r="D34" s="16" t="str">
        <f>'Bid Item List'!D46</f>
        <v>Each</v>
      </c>
      <c r="E34" s="22">
        <v>5890</v>
      </c>
      <c r="F34" s="23">
        <f t="shared" si="3"/>
        <v>5890</v>
      </c>
      <c r="G34" s="22">
        <v>12000</v>
      </c>
      <c r="H34" s="23">
        <f t="shared" si="4"/>
        <v>12000</v>
      </c>
      <c r="I34" s="22">
        <v>10795.95</v>
      </c>
      <c r="J34" s="23">
        <f t="shared" si="5"/>
        <v>10795.95</v>
      </c>
    </row>
    <row r="35" spans="1:10" ht="33" customHeight="1">
      <c r="A35" s="7" t="str">
        <f>'Bid Item List'!A47</f>
        <v>0028</v>
      </c>
      <c r="B35" s="51" t="str">
        <f>'Bid Item List'!B47</f>
        <v>Demarcation Panel with Receptacles, Heater, and T-Stat</v>
      </c>
      <c r="C35" s="52">
        <f>'Bid Item List'!C47</f>
        <v>1</v>
      </c>
      <c r="D35" s="16" t="str">
        <f>'Bid Item List'!D47</f>
        <v>Each</v>
      </c>
      <c r="E35" s="22">
        <v>6400</v>
      </c>
      <c r="F35" s="23">
        <f t="shared" si="3"/>
        <v>6400</v>
      </c>
      <c r="G35" s="22">
        <v>15500</v>
      </c>
      <c r="H35" s="23">
        <f t="shared" si="4"/>
        <v>15500</v>
      </c>
      <c r="I35" s="22">
        <v>7750</v>
      </c>
      <c r="J35" s="23">
        <f t="shared" si="5"/>
        <v>7750</v>
      </c>
    </row>
    <row r="36" spans="1:10" ht="33" customHeight="1">
      <c r="A36" s="7" t="str">
        <f>'Bid Item List'!A48</f>
        <v>0029</v>
      </c>
      <c r="B36" s="51" t="str">
        <f>'Bid Item List'!B48</f>
        <v>H-Frame Support</v>
      </c>
      <c r="C36" s="52">
        <f>'Bid Item List'!C48</f>
        <v>2</v>
      </c>
      <c r="D36" s="16" t="str">
        <f>'Bid Item List'!D48</f>
        <v>Each</v>
      </c>
      <c r="E36" s="22">
        <v>4000</v>
      </c>
      <c r="F36" s="23">
        <f t="shared" si="3"/>
        <v>8000</v>
      </c>
      <c r="G36" s="22">
        <v>4500</v>
      </c>
      <c r="H36" s="23">
        <f t="shared" si="4"/>
        <v>9000</v>
      </c>
      <c r="I36" s="22">
        <v>9000</v>
      </c>
      <c r="J36" s="23">
        <f t="shared" si="5"/>
        <v>18000</v>
      </c>
    </row>
    <row r="37" spans="1:10" ht="33" customHeight="1">
      <c r="A37" s="7" t="str">
        <f>'Bid Item List'!A49</f>
        <v>0030</v>
      </c>
      <c r="B37" s="51" t="str">
        <f>'Bid Item List'!B49</f>
        <v>Mini-Power Zone (10 KVA)</v>
      </c>
      <c r="C37" s="52">
        <f>'Bid Item List'!C49</f>
        <v>1</v>
      </c>
      <c r="D37" s="16" t="str">
        <f>'Bid Item List'!D49</f>
        <v>Each</v>
      </c>
      <c r="E37" s="22">
        <v>6800</v>
      </c>
      <c r="F37" s="23">
        <f t="shared" si="3"/>
        <v>6800</v>
      </c>
      <c r="G37" s="22">
        <v>9500</v>
      </c>
      <c r="H37" s="23">
        <f t="shared" si="4"/>
        <v>9500</v>
      </c>
      <c r="I37" s="22">
        <v>7080</v>
      </c>
      <c r="J37" s="23">
        <f t="shared" si="5"/>
        <v>7080</v>
      </c>
    </row>
    <row r="38" spans="1:10" ht="33" customHeight="1">
      <c r="A38" s="7" t="str">
        <f>'Bid Item List'!A50</f>
        <v>0031</v>
      </c>
      <c r="B38" s="51" t="str">
        <f>'Bid Item List'!B50</f>
        <v>Panelboard - 480Y/277V, 100A, 3-Phase, NEMA 3R</v>
      </c>
      <c r="C38" s="52">
        <f>'Bid Item List'!C50</f>
        <v>1</v>
      </c>
      <c r="D38" s="16" t="str">
        <f>'Bid Item List'!D50</f>
        <v>Each</v>
      </c>
      <c r="E38" s="22">
        <v>9500</v>
      </c>
      <c r="F38" s="23">
        <f t="shared" si="3"/>
        <v>9500</v>
      </c>
      <c r="G38" s="22">
        <v>7000</v>
      </c>
      <c r="H38" s="23">
        <f t="shared" si="4"/>
        <v>7000</v>
      </c>
      <c r="I38" s="22">
        <v>6980</v>
      </c>
      <c r="J38" s="23">
        <f t="shared" si="5"/>
        <v>6980</v>
      </c>
    </row>
    <row r="39" spans="1:10" ht="33" customHeight="1">
      <c r="A39" s="7" t="str">
        <f>'Bid Item List'!A51</f>
        <v>0032</v>
      </c>
      <c r="B39" s="51" t="str">
        <f>'Bid Item List'!B51</f>
        <v>Panelboard - 240/120V, 100A, 1-Phase, NEMA 3R</v>
      </c>
      <c r="C39" s="52">
        <f>'Bid Item List'!C51</f>
        <v>1</v>
      </c>
      <c r="D39" s="16" t="str">
        <f>'Bid Item List'!D51</f>
        <v>Each</v>
      </c>
      <c r="E39" s="22">
        <v>7500</v>
      </c>
      <c r="F39" s="23">
        <f t="shared" si="3"/>
        <v>7500</v>
      </c>
      <c r="G39" s="22">
        <v>7000</v>
      </c>
      <c r="H39" s="23">
        <f t="shared" si="4"/>
        <v>7000</v>
      </c>
      <c r="I39" s="22">
        <v>5900</v>
      </c>
      <c r="J39" s="23">
        <f t="shared" si="5"/>
        <v>5900</v>
      </c>
    </row>
    <row r="40" spans="1:10" ht="33" customHeight="1">
      <c r="A40" s="7" t="str">
        <f>'Bid Item List'!A52</f>
        <v>0033</v>
      </c>
      <c r="B40" s="51" t="str">
        <f>'Bid Item List'!B52</f>
        <v>Electrical Demo (Existing ORANG)</v>
      </c>
      <c r="C40" s="52">
        <f>'Bid Item List'!C52</f>
        <v>1</v>
      </c>
      <c r="D40" s="16" t="str">
        <f>'Bid Item List'!D52</f>
        <v>LS</v>
      </c>
      <c r="E40" s="22">
        <v>31000</v>
      </c>
      <c r="F40" s="23">
        <f t="shared" si="3"/>
        <v>31000</v>
      </c>
      <c r="G40" s="22">
        <v>5000</v>
      </c>
      <c r="H40" s="23">
        <f t="shared" si="4"/>
        <v>5000</v>
      </c>
      <c r="I40" s="22">
        <v>30812.5</v>
      </c>
      <c r="J40" s="23">
        <f t="shared" si="5"/>
        <v>30812.5</v>
      </c>
    </row>
    <row r="41" spans="1:10" ht="33" customHeight="1">
      <c r="A41" s="7" t="str">
        <f>'Bid Item List'!A53</f>
        <v>0034</v>
      </c>
      <c r="B41" s="51" t="str">
        <f>'Bid Item List'!B53</f>
        <v>Clearing and Grubbing</v>
      </c>
      <c r="C41" s="52">
        <f>'Bid Item List'!C53</f>
        <v>1</v>
      </c>
      <c r="D41" s="16" t="str">
        <f>'Bid Item List'!D53</f>
        <v>LS</v>
      </c>
      <c r="E41" s="22">
        <v>66000</v>
      </c>
      <c r="F41" s="23">
        <f t="shared" si="3"/>
        <v>66000</v>
      </c>
      <c r="G41" s="22">
        <v>40000</v>
      </c>
      <c r="H41" s="23">
        <f t="shared" si="4"/>
        <v>40000</v>
      </c>
      <c r="I41" s="22">
        <v>27000</v>
      </c>
      <c r="J41" s="23">
        <f t="shared" si="5"/>
        <v>27000</v>
      </c>
    </row>
    <row r="42" spans="1:10" ht="33" customHeight="1">
      <c r="A42" s="7" t="str">
        <f>'Bid Item List'!A54</f>
        <v>0035</v>
      </c>
      <c r="B42" s="51" t="str">
        <f>'Bid Item List'!B54</f>
        <v>Contaminated Soil Excavation and Disposal</v>
      </c>
      <c r="C42" s="52">
        <f>'Bid Item List'!C54</f>
        <v>2900</v>
      </c>
      <c r="D42" s="16" t="str">
        <f>'Bid Item List'!D54</f>
        <v>CY</v>
      </c>
      <c r="E42" s="22">
        <v>45</v>
      </c>
      <c r="F42" s="23">
        <f t="shared" si="3"/>
        <v>130500</v>
      </c>
      <c r="G42" s="22">
        <v>20</v>
      </c>
      <c r="H42" s="23">
        <f t="shared" si="4"/>
        <v>58000</v>
      </c>
      <c r="I42" s="22">
        <v>70</v>
      </c>
      <c r="J42" s="23">
        <f t="shared" si="5"/>
        <v>203000</v>
      </c>
    </row>
    <row r="43" spans="1:10" ht="33" customHeight="1">
      <c r="A43" s="7" t="str">
        <f>'Bid Item List'!A55</f>
        <v>0036</v>
      </c>
      <c r="B43" s="51" t="str">
        <f>'Bid Item List'!B55</f>
        <v>Trench Excavation</v>
      </c>
      <c r="C43" s="52">
        <f>'Bid Item List'!C55</f>
        <v>4800</v>
      </c>
      <c r="D43" s="16" t="str">
        <f>'Bid Item List'!D55</f>
        <v>CY</v>
      </c>
      <c r="E43" s="22">
        <v>38</v>
      </c>
      <c r="F43" s="23">
        <f t="shared" si="3"/>
        <v>182400</v>
      </c>
      <c r="G43" s="22">
        <v>60</v>
      </c>
      <c r="H43" s="23">
        <f t="shared" si="4"/>
        <v>288000</v>
      </c>
      <c r="I43" s="22">
        <v>25</v>
      </c>
      <c r="J43" s="23">
        <f t="shared" si="5"/>
        <v>120000</v>
      </c>
    </row>
    <row r="44" spans="1:10" ht="33" customHeight="1">
      <c r="A44" s="7" t="str">
        <f>'Bid Item List'!A56</f>
        <v>0037</v>
      </c>
      <c r="B44" s="51" t="str">
        <f>'Bid Item List'!B56</f>
        <v>Trenchless Installation</v>
      </c>
      <c r="C44" s="52">
        <f>'Bid Item List'!C56</f>
        <v>330</v>
      </c>
      <c r="D44" s="16" t="str">
        <f>'Bid Item List'!D56</f>
        <v>LF</v>
      </c>
      <c r="E44" s="22">
        <v>37</v>
      </c>
      <c r="F44" s="23">
        <f t="shared" si="3"/>
        <v>12210</v>
      </c>
      <c r="G44" s="22">
        <v>200</v>
      </c>
      <c r="H44" s="23">
        <f t="shared" si="4"/>
        <v>66000</v>
      </c>
      <c r="I44" s="22">
        <v>200</v>
      </c>
      <c r="J44" s="23">
        <f t="shared" si="5"/>
        <v>66000</v>
      </c>
    </row>
    <row r="45" spans="1:10" ht="33" customHeight="1">
      <c r="A45" s="7" t="str">
        <f>'Bid Item List'!A57</f>
        <v>0038</v>
      </c>
      <c r="B45" s="51" t="str">
        <f>'Bid Item List'!B57</f>
        <v xml:space="preserve">Bedding and Pipe Zone Material </v>
      </c>
      <c r="C45" s="52">
        <f>'Bid Item List'!C57</f>
        <v>2300</v>
      </c>
      <c r="D45" s="16" t="str">
        <f>'Bid Item List'!D57</f>
        <v>CY</v>
      </c>
      <c r="E45" s="22">
        <v>55</v>
      </c>
      <c r="F45" s="23">
        <f t="shared" si="3"/>
        <v>126500</v>
      </c>
      <c r="G45" s="22">
        <v>25</v>
      </c>
      <c r="H45" s="23">
        <f t="shared" si="4"/>
        <v>57500</v>
      </c>
      <c r="I45" s="22">
        <v>65</v>
      </c>
      <c r="J45" s="23">
        <f t="shared" si="5"/>
        <v>149500</v>
      </c>
    </row>
    <row r="46" spans="1:10" ht="33" customHeight="1">
      <c r="A46" s="7" t="str">
        <f>'Bid Item List'!A58</f>
        <v>0039</v>
      </c>
      <c r="B46" s="51" t="str">
        <f>'Bid Item List'!B58</f>
        <v xml:space="preserve">Trench Stabilization </v>
      </c>
      <c r="C46" s="52">
        <f>'Bid Item List'!C58</f>
        <v>250</v>
      </c>
      <c r="D46" s="16" t="str">
        <f>'Bid Item List'!D58</f>
        <v>CY</v>
      </c>
      <c r="E46" s="22">
        <v>94</v>
      </c>
      <c r="F46" s="23">
        <f t="shared" si="3"/>
        <v>23500</v>
      </c>
      <c r="G46" s="22">
        <v>15</v>
      </c>
      <c r="H46" s="23">
        <f t="shared" si="4"/>
        <v>3750</v>
      </c>
      <c r="I46" s="22">
        <v>50</v>
      </c>
      <c r="J46" s="23">
        <f t="shared" si="5"/>
        <v>12500</v>
      </c>
    </row>
    <row r="47" spans="1:10" ht="33" customHeight="1">
      <c r="A47" s="7" t="str">
        <f>'Bid Item List'!A59</f>
        <v>0040</v>
      </c>
      <c r="B47" s="51" t="str">
        <f>'Bid Item List'!B59</f>
        <v>Level 3, 1/2-Inch Dense HMAC</v>
      </c>
      <c r="C47" s="52">
        <f>'Bid Item List'!C59</f>
        <v>400</v>
      </c>
      <c r="D47" s="16" t="str">
        <f>'Bid Item List'!D59</f>
        <v>Ton</v>
      </c>
      <c r="E47" s="22">
        <v>290</v>
      </c>
      <c r="F47" s="23">
        <f t="shared" si="3"/>
        <v>116000</v>
      </c>
      <c r="G47" s="22">
        <v>250</v>
      </c>
      <c r="H47" s="23">
        <f t="shared" si="4"/>
        <v>100000</v>
      </c>
      <c r="I47" s="22">
        <v>195</v>
      </c>
      <c r="J47" s="23">
        <f t="shared" si="5"/>
        <v>78000</v>
      </c>
    </row>
    <row r="48" spans="1:10" ht="33" customHeight="1">
      <c r="A48" s="7" t="str">
        <f>'Bid Item List'!A60</f>
        <v>0041</v>
      </c>
      <c r="B48" s="51" t="str">
        <f>'Bid Item List'!B60</f>
        <v>Crack Seal</v>
      </c>
      <c r="C48" s="52">
        <f>'Bid Item List'!C60</f>
        <v>7950</v>
      </c>
      <c r="D48" s="16" t="str">
        <f>'Bid Item List'!D60</f>
        <v>LF</v>
      </c>
      <c r="E48" s="22">
        <v>3.6</v>
      </c>
      <c r="F48" s="23">
        <f t="shared" si="3"/>
        <v>28620</v>
      </c>
      <c r="G48" s="22">
        <v>2.5</v>
      </c>
      <c r="H48" s="23">
        <f t="shared" si="4"/>
        <v>19875</v>
      </c>
      <c r="I48" s="22">
        <v>2.5</v>
      </c>
      <c r="J48" s="23">
        <f t="shared" si="5"/>
        <v>19875</v>
      </c>
    </row>
    <row r="49" spans="1:10" ht="33" customHeight="1">
      <c r="A49" s="7" t="str">
        <f>'Bid Item List'!A61</f>
        <v>0042</v>
      </c>
      <c r="B49" s="51" t="str">
        <f>'Bid Item List'!B61</f>
        <v>Aggregate Base Course</v>
      </c>
      <c r="C49" s="52">
        <f>'Bid Item List'!C61</f>
        <v>550</v>
      </c>
      <c r="D49" s="16" t="str">
        <f>'Bid Item List'!D61</f>
        <v>CY</v>
      </c>
      <c r="E49" s="22">
        <v>105</v>
      </c>
      <c r="F49" s="23">
        <f t="shared" si="3"/>
        <v>57750</v>
      </c>
      <c r="G49" s="22">
        <v>40</v>
      </c>
      <c r="H49" s="23">
        <f t="shared" si="4"/>
        <v>22000</v>
      </c>
      <c r="I49" s="22">
        <v>55</v>
      </c>
      <c r="J49" s="23">
        <f t="shared" si="5"/>
        <v>30250</v>
      </c>
    </row>
    <row r="50" spans="1:10" ht="33" customHeight="1">
      <c r="A50" s="7" t="str">
        <f>'Bid Item List'!A62</f>
        <v>0043</v>
      </c>
      <c r="B50" s="51" t="str">
        <f>'Bid Item List'!B62</f>
        <v>Reinforced Concrete Pad</v>
      </c>
      <c r="C50" s="52">
        <f>'Bid Item List'!C62</f>
        <v>840</v>
      </c>
      <c r="D50" s="16" t="str">
        <f>'Bid Item List'!D62</f>
        <v>SF</v>
      </c>
      <c r="E50" s="22">
        <v>36</v>
      </c>
      <c r="F50" s="23">
        <f t="shared" si="3"/>
        <v>30240</v>
      </c>
      <c r="G50" s="22">
        <v>35</v>
      </c>
      <c r="H50" s="23">
        <f t="shared" si="4"/>
        <v>29400</v>
      </c>
      <c r="I50" s="22">
        <v>17</v>
      </c>
      <c r="J50" s="23">
        <f t="shared" si="5"/>
        <v>14280</v>
      </c>
    </row>
    <row r="51" spans="1:10" ht="33" customHeight="1">
      <c r="A51" s="7" t="str">
        <f>'Bid Item List'!A63</f>
        <v>0044</v>
      </c>
      <c r="B51" s="51" t="str">
        <f>'Bid Item List'!B63</f>
        <v xml:space="preserve">Cast-In-Place Concrete Curb </v>
      </c>
      <c r="C51" s="52">
        <f>'Bid Item List'!C63</f>
        <v>220</v>
      </c>
      <c r="D51" s="16" t="str">
        <f>'Bid Item List'!D63</f>
        <v>LF</v>
      </c>
      <c r="E51" s="22">
        <v>50</v>
      </c>
      <c r="F51" s="23">
        <f t="shared" si="3"/>
        <v>11000</v>
      </c>
      <c r="G51" s="22">
        <v>12</v>
      </c>
      <c r="H51" s="23">
        <f t="shared" si="4"/>
        <v>2640</v>
      </c>
      <c r="I51" s="22">
        <v>55</v>
      </c>
      <c r="J51" s="23">
        <f t="shared" si="5"/>
        <v>12100</v>
      </c>
    </row>
    <row r="52" spans="1:10" ht="33" customHeight="1">
      <c r="A52" s="7" t="str">
        <f>'Bid Item List'!A64</f>
        <v>0045</v>
      </c>
      <c r="B52" s="51" t="str">
        <f>'Bid Item List'!B64</f>
        <v>Concrete Sidewalk</v>
      </c>
      <c r="C52" s="52">
        <f>'Bid Item List'!C64</f>
        <v>500</v>
      </c>
      <c r="D52" s="16" t="str">
        <f>'Bid Item List'!D64</f>
        <v>SF</v>
      </c>
      <c r="E52" s="22">
        <v>25</v>
      </c>
      <c r="F52" s="23">
        <f t="shared" si="3"/>
        <v>12500</v>
      </c>
      <c r="G52" s="22">
        <v>8</v>
      </c>
      <c r="H52" s="23">
        <f t="shared" si="4"/>
        <v>4000</v>
      </c>
      <c r="I52" s="22">
        <v>14</v>
      </c>
      <c r="J52" s="23">
        <f t="shared" si="5"/>
        <v>7000</v>
      </c>
    </row>
    <row r="53" spans="1:10" ht="33" customHeight="1">
      <c r="A53" s="7" t="str">
        <f>'Bid Item List'!A65</f>
        <v>0046</v>
      </c>
      <c r="B53" s="51" t="str">
        <f>'Bid Item List'!B65</f>
        <v>Pavement Marking</v>
      </c>
      <c r="C53" s="52">
        <f>'Bid Item List'!C65</f>
        <v>2000</v>
      </c>
      <c r="D53" s="16" t="str">
        <f>'Bid Item List'!D65</f>
        <v>SF</v>
      </c>
      <c r="E53" s="22">
        <v>1.3</v>
      </c>
      <c r="F53" s="23">
        <f t="shared" si="3"/>
        <v>2600</v>
      </c>
      <c r="G53" s="22">
        <v>7.5</v>
      </c>
      <c r="H53" s="23">
        <f t="shared" si="4"/>
        <v>15000</v>
      </c>
      <c r="I53" s="22">
        <v>3</v>
      </c>
      <c r="J53" s="23">
        <f t="shared" si="5"/>
        <v>6000</v>
      </c>
    </row>
    <row r="54" spans="1:10" ht="33" customHeight="1">
      <c r="A54" s="7" t="str">
        <f>'Bid Item List'!A66</f>
        <v>0047</v>
      </c>
      <c r="B54" s="51" t="str">
        <f>'Bid Item List'!B66</f>
        <v>One-Year Landscape Maintenance</v>
      </c>
      <c r="C54" s="52">
        <f>'Bid Item List'!C66</f>
        <v>1</v>
      </c>
      <c r="D54" s="16" t="str">
        <f>'Bid Item List'!D66</f>
        <v>LS</v>
      </c>
      <c r="E54" s="22">
        <v>19000</v>
      </c>
      <c r="F54" s="23">
        <f t="shared" si="3"/>
        <v>19000</v>
      </c>
      <c r="G54" s="22">
        <v>10000</v>
      </c>
      <c r="H54" s="23">
        <f t="shared" si="4"/>
        <v>10000</v>
      </c>
      <c r="I54" s="22">
        <v>5000</v>
      </c>
      <c r="J54" s="23">
        <f t="shared" si="5"/>
        <v>5000</v>
      </c>
    </row>
    <row r="55" spans="1:10" ht="33" customHeight="1">
      <c r="A55" s="7" t="str">
        <f>'Bid Item List'!A67</f>
        <v>0048</v>
      </c>
      <c r="B55" s="51" t="str">
        <f>'Bid Item List'!B67</f>
        <v>Area Seeding</v>
      </c>
      <c r="C55" s="52">
        <f>'Bid Item List'!C67</f>
        <v>0.5</v>
      </c>
      <c r="D55" s="16" t="str">
        <f>'Bid Item List'!D67</f>
        <v>Acre</v>
      </c>
      <c r="E55" s="22">
        <v>9000</v>
      </c>
      <c r="F55" s="23">
        <f t="shared" si="3"/>
        <v>4500</v>
      </c>
      <c r="G55" s="22">
        <v>10000</v>
      </c>
      <c r="H55" s="23">
        <f t="shared" si="4"/>
        <v>5000</v>
      </c>
      <c r="I55" s="22">
        <v>11000</v>
      </c>
      <c r="J55" s="23">
        <f t="shared" si="5"/>
        <v>5500</v>
      </c>
    </row>
    <row r="56" spans="1:10" ht="33" customHeight="1">
      <c r="A56" s="7" t="str">
        <f>'Bid Item List'!A68</f>
        <v>0049</v>
      </c>
      <c r="B56" s="51" t="str">
        <f>'Bid Item List'!B68</f>
        <v>Mulch</v>
      </c>
      <c r="C56" s="52">
        <f>'Bid Item List'!C68</f>
        <v>220</v>
      </c>
      <c r="D56" s="16" t="str">
        <f>'Bid Item List'!D68</f>
        <v>SY</v>
      </c>
      <c r="E56" s="22">
        <v>10.5</v>
      </c>
      <c r="F56" s="23">
        <f t="shared" si="3"/>
        <v>2310</v>
      </c>
      <c r="G56" s="22">
        <v>45</v>
      </c>
      <c r="H56" s="23">
        <f t="shared" si="4"/>
        <v>9900</v>
      </c>
      <c r="I56" s="22">
        <v>32.5</v>
      </c>
      <c r="J56" s="23">
        <f t="shared" si="5"/>
        <v>7150</v>
      </c>
    </row>
    <row r="57" spans="1:10" ht="33" customHeight="1">
      <c r="A57" s="7" t="str">
        <f>'Bid Item List'!A69</f>
        <v>0050</v>
      </c>
      <c r="B57" s="51" t="str">
        <f>'Bid Item List'!B69</f>
        <v xml:space="preserve">Irrigation Replacement </v>
      </c>
      <c r="C57" s="52">
        <f>'Bid Item List'!C69</f>
        <v>1</v>
      </c>
      <c r="D57" s="16" t="str">
        <f>'Bid Item List'!D69</f>
        <v>LS</v>
      </c>
      <c r="E57" s="22">
        <v>8500</v>
      </c>
      <c r="F57" s="23">
        <f t="shared" si="3"/>
        <v>8500</v>
      </c>
      <c r="G57" s="22">
        <v>6000</v>
      </c>
      <c r="H57" s="23">
        <f t="shared" si="4"/>
        <v>6000</v>
      </c>
      <c r="I57" s="22">
        <v>3000</v>
      </c>
      <c r="J57" s="23">
        <f t="shared" si="5"/>
        <v>3000</v>
      </c>
    </row>
    <row r="58" spans="1:10" ht="33" customHeight="1">
      <c r="A58" s="7" t="str">
        <f>'Bid Item List'!A70</f>
        <v>0051</v>
      </c>
      <c r="B58" s="51" t="str">
        <f>'Bid Item List'!B70</f>
        <v xml:space="preserve">3-Inch DR9 Pex Water Pipe </v>
      </c>
      <c r="C58" s="52">
        <f>'Bid Item List'!C70</f>
        <v>860</v>
      </c>
      <c r="D58" s="16" t="str">
        <f>'Bid Item List'!D70</f>
        <v>LF</v>
      </c>
      <c r="E58" s="22">
        <v>85</v>
      </c>
      <c r="F58" s="23">
        <f t="shared" si="3"/>
        <v>73100</v>
      </c>
      <c r="G58" s="22">
        <v>3.5</v>
      </c>
      <c r="H58" s="23">
        <f t="shared" si="4"/>
        <v>3010</v>
      </c>
      <c r="I58" s="22">
        <v>35</v>
      </c>
      <c r="J58" s="23">
        <f t="shared" si="5"/>
        <v>30100</v>
      </c>
    </row>
    <row r="59" spans="1:10" ht="33" customHeight="1">
      <c r="A59" s="7" t="str">
        <f>'Bid Item List'!A71</f>
        <v>0052</v>
      </c>
      <c r="B59" s="51" t="str">
        <f>'Bid Item List'!B71</f>
        <v xml:space="preserve">4-Inch DIP Water Pipe </v>
      </c>
      <c r="C59" s="52">
        <f>'Bid Item List'!C71</f>
        <v>1260</v>
      </c>
      <c r="D59" s="16" t="str">
        <f>'Bid Item List'!D71</f>
        <v>LF</v>
      </c>
      <c r="E59" s="22">
        <v>93</v>
      </c>
      <c r="F59" s="23">
        <f t="shared" si="3"/>
        <v>117180</v>
      </c>
      <c r="G59" s="22">
        <v>80</v>
      </c>
      <c r="H59" s="23">
        <f t="shared" si="4"/>
        <v>100800</v>
      </c>
      <c r="I59" s="22">
        <v>75</v>
      </c>
      <c r="J59" s="23">
        <f t="shared" si="5"/>
        <v>94500</v>
      </c>
    </row>
    <row r="60" spans="1:10" ht="33" customHeight="1">
      <c r="A60" s="7" t="str">
        <f>'Bid Item List'!A72</f>
        <v>0053</v>
      </c>
      <c r="B60" s="51" t="str">
        <f>'Bid Item List'!B72</f>
        <v xml:space="preserve">12-Inch DIP Water Pipe </v>
      </c>
      <c r="C60" s="52">
        <f>'Bid Item List'!C72</f>
        <v>110</v>
      </c>
      <c r="D60" s="16" t="str">
        <f>'Bid Item List'!D72</f>
        <v>LF</v>
      </c>
      <c r="E60" s="22">
        <v>172</v>
      </c>
      <c r="F60" s="23">
        <f t="shared" si="3"/>
        <v>18920</v>
      </c>
      <c r="G60" s="22">
        <v>100</v>
      </c>
      <c r="H60" s="23">
        <f t="shared" si="4"/>
        <v>11000</v>
      </c>
      <c r="I60" s="22">
        <v>270</v>
      </c>
      <c r="J60" s="23">
        <f t="shared" si="5"/>
        <v>29700</v>
      </c>
    </row>
    <row r="61" spans="1:10" ht="33" customHeight="1">
      <c r="A61" s="7" t="str">
        <f>'Bid Item List'!A73</f>
        <v>0054</v>
      </c>
      <c r="B61" s="51" t="str">
        <f>'Bid Item List'!B73</f>
        <v xml:space="preserve">16-Inch DIP Water Pipe </v>
      </c>
      <c r="C61" s="52">
        <f>'Bid Item List'!C73</f>
        <v>1800</v>
      </c>
      <c r="D61" s="16" t="str">
        <f>'Bid Item List'!D73</f>
        <v>LF</v>
      </c>
      <c r="E61" s="22">
        <v>188</v>
      </c>
      <c r="F61" s="23">
        <f t="shared" si="3"/>
        <v>338400</v>
      </c>
      <c r="G61" s="22">
        <v>175</v>
      </c>
      <c r="H61" s="23">
        <f t="shared" si="4"/>
        <v>315000</v>
      </c>
      <c r="I61" s="22">
        <v>270</v>
      </c>
      <c r="J61" s="23">
        <f t="shared" si="5"/>
        <v>486000</v>
      </c>
    </row>
    <row r="62" spans="1:10" ht="33" customHeight="1">
      <c r="A62" s="7" t="str">
        <f>'Bid Item List'!A74</f>
        <v>0055</v>
      </c>
      <c r="B62" s="51" t="str">
        <f>'Bid Item List'!B74</f>
        <v>4-Inch Reduced Pressure Backflow Assembly and Enclosure</v>
      </c>
      <c r="C62" s="33">
        <f>'Bid Item List'!C74</f>
        <v>1</v>
      </c>
      <c r="D62" s="16" t="str">
        <f>'Bid Item List'!D74</f>
        <v>LS</v>
      </c>
      <c r="E62" s="22">
        <v>16000</v>
      </c>
      <c r="F62" s="23">
        <f t="shared" si="3"/>
        <v>16000</v>
      </c>
      <c r="G62" s="22">
        <v>30000</v>
      </c>
      <c r="H62" s="23">
        <f t="shared" si="4"/>
        <v>30000</v>
      </c>
      <c r="I62" s="22">
        <v>11500</v>
      </c>
      <c r="J62" s="23">
        <f t="shared" si="5"/>
        <v>11500</v>
      </c>
    </row>
    <row r="63" spans="1:10" ht="33" customHeight="1">
      <c r="A63" s="7" t="str">
        <f>'Bid Item List'!A75</f>
        <v>0056</v>
      </c>
      <c r="B63" s="51" t="str">
        <f>'Bid Item List'!B75</f>
        <v>16-Inch Reduced Pressure Detector Assembly and Enclosure</v>
      </c>
      <c r="C63" s="33">
        <f>'Bid Item List'!C75</f>
        <v>1</v>
      </c>
      <c r="D63" s="16" t="str">
        <f>'Bid Item List'!D75</f>
        <v>LS</v>
      </c>
      <c r="E63" s="22">
        <v>125235</v>
      </c>
      <c r="F63" s="23">
        <f t="shared" ref="F63:F72" si="6">QTY*E63</f>
        <v>125235</v>
      </c>
      <c r="G63" s="22">
        <v>140000</v>
      </c>
      <c r="H63" s="23">
        <f t="shared" ref="H63:H72" si="7">QTY*G63</f>
        <v>140000</v>
      </c>
      <c r="I63" s="22">
        <v>80000</v>
      </c>
      <c r="J63" s="23">
        <f t="shared" ref="J63:J72" si="8">QTY*I63</f>
        <v>80000</v>
      </c>
    </row>
    <row r="64" spans="1:10" ht="33" customHeight="1">
      <c r="A64" s="7" t="str">
        <f>'Bid Item List'!A76</f>
        <v>0057</v>
      </c>
      <c r="B64" s="51" t="str">
        <f>'Bid Item List'!B76</f>
        <v>3-Inch Gate Valve</v>
      </c>
      <c r="C64" s="33">
        <f>'Bid Item List'!C76</f>
        <v>4</v>
      </c>
      <c r="D64" s="16" t="str">
        <f>'Bid Item List'!D76</f>
        <v>Each</v>
      </c>
      <c r="E64" s="22">
        <v>1045</v>
      </c>
      <c r="F64" s="23">
        <f t="shared" si="6"/>
        <v>4180</v>
      </c>
      <c r="G64" s="22">
        <v>6000</v>
      </c>
      <c r="H64" s="23">
        <f t="shared" si="7"/>
        <v>24000</v>
      </c>
      <c r="I64" s="22">
        <v>2000</v>
      </c>
      <c r="J64" s="23">
        <f t="shared" si="8"/>
        <v>8000</v>
      </c>
    </row>
    <row r="65" spans="1:10" ht="33" customHeight="1">
      <c r="A65" s="7" t="str">
        <f>'Bid Item List'!A77</f>
        <v>0058</v>
      </c>
      <c r="B65" s="51" t="str">
        <f>'Bid Item List'!B77</f>
        <v>4-Inch Gate Valve</v>
      </c>
      <c r="C65" s="33">
        <f>'Bid Item List'!C77</f>
        <v>1</v>
      </c>
      <c r="D65" s="16" t="str">
        <f>'Bid Item List'!D77</f>
        <v>Each</v>
      </c>
      <c r="E65" s="22">
        <v>1200</v>
      </c>
      <c r="F65" s="23">
        <f t="shared" si="6"/>
        <v>1200</v>
      </c>
      <c r="G65" s="22">
        <v>7500</v>
      </c>
      <c r="H65" s="23">
        <f t="shared" si="7"/>
        <v>7500</v>
      </c>
      <c r="I65" s="22">
        <v>2500</v>
      </c>
      <c r="J65" s="23">
        <f t="shared" si="8"/>
        <v>2500</v>
      </c>
    </row>
    <row r="66" spans="1:10" ht="33" customHeight="1">
      <c r="A66" s="7" t="str">
        <f>'Bid Item List'!A78</f>
        <v>0059</v>
      </c>
      <c r="B66" s="51" t="str">
        <f>'Bid Item List'!B78</f>
        <v>8-Inch Gate Valve</v>
      </c>
      <c r="C66" s="33">
        <f>'Bid Item List'!C78</f>
        <v>1</v>
      </c>
      <c r="D66" s="16" t="str">
        <f>'Bid Item List'!D78</f>
        <v>Each</v>
      </c>
      <c r="E66" s="22">
        <v>2150</v>
      </c>
      <c r="F66" s="23">
        <f t="shared" si="6"/>
        <v>2150</v>
      </c>
      <c r="G66" s="22">
        <v>3000</v>
      </c>
      <c r="H66" s="23">
        <f t="shared" si="7"/>
        <v>3000</v>
      </c>
      <c r="I66" s="22">
        <v>3500</v>
      </c>
      <c r="J66" s="23">
        <f t="shared" si="8"/>
        <v>3500</v>
      </c>
    </row>
    <row r="67" spans="1:10" ht="33" customHeight="1">
      <c r="A67" s="7" t="str">
        <f>'Bid Item List'!A79</f>
        <v>0060</v>
      </c>
      <c r="B67" s="51" t="str">
        <f>'Bid Item List'!B79</f>
        <v>16-Inch Butterfly Valve</v>
      </c>
      <c r="C67" s="33">
        <f>'Bid Item List'!C79</f>
        <v>2</v>
      </c>
      <c r="D67" s="16" t="str">
        <f>'Bid Item List'!D79</f>
        <v>Each</v>
      </c>
      <c r="E67" s="22">
        <v>5275</v>
      </c>
      <c r="F67" s="23">
        <f t="shared" si="6"/>
        <v>10550</v>
      </c>
      <c r="G67" s="22">
        <v>15000</v>
      </c>
      <c r="H67" s="23">
        <f t="shared" si="7"/>
        <v>30000</v>
      </c>
      <c r="I67" s="22">
        <v>4500</v>
      </c>
      <c r="J67" s="23">
        <f t="shared" si="8"/>
        <v>9000</v>
      </c>
    </row>
    <row r="68" spans="1:10" ht="33" customHeight="1">
      <c r="A68" s="7" t="str">
        <f>'Bid Item List'!A80</f>
        <v>0061</v>
      </c>
      <c r="B68" s="51" t="str">
        <f>'Bid Item List'!B80</f>
        <v xml:space="preserve">2-Inch Water Meter </v>
      </c>
      <c r="C68" s="33">
        <f>'Bid Item List'!C80</f>
        <v>2</v>
      </c>
      <c r="D68" s="16" t="str">
        <f>'Bid Item List'!D80</f>
        <v>Each</v>
      </c>
      <c r="E68" s="22">
        <v>6600</v>
      </c>
      <c r="F68" s="23">
        <f t="shared" si="6"/>
        <v>13200</v>
      </c>
      <c r="G68" s="22">
        <v>7500</v>
      </c>
      <c r="H68" s="23">
        <f t="shared" si="7"/>
        <v>15000</v>
      </c>
      <c r="I68" s="22">
        <v>3200</v>
      </c>
      <c r="J68" s="23">
        <f t="shared" si="8"/>
        <v>6400</v>
      </c>
    </row>
    <row r="69" spans="1:10" ht="33" customHeight="1">
      <c r="A69" s="7" t="str">
        <f>'Bid Item List'!A81</f>
        <v>0062</v>
      </c>
      <c r="B69" s="51" t="str">
        <f>'Bid Item List'!B81</f>
        <v xml:space="preserve">2-Inch Air Release Valve Assembly </v>
      </c>
      <c r="C69" s="33">
        <f>'Bid Item List'!C81</f>
        <v>4</v>
      </c>
      <c r="D69" s="16" t="str">
        <f>'Bid Item List'!D81</f>
        <v>Each</v>
      </c>
      <c r="E69" s="22">
        <v>3150</v>
      </c>
      <c r="F69" s="23">
        <f t="shared" si="6"/>
        <v>12600</v>
      </c>
      <c r="G69" s="22">
        <v>4500</v>
      </c>
      <c r="H69" s="23">
        <f t="shared" si="7"/>
        <v>18000</v>
      </c>
      <c r="I69" s="22">
        <v>2000</v>
      </c>
      <c r="J69" s="23">
        <f t="shared" si="8"/>
        <v>8000</v>
      </c>
    </row>
    <row r="70" spans="1:10" ht="33" customHeight="1">
      <c r="A70" s="7" t="str">
        <f>'Bid Item List'!A82</f>
        <v>0063</v>
      </c>
      <c r="B70" s="51" t="str">
        <f>'Bid Item List'!B82</f>
        <v xml:space="preserve">Central Water Meter Vault and Manifold </v>
      </c>
      <c r="C70" s="33">
        <f>'Bid Item List'!C82</f>
        <v>1</v>
      </c>
      <c r="D70" s="16" t="str">
        <f>'Bid Item List'!D82</f>
        <v>LS</v>
      </c>
      <c r="E70" s="22">
        <v>12500</v>
      </c>
      <c r="F70" s="23">
        <f t="shared" si="6"/>
        <v>12500</v>
      </c>
      <c r="G70" s="22">
        <v>14500</v>
      </c>
      <c r="H70" s="23">
        <f t="shared" si="7"/>
        <v>14500</v>
      </c>
      <c r="I70" s="22">
        <v>22500</v>
      </c>
      <c r="J70" s="23">
        <f t="shared" si="8"/>
        <v>22500</v>
      </c>
    </row>
    <row r="71" spans="1:10" ht="33" customHeight="1">
      <c r="A71" s="7" t="str">
        <f>'Bid Item List'!A83</f>
        <v>0064</v>
      </c>
      <c r="B71" s="51" t="str">
        <f>'Bid Item List'!B83</f>
        <v xml:space="preserve">Landside Utility Disconnections </v>
      </c>
      <c r="C71" s="33">
        <f>'Bid Item List'!C83</f>
        <v>7</v>
      </c>
      <c r="D71" s="16" t="str">
        <f>'Bid Item List'!D83</f>
        <v>Each</v>
      </c>
      <c r="E71" s="22">
        <v>235</v>
      </c>
      <c r="F71" s="23">
        <f t="shared" si="6"/>
        <v>1645</v>
      </c>
      <c r="G71" s="22">
        <v>1500</v>
      </c>
      <c r="H71" s="23">
        <f t="shared" si="7"/>
        <v>10500</v>
      </c>
      <c r="I71" s="22">
        <v>2500</v>
      </c>
      <c r="J71" s="23">
        <f t="shared" si="8"/>
        <v>17500</v>
      </c>
    </row>
    <row r="72" spans="1:10" ht="33" customHeight="1">
      <c r="A72" s="7" t="str">
        <f>'Bid Item List'!A84</f>
        <v>0065</v>
      </c>
      <c r="B72" s="51" t="str">
        <f>'Bid Item List'!B84</f>
        <v xml:space="preserve">Airfield Fire Water Disconnection </v>
      </c>
      <c r="C72" s="33">
        <f>'Bid Item List'!C84</f>
        <v>1</v>
      </c>
      <c r="D72" s="16" t="str">
        <f>'Bid Item List'!D84</f>
        <v>LS</v>
      </c>
      <c r="E72" s="22">
        <v>44000</v>
      </c>
      <c r="F72" s="23">
        <f t="shared" si="6"/>
        <v>44000</v>
      </c>
      <c r="G72" s="22">
        <v>4500</v>
      </c>
      <c r="H72" s="23">
        <f t="shared" si="7"/>
        <v>4500</v>
      </c>
      <c r="I72" s="22">
        <v>35000</v>
      </c>
      <c r="J72" s="23">
        <f t="shared" si="8"/>
        <v>35000</v>
      </c>
    </row>
    <row r="73" spans="1:10" ht="33" customHeight="1">
      <c r="A73" s="7" t="str">
        <f>'Bid Item List'!A85</f>
        <v>0066</v>
      </c>
      <c r="B73" s="51" t="str">
        <f>'Bid Item List'!B85</f>
        <v>Fire Hydrant Assembly</v>
      </c>
      <c r="C73" s="33">
        <f>'Bid Item List'!C85</f>
        <v>6</v>
      </c>
      <c r="D73" s="16" t="str">
        <f>'Bid Item List'!D85</f>
        <v>Each</v>
      </c>
      <c r="E73" s="22">
        <v>9700</v>
      </c>
      <c r="F73" s="23">
        <f t="shared" si="3"/>
        <v>58200</v>
      </c>
      <c r="G73" s="22">
        <v>12500</v>
      </c>
      <c r="H73" s="23">
        <f t="shared" si="4"/>
        <v>75000</v>
      </c>
      <c r="I73" s="22">
        <v>7500</v>
      </c>
      <c r="J73" s="23">
        <f t="shared" si="5"/>
        <v>45000</v>
      </c>
    </row>
    <row r="74" spans="1:10" ht="33" customHeight="1">
      <c r="A74" s="7" t="str">
        <f>'Bid Item List'!A86</f>
        <v>0067</v>
      </c>
      <c r="B74" s="51" t="str">
        <f>'Bid Item List'!B86</f>
        <v>Manhole and Catch Basin Adjustment</v>
      </c>
      <c r="C74" s="33">
        <f>'Bid Item List'!C86</f>
        <v>5</v>
      </c>
      <c r="D74" s="16" t="str">
        <f>'Bid Item List'!D86</f>
        <v>Each</v>
      </c>
      <c r="E74" s="22">
        <v>1050</v>
      </c>
      <c r="F74" s="23">
        <f t="shared" si="3"/>
        <v>5250</v>
      </c>
      <c r="G74" s="22">
        <v>5000</v>
      </c>
      <c r="H74" s="23">
        <f t="shared" si="4"/>
        <v>25000</v>
      </c>
      <c r="I74" s="22">
        <v>1750</v>
      </c>
      <c r="J74" s="23">
        <f t="shared" si="5"/>
        <v>8750</v>
      </c>
    </row>
    <row r="75" spans="1:10" ht="27.75" customHeight="1">
      <c r="A75" s="8"/>
      <c r="B75" s="17" t="s">
        <v>156</v>
      </c>
      <c r="C75" s="34"/>
      <c r="D75" s="18"/>
      <c r="E75" s="24"/>
      <c r="F75" s="53">
        <f>SUM($F8:$F74)</f>
        <v>3002271</v>
      </c>
      <c r="G75" s="24"/>
      <c r="H75" s="53">
        <f>SUM($H8:$H74)</f>
        <v>2871075</v>
      </c>
      <c r="I75" s="24"/>
      <c r="J75" s="53">
        <f>SUM($J8:$J74)</f>
        <v>3120429.0987499999</v>
      </c>
    </row>
  </sheetData>
  <mergeCells count="9">
    <mergeCell ref="I1:J5"/>
    <mergeCell ref="A6:D6"/>
    <mergeCell ref="E1:F5"/>
    <mergeCell ref="G1:H5"/>
    <mergeCell ref="A1:D1"/>
    <mergeCell ref="A2:D2"/>
    <mergeCell ref="A3:D3"/>
    <mergeCell ref="A4:D4"/>
    <mergeCell ref="A5:D5"/>
  </mergeCells>
  <printOptions horizontalCentered="1"/>
  <pageMargins left="0.5" right="0.5" top="0.5" bottom="0.5" header="0.5" footer="0.5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theme="6" tint="-0.499984740745262"/>
  </sheetPr>
  <dimension ref="A1:B11"/>
  <sheetViews>
    <sheetView tabSelected="1" view="pageBreakPreview" zoomScaleNormal="75" zoomScaleSheetLayoutView="100" workbookViewId="0">
      <selection activeCell="A17" sqref="A17"/>
    </sheetView>
  </sheetViews>
  <sheetFormatPr defaultRowHeight="15"/>
  <cols>
    <col min="1" max="1" width="53.7109375" style="9" customWidth="1"/>
    <col min="2" max="2" width="27" style="43" customWidth="1"/>
  </cols>
  <sheetData>
    <row r="1" spans="1:2" ht="30" customHeight="1">
      <c r="A1" s="20" t="str">
        <f>ProjectLocation</f>
        <v>PORTLAND INTERNATIONAL AIRPORT</v>
      </c>
      <c r="B1" s="39"/>
    </row>
    <row r="2" spans="1:2" ht="15" customHeight="1">
      <c r="A2" s="21" t="str">
        <f>ProjectTitle</f>
        <v>OREGON AIR NATIONAL GUARD</v>
      </c>
      <c r="B2" s="40"/>
    </row>
    <row r="3" spans="1:2" ht="15" customHeight="1">
      <c r="A3" s="21" t="str">
        <f>ProjectTitle2</f>
        <v>REVERSION AREAS UTILITY SERVICES</v>
      </c>
      <c r="B3" s="40"/>
    </row>
    <row r="4" spans="1:2">
      <c r="A4" s="10" t="str">
        <f>EAN</f>
        <v>EAN 2021D001</v>
      </c>
      <c r="B4" s="40"/>
    </row>
    <row r="5" spans="1:2" ht="15" customHeight="1">
      <c r="A5" s="11" t="str">
        <f>SolicitationNo</f>
        <v>Solicitation No. 2022-10053</v>
      </c>
      <c r="B5" s="40"/>
    </row>
    <row r="6" spans="1:2" ht="15" customHeight="1">
      <c r="A6" s="12">
        <f ca="1">TODAY()</f>
        <v>45713</v>
      </c>
      <c r="B6" s="41"/>
    </row>
    <row r="7" spans="1:2" ht="33" customHeight="1">
      <c r="A7" s="13" t="s">
        <v>163</v>
      </c>
      <c r="B7" s="42" t="s">
        <v>21</v>
      </c>
    </row>
    <row r="8" spans="1:2" ht="33" customHeight="1">
      <c r="A8" s="14" t="str">
        <f>Contractor2</f>
        <v>Magnum Power LLC</v>
      </c>
      <c r="B8" s="44">
        <f>Total2</f>
        <v>2871075</v>
      </c>
    </row>
    <row r="9" spans="1:2" ht="33" customHeight="1">
      <c r="A9" s="14" t="str">
        <f>Contractor1</f>
        <v>Kodiak Pacific
Construction Co.</v>
      </c>
      <c r="B9" s="44" t="s">
        <v>164</v>
      </c>
    </row>
    <row r="10" spans="1:2" ht="33" customHeight="1">
      <c r="A10" s="54" t="str">
        <f>EngineerEstimate</f>
        <v>Engineer's Estimate</v>
      </c>
      <c r="B10" s="55">
        <f>TotalEE</f>
        <v>3120429.0987499999</v>
      </c>
    </row>
    <row r="11" spans="1:2">
      <c r="A11" s="45" t="s">
        <v>165</v>
      </c>
    </row>
  </sheetData>
  <sortState xmlns:xlrd2="http://schemas.microsoft.com/office/spreadsheetml/2017/richdata2" ref="A8:B9">
    <sortCondition ref="B8:B9"/>
  </sortState>
  <printOptions horizontalCentered="1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4C3FC360486C3449A5BF21A412D0E8B" ma:contentTypeVersion="3" ma:contentTypeDescription="Create a new document." ma:contentTypeScope="" ma:versionID="ae1734035da06489cee3bc010ff747fc">
  <xsd:schema xmlns:xsd="http://www.w3.org/2001/XMLSchema" xmlns:xs="http://www.w3.org/2001/XMLSchema" xmlns:p="http://schemas.microsoft.com/office/2006/metadata/properties" xmlns:ns2="149230f7-eaf4-416e-8d5c-5c6c61cbabe4" targetNamespace="http://schemas.microsoft.com/office/2006/metadata/properties" ma:root="true" ma:fieldsID="6046d4d5e893a6dcf2a15683580b6564" ns2:_="">
    <xsd:import namespace="149230f7-eaf4-416e-8d5c-5c6c61cbab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9230f7-eaf4-416e-8d5c-5c6c61cbab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E6B6915-7740-49F8-9E2A-78D9A7946057}"/>
</file>

<file path=customXml/itemProps2.xml><?xml version="1.0" encoding="utf-8"?>
<ds:datastoreItem xmlns:ds="http://schemas.openxmlformats.org/officeDocument/2006/customXml" ds:itemID="{E13F5B81-C8C1-4E5D-A69B-D2E40EBF1DAF}"/>
</file>

<file path=customXml/itemProps3.xml><?xml version="1.0" encoding="utf-8"?>
<ds:datastoreItem xmlns:ds="http://schemas.openxmlformats.org/officeDocument/2006/customXml" ds:itemID="{A72F705A-E302-452D-B014-4D7B4C94DA1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Port of Portland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Etta Goerl</dc:creator>
  <cp:keywords/>
  <dc:description/>
  <cp:lastModifiedBy>Coleman, Amanda</cp:lastModifiedBy>
  <cp:revision/>
  <dcterms:created xsi:type="dcterms:W3CDTF">2014-05-02T22:08:37Z</dcterms:created>
  <dcterms:modified xsi:type="dcterms:W3CDTF">2025-02-26T00:39:09Z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0x010100C4C3FC360486C3449A5BF21A412D0E8B</vt:lpwstr>
  </property>
</Properties>
</file>