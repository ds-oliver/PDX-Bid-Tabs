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POPFS\Eng-Spec\Pdx\24D\016\"/>
    </mc:Choice>
  </mc:AlternateContent>
  <xr:revisionPtr revIDLastSave="0" documentId="13_ncr:1_{00DCEE47-8513-474A-ABA6-5DCE37953203}" xr6:coauthVersionLast="47" xr6:coauthVersionMax="47" xr10:uidLastSave="{00000000-0000-0000-0000-000000000000}"/>
  <bookViews>
    <workbookView xWindow="-120" yWindow="-120" windowWidth="29040" windowHeight="15990" tabRatio="716" activeTab="1" xr2:uid="{00000000-000D-0000-FFFF-FFFF00000000}"/>
  </bookViews>
  <sheets>
    <sheet name="Bid Item List" sheetId="1" r:id="rId1"/>
    <sheet name="Bid Tabulation" sheetId="2" r:id="rId2"/>
    <sheet name="Summary" sheetId="5" r:id="rId3"/>
  </sheets>
  <definedNames>
    <definedName name="Contractor1">'Bid Tabulation'!$E$1</definedName>
    <definedName name="Contractor10">'Bid Tabulation'!$W$1</definedName>
    <definedName name="Contractor11">'Bid Tabulation'!$Y$1</definedName>
    <definedName name="Contractor2">'Bid Tabulation'!$G$1</definedName>
    <definedName name="Contractor3">'Bid Tabulation'!$I$1</definedName>
    <definedName name="Contractor3A">'Bid Tabulation'!#REF!</definedName>
    <definedName name="Contractor4">'Bid Tabulation'!$K$1</definedName>
    <definedName name="Contractor5">'Bid Tabulation'!$M$1</definedName>
    <definedName name="Contractor6">'Bid Tabulation'!$O$1</definedName>
    <definedName name="Contractor7">'Bid Tabulation'!$Q$1</definedName>
    <definedName name="Contractor8">'Bid Tabulation'!$S$1</definedName>
    <definedName name="Contractor9">'Bid Tabulation'!$U$1</definedName>
    <definedName name="EAN">'Bid Tabulation'!$A$4</definedName>
    <definedName name="EngineerEstimate">'Bid Tabulation'!$AA$1</definedName>
    <definedName name="_xlnm.Print_Area" localSheetId="0">'Bid Item List'!$A$14:$F$54</definedName>
    <definedName name="_xlnm.Print_Area" localSheetId="2">Summary!$A$1:$B$20</definedName>
    <definedName name="_xlnm.Print_Titles" localSheetId="0">'Bid Item List'!$14:$19</definedName>
    <definedName name="_xlnm.Print_Titles" localSheetId="1">'Bid Tabulation'!$A:$D,'Bid Tabulation'!$1:$7</definedName>
    <definedName name="ProjectLocation">'Bid Item List'!$A$15</definedName>
    <definedName name="ProjectTitle">'Bid Item List'!$A$16</definedName>
    <definedName name="ProjectTitle2">'Bid Item List'!$A$17</definedName>
    <definedName name="QTY">'Bid Tabulation'!$C:$C</definedName>
    <definedName name="SolicitationNo">'Bid Tabulation'!$A$5</definedName>
    <definedName name="Total1">'Bid Tabulation'!$F$42</definedName>
    <definedName name="Total2">'Bid Tabulation'!$H$42</definedName>
    <definedName name="Total3">'Bid Tabulation'!$J$42</definedName>
    <definedName name="Total3A">'Bid Tabulation'!#REF!</definedName>
    <definedName name="Total4">'Bid Tabulation'!$L$42</definedName>
    <definedName name="Total5">'Bid Tabulation'!$N$42</definedName>
    <definedName name="Total6">'Bid Tabulation'!$P$42</definedName>
    <definedName name="Total7">'Bid Tabulation'!$R$42</definedName>
    <definedName name="Total8">'Bid Tabulation'!$T$42</definedName>
    <definedName name="TotalEE">'Bid Tabulation'!$AB$42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5" l="1"/>
  <c r="B8" i="5"/>
  <c r="B10" i="5"/>
  <c r="A9" i="5"/>
  <c r="A8" i="5"/>
  <c r="A10" i="5"/>
  <c r="A12" i="5"/>
  <c r="A16" i="5"/>
  <c r="A13" i="5"/>
  <c r="A11" i="5"/>
  <c r="A18" i="5"/>
  <c r="A15" i="5"/>
  <c r="A17" i="5"/>
  <c r="X42" i="2"/>
  <c r="V42" i="2"/>
  <c r="X41" i="2"/>
  <c r="V41" i="2"/>
  <c r="Z40" i="2"/>
  <c r="X39" i="2"/>
  <c r="Z38" i="2"/>
  <c r="X38" i="2"/>
  <c r="V38" i="2"/>
  <c r="X37" i="2"/>
  <c r="V37" i="2"/>
  <c r="Z36" i="2"/>
  <c r="X35" i="2"/>
  <c r="Z34" i="2"/>
  <c r="X34" i="2"/>
  <c r="V34" i="2"/>
  <c r="X33" i="2"/>
  <c r="V33" i="2"/>
  <c r="Z32" i="2"/>
  <c r="X31" i="2"/>
  <c r="Z30" i="2"/>
  <c r="X30" i="2"/>
  <c r="V30" i="2"/>
  <c r="X29" i="2"/>
  <c r="V29" i="2"/>
  <c r="Z28" i="2"/>
  <c r="X27" i="2"/>
  <c r="Z26" i="2"/>
  <c r="X26" i="2"/>
  <c r="V26" i="2"/>
  <c r="X25" i="2"/>
  <c r="V25" i="2"/>
  <c r="Z24" i="2"/>
  <c r="X23" i="2"/>
  <c r="Z22" i="2"/>
  <c r="X22" i="2"/>
  <c r="V22" i="2"/>
  <c r="X21" i="2"/>
  <c r="V21" i="2"/>
  <c r="Z20" i="2"/>
  <c r="X19" i="2"/>
  <c r="Z18" i="2"/>
  <c r="X18" i="2"/>
  <c r="V18" i="2"/>
  <c r="X17" i="2"/>
  <c r="V17" i="2"/>
  <c r="Z16" i="2"/>
  <c r="X15" i="2"/>
  <c r="Z14" i="2"/>
  <c r="X14" i="2"/>
  <c r="V14" i="2"/>
  <c r="X13" i="2"/>
  <c r="V13" i="2"/>
  <c r="Z12" i="2"/>
  <c r="X11" i="2"/>
  <c r="Z10" i="2"/>
  <c r="X10" i="2"/>
  <c r="V10" i="2"/>
  <c r="X9" i="2"/>
  <c r="V9" i="2"/>
  <c r="A9" i="2"/>
  <c r="B9" i="2"/>
  <c r="C9" i="2"/>
  <c r="Z9" i="2" s="1"/>
  <c r="D9" i="2"/>
  <c r="A10" i="2"/>
  <c r="B10" i="2"/>
  <c r="C10" i="2"/>
  <c r="D10" i="2"/>
  <c r="A11" i="2"/>
  <c r="B11" i="2"/>
  <c r="C11" i="2"/>
  <c r="Z11" i="2" s="1"/>
  <c r="D11" i="2"/>
  <c r="A12" i="2"/>
  <c r="B12" i="2"/>
  <c r="C12" i="2"/>
  <c r="X12" i="2" s="1"/>
  <c r="D12" i="2"/>
  <c r="A13" i="2"/>
  <c r="B13" i="2"/>
  <c r="C13" i="2"/>
  <c r="Z13" i="2" s="1"/>
  <c r="D13" i="2"/>
  <c r="A14" i="2"/>
  <c r="B14" i="2"/>
  <c r="C14" i="2"/>
  <c r="D14" i="2"/>
  <c r="A15" i="2"/>
  <c r="B15" i="2"/>
  <c r="C15" i="2"/>
  <c r="Z15" i="2" s="1"/>
  <c r="D15" i="2"/>
  <c r="A16" i="2"/>
  <c r="B16" i="2"/>
  <c r="C16" i="2"/>
  <c r="X16" i="2" s="1"/>
  <c r="D16" i="2"/>
  <c r="A17" i="2"/>
  <c r="B17" i="2"/>
  <c r="C17" i="2"/>
  <c r="Z17" i="2" s="1"/>
  <c r="D17" i="2"/>
  <c r="A18" i="2"/>
  <c r="B18" i="2"/>
  <c r="C18" i="2"/>
  <c r="D18" i="2"/>
  <c r="A19" i="2"/>
  <c r="B19" i="2"/>
  <c r="C19" i="2"/>
  <c r="Z19" i="2" s="1"/>
  <c r="D19" i="2"/>
  <c r="A20" i="2"/>
  <c r="B20" i="2"/>
  <c r="C20" i="2"/>
  <c r="X20" i="2" s="1"/>
  <c r="D20" i="2"/>
  <c r="A21" i="2"/>
  <c r="B21" i="2"/>
  <c r="C21" i="2"/>
  <c r="Z21" i="2" s="1"/>
  <c r="D21" i="2"/>
  <c r="A22" i="2"/>
  <c r="B22" i="2"/>
  <c r="C22" i="2"/>
  <c r="D22" i="2"/>
  <c r="A23" i="2"/>
  <c r="B23" i="2"/>
  <c r="C23" i="2"/>
  <c r="Z23" i="2" s="1"/>
  <c r="D23" i="2"/>
  <c r="A24" i="2"/>
  <c r="B24" i="2"/>
  <c r="C24" i="2"/>
  <c r="X24" i="2" s="1"/>
  <c r="D24" i="2"/>
  <c r="A25" i="2"/>
  <c r="B25" i="2"/>
  <c r="C25" i="2"/>
  <c r="Z25" i="2" s="1"/>
  <c r="D25" i="2"/>
  <c r="A26" i="2"/>
  <c r="B26" i="2"/>
  <c r="C26" i="2"/>
  <c r="D26" i="2"/>
  <c r="A27" i="2"/>
  <c r="B27" i="2"/>
  <c r="C27" i="2"/>
  <c r="Z27" i="2" s="1"/>
  <c r="D27" i="2"/>
  <c r="A28" i="2"/>
  <c r="B28" i="2"/>
  <c r="C28" i="2"/>
  <c r="X28" i="2" s="1"/>
  <c r="D28" i="2"/>
  <c r="A29" i="2"/>
  <c r="B29" i="2"/>
  <c r="C29" i="2"/>
  <c r="Z29" i="2" s="1"/>
  <c r="D29" i="2"/>
  <c r="A30" i="2"/>
  <c r="B30" i="2"/>
  <c r="C30" i="2"/>
  <c r="D30" i="2"/>
  <c r="A31" i="2"/>
  <c r="B31" i="2"/>
  <c r="C31" i="2"/>
  <c r="Z31" i="2" s="1"/>
  <c r="D31" i="2"/>
  <c r="A32" i="2"/>
  <c r="B32" i="2"/>
  <c r="C32" i="2"/>
  <c r="X32" i="2" s="1"/>
  <c r="D32" i="2"/>
  <c r="A33" i="2"/>
  <c r="B33" i="2"/>
  <c r="C33" i="2"/>
  <c r="Z33" i="2" s="1"/>
  <c r="D33" i="2"/>
  <c r="A34" i="2"/>
  <c r="B34" i="2"/>
  <c r="C34" i="2"/>
  <c r="D34" i="2"/>
  <c r="A35" i="2"/>
  <c r="B35" i="2"/>
  <c r="C35" i="2"/>
  <c r="Z35" i="2" s="1"/>
  <c r="D35" i="2"/>
  <c r="A36" i="2"/>
  <c r="B36" i="2"/>
  <c r="C36" i="2"/>
  <c r="X36" i="2" s="1"/>
  <c r="D36" i="2"/>
  <c r="A37" i="2"/>
  <c r="B37" i="2"/>
  <c r="C37" i="2"/>
  <c r="Z37" i="2" s="1"/>
  <c r="D37" i="2"/>
  <c r="A38" i="2"/>
  <c r="B38" i="2"/>
  <c r="C38" i="2"/>
  <c r="D38" i="2"/>
  <c r="A39" i="2"/>
  <c r="B39" i="2"/>
  <c r="C39" i="2"/>
  <c r="Z39" i="2" s="1"/>
  <c r="D39" i="2"/>
  <c r="A40" i="2"/>
  <c r="B40" i="2"/>
  <c r="C40" i="2"/>
  <c r="X40" i="2" s="1"/>
  <c r="D40" i="2"/>
  <c r="A41" i="2"/>
  <c r="B41" i="2"/>
  <c r="C41" i="2"/>
  <c r="Z41" i="2" s="1"/>
  <c r="D41" i="2"/>
  <c r="AB22" i="2"/>
  <c r="T22" i="2"/>
  <c r="R22" i="2"/>
  <c r="P22" i="2"/>
  <c r="N22" i="2"/>
  <c r="L22" i="2"/>
  <c r="J22" i="2"/>
  <c r="H22" i="2"/>
  <c r="F22" i="2"/>
  <c r="V11" i="2" l="1"/>
  <c r="V15" i="2"/>
  <c r="V19" i="2"/>
  <c r="V23" i="2"/>
  <c r="V27" i="2"/>
  <c r="V31" i="2"/>
  <c r="V35" i="2"/>
  <c r="V39" i="2"/>
  <c r="V12" i="2"/>
  <c r="V16" i="2"/>
  <c r="V20" i="2"/>
  <c r="V24" i="2"/>
  <c r="V28" i="2"/>
  <c r="V32" i="2"/>
  <c r="V36" i="2"/>
  <c r="V40" i="2"/>
  <c r="H17" i="2"/>
  <c r="L18" i="2"/>
  <c r="L19" i="2"/>
  <c r="L20" i="2"/>
  <c r="L21" i="2"/>
  <c r="F23" i="2"/>
  <c r="L24" i="2"/>
  <c r="L25" i="2"/>
  <c r="N26" i="2"/>
  <c r="F27" i="2"/>
  <c r="H29" i="2"/>
  <c r="H30" i="2"/>
  <c r="F31" i="2"/>
  <c r="L32" i="2"/>
  <c r="J33" i="2"/>
  <c r="H34" i="2"/>
  <c r="F35" i="2"/>
  <c r="H37" i="2"/>
  <c r="H38" i="2"/>
  <c r="F39" i="2"/>
  <c r="L40" i="2"/>
  <c r="J41" i="2"/>
  <c r="P24" i="2" l="1"/>
  <c r="J24" i="2"/>
  <c r="T39" i="2"/>
  <c r="P19" i="2"/>
  <c r="T34" i="2"/>
  <c r="AB20" i="2"/>
  <c r="AB17" i="2"/>
  <c r="L34" i="2"/>
  <c r="L17" i="2"/>
  <c r="N39" i="2"/>
  <c r="AB39" i="2"/>
  <c r="AB35" i="2"/>
  <c r="R24" i="2"/>
  <c r="F24" i="2"/>
  <c r="P17" i="2"/>
  <c r="R41" i="2"/>
  <c r="L39" i="2"/>
  <c r="AB24" i="2"/>
  <c r="H24" i="2"/>
  <c r="P35" i="2"/>
  <c r="R31" i="2"/>
  <c r="L23" i="2"/>
  <c r="N20" i="2"/>
  <c r="T17" i="2"/>
  <c r="F17" i="2"/>
  <c r="N35" i="2"/>
  <c r="L29" i="2"/>
  <c r="J20" i="2"/>
  <c r="R17" i="2"/>
  <c r="L37" i="2"/>
  <c r="T29" i="2"/>
  <c r="F29" i="2"/>
  <c r="J17" i="2"/>
  <c r="N34" i="2"/>
  <c r="R29" i="2"/>
  <c r="J29" i="2"/>
  <c r="AB37" i="2"/>
  <c r="L31" i="2"/>
  <c r="R37" i="2"/>
  <c r="T31" i="2"/>
  <c r="AB30" i="2"/>
  <c r="J27" i="2"/>
  <c r="R23" i="2"/>
  <c r="J37" i="2"/>
  <c r="J23" i="2"/>
  <c r="T37" i="2"/>
  <c r="F37" i="2"/>
  <c r="AB34" i="2"/>
  <c r="R32" i="2"/>
  <c r="J31" i="2"/>
  <c r="P29" i="2"/>
  <c r="R27" i="2"/>
  <c r="T23" i="2"/>
  <c r="H23" i="2"/>
  <c r="N17" i="2"/>
  <c r="AB38" i="2"/>
  <c r="T35" i="2"/>
  <c r="L35" i="2"/>
  <c r="R34" i="2"/>
  <c r="J34" i="2"/>
  <c r="N30" i="2"/>
  <c r="J25" i="2"/>
  <c r="N24" i="2"/>
  <c r="P23" i="2"/>
  <c r="R20" i="2"/>
  <c r="H20" i="2"/>
  <c r="R35" i="2"/>
  <c r="J35" i="2"/>
  <c r="P34" i="2"/>
  <c r="F34" i="2"/>
  <c r="L30" i="2"/>
  <c r="L27" i="2"/>
  <c r="P20" i="2"/>
  <c r="F20" i="2"/>
  <c r="R25" i="2"/>
  <c r="R40" i="2"/>
  <c r="R39" i="2"/>
  <c r="J39" i="2"/>
  <c r="L38" i="2"/>
  <c r="N37" i="2"/>
  <c r="J32" i="2"/>
  <c r="P31" i="2"/>
  <c r="H31" i="2"/>
  <c r="AB29" i="2"/>
  <c r="N29" i="2"/>
  <c r="T27" i="2"/>
  <c r="AB26" i="2"/>
  <c r="J19" i="2"/>
  <c r="J40" i="2"/>
  <c r="P39" i="2"/>
  <c r="H39" i="2"/>
  <c r="AB31" i="2"/>
  <c r="N31" i="2"/>
  <c r="H19" i="2"/>
  <c r="N38" i="2"/>
  <c r="H41" i="2"/>
  <c r="P41" i="2"/>
  <c r="L41" i="2"/>
  <c r="T41" i="2"/>
  <c r="F41" i="2"/>
  <c r="N41" i="2"/>
  <c r="AB41" i="2"/>
  <c r="L36" i="2"/>
  <c r="R36" i="2"/>
  <c r="J36" i="2"/>
  <c r="H26" i="2"/>
  <c r="J26" i="2"/>
  <c r="T26" i="2"/>
  <c r="P26" i="2"/>
  <c r="F26" i="2"/>
  <c r="R26" i="2"/>
  <c r="H33" i="2"/>
  <c r="P33" i="2"/>
  <c r="L33" i="2"/>
  <c r="T33" i="2"/>
  <c r="F33" i="2"/>
  <c r="N33" i="2"/>
  <c r="AB33" i="2"/>
  <c r="R33" i="2"/>
  <c r="L28" i="2"/>
  <c r="R28" i="2"/>
  <c r="J28" i="2"/>
  <c r="T38" i="2"/>
  <c r="J38" i="2"/>
  <c r="T30" i="2"/>
  <c r="J30" i="2"/>
  <c r="P27" i="2"/>
  <c r="H27" i="2"/>
  <c r="T24" i="2"/>
  <c r="AB23" i="2"/>
  <c r="N23" i="2"/>
  <c r="R21" i="2"/>
  <c r="T20" i="2"/>
  <c r="R19" i="2"/>
  <c r="R18" i="2"/>
  <c r="R38" i="2"/>
  <c r="F38" i="2"/>
  <c r="P37" i="2"/>
  <c r="R30" i="2"/>
  <c r="F30" i="2"/>
  <c r="AB27" i="2"/>
  <c r="N27" i="2"/>
  <c r="J21" i="2"/>
  <c r="J18" i="2"/>
  <c r="P40" i="2"/>
  <c r="H40" i="2"/>
  <c r="P36" i="2"/>
  <c r="H36" i="2"/>
  <c r="P32" i="2"/>
  <c r="H32" i="2"/>
  <c r="P28" i="2"/>
  <c r="H28" i="2"/>
  <c r="L26" i="2"/>
  <c r="P25" i="2"/>
  <c r="H25" i="2"/>
  <c r="P21" i="2"/>
  <c r="H21" i="2"/>
  <c r="AB19" i="2"/>
  <c r="N19" i="2"/>
  <c r="F19" i="2"/>
  <c r="P18" i="2"/>
  <c r="H18" i="2"/>
  <c r="AB40" i="2"/>
  <c r="N40" i="2"/>
  <c r="F40" i="2"/>
  <c r="AB36" i="2"/>
  <c r="N36" i="2"/>
  <c r="F36" i="2"/>
  <c r="H35" i="2"/>
  <c r="AB32" i="2"/>
  <c r="N32" i="2"/>
  <c r="F32" i="2"/>
  <c r="AB28" i="2"/>
  <c r="N28" i="2"/>
  <c r="F28" i="2"/>
  <c r="AB25" i="2"/>
  <c r="N25" i="2"/>
  <c r="F25" i="2"/>
  <c r="AB21" i="2"/>
  <c r="N21" i="2"/>
  <c r="F21" i="2"/>
  <c r="T19" i="2"/>
  <c r="AB18" i="2"/>
  <c r="N18" i="2"/>
  <c r="F18" i="2"/>
  <c r="T40" i="2"/>
  <c r="P38" i="2"/>
  <c r="T36" i="2"/>
  <c r="T32" i="2"/>
  <c r="P30" i="2"/>
  <c r="T28" i="2"/>
  <c r="T25" i="2"/>
  <c r="T21" i="2"/>
  <c r="T18" i="2"/>
  <c r="A5" i="5"/>
  <c r="A4" i="5"/>
  <c r="A3" i="5"/>
  <c r="A2" i="5"/>
  <c r="A1" i="5"/>
  <c r="A3" i="2"/>
  <c r="A2" i="2"/>
  <c r="A1" i="2"/>
  <c r="L16" i="2" l="1"/>
  <c r="T16" i="2"/>
  <c r="N16" i="2"/>
  <c r="AB16" i="2"/>
  <c r="P16" i="2"/>
  <c r="R16" i="2"/>
  <c r="P15" i="2"/>
  <c r="R15" i="2"/>
  <c r="L15" i="2"/>
  <c r="T15" i="2"/>
  <c r="N15" i="2"/>
  <c r="AB15" i="2"/>
  <c r="L14" i="2"/>
  <c r="T14" i="2"/>
  <c r="N14" i="2"/>
  <c r="AB14" i="2"/>
  <c r="P14" i="2"/>
  <c r="R14" i="2"/>
  <c r="P13" i="2"/>
  <c r="R13" i="2"/>
  <c r="L13" i="2"/>
  <c r="T13" i="2"/>
  <c r="N13" i="2"/>
  <c r="AB13" i="2"/>
  <c r="J16" i="2"/>
  <c r="H16" i="2"/>
  <c r="F16" i="2"/>
  <c r="H15" i="2"/>
  <c r="J15" i="2"/>
  <c r="F15" i="2"/>
  <c r="F14" i="2"/>
  <c r="H14" i="2"/>
  <c r="J14" i="2"/>
  <c r="F13" i="2"/>
  <c r="H13" i="2"/>
  <c r="J13" i="2"/>
  <c r="A19" i="5"/>
  <c r="A14" i="5"/>
  <c r="A6" i="5" l="1"/>
  <c r="D8" i="2"/>
  <c r="C8" i="2"/>
  <c r="B8" i="2"/>
  <c r="A8" i="2"/>
  <c r="A6" i="2"/>
  <c r="Z8" i="2" l="1"/>
  <c r="Z42" i="2" s="1"/>
  <c r="X8" i="2"/>
  <c r="V8" i="2"/>
  <c r="P9" i="2"/>
  <c r="R9" i="2"/>
  <c r="L9" i="2"/>
  <c r="T9" i="2"/>
  <c r="N9" i="2"/>
  <c r="AB9" i="2"/>
  <c r="L12" i="2"/>
  <c r="T12" i="2"/>
  <c r="N12" i="2"/>
  <c r="AB12" i="2"/>
  <c r="P12" i="2"/>
  <c r="R12" i="2"/>
  <c r="P11" i="2"/>
  <c r="R11" i="2"/>
  <c r="L11" i="2"/>
  <c r="T11" i="2"/>
  <c r="N11" i="2"/>
  <c r="AB11" i="2"/>
  <c r="L10" i="2"/>
  <c r="T10" i="2"/>
  <c r="N10" i="2"/>
  <c r="AB10" i="2"/>
  <c r="P10" i="2"/>
  <c r="R10" i="2"/>
  <c r="L8" i="2"/>
  <c r="T8" i="2"/>
  <c r="N8" i="2"/>
  <c r="AB8" i="2"/>
  <c r="P8" i="2"/>
  <c r="R8" i="2"/>
  <c r="J8" i="2"/>
  <c r="F8" i="2"/>
  <c r="H8" i="2"/>
  <c r="J12" i="2"/>
  <c r="H12" i="2"/>
  <c r="F12" i="2"/>
  <c r="J11" i="2"/>
  <c r="H11" i="2"/>
  <c r="F11" i="2"/>
  <c r="F10" i="2"/>
  <c r="H10" i="2"/>
  <c r="J10" i="2"/>
  <c r="J9" i="2"/>
  <c r="H9" i="2"/>
  <c r="F9" i="2"/>
  <c r="N42" i="2" l="1"/>
  <c r="B11" i="5" s="1"/>
  <c r="T42" i="2"/>
  <c r="B17" i="5" s="1"/>
  <c r="H42" i="2"/>
  <c r="B12" i="5" s="1"/>
  <c r="L42" i="2"/>
  <c r="B13" i="5" s="1"/>
  <c r="F42" i="2"/>
  <c r="J42" i="2"/>
  <c r="R42" i="2"/>
  <c r="B15" i="5" s="1"/>
  <c r="P42" i="2"/>
  <c r="B18" i="5" s="1"/>
  <c r="AB42" i="2"/>
  <c r="B19" i="5" s="1"/>
</calcChain>
</file>

<file path=xl/sharedStrings.xml><?xml version="1.0" encoding="utf-8"?>
<sst xmlns="http://schemas.openxmlformats.org/spreadsheetml/2006/main" count="173" uniqueCount="109">
  <si>
    <t>Acre</t>
  </si>
  <si>
    <t>CY</t>
  </si>
  <si>
    <t>Each</t>
  </si>
  <si>
    <t>FT</t>
  </si>
  <si>
    <t>Gal</t>
  </si>
  <si>
    <t>Hour</t>
  </si>
  <si>
    <t>LB</t>
  </si>
  <si>
    <t>LF</t>
  </si>
  <si>
    <t>LS</t>
  </si>
  <si>
    <t>Mile</t>
  </si>
  <si>
    <t>SF</t>
  </si>
  <si>
    <t>SY</t>
  </si>
  <si>
    <t>Ton</t>
  </si>
  <si>
    <t>PORTLAND INTERNATIONAL AIRPORT</t>
  </si>
  <si>
    <t>BASIN 1 SUBAREA STORMWATER IMPROVEMENTS</t>
  </si>
  <si>
    <t>Item No.</t>
  </si>
  <si>
    <t>Item Description</t>
  </si>
  <si>
    <t>Estimated Quantity</t>
  </si>
  <si>
    <t xml:space="preserve">Units </t>
  </si>
  <si>
    <t>Unit Price</t>
  </si>
  <si>
    <t>Total Price</t>
  </si>
  <si>
    <t>0001</t>
  </si>
  <si>
    <t>Mobilization, Surveying, Cleanup, and Demobilization
(Section 012200)</t>
  </si>
  <si>
    <t>0002</t>
  </si>
  <si>
    <t>Sweeper
(Section 012200)</t>
  </si>
  <si>
    <t>0003</t>
  </si>
  <si>
    <t>Traffic Control
(Section 012200)</t>
  </si>
  <si>
    <t>0004</t>
  </si>
  <si>
    <t>Escort
(Section 012200)</t>
  </si>
  <si>
    <t>0005</t>
  </si>
  <si>
    <t xml:space="preserve">Clearing and Grubbing 
(Sections 012200 and 312000) </t>
  </si>
  <si>
    <t>0006</t>
  </si>
  <si>
    <t xml:space="preserve">Temporary Erosion and Sediment Control Measures 
(Sections 012200 and 015713) </t>
  </si>
  <si>
    <t>0007</t>
  </si>
  <si>
    <t xml:space="preserve">General Demolition 
(Sections 012200 and 024113) </t>
  </si>
  <si>
    <t>0008</t>
  </si>
  <si>
    <t>Pavement Removal and Disposal, 6-inch Depth  
(Sections 012200 and 024113)</t>
  </si>
  <si>
    <t>0009</t>
  </si>
  <si>
    <t>Contaminated Soil Removal and Haul  (Sections 012200 and 026100)</t>
  </si>
  <si>
    <t>0010</t>
  </si>
  <si>
    <t>Unsuitable Excavation and Disposal  (Sections 012200 and 312300)</t>
  </si>
  <si>
    <t>0011</t>
  </si>
  <si>
    <t>Trench Stabilization  
(Sections 012200 and 312300)</t>
  </si>
  <si>
    <t>0012</t>
  </si>
  <si>
    <t>0013</t>
  </si>
  <si>
    <t>0014</t>
  </si>
  <si>
    <t>0015</t>
  </si>
  <si>
    <t>Site Preparation   
(Sections 012200 and 320117)</t>
  </si>
  <si>
    <t>0016</t>
  </si>
  <si>
    <t>Aggregate Base Course
(Sections 012200 and 321123)</t>
  </si>
  <si>
    <t>0017</t>
  </si>
  <si>
    <t>Asphalt Concrete Pavement 
(Sections 012200 and 321200)</t>
  </si>
  <si>
    <t>0018</t>
  </si>
  <si>
    <t>Portland Cement Concrete Pavement 
(10-Inch Thick)  
(Sections 012200 and 321300)</t>
  </si>
  <si>
    <t>0019</t>
  </si>
  <si>
    <t xml:space="preserve">Seeding 
(Sections 012200 and 329219) </t>
  </si>
  <si>
    <t>0020</t>
  </si>
  <si>
    <t>Fill Material, Topsoil 
(Sections 012200, 312000, and 329113)</t>
  </si>
  <si>
    <t>0021</t>
  </si>
  <si>
    <t>8-Inch STS  
(Sections 012200 and 334100)</t>
  </si>
  <si>
    <t>0022</t>
  </si>
  <si>
    <t>12-Inch STS 
(Sections 012200 and 334100)</t>
  </si>
  <si>
    <t>0023</t>
  </si>
  <si>
    <t>18-Inch STS 
(Sections 012200 and 334100)</t>
  </si>
  <si>
    <t>0024</t>
  </si>
  <si>
    <t>36-Inch STS 
(Sections 012200 and 334100)</t>
  </si>
  <si>
    <t>0025</t>
  </si>
  <si>
    <t>48-Inch STS 
(Sections 012200 and 334100)</t>
  </si>
  <si>
    <t>0026</t>
  </si>
  <si>
    <t>Connection to Existing Drainage Structure (Sections 012200 and 334100)</t>
  </si>
  <si>
    <t>0027</t>
  </si>
  <si>
    <t>Abandon and Plug Storm Pipe 
(Sections 012200 and 334100)</t>
  </si>
  <si>
    <t>0028</t>
  </si>
  <si>
    <t>Abandon Existing Structure 
(Sections 012200 and 334100)</t>
  </si>
  <si>
    <t>0029</t>
  </si>
  <si>
    <t>Catch Basins/Inlets 
(Sections 012200 and 334100)</t>
  </si>
  <si>
    <t>0030</t>
  </si>
  <si>
    <t>48-Inch Manhole 
(Sections 012200 and 334100)</t>
  </si>
  <si>
    <t>0031</t>
  </si>
  <si>
    <t>72-Inch Manhole 
(Sections 012200 and 334100)</t>
  </si>
  <si>
    <t>0032</t>
  </si>
  <si>
    <t>120-Inch Manhole 
(Sections 012200 and 334100)</t>
  </si>
  <si>
    <t>0033</t>
  </si>
  <si>
    <t>Extra Manhole Depth (48-Inch) 
(Sections 012200 and 334100)</t>
  </si>
  <si>
    <t>0034</t>
  </si>
  <si>
    <t>Extra Manhole Depth (72-Inch) 
(Sections 012200 and 334100)</t>
  </si>
  <si>
    <t>Extra Manhole Depth (120-Inch) 
(Sections 012200 and 334100)</t>
  </si>
  <si>
    <t>Total Amount Bid (Basis of Award)</t>
  </si>
  <si>
    <t>$___________</t>
  </si>
  <si>
    <t>Engineer's Estimate</t>
  </si>
  <si>
    <t>Bidder</t>
  </si>
  <si>
    <r>
      <rPr>
        <sz val="10"/>
        <color rgb="FF000000"/>
        <rFont val="Arial"/>
        <family val="2"/>
      </rPr>
      <t>Embankment, Ditch   
(Sections 012200 and 312</t>
    </r>
    <r>
      <rPr>
        <sz val="10"/>
        <rFont val="Arial"/>
        <family val="2"/>
      </rPr>
      <t>0</t>
    </r>
    <r>
      <rPr>
        <sz val="10"/>
        <color rgb="FF000000"/>
        <rFont val="Arial"/>
        <family val="2"/>
      </rPr>
      <t>00)</t>
    </r>
  </si>
  <si>
    <r>
      <rPr>
        <sz val="10"/>
        <color rgb="FF000000"/>
        <rFont val="Arial"/>
        <family val="2"/>
      </rPr>
      <t>Repair Existing ARFF Cap 
(Sections 012200 and 3</t>
    </r>
    <r>
      <rPr>
        <sz val="10"/>
        <rFont val="Arial"/>
        <family val="2"/>
      </rPr>
      <t>12300</t>
    </r>
    <r>
      <rPr>
        <sz val="10"/>
        <color rgb="FF000000"/>
        <rFont val="Arial"/>
        <family val="2"/>
      </rPr>
      <t>)</t>
    </r>
  </si>
  <si>
    <t>EAN 2024D016</t>
  </si>
  <si>
    <t>Solicitation No. 2025-12724</t>
  </si>
  <si>
    <t>Apex Mechanical LLC</t>
  </si>
  <si>
    <t>Coffman Excavation</t>
  </si>
  <si>
    <t>Goodfellow Bros. LLC</t>
  </si>
  <si>
    <t>Interlaken, Inc.</t>
  </si>
  <si>
    <t>K&amp;E Excavating, Inc.</t>
  </si>
  <si>
    <t>Kerr Contractors 
Oregon, LLC</t>
  </si>
  <si>
    <t>Landis+Landis Construction, LLC</t>
  </si>
  <si>
    <t>MJ Hughes Construction</t>
  </si>
  <si>
    <t>Moore Excavation, Inc.</t>
  </si>
  <si>
    <t>Nutter Corporation</t>
  </si>
  <si>
    <t>Tapani Inc.</t>
  </si>
  <si>
    <t>$4,249,540.76*</t>
  </si>
  <si>
    <t>$4,508,106.50*</t>
  </si>
  <si>
    <t>*Corrected Bid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</si>
</sst>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4" formatCode="_(&quot;$&quot;* #,##0.00_);_(&quot;$&quot;* \(#,##0.00\);_(&quot;$&quot;* &quot;-&quot;??_);_(@_)"/>
    <numFmt numFmtId="164" formatCode="0.0"/>
    <numFmt numFmtId="165" formatCode="General;\–General;"/>
    <numFmt numFmtId="166" formatCode="&quot;$&quot;#,##0.00"/>
    <numFmt numFmtId="167" formatCode="#,##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8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 applyProtection="1">
      <protection hidden="1"/>
    </xf>
    <xf numFmtId="0" fontId="3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/>
    <xf numFmtId="0" fontId="5" fillId="0" borderId="1" xfId="0" applyFont="1" applyBorder="1"/>
    <xf numFmtId="0" fontId="3" fillId="0" borderId="5" xfId="0" applyFont="1" applyBorder="1" applyAlignment="1">
      <alignment horizontal="center" wrapText="1"/>
    </xf>
    <xf numFmtId="49" fontId="7" fillId="0" borderId="5" xfId="0" applyNumberFormat="1" applyFont="1" applyBorder="1" applyAlignment="1">
      <alignment horizontal="center" vertical="top"/>
    </xf>
    <xf numFmtId="0" fontId="3" fillId="0" borderId="5" xfId="0" applyFont="1" applyBorder="1"/>
    <xf numFmtId="0" fontId="0" fillId="0" borderId="0" xfId="0" applyAlignment="1">
      <alignment horizontal="left" vertical="center"/>
    </xf>
    <xf numFmtId="0" fontId="7" fillId="0" borderId="15" xfId="0" applyFont="1" applyBorder="1" applyAlignment="1">
      <alignment horizontal="left"/>
    </xf>
    <xf numFmtId="0" fontId="7" fillId="0" borderId="15" xfId="0" applyFont="1" applyBorder="1" applyAlignment="1">
      <alignment horizontal="left" vertical="center"/>
    </xf>
    <xf numFmtId="14" fontId="7" fillId="0" borderId="15" xfId="0" applyNumberFormat="1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165" fontId="3" fillId="0" borderId="5" xfId="0" applyNumberFormat="1" applyFont="1" applyBorder="1" applyAlignment="1">
      <alignment horizontal="center" wrapText="1"/>
    </xf>
    <xf numFmtId="165" fontId="7" fillId="0" borderId="5" xfId="0" applyNumberFormat="1" applyFont="1" applyBorder="1" applyAlignment="1">
      <alignment horizontal="center" vertical="top"/>
    </xf>
    <xf numFmtId="165" fontId="3" fillId="0" borderId="5" xfId="0" applyNumberFormat="1" applyFont="1" applyBorder="1" applyAlignment="1">
      <alignment horizontal="left" vertical="center"/>
    </xf>
    <xf numFmtId="165" fontId="3" fillId="0" borderId="5" xfId="0" applyNumberFormat="1" applyFont="1" applyBorder="1"/>
    <xf numFmtId="165" fontId="0" fillId="0" borderId="0" xfId="0" applyNumberFormat="1"/>
    <xf numFmtId="165" fontId="5" fillId="0" borderId="7" xfId="0" applyNumberFormat="1" applyFont="1" applyBorder="1" applyAlignment="1">
      <alignment horizontal="left"/>
    </xf>
    <xf numFmtId="165" fontId="5" fillId="0" borderId="15" xfId="0" applyNumberFormat="1" applyFont="1" applyBorder="1" applyAlignment="1">
      <alignment horizontal="left" vertical="center"/>
    </xf>
    <xf numFmtId="166" fontId="7" fillId="0" borderId="5" xfId="0" applyNumberFormat="1" applyFont="1" applyBorder="1" applyAlignment="1">
      <alignment horizontal="center" vertical="top"/>
    </xf>
    <xf numFmtId="166" fontId="7" fillId="0" borderId="5" xfId="1" applyNumberFormat="1" applyFont="1" applyBorder="1" applyAlignment="1">
      <alignment horizontal="center" vertical="top"/>
    </xf>
    <xf numFmtId="166" fontId="3" fillId="0" borderId="5" xfId="0" applyNumberFormat="1" applyFont="1" applyBorder="1"/>
    <xf numFmtId="2" fontId="0" fillId="0" borderId="0" xfId="0" applyNumberFormat="1"/>
    <xf numFmtId="2" fontId="3" fillId="0" borderId="1" xfId="0" applyNumberFormat="1" applyFont="1" applyBorder="1" applyAlignment="1">
      <alignment horizontal="center" wrapText="1"/>
    </xf>
    <xf numFmtId="2" fontId="4" fillId="0" borderId="1" xfId="0" applyNumberFormat="1" applyFont="1" applyBorder="1"/>
    <xf numFmtId="166" fontId="0" fillId="0" borderId="0" xfId="0" applyNumberFormat="1"/>
    <xf numFmtId="166" fontId="3" fillId="0" borderId="1" xfId="0" applyNumberFormat="1" applyFont="1" applyBorder="1" applyAlignment="1">
      <alignment horizontal="center" wrapText="1"/>
    </xf>
    <xf numFmtId="166" fontId="4" fillId="0" borderId="1" xfId="0" applyNumberFormat="1" applyFont="1" applyBorder="1" applyAlignment="1">
      <alignment horizontal="center" vertical="top"/>
    </xf>
    <xf numFmtId="166" fontId="4" fillId="0" borderId="1" xfId="0" applyNumberFormat="1" applyFont="1" applyBorder="1"/>
    <xf numFmtId="164" fontId="3" fillId="0" borderId="5" xfId="0" applyNumberFormat="1" applyFont="1" applyBorder="1" applyAlignment="1">
      <alignment horizontal="center" wrapText="1"/>
    </xf>
    <xf numFmtId="164" fontId="3" fillId="0" borderId="5" xfId="0" applyNumberFormat="1" applyFont="1" applyBorder="1"/>
    <xf numFmtId="164" fontId="0" fillId="0" borderId="0" xfId="0" applyNumberFormat="1"/>
    <xf numFmtId="166" fontId="0" fillId="0" borderId="12" xfId="0" applyNumberFormat="1" applyBorder="1"/>
    <xf numFmtId="166" fontId="0" fillId="0" borderId="13" xfId="0" applyNumberFormat="1" applyBorder="1"/>
    <xf numFmtId="166" fontId="3" fillId="0" borderId="5" xfId="0" applyNumberFormat="1" applyFont="1" applyBorder="1" applyAlignment="1">
      <alignment horizontal="center" wrapText="1"/>
    </xf>
    <xf numFmtId="44" fontId="0" fillId="0" borderId="7" xfId="0" applyNumberFormat="1" applyBorder="1" applyAlignment="1">
      <alignment horizontal="center" vertical="center"/>
    </xf>
    <xf numFmtId="44" fontId="0" fillId="0" borderId="15" xfId="0" applyNumberFormat="1" applyBorder="1" applyAlignment="1">
      <alignment horizontal="center" vertical="center"/>
    </xf>
    <xf numFmtId="44" fontId="0" fillId="0" borderId="16" xfId="0" applyNumberFormat="1" applyBorder="1" applyAlignment="1">
      <alignment horizontal="center" vertical="center"/>
    </xf>
    <xf numFmtId="44" fontId="5" fillId="0" borderId="5" xfId="0" applyNumberFormat="1" applyFont="1" applyBorder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166" fontId="4" fillId="0" borderId="5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top" wrapText="1"/>
    </xf>
    <xf numFmtId="4" fontId="4" fillId="0" borderId="1" xfId="0" applyNumberFormat="1" applyFont="1" applyBorder="1" applyAlignment="1">
      <alignment horizontal="center" vertical="top"/>
    </xf>
    <xf numFmtId="165" fontId="7" fillId="0" borderId="5" xfId="0" applyNumberFormat="1" applyFont="1" applyBorder="1" applyAlignment="1">
      <alignment horizontal="left" vertical="top" wrapText="1"/>
    </xf>
    <xf numFmtId="167" fontId="7" fillId="0" borderId="5" xfId="0" applyNumberFormat="1" applyFont="1" applyBorder="1" applyAlignment="1">
      <alignment horizontal="center" vertical="top"/>
    </xf>
    <xf numFmtId="166" fontId="3" fillId="0" borderId="5" xfId="0" applyNumberFormat="1" applyFont="1" applyBorder="1" applyAlignment="1">
      <alignment horizontal="center" vertical="center"/>
    </xf>
    <xf numFmtId="0" fontId="4" fillId="2" borderId="5" xfId="0" applyFont="1" applyFill="1" applyBorder="1" applyAlignment="1">
      <alignment horizontal="left" vertical="center"/>
    </xf>
    <xf numFmtId="166" fontId="4" fillId="2" borderId="5" xfId="0" applyNumberFormat="1" applyFont="1" applyFill="1" applyBorder="1" applyAlignment="1">
      <alignment horizontal="center" vertical="center"/>
    </xf>
    <xf numFmtId="166" fontId="5" fillId="0" borderId="2" xfId="0" applyNumberFormat="1" applyFont="1" applyBorder="1" applyAlignment="1">
      <alignment horizontal="center"/>
    </xf>
    <xf numFmtId="166" fontId="5" fillId="0" borderId="3" xfId="0" applyNumberFormat="1" applyFont="1" applyBorder="1" applyAlignment="1">
      <alignment horizontal="center"/>
    </xf>
    <xf numFmtId="166" fontId="5" fillId="0" borderId="4" xfId="0" applyNumberFormat="1" applyFont="1" applyBorder="1" applyAlignment="1">
      <alignment horizontal="center"/>
    </xf>
    <xf numFmtId="0" fontId="6" fillId="0" borderId="3" xfId="0" applyFont="1" applyBorder="1" applyAlignment="1" applyProtection="1">
      <alignment horizontal="left"/>
      <protection hidden="1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166" fontId="5" fillId="0" borderId="8" xfId="0" applyNumberFormat="1" applyFont="1" applyBorder="1" applyAlignment="1">
      <alignment horizontal="center" wrapText="1"/>
    </xf>
    <xf numFmtId="166" fontId="5" fillId="0" borderId="9" xfId="0" applyNumberFormat="1" applyFont="1" applyBorder="1" applyAlignment="1">
      <alignment horizontal="center" wrapText="1"/>
    </xf>
    <xf numFmtId="166" fontId="5" fillId="0" borderId="10" xfId="0" applyNumberFormat="1" applyFont="1" applyBorder="1" applyAlignment="1">
      <alignment horizontal="center" wrapText="1"/>
    </xf>
    <xf numFmtId="166" fontId="5" fillId="0" borderId="11" xfId="0" applyNumberFormat="1" applyFont="1" applyBorder="1" applyAlignment="1">
      <alignment horizontal="center" wrapText="1"/>
    </xf>
    <xf numFmtId="166" fontId="5" fillId="0" borderId="8" xfId="0" applyNumberFormat="1" applyFont="1" applyBorder="1" applyAlignment="1">
      <alignment horizontal="center"/>
    </xf>
    <xf numFmtId="166" fontId="5" fillId="0" borderId="9" xfId="0" applyNumberFormat="1" applyFont="1" applyBorder="1" applyAlignment="1">
      <alignment horizontal="center"/>
    </xf>
    <xf numFmtId="166" fontId="5" fillId="0" borderId="10" xfId="0" applyNumberFormat="1" applyFont="1" applyBorder="1" applyAlignment="1">
      <alignment horizontal="center"/>
    </xf>
    <xf numFmtId="166" fontId="5" fillId="0" borderId="11" xfId="0" applyNumberFormat="1" applyFont="1" applyBorder="1" applyAlignment="1">
      <alignment horizontal="center"/>
    </xf>
    <xf numFmtId="14" fontId="7" fillId="0" borderId="12" xfId="0" applyNumberFormat="1" applyFont="1" applyBorder="1" applyAlignment="1">
      <alignment horizontal="left" vertical="center"/>
    </xf>
    <xf numFmtId="14" fontId="7" fillId="0" borderId="6" xfId="0" applyNumberFormat="1" applyFont="1" applyBorder="1" applyAlignment="1">
      <alignment horizontal="left" vertical="center"/>
    </xf>
    <xf numFmtId="14" fontId="7" fillId="0" borderId="13" xfId="0" applyNumberFormat="1" applyFont="1" applyBorder="1" applyAlignment="1">
      <alignment horizontal="left" vertical="center"/>
    </xf>
    <xf numFmtId="165" fontId="5" fillId="0" borderId="8" xfId="0" applyNumberFormat="1" applyFont="1" applyBorder="1" applyAlignment="1">
      <alignment horizontal="left"/>
    </xf>
    <xf numFmtId="165" fontId="5" fillId="0" borderId="14" xfId="0" applyNumberFormat="1" applyFont="1" applyBorder="1" applyAlignment="1">
      <alignment horizontal="left"/>
    </xf>
    <xf numFmtId="165" fontId="5" fillId="0" borderId="9" xfId="0" applyNumberFormat="1" applyFont="1" applyBorder="1" applyAlignment="1">
      <alignment horizontal="left"/>
    </xf>
    <xf numFmtId="165" fontId="5" fillId="0" borderId="10" xfId="0" applyNumberFormat="1" applyFont="1" applyBorder="1" applyAlignment="1">
      <alignment horizontal="left" vertical="center"/>
    </xf>
    <xf numFmtId="165" fontId="5" fillId="0" borderId="0" xfId="0" applyNumberFormat="1" applyFont="1" applyAlignment="1">
      <alignment horizontal="left" vertical="center"/>
    </xf>
    <xf numFmtId="165" fontId="5" fillId="0" borderId="11" xfId="0" applyNumberFormat="1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8" fontId="4" fillId="0" borderId="5" xfId="0" applyNumberFormat="1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5" tint="-0.499984740745262"/>
  </sheetPr>
  <dimension ref="A1:F54"/>
  <sheetViews>
    <sheetView view="pageLayout" topLeftCell="A20" zoomScale="90" zoomScaleNormal="100" zoomScaleSheetLayoutView="100" zoomScalePageLayoutView="90" workbookViewId="0">
      <selection activeCell="B24" sqref="B24"/>
    </sheetView>
  </sheetViews>
  <sheetFormatPr defaultRowHeight="15" x14ac:dyDescent="0.25"/>
  <cols>
    <col min="1" max="1" width="6.5703125" customWidth="1"/>
    <col min="2" max="2" width="36.7109375" customWidth="1"/>
    <col min="3" max="3" width="10.7109375" style="27" customWidth="1"/>
    <col min="4" max="4" width="8.28515625" customWidth="1"/>
    <col min="5" max="6" width="13.28515625" style="30" customWidth="1"/>
  </cols>
  <sheetData>
    <row r="1" spans="1:6" hidden="1" x14ac:dyDescent="0.25">
      <c r="A1" s="1" t="s">
        <v>0</v>
      </c>
    </row>
    <row r="2" spans="1:6" hidden="1" x14ac:dyDescent="0.25">
      <c r="A2" s="1" t="s">
        <v>1</v>
      </c>
    </row>
    <row r="3" spans="1:6" hidden="1" x14ac:dyDescent="0.25">
      <c r="A3" s="1" t="s">
        <v>2</v>
      </c>
    </row>
    <row r="4" spans="1:6" hidden="1" x14ac:dyDescent="0.25">
      <c r="A4" s="1" t="s">
        <v>3</v>
      </c>
    </row>
    <row r="5" spans="1:6" hidden="1" x14ac:dyDescent="0.25">
      <c r="A5" s="1" t="s">
        <v>4</v>
      </c>
    </row>
    <row r="6" spans="1:6" hidden="1" x14ac:dyDescent="0.25">
      <c r="A6" s="1" t="s">
        <v>5</v>
      </c>
    </row>
    <row r="7" spans="1:6" hidden="1" x14ac:dyDescent="0.25">
      <c r="A7" s="1" t="s">
        <v>6</v>
      </c>
    </row>
    <row r="8" spans="1:6" hidden="1" x14ac:dyDescent="0.25">
      <c r="A8" s="1" t="s">
        <v>7</v>
      </c>
    </row>
    <row r="9" spans="1:6" hidden="1" x14ac:dyDescent="0.25">
      <c r="A9" s="1" t="s">
        <v>8</v>
      </c>
    </row>
    <row r="10" spans="1:6" hidden="1" x14ac:dyDescent="0.25">
      <c r="A10" s="1" t="s">
        <v>9</v>
      </c>
    </row>
    <row r="11" spans="1:6" hidden="1" x14ac:dyDescent="0.25">
      <c r="A11" s="1" t="s">
        <v>10</v>
      </c>
    </row>
    <row r="12" spans="1:6" hidden="1" x14ac:dyDescent="0.25">
      <c r="A12" s="1" t="s">
        <v>11</v>
      </c>
    </row>
    <row r="13" spans="1:6" hidden="1" x14ac:dyDescent="0.25">
      <c r="A13" s="1" t="s">
        <v>12</v>
      </c>
    </row>
    <row r="14" spans="1:6" x14ac:dyDescent="0.25">
      <c r="A14" s="60"/>
      <c r="B14" s="60"/>
      <c r="C14" s="60"/>
      <c r="D14" s="60"/>
      <c r="E14" s="54"/>
      <c r="F14" s="54"/>
    </row>
    <row r="15" spans="1:6" x14ac:dyDescent="0.25">
      <c r="A15" s="57" t="s">
        <v>13</v>
      </c>
      <c r="B15" s="57"/>
      <c r="C15" s="57"/>
      <c r="D15" s="57"/>
      <c r="E15" s="55"/>
      <c r="F15" s="55"/>
    </row>
    <row r="16" spans="1:6" x14ac:dyDescent="0.25">
      <c r="A16" s="57" t="s">
        <v>14</v>
      </c>
      <c r="B16" s="57"/>
      <c r="C16" s="57"/>
      <c r="D16" s="57"/>
      <c r="E16" s="55"/>
      <c r="F16" s="55"/>
    </row>
    <row r="17" spans="1:6" x14ac:dyDescent="0.25">
      <c r="A17" s="58"/>
      <c r="B17" s="58"/>
      <c r="C17" s="58"/>
      <c r="D17" s="58"/>
      <c r="E17" s="55"/>
      <c r="F17" s="55"/>
    </row>
    <row r="18" spans="1:6" x14ac:dyDescent="0.25">
      <c r="A18" s="59"/>
      <c r="B18" s="59"/>
      <c r="C18" s="59"/>
      <c r="D18" s="59"/>
      <c r="E18" s="56"/>
      <c r="F18" s="56"/>
    </row>
    <row r="19" spans="1:6" s="2" customFormat="1" ht="24" customHeight="1" x14ac:dyDescent="0.2">
      <c r="A19" s="3" t="s">
        <v>15</v>
      </c>
      <c r="B19" s="3" t="s">
        <v>16</v>
      </c>
      <c r="C19" s="28" t="s">
        <v>17</v>
      </c>
      <c r="D19" s="3" t="s">
        <v>18</v>
      </c>
      <c r="E19" s="31" t="s">
        <v>19</v>
      </c>
      <c r="F19" s="31" t="s">
        <v>20</v>
      </c>
    </row>
    <row r="20" spans="1:6" ht="40.5" customHeight="1" x14ac:dyDescent="0.25">
      <c r="A20" s="4" t="s">
        <v>21</v>
      </c>
      <c r="B20" s="47" t="s">
        <v>22</v>
      </c>
      <c r="C20" s="48">
        <v>1</v>
      </c>
      <c r="D20" s="5" t="s">
        <v>8</v>
      </c>
      <c r="E20" s="32"/>
      <c r="F20" s="32"/>
    </row>
    <row r="21" spans="1:6" ht="40.5" customHeight="1" x14ac:dyDescent="0.25">
      <c r="A21" s="4" t="s">
        <v>23</v>
      </c>
      <c r="B21" s="47" t="s">
        <v>24</v>
      </c>
      <c r="C21" s="48">
        <v>1</v>
      </c>
      <c r="D21" s="5" t="s">
        <v>8</v>
      </c>
      <c r="E21" s="32"/>
      <c r="F21" s="32"/>
    </row>
    <row r="22" spans="1:6" ht="40.5" customHeight="1" x14ac:dyDescent="0.25">
      <c r="A22" s="4" t="s">
        <v>25</v>
      </c>
      <c r="B22" s="47" t="s">
        <v>26</v>
      </c>
      <c r="C22" s="48">
        <v>1</v>
      </c>
      <c r="D22" s="5" t="s">
        <v>8</v>
      </c>
      <c r="E22" s="32"/>
      <c r="F22" s="32"/>
    </row>
    <row r="23" spans="1:6" ht="40.5" customHeight="1" x14ac:dyDescent="0.25">
      <c r="A23" s="4" t="s">
        <v>27</v>
      </c>
      <c r="B23" s="47" t="s">
        <v>28</v>
      </c>
      <c r="C23" s="48">
        <v>1</v>
      </c>
      <c r="D23" s="5" t="s">
        <v>8</v>
      </c>
      <c r="E23" s="32"/>
      <c r="F23" s="32"/>
    </row>
    <row r="24" spans="1:6" ht="40.5" customHeight="1" x14ac:dyDescent="0.25">
      <c r="A24" s="4" t="s">
        <v>29</v>
      </c>
      <c r="B24" s="47" t="s">
        <v>30</v>
      </c>
      <c r="C24" s="48">
        <v>1</v>
      </c>
      <c r="D24" s="5" t="s">
        <v>8</v>
      </c>
      <c r="E24" s="32"/>
      <c r="F24" s="32"/>
    </row>
    <row r="25" spans="1:6" ht="40.5" customHeight="1" x14ac:dyDescent="0.25">
      <c r="A25" s="4" t="s">
        <v>31</v>
      </c>
      <c r="B25" s="47" t="s">
        <v>32</v>
      </c>
      <c r="C25" s="48">
        <v>1</v>
      </c>
      <c r="D25" s="5" t="s">
        <v>8</v>
      </c>
      <c r="E25" s="32"/>
      <c r="F25" s="32"/>
    </row>
    <row r="26" spans="1:6" ht="40.5" customHeight="1" x14ac:dyDescent="0.25">
      <c r="A26" s="4" t="s">
        <v>33</v>
      </c>
      <c r="B26" s="47" t="s">
        <v>34</v>
      </c>
      <c r="C26" s="48">
        <v>1</v>
      </c>
      <c r="D26" s="5" t="s">
        <v>8</v>
      </c>
      <c r="E26" s="32"/>
      <c r="F26" s="32"/>
    </row>
    <row r="27" spans="1:6" ht="40.5" customHeight="1" x14ac:dyDescent="0.25">
      <c r="A27" s="4" t="s">
        <v>35</v>
      </c>
      <c r="B27" s="47" t="s">
        <v>36</v>
      </c>
      <c r="C27" s="48">
        <v>171</v>
      </c>
      <c r="D27" s="5" t="s">
        <v>1</v>
      </c>
      <c r="E27" s="32"/>
      <c r="F27" s="32"/>
    </row>
    <row r="28" spans="1:6" ht="40.5" customHeight="1" x14ac:dyDescent="0.25">
      <c r="A28" s="4" t="s">
        <v>37</v>
      </c>
      <c r="B28" s="47" t="s">
        <v>38</v>
      </c>
      <c r="C28" s="48">
        <v>3887</v>
      </c>
      <c r="D28" s="5" t="s">
        <v>12</v>
      </c>
      <c r="E28" s="32"/>
      <c r="F28" s="32"/>
    </row>
    <row r="29" spans="1:6" ht="40.5" customHeight="1" x14ac:dyDescent="0.25">
      <c r="A29" s="4" t="s">
        <v>39</v>
      </c>
      <c r="B29" s="47" t="s">
        <v>40</v>
      </c>
      <c r="C29" s="48">
        <v>200</v>
      </c>
      <c r="D29" s="5" t="s">
        <v>1</v>
      </c>
      <c r="E29" s="32"/>
      <c r="F29" s="32"/>
    </row>
    <row r="30" spans="1:6" ht="40.5" customHeight="1" x14ac:dyDescent="0.25">
      <c r="A30" s="4" t="s">
        <v>41</v>
      </c>
      <c r="B30" s="47" t="s">
        <v>42</v>
      </c>
      <c r="C30" s="48">
        <v>200</v>
      </c>
      <c r="D30" s="5" t="s">
        <v>1</v>
      </c>
      <c r="E30" s="32"/>
      <c r="F30" s="32"/>
    </row>
    <row r="31" spans="1:6" ht="40.5" customHeight="1" x14ac:dyDescent="0.25">
      <c r="A31" s="4" t="s">
        <v>43</v>
      </c>
      <c r="B31" s="47" t="s">
        <v>91</v>
      </c>
      <c r="C31" s="48">
        <v>2446.1</v>
      </c>
      <c r="D31" s="5" t="s">
        <v>1</v>
      </c>
      <c r="E31" s="32"/>
      <c r="F31" s="32"/>
    </row>
    <row r="32" spans="1:6" ht="40.5" customHeight="1" x14ac:dyDescent="0.25">
      <c r="A32" s="4" t="s">
        <v>44</v>
      </c>
      <c r="B32" s="47" t="s">
        <v>92</v>
      </c>
      <c r="C32" s="48">
        <v>342</v>
      </c>
      <c r="D32" s="5" t="s">
        <v>11</v>
      </c>
      <c r="E32" s="32"/>
      <c r="F32" s="32"/>
    </row>
    <row r="33" spans="1:6" ht="40.5" customHeight="1" x14ac:dyDescent="0.25">
      <c r="A33" s="4" t="s">
        <v>45</v>
      </c>
      <c r="B33" s="47" t="s">
        <v>47</v>
      </c>
      <c r="C33" s="48">
        <v>1</v>
      </c>
      <c r="D33" s="5" t="s">
        <v>8</v>
      </c>
      <c r="E33" s="32"/>
      <c r="F33" s="32"/>
    </row>
    <row r="34" spans="1:6" ht="40.5" customHeight="1" x14ac:dyDescent="0.25">
      <c r="A34" s="4" t="s">
        <v>46</v>
      </c>
      <c r="B34" s="47" t="s">
        <v>49</v>
      </c>
      <c r="C34" s="48">
        <v>612</v>
      </c>
      <c r="D34" s="5" t="s">
        <v>12</v>
      </c>
      <c r="E34" s="32"/>
      <c r="F34" s="32"/>
    </row>
    <row r="35" spans="1:6" ht="40.5" customHeight="1" x14ac:dyDescent="0.25">
      <c r="A35" s="4" t="s">
        <v>48</v>
      </c>
      <c r="B35" s="47" t="s">
        <v>51</v>
      </c>
      <c r="C35" s="48">
        <v>369</v>
      </c>
      <c r="D35" s="5" t="s">
        <v>12</v>
      </c>
      <c r="E35" s="32"/>
      <c r="F35" s="32"/>
    </row>
    <row r="36" spans="1:6" ht="40.5" customHeight="1" x14ac:dyDescent="0.25">
      <c r="A36" s="4" t="s">
        <v>50</v>
      </c>
      <c r="B36" s="47" t="s">
        <v>53</v>
      </c>
      <c r="C36" s="48">
        <v>23</v>
      </c>
      <c r="D36" s="5" t="s">
        <v>11</v>
      </c>
      <c r="E36" s="32"/>
      <c r="F36" s="32"/>
    </row>
    <row r="37" spans="1:6" ht="40.5" customHeight="1" x14ac:dyDescent="0.25">
      <c r="A37" s="4" t="s">
        <v>52</v>
      </c>
      <c r="B37" s="47" t="s">
        <v>55</v>
      </c>
      <c r="C37" s="48">
        <v>4</v>
      </c>
      <c r="D37" s="5" t="s">
        <v>0</v>
      </c>
      <c r="E37" s="32"/>
      <c r="F37" s="32"/>
    </row>
    <row r="38" spans="1:6" ht="40.5" customHeight="1" x14ac:dyDescent="0.25">
      <c r="A38" s="4" t="s">
        <v>54</v>
      </c>
      <c r="B38" s="47" t="s">
        <v>57</v>
      </c>
      <c r="C38" s="48">
        <v>2487</v>
      </c>
      <c r="D38" s="5" t="s">
        <v>1</v>
      </c>
      <c r="E38" s="32"/>
      <c r="F38" s="32"/>
    </row>
    <row r="39" spans="1:6" ht="40.5" customHeight="1" x14ac:dyDescent="0.25">
      <c r="A39" s="4" t="s">
        <v>56</v>
      </c>
      <c r="B39" s="47" t="s">
        <v>59</v>
      </c>
      <c r="C39" s="48">
        <v>153</v>
      </c>
      <c r="D39" s="5" t="s">
        <v>7</v>
      </c>
      <c r="E39" s="32"/>
      <c r="F39" s="32"/>
    </row>
    <row r="40" spans="1:6" ht="40.5" customHeight="1" x14ac:dyDescent="0.25">
      <c r="A40" s="4" t="s">
        <v>58</v>
      </c>
      <c r="B40" s="47" t="s">
        <v>61</v>
      </c>
      <c r="C40" s="48">
        <v>1426</v>
      </c>
      <c r="D40" s="5" t="s">
        <v>7</v>
      </c>
      <c r="E40" s="32"/>
      <c r="F40" s="32"/>
    </row>
    <row r="41" spans="1:6" ht="40.5" customHeight="1" x14ac:dyDescent="0.25">
      <c r="A41" s="4" t="s">
        <v>60</v>
      </c>
      <c r="B41" s="47" t="s">
        <v>63</v>
      </c>
      <c r="C41" s="48">
        <v>474</v>
      </c>
      <c r="D41" s="5" t="s">
        <v>7</v>
      </c>
      <c r="E41" s="32"/>
      <c r="F41" s="32"/>
    </row>
    <row r="42" spans="1:6" ht="40.5" customHeight="1" x14ac:dyDescent="0.25">
      <c r="A42" s="4" t="s">
        <v>62</v>
      </c>
      <c r="B42" s="47" t="s">
        <v>65</v>
      </c>
      <c r="C42" s="48">
        <v>1695</v>
      </c>
      <c r="D42" s="5" t="s">
        <v>7</v>
      </c>
      <c r="E42" s="32"/>
      <c r="F42" s="32"/>
    </row>
    <row r="43" spans="1:6" ht="40.5" customHeight="1" x14ac:dyDescent="0.25">
      <c r="A43" s="4" t="s">
        <v>64</v>
      </c>
      <c r="B43" s="47" t="s">
        <v>67</v>
      </c>
      <c r="C43" s="48">
        <v>896</v>
      </c>
      <c r="D43" s="5" t="s">
        <v>7</v>
      </c>
      <c r="E43" s="32"/>
      <c r="F43" s="32"/>
    </row>
    <row r="44" spans="1:6" ht="40.5" customHeight="1" x14ac:dyDescent="0.25">
      <c r="A44" s="4" t="s">
        <v>66</v>
      </c>
      <c r="B44" s="47" t="s">
        <v>69</v>
      </c>
      <c r="C44" s="48">
        <v>7</v>
      </c>
      <c r="D44" s="5" t="s">
        <v>2</v>
      </c>
      <c r="E44" s="32"/>
      <c r="F44" s="32"/>
    </row>
    <row r="45" spans="1:6" ht="40.5" customHeight="1" x14ac:dyDescent="0.25">
      <c r="A45" s="4" t="s">
        <v>68</v>
      </c>
      <c r="B45" s="47" t="s">
        <v>71</v>
      </c>
      <c r="C45" s="48">
        <v>4</v>
      </c>
      <c r="D45" s="5" t="s">
        <v>2</v>
      </c>
      <c r="E45" s="32"/>
      <c r="F45" s="32"/>
    </row>
    <row r="46" spans="1:6" ht="40.5" customHeight="1" x14ac:dyDescent="0.25">
      <c r="A46" s="4" t="s">
        <v>70</v>
      </c>
      <c r="B46" s="47" t="s">
        <v>73</v>
      </c>
      <c r="C46" s="48">
        <v>2</v>
      </c>
      <c r="D46" s="5" t="s">
        <v>2</v>
      </c>
      <c r="E46" s="32"/>
      <c r="F46" s="32"/>
    </row>
    <row r="47" spans="1:6" ht="40.5" customHeight="1" x14ac:dyDescent="0.25">
      <c r="A47" s="4" t="s">
        <v>72</v>
      </c>
      <c r="B47" s="47" t="s">
        <v>75</v>
      </c>
      <c r="C47" s="48">
        <v>14</v>
      </c>
      <c r="D47" s="5" t="s">
        <v>2</v>
      </c>
      <c r="E47" s="32"/>
      <c r="F47" s="32"/>
    </row>
    <row r="48" spans="1:6" ht="40.5" customHeight="1" x14ac:dyDescent="0.25">
      <c r="A48" s="4" t="s">
        <v>74</v>
      </c>
      <c r="B48" s="47" t="s">
        <v>77</v>
      </c>
      <c r="C48" s="48">
        <v>9</v>
      </c>
      <c r="D48" s="5" t="s">
        <v>2</v>
      </c>
      <c r="E48" s="32"/>
      <c r="F48" s="32"/>
    </row>
    <row r="49" spans="1:6" ht="40.5" customHeight="1" x14ac:dyDescent="0.25">
      <c r="A49" s="4" t="s">
        <v>76</v>
      </c>
      <c r="B49" s="47" t="s">
        <v>79</v>
      </c>
      <c r="C49" s="48">
        <v>15</v>
      </c>
      <c r="D49" s="5" t="s">
        <v>2</v>
      </c>
      <c r="E49" s="32"/>
      <c r="F49" s="32"/>
    </row>
    <row r="50" spans="1:6" ht="40.5" customHeight="1" x14ac:dyDescent="0.25">
      <c r="A50" s="4" t="s">
        <v>78</v>
      </c>
      <c r="B50" s="47" t="s">
        <v>81</v>
      </c>
      <c r="C50" s="48">
        <v>1</v>
      </c>
      <c r="D50" s="5" t="s">
        <v>2</v>
      </c>
      <c r="E50" s="32"/>
      <c r="F50" s="32"/>
    </row>
    <row r="51" spans="1:6" ht="40.5" customHeight="1" x14ac:dyDescent="0.25">
      <c r="A51" s="4" t="s">
        <v>80</v>
      </c>
      <c r="B51" s="47" t="s">
        <v>83</v>
      </c>
      <c r="C51" s="48">
        <v>4</v>
      </c>
      <c r="D51" s="5" t="s">
        <v>7</v>
      </c>
      <c r="E51" s="32"/>
      <c r="F51" s="32"/>
    </row>
    <row r="52" spans="1:6" ht="40.5" customHeight="1" x14ac:dyDescent="0.25">
      <c r="A52" s="4" t="s">
        <v>82</v>
      </c>
      <c r="B52" s="47" t="s">
        <v>85</v>
      </c>
      <c r="C52" s="48">
        <v>35</v>
      </c>
      <c r="D52" s="5" t="s">
        <v>7</v>
      </c>
      <c r="E52" s="32"/>
      <c r="F52" s="32"/>
    </row>
    <row r="53" spans="1:6" ht="40.5" customHeight="1" x14ac:dyDescent="0.25">
      <c r="A53" s="4" t="s">
        <v>84</v>
      </c>
      <c r="B53" s="47" t="s">
        <v>86</v>
      </c>
      <c r="C53" s="48">
        <v>4</v>
      </c>
      <c r="D53" s="5" t="s">
        <v>7</v>
      </c>
      <c r="E53" s="32"/>
      <c r="F53" s="32"/>
    </row>
    <row r="54" spans="1:6" ht="27.75" customHeight="1" x14ac:dyDescent="0.25">
      <c r="A54" s="6"/>
      <c r="B54" s="7" t="s">
        <v>87</v>
      </c>
      <c r="C54" s="29"/>
      <c r="D54" s="6"/>
      <c r="E54" s="33"/>
      <c r="F54" s="33" t="s">
        <v>88</v>
      </c>
    </row>
  </sheetData>
  <dataConsolidate function="count"/>
  <mergeCells count="6">
    <mergeCell ref="E14:F18"/>
    <mergeCell ref="A15:D15"/>
    <mergeCell ref="A16:D16"/>
    <mergeCell ref="A17:D17"/>
    <mergeCell ref="A18:D18"/>
    <mergeCell ref="A14:D14"/>
  </mergeCells>
  <phoneticPr fontId="9" type="noConversion"/>
  <dataValidations count="1">
    <dataValidation type="list" allowBlank="1" showInputMessage="1" showErrorMessage="1" sqref="D20:D53" xr:uid="{00000000-0002-0000-0000-000000000000}">
      <formula1>$A$1:$A$13</formula1>
    </dataValidation>
  </dataValidations>
  <printOptions horizontalCentered="1"/>
  <pageMargins left="0.75" right="0.75" top="1" bottom="1" header="0.5" footer="0.7"/>
  <pageSetup firstPageNumber="2" orientation="portrait" useFirstPageNumber="1" r:id="rId1"/>
  <headerFooter>
    <oddHeader>&amp;RBidder: _________________________</oddHeader>
    <oddFooter>&amp;L&amp;"Times New Roman,Regular"&amp;8&amp;Z&amp;F&amp;R&amp;"Times New Roman,Regular"&amp;9Bid 
004100-&amp;P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 tint="-0.499984740745262"/>
  </sheetPr>
  <dimension ref="A1:AB42"/>
  <sheetViews>
    <sheetView tabSelected="1" view="pageLayout" zoomScaleNormal="100" zoomScaleSheetLayoutView="100" workbookViewId="0">
      <selection activeCell="B8" sqref="B8"/>
    </sheetView>
  </sheetViews>
  <sheetFormatPr defaultRowHeight="15" x14ac:dyDescent="0.25"/>
  <cols>
    <col min="1" max="1" width="6.7109375" customWidth="1"/>
    <col min="2" max="2" width="28.85546875" style="21" customWidth="1"/>
    <col min="3" max="3" width="11.28515625" style="36" customWidth="1"/>
    <col min="4" max="4" width="6.7109375" style="21" customWidth="1"/>
    <col min="5" max="5" width="11" style="30" customWidth="1"/>
    <col min="6" max="6" width="13.42578125" style="30" customWidth="1"/>
    <col min="7" max="7" width="11" style="30" customWidth="1"/>
    <col min="8" max="8" width="13.42578125" style="30" customWidth="1"/>
    <col min="9" max="9" width="11" style="30" customWidth="1"/>
    <col min="10" max="10" width="13.42578125" style="30" customWidth="1"/>
    <col min="11" max="11" width="11" customWidth="1"/>
    <col min="12" max="12" width="13.42578125" customWidth="1"/>
    <col min="13" max="13" width="11" customWidth="1"/>
    <col min="14" max="14" width="13.42578125" customWidth="1"/>
    <col min="15" max="15" width="11" customWidth="1"/>
    <col min="16" max="16" width="13.42578125" customWidth="1"/>
    <col min="17" max="17" width="11" customWidth="1"/>
    <col min="18" max="18" width="13.42578125" customWidth="1"/>
    <col min="19" max="19" width="11" customWidth="1"/>
    <col min="20" max="20" width="13.42578125" customWidth="1"/>
    <col min="21" max="21" width="11" customWidth="1"/>
    <col min="22" max="22" width="13.42578125" customWidth="1"/>
    <col min="23" max="23" width="11" customWidth="1"/>
    <col min="24" max="24" width="13.42578125" customWidth="1"/>
    <col min="25" max="25" width="11" customWidth="1"/>
    <col min="26" max="26" width="13.42578125" customWidth="1"/>
    <col min="27" max="27" width="11" customWidth="1"/>
    <col min="28" max="28" width="13.42578125" customWidth="1"/>
  </cols>
  <sheetData>
    <row r="1" spans="1:28" ht="30" customHeight="1" x14ac:dyDescent="0.25">
      <c r="A1" s="72" t="str">
        <f>ProjectLocation</f>
        <v>PORTLAND INTERNATIONAL AIRPORT</v>
      </c>
      <c r="B1" s="73"/>
      <c r="C1" s="73"/>
      <c r="D1" s="74"/>
      <c r="E1" s="61" t="s">
        <v>95</v>
      </c>
      <c r="F1" s="62"/>
      <c r="G1" s="61" t="s">
        <v>96</v>
      </c>
      <c r="H1" s="62"/>
      <c r="I1" s="61" t="s">
        <v>97</v>
      </c>
      <c r="J1" s="62"/>
      <c r="K1" s="61" t="s">
        <v>98</v>
      </c>
      <c r="L1" s="62"/>
      <c r="M1" s="61" t="s">
        <v>99</v>
      </c>
      <c r="N1" s="62"/>
      <c r="O1" s="61" t="s">
        <v>100</v>
      </c>
      <c r="P1" s="62"/>
      <c r="Q1" s="61" t="s">
        <v>101</v>
      </c>
      <c r="R1" s="62"/>
      <c r="S1" s="61" t="s">
        <v>102</v>
      </c>
      <c r="T1" s="62"/>
      <c r="U1" s="61" t="s">
        <v>103</v>
      </c>
      <c r="V1" s="62"/>
      <c r="W1" s="61" t="s">
        <v>104</v>
      </c>
      <c r="X1" s="62"/>
      <c r="Y1" s="61" t="s">
        <v>105</v>
      </c>
      <c r="Z1" s="62"/>
      <c r="AA1" s="65" t="s">
        <v>89</v>
      </c>
      <c r="AB1" s="66"/>
    </row>
    <row r="2" spans="1:28" x14ac:dyDescent="0.25">
      <c r="A2" s="75" t="str">
        <f>ProjectTitle</f>
        <v>BASIN 1 SUBAREA STORMWATER IMPROVEMENTS</v>
      </c>
      <c r="B2" s="76"/>
      <c r="C2" s="76"/>
      <c r="D2" s="77"/>
      <c r="E2" s="63"/>
      <c r="F2" s="64"/>
      <c r="G2" s="63"/>
      <c r="H2" s="64"/>
      <c r="I2" s="63"/>
      <c r="J2" s="64"/>
      <c r="K2" s="63"/>
      <c r="L2" s="64"/>
      <c r="M2" s="63"/>
      <c r="N2" s="64"/>
      <c r="O2" s="63"/>
      <c r="P2" s="64"/>
      <c r="Q2" s="63"/>
      <c r="R2" s="64"/>
      <c r="S2" s="63"/>
      <c r="T2" s="64"/>
      <c r="U2" s="63"/>
      <c r="V2" s="64"/>
      <c r="W2" s="63"/>
      <c r="X2" s="64"/>
      <c r="Y2" s="63"/>
      <c r="Z2" s="64"/>
      <c r="AA2" s="67"/>
      <c r="AB2" s="68"/>
    </row>
    <row r="3" spans="1:28" x14ac:dyDescent="0.25">
      <c r="A3" s="75">
        <f>ProjectTitle2</f>
        <v>0</v>
      </c>
      <c r="B3" s="76"/>
      <c r="C3" s="76"/>
      <c r="D3" s="77"/>
      <c r="E3" s="63"/>
      <c r="F3" s="64"/>
      <c r="G3" s="63"/>
      <c r="H3" s="64"/>
      <c r="I3" s="63"/>
      <c r="J3" s="64"/>
      <c r="K3" s="63"/>
      <c r="L3" s="64"/>
      <c r="M3" s="63"/>
      <c r="N3" s="64"/>
      <c r="O3" s="63"/>
      <c r="P3" s="64"/>
      <c r="Q3" s="63"/>
      <c r="R3" s="64"/>
      <c r="S3" s="63"/>
      <c r="T3" s="64"/>
      <c r="U3" s="63"/>
      <c r="V3" s="64"/>
      <c r="W3" s="63"/>
      <c r="X3" s="64"/>
      <c r="Y3" s="63"/>
      <c r="Z3" s="64"/>
      <c r="AA3" s="67"/>
      <c r="AB3" s="68"/>
    </row>
    <row r="4" spans="1:28" x14ac:dyDescent="0.25">
      <c r="A4" s="78" t="s">
        <v>93</v>
      </c>
      <c r="B4" s="79"/>
      <c r="C4" s="79"/>
      <c r="D4" s="80"/>
      <c r="E4" s="63"/>
      <c r="F4" s="64"/>
      <c r="G4" s="63"/>
      <c r="H4" s="64"/>
      <c r="I4" s="63"/>
      <c r="J4" s="64"/>
      <c r="K4" s="63"/>
      <c r="L4" s="64"/>
      <c r="M4" s="63"/>
      <c r="N4" s="64"/>
      <c r="O4" s="63"/>
      <c r="P4" s="64"/>
      <c r="Q4" s="63"/>
      <c r="R4" s="64"/>
      <c r="S4" s="63"/>
      <c r="T4" s="64"/>
      <c r="U4" s="63"/>
      <c r="V4" s="64"/>
      <c r="W4" s="63"/>
      <c r="X4" s="64"/>
      <c r="Y4" s="63"/>
      <c r="Z4" s="64"/>
      <c r="AA4" s="67"/>
      <c r="AB4" s="68"/>
    </row>
    <row r="5" spans="1:28" x14ac:dyDescent="0.25">
      <c r="A5" s="78" t="s">
        <v>94</v>
      </c>
      <c r="B5" s="79"/>
      <c r="C5" s="79"/>
      <c r="D5" s="80"/>
      <c r="E5" s="63"/>
      <c r="F5" s="64"/>
      <c r="G5" s="63"/>
      <c r="H5" s="64"/>
      <c r="I5" s="63"/>
      <c r="J5" s="64"/>
      <c r="K5" s="63"/>
      <c r="L5" s="64"/>
      <c r="M5" s="63"/>
      <c r="N5" s="64"/>
      <c r="O5" s="63"/>
      <c r="P5" s="64"/>
      <c r="Q5" s="63"/>
      <c r="R5" s="64"/>
      <c r="S5" s="63"/>
      <c r="T5" s="64"/>
      <c r="U5" s="63"/>
      <c r="V5" s="64"/>
      <c r="W5" s="63"/>
      <c r="X5" s="64"/>
      <c r="Y5" s="63"/>
      <c r="Z5" s="64"/>
      <c r="AA5" s="67"/>
      <c r="AB5" s="68"/>
    </row>
    <row r="6" spans="1:28" x14ac:dyDescent="0.25">
      <c r="A6" s="69">
        <f ca="1">TODAY()</f>
        <v>46029</v>
      </c>
      <c r="B6" s="70"/>
      <c r="C6" s="70"/>
      <c r="D6" s="71"/>
      <c r="E6" s="37"/>
      <c r="F6" s="38"/>
      <c r="G6" s="37"/>
      <c r="H6" s="38"/>
      <c r="I6" s="37"/>
      <c r="J6" s="38"/>
      <c r="K6" s="37"/>
      <c r="L6" s="38"/>
      <c r="M6" s="37"/>
      <c r="N6" s="38"/>
      <c r="O6" s="37"/>
      <c r="P6" s="38"/>
      <c r="Q6" s="37"/>
      <c r="R6" s="38"/>
      <c r="S6" s="37"/>
      <c r="T6" s="38"/>
      <c r="U6" s="37"/>
      <c r="V6" s="38"/>
      <c r="W6" s="37"/>
      <c r="X6" s="38"/>
      <c r="Y6" s="37"/>
      <c r="Z6" s="38"/>
      <c r="AA6" s="37"/>
      <c r="AB6" s="38"/>
    </row>
    <row r="7" spans="1:28" ht="32.25" customHeight="1" x14ac:dyDescent="0.25">
      <c r="A7" s="8" t="s">
        <v>15</v>
      </c>
      <c r="B7" s="17" t="s">
        <v>16</v>
      </c>
      <c r="C7" s="34" t="s">
        <v>17</v>
      </c>
      <c r="D7" s="17" t="s">
        <v>18</v>
      </c>
      <c r="E7" s="39" t="s">
        <v>19</v>
      </c>
      <c r="F7" s="39" t="s">
        <v>20</v>
      </c>
      <c r="G7" s="39" t="s">
        <v>19</v>
      </c>
      <c r="H7" s="39" t="s">
        <v>20</v>
      </c>
      <c r="I7" s="39" t="s">
        <v>19</v>
      </c>
      <c r="J7" s="39" t="s">
        <v>20</v>
      </c>
      <c r="K7" s="39" t="s">
        <v>19</v>
      </c>
      <c r="L7" s="39" t="s">
        <v>20</v>
      </c>
      <c r="M7" s="39" t="s">
        <v>19</v>
      </c>
      <c r="N7" s="39" t="s">
        <v>20</v>
      </c>
      <c r="O7" s="39" t="s">
        <v>19</v>
      </c>
      <c r="P7" s="39" t="s">
        <v>20</v>
      </c>
      <c r="Q7" s="39" t="s">
        <v>19</v>
      </c>
      <c r="R7" s="39" t="s">
        <v>20</v>
      </c>
      <c r="S7" s="39" t="s">
        <v>19</v>
      </c>
      <c r="T7" s="39" t="s">
        <v>20</v>
      </c>
      <c r="U7" s="39" t="s">
        <v>19</v>
      </c>
      <c r="V7" s="39" t="s">
        <v>20</v>
      </c>
      <c r="W7" s="39" t="s">
        <v>19</v>
      </c>
      <c r="X7" s="39" t="s">
        <v>20</v>
      </c>
      <c r="Y7" s="39" t="s">
        <v>19</v>
      </c>
      <c r="Z7" s="39" t="s">
        <v>20</v>
      </c>
      <c r="AA7" s="39" t="s">
        <v>19</v>
      </c>
      <c r="AB7" s="39" t="s">
        <v>20</v>
      </c>
    </row>
    <row r="8" spans="1:28" ht="33" customHeight="1" x14ac:dyDescent="0.25">
      <c r="A8" s="9" t="str">
        <f>'Bid Item List'!A20</f>
        <v>0001</v>
      </c>
      <c r="B8" s="49" t="str">
        <f>'Bid Item List'!B20</f>
        <v>Mobilization, Surveying, Cleanup, and Demobilization
(Section 012200)</v>
      </c>
      <c r="C8" s="50">
        <f>'Bid Item List'!C20</f>
        <v>1</v>
      </c>
      <c r="D8" s="18" t="str">
        <f>'Bid Item List'!D20</f>
        <v>LS</v>
      </c>
      <c r="E8" s="24">
        <v>308125</v>
      </c>
      <c r="F8" s="25">
        <f t="shared" ref="F8:F16" si="0">QTY*E8</f>
        <v>308125</v>
      </c>
      <c r="G8" s="24">
        <v>133218</v>
      </c>
      <c r="H8" s="25">
        <f t="shared" ref="H8:H16" si="1">QTY*G8</f>
        <v>133218</v>
      </c>
      <c r="I8" s="24">
        <v>354000</v>
      </c>
      <c r="J8" s="25">
        <f t="shared" ref="J8:J16" si="2">QTY*I8</f>
        <v>354000</v>
      </c>
      <c r="K8" s="24">
        <v>410000</v>
      </c>
      <c r="L8" s="25">
        <f t="shared" ref="L8:L16" si="3">QTY*K8</f>
        <v>410000</v>
      </c>
      <c r="M8" s="24">
        <v>300000</v>
      </c>
      <c r="N8" s="25">
        <f t="shared" ref="N8:N16" si="4">QTY*M8</f>
        <v>300000</v>
      </c>
      <c r="O8" s="24">
        <v>480000</v>
      </c>
      <c r="P8" s="25">
        <f t="shared" ref="P8:P16" si="5">QTY*O8</f>
        <v>480000</v>
      </c>
      <c r="Q8" s="24">
        <v>371000</v>
      </c>
      <c r="R8" s="25">
        <f t="shared" ref="R8:R16" si="6">QTY*Q8</f>
        <v>371000</v>
      </c>
      <c r="S8" s="24">
        <v>480000</v>
      </c>
      <c r="T8" s="25">
        <f t="shared" ref="T8:T16" si="7">QTY*S8</f>
        <v>480000</v>
      </c>
      <c r="U8" s="24">
        <v>300000</v>
      </c>
      <c r="V8" s="25">
        <f t="shared" ref="V8:V41" si="8">QTY*U8</f>
        <v>300000</v>
      </c>
      <c r="W8" s="24">
        <v>294000</v>
      </c>
      <c r="X8" s="25">
        <f t="shared" ref="X8:X41" si="9">QTY*W8</f>
        <v>294000</v>
      </c>
      <c r="Y8" s="24">
        <v>307900</v>
      </c>
      <c r="Z8" s="25">
        <f t="shared" ref="Z8:Z41" si="10">QTY*Y8</f>
        <v>307900</v>
      </c>
      <c r="AA8" s="24">
        <v>350000</v>
      </c>
      <c r="AB8" s="25">
        <f t="shared" ref="AB8:AB16" si="11">QTY*AA8</f>
        <v>350000</v>
      </c>
    </row>
    <row r="9" spans="1:28" ht="33" customHeight="1" x14ac:dyDescent="0.25">
      <c r="A9" s="9" t="str">
        <f>'Bid Item List'!A21</f>
        <v>0002</v>
      </c>
      <c r="B9" s="49" t="str">
        <f>'Bid Item List'!B21</f>
        <v>Sweeper
(Section 012200)</v>
      </c>
      <c r="C9" s="50">
        <f>'Bid Item List'!C21</f>
        <v>1</v>
      </c>
      <c r="D9" s="18" t="str">
        <f>'Bid Item List'!D21</f>
        <v>LS</v>
      </c>
      <c r="E9" s="24">
        <v>9375</v>
      </c>
      <c r="F9" s="25">
        <f t="shared" si="0"/>
        <v>9375</v>
      </c>
      <c r="G9" s="24">
        <v>24945</v>
      </c>
      <c r="H9" s="25">
        <f t="shared" si="1"/>
        <v>24945</v>
      </c>
      <c r="I9" s="24">
        <v>145000</v>
      </c>
      <c r="J9" s="25">
        <f t="shared" si="2"/>
        <v>145000</v>
      </c>
      <c r="K9" s="24">
        <v>100000</v>
      </c>
      <c r="L9" s="25">
        <f t="shared" si="3"/>
        <v>100000</v>
      </c>
      <c r="M9" s="24">
        <v>155000</v>
      </c>
      <c r="N9" s="25">
        <f t="shared" si="4"/>
        <v>155000</v>
      </c>
      <c r="O9" s="24">
        <v>150000</v>
      </c>
      <c r="P9" s="25">
        <f t="shared" si="5"/>
        <v>150000</v>
      </c>
      <c r="Q9" s="24">
        <v>105000</v>
      </c>
      <c r="R9" s="25">
        <f t="shared" si="6"/>
        <v>105000</v>
      </c>
      <c r="S9" s="24">
        <v>100000</v>
      </c>
      <c r="T9" s="25">
        <f t="shared" si="7"/>
        <v>100000</v>
      </c>
      <c r="U9" s="24">
        <v>50000</v>
      </c>
      <c r="V9" s="25">
        <f t="shared" si="8"/>
        <v>50000</v>
      </c>
      <c r="W9" s="24">
        <v>15000</v>
      </c>
      <c r="X9" s="25">
        <f t="shared" si="9"/>
        <v>15000</v>
      </c>
      <c r="Y9" s="24">
        <v>105000</v>
      </c>
      <c r="Z9" s="25">
        <f t="shared" si="10"/>
        <v>105000</v>
      </c>
      <c r="AA9" s="24">
        <v>50400</v>
      </c>
      <c r="AB9" s="25">
        <f t="shared" si="11"/>
        <v>50400</v>
      </c>
    </row>
    <row r="10" spans="1:28" ht="33" customHeight="1" x14ac:dyDescent="0.25">
      <c r="A10" s="9" t="str">
        <f>'Bid Item List'!A22</f>
        <v>0003</v>
      </c>
      <c r="B10" s="49" t="str">
        <f>'Bid Item List'!B22</f>
        <v>Traffic Control
(Section 012200)</v>
      </c>
      <c r="C10" s="50">
        <f>'Bid Item List'!C22</f>
        <v>1</v>
      </c>
      <c r="D10" s="18" t="str">
        <f>'Bid Item List'!D22</f>
        <v>LS</v>
      </c>
      <c r="E10" s="24">
        <v>175000</v>
      </c>
      <c r="F10" s="25">
        <f t="shared" si="0"/>
        <v>175000</v>
      </c>
      <c r="G10" s="24">
        <v>79994</v>
      </c>
      <c r="H10" s="25">
        <f t="shared" si="1"/>
        <v>79994</v>
      </c>
      <c r="I10" s="24">
        <v>205000</v>
      </c>
      <c r="J10" s="25">
        <f t="shared" si="2"/>
        <v>205000</v>
      </c>
      <c r="K10" s="24">
        <v>100000</v>
      </c>
      <c r="L10" s="25">
        <f t="shared" si="3"/>
        <v>100000</v>
      </c>
      <c r="M10" s="24">
        <v>150000</v>
      </c>
      <c r="N10" s="25">
        <f t="shared" si="4"/>
        <v>150000</v>
      </c>
      <c r="O10" s="24">
        <v>248000</v>
      </c>
      <c r="P10" s="25">
        <f t="shared" si="5"/>
        <v>248000</v>
      </c>
      <c r="Q10" s="24">
        <v>65000</v>
      </c>
      <c r="R10" s="25">
        <f t="shared" si="6"/>
        <v>65000</v>
      </c>
      <c r="S10" s="24">
        <v>100000</v>
      </c>
      <c r="T10" s="25">
        <f t="shared" si="7"/>
        <v>100000</v>
      </c>
      <c r="U10" s="24">
        <v>100000</v>
      </c>
      <c r="V10" s="25">
        <f t="shared" si="8"/>
        <v>100000</v>
      </c>
      <c r="W10" s="24">
        <v>60000</v>
      </c>
      <c r="X10" s="25">
        <f t="shared" si="9"/>
        <v>60000</v>
      </c>
      <c r="Y10" s="24">
        <v>121000</v>
      </c>
      <c r="Z10" s="25">
        <f t="shared" si="10"/>
        <v>121000</v>
      </c>
      <c r="AA10" s="24">
        <v>150000</v>
      </c>
      <c r="AB10" s="25">
        <f t="shared" si="11"/>
        <v>150000</v>
      </c>
    </row>
    <row r="11" spans="1:28" ht="33" customHeight="1" x14ac:dyDescent="0.25">
      <c r="A11" s="9" t="str">
        <f>'Bid Item List'!A23</f>
        <v>0004</v>
      </c>
      <c r="B11" s="49" t="str">
        <f>'Bid Item List'!B23</f>
        <v>Escort
(Section 012200)</v>
      </c>
      <c r="C11" s="50">
        <f>'Bid Item List'!C23</f>
        <v>1</v>
      </c>
      <c r="D11" s="18" t="str">
        <f>'Bid Item List'!D23</f>
        <v>LS</v>
      </c>
      <c r="E11" s="24">
        <v>7500</v>
      </c>
      <c r="F11" s="25">
        <f t="shared" si="0"/>
        <v>7500</v>
      </c>
      <c r="G11" s="24">
        <v>38197</v>
      </c>
      <c r="H11" s="25">
        <f t="shared" si="1"/>
        <v>38197</v>
      </c>
      <c r="I11" s="24">
        <v>105000</v>
      </c>
      <c r="J11" s="25">
        <f t="shared" si="2"/>
        <v>105000</v>
      </c>
      <c r="K11" s="24">
        <v>130000</v>
      </c>
      <c r="L11" s="25">
        <f t="shared" si="3"/>
        <v>130000</v>
      </c>
      <c r="M11" s="24">
        <v>110000</v>
      </c>
      <c r="N11" s="25">
        <f t="shared" si="4"/>
        <v>110000</v>
      </c>
      <c r="O11" s="24">
        <v>100000</v>
      </c>
      <c r="P11" s="25">
        <f t="shared" si="5"/>
        <v>100000</v>
      </c>
      <c r="Q11" s="24">
        <v>87500</v>
      </c>
      <c r="R11" s="25">
        <f t="shared" si="6"/>
        <v>87500</v>
      </c>
      <c r="S11" s="24">
        <v>100000</v>
      </c>
      <c r="T11" s="25">
        <f t="shared" si="7"/>
        <v>100000</v>
      </c>
      <c r="U11" s="24">
        <v>100000</v>
      </c>
      <c r="V11" s="25">
        <f t="shared" si="8"/>
        <v>100000</v>
      </c>
      <c r="W11" s="24">
        <v>60000</v>
      </c>
      <c r="X11" s="25">
        <f t="shared" si="9"/>
        <v>60000</v>
      </c>
      <c r="Y11" s="24">
        <v>21000</v>
      </c>
      <c r="Z11" s="25">
        <f t="shared" si="10"/>
        <v>21000</v>
      </c>
      <c r="AA11" s="24">
        <v>92400</v>
      </c>
      <c r="AB11" s="25">
        <f t="shared" si="11"/>
        <v>92400</v>
      </c>
    </row>
    <row r="12" spans="1:28" ht="33" customHeight="1" x14ac:dyDescent="0.25">
      <c r="A12" s="9" t="str">
        <f>'Bid Item List'!A24</f>
        <v>0005</v>
      </c>
      <c r="B12" s="49" t="str">
        <f>'Bid Item List'!B24</f>
        <v xml:space="preserve">Clearing and Grubbing 
(Sections 012200 and 312000) </v>
      </c>
      <c r="C12" s="50">
        <f>'Bid Item List'!C24</f>
        <v>1</v>
      </c>
      <c r="D12" s="18" t="str">
        <f>'Bid Item List'!D24</f>
        <v>LS</v>
      </c>
      <c r="E12" s="24">
        <v>32500</v>
      </c>
      <c r="F12" s="25">
        <f t="shared" si="0"/>
        <v>32500</v>
      </c>
      <c r="G12" s="24">
        <v>179222</v>
      </c>
      <c r="H12" s="25">
        <f t="shared" si="1"/>
        <v>179222</v>
      </c>
      <c r="I12" s="24">
        <v>24000</v>
      </c>
      <c r="J12" s="25">
        <f t="shared" si="2"/>
        <v>24000</v>
      </c>
      <c r="K12" s="24">
        <v>128000</v>
      </c>
      <c r="L12" s="25">
        <f t="shared" si="3"/>
        <v>128000</v>
      </c>
      <c r="M12" s="24">
        <v>25000</v>
      </c>
      <c r="N12" s="25">
        <f t="shared" si="4"/>
        <v>25000</v>
      </c>
      <c r="O12" s="24">
        <v>190000</v>
      </c>
      <c r="P12" s="25">
        <f t="shared" si="5"/>
        <v>190000</v>
      </c>
      <c r="Q12" s="24">
        <v>12000</v>
      </c>
      <c r="R12" s="25">
        <f t="shared" si="6"/>
        <v>12000</v>
      </c>
      <c r="S12" s="24">
        <v>60000</v>
      </c>
      <c r="T12" s="25">
        <f t="shared" si="7"/>
        <v>60000</v>
      </c>
      <c r="U12" s="24">
        <v>7500</v>
      </c>
      <c r="V12" s="25">
        <f t="shared" si="8"/>
        <v>7500</v>
      </c>
      <c r="W12" s="24">
        <v>22000</v>
      </c>
      <c r="X12" s="25">
        <f t="shared" si="9"/>
        <v>22000</v>
      </c>
      <c r="Y12" s="24">
        <v>50000</v>
      </c>
      <c r="Z12" s="25">
        <f t="shared" si="10"/>
        <v>50000</v>
      </c>
      <c r="AA12" s="24">
        <v>10000</v>
      </c>
      <c r="AB12" s="25">
        <f t="shared" si="11"/>
        <v>10000</v>
      </c>
    </row>
    <row r="13" spans="1:28" ht="33" customHeight="1" x14ac:dyDescent="0.25">
      <c r="A13" s="9" t="str">
        <f>'Bid Item List'!A25</f>
        <v>0006</v>
      </c>
      <c r="B13" s="49" t="str">
        <f>'Bid Item List'!B25</f>
        <v xml:space="preserve">Temporary Erosion and Sediment Control Measures 
(Sections 012200 and 015713) </v>
      </c>
      <c r="C13" s="50">
        <f>'Bid Item List'!C25</f>
        <v>1</v>
      </c>
      <c r="D13" s="18" t="str">
        <f>'Bid Item List'!D25</f>
        <v>LS</v>
      </c>
      <c r="E13" s="24">
        <v>95000</v>
      </c>
      <c r="F13" s="25">
        <f t="shared" si="0"/>
        <v>95000</v>
      </c>
      <c r="G13" s="24">
        <v>22594</v>
      </c>
      <c r="H13" s="25">
        <f t="shared" si="1"/>
        <v>22594</v>
      </c>
      <c r="I13" s="24">
        <v>85250</v>
      </c>
      <c r="J13" s="25">
        <f t="shared" si="2"/>
        <v>85250</v>
      </c>
      <c r="K13" s="24">
        <v>150000</v>
      </c>
      <c r="L13" s="25">
        <f t="shared" si="3"/>
        <v>150000</v>
      </c>
      <c r="M13" s="24">
        <v>30000</v>
      </c>
      <c r="N13" s="25">
        <f t="shared" si="4"/>
        <v>30000</v>
      </c>
      <c r="O13" s="24">
        <v>142000</v>
      </c>
      <c r="P13" s="25">
        <f t="shared" si="5"/>
        <v>142000</v>
      </c>
      <c r="Q13" s="24">
        <v>45000</v>
      </c>
      <c r="R13" s="25">
        <f t="shared" si="6"/>
        <v>45000</v>
      </c>
      <c r="S13" s="24">
        <v>60000</v>
      </c>
      <c r="T13" s="25">
        <f t="shared" si="7"/>
        <v>60000</v>
      </c>
      <c r="U13" s="24">
        <v>50000</v>
      </c>
      <c r="V13" s="25">
        <f t="shared" si="8"/>
        <v>50000</v>
      </c>
      <c r="W13" s="24">
        <v>20000</v>
      </c>
      <c r="X13" s="25">
        <f t="shared" si="9"/>
        <v>20000</v>
      </c>
      <c r="Y13" s="24">
        <v>65000</v>
      </c>
      <c r="Z13" s="25">
        <f t="shared" si="10"/>
        <v>65000</v>
      </c>
      <c r="AA13" s="24">
        <v>89560</v>
      </c>
      <c r="AB13" s="25">
        <f t="shared" si="11"/>
        <v>89560</v>
      </c>
    </row>
    <row r="14" spans="1:28" ht="33" customHeight="1" x14ac:dyDescent="0.25">
      <c r="A14" s="9" t="str">
        <f>'Bid Item List'!A26</f>
        <v>0007</v>
      </c>
      <c r="B14" s="49" t="str">
        <f>'Bid Item List'!B26</f>
        <v xml:space="preserve">General Demolition 
(Sections 012200 and 024113) </v>
      </c>
      <c r="C14" s="50">
        <f>'Bid Item List'!C26</f>
        <v>1</v>
      </c>
      <c r="D14" s="18" t="str">
        <f>'Bid Item List'!D26</f>
        <v>LS</v>
      </c>
      <c r="E14" s="24">
        <v>28750</v>
      </c>
      <c r="F14" s="25">
        <f t="shared" si="0"/>
        <v>28750</v>
      </c>
      <c r="G14" s="24">
        <v>117845</v>
      </c>
      <c r="H14" s="25">
        <f t="shared" si="1"/>
        <v>117845</v>
      </c>
      <c r="I14" s="24">
        <v>145825</v>
      </c>
      <c r="J14" s="25">
        <f t="shared" si="2"/>
        <v>145825</v>
      </c>
      <c r="K14" s="24">
        <v>30000</v>
      </c>
      <c r="L14" s="25">
        <f t="shared" si="3"/>
        <v>30000</v>
      </c>
      <c r="M14" s="24">
        <v>75000</v>
      </c>
      <c r="N14" s="25">
        <f t="shared" si="4"/>
        <v>75000</v>
      </c>
      <c r="O14" s="24">
        <v>115000</v>
      </c>
      <c r="P14" s="25">
        <f t="shared" si="5"/>
        <v>115000</v>
      </c>
      <c r="Q14" s="24">
        <v>25000</v>
      </c>
      <c r="R14" s="25">
        <f t="shared" si="6"/>
        <v>25000</v>
      </c>
      <c r="S14" s="24">
        <v>60000</v>
      </c>
      <c r="T14" s="25">
        <f t="shared" si="7"/>
        <v>60000</v>
      </c>
      <c r="U14" s="24">
        <v>50000</v>
      </c>
      <c r="V14" s="25">
        <f t="shared" si="8"/>
        <v>50000</v>
      </c>
      <c r="W14" s="24">
        <v>120000</v>
      </c>
      <c r="X14" s="25">
        <f t="shared" si="9"/>
        <v>120000</v>
      </c>
      <c r="Y14" s="24">
        <v>168000</v>
      </c>
      <c r="Z14" s="25">
        <f t="shared" si="10"/>
        <v>168000</v>
      </c>
      <c r="AA14" s="24">
        <v>110000</v>
      </c>
      <c r="AB14" s="25">
        <f t="shared" si="11"/>
        <v>110000</v>
      </c>
    </row>
    <row r="15" spans="1:28" ht="33" customHeight="1" x14ac:dyDescent="0.25">
      <c r="A15" s="9" t="str">
        <f>'Bid Item List'!A27</f>
        <v>0008</v>
      </c>
      <c r="B15" s="49" t="str">
        <f>'Bid Item List'!B27</f>
        <v>Pavement Removal and Disposal, 6-inch Depth  
(Sections 012200 and 024113)</v>
      </c>
      <c r="C15" s="50">
        <f>'Bid Item List'!C27</f>
        <v>171</v>
      </c>
      <c r="D15" s="18" t="str">
        <f>'Bid Item List'!D27</f>
        <v>CY</v>
      </c>
      <c r="E15" s="24">
        <v>131.25</v>
      </c>
      <c r="F15" s="25">
        <f t="shared" si="0"/>
        <v>22443.75</v>
      </c>
      <c r="G15" s="24">
        <v>204</v>
      </c>
      <c r="H15" s="25">
        <f t="shared" si="1"/>
        <v>34884</v>
      </c>
      <c r="I15" s="24">
        <v>450</v>
      </c>
      <c r="J15" s="25">
        <f t="shared" si="2"/>
        <v>76950</v>
      </c>
      <c r="K15" s="24">
        <v>110</v>
      </c>
      <c r="L15" s="25">
        <f t="shared" si="3"/>
        <v>18810</v>
      </c>
      <c r="M15" s="24">
        <v>134</v>
      </c>
      <c r="N15" s="25">
        <f t="shared" si="4"/>
        <v>22914</v>
      </c>
      <c r="O15" s="24">
        <v>150</v>
      </c>
      <c r="P15" s="25">
        <f t="shared" si="5"/>
        <v>25650</v>
      </c>
      <c r="Q15" s="24">
        <v>57.5</v>
      </c>
      <c r="R15" s="25">
        <f t="shared" si="6"/>
        <v>9832.5</v>
      </c>
      <c r="S15" s="24">
        <v>100</v>
      </c>
      <c r="T15" s="25">
        <f t="shared" si="7"/>
        <v>17100</v>
      </c>
      <c r="U15" s="24">
        <v>70</v>
      </c>
      <c r="V15" s="25">
        <f t="shared" si="8"/>
        <v>11970</v>
      </c>
      <c r="W15" s="24">
        <v>40</v>
      </c>
      <c r="X15" s="25">
        <f t="shared" si="9"/>
        <v>6840</v>
      </c>
      <c r="Y15" s="24">
        <v>57</v>
      </c>
      <c r="Z15" s="25">
        <f t="shared" si="10"/>
        <v>9747</v>
      </c>
      <c r="AA15" s="24">
        <v>60</v>
      </c>
      <c r="AB15" s="25">
        <f t="shared" si="11"/>
        <v>10260</v>
      </c>
    </row>
    <row r="16" spans="1:28" ht="33" customHeight="1" x14ac:dyDescent="0.25">
      <c r="A16" s="9" t="str">
        <f>'Bid Item List'!A28</f>
        <v>0009</v>
      </c>
      <c r="B16" s="49" t="str">
        <f>'Bid Item List'!B28</f>
        <v>Contaminated Soil Removal and Haul  (Sections 012200 and 026100)</v>
      </c>
      <c r="C16" s="50">
        <f>'Bid Item List'!C28</f>
        <v>3887</v>
      </c>
      <c r="D16" s="18" t="str">
        <f>'Bid Item List'!D28</f>
        <v>Ton</v>
      </c>
      <c r="E16" s="24">
        <v>118.75</v>
      </c>
      <c r="F16" s="25">
        <f t="shared" si="0"/>
        <v>461581.25</v>
      </c>
      <c r="G16" s="24">
        <v>122</v>
      </c>
      <c r="H16" s="25">
        <f t="shared" si="1"/>
        <v>474214</v>
      </c>
      <c r="I16" s="24">
        <v>50</v>
      </c>
      <c r="J16" s="25">
        <f t="shared" si="2"/>
        <v>194350</v>
      </c>
      <c r="K16" s="24">
        <v>50</v>
      </c>
      <c r="L16" s="25">
        <f t="shared" si="3"/>
        <v>194350</v>
      </c>
      <c r="M16" s="24">
        <v>31</v>
      </c>
      <c r="N16" s="25">
        <f t="shared" si="4"/>
        <v>120497</v>
      </c>
      <c r="O16" s="24">
        <v>31.5</v>
      </c>
      <c r="P16" s="25">
        <f t="shared" si="5"/>
        <v>122440.5</v>
      </c>
      <c r="Q16" s="24">
        <v>52</v>
      </c>
      <c r="R16" s="25">
        <f t="shared" si="6"/>
        <v>202124</v>
      </c>
      <c r="S16" s="24">
        <v>25</v>
      </c>
      <c r="T16" s="25">
        <f t="shared" si="7"/>
        <v>97175</v>
      </c>
      <c r="U16" s="24">
        <v>42</v>
      </c>
      <c r="V16" s="25">
        <f t="shared" si="8"/>
        <v>163254</v>
      </c>
      <c r="W16" s="24">
        <v>35</v>
      </c>
      <c r="X16" s="25">
        <f t="shared" si="9"/>
        <v>136045</v>
      </c>
      <c r="Y16" s="24">
        <v>60</v>
      </c>
      <c r="Z16" s="25">
        <f t="shared" si="10"/>
        <v>233220</v>
      </c>
      <c r="AA16" s="24">
        <v>24</v>
      </c>
      <c r="AB16" s="25">
        <f t="shared" si="11"/>
        <v>93288</v>
      </c>
    </row>
    <row r="17" spans="1:28" ht="33" customHeight="1" x14ac:dyDescent="0.25">
      <c r="A17" s="9" t="str">
        <f>'Bid Item List'!A29</f>
        <v>0010</v>
      </c>
      <c r="B17" s="49" t="str">
        <f>'Bid Item List'!B29</f>
        <v>Unsuitable Excavation and Disposal  (Sections 012200 and 312300)</v>
      </c>
      <c r="C17" s="50">
        <f>'Bid Item List'!C29</f>
        <v>200</v>
      </c>
      <c r="D17" s="18" t="str">
        <f>'Bid Item List'!D29</f>
        <v>CY</v>
      </c>
      <c r="E17" s="24">
        <v>77.5</v>
      </c>
      <c r="F17" s="25">
        <f t="shared" ref="F17:F41" si="12">QTY*E17</f>
        <v>15500</v>
      </c>
      <c r="G17" s="24">
        <v>126</v>
      </c>
      <c r="H17" s="25">
        <f t="shared" ref="H17:H41" si="13">QTY*G17</f>
        <v>25200</v>
      </c>
      <c r="I17" s="24">
        <v>140</v>
      </c>
      <c r="J17" s="25">
        <f t="shared" ref="J17:J41" si="14">QTY*I17</f>
        <v>28000</v>
      </c>
      <c r="K17" s="24">
        <v>100</v>
      </c>
      <c r="L17" s="25">
        <f t="shared" ref="L17:L41" si="15">QTY*K17</f>
        <v>20000</v>
      </c>
      <c r="M17" s="24">
        <v>50</v>
      </c>
      <c r="N17" s="25">
        <f t="shared" ref="N17:N41" si="16">QTY*M17</f>
        <v>10000</v>
      </c>
      <c r="O17" s="24">
        <v>154</v>
      </c>
      <c r="P17" s="25">
        <f t="shared" ref="P17:P41" si="17">QTY*O17</f>
        <v>30800</v>
      </c>
      <c r="Q17" s="24">
        <v>45</v>
      </c>
      <c r="R17" s="25">
        <f t="shared" ref="R17:R41" si="18">QTY*Q17</f>
        <v>9000</v>
      </c>
      <c r="S17" s="24">
        <v>125</v>
      </c>
      <c r="T17" s="25">
        <f t="shared" ref="T17:T41" si="19">QTY*S17</f>
        <v>25000</v>
      </c>
      <c r="U17" s="24">
        <v>60</v>
      </c>
      <c r="V17" s="25">
        <f t="shared" si="8"/>
        <v>12000</v>
      </c>
      <c r="W17" s="24">
        <v>50</v>
      </c>
      <c r="X17" s="25">
        <f t="shared" si="9"/>
        <v>10000</v>
      </c>
      <c r="Y17" s="24">
        <v>60</v>
      </c>
      <c r="Z17" s="25">
        <f t="shared" si="10"/>
        <v>12000</v>
      </c>
      <c r="AA17" s="24">
        <v>60</v>
      </c>
      <c r="AB17" s="25">
        <f t="shared" ref="AB17:AB41" si="20">QTY*AA17</f>
        <v>12000</v>
      </c>
    </row>
    <row r="18" spans="1:28" ht="33" customHeight="1" x14ac:dyDescent="0.25">
      <c r="A18" s="9" t="str">
        <f>'Bid Item List'!A30</f>
        <v>0011</v>
      </c>
      <c r="B18" s="49" t="str">
        <f>'Bid Item List'!B30</f>
        <v>Trench Stabilization  
(Sections 012200 and 312300)</v>
      </c>
      <c r="C18" s="50">
        <f>'Bid Item List'!C30</f>
        <v>200</v>
      </c>
      <c r="D18" s="18" t="str">
        <f>'Bid Item List'!D30</f>
        <v>CY</v>
      </c>
      <c r="E18" s="24">
        <v>125</v>
      </c>
      <c r="F18" s="25">
        <f t="shared" si="12"/>
        <v>25000</v>
      </c>
      <c r="G18" s="24">
        <v>212.4</v>
      </c>
      <c r="H18" s="25">
        <f t="shared" si="13"/>
        <v>42480</v>
      </c>
      <c r="I18" s="24">
        <v>85</v>
      </c>
      <c r="J18" s="25">
        <f t="shared" si="14"/>
        <v>17000</v>
      </c>
      <c r="K18" s="24">
        <v>110</v>
      </c>
      <c r="L18" s="25">
        <f t="shared" si="15"/>
        <v>22000</v>
      </c>
      <c r="M18" s="24">
        <v>145</v>
      </c>
      <c r="N18" s="25">
        <f t="shared" si="16"/>
        <v>29000</v>
      </c>
      <c r="O18" s="24">
        <v>118</v>
      </c>
      <c r="P18" s="25">
        <f t="shared" si="17"/>
        <v>23600</v>
      </c>
      <c r="Q18" s="24">
        <v>85</v>
      </c>
      <c r="R18" s="25">
        <f t="shared" si="18"/>
        <v>17000</v>
      </c>
      <c r="S18" s="24">
        <v>250</v>
      </c>
      <c r="T18" s="25">
        <f t="shared" si="19"/>
        <v>50000</v>
      </c>
      <c r="U18" s="24">
        <v>140</v>
      </c>
      <c r="V18" s="25">
        <f t="shared" si="8"/>
        <v>28000</v>
      </c>
      <c r="W18" s="24">
        <v>120</v>
      </c>
      <c r="X18" s="25">
        <f t="shared" si="9"/>
        <v>24000</v>
      </c>
      <c r="Y18" s="24">
        <v>79</v>
      </c>
      <c r="Z18" s="25">
        <f t="shared" si="10"/>
        <v>15800</v>
      </c>
      <c r="AA18" s="24">
        <v>78</v>
      </c>
      <c r="AB18" s="25">
        <f t="shared" si="20"/>
        <v>15600</v>
      </c>
    </row>
    <row r="19" spans="1:28" ht="33" customHeight="1" x14ac:dyDescent="0.25">
      <c r="A19" s="9" t="str">
        <f>'Bid Item List'!A31</f>
        <v>0012</v>
      </c>
      <c r="B19" s="49" t="str">
        <f>'Bid Item List'!B31</f>
        <v>Embankment, Ditch   
(Sections 012200 and 312000)</v>
      </c>
      <c r="C19" s="50">
        <f>'Bid Item List'!C31</f>
        <v>2446.1</v>
      </c>
      <c r="D19" s="18" t="str">
        <f>'Bid Item List'!D31</f>
        <v>CY</v>
      </c>
      <c r="E19" s="24">
        <v>81.25</v>
      </c>
      <c r="F19" s="25">
        <f t="shared" si="12"/>
        <v>198745.625</v>
      </c>
      <c r="G19" s="24">
        <v>11</v>
      </c>
      <c r="H19" s="25">
        <f t="shared" si="13"/>
        <v>26907.1</v>
      </c>
      <c r="I19" s="24">
        <v>15</v>
      </c>
      <c r="J19" s="25">
        <f t="shared" si="14"/>
        <v>36691.5</v>
      </c>
      <c r="K19" s="24">
        <v>10</v>
      </c>
      <c r="L19" s="25">
        <f t="shared" si="15"/>
        <v>24461</v>
      </c>
      <c r="M19" s="24">
        <v>5</v>
      </c>
      <c r="N19" s="25">
        <f t="shared" si="16"/>
        <v>12230.5</v>
      </c>
      <c r="O19" s="24">
        <v>68</v>
      </c>
      <c r="P19" s="25">
        <f t="shared" si="17"/>
        <v>166334.79999999999</v>
      </c>
      <c r="Q19" s="24">
        <v>37</v>
      </c>
      <c r="R19" s="25">
        <f t="shared" si="18"/>
        <v>90505.7</v>
      </c>
      <c r="S19" s="24">
        <v>60</v>
      </c>
      <c r="T19" s="25">
        <f t="shared" si="19"/>
        <v>146766</v>
      </c>
      <c r="U19" s="24">
        <v>40</v>
      </c>
      <c r="V19" s="25">
        <f t="shared" si="8"/>
        <v>97844</v>
      </c>
      <c r="W19" s="24">
        <v>10</v>
      </c>
      <c r="X19" s="25">
        <f t="shared" si="9"/>
        <v>24461</v>
      </c>
      <c r="Y19" s="24">
        <v>13</v>
      </c>
      <c r="Z19" s="25">
        <f t="shared" si="10"/>
        <v>31799.3</v>
      </c>
      <c r="AA19" s="24">
        <v>67</v>
      </c>
      <c r="AB19" s="25">
        <f t="shared" si="20"/>
        <v>163888.69999999998</v>
      </c>
    </row>
    <row r="20" spans="1:28" ht="33" customHeight="1" x14ac:dyDescent="0.25">
      <c r="A20" s="9" t="str">
        <f>'Bid Item List'!A32</f>
        <v>0013</v>
      </c>
      <c r="B20" s="49" t="str">
        <f>'Bid Item List'!B32</f>
        <v>Repair Existing ARFF Cap 
(Sections 012200 and 312300)</v>
      </c>
      <c r="C20" s="50">
        <f>'Bid Item List'!C32</f>
        <v>342</v>
      </c>
      <c r="D20" s="18" t="str">
        <f>'Bid Item List'!D32</f>
        <v>SY</v>
      </c>
      <c r="E20" s="24">
        <v>40</v>
      </c>
      <c r="F20" s="25">
        <f t="shared" si="12"/>
        <v>13680</v>
      </c>
      <c r="G20" s="24">
        <v>52</v>
      </c>
      <c r="H20" s="25">
        <f t="shared" si="13"/>
        <v>17784</v>
      </c>
      <c r="I20" s="24">
        <v>45</v>
      </c>
      <c r="J20" s="25">
        <f t="shared" si="14"/>
        <v>15390</v>
      </c>
      <c r="K20" s="24">
        <v>45</v>
      </c>
      <c r="L20" s="25">
        <f t="shared" si="15"/>
        <v>15390</v>
      </c>
      <c r="M20" s="24">
        <v>6</v>
      </c>
      <c r="N20" s="25">
        <f t="shared" si="16"/>
        <v>2052</v>
      </c>
      <c r="O20" s="24">
        <v>31</v>
      </c>
      <c r="P20" s="25">
        <f t="shared" si="17"/>
        <v>10602</v>
      </c>
      <c r="Q20" s="24">
        <v>7.5</v>
      </c>
      <c r="R20" s="25">
        <f t="shared" si="18"/>
        <v>2565</v>
      </c>
      <c r="S20" s="24">
        <v>50</v>
      </c>
      <c r="T20" s="25">
        <f t="shared" si="19"/>
        <v>17100</v>
      </c>
      <c r="U20" s="24">
        <v>9</v>
      </c>
      <c r="V20" s="25">
        <f t="shared" si="8"/>
        <v>3078</v>
      </c>
      <c r="W20" s="24">
        <v>35</v>
      </c>
      <c r="X20" s="25">
        <f t="shared" si="9"/>
        <v>11970</v>
      </c>
      <c r="Y20" s="24">
        <v>26</v>
      </c>
      <c r="Z20" s="25">
        <f t="shared" si="10"/>
        <v>8892</v>
      </c>
      <c r="AA20" s="24">
        <v>140</v>
      </c>
      <c r="AB20" s="25">
        <f t="shared" si="20"/>
        <v>47880</v>
      </c>
    </row>
    <row r="21" spans="1:28" ht="33" customHeight="1" x14ac:dyDescent="0.25">
      <c r="A21" s="9" t="str">
        <f>'Bid Item List'!A33</f>
        <v>0014</v>
      </c>
      <c r="B21" s="49" t="str">
        <f>'Bid Item List'!B33</f>
        <v>Site Preparation   
(Sections 012200 and 320117)</v>
      </c>
      <c r="C21" s="50">
        <f>'Bid Item List'!C33</f>
        <v>1</v>
      </c>
      <c r="D21" s="18" t="str">
        <f>'Bid Item List'!D33</f>
        <v>LS</v>
      </c>
      <c r="E21" s="24">
        <v>40000</v>
      </c>
      <c r="F21" s="25">
        <f t="shared" si="12"/>
        <v>40000</v>
      </c>
      <c r="G21" s="24">
        <v>11926</v>
      </c>
      <c r="H21" s="25">
        <f t="shared" si="13"/>
        <v>11926</v>
      </c>
      <c r="I21" s="24">
        <v>10000</v>
      </c>
      <c r="J21" s="25">
        <f t="shared" si="14"/>
        <v>10000</v>
      </c>
      <c r="K21" s="24">
        <v>20000</v>
      </c>
      <c r="L21" s="25">
        <f t="shared" si="15"/>
        <v>20000</v>
      </c>
      <c r="M21" s="24">
        <v>32000</v>
      </c>
      <c r="N21" s="25">
        <f t="shared" si="16"/>
        <v>32000</v>
      </c>
      <c r="O21" s="24">
        <v>23500</v>
      </c>
      <c r="P21" s="25">
        <f t="shared" si="17"/>
        <v>23500</v>
      </c>
      <c r="Q21" s="24">
        <v>12000</v>
      </c>
      <c r="R21" s="25">
        <f t="shared" si="18"/>
        <v>12000</v>
      </c>
      <c r="S21" s="24">
        <v>5000</v>
      </c>
      <c r="T21" s="25">
        <f t="shared" si="19"/>
        <v>5000</v>
      </c>
      <c r="U21" s="24">
        <v>10000</v>
      </c>
      <c r="V21" s="25">
        <f t="shared" si="8"/>
        <v>10000</v>
      </c>
      <c r="W21" s="24">
        <v>10000</v>
      </c>
      <c r="X21" s="25">
        <f t="shared" si="9"/>
        <v>10000</v>
      </c>
      <c r="Y21" s="24">
        <v>21000</v>
      </c>
      <c r="Z21" s="25">
        <f t="shared" si="10"/>
        <v>21000</v>
      </c>
      <c r="AA21" s="24">
        <v>10000</v>
      </c>
      <c r="AB21" s="25">
        <f t="shared" si="20"/>
        <v>10000</v>
      </c>
    </row>
    <row r="22" spans="1:28" ht="33" customHeight="1" x14ac:dyDescent="0.25">
      <c r="A22" s="9" t="str">
        <f>'Bid Item List'!A34</f>
        <v>0015</v>
      </c>
      <c r="B22" s="49" t="str">
        <f>'Bid Item List'!B34</f>
        <v>Aggregate Base Course
(Sections 012200 and 321123)</v>
      </c>
      <c r="C22" s="50">
        <f>'Bid Item List'!C34</f>
        <v>612</v>
      </c>
      <c r="D22" s="18" t="str">
        <f>'Bid Item List'!D34</f>
        <v>Ton</v>
      </c>
      <c r="E22" s="24">
        <v>75</v>
      </c>
      <c r="F22" s="25">
        <f t="shared" ref="F22" si="21">QTY*E22</f>
        <v>45900</v>
      </c>
      <c r="G22" s="24">
        <v>41</v>
      </c>
      <c r="H22" s="25">
        <f t="shared" ref="H22" si="22">QTY*G22</f>
        <v>25092</v>
      </c>
      <c r="I22" s="24">
        <v>55</v>
      </c>
      <c r="J22" s="25">
        <f t="shared" ref="J22" si="23">QTY*I22</f>
        <v>33660</v>
      </c>
      <c r="K22" s="24">
        <v>50</v>
      </c>
      <c r="L22" s="25">
        <f t="shared" ref="L22" si="24">QTY*K22</f>
        <v>30600</v>
      </c>
      <c r="M22" s="24">
        <v>47</v>
      </c>
      <c r="N22" s="25">
        <f t="shared" ref="N22" si="25">QTY*M22</f>
        <v>28764</v>
      </c>
      <c r="O22" s="24">
        <v>45.5</v>
      </c>
      <c r="P22" s="25">
        <f t="shared" ref="P22" si="26">QTY*O22</f>
        <v>27846</v>
      </c>
      <c r="Q22" s="24">
        <v>32</v>
      </c>
      <c r="R22" s="25">
        <f t="shared" ref="R22" si="27">QTY*Q22</f>
        <v>19584</v>
      </c>
      <c r="S22" s="24">
        <v>85</v>
      </c>
      <c r="T22" s="25">
        <f t="shared" ref="T22" si="28">QTY*S22</f>
        <v>52020</v>
      </c>
      <c r="U22" s="24">
        <v>40</v>
      </c>
      <c r="V22" s="25">
        <f t="shared" si="8"/>
        <v>24480</v>
      </c>
      <c r="W22" s="24">
        <v>60</v>
      </c>
      <c r="X22" s="25">
        <f t="shared" si="9"/>
        <v>36720</v>
      </c>
      <c r="Y22" s="24">
        <v>45</v>
      </c>
      <c r="Z22" s="25">
        <f t="shared" si="10"/>
        <v>27540</v>
      </c>
      <c r="AA22" s="24">
        <v>70</v>
      </c>
      <c r="AB22" s="25">
        <f t="shared" ref="AB22" si="29">QTY*AA22</f>
        <v>42840</v>
      </c>
    </row>
    <row r="23" spans="1:28" ht="33" customHeight="1" x14ac:dyDescent="0.25">
      <c r="A23" s="9" t="str">
        <f>'Bid Item List'!A35</f>
        <v>0016</v>
      </c>
      <c r="B23" s="49" t="str">
        <f>'Bid Item List'!B35</f>
        <v>Asphalt Concrete Pavement 
(Sections 012200 and 321200)</v>
      </c>
      <c r="C23" s="50">
        <f>'Bid Item List'!C35</f>
        <v>369</v>
      </c>
      <c r="D23" s="18" t="str">
        <f>'Bid Item List'!D35</f>
        <v>Ton</v>
      </c>
      <c r="E23" s="24">
        <v>518.75</v>
      </c>
      <c r="F23" s="25">
        <f t="shared" si="12"/>
        <v>191418.75</v>
      </c>
      <c r="G23" s="24">
        <v>240</v>
      </c>
      <c r="H23" s="25">
        <f t="shared" si="13"/>
        <v>88560</v>
      </c>
      <c r="I23" s="24">
        <v>180</v>
      </c>
      <c r="J23" s="25">
        <f t="shared" si="14"/>
        <v>66420</v>
      </c>
      <c r="K23" s="24">
        <v>270</v>
      </c>
      <c r="L23" s="25">
        <f t="shared" si="15"/>
        <v>99630</v>
      </c>
      <c r="M23" s="24">
        <v>173</v>
      </c>
      <c r="N23" s="25">
        <f t="shared" si="16"/>
        <v>63837</v>
      </c>
      <c r="O23" s="24">
        <v>290</v>
      </c>
      <c r="P23" s="25">
        <f t="shared" si="17"/>
        <v>107010</v>
      </c>
      <c r="Q23" s="24">
        <v>310</v>
      </c>
      <c r="R23" s="25">
        <f t="shared" si="18"/>
        <v>114390</v>
      </c>
      <c r="S23" s="24">
        <v>225</v>
      </c>
      <c r="T23" s="25">
        <f t="shared" si="19"/>
        <v>83025</v>
      </c>
      <c r="U23" s="24">
        <v>200</v>
      </c>
      <c r="V23" s="25">
        <f t="shared" si="8"/>
        <v>73800</v>
      </c>
      <c r="W23" s="24">
        <v>195</v>
      </c>
      <c r="X23" s="25">
        <f t="shared" si="9"/>
        <v>71955</v>
      </c>
      <c r="Y23" s="24">
        <v>205</v>
      </c>
      <c r="Z23" s="25">
        <f t="shared" si="10"/>
        <v>75645</v>
      </c>
      <c r="AA23" s="24">
        <v>125</v>
      </c>
      <c r="AB23" s="25">
        <f t="shared" si="20"/>
        <v>46125</v>
      </c>
    </row>
    <row r="24" spans="1:28" ht="33" customHeight="1" x14ac:dyDescent="0.25">
      <c r="A24" s="9" t="str">
        <f>'Bid Item List'!A36</f>
        <v>0017</v>
      </c>
      <c r="B24" s="49" t="str">
        <f>'Bid Item List'!B36</f>
        <v>Portland Cement Concrete Pavement 
(10-Inch Thick)  
(Sections 012200 and 321300)</v>
      </c>
      <c r="C24" s="50">
        <f>'Bid Item List'!C36</f>
        <v>23</v>
      </c>
      <c r="D24" s="18" t="str">
        <f>'Bid Item List'!D36</f>
        <v>SY</v>
      </c>
      <c r="E24" s="24">
        <v>312.5</v>
      </c>
      <c r="F24" s="25">
        <f t="shared" si="12"/>
        <v>7187.5</v>
      </c>
      <c r="G24" s="24">
        <v>1708</v>
      </c>
      <c r="H24" s="25">
        <f t="shared" si="13"/>
        <v>39284</v>
      </c>
      <c r="I24" s="24">
        <v>600</v>
      </c>
      <c r="J24" s="25">
        <f t="shared" si="14"/>
        <v>13800</v>
      </c>
      <c r="K24" s="24">
        <v>300</v>
      </c>
      <c r="L24" s="25">
        <f t="shared" si="15"/>
        <v>6900</v>
      </c>
      <c r="M24" s="24">
        <v>323</v>
      </c>
      <c r="N24" s="25">
        <f t="shared" si="16"/>
        <v>7429</v>
      </c>
      <c r="O24" s="24">
        <v>1242</v>
      </c>
      <c r="P24" s="25">
        <f t="shared" si="17"/>
        <v>28566</v>
      </c>
      <c r="Q24" s="24">
        <v>885</v>
      </c>
      <c r="R24" s="25">
        <f t="shared" si="18"/>
        <v>20355</v>
      </c>
      <c r="S24" s="24">
        <v>1000</v>
      </c>
      <c r="T24" s="25">
        <f t="shared" si="19"/>
        <v>23000</v>
      </c>
      <c r="U24" s="24">
        <v>775</v>
      </c>
      <c r="V24" s="25">
        <f t="shared" si="8"/>
        <v>17825</v>
      </c>
      <c r="W24" s="24">
        <v>1600</v>
      </c>
      <c r="X24" s="25">
        <f t="shared" si="9"/>
        <v>36800</v>
      </c>
      <c r="Y24" s="24">
        <v>860</v>
      </c>
      <c r="Z24" s="25">
        <f t="shared" si="10"/>
        <v>19780</v>
      </c>
      <c r="AA24" s="24">
        <v>558</v>
      </c>
      <c r="AB24" s="25">
        <f t="shared" si="20"/>
        <v>12834</v>
      </c>
    </row>
    <row r="25" spans="1:28" ht="33" customHeight="1" x14ac:dyDescent="0.25">
      <c r="A25" s="9" t="str">
        <f>'Bid Item List'!A37</f>
        <v>0018</v>
      </c>
      <c r="B25" s="49" t="str">
        <f>'Bid Item List'!B37</f>
        <v xml:space="preserve">Seeding 
(Sections 012200 and 329219) </v>
      </c>
      <c r="C25" s="50">
        <f>'Bid Item List'!C37</f>
        <v>4</v>
      </c>
      <c r="D25" s="18" t="str">
        <f>'Bid Item List'!D37</f>
        <v>Acre</v>
      </c>
      <c r="E25" s="24">
        <v>6500</v>
      </c>
      <c r="F25" s="25">
        <f t="shared" si="12"/>
        <v>26000</v>
      </c>
      <c r="G25" s="24">
        <v>5030</v>
      </c>
      <c r="H25" s="25">
        <f t="shared" si="13"/>
        <v>20120</v>
      </c>
      <c r="I25" s="24">
        <v>4000</v>
      </c>
      <c r="J25" s="25">
        <f t="shared" si="14"/>
        <v>16000</v>
      </c>
      <c r="K25" s="24">
        <v>4500</v>
      </c>
      <c r="L25" s="25">
        <f t="shared" si="15"/>
        <v>18000</v>
      </c>
      <c r="M25" s="24">
        <v>3100</v>
      </c>
      <c r="N25" s="25">
        <f t="shared" si="16"/>
        <v>12400</v>
      </c>
      <c r="O25" s="24">
        <v>2850</v>
      </c>
      <c r="P25" s="25">
        <f t="shared" si="17"/>
        <v>11400</v>
      </c>
      <c r="Q25" s="24">
        <v>4350</v>
      </c>
      <c r="R25" s="25">
        <f t="shared" si="18"/>
        <v>17400</v>
      </c>
      <c r="S25" s="24">
        <v>3250</v>
      </c>
      <c r="T25" s="25">
        <f t="shared" si="19"/>
        <v>13000</v>
      </c>
      <c r="U25" s="24">
        <v>3400</v>
      </c>
      <c r="V25" s="25">
        <f t="shared" si="8"/>
        <v>13600</v>
      </c>
      <c r="W25" s="24">
        <v>4000</v>
      </c>
      <c r="X25" s="25">
        <f t="shared" si="9"/>
        <v>16000</v>
      </c>
      <c r="Y25" s="24">
        <v>13000</v>
      </c>
      <c r="Z25" s="25">
        <f t="shared" si="10"/>
        <v>52000</v>
      </c>
      <c r="AA25" s="24">
        <v>9520</v>
      </c>
      <c r="AB25" s="25">
        <f t="shared" si="20"/>
        <v>38080</v>
      </c>
    </row>
    <row r="26" spans="1:28" ht="33" customHeight="1" x14ac:dyDescent="0.25">
      <c r="A26" s="9" t="str">
        <f>'Bid Item List'!A38</f>
        <v>0019</v>
      </c>
      <c r="B26" s="49" t="str">
        <f>'Bid Item List'!B38</f>
        <v>Fill Material, Topsoil 
(Sections 012200, 312000, and 329113)</v>
      </c>
      <c r="C26" s="50">
        <f>'Bid Item List'!C38</f>
        <v>2487</v>
      </c>
      <c r="D26" s="18" t="str">
        <f>'Bid Item List'!D38</f>
        <v>CY</v>
      </c>
      <c r="E26" s="24">
        <v>77.5</v>
      </c>
      <c r="F26" s="25">
        <f t="shared" si="12"/>
        <v>192742.5</v>
      </c>
      <c r="G26" s="24">
        <v>74</v>
      </c>
      <c r="H26" s="25">
        <f t="shared" si="13"/>
        <v>184038</v>
      </c>
      <c r="I26" s="24">
        <v>80</v>
      </c>
      <c r="J26" s="25">
        <f t="shared" si="14"/>
        <v>198960</v>
      </c>
      <c r="K26" s="24">
        <v>85</v>
      </c>
      <c r="L26" s="25">
        <f t="shared" si="15"/>
        <v>211395</v>
      </c>
      <c r="M26" s="24">
        <v>70</v>
      </c>
      <c r="N26" s="25">
        <f t="shared" si="16"/>
        <v>174090</v>
      </c>
      <c r="O26" s="24">
        <v>80</v>
      </c>
      <c r="P26" s="25">
        <f t="shared" si="17"/>
        <v>198960</v>
      </c>
      <c r="Q26" s="24">
        <v>37</v>
      </c>
      <c r="R26" s="25">
        <f t="shared" si="18"/>
        <v>92019</v>
      </c>
      <c r="S26" s="24">
        <v>99</v>
      </c>
      <c r="T26" s="25">
        <f t="shared" si="19"/>
        <v>246213</v>
      </c>
      <c r="U26" s="24">
        <v>55</v>
      </c>
      <c r="V26" s="25">
        <f t="shared" si="8"/>
        <v>136785</v>
      </c>
      <c r="W26" s="24">
        <v>12</v>
      </c>
      <c r="X26" s="25">
        <f t="shared" si="9"/>
        <v>29844</v>
      </c>
      <c r="Y26" s="24">
        <v>47.5</v>
      </c>
      <c r="Z26" s="25">
        <f t="shared" si="10"/>
        <v>118132.5</v>
      </c>
      <c r="AA26" s="24">
        <v>100</v>
      </c>
      <c r="AB26" s="25">
        <f t="shared" si="20"/>
        <v>248700</v>
      </c>
    </row>
    <row r="27" spans="1:28" ht="33" customHeight="1" x14ac:dyDescent="0.25">
      <c r="A27" s="9" t="str">
        <f>'Bid Item List'!A39</f>
        <v>0020</v>
      </c>
      <c r="B27" s="49" t="str">
        <f>'Bid Item List'!B39</f>
        <v>8-Inch STS  
(Sections 012200 and 334100)</v>
      </c>
      <c r="C27" s="50">
        <f>'Bid Item List'!C39</f>
        <v>153</v>
      </c>
      <c r="D27" s="18" t="str">
        <f>'Bid Item List'!D39</f>
        <v>LF</v>
      </c>
      <c r="E27" s="24">
        <v>157.21</v>
      </c>
      <c r="F27" s="25">
        <f t="shared" si="12"/>
        <v>24053.13</v>
      </c>
      <c r="G27" s="24">
        <v>100</v>
      </c>
      <c r="H27" s="25">
        <f t="shared" si="13"/>
        <v>15300</v>
      </c>
      <c r="I27" s="24">
        <v>140</v>
      </c>
      <c r="J27" s="25">
        <f t="shared" si="14"/>
        <v>21420</v>
      </c>
      <c r="K27" s="24">
        <v>115</v>
      </c>
      <c r="L27" s="25">
        <f t="shared" si="15"/>
        <v>17595</v>
      </c>
      <c r="M27" s="24">
        <v>117</v>
      </c>
      <c r="N27" s="25">
        <f t="shared" si="16"/>
        <v>17901</v>
      </c>
      <c r="O27" s="24">
        <v>123</v>
      </c>
      <c r="P27" s="25">
        <f t="shared" si="17"/>
        <v>18819</v>
      </c>
      <c r="Q27" s="24">
        <v>195</v>
      </c>
      <c r="R27" s="25">
        <f t="shared" si="18"/>
        <v>29835</v>
      </c>
      <c r="S27" s="24">
        <v>250</v>
      </c>
      <c r="T27" s="25">
        <f t="shared" si="19"/>
        <v>38250</v>
      </c>
      <c r="U27" s="24">
        <v>140</v>
      </c>
      <c r="V27" s="25">
        <f t="shared" si="8"/>
        <v>21420</v>
      </c>
      <c r="W27" s="24">
        <v>55</v>
      </c>
      <c r="X27" s="25">
        <f t="shared" si="9"/>
        <v>8415</v>
      </c>
      <c r="Y27" s="24">
        <v>100</v>
      </c>
      <c r="Z27" s="25">
        <f t="shared" si="10"/>
        <v>15300</v>
      </c>
      <c r="AA27" s="24">
        <v>180</v>
      </c>
      <c r="AB27" s="25">
        <f t="shared" si="20"/>
        <v>27540</v>
      </c>
    </row>
    <row r="28" spans="1:28" ht="33" customHeight="1" x14ac:dyDescent="0.25">
      <c r="A28" s="9" t="str">
        <f>'Bid Item List'!A40</f>
        <v>0021</v>
      </c>
      <c r="B28" s="49" t="str">
        <f>'Bid Item List'!B40</f>
        <v>12-Inch STS 
(Sections 012200 and 334100)</v>
      </c>
      <c r="C28" s="50">
        <f>'Bid Item List'!C40</f>
        <v>1426</v>
      </c>
      <c r="D28" s="18" t="str">
        <f>'Bid Item List'!D40</f>
        <v>LF</v>
      </c>
      <c r="E28" s="24">
        <v>218.22</v>
      </c>
      <c r="F28" s="25">
        <f t="shared" si="12"/>
        <v>311181.71999999997</v>
      </c>
      <c r="G28" s="24">
        <v>107</v>
      </c>
      <c r="H28" s="25">
        <f t="shared" si="13"/>
        <v>152582</v>
      </c>
      <c r="I28" s="24">
        <v>190</v>
      </c>
      <c r="J28" s="25">
        <f t="shared" si="14"/>
        <v>270940</v>
      </c>
      <c r="K28" s="24">
        <v>65</v>
      </c>
      <c r="L28" s="25">
        <f t="shared" si="15"/>
        <v>92690</v>
      </c>
      <c r="M28" s="24">
        <v>140</v>
      </c>
      <c r="N28" s="25">
        <f t="shared" si="16"/>
        <v>199640</v>
      </c>
      <c r="O28" s="24">
        <v>133</v>
      </c>
      <c r="P28" s="25">
        <f t="shared" si="17"/>
        <v>189658</v>
      </c>
      <c r="Q28" s="24">
        <v>170</v>
      </c>
      <c r="R28" s="25">
        <f t="shared" si="18"/>
        <v>242420</v>
      </c>
      <c r="S28" s="24">
        <v>250</v>
      </c>
      <c r="T28" s="25">
        <f t="shared" si="19"/>
        <v>356500</v>
      </c>
      <c r="U28" s="24">
        <v>150</v>
      </c>
      <c r="V28" s="25">
        <f t="shared" si="8"/>
        <v>213900</v>
      </c>
      <c r="W28" s="24">
        <v>60</v>
      </c>
      <c r="X28" s="25">
        <f t="shared" si="9"/>
        <v>85560</v>
      </c>
      <c r="Y28" s="24">
        <v>120</v>
      </c>
      <c r="Z28" s="25">
        <f t="shared" si="10"/>
        <v>171120</v>
      </c>
      <c r="AA28" s="24">
        <v>247</v>
      </c>
      <c r="AB28" s="25">
        <f t="shared" si="20"/>
        <v>352222</v>
      </c>
    </row>
    <row r="29" spans="1:28" ht="33" customHeight="1" x14ac:dyDescent="0.25">
      <c r="A29" s="9" t="str">
        <f>'Bid Item List'!A41</f>
        <v>0022</v>
      </c>
      <c r="B29" s="49" t="str">
        <f>'Bid Item List'!B41</f>
        <v>18-Inch STS 
(Sections 012200 and 334100)</v>
      </c>
      <c r="C29" s="50">
        <f>'Bid Item List'!C41</f>
        <v>474</v>
      </c>
      <c r="D29" s="18" t="str">
        <f>'Bid Item List'!D41</f>
        <v>LF</v>
      </c>
      <c r="E29" s="24">
        <v>312.24</v>
      </c>
      <c r="F29" s="25">
        <f t="shared" si="12"/>
        <v>148001.76</v>
      </c>
      <c r="G29" s="24">
        <v>284</v>
      </c>
      <c r="H29" s="25">
        <f t="shared" si="13"/>
        <v>134616</v>
      </c>
      <c r="I29" s="24">
        <v>230</v>
      </c>
      <c r="J29" s="25">
        <f t="shared" si="14"/>
        <v>109020</v>
      </c>
      <c r="K29" s="24">
        <v>215</v>
      </c>
      <c r="L29" s="25">
        <f t="shared" si="15"/>
        <v>101910</v>
      </c>
      <c r="M29" s="24">
        <v>164</v>
      </c>
      <c r="N29" s="25">
        <f t="shared" si="16"/>
        <v>77736</v>
      </c>
      <c r="O29" s="24">
        <v>221</v>
      </c>
      <c r="P29" s="25">
        <f t="shared" si="17"/>
        <v>104754</v>
      </c>
      <c r="Q29" s="24">
        <v>275</v>
      </c>
      <c r="R29" s="25">
        <f t="shared" si="18"/>
        <v>130350</v>
      </c>
      <c r="S29" s="24">
        <v>300</v>
      </c>
      <c r="T29" s="25">
        <f t="shared" si="19"/>
        <v>142200</v>
      </c>
      <c r="U29" s="24">
        <v>205</v>
      </c>
      <c r="V29" s="25">
        <f t="shared" si="8"/>
        <v>97170</v>
      </c>
      <c r="W29" s="24">
        <v>80</v>
      </c>
      <c r="X29" s="25">
        <f t="shared" si="9"/>
        <v>37920</v>
      </c>
      <c r="Y29" s="24">
        <v>125</v>
      </c>
      <c r="Z29" s="25">
        <f t="shared" si="10"/>
        <v>59250</v>
      </c>
      <c r="AA29" s="24">
        <v>250</v>
      </c>
      <c r="AB29" s="25">
        <f t="shared" si="20"/>
        <v>118500</v>
      </c>
    </row>
    <row r="30" spans="1:28" ht="33" customHeight="1" x14ac:dyDescent="0.25">
      <c r="A30" s="9" t="str">
        <f>'Bid Item List'!A42</f>
        <v>0023</v>
      </c>
      <c r="B30" s="49" t="str">
        <f>'Bid Item List'!B42</f>
        <v>36-Inch STS 
(Sections 012200 and 334100)</v>
      </c>
      <c r="C30" s="50">
        <f>'Bid Item List'!C42</f>
        <v>1695</v>
      </c>
      <c r="D30" s="18" t="str">
        <f>'Bid Item List'!D42</f>
        <v>LF</v>
      </c>
      <c r="E30" s="24">
        <v>427.89</v>
      </c>
      <c r="F30" s="25">
        <f t="shared" si="12"/>
        <v>725273.54999999993</v>
      </c>
      <c r="G30" s="24">
        <v>420</v>
      </c>
      <c r="H30" s="25">
        <f t="shared" si="13"/>
        <v>711900</v>
      </c>
      <c r="I30" s="24">
        <v>580</v>
      </c>
      <c r="J30" s="25">
        <f t="shared" si="14"/>
        <v>983100</v>
      </c>
      <c r="K30" s="24">
        <v>475</v>
      </c>
      <c r="L30" s="25">
        <f t="shared" si="15"/>
        <v>805125</v>
      </c>
      <c r="M30" s="24">
        <v>405</v>
      </c>
      <c r="N30" s="25">
        <f t="shared" si="16"/>
        <v>686475</v>
      </c>
      <c r="O30" s="24">
        <v>463</v>
      </c>
      <c r="P30" s="25">
        <f t="shared" si="17"/>
        <v>784785</v>
      </c>
      <c r="Q30" s="24">
        <v>705</v>
      </c>
      <c r="R30" s="25">
        <f t="shared" si="18"/>
        <v>1194975</v>
      </c>
      <c r="S30" s="24">
        <v>800</v>
      </c>
      <c r="T30" s="25">
        <f t="shared" si="19"/>
        <v>1356000</v>
      </c>
      <c r="U30" s="24">
        <v>380</v>
      </c>
      <c r="V30" s="25">
        <f t="shared" si="8"/>
        <v>644100</v>
      </c>
      <c r="W30" s="24">
        <v>375</v>
      </c>
      <c r="X30" s="25">
        <f t="shared" si="9"/>
        <v>635625</v>
      </c>
      <c r="Y30" s="24">
        <v>185</v>
      </c>
      <c r="Z30" s="25">
        <f t="shared" si="10"/>
        <v>313575</v>
      </c>
      <c r="AA30" s="24">
        <v>370</v>
      </c>
      <c r="AB30" s="25">
        <f t="shared" si="20"/>
        <v>627150</v>
      </c>
    </row>
    <row r="31" spans="1:28" ht="33" customHeight="1" x14ac:dyDescent="0.25">
      <c r="A31" s="9" t="str">
        <f>'Bid Item List'!A43</f>
        <v>0024</v>
      </c>
      <c r="B31" s="49" t="str">
        <f>'Bid Item List'!B43</f>
        <v>48-Inch STS 
(Sections 012200 and 334100)</v>
      </c>
      <c r="C31" s="50">
        <f>'Bid Item List'!C43</f>
        <v>896</v>
      </c>
      <c r="D31" s="18" t="str">
        <f>'Bid Item List'!D43</f>
        <v>LF</v>
      </c>
      <c r="E31" s="24">
        <v>567.32000000000005</v>
      </c>
      <c r="F31" s="25">
        <f t="shared" si="12"/>
        <v>508318.72000000003</v>
      </c>
      <c r="G31" s="24">
        <v>548</v>
      </c>
      <c r="H31" s="25">
        <f t="shared" si="13"/>
        <v>491008</v>
      </c>
      <c r="I31" s="24">
        <v>680</v>
      </c>
      <c r="J31" s="25">
        <f t="shared" si="14"/>
        <v>609280</v>
      </c>
      <c r="K31" s="24">
        <v>715</v>
      </c>
      <c r="L31" s="25">
        <f t="shared" si="15"/>
        <v>640640</v>
      </c>
      <c r="M31" s="24">
        <v>401</v>
      </c>
      <c r="N31" s="25">
        <f t="shared" si="16"/>
        <v>359296</v>
      </c>
      <c r="O31" s="24">
        <v>685</v>
      </c>
      <c r="P31" s="25">
        <f t="shared" si="17"/>
        <v>613760</v>
      </c>
      <c r="Q31" s="24">
        <v>885</v>
      </c>
      <c r="R31" s="25">
        <f t="shared" si="18"/>
        <v>792960</v>
      </c>
      <c r="S31" s="24">
        <v>800</v>
      </c>
      <c r="T31" s="25">
        <f t="shared" si="19"/>
        <v>716800</v>
      </c>
      <c r="U31" s="24">
        <v>415</v>
      </c>
      <c r="V31" s="25">
        <f t="shared" si="8"/>
        <v>371840</v>
      </c>
      <c r="W31" s="24">
        <v>470</v>
      </c>
      <c r="X31" s="25">
        <f t="shared" si="9"/>
        <v>421120</v>
      </c>
      <c r="Y31" s="24">
        <v>245</v>
      </c>
      <c r="Z31" s="25">
        <f t="shared" si="10"/>
        <v>219520</v>
      </c>
      <c r="AA31" s="24">
        <v>550</v>
      </c>
      <c r="AB31" s="25">
        <f t="shared" si="20"/>
        <v>492800</v>
      </c>
    </row>
    <row r="32" spans="1:28" ht="33" customHeight="1" x14ac:dyDescent="0.25">
      <c r="A32" s="9" t="str">
        <f>'Bid Item List'!A44</f>
        <v>0025</v>
      </c>
      <c r="B32" s="49" t="str">
        <f>'Bid Item List'!B44</f>
        <v>Connection to Existing Drainage Structure (Sections 012200 and 334100)</v>
      </c>
      <c r="C32" s="50">
        <f>'Bid Item List'!C44</f>
        <v>7</v>
      </c>
      <c r="D32" s="18" t="str">
        <f>'Bid Item List'!D44</f>
        <v>Each</v>
      </c>
      <c r="E32" s="24">
        <v>6375</v>
      </c>
      <c r="F32" s="25">
        <f t="shared" si="12"/>
        <v>44625</v>
      </c>
      <c r="G32" s="24">
        <v>3100</v>
      </c>
      <c r="H32" s="25">
        <f t="shared" si="13"/>
        <v>21700</v>
      </c>
      <c r="I32" s="24">
        <v>3000</v>
      </c>
      <c r="J32" s="25">
        <f t="shared" si="14"/>
        <v>21000</v>
      </c>
      <c r="K32" s="24">
        <v>500</v>
      </c>
      <c r="L32" s="25">
        <f t="shared" si="15"/>
        <v>3500</v>
      </c>
      <c r="M32" s="24">
        <v>2500</v>
      </c>
      <c r="N32" s="25">
        <f t="shared" si="16"/>
        <v>17500</v>
      </c>
      <c r="O32" s="24">
        <v>3000</v>
      </c>
      <c r="P32" s="25">
        <f t="shared" si="17"/>
        <v>21000</v>
      </c>
      <c r="Q32" s="24">
        <v>1950</v>
      </c>
      <c r="R32" s="25">
        <f t="shared" si="18"/>
        <v>13650</v>
      </c>
      <c r="S32" s="24">
        <v>3000</v>
      </c>
      <c r="T32" s="25">
        <f t="shared" si="19"/>
        <v>21000</v>
      </c>
      <c r="U32" s="24">
        <v>2500</v>
      </c>
      <c r="V32" s="25">
        <f t="shared" si="8"/>
        <v>17500</v>
      </c>
      <c r="W32" s="24">
        <v>2000</v>
      </c>
      <c r="X32" s="25">
        <f t="shared" si="9"/>
        <v>14000</v>
      </c>
      <c r="Y32" s="24">
        <v>9000</v>
      </c>
      <c r="Z32" s="25">
        <f t="shared" si="10"/>
        <v>63000</v>
      </c>
      <c r="AA32" s="24">
        <v>2600</v>
      </c>
      <c r="AB32" s="25">
        <f t="shared" si="20"/>
        <v>18200</v>
      </c>
    </row>
    <row r="33" spans="1:28" ht="33" customHeight="1" x14ac:dyDescent="0.25">
      <c r="A33" s="9" t="str">
        <f>'Bid Item List'!A45</f>
        <v>0026</v>
      </c>
      <c r="B33" s="49" t="str">
        <f>'Bid Item List'!B45</f>
        <v>Abandon and Plug Storm Pipe 
(Sections 012200 and 334100)</v>
      </c>
      <c r="C33" s="50">
        <f>'Bid Item List'!C45</f>
        <v>4</v>
      </c>
      <c r="D33" s="18" t="str">
        <f>'Bid Item List'!D45</f>
        <v>Each</v>
      </c>
      <c r="E33" s="24">
        <v>12312.5</v>
      </c>
      <c r="F33" s="25">
        <f t="shared" si="12"/>
        <v>49250</v>
      </c>
      <c r="G33" s="24">
        <v>1185</v>
      </c>
      <c r="H33" s="25">
        <f t="shared" si="13"/>
        <v>4740</v>
      </c>
      <c r="I33" s="24">
        <v>2250</v>
      </c>
      <c r="J33" s="25">
        <f t="shared" si="14"/>
        <v>9000</v>
      </c>
      <c r="K33" s="24">
        <v>500</v>
      </c>
      <c r="L33" s="25">
        <f t="shared" si="15"/>
        <v>2000</v>
      </c>
      <c r="M33" s="24">
        <v>2100</v>
      </c>
      <c r="N33" s="25">
        <f t="shared" si="16"/>
        <v>8400</v>
      </c>
      <c r="O33" s="24">
        <v>3100</v>
      </c>
      <c r="P33" s="25">
        <f t="shared" si="17"/>
        <v>12400</v>
      </c>
      <c r="Q33" s="24">
        <v>13000</v>
      </c>
      <c r="R33" s="25">
        <f t="shared" si="18"/>
        <v>52000</v>
      </c>
      <c r="S33" s="24">
        <v>500</v>
      </c>
      <c r="T33" s="25">
        <f t="shared" si="19"/>
        <v>2000</v>
      </c>
      <c r="U33" s="24">
        <v>2500</v>
      </c>
      <c r="V33" s="25">
        <f t="shared" si="8"/>
        <v>10000</v>
      </c>
      <c r="W33" s="24">
        <v>1500</v>
      </c>
      <c r="X33" s="25">
        <f t="shared" si="9"/>
        <v>6000</v>
      </c>
      <c r="Y33" s="24">
        <v>10650</v>
      </c>
      <c r="Z33" s="25">
        <f t="shared" si="10"/>
        <v>42600</v>
      </c>
      <c r="AA33" s="24">
        <v>1000</v>
      </c>
      <c r="AB33" s="25">
        <f t="shared" si="20"/>
        <v>4000</v>
      </c>
    </row>
    <row r="34" spans="1:28" ht="33" customHeight="1" x14ac:dyDescent="0.25">
      <c r="A34" s="9" t="str">
        <f>'Bid Item List'!A46</f>
        <v>0027</v>
      </c>
      <c r="B34" s="49" t="str">
        <f>'Bid Item List'!B46</f>
        <v>Abandon Existing Structure 
(Sections 012200 and 334100)</v>
      </c>
      <c r="C34" s="50">
        <f>'Bid Item List'!C46</f>
        <v>2</v>
      </c>
      <c r="D34" s="18" t="str">
        <f>'Bid Item List'!D46</f>
        <v>Each</v>
      </c>
      <c r="E34" s="24">
        <v>3687.5</v>
      </c>
      <c r="F34" s="25">
        <f t="shared" si="12"/>
        <v>7375</v>
      </c>
      <c r="G34" s="24">
        <v>2598</v>
      </c>
      <c r="H34" s="25">
        <f t="shared" si="13"/>
        <v>5196</v>
      </c>
      <c r="I34" s="24">
        <v>2250</v>
      </c>
      <c r="J34" s="25">
        <f t="shared" si="14"/>
        <v>4500</v>
      </c>
      <c r="K34" s="24">
        <v>2100</v>
      </c>
      <c r="L34" s="25">
        <f t="shared" si="15"/>
        <v>4200</v>
      </c>
      <c r="M34" s="24">
        <v>3000</v>
      </c>
      <c r="N34" s="25">
        <f t="shared" si="16"/>
        <v>6000</v>
      </c>
      <c r="O34" s="24">
        <v>3500</v>
      </c>
      <c r="P34" s="25">
        <f t="shared" si="17"/>
        <v>7000</v>
      </c>
      <c r="Q34" s="24">
        <v>4500</v>
      </c>
      <c r="R34" s="25">
        <f t="shared" si="18"/>
        <v>9000</v>
      </c>
      <c r="S34" s="24">
        <v>500</v>
      </c>
      <c r="T34" s="25">
        <f t="shared" si="19"/>
        <v>1000</v>
      </c>
      <c r="U34" s="24">
        <v>4800</v>
      </c>
      <c r="V34" s="25">
        <f t="shared" si="8"/>
        <v>9600</v>
      </c>
      <c r="W34" s="24">
        <v>2000</v>
      </c>
      <c r="X34" s="25">
        <f t="shared" si="9"/>
        <v>4000</v>
      </c>
      <c r="Y34" s="24">
        <v>1200</v>
      </c>
      <c r="Z34" s="25">
        <f t="shared" si="10"/>
        <v>2400</v>
      </c>
      <c r="AA34" s="24">
        <v>1500</v>
      </c>
      <c r="AB34" s="25">
        <f t="shared" si="20"/>
        <v>3000</v>
      </c>
    </row>
    <row r="35" spans="1:28" ht="33" customHeight="1" x14ac:dyDescent="0.25">
      <c r="A35" s="9" t="str">
        <f>'Bid Item List'!A47</f>
        <v>0028</v>
      </c>
      <c r="B35" s="49" t="str">
        <f>'Bid Item List'!B47</f>
        <v>Catch Basins/Inlets 
(Sections 012200 and 334100)</v>
      </c>
      <c r="C35" s="50">
        <f>'Bid Item List'!C47</f>
        <v>14</v>
      </c>
      <c r="D35" s="18" t="str">
        <f>'Bid Item List'!D47</f>
        <v>Each</v>
      </c>
      <c r="E35" s="24">
        <v>6000</v>
      </c>
      <c r="F35" s="25">
        <f t="shared" si="12"/>
        <v>84000</v>
      </c>
      <c r="G35" s="24">
        <v>7414</v>
      </c>
      <c r="H35" s="25">
        <f t="shared" si="13"/>
        <v>103796</v>
      </c>
      <c r="I35" s="24">
        <v>11000</v>
      </c>
      <c r="J35" s="25">
        <f t="shared" si="14"/>
        <v>154000</v>
      </c>
      <c r="K35" s="24">
        <v>7500</v>
      </c>
      <c r="L35" s="25">
        <f t="shared" si="15"/>
        <v>105000</v>
      </c>
      <c r="M35" s="24">
        <v>7800</v>
      </c>
      <c r="N35" s="25">
        <f t="shared" si="16"/>
        <v>109200</v>
      </c>
      <c r="O35" s="24">
        <v>10150</v>
      </c>
      <c r="P35" s="25">
        <f t="shared" si="17"/>
        <v>142100</v>
      </c>
      <c r="Q35" s="24">
        <v>9500</v>
      </c>
      <c r="R35" s="25">
        <f t="shared" si="18"/>
        <v>133000</v>
      </c>
      <c r="S35" s="24">
        <v>4000</v>
      </c>
      <c r="T35" s="25">
        <f t="shared" si="19"/>
        <v>56000</v>
      </c>
      <c r="U35" s="24">
        <v>8000</v>
      </c>
      <c r="V35" s="25">
        <f t="shared" si="8"/>
        <v>112000</v>
      </c>
      <c r="W35" s="24">
        <v>9000</v>
      </c>
      <c r="X35" s="25">
        <f t="shared" si="9"/>
        <v>126000</v>
      </c>
      <c r="Y35" s="24">
        <v>8100</v>
      </c>
      <c r="Z35" s="25">
        <f t="shared" si="10"/>
        <v>113400</v>
      </c>
      <c r="AA35" s="24">
        <v>3230</v>
      </c>
      <c r="AB35" s="25">
        <f t="shared" si="20"/>
        <v>45220</v>
      </c>
    </row>
    <row r="36" spans="1:28" ht="33" customHeight="1" x14ac:dyDescent="0.25">
      <c r="A36" s="9" t="str">
        <f>'Bid Item List'!A48</f>
        <v>0029</v>
      </c>
      <c r="B36" s="49" t="str">
        <f>'Bid Item List'!B48</f>
        <v>48-Inch Manhole 
(Sections 012200 and 334100)</v>
      </c>
      <c r="C36" s="50">
        <f>'Bid Item List'!C48</f>
        <v>9</v>
      </c>
      <c r="D36" s="18" t="str">
        <f>'Bid Item List'!D48</f>
        <v>Each</v>
      </c>
      <c r="E36" s="24">
        <v>12750</v>
      </c>
      <c r="F36" s="25">
        <f t="shared" si="12"/>
        <v>114750</v>
      </c>
      <c r="G36" s="24">
        <v>9953</v>
      </c>
      <c r="H36" s="25">
        <f t="shared" si="13"/>
        <v>89577</v>
      </c>
      <c r="I36" s="24">
        <v>11000</v>
      </c>
      <c r="J36" s="25">
        <f t="shared" si="14"/>
        <v>99000</v>
      </c>
      <c r="K36" s="24">
        <v>12800</v>
      </c>
      <c r="L36" s="25">
        <f t="shared" si="15"/>
        <v>115200</v>
      </c>
      <c r="M36" s="24">
        <v>12000</v>
      </c>
      <c r="N36" s="25">
        <f t="shared" si="16"/>
        <v>108000</v>
      </c>
      <c r="O36" s="24">
        <v>21000</v>
      </c>
      <c r="P36" s="25">
        <f t="shared" si="17"/>
        <v>189000</v>
      </c>
      <c r="Q36" s="24">
        <v>10000</v>
      </c>
      <c r="R36" s="25">
        <f t="shared" si="18"/>
        <v>90000</v>
      </c>
      <c r="S36" s="24">
        <v>15000</v>
      </c>
      <c r="T36" s="25">
        <f t="shared" si="19"/>
        <v>135000</v>
      </c>
      <c r="U36" s="24">
        <v>15000</v>
      </c>
      <c r="V36" s="25">
        <f t="shared" si="8"/>
        <v>135000</v>
      </c>
      <c r="W36" s="24">
        <v>10000</v>
      </c>
      <c r="X36" s="25">
        <f t="shared" si="9"/>
        <v>90000</v>
      </c>
      <c r="Y36" s="24">
        <v>10000</v>
      </c>
      <c r="Z36" s="25">
        <f t="shared" si="10"/>
        <v>90000</v>
      </c>
      <c r="AA36" s="24">
        <v>11226</v>
      </c>
      <c r="AB36" s="25">
        <f t="shared" si="20"/>
        <v>101034</v>
      </c>
    </row>
    <row r="37" spans="1:28" ht="33" customHeight="1" x14ac:dyDescent="0.25">
      <c r="A37" s="9" t="str">
        <f>'Bid Item List'!A49</f>
        <v>0030</v>
      </c>
      <c r="B37" s="49" t="str">
        <f>'Bid Item List'!B49</f>
        <v>72-Inch Manhole 
(Sections 012200 and 334100)</v>
      </c>
      <c r="C37" s="50">
        <f>'Bid Item List'!C49</f>
        <v>15</v>
      </c>
      <c r="D37" s="18" t="str">
        <f>'Bid Item List'!D49</f>
        <v>Each</v>
      </c>
      <c r="E37" s="24">
        <v>19875</v>
      </c>
      <c r="F37" s="25">
        <f t="shared" si="12"/>
        <v>298125</v>
      </c>
      <c r="G37" s="24">
        <v>17364</v>
      </c>
      <c r="H37" s="25">
        <f t="shared" si="13"/>
        <v>260460</v>
      </c>
      <c r="I37" s="24">
        <v>23000</v>
      </c>
      <c r="J37" s="25">
        <f t="shared" si="14"/>
        <v>345000</v>
      </c>
      <c r="K37" s="24">
        <v>30000</v>
      </c>
      <c r="L37" s="25">
        <f t="shared" si="15"/>
        <v>450000</v>
      </c>
      <c r="M37" s="24">
        <v>24000</v>
      </c>
      <c r="N37" s="25">
        <f t="shared" si="16"/>
        <v>360000</v>
      </c>
      <c r="O37" s="24">
        <v>33000</v>
      </c>
      <c r="P37" s="25">
        <f t="shared" si="17"/>
        <v>495000</v>
      </c>
      <c r="Q37" s="24">
        <v>24000</v>
      </c>
      <c r="R37" s="25">
        <f t="shared" si="18"/>
        <v>360000</v>
      </c>
      <c r="S37" s="24">
        <v>15000</v>
      </c>
      <c r="T37" s="25">
        <f t="shared" si="19"/>
        <v>225000</v>
      </c>
      <c r="U37" s="24">
        <v>25000</v>
      </c>
      <c r="V37" s="25">
        <f t="shared" si="8"/>
        <v>375000</v>
      </c>
      <c r="W37" s="24">
        <v>20000</v>
      </c>
      <c r="X37" s="25">
        <f t="shared" si="9"/>
        <v>300000</v>
      </c>
      <c r="Y37" s="24">
        <v>22500</v>
      </c>
      <c r="Z37" s="25">
        <f t="shared" si="10"/>
        <v>337500</v>
      </c>
      <c r="AA37" s="24">
        <v>18100</v>
      </c>
      <c r="AB37" s="25">
        <f t="shared" si="20"/>
        <v>271500</v>
      </c>
    </row>
    <row r="38" spans="1:28" ht="33" customHeight="1" x14ac:dyDescent="0.25">
      <c r="A38" s="9" t="str">
        <f>'Bid Item List'!A50</f>
        <v>0031</v>
      </c>
      <c r="B38" s="49" t="str">
        <f>'Bid Item List'!B50</f>
        <v>120-Inch Manhole 
(Sections 012200 and 334100)</v>
      </c>
      <c r="C38" s="50">
        <f>'Bid Item List'!C50</f>
        <v>1</v>
      </c>
      <c r="D38" s="18" t="str">
        <f>'Bid Item List'!D50</f>
        <v>Each</v>
      </c>
      <c r="E38" s="24">
        <v>28637.5</v>
      </c>
      <c r="F38" s="25">
        <f t="shared" si="12"/>
        <v>28637.5</v>
      </c>
      <c r="G38" s="24">
        <v>110656</v>
      </c>
      <c r="H38" s="25">
        <f t="shared" si="13"/>
        <v>110656</v>
      </c>
      <c r="I38" s="24">
        <v>34000</v>
      </c>
      <c r="J38" s="25">
        <f t="shared" si="14"/>
        <v>34000</v>
      </c>
      <c r="K38" s="24">
        <v>100000</v>
      </c>
      <c r="L38" s="25">
        <f t="shared" si="15"/>
        <v>100000</v>
      </c>
      <c r="M38" s="24">
        <v>44200</v>
      </c>
      <c r="N38" s="25">
        <f t="shared" si="16"/>
        <v>44200</v>
      </c>
      <c r="O38" s="24">
        <v>84000</v>
      </c>
      <c r="P38" s="25">
        <f t="shared" si="17"/>
        <v>84000</v>
      </c>
      <c r="Q38" s="24">
        <v>52500</v>
      </c>
      <c r="R38" s="25">
        <f t="shared" si="18"/>
        <v>52500</v>
      </c>
      <c r="S38" s="24">
        <v>20000</v>
      </c>
      <c r="T38" s="25">
        <f t="shared" si="19"/>
        <v>20000</v>
      </c>
      <c r="U38" s="24">
        <v>50000</v>
      </c>
      <c r="V38" s="25">
        <f t="shared" si="8"/>
        <v>50000</v>
      </c>
      <c r="W38" s="24">
        <v>125000</v>
      </c>
      <c r="X38" s="25">
        <f t="shared" si="9"/>
        <v>125000</v>
      </c>
      <c r="Y38" s="24">
        <v>61000</v>
      </c>
      <c r="Z38" s="25">
        <f t="shared" si="10"/>
        <v>61000</v>
      </c>
      <c r="AA38" s="24">
        <v>28520</v>
      </c>
      <c r="AB38" s="25">
        <f t="shared" si="20"/>
        <v>28520</v>
      </c>
    </row>
    <row r="39" spans="1:28" ht="33" customHeight="1" x14ac:dyDescent="0.25">
      <c r="A39" s="9" t="str">
        <f>'Bid Item List'!A51</f>
        <v>0032</v>
      </c>
      <c r="B39" s="49" t="str">
        <f>'Bid Item List'!B51</f>
        <v>Extra Manhole Depth (48-Inch) 
(Sections 012200 and 334100)</v>
      </c>
      <c r="C39" s="50">
        <f>'Bid Item List'!C51</f>
        <v>4</v>
      </c>
      <c r="D39" s="18" t="str">
        <f>'Bid Item List'!D51</f>
        <v>LF</v>
      </c>
      <c r="E39" s="24">
        <v>150</v>
      </c>
      <c r="F39" s="25">
        <f t="shared" si="12"/>
        <v>600</v>
      </c>
      <c r="G39" s="24">
        <v>563</v>
      </c>
      <c r="H39" s="25">
        <f t="shared" si="13"/>
        <v>2252</v>
      </c>
      <c r="I39" s="24">
        <v>1200</v>
      </c>
      <c r="J39" s="25">
        <f t="shared" si="14"/>
        <v>4800</v>
      </c>
      <c r="K39" s="24">
        <v>400</v>
      </c>
      <c r="L39" s="25">
        <f t="shared" si="15"/>
        <v>1600</v>
      </c>
      <c r="M39" s="24">
        <v>600</v>
      </c>
      <c r="N39" s="25">
        <f t="shared" si="16"/>
        <v>2400</v>
      </c>
      <c r="O39" s="24">
        <v>950</v>
      </c>
      <c r="P39" s="25">
        <f t="shared" si="17"/>
        <v>3800</v>
      </c>
      <c r="Q39" s="24">
        <v>450</v>
      </c>
      <c r="R39" s="25">
        <f t="shared" si="18"/>
        <v>1800</v>
      </c>
      <c r="S39" s="24">
        <v>450</v>
      </c>
      <c r="T39" s="25">
        <f t="shared" si="19"/>
        <v>1800</v>
      </c>
      <c r="U39" s="24">
        <v>200</v>
      </c>
      <c r="V39" s="25">
        <f t="shared" si="8"/>
        <v>800</v>
      </c>
      <c r="W39" s="24">
        <v>1000</v>
      </c>
      <c r="X39" s="25">
        <f t="shared" si="9"/>
        <v>4000</v>
      </c>
      <c r="Y39" s="24">
        <v>3125</v>
      </c>
      <c r="Z39" s="25">
        <f t="shared" si="10"/>
        <v>12500</v>
      </c>
      <c r="AA39" s="24">
        <v>1200</v>
      </c>
      <c r="AB39" s="25">
        <f t="shared" si="20"/>
        <v>4800</v>
      </c>
    </row>
    <row r="40" spans="1:28" ht="33" customHeight="1" x14ac:dyDescent="0.25">
      <c r="A40" s="9" t="str">
        <f>'Bid Item List'!A52</f>
        <v>0033</v>
      </c>
      <c r="B40" s="49" t="str">
        <f>'Bid Item List'!B52</f>
        <v>Extra Manhole Depth (72-Inch) 
(Sections 012200 and 334100)</v>
      </c>
      <c r="C40" s="50">
        <f>'Bid Item List'!C52</f>
        <v>35</v>
      </c>
      <c r="D40" s="18" t="str">
        <f>'Bid Item List'!D52</f>
        <v>LF</v>
      </c>
      <c r="E40" s="24">
        <v>225</v>
      </c>
      <c r="F40" s="25">
        <f t="shared" si="12"/>
        <v>7875</v>
      </c>
      <c r="G40" s="24">
        <v>768</v>
      </c>
      <c r="H40" s="25">
        <f t="shared" si="13"/>
        <v>26880</v>
      </c>
      <c r="I40" s="24">
        <v>1650</v>
      </c>
      <c r="J40" s="25">
        <f t="shared" si="14"/>
        <v>57750</v>
      </c>
      <c r="K40" s="24">
        <v>420</v>
      </c>
      <c r="L40" s="25">
        <f t="shared" si="15"/>
        <v>14700</v>
      </c>
      <c r="M40" s="24">
        <v>750</v>
      </c>
      <c r="N40" s="25">
        <f t="shared" si="16"/>
        <v>26250</v>
      </c>
      <c r="O40" s="24">
        <v>600</v>
      </c>
      <c r="P40" s="25">
        <f t="shared" si="17"/>
        <v>21000</v>
      </c>
      <c r="Q40" s="24">
        <v>525</v>
      </c>
      <c r="R40" s="25">
        <f t="shared" si="18"/>
        <v>18375</v>
      </c>
      <c r="S40" s="24">
        <v>450</v>
      </c>
      <c r="T40" s="25">
        <f t="shared" si="19"/>
        <v>15750</v>
      </c>
      <c r="U40" s="24">
        <v>200</v>
      </c>
      <c r="V40" s="25">
        <f t="shared" si="8"/>
        <v>7000</v>
      </c>
      <c r="W40" s="24">
        <v>1750</v>
      </c>
      <c r="X40" s="25">
        <f t="shared" si="9"/>
        <v>61250</v>
      </c>
      <c r="Y40" s="24">
        <v>2675</v>
      </c>
      <c r="Z40" s="25">
        <f t="shared" si="10"/>
        <v>93625</v>
      </c>
      <c r="AA40" s="24">
        <v>1500</v>
      </c>
      <c r="AB40" s="25">
        <f t="shared" si="20"/>
        <v>52500</v>
      </c>
    </row>
    <row r="41" spans="1:28" ht="33" customHeight="1" x14ac:dyDescent="0.25">
      <c r="A41" s="9" t="str">
        <f>'Bid Item List'!A53</f>
        <v>0034</v>
      </c>
      <c r="B41" s="49" t="str">
        <f>'Bid Item List'!B53</f>
        <v>Extra Manhole Depth (120-Inch) 
(Sections 012200 and 334100)</v>
      </c>
      <c r="C41" s="50">
        <f>'Bid Item List'!C53</f>
        <v>4</v>
      </c>
      <c r="D41" s="18" t="str">
        <f>'Bid Item List'!D53</f>
        <v>LF</v>
      </c>
      <c r="E41" s="24">
        <v>256.25</v>
      </c>
      <c r="F41" s="25">
        <f t="shared" si="12"/>
        <v>1025</v>
      </c>
      <c r="G41" s="24">
        <v>1970</v>
      </c>
      <c r="H41" s="25">
        <f t="shared" si="13"/>
        <v>7880</v>
      </c>
      <c r="I41" s="24">
        <v>3500</v>
      </c>
      <c r="J41" s="25">
        <f t="shared" si="14"/>
        <v>14000</v>
      </c>
      <c r="K41" s="24">
        <v>610</v>
      </c>
      <c r="L41" s="25">
        <f t="shared" si="15"/>
        <v>2440</v>
      </c>
      <c r="M41" s="24">
        <v>1500</v>
      </c>
      <c r="N41" s="25">
        <f t="shared" si="16"/>
        <v>6000</v>
      </c>
      <c r="O41" s="24">
        <v>1400</v>
      </c>
      <c r="P41" s="25">
        <f t="shared" si="17"/>
        <v>5600</v>
      </c>
      <c r="Q41" s="24">
        <v>1525</v>
      </c>
      <c r="R41" s="25">
        <f t="shared" si="18"/>
        <v>6100</v>
      </c>
      <c r="S41" s="24">
        <v>900</v>
      </c>
      <c r="T41" s="25">
        <f t="shared" si="19"/>
        <v>3600</v>
      </c>
      <c r="U41" s="24">
        <v>400</v>
      </c>
      <c r="V41" s="25">
        <f t="shared" si="8"/>
        <v>1600</v>
      </c>
      <c r="W41" s="24">
        <v>4000</v>
      </c>
      <c r="X41" s="25">
        <f t="shared" si="9"/>
        <v>16000</v>
      </c>
      <c r="Y41" s="24">
        <v>5400</v>
      </c>
      <c r="Z41" s="25">
        <f t="shared" si="10"/>
        <v>21600</v>
      </c>
      <c r="AA41" s="24">
        <v>2500</v>
      </c>
      <c r="AB41" s="25">
        <f t="shared" si="20"/>
        <v>10000</v>
      </c>
    </row>
    <row r="42" spans="1:28" ht="27.75" customHeight="1" x14ac:dyDescent="0.25">
      <c r="A42" s="10"/>
      <c r="B42" s="19" t="s">
        <v>87</v>
      </c>
      <c r="C42" s="35"/>
      <c r="D42" s="20"/>
      <c r="E42" s="26"/>
      <c r="F42" s="51">
        <f>SUM($F8:$F41)</f>
        <v>4249540.754999999</v>
      </c>
      <c r="G42" s="26"/>
      <c r="H42" s="51">
        <f>SUM($H8:$H41)</f>
        <v>3725047.1</v>
      </c>
      <c r="I42" s="26"/>
      <c r="J42" s="51">
        <f>SUM($J8:$J41)</f>
        <v>4508106.5</v>
      </c>
      <c r="K42" s="26"/>
      <c r="L42" s="51">
        <f>SUM($L8:$L41)</f>
        <v>4186136</v>
      </c>
      <c r="M42" s="26"/>
      <c r="N42" s="51">
        <f>SUM($N8:$N41)</f>
        <v>3389211.5</v>
      </c>
      <c r="O42" s="26"/>
      <c r="P42" s="51">
        <f>SUM($P8:$P41)</f>
        <v>4894385.3</v>
      </c>
      <c r="Q42" s="26"/>
      <c r="R42" s="51">
        <f>SUM($R8:$R41)</f>
        <v>4444240.2</v>
      </c>
      <c r="S42" s="26"/>
      <c r="T42" s="51">
        <f>SUM($T8:$T41)</f>
        <v>4826299</v>
      </c>
      <c r="U42" s="26"/>
      <c r="V42" s="51">
        <f>SUM($V8:$V41)</f>
        <v>3317066</v>
      </c>
      <c r="W42" s="26"/>
      <c r="X42" s="51">
        <f>SUM($X8:$X41)</f>
        <v>2940525</v>
      </c>
      <c r="Y42" s="26"/>
      <c r="Z42" s="51">
        <f>SUM($Z8:$Z41)</f>
        <v>3079845.8</v>
      </c>
      <c r="AA42" s="26"/>
      <c r="AB42" s="51">
        <f>SUM($AB8:$AB41)</f>
        <v>3750841.7</v>
      </c>
    </row>
  </sheetData>
  <mergeCells count="18">
    <mergeCell ref="A6:D6"/>
    <mergeCell ref="E1:F5"/>
    <mergeCell ref="G1:H5"/>
    <mergeCell ref="I1:J5"/>
    <mergeCell ref="A1:D1"/>
    <mergeCell ref="A2:D2"/>
    <mergeCell ref="A3:D3"/>
    <mergeCell ref="A4:D4"/>
    <mergeCell ref="A5:D5"/>
    <mergeCell ref="Q1:R5"/>
    <mergeCell ref="S1:T5"/>
    <mergeCell ref="AA1:AB5"/>
    <mergeCell ref="K1:L5"/>
    <mergeCell ref="M1:N5"/>
    <mergeCell ref="O1:P5"/>
    <mergeCell ref="U1:V5"/>
    <mergeCell ref="W1:X5"/>
    <mergeCell ref="Y1:Z5"/>
  </mergeCells>
  <printOptions horizontalCentered="1"/>
  <pageMargins left="0.5" right="0.5" top="0.5" bottom="0.5" header="0.5" footer="0.5"/>
  <pageSetup orientation="landscape" r:id="rId1"/>
  <headerFooter>
    <oddFooter>&amp;C
&amp;1#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theme="6" tint="-0.499984740745262"/>
  </sheetPr>
  <dimension ref="A1:B20"/>
  <sheetViews>
    <sheetView view="pageLayout" zoomScaleNormal="75" zoomScaleSheetLayoutView="100" workbookViewId="0"/>
  </sheetViews>
  <sheetFormatPr defaultRowHeight="15" x14ac:dyDescent="0.25"/>
  <cols>
    <col min="1" max="1" width="53.7109375" style="11" customWidth="1"/>
    <col min="2" max="2" width="27" style="44" customWidth="1"/>
  </cols>
  <sheetData>
    <row r="1" spans="1:2" ht="30" customHeight="1" x14ac:dyDescent="0.25">
      <c r="A1" s="22" t="str">
        <f>ProjectLocation</f>
        <v>PORTLAND INTERNATIONAL AIRPORT</v>
      </c>
      <c r="B1" s="40"/>
    </row>
    <row r="2" spans="1:2" ht="15" customHeight="1" x14ac:dyDescent="0.25">
      <c r="A2" s="23" t="str">
        <f>ProjectTitle</f>
        <v>BASIN 1 SUBAREA STORMWATER IMPROVEMENTS</v>
      </c>
      <c r="B2" s="41"/>
    </row>
    <row r="3" spans="1:2" ht="15" customHeight="1" x14ac:dyDescent="0.25">
      <c r="A3" s="23">
        <f>ProjectTitle2</f>
        <v>0</v>
      </c>
      <c r="B3" s="41"/>
    </row>
    <row r="4" spans="1:2" x14ac:dyDescent="0.25">
      <c r="A4" s="12" t="str">
        <f>EAN</f>
        <v>EAN 2024D016</v>
      </c>
      <c r="B4" s="41"/>
    </row>
    <row r="5" spans="1:2" ht="15" customHeight="1" x14ac:dyDescent="0.25">
      <c r="A5" s="13" t="str">
        <f>SolicitationNo</f>
        <v>Solicitation No. 2025-12724</v>
      </c>
      <c r="B5" s="41"/>
    </row>
    <row r="6" spans="1:2" ht="15" customHeight="1" x14ac:dyDescent="0.25">
      <c r="A6" s="14">
        <f ca="1">TODAY()</f>
        <v>46029</v>
      </c>
      <c r="B6" s="42"/>
    </row>
    <row r="7" spans="1:2" ht="33" customHeight="1" x14ac:dyDescent="0.25">
      <c r="A7" s="15" t="s">
        <v>90</v>
      </c>
      <c r="B7" s="43" t="s">
        <v>20</v>
      </c>
    </row>
    <row r="8" spans="1:2" ht="33" customHeight="1" x14ac:dyDescent="0.25">
      <c r="A8" s="16" t="str">
        <f>Contractor10</f>
        <v>Nutter Corporation</v>
      </c>
      <c r="B8" s="45">
        <f>'Bid Tabulation'!X42</f>
        <v>2940525</v>
      </c>
    </row>
    <row r="9" spans="1:2" ht="33" customHeight="1" x14ac:dyDescent="0.25">
      <c r="A9" s="16" t="str">
        <f>Contractor11</f>
        <v>Tapani Inc.</v>
      </c>
      <c r="B9" s="45">
        <f>'Bid Tabulation'!Z42</f>
        <v>3079845.8</v>
      </c>
    </row>
    <row r="10" spans="1:2" ht="33" customHeight="1" x14ac:dyDescent="0.25">
      <c r="A10" s="16" t="str">
        <f>Contractor9</f>
        <v>Moore Excavation, Inc.</v>
      </c>
      <c r="B10" s="45">
        <f>'Bid Tabulation'!V42</f>
        <v>3317066</v>
      </c>
    </row>
    <row r="11" spans="1:2" ht="33" customHeight="1" x14ac:dyDescent="0.25">
      <c r="A11" s="16" t="str">
        <f>Contractor5</f>
        <v>K&amp;E Excavating, Inc.</v>
      </c>
      <c r="B11" s="45">
        <f>Total5</f>
        <v>3389211.5</v>
      </c>
    </row>
    <row r="12" spans="1:2" ht="33" customHeight="1" x14ac:dyDescent="0.25">
      <c r="A12" s="16" t="str">
        <f>Contractor2</f>
        <v>Coffman Excavation</v>
      </c>
      <c r="B12" s="45">
        <f>Total2</f>
        <v>3725047.1</v>
      </c>
    </row>
    <row r="13" spans="1:2" ht="33" customHeight="1" x14ac:dyDescent="0.25">
      <c r="A13" s="16" t="str">
        <f>Contractor4</f>
        <v>Interlaken, Inc.</v>
      </c>
      <c r="B13" s="45">
        <f>Total4</f>
        <v>4186136</v>
      </c>
    </row>
    <row r="14" spans="1:2" ht="33" customHeight="1" x14ac:dyDescent="0.25">
      <c r="A14" s="16" t="str">
        <f>Contractor1</f>
        <v>Apex Mechanical LLC</v>
      </c>
      <c r="B14" s="81" t="s">
        <v>106</v>
      </c>
    </row>
    <row r="15" spans="1:2" ht="33" customHeight="1" x14ac:dyDescent="0.25">
      <c r="A15" s="16" t="str">
        <f>Contractor7</f>
        <v>Landis+Landis Construction, LLC</v>
      </c>
      <c r="B15" s="45">
        <f>Total7</f>
        <v>4444240.2</v>
      </c>
    </row>
    <row r="16" spans="1:2" ht="33" customHeight="1" x14ac:dyDescent="0.25">
      <c r="A16" s="16" t="str">
        <f>Contractor3</f>
        <v>Goodfellow Bros. LLC</v>
      </c>
      <c r="B16" s="81" t="s">
        <v>107</v>
      </c>
    </row>
    <row r="17" spans="1:2" ht="33" customHeight="1" x14ac:dyDescent="0.25">
      <c r="A17" s="16" t="str">
        <f>Contractor8</f>
        <v>MJ Hughes Construction</v>
      </c>
      <c r="B17" s="45">
        <f>Total8</f>
        <v>4826299</v>
      </c>
    </row>
    <row r="18" spans="1:2" ht="33" customHeight="1" x14ac:dyDescent="0.25">
      <c r="A18" s="16" t="str">
        <f>Contractor6</f>
        <v>Kerr Contractors 
Oregon, LLC</v>
      </c>
      <c r="B18" s="45">
        <f>Total6</f>
        <v>4894385.3</v>
      </c>
    </row>
    <row r="19" spans="1:2" ht="33" customHeight="1" x14ac:dyDescent="0.25">
      <c r="A19" s="52" t="str">
        <f>EngineerEstimate</f>
        <v>Engineer's Estimate</v>
      </c>
      <c r="B19" s="53">
        <f>TotalEE</f>
        <v>3750841.7</v>
      </c>
    </row>
    <row r="20" spans="1:2" x14ac:dyDescent="0.25">
      <c r="A20" s="46" t="s">
        <v>108</v>
      </c>
    </row>
  </sheetData>
  <sortState xmlns:xlrd2="http://schemas.microsoft.com/office/spreadsheetml/2017/richdata2" ref="A8:B18">
    <sortCondition ref="B8:B18"/>
  </sortState>
  <printOptions horizontalCentered="1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C3FC360486C3449A5BF21A412D0E8B" ma:contentTypeVersion="3" ma:contentTypeDescription="Create a new document." ma:contentTypeScope="" ma:versionID="ae1734035da06489cee3bc010ff747fc">
  <xsd:schema xmlns:xsd="http://www.w3.org/2001/XMLSchema" xmlns:xs="http://www.w3.org/2001/XMLSchema" xmlns:p="http://schemas.microsoft.com/office/2006/metadata/properties" xmlns:ns2="149230f7-eaf4-416e-8d5c-5c6c61cbabe4" targetNamespace="http://schemas.microsoft.com/office/2006/metadata/properties" ma:root="true" ma:fieldsID="6046d4d5e893a6dcf2a15683580b6564" ns2:_="">
    <xsd:import namespace="149230f7-eaf4-416e-8d5c-5c6c61cbab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9230f7-eaf4-416e-8d5c-5c6c61cbab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5CD5ADF-E9FE-43C0-AB9E-606F22627D60}"/>
</file>

<file path=customXml/itemProps2.xml><?xml version="1.0" encoding="utf-8"?>
<ds:datastoreItem xmlns:ds="http://schemas.openxmlformats.org/officeDocument/2006/customXml" ds:itemID="{89B39EFE-1FFA-4911-9B04-56FCB6AEEEC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C52B9B-22EB-4EFB-AA59-8F00EEF9989D}">
  <ds:schemaRefs>
    <ds:schemaRef ds:uri="http://schemas.microsoft.com/office/2006/metadata/properties"/>
    <ds:schemaRef ds:uri="http://schemas.microsoft.com/office/infopath/2007/PartnerControls"/>
    <ds:schemaRef ds:uri="fe314e64-c0c8-43e9-a6a1-3829a69a9a1f"/>
    <ds:schemaRef ds:uri="89332d48-2eb6-4091-9667-b00cdc6437d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31</vt:i4>
      </vt:variant>
    </vt:vector>
  </HeadingPairs>
  <TitlesOfParts>
    <vt:vector size="34" baseType="lpstr">
      <vt:lpstr>Bid Item List</vt:lpstr>
      <vt:lpstr>Bid Tabulation</vt:lpstr>
      <vt:lpstr>Summary</vt:lpstr>
      <vt:lpstr>Contractor1</vt:lpstr>
      <vt:lpstr>Contractor10</vt:lpstr>
      <vt:lpstr>Contractor11</vt:lpstr>
      <vt:lpstr>Contractor2</vt:lpstr>
      <vt:lpstr>Contractor3</vt:lpstr>
      <vt:lpstr>Contractor4</vt:lpstr>
      <vt:lpstr>Contractor5</vt:lpstr>
      <vt:lpstr>Contractor6</vt:lpstr>
      <vt:lpstr>Contractor7</vt:lpstr>
      <vt:lpstr>Contractor8</vt:lpstr>
      <vt:lpstr>Contractor9</vt:lpstr>
      <vt:lpstr>EAN</vt:lpstr>
      <vt:lpstr>EngineerEstimate</vt:lpstr>
      <vt:lpstr>'Bid Item List'!Print_Area</vt:lpstr>
      <vt:lpstr>Summary!Print_Area</vt:lpstr>
      <vt:lpstr>'Bid Item List'!Print_Titles</vt:lpstr>
      <vt:lpstr>'Bid Tabulation'!Print_Titles</vt:lpstr>
      <vt:lpstr>ProjectLocation</vt:lpstr>
      <vt:lpstr>ProjectTitle</vt:lpstr>
      <vt:lpstr>ProjectTitle2</vt:lpstr>
      <vt:lpstr>QTY</vt:lpstr>
      <vt:lpstr>SolicitationNo</vt:lpstr>
      <vt:lpstr>Total1</vt:lpstr>
      <vt:lpstr>Total2</vt:lpstr>
      <vt:lpstr>Total3</vt:lpstr>
      <vt:lpstr>Total4</vt:lpstr>
      <vt:lpstr>Total5</vt:lpstr>
      <vt:lpstr>Total6</vt:lpstr>
      <vt:lpstr>Total7</vt:lpstr>
      <vt:lpstr>Total8</vt:lpstr>
      <vt:lpstr>TotalEE</vt:lpstr>
    </vt:vector>
  </TitlesOfParts>
  <Manager/>
  <Company>Port of Portland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Etta Goerl</dc:creator>
  <cp:keywords/>
  <dc:description/>
  <cp:lastModifiedBy>Doherty, Colin</cp:lastModifiedBy>
  <cp:revision/>
  <cp:lastPrinted>2026-01-07T23:25:41Z</cp:lastPrinted>
  <dcterms:created xsi:type="dcterms:W3CDTF">2014-05-02T22:08:37Z</dcterms:created>
  <dcterms:modified xsi:type="dcterms:W3CDTF">2026-01-07T23:26:38Z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0x010100C4C3FC360486C3449A5BF21A412D0E8B</vt:lpwstr>
  </property>
  <property fmtid="{D5CDD505-2E9C-101B-9397-08002B2CF9AE}" pid="3" name="_dlc_DocIdItemGuid">
    <vt:lpwstr>d4d5536d-e0a7-46e1-86c2-9b74ad030092</vt:lpwstr>
  </property>
  <property fmtid="{D5CDD505-2E9C-101B-9397-08002B2CF9AE}" pid="4" name="MSIP_Label_f49efa9f-42fe-4312-9503-c89a219c0830_Enabled">
    <vt:lpwstr>true</vt:lpwstr>
  </property>
  <property fmtid="{D5CDD505-2E9C-101B-9397-08002B2CF9AE}" pid="5" name="MSIP_Label_f49efa9f-42fe-4312-9503-c89a219c0830_SetDate">
    <vt:lpwstr>2025-09-24T13:39:44Z</vt:lpwstr>
  </property>
  <property fmtid="{D5CDD505-2E9C-101B-9397-08002B2CF9AE}" pid="6" name="MSIP_Label_f49efa9f-42fe-4312-9503-c89a219c0830_Method">
    <vt:lpwstr>Standard</vt:lpwstr>
  </property>
  <property fmtid="{D5CDD505-2E9C-101B-9397-08002B2CF9AE}" pid="7" name="MSIP_Label_f49efa9f-42fe-4312-9503-c89a219c0830_Name">
    <vt:lpwstr>MM RESTRICTED</vt:lpwstr>
  </property>
  <property fmtid="{D5CDD505-2E9C-101B-9397-08002B2CF9AE}" pid="8" name="MSIP_Label_f49efa9f-42fe-4312-9503-c89a219c0830_SiteId">
    <vt:lpwstr>a2bed0c4-5957-4f73-b0c2-a811407590fb</vt:lpwstr>
  </property>
  <property fmtid="{D5CDD505-2E9C-101B-9397-08002B2CF9AE}" pid="9" name="MSIP_Label_f49efa9f-42fe-4312-9503-c89a219c0830_ActionId">
    <vt:lpwstr>cae73e77-ff43-4508-944f-2744bfd34030</vt:lpwstr>
  </property>
  <property fmtid="{D5CDD505-2E9C-101B-9397-08002B2CF9AE}" pid="10" name="MSIP_Label_f49efa9f-42fe-4312-9503-c89a219c0830_ContentBits">
    <vt:lpwstr>2</vt:lpwstr>
  </property>
  <property fmtid="{D5CDD505-2E9C-101B-9397-08002B2CF9AE}" pid="11" name="MSIP_Label_f49efa9f-42fe-4312-9503-c89a219c0830_Tag">
    <vt:lpwstr>10, 3, 0, 2</vt:lpwstr>
  </property>
  <property fmtid="{D5CDD505-2E9C-101B-9397-08002B2CF9AE}" pid="12" name="TaxKeyword">
    <vt:lpwstr/>
  </property>
  <property fmtid="{D5CDD505-2E9C-101B-9397-08002B2CF9AE}" pid="13" name="MediaServiceImageTags">
    <vt:lpwstr/>
  </property>
  <property fmtid="{D5CDD505-2E9C-101B-9397-08002B2CF9AE}" pid="14" name="lcf76f155ced4ddcb4097134ff3c332f">
    <vt:lpwstr/>
  </property>
  <property fmtid="{D5CDD505-2E9C-101B-9397-08002B2CF9AE}" pid="15" name="Folder_Number">
    <vt:lpwstr/>
  </property>
  <property fmtid="{D5CDD505-2E9C-101B-9397-08002B2CF9AE}" pid="16" name="Folder_Code">
    <vt:lpwstr/>
  </property>
  <property fmtid="{D5CDD505-2E9C-101B-9397-08002B2CF9AE}" pid="17" name="Folder_Name">
    <vt:lpwstr/>
  </property>
  <property fmtid="{D5CDD505-2E9C-101B-9397-08002B2CF9AE}" pid="18" name="Folder_Description">
    <vt:lpwstr/>
  </property>
  <property fmtid="{D5CDD505-2E9C-101B-9397-08002B2CF9AE}" pid="19" name="/Folder_Name/">
    <vt:lpwstr/>
  </property>
  <property fmtid="{D5CDD505-2E9C-101B-9397-08002B2CF9AE}" pid="20" name="/Folder_Description/">
    <vt:lpwstr/>
  </property>
  <property fmtid="{D5CDD505-2E9C-101B-9397-08002B2CF9AE}" pid="21" name="Folder_Version">
    <vt:lpwstr/>
  </property>
  <property fmtid="{D5CDD505-2E9C-101B-9397-08002B2CF9AE}" pid="22" name="Folder_VersionSeq">
    <vt:lpwstr/>
  </property>
  <property fmtid="{D5CDD505-2E9C-101B-9397-08002B2CF9AE}" pid="23" name="Folder_Manager">
    <vt:lpwstr/>
  </property>
  <property fmtid="{D5CDD505-2E9C-101B-9397-08002B2CF9AE}" pid="24" name="Folder_ManagerDesc">
    <vt:lpwstr/>
  </property>
  <property fmtid="{D5CDD505-2E9C-101B-9397-08002B2CF9AE}" pid="25" name="Folder_Storage">
    <vt:lpwstr/>
  </property>
  <property fmtid="{D5CDD505-2E9C-101B-9397-08002B2CF9AE}" pid="26" name="Folder_StorageDesc">
    <vt:lpwstr/>
  </property>
  <property fmtid="{D5CDD505-2E9C-101B-9397-08002B2CF9AE}" pid="27" name="Folder_Creator">
    <vt:lpwstr/>
  </property>
  <property fmtid="{D5CDD505-2E9C-101B-9397-08002B2CF9AE}" pid="28" name="Folder_CreatorDesc">
    <vt:lpwstr/>
  </property>
  <property fmtid="{D5CDD505-2E9C-101B-9397-08002B2CF9AE}" pid="29" name="Folder_CreateDate">
    <vt:lpwstr/>
  </property>
  <property fmtid="{D5CDD505-2E9C-101B-9397-08002B2CF9AE}" pid="30" name="Folder_Updater">
    <vt:lpwstr/>
  </property>
  <property fmtid="{D5CDD505-2E9C-101B-9397-08002B2CF9AE}" pid="31" name="Folder_UpdaterDesc">
    <vt:lpwstr/>
  </property>
  <property fmtid="{D5CDD505-2E9C-101B-9397-08002B2CF9AE}" pid="32" name="Folder_UpdateDate">
    <vt:lpwstr/>
  </property>
  <property fmtid="{D5CDD505-2E9C-101B-9397-08002B2CF9AE}" pid="33" name="Document_Number">
    <vt:lpwstr/>
  </property>
  <property fmtid="{D5CDD505-2E9C-101B-9397-08002B2CF9AE}" pid="34" name="Document_Name">
    <vt:lpwstr/>
  </property>
  <property fmtid="{D5CDD505-2E9C-101B-9397-08002B2CF9AE}" pid="35" name="Document_FileName">
    <vt:lpwstr/>
  </property>
  <property fmtid="{D5CDD505-2E9C-101B-9397-08002B2CF9AE}" pid="36" name="Document_Version">
    <vt:lpwstr/>
  </property>
  <property fmtid="{D5CDD505-2E9C-101B-9397-08002B2CF9AE}" pid="37" name="Document_VersionSeq">
    <vt:lpwstr/>
  </property>
  <property fmtid="{D5CDD505-2E9C-101B-9397-08002B2CF9AE}" pid="38" name="Document_Creator">
    <vt:lpwstr/>
  </property>
  <property fmtid="{D5CDD505-2E9C-101B-9397-08002B2CF9AE}" pid="39" name="Document_CreatorDesc">
    <vt:lpwstr/>
  </property>
  <property fmtid="{D5CDD505-2E9C-101B-9397-08002B2CF9AE}" pid="40" name="Document_CreateDate">
    <vt:lpwstr/>
  </property>
  <property fmtid="{D5CDD505-2E9C-101B-9397-08002B2CF9AE}" pid="41" name="Document_Updater">
    <vt:lpwstr/>
  </property>
  <property fmtid="{D5CDD505-2E9C-101B-9397-08002B2CF9AE}" pid="42" name="Document_UpdaterDesc">
    <vt:lpwstr/>
  </property>
  <property fmtid="{D5CDD505-2E9C-101B-9397-08002B2CF9AE}" pid="43" name="Document_UpdateDate">
    <vt:lpwstr/>
  </property>
  <property fmtid="{D5CDD505-2E9C-101B-9397-08002B2CF9AE}" pid="44" name="Document_Size">
    <vt:lpwstr/>
  </property>
  <property fmtid="{D5CDD505-2E9C-101B-9397-08002B2CF9AE}" pid="45" name="Document_Storage">
    <vt:lpwstr/>
  </property>
  <property fmtid="{D5CDD505-2E9C-101B-9397-08002B2CF9AE}" pid="46" name="Document_StorageDesc">
    <vt:lpwstr/>
  </property>
  <property fmtid="{D5CDD505-2E9C-101B-9397-08002B2CF9AE}" pid="47" name="Document_Department">
    <vt:lpwstr/>
  </property>
  <property fmtid="{D5CDD505-2E9C-101B-9397-08002B2CF9AE}" pid="48" name="Document_DepartmentDesc">
    <vt:lpwstr/>
  </property>
</Properties>
</file>