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POPFS\Eng-Spec\Pdx\23D\003\"/>
    </mc:Choice>
  </mc:AlternateContent>
  <xr:revisionPtr revIDLastSave="0" documentId="13_ncr:1_{9095D009-EFC7-42EB-A80B-564580866A80}" xr6:coauthVersionLast="47" xr6:coauthVersionMax="47" xr10:uidLastSave="{00000000-0000-0000-0000-000000000000}"/>
  <bookViews>
    <workbookView xWindow="-120" yWindow="-120" windowWidth="29040" windowHeight="15990" tabRatio="716" firstSheet="2" activeTab="11" xr2:uid="{00000000-000D-0000-FFFF-FFFF00000000}"/>
  </bookViews>
  <sheets>
    <sheet name="Bid Item List" sheetId="1" state="hidden" r:id="rId1"/>
    <sheet name="Base Bid" sheetId="7" r:id="rId2"/>
    <sheet name="AddAlt 1" sheetId="8" r:id="rId3"/>
    <sheet name="AddAlt 2" sheetId="6" r:id="rId4"/>
    <sheet name="AddAlt 3" sheetId="10" r:id="rId5"/>
    <sheet name="AddAlt 4" sheetId="9" r:id="rId6"/>
    <sheet name="Base Bid Tab" sheetId="2" r:id="rId7"/>
    <sheet name="Alternate 1 Tab" sheetId="11" r:id="rId8"/>
    <sheet name="Alternate 2 Tab" sheetId="12" r:id="rId9"/>
    <sheet name="Alternate 3 Tab" sheetId="13" r:id="rId10"/>
    <sheet name="Alternate 4 Tab" sheetId="14" r:id="rId11"/>
    <sheet name="Summary" sheetId="15" r:id="rId12"/>
  </sheets>
  <externalReferences>
    <externalReference r:id="rId13"/>
    <externalReference r:id="rId14"/>
  </externalReferences>
  <definedNames>
    <definedName name="AQTY">'[2]Bid Tab Base Bid'!$C:$C</definedName>
    <definedName name="ATotal1">'[2]Bid Tab Base Bid'!$F$16</definedName>
    <definedName name="ATotal2">'[2]Bid Tab Base Bid'!$H$16</definedName>
    <definedName name="ATotal3">'[2]Bid Tab Base Bid'!$J$16</definedName>
    <definedName name="ATotal4">'[2]Bid Tab Base Bid'!#REF!</definedName>
    <definedName name="ATotal5">'[2]Bid Tab Base Bid'!#REF!</definedName>
    <definedName name="ATotal6">'[2]Bid Tab Base Bid'!#REF!</definedName>
    <definedName name="ATotal7">'[2]Bid Tab Base Bid'!#REF!</definedName>
    <definedName name="ATotal8">'[2]Bid Tab Base Bid'!#REF!</definedName>
    <definedName name="ATotalEE">'[2]Bid Tab Base Bid'!$L$16</definedName>
    <definedName name="BQTY">'[2]Bid Tab Add Alt 1'!$C:$C</definedName>
    <definedName name="Contractor1" localSheetId="7">'Alternate 1 Tab'!$E$1</definedName>
    <definedName name="Contractor1" localSheetId="8">'Alternate 2 Tab'!$E$1</definedName>
    <definedName name="Contractor1" localSheetId="9">'Alternate 3 Tab'!$E$1</definedName>
    <definedName name="Contractor1" localSheetId="10">'Alternate 4 Tab'!$E$1</definedName>
    <definedName name="Contractor1" localSheetId="11">'[2]Bid Tab Base Bid'!$E$1</definedName>
    <definedName name="Contractor1">'Base Bid Tab'!$E$1</definedName>
    <definedName name="Contractor2" localSheetId="7">'Alternate 1 Tab'!$G$1</definedName>
    <definedName name="Contractor2" localSheetId="8">'Alternate 2 Tab'!$G$1</definedName>
    <definedName name="Contractor2" localSheetId="9">'Alternate 3 Tab'!$G$1</definedName>
    <definedName name="Contractor2" localSheetId="10">'Alternate 4 Tab'!$G$1</definedName>
    <definedName name="Contractor2" localSheetId="11">'[2]Bid Tab Base Bid'!$G$1</definedName>
    <definedName name="Contractor2">'Base Bid Tab'!$G$1</definedName>
    <definedName name="Contractor3" localSheetId="7">'Alternate 1 Tab'!#REF!</definedName>
    <definedName name="Contractor3" localSheetId="8">'Alternate 2 Tab'!#REF!</definedName>
    <definedName name="Contractor3" localSheetId="9">'Alternate 3 Tab'!#REF!</definedName>
    <definedName name="Contractor3" localSheetId="10">'Alternate 4 Tab'!#REF!</definedName>
    <definedName name="Contractor3" localSheetId="11">'[2]Bid Tab Base Bid'!$I$1</definedName>
    <definedName name="Contractor3">'Base Bid Tab'!#REF!</definedName>
    <definedName name="Contractor3A" localSheetId="7">'Alternate 1 Tab'!#REF!</definedName>
    <definedName name="Contractor3A" localSheetId="8">'Alternate 2 Tab'!#REF!</definedName>
    <definedName name="Contractor3A" localSheetId="9">'Alternate 3 Tab'!#REF!</definedName>
    <definedName name="Contractor3A" localSheetId="10">'Alternate 4 Tab'!#REF!</definedName>
    <definedName name="Contractor3A">'Base Bid Tab'!#REF!</definedName>
    <definedName name="Contractor4" localSheetId="7">'Alternate 1 Tab'!#REF!</definedName>
    <definedName name="Contractor4" localSheetId="8">'Alternate 2 Tab'!#REF!</definedName>
    <definedName name="Contractor4" localSheetId="9">'Alternate 3 Tab'!#REF!</definedName>
    <definedName name="Contractor4" localSheetId="10">'Alternate 4 Tab'!#REF!</definedName>
    <definedName name="Contractor4" localSheetId="11">'[2]Bid Tab Base Bid'!#REF!</definedName>
    <definedName name="Contractor4">'Base Bid Tab'!#REF!</definedName>
    <definedName name="Contractor5" localSheetId="7">'Alternate 1 Tab'!#REF!</definedName>
    <definedName name="Contractor5" localSheetId="8">'Alternate 2 Tab'!#REF!</definedName>
    <definedName name="Contractor5" localSheetId="9">'Alternate 3 Tab'!#REF!</definedName>
    <definedName name="Contractor5" localSheetId="10">'Alternate 4 Tab'!#REF!</definedName>
    <definedName name="Contractor5" localSheetId="11">'[2]Bid Tab Base Bid'!#REF!</definedName>
    <definedName name="Contractor5">'Base Bid Tab'!#REF!</definedName>
    <definedName name="Contractor6" localSheetId="7">'Alternate 1 Tab'!#REF!</definedName>
    <definedName name="Contractor6" localSheetId="8">'Alternate 2 Tab'!#REF!</definedName>
    <definedName name="Contractor6" localSheetId="9">'Alternate 3 Tab'!#REF!</definedName>
    <definedName name="Contractor6" localSheetId="10">'Alternate 4 Tab'!#REF!</definedName>
    <definedName name="Contractor6" localSheetId="11">'[2]Bid Tab Base Bid'!#REF!</definedName>
    <definedName name="Contractor6">'Base Bid Tab'!#REF!</definedName>
    <definedName name="Contractor7" localSheetId="7">'Alternate 1 Tab'!#REF!</definedName>
    <definedName name="Contractor7" localSheetId="8">'Alternate 2 Tab'!#REF!</definedName>
    <definedName name="Contractor7" localSheetId="9">'Alternate 3 Tab'!#REF!</definedName>
    <definedName name="Contractor7" localSheetId="10">'Alternate 4 Tab'!#REF!</definedName>
    <definedName name="Contractor7" localSheetId="11">'[2]Bid Tab Base Bid'!#REF!</definedName>
    <definedName name="Contractor7">'Base Bid Tab'!#REF!</definedName>
    <definedName name="Contractor8" localSheetId="7">'Alternate 1 Tab'!#REF!</definedName>
    <definedName name="Contractor8" localSheetId="8">'Alternate 2 Tab'!#REF!</definedName>
    <definedName name="Contractor8" localSheetId="9">'Alternate 3 Tab'!#REF!</definedName>
    <definedName name="Contractor8" localSheetId="10">'Alternate 4 Tab'!#REF!</definedName>
    <definedName name="Contractor8" localSheetId="11">'[2]Bid Tab Base Bid'!#REF!</definedName>
    <definedName name="Contractor8">'Base Bid Tab'!#REF!</definedName>
    <definedName name="EAN" localSheetId="7">'Alternate 1 Tab'!$A$4</definedName>
    <definedName name="EAN" localSheetId="8">'Alternate 2 Tab'!$A$4</definedName>
    <definedName name="EAN" localSheetId="9">'Alternate 3 Tab'!$A$4</definedName>
    <definedName name="EAN" localSheetId="10">'Alternate 4 Tab'!$A$4</definedName>
    <definedName name="EAN" localSheetId="11">'[2]Bid Tab Base Bid'!$A$4</definedName>
    <definedName name="EAN">'Base Bid Tab'!$A$4</definedName>
    <definedName name="EngineerEstimate" localSheetId="7">'Alternate 1 Tab'!$I$1</definedName>
    <definedName name="EngineerEstimate" localSheetId="8">'Alternate 2 Tab'!$I$1</definedName>
    <definedName name="EngineerEstimate" localSheetId="9">'Alternate 3 Tab'!$I$1</definedName>
    <definedName name="EngineerEstimate" localSheetId="10">'Alternate 4 Tab'!$I$1</definedName>
    <definedName name="EngineerEstimate" localSheetId="11">'[2]Bid Tab Base Bid'!$K$1</definedName>
    <definedName name="EngineerEstimate">'Base Bid Tab'!$I$1</definedName>
    <definedName name="_xlnm.Print_Area" localSheetId="2">'AddAlt 1'!$A$14:$F$45</definedName>
    <definedName name="_xlnm.Print_Area" localSheetId="3">'AddAlt 2'!$A$14:$F$39</definedName>
    <definedName name="_xlnm.Print_Area" localSheetId="4">'AddAlt 3'!$A$14:$F$40</definedName>
    <definedName name="_xlnm.Print_Area" localSheetId="5">'AddAlt 4'!$A$14:$F$42</definedName>
    <definedName name="_xlnm.Print_Area" localSheetId="1">'Base Bid'!$A$14:$F$41</definedName>
    <definedName name="_xlnm.Print_Area" localSheetId="0">'Bid Item List'!$A$14:$F$52</definedName>
    <definedName name="_xlnm.Print_Area" localSheetId="11">Summary!$A$1:$F$11</definedName>
    <definedName name="_xlnm.Print_Titles" localSheetId="2">'AddAlt 1'!$14:$19</definedName>
    <definedName name="_xlnm.Print_Titles" localSheetId="3">'AddAlt 2'!$14:$19</definedName>
    <definedName name="_xlnm.Print_Titles" localSheetId="4">'AddAlt 3'!$14:$19</definedName>
    <definedName name="_xlnm.Print_Titles" localSheetId="5">'AddAlt 4'!$14:$19</definedName>
    <definedName name="_xlnm.Print_Titles" localSheetId="7">'Alternate 1 Tab'!$A:$D,'Alternate 1 Tab'!$1:$7</definedName>
    <definedName name="_xlnm.Print_Titles" localSheetId="8">'Alternate 2 Tab'!$A:$D,'Alternate 2 Tab'!$1:$7</definedName>
    <definedName name="_xlnm.Print_Titles" localSheetId="9">'Alternate 3 Tab'!$A:$D,'Alternate 3 Tab'!$1:$7</definedName>
    <definedName name="_xlnm.Print_Titles" localSheetId="10">'Alternate 4 Tab'!$A:$D,'Alternate 4 Tab'!$1:$7</definedName>
    <definedName name="_xlnm.Print_Titles" localSheetId="1">'Base Bid'!$14:$19</definedName>
    <definedName name="_xlnm.Print_Titles" localSheetId="6">'Base Bid Tab'!$A:$D,'Base Bid Tab'!$1:$7</definedName>
    <definedName name="_xlnm.Print_Titles" localSheetId="0">'Bid Item List'!$14:$19</definedName>
    <definedName name="ProjectLocation" localSheetId="2">'AddAlt 1'!$A$15</definedName>
    <definedName name="ProjectLocation" localSheetId="3">'AddAlt 2'!$A$15</definedName>
    <definedName name="ProjectLocation" localSheetId="4">'AddAlt 3'!$A$15</definedName>
    <definedName name="ProjectLocation" localSheetId="5">'AddAlt 4'!$A$15</definedName>
    <definedName name="ProjectLocation" localSheetId="1">'Base Bid'!$A$15</definedName>
    <definedName name="ProjectLocation" localSheetId="11">'[2]Base Bid'!$A$15</definedName>
    <definedName name="ProjectLocation">'Bid Item List'!$A$15</definedName>
    <definedName name="ProjectTitle" localSheetId="2">'AddAlt 1'!$A$16</definedName>
    <definedName name="ProjectTitle" localSheetId="3">'AddAlt 2'!$A$16</definedName>
    <definedName name="ProjectTitle" localSheetId="4">'AddAlt 3'!$A$16</definedName>
    <definedName name="ProjectTitle" localSheetId="5">'AddAlt 4'!$A$16</definedName>
    <definedName name="ProjectTitle" localSheetId="1">'Base Bid'!$A$16</definedName>
    <definedName name="ProjectTitle" localSheetId="11">'[2]Base Bid'!$A$16</definedName>
    <definedName name="ProjectTitle">'Bid Item List'!$A$16</definedName>
    <definedName name="ProjectTitle2" localSheetId="2">'AddAlt 1'!$A$17</definedName>
    <definedName name="ProjectTitle2" localSheetId="3">'AddAlt 2'!$A$17</definedName>
    <definedName name="ProjectTitle2" localSheetId="4">'AddAlt 3'!$A$17</definedName>
    <definedName name="ProjectTitle2" localSheetId="5">'AddAlt 4'!$A$17</definedName>
    <definedName name="ProjectTitle2" localSheetId="1">'Base Bid'!$A$17</definedName>
    <definedName name="ProjectTitle2" localSheetId="11">'[2]Base Bid'!$A$17</definedName>
    <definedName name="ProjectTitle2">'Bid Item List'!$A$17</definedName>
    <definedName name="QTY" localSheetId="7">'Alternate 1 Tab'!$C:$C</definedName>
    <definedName name="QTY" localSheetId="8">'Alternate 2 Tab'!$C:$C</definedName>
    <definedName name="QTY" localSheetId="9">'Alternate 3 Tab'!$C:$C</definedName>
    <definedName name="QTY" localSheetId="10">'Alternate 4 Tab'!$C:$C</definedName>
    <definedName name="QTY">'Base Bid Tab'!$C:$C</definedName>
    <definedName name="SolicitationNo" localSheetId="7">'Alternate 1 Tab'!$A$5</definedName>
    <definedName name="SolicitationNo" localSheetId="8">'Alternate 2 Tab'!$A$5</definedName>
    <definedName name="SolicitationNo" localSheetId="9">'Alternate 3 Tab'!$A$5</definedName>
    <definedName name="SolicitationNo" localSheetId="10">'Alternate 4 Tab'!$A$5</definedName>
    <definedName name="SolicitationNo" localSheetId="11">'[2]Bid Tab Base Bid'!$A$5</definedName>
    <definedName name="SolicitationNo">'Base Bid Tab'!$A$5</definedName>
    <definedName name="Total1" localSheetId="7">'Alternate 1 Tab'!$F$33</definedName>
    <definedName name="Total1" localSheetId="8">'Alternate 2 Tab'!$F$27</definedName>
    <definedName name="Total1" localSheetId="9">'Alternate 3 Tab'!$F$28</definedName>
    <definedName name="Total1" localSheetId="10">'Alternate 4 Tab'!$F$30</definedName>
    <definedName name="Total1" localSheetId="11">'[2]Bid Tab Add Alt 1'!#REF!</definedName>
    <definedName name="Total1">'Base Bid Tab'!$F$29</definedName>
    <definedName name="Total2" localSheetId="7">'Alternate 1 Tab'!$H$33</definedName>
    <definedName name="Total2" localSheetId="8">'Alternate 2 Tab'!$H$27</definedName>
    <definedName name="Total2" localSheetId="9">'Alternate 3 Tab'!$H$28</definedName>
    <definedName name="Total2" localSheetId="10">'Alternate 4 Tab'!$H$30</definedName>
    <definedName name="Total2" localSheetId="11">'[2]Bid Tab Add Alt 1'!#REF!</definedName>
    <definedName name="Total2">'Base Bid Tab'!$H$29</definedName>
    <definedName name="Total3" localSheetId="7">'Alternate 1 Tab'!#REF!</definedName>
    <definedName name="Total3" localSheetId="8">'Alternate 2 Tab'!#REF!</definedName>
    <definedName name="Total3" localSheetId="9">'Alternate 3 Tab'!#REF!</definedName>
    <definedName name="Total3" localSheetId="10">'Alternate 4 Tab'!#REF!</definedName>
    <definedName name="Total3" localSheetId="11">'[2]Bid Tab Add Alt 1'!#REF!</definedName>
    <definedName name="Total3">'Base Bid Tab'!#REF!</definedName>
    <definedName name="Total3A" localSheetId="7">'Alternate 1 Tab'!#REF!</definedName>
    <definedName name="Total3A" localSheetId="8">'Alternate 2 Tab'!#REF!</definedName>
    <definedName name="Total3A" localSheetId="9">'Alternate 3 Tab'!#REF!</definedName>
    <definedName name="Total3A" localSheetId="10">'Alternate 4 Tab'!#REF!</definedName>
    <definedName name="Total3A">'Base Bid Tab'!#REF!</definedName>
    <definedName name="Total4" localSheetId="7">'Alternate 1 Tab'!#REF!</definedName>
    <definedName name="Total4" localSheetId="8">'Alternate 2 Tab'!#REF!</definedName>
    <definedName name="Total4" localSheetId="9">'Alternate 3 Tab'!#REF!</definedName>
    <definedName name="Total4" localSheetId="10">'Alternate 4 Tab'!#REF!</definedName>
    <definedName name="Total4" localSheetId="11">'[2]Bid Tab Add Alt 1'!#REF!</definedName>
    <definedName name="Total4">'Base Bid Tab'!#REF!</definedName>
    <definedName name="Total5" localSheetId="7">'Alternate 1 Tab'!#REF!</definedName>
    <definedName name="Total5" localSheetId="8">'Alternate 2 Tab'!#REF!</definedName>
    <definedName name="Total5" localSheetId="9">'Alternate 3 Tab'!#REF!</definedName>
    <definedName name="Total5" localSheetId="10">'Alternate 4 Tab'!#REF!</definedName>
    <definedName name="Total5" localSheetId="11">'[2]Bid Tab Add Alt 1'!#REF!</definedName>
    <definedName name="Total5">'Base Bid Tab'!#REF!</definedName>
    <definedName name="Total6" localSheetId="7">'Alternate 1 Tab'!#REF!</definedName>
    <definedName name="Total6" localSheetId="8">'Alternate 2 Tab'!#REF!</definedName>
    <definedName name="Total6" localSheetId="9">'Alternate 3 Tab'!#REF!</definedName>
    <definedName name="Total6" localSheetId="10">'Alternate 4 Tab'!#REF!</definedName>
    <definedName name="Total6" localSheetId="11">'[2]Bid Tab Add Alt 1'!#REF!</definedName>
    <definedName name="Total6">'Base Bid Tab'!#REF!</definedName>
    <definedName name="Total7" localSheetId="7">'Alternate 1 Tab'!#REF!</definedName>
    <definedName name="Total7" localSheetId="8">'Alternate 2 Tab'!#REF!</definedName>
    <definedName name="Total7" localSheetId="9">'Alternate 3 Tab'!#REF!</definedName>
    <definedName name="Total7" localSheetId="10">'Alternate 4 Tab'!#REF!</definedName>
    <definedName name="Total7" localSheetId="11">'[2]Bid Tab Add Alt 1'!#REF!</definedName>
    <definedName name="Total7">'Base Bid Tab'!#REF!</definedName>
    <definedName name="Total8" localSheetId="7">'Alternate 1 Tab'!#REF!</definedName>
    <definedName name="Total8" localSheetId="8">'Alternate 2 Tab'!#REF!</definedName>
    <definedName name="Total8" localSheetId="9">'Alternate 3 Tab'!#REF!</definedName>
    <definedName name="Total8" localSheetId="10">'Alternate 4 Tab'!#REF!</definedName>
    <definedName name="Total8" localSheetId="11">'[2]Bid Tab Add Alt 1'!#REF!</definedName>
    <definedName name="Total8">'Base Bid Tab'!#REF!</definedName>
    <definedName name="TotalEE" localSheetId="7">'Alternate 1 Tab'!$J$33</definedName>
    <definedName name="TotalEE" localSheetId="8">'Alternate 2 Tab'!$J$27</definedName>
    <definedName name="TotalEE" localSheetId="9">'Alternate 3 Tab'!$J$28</definedName>
    <definedName name="TotalEE" localSheetId="10">'Alternate 4 Tab'!$J$30</definedName>
    <definedName name="TotalEE" localSheetId="11">'[2]Bid Tab Add Alt 1'!#REF!</definedName>
    <definedName name="TotalEE">'Base Bid Tab'!$J$29</definedName>
    <definedName name="UoM">[1]UoM!$C$2:$C$16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7" i="13" l="1"/>
  <c r="J30" i="14"/>
  <c r="F30" i="14"/>
  <c r="F27" i="13"/>
  <c r="B9" i="13"/>
  <c r="C9" i="13"/>
  <c r="D9" i="13"/>
  <c r="B10" i="13"/>
  <c r="C10" i="13"/>
  <c r="D10" i="13"/>
  <c r="B11" i="13"/>
  <c r="C11" i="13"/>
  <c r="D11" i="13"/>
  <c r="B12" i="13"/>
  <c r="C12" i="13"/>
  <c r="D12" i="13"/>
  <c r="B13" i="13"/>
  <c r="C13" i="13"/>
  <c r="D13" i="13"/>
  <c r="B14" i="13"/>
  <c r="C14" i="13"/>
  <c r="D14" i="13"/>
  <c r="B15" i="13"/>
  <c r="C15" i="13"/>
  <c r="D15" i="13"/>
  <c r="B16" i="13"/>
  <c r="C16" i="13"/>
  <c r="D16" i="13"/>
  <c r="B17" i="13"/>
  <c r="C17" i="13"/>
  <c r="D17" i="13"/>
  <c r="B18" i="13"/>
  <c r="C18" i="13"/>
  <c r="D18" i="13"/>
  <c r="B19" i="13"/>
  <c r="C19" i="13"/>
  <c r="D19" i="13"/>
  <c r="B20" i="13"/>
  <c r="C20" i="13"/>
  <c r="D20" i="13"/>
  <c r="B21" i="13"/>
  <c r="C21" i="13"/>
  <c r="D21" i="13"/>
  <c r="B22" i="13"/>
  <c r="C22" i="13"/>
  <c r="D22" i="13"/>
  <c r="B23" i="13"/>
  <c r="C23" i="13"/>
  <c r="D23" i="13"/>
  <c r="B24" i="13"/>
  <c r="C24" i="13"/>
  <c r="D24" i="13"/>
  <c r="B25" i="13"/>
  <c r="C25" i="13"/>
  <c r="D25" i="13"/>
  <c r="B26" i="13"/>
  <c r="C26" i="13"/>
  <c r="D26" i="13"/>
  <c r="B27" i="13"/>
  <c r="C27" i="13"/>
  <c r="J27" i="13" s="1"/>
  <c r="D27" i="13"/>
  <c r="D8" i="13"/>
  <c r="C8" i="13"/>
  <c r="B8" i="13"/>
  <c r="A10" i="15"/>
  <c r="A6" i="15"/>
  <c r="A1" i="15"/>
  <c r="J27" i="14" l="1"/>
  <c r="J29" i="14"/>
  <c r="H27" i="14"/>
  <c r="F27" i="14"/>
  <c r="B9" i="14"/>
  <c r="C9" i="14"/>
  <c r="D9" i="14"/>
  <c r="B10" i="14"/>
  <c r="C10" i="14"/>
  <c r="D10" i="14"/>
  <c r="B11" i="14"/>
  <c r="C11" i="14"/>
  <c r="D11" i="14"/>
  <c r="B12" i="14"/>
  <c r="C12" i="14"/>
  <c r="D12" i="14"/>
  <c r="B13" i="14"/>
  <c r="C13" i="14"/>
  <c r="D13" i="14"/>
  <c r="B14" i="14"/>
  <c r="C14" i="14"/>
  <c r="J14" i="14" s="1"/>
  <c r="D14" i="14"/>
  <c r="B15" i="14"/>
  <c r="C15" i="14"/>
  <c r="D15" i="14"/>
  <c r="B16" i="14"/>
  <c r="C16" i="14"/>
  <c r="J16" i="14" s="1"/>
  <c r="D16" i="14"/>
  <c r="B17" i="14"/>
  <c r="C17" i="14"/>
  <c r="D17" i="14"/>
  <c r="B18" i="14"/>
  <c r="C18" i="14"/>
  <c r="J18" i="14" s="1"/>
  <c r="D18" i="14"/>
  <c r="B19" i="14"/>
  <c r="C19" i="14"/>
  <c r="D19" i="14"/>
  <c r="B20" i="14"/>
  <c r="C20" i="14"/>
  <c r="D20" i="14"/>
  <c r="B21" i="14"/>
  <c r="C21" i="14"/>
  <c r="D21" i="14"/>
  <c r="B22" i="14"/>
  <c r="C22" i="14"/>
  <c r="J22" i="14" s="1"/>
  <c r="D22" i="14"/>
  <c r="B23" i="14"/>
  <c r="C23" i="14"/>
  <c r="D23" i="14"/>
  <c r="B24" i="14"/>
  <c r="C24" i="14"/>
  <c r="D24" i="14"/>
  <c r="B25" i="14"/>
  <c r="C25" i="14"/>
  <c r="D25" i="14"/>
  <c r="B26" i="14"/>
  <c r="C26" i="14"/>
  <c r="F26" i="14" s="1"/>
  <c r="D26" i="14"/>
  <c r="B27" i="14"/>
  <c r="C27" i="14"/>
  <c r="D27" i="14"/>
  <c r="B28" i="14"/>
  <c r="C28" i="14"/>
  <c r="H28" i="14" s="1"/>
  <c r="D28" i="14"/>
  <c r="B29" i="14"/>
  <c r="C29" i="14"/>
  <c r="H29" i="14" s="1"/>
  <c r="D29" i="14"/>
  <c r="J9" i="14"/>
  <c r="J12" i="14"/>
  <c r="J13" i="14"/>
  <c r="J17" i="14"/>
  <c r="J20" i="14"/>
  <c r="J21" i="14"/>
  <c r="J25" i="14"/>
  <c r="C8" i="14"/>
  <c r="J8" i="14" s="1"/>
  <c r="D8" i="14"/>
  <c r="B8" i="14"/>
  <c r="J24" i="14"/>
  <c r="J23" i="14"/>
  <c r="J19" i="14"/>
  <c r="J15" i="14"/>
  <c r="J11" i="14"/>
  <c r="A6" i="14"/>
  <c r="A3" i="14"/>
  <c r="A2" i="14"/>
  <c r="A1" i="14"/>
  <c r="J11" i="13"/>
  <c r="J16" i="13"/>
  <c r="J18" i="13"/>
  <c r="J9" i="13"/>
  <c r="J12" i="13"/>
  <c r="J13" i="13"/>
  <c r="J15" i="13"/>
  <c r="J17" i="13"/>
  <c r="J21" i="13"/>
  <c r="F24" i="13"/>
  <c r="J25" i="13"/>
  <c r="J8" i="13"/>
  <c r="F25" i="13"/>
  <c r="J24" i="13"/>
  <c r="J23" i="13"/>
  <c r="F21" i="13"/>
  <c r="J20" i="13"/>
  <c r="F19" i="13"/>
  <c r="F15" i="13"/>
  <c r="F12" i="13"/>
  <c r="F11" i="13"/>
  <c r="F9" i="13"/>
  <c r="A6" i="13"/>
  <c r="A3" i="13"/>
  <c r="A2" i="13"/>
  <c r="A1" i="13"/>
  <c r="B9" i="12"/>
  <c r="C9" i="12"/>
  <c r="J9" i="12" s="1"/>
  <c r="D9" i="12"/>
  <c r="B10" i="12"/>
  <c r="C10" i="12"/>
  <c r="J10" i="12" s="1"/>
  <c r="D10" i="12"/>
  <c r="B11" i="12"/>
  <c r="C11" i="12"/>
  <c r="D11" i="12"/>
  <c r="B12" i="12"/>
  <c r="C12" i="12"/>
  <c r="F12" i="12" s="1"/>
  <c r="D12" i="12"/>
  <c r="B13" i="12"/>
  <c r="C13" i="12"/>
  <c r="J13" i="12" s="1"/>
  <c r="D13" i="12"/>
  <c r="B14" i="12"/>
  <c r="C14" i="12"/>
  <c r="J14" i="12" s="1"/>
  <c r="D14" i="12"/>
  <c r="B15" i="12"/>
  <c r="C15" i="12"/>
  <c r="D15" i="12"/>
  <c r="B16" i="12"/>
  <c r="C16" i="12"/>
  <c r="D16" i="12"/>
  <c r="B17" i="12"/>
  <c r="C17" i="12"/>
  <c r="J17" i="12" s="1"/>
  <c r="D17" i="12"/>
  <c r="B18" i="12"/>
  <c r="C18" i="12"/>
  <c r="J18" i="12" s="1"/>
  <c r="D18" i="12"/>
  <c r="B19" i="12"/>
  <c r="C19" i="12"/>
  <c r="J19" i="12" s="1"/>
  <c r="D19" i="12"/>
  <c r="B20" i="12"/>
  <c r="C20" i="12"/>
  <c r="J20" i="12" s="1"/>
  <c r="D20" i="12"/>
  <c r="B21" i="12"/>
  <c r="C21" i="12"/>
  <c r="J21" i="12" s="1"/>
  <c r="D21" i="12"/>
  <c r="B22" i="12"/>
  <c r="C22" i="12"/>
  <c r="H22" i="12" s="1"/>
  <c r="D22" i="12"/>
  <c r="B23" i="12"/>
  <c r="C23" i="12"/>
  <c r="D23" i="12"/>
  <c r="B24" i="12"/>
  <c r="C24" i="12"/>
  <c r="J24" i="12" s="1"/>
  <c r="D24" i="12"/>
  <c r="B25" i="12"/>
  <c r="C25" i="12"/>
  <c r="D25" i="12"/>
  <c r="B26" i="12"/>
  <c r="C26" i="12"/>
  <c r="J26" i="12" s="1"/>
  <c r="D26" i="12"/>
  <c r="D8" i="12"/>
  <c r="C8" i="12"/>
  <c r="B8" i="12"/>
  <c r="H26" i="12"/>
  <c r="J25" i="12"/>
  <c r="H24" i="12"/>
  <c r="J23" i="12"/>
  <c r="H23" i="12"/>
  <c r="F22" i="12"/>
  <c r="F21" i="12"/>
  <c r="F19" i="12"/>
  <c r="H18" i="12"/>
  <c r="F18" i="12"/>
  <c r="H16" i="12"/>
  <c r="J15" i="12"/>
  <c r="H15" i="12"/>
  <c r="F15" i="12"/>
  <c r="H14" i="12"/>
  <c r="F14" i="12"/>
  <c r="J11" i="12"/>
  <c r="H11" i="12"/>
  <c r="F11" i="12"/>
  <c r="H10" i="12"/>
  <c r="H9" i="12"/>
  <c r="H8" i="12"/>
  <c r="F8" i="12"/>
  <c r="A6" i="12"/>
  <c r="A3" i="12"/>
  <c r="A2" i="12"/>
  <c r="A1" i="12"/>
  <c r="J9" i="11"/>
  <c r="H9" i="11"/>
  <c r="H8" i="11"/>
  <c r="B28" i="2"/>
  <c r="B27" i="2"/>
  <c r="B9" i="2"/>
  <c r="C9" i="2"/>
  <c r="D9" i="2"/>
  <c r="B10" i="2"/>
  <c r="C10" i="2"/>
  <c r="D10" i="2"/>
  <c r="B11" i="2"/>
  <c r="C11" i="2"/>
  <c r="D11" i="2"/>
  <c r="B12" i="2"/>
  <c r="C12" i="2"/>
  <c r="D12" i="2"/>
  <c r="B13" i="2"/>
  <c r="C13" i="2"/>
  <c r="D13" i="2"/>
  <c r="B14" i="2"/>
  <c r="C14" i="2"/>
  <c r="D14" i="2"/>
  <c r="B15" i="2"/>
  <c r="C15" i="2"/>
  <c r="D15" i="2"/>
  <c r="B16" i="2"/>
  <c r="C16" i="2"/>
  <c r="D16" i="2"/>
  <c r="B17" i="2"/>
  <c r="C17" i="2"/>
  <c r="D17" i="2"/>
  <c r="B18" i="2"/>
  <c r="C18" i="2"/>
  <c r="D18" i="2"/>
  <c r="B19" i="2"/>
  <c r="C19" i="2"/>
  <c r="D19" i="2"/>
  <c r="B20" i="2"/>
  <c r="C20" i="2"/>
  <c r="D20" i="2"/>
  <c r="B21" i="2"/>
  <c r="C21" i="2"/>
  <c r="D21" i="2"/>
  <c r="B22" i="2"/>
  <c r="C22" i="2"/>
  <c r="D22" i="2"/>
  <c r="B23" i="2"/>
  <c r="C23" i="2"/>
  <c r="D23" i="2"/>
  <c r="B24" i="2"/>
  <c r="C24" i="2"/>
  <c r="D24" i="2"/>
  <c r="B25" i="2"/>
  <c r="C25" i="2"/>
  <c r="D25" i="2"/>
  <c r="B26" i="2"/>
  <c r="C26" i="2"/>
  <c r="D26" i="2"/>
  <c r="C27" i="2"/>
  <c r="F27" i="2" s="1"/>
  <c r="D27" i="2"/>
  <c r="C28" i="2"/>
  <c r="D28" i="2"/>
  <c r="D8" i="2"/>
  <c r="C8" i="2"/>
  <c r="B8" i="2"/>
  <c r="D9" i="11"/>
  <c r="D10" i="11"/>
  <c r="D11" i="11"/>
  <c r="D12" i="11"/>
  <c r="D13" i="11"/>
  <c r="D14" i="11"/>
  <c r="D15" i="11"/>
  <c r="D16" i="11"/>
  <c r="D17" i="11"/>
  <c r="D18" i="11"/>
  <c r="D19" i="11"/>
  <c r="D20" i="11"/>
  <c r="D21" i="11"/>
  <c r="D22" i="11"/>
  <c r="D23" i="11"/>
  <c r="D24" i="11"/>
  <c r="D25" i="11"/>
  <c r="D26" i="11"/>
  <c r="D27" i="11"/>
  <c r="D28" i="11"/>
  <c r="D29" i="11"/>
  <c r="D30" i="11"/>
  <c r="D31" i="11"/>
  <c r="D32" i="11"/>
  <c r="D8" i="11"/>
  <c r="C9" i="11"/>
  <c r="F9" i="11" s="1"/>
  <c r="C10" i="11"/>
  <c r="C11" i="11"/>
  <c r="J11" i="11" s="1"/>
  <c r="C12" i="11"/>
  <c r="C13" i="11"/>
  <c r="F13" i="11" s="1"/>
  <c r="C14" i="11"/>
  <c r="J14" i="11" s="1"/>
  <c r="C15" i="11"/>
  <c r="J15" i="11" s="1"/>
  <c r="C16" i="11"/>
  <c r="C17" i="11"/>
  <c r="F17" i="11" s="1"/>
  <c r="C18" i="11"/>
  <c r="C19" i="11"/>
  <c r="C20" i="11"/>
  <c r="J20" i="11" s="1"/>
  <c r="C21" i="11"/>
  <c r="F21" i="11" s="1"/>
  <c r="C22" i="11"/>
  <c r="C23" i="11"/>
  <c r="J23" i="11" s="1"/>
  <c r="C24" i="11"/>
  <c r="J24" i="11" s="1"/>
  <c r="C25" i="11"/>
  <c r="C26" i="11"/>
  <c r="J26" i="11" s="1"/>
  <c r="C27" i="11"/>
  <c r="C28" i="11"/>
  <c r="C29" i="11"/>
  <c r="J29" i="11" s="1"/>
  <c r="C30" i="11"/>
  <c r="C31" i="11"/>
  <c r="C32" i="11"/>
  <c r="C8" i="11"/>
  <c r="J8" i="11" s="1"/>
  <c r="B9" i="11"/>
  <c r="B10" i="11"/>
  <c r="B11" i="11"/>
  <c r="B12" i="11"/>
  <c r="B13" i="11"/>
  <c r="B14" i="11"/>
  <c r="B15" i="11"/>
  <c r="B16" i="11"/>
  <c r="B17" i="11"/>
  <c r="B18" i="11"/>
  <c r="B19" i="11"/>
  <c r="B20" i="11"/>
  <c r="B21" i="11"/>
  <c r="B22" i="11"/>
  <c r="B23" i="11"/>
  <c r="B24" i="11"/>
  <c r="B25" i="11"/>
  <c r="B26" i="11"/>
  <c r="B27" i="11"/>
  <c r="B28" i="11"/>
  <c r="B29" i="11"/>
  <c r="B30" i="11"/>
  <c r="B31" i="11"/>
  <c r="B32" i="11"/>
  <c r="B8" i="11"/>
  <c r="J32" i="11"/>
  <c r="F32" i="11"/>
  <c r="J30" i="11"/>
  <c r="F30" i="11"/>
  <c r="J28" i="11"/>
  <c r="J21" i="11"/>
  <c r="H20" i="11"/>
  <c r="F20" i="11"/>
  <c r="J19" i="11"/>
  <c r="J18" i="11"/>
  <c r="H18" i="11"/>
  <c r="F18" i="11"/>
  <c r="H17" i="11"/>
  <c r="J16" i="11"/>
  <c r="H16" i="11"/>
  <c r="F16" i="11"/>
  <c r="J12" i="11"/>
  <c r="H12" i="11"/>
  <c r="F12" i="11"/>
  <c r="H10" i="11"/>
  <c r="F10" i="11"/>
  <c r="A6" i="11"/>
  <c r="A3" i="11"/>
  <c r="A2" i="11"/>
  <c r="A1" i="11"/>
  <c r="J9" i="2" l="1"/>
  <c r="H9" i="2"/>
  <c r="F9" i="2"/>
  <c r="H8" i="2"/>
  <c r="F8" i="2"/>
  <c r="H13" i="11"/>
  <c r="F8" i="11"/>
  <c r="F14" i="11"/>
  <c r="H14" i="11"/>
  <c r="H12" i="12"/>
  <c r="H19" i="12"/>
  <c r="J12" i="12"/>
  <c r="H13" i="12"/>
  <c r="J28" i="14"/>
  <c r="J26" i="14"/>
  <c r="F29" i="14"/>
  <c r="F28" i="14"/>
  <c r="F8" i="14"/>
  <c r="F9" i="14"/>
  <c r="F10" i="14"/>
  <c r="F11" i="14"/>
  <c r="F12" i="14"/>
  <c r="F13" i="14"/>
  <c r="F14" i="14"/>
  <c r="F15" i="14"/>
  <c r="F16" i="14"/>
  <c r="F17" i="14"/>
  <c r="F18" i="14"/>
  <c r="F19" i="14"/>
  <c r="F20" i="14"/>
  <c r="F21" i="14"/>
  <c r="F22" i="14"/>
  <c r="F23" i="14"/>
  <c r="F24" i="14"/>
  <c r="F25" i="14"/>
  <c r="H8" i="14"/>
  <c r="H9" i="14"/>
  <c r="H10" i="14"/>
  <c r="H11" i="14"/>
  <c r="H12" i="14"/>
  <c r="H13" i="14"/>
  <c r="H14" i="14"/>
  <c r="H15" i="14"/>
  <c r="H16" i="14"/>
  <c r="H17" i="14"/>
  <c r="H18" i="14"/>
  <c r="H19" i="14"/>
  <c r="H20" i="14"/>
  <c r="H21" i="14"/>
  <c r="H22" i="14"/>
  <c r="H23" i="14"/>
  <c r="H24" i="14"/>
  <c r="H25" i="14"/>
  <c r="H26" i="14"/>
  <c r="J22" i="13"/>
  <c r="F14" i="13"/>
  <c r="F20" i="13"/>
  <c r="F16" i="13"/>
  <c r="J19" i="13"/>
  <c r="F23" i="13"/>
  <c r="F17" i="13"/>
  <c r="F22" i="13"/>
  <c r="F10" i="13"/>
  <c r="F26" i="13"/>
  <c r="F13" i="13"/>
  <c r="F18" i="13"/>
  <c r="J14" i="13"/>
  <c r="J26" i="13"/>
  <c r="F8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1" i="12"/>
  <c r="J16" i="12"/>
  <c r="F20" i="12"/>
  <c r="F17" i="12"/>
  <c r="F10" i="12"/>
  <c r="H17" i="12"/>
  <c r="H20" i="12"/>
  <c r="H25" i="12"/>
  <c r="F13" i="12"/>
  <c r="F16" i="12"/>
  <c r="F9" i="12"/>
  <c r="J22" i="12"/>
  <c r="F23" i="12"/>
  <c r="F24" i="12"/>
  <c r="F25" i="12"/>
  <c r="F26" i="12"/>
  <c r="J31" i="11"/>
  <c r="F15" i="11"/>
  <c r="F19" i="11"/>
  <c r="H19" i="11"/>
  <c r="J27" i="11"/>
  <c r="H21" i="11"/>
  <c r="J17" i="11"/>
  <c r="H11" i="11"/>
  <c r="H15" i="11"/>
  <c r="F11" i="11"/>
  <c r="J13" i="11"/>
  <c r="F29" i="11"/>
  <c r="H31" i="11"/>
  <c r="F23" i="11"/>
  <c r="F26" i="11"/>
  <c r="F31" i="11"/>
  <c r="H28" i="11"/>
  <c r="H22" i="11"/>
  <c r="H25" i="11"/>
  <c r="F22" i="11"/>
  <c r="F25" i="11"/>
  <c r="F28" i="11"/>
  <c r="H30" i="11"/>
  <c r="H23" i="11"/>
  <c r="H26" i="11"/>
  <c r="H24" i="11"/>
  <c r="H27" i="11"/>
  <c r="H29" i="11"/>
  <c r="J22" i="11"/>
  <c r="F24" i="11"/>
  <c r="J25" i="11"/>
  <c r="F27" i="11"/>
  <c r="H32" i="11"/>
  <c r="H30" i="14" l="1"/>
  <c r="H27" i="12"/>
  <c r="H33" i="11"/>
  <c r="I10" i="14"/>
  <c r="J10" i="14" s="1"/>
  <c r="F27" i="12"/>
  <c r="F33" i="11"/>
  <c r="I8" i="12"/>
  <c r="J8" i="12" s="1"/>
  <c r="J27" i="12" s="1"/>
  <c r="H28" i="13"/>
  <c r="F28" i="13"/>
  <c r="I10" i="13"/>
  <c r="J10" i="13" s="1"/>
  <c r="J28" i="13" s="1"/>
  <c r="I10" i="11"/>
  <c r="J10" i="11" s="1"/>
  <c r="J33" i="11" s="1"/>
  <c r="J10" i="2"/>
  <c r="F10" i="2"/>
  <c r="H10" i="2"/>
  <c r="F19" i="2" l="1"/>
  <c r="H20" i="2"/>
  <c r="F25" i="2"/>
  <c r="H26" i="2"/>
  <c r="J22" i="2" l="1"/>
  <c r="J20" i="2"/>
  <c r="F23" i="2"/>
  <c r="J27" i="2"/>
  <c r="H27" i="2"/>
  <c r="F20" i="2"/>
  <c r="J23" i="2"/>
  <c r="H23" i="2"/>
  <c r="H19" i="2"/>
  <c r="H25" i="2"/>
  <c r="J19" i="2"/>
  <c r="H22" i="2"/>
  <c r="F22" i="2"/>
  <c r="F26" i="2"/>
  <c r="J26" i="2"/>
  <c r="J25" i="2"/>
  <c r="H28" i="2"/>
  <c r="H24" i="2"/>
  <c r="H21" i="2"/>
  <c r="J28" i="2"/>
  <c r="F28" i="2"/>
  <c r="J24" i="2"/>
  <c r="F24" i="2"/>
  <c r="J21" i="2"/>
  <c r="F21" i="2"/>
  <c r="A3" i="2"/>
  <c r="A2" i="2"/>
  <c r="A1" i="2"/>
  <c r="J18" i="2" l="1"/>
  <c r="J17" i="2"/>
  <c r="J16" i="2"/>
  <c r="H18" i="2"/>
  <c r="F18" i="2"/>
  <c r="F17" i="2"/>
  <c r="H17" i="2"/>
  <c r="F16" i="2"/>
  <c r="H16" i="2"/>
  <c r="A6" i="2" l="1"/>
  <c r="J12" i="2" l="1"/>
  <c r="J15" i="2"/>
  <c r="I8" i="2" s="1"/>
  <c r="J8" i="2" s="1"/>
  <c r="J14" i="2"/>
  <c r="J13" i="2"/>
  <c r="J11" i="2"/>
  <c r="F11" i="2"/>
  <c r="H11" i="2"/>
  <c r="H15" i="2"/>
  <c r="F15" i="2"/>
  <c r="H14" i="2"/>
  <c r="F14" i="2"/>
  <c r="F13" i="2"/>
  <c r="H13" i="2"/>
  <c r="H12" i="2"/>
  <c r="F12" i="2"/>
  <c r="J29" i="2" l="1"/>
  <c r="H29" i="2"/>
  <c r="F29" i="2"/>
</calcChain>
</file>

<file path=xl/sharedStrings.xml><?xml version="1.0" encoding="utf-8"?>
<sst xmlns="http://schemas.openxmlformats.org/spreadsheetml/2006/main" count="756" uniqueCount="121">
  <si>
    <t>Acre</t>
  </si>
  <si>
    <t>CY</t>
  </si>
  <si>
    <t>Each</t>
  </si>
  <si>
    <t>FT</t>
  </si>
  <si>
    <t>Gal</t>
  </si>
  <si>
    <t>Hour</t>
  </si>
  <si>
    <t>LB</t>
  </si>
  <si>
    <t>LF</t>
  </si>
  <si>
    <t>LS</t>
  </si>
  <si>
    <t>Mile</t>
  </si>
  <si>
    <t>SF</t>
  </si>
  <si>
    <t>SY</t>
  </si>
  <si>
    <t>Ton</t>
  </si>
  <si>
    <t>PORTLAND INTERNATIONAL AIRPORT</t>
  </si>
  <si>
    <t>EGSE INFRASTRUCTURE INSTALLATION - PHASE 2</t>
  </si>
  <si>
    <t>Item No.</t>
  </si>
  <si>
    <t>Item Description</t>
  </si>
  <si>
    <t>Estimated Quantity</t>
  </si>
  <si>
    <t xml:space="preserve">Units </t>
  </si>
  <si>
    <t>Unit Price</t>
  </si>
  <si>
    <t>Total Price</t>
  </si>
  <si>
    <t>0001</t>
  </si>
  <si>
    <t>Sweeper
(Section 012200)</t>
  </si>
  <si>
    <t>0002</t>
  </si>
  <si>
    <t>Traffic Control Flagger
(Section 012200)</t>
  </si>
  <si>
    <t>0003</t>
  </si>
  <si>
    <t>Escort
(Section 012200)</t>
  </si>
  <si>
    <t>0004</t>
  </si>
  <si>
    <t>Inlet Protection (Bag Insert)                          (Item C-102)</t>
  </si>
  <si>
    <t>0005</t>
  </si>
  <si>
    <t>Mobilization
(Item C-105)</t>
  </si>
  <si>
    <t>0006</t>
  </si>
  <si>
    <t>Asphalt Pavement Removal
(Item P-101)</t>
  </si>
  <si>
    <t>0007</t>
  </si>
  <si>
    <t>Concrete
(Item P-610)</t>
  </si>
  <si>
    <t>0008</t>
  </si>
  <si>
    <t>Surface Prep - Existing Pavement    
(Item P-620)</t>
  </si>
  <si>
    <t>0009</t>
  </si>
  <si>
    <t>Surface Prep - Marking Removal   
(Item P-620)</t>
  </si>
  <si>
    <t>0010</t>
  </si>
  <si>
    <t>Markings   
(Item P-620)</t>
  </si>
  <si>
    <t>0011</t>
  </si>
  <si>
    <t>Reflective Media
(Item P-620)</t>
  </si>
  <si>
    <t>0012</t>
  </si>
  <si>
    <t>Remove Bollard - Embedded  
(Section 024113)</t>
  </si>
  <si>
    <t>0013</t>
  </si>
  <si>
    <t>Remove Bollard - Bolt Down    
(Section 024113)</t>
  </si>
  <si>
    <t>0014</t>
  </si>
  <si>
    <t>Remove Electrical Chargers  
(Section 024113)</t>
  </si>
  <si>
    <t>0015</t>
  </si>
  <si>
    <t>Relocate Storage Shelter  
(Section 024113)</t>
  </si>
  <si>
    <t>0016</t>
  </si>
  <si>
    <t>Cable Retrievers      
(Section 111100)</t>
  </si>
  <si>
    <t>0017</t>
  </si>
  <si>
    <t>Precast Concrete Wheel Stop    
(Section 347115)</t>
  </si>
  <si>
    <t>0018</t>
  </si>
  <si>
    <t>Bollard - Bolt Down     
(Section 347115)</t>
  </si>
  <si>
    <t>0019</t>
  </si>
  <si>
    <t>Guard Rail        
(Section 347115)</t>
  </si>
  <si>
    <t>0020</t>
  </si>
  <si>
    <t>Electrical Feeds to Enclosed Circuit Breakers (2.5" Conduit)    
(Section 260500)</t>
  </si>
  <si>
    <t>0021</t>
  </si>
  <si>
    <t>Electrical Feeds to Enclosed Circuit Breakers (3/4" Conduit)  
(Section 260500)</t>
  </si>
  <si>
    <t>0022</t>
  </si>
  <si>
    <t>Electrical Feeds to Panels (Existing 3.5" Conduit)              
(Section 260500)</t>
  </si>
  <si>
    <t>0023</t>
  </si>
  <si>
    <t>Electrical Equipment Rack - Bussway Connected        
(Section 260500)</t>
  </si>
  <si>
    <t>0024</t>
  </si>
  <si>
    <t>Electrical Equipment Rack - Load Share Connected        
(Section 260500)</t>
  </si>
  <si>
    <t>0025</t>
  </si>
  <si>
    <t>Electrical Equipment Rack - Panel Connected                
(Section 260500)</t>
  </si>
  <si>
    <t>0026</t>
  </si>
  <si>
    <t>New Electrical Panels, 800A    
(Section 260500)</t>
  </si>
  <si>
    <t>0027</t>
  </si>
  <si>
    <t>Training                           
(Section 260500)</t>
  </si>
  <si>
    <t>0028</t>
  </si>
  <si>
    <t>Electrical Charging Units (Primary Units)
(Section 263343)</t>
  </si>
  <si>
    <t>0029</t>
  </si>
  <si>
    <t>Electrical Charging Units (Secondary Units) (Section 263343)</t>
  </si>
  <si>
    <t>0030</t>
  </si>
  <si>
    <t>Data Equipment Rack &amp; Data Connections (Section 271000)</t>
  </si>
  <si>
    <t>0031</t>
  </si>
  <si>
    <t>Data Equipment Rack &amp; Data Connections (1" Conduit)          
(Section 271000)</t>
  </si>
  <si>
    <t>0032</t>
  </si>
  <si>
    <t>Data to Each Charger (Gates)             (Section 271000)</t>
  </si>
  <si>
    <t>Total Amount Bid (Basis of Award)</t>
  </si>
  <si>
    <t>$___________</t>
  </si>
  <si>
    <t>Remove Bollard - Embedded
(Section 024113)</t>
  </si>
  <si>
    <t>Data Equipment Rack &amp; Data Connections 1" Conduit          
(Section 271000)</t>
  </si>
  <si>
    <t>Remove Bollard - Embedded                         (Section 024113)</t>
  </si>
  <si>
    <t>Total Amount Additive Alternate 1</t>
  </si>
  <si>
    <t>Remove Bollard - Embedded 
(Section 024113)</t>
  </si>
  <si>
    <t>Total Amount Additive Alternate 2</t>
  </si>
  <si>
    <t>Total Amount Additive Alternate 3</t>
  </si>
  <si>
    <t>Total Amount Additive Alternate 4</t>
  </si>
  <si>
    <t>Engineer's Estimate</t>
  </si>
  <si>
    <t>Bidder</t>
  </si>
  <si>
    <t>*Non-responsive to the small business requirements of this solicitation</t>
  </si>
  <si>
    <t>Sweeper                                                     (Section 012200)</t>
  </si>
  <si>
    <t>Network Termination Enclosure
(Section 271000)</t>
  </si>
  <si>
    <t>Network Termination Enclosure 
(Section 271000)</t>
  </si>
  <si>
    <t>Sweeper                                                     Section (012200)</t>
  </si>
  <si>
    <t>New Electrical Panels, 800A                (Section 260500)</t>
  </si>
  <si>
    <t>Data Drop to Each Enclosure and Chargers
(Section 271000)</t>
  </si>
  <si>
    <t>EAN 2023D003</t>
  </si>
  <si>
    <t>Solicitation No. 2024-10481</t>
  </si>
  <si>
    <t>Total Amount 
Base Bid</t>
  </si>
  <si>
    <t>Total Amount Add. Alt. 1</t>
  </si>
  <si>
    <t>Total Amount Add. Alt. 2</t>
  </si>
  <si>
    <t>Total Amount Add. Alt. 3</t>
  </si>
  <si>
    <t>Total Amount Add. Alt. 4</t>
  </si>
  <si>
    <t>EGSE INFRASTRUCTURE INSTALLATION</t>
  </si>
  <si>
    <t>PHASE 2</t>
  </si>
  <si>
    <t>Fortis Construction, Inc.</t>
  </si>
  <si>
    <t>Northeast Electric, LLC</t>
  </si>
  <si>
    <t>$6,387,362.33*</t>
  </si>
  <si>
    <t>$2,405,600.23*</t>
  </si>
  <si>
    <t>$2,840,799.44*</t>
  </si>
  <si>
    <t>$841,079.71*</t>
  </si>
  <si>
    <t>$518,802.99*</t>
  </si>
  <si>
    <t>*Corrected Bid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</si>
</sst>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$&quot;#,##0.00_);[Red]\(&quot;$&quot;#,##0.00\)"/>
    <numFmt numFmtId="44" formatCode="_(&quot;$&quot;* #,##0.00_);_(&quot;$&quot;* \(#,##0.00\);_(&quot;$&quot;* &quot;-&quot;??_);_(@_)"/>
    <numFmt numFmtId="164" formatCode="0.0"/>
    <numFmt numFmtId="165" formatCode="General;\–General;"/>
    <numFmt numFmtId="166" formatCode="&quot;$&quot;#,##0.00"/>
    <numFmt numFmtId="167" formatCode="#,##0.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sz val="9"/>
      <color theme="1"/>
      <name val="Arial"/>
      <family val="2"/>
    </font>
    <font>
      <sz val="10"/>
      <name val="Times New Roman"/>
      <family val="1"/>
    </font>
    <font>
      <sz val="8"/>
      <name val="Calibri"/>
      <family val="2"/>
      <scheme val="minor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22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9" fillId="0" borderId="0"/>
  </cellStyleXfs>
  <cellXfs count="105">
    <xf numFmtId="0" fontId="0" fillId="0" borderId="0" xfId="0"/>
    <xf numFmtId="0" fontId="2" fillId="0" borderId="0" xfId="0" applyFont="1" applyProtection="1">
      <protection hidden="1"/>
    </xf>
    <xf numFmtId="0" fontId="3" fillId="0" borderId="0" xfId="0" applyFont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49" fontId="4" fillId="0" borderId="1" xfId="0" applyNumberFormat="1" applyFont="1" applyBorder="1" applyAlignment="1">
      <alignment horizontal="center" vertical="top"/>
    </xf>
    <xf numFmtId="0" fontId="4" fillId="0" borderId="1" xfId="0" applyFont="1" applyBorder="1"/>
    <xf numFmtId="49" fontId="7" fillId="0" borderId="5" xfId="0" applyNumberFormat="1" applyFont="1" applyBorder="1" applyAlignment="1">
      <alignment horizontal="center" vertical="top"/>
    </xf>
    <xf numFmtId="0" fontId="3" fillId="0" borderId="5" xfId="0" applyFont="1" applyBorder="1"/>
    <xf numFmtId="0" fontId="0" fillId="0" borderId="0" xfId="0" applyAlignment="1">
      <alignment horizontal="left" vertical="center"/>
    </xf>
    <xf numFmtId="0" fontId="7" fillId="0" borderId="15" xfId="0" applyFont="1" applyBorder="1" applyAlignment="1">
      <alignment horizontal="left"/>
    </xf>
    <xf numFmtId="0" fontId="7" fillId="0" borderId="15" xfId="0" applyFont="1" applyBorder="1" applyAlignment="1">
      <alignment horizontal="left" vertical="center"/>
    </xf>
    <xf numFmtId="14" fontId="7" fillId="0" borderId="15" xfId="0" applyNumberFormat="1" applyFont="1" applyBorder="1" applyAlignment="1">
      <alignment horizontal="left" vertical="center"/>
    </xf>
    <xf numFmtId="0" fontId="5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/>
    </xf>
    <xf numFmtId="165" fontId="3" fillId="0" borderId="5" xfId="0" applyNumberFormat="1" applyFont="1" applyBorder="1" applyAlignment="1">
      <alignment horizontal="center" wrapText="1"/>
    </xf>
    <xf numFmtId="165" fontId="7" fillId="0" borderId="5" xfId="0" applyNumberFormat="1" applyFont="1" applyBorder="1" applyAlignment="1">
      <alignment horizontal="center" vertical="top"/>
    </xf>
    <xf numFmtId="165" fontId="3" fillId="0" borderId="5" xfId="0" applyNumberFormat="1" applyFont="1" applyBorder="1" applyAlignment="1">
      <alignment horizontal="left" vertical="center"/>
    </xf>
    <xf numFmtId="165" fontId="3" fillId="0" borderId="5" xfId="0" applyNumberFormat="1" applyFont="1" applyBorder="1"/>
    <xf numFmtId="165" fontId="0" fillId="0" borderId="0" xfId="0" applyNumberFormat="1"/>
    <xf numFmtId="165" fontId="5" fillId="0" borderId="7" xfId="0" applyNumberFormat="1" applyFont="1" applyBorder="1" applyAlignment="1">
      <alignment horizontal="left"/>
    </xf>
    <xf numFmtId="165" fontId="5" fillId="0" borderId="15" xfId="0" applyNumberFormat="1" applyFont="1" applyBorder="1" applyAlignment="1">
      <alignment horizontal="left" vertical="center"/>
    </xf>
    <xf numFmtId="166" fontId="7" fillId="0" borderId="5" xfId="1" applyNumberFormat="1" applyFont="1" applyBorder="1" applyAlignment="1">
      <alignment horizontal="center" vertical="top"/>
    </xf>
    <xf numFmtId="166" fontId="3" fillId="0" borderId="5" xfId="0" applyNumberFormat="1" applyFont="1" applyBorder="1"/>
    <xf numFmtId="2" fontId="0" fillId="0" borderId="0" xfId="0" applyNumberFormat="1"/>
    <xf numFmtId="2" fontId="3" fillId="0" borderId="1" xfId="0" applyNumberFormat="1" applyFont="1" applyBorder="1" applyAlignment="1">
      <alignment horizontal="center" wrapText="1"/>
    </xf>
    <xf numFmtId="2" fontId="4" fillId="0" borderId="1" xfId="0" applyNumberFormat="1" applyFont="1" applyBorder="1"/>
    <xf numFmtId="166" fontId="0" fillId="0" borderId="0" xfId="0" applyNumberFormat="1"/>
    <xf numFmtId="166" fontId="3" fillId="0" borderId="1" xfId="0" applyNumberFormat="1" applyFont="1" applyBorder="1" applyAlignment="1">
      <alignment horizontal="center" wrapText="1"/>
    </xf>
    <xf numFmtId="166" fontId="4" fillId="0" borderId="1" xfId="0" applyNumberFormat="1" applyFont="1" applyBorder="1" applyAlignment="1">
      <alignment horizontal="center" vertical="top"/>
    </xf>
    <xf numFmtId="166" fontId="4" fillId="0" borderId="1" xfId="0" applyNumberFormat="1" applyFont="1" applyBorder="1"/>
    <xf numFmtId="164" fontId="3" fillId="0" borderId="5" xfId="0" applyNumberFormat="1" applyFont="1" applyBorder="1" applyAlignment="1">
      <alignment horizontal="center" wrapText="1"/>
    </xf>
    <xf numFmtId="164" fontId="3" fillId="0" borderId="5" xfId="0" applyNumberFormat="1" applyFont="1" applyBorder="1"/>
    <xf numFmtId="164" fontId="0" fillId="0" borderId="0" xfId="0" applyNumberFormat="1"/>
    <xf numFmtId="166" fontId="0" fillId="0" borderId="12" xfId="0" applyNumberFormat="1" applyBorder="1"/>
    <xf numFmtId="166" fontId="0" fillId="0" borderId="13" xfId="0" applyNumberFormat="1" applyBorder="1"/>
    <xf numFmtId="166" fontId="3" fillId="0" borderId="5" xfId="0" applyNumberFormat="1" applyFont="1" applyBorder="1" applyAlignment="1">
      <alignment horizontal="center" wrapText="1"/>
    </xf>
    <xf numFmtId="44" fontId="0" fillId="0" borderId="7" xfId="0" applyNumberFormat="1" applyBorder="1" applyAlignment="1">
      <alignment horizontal="center" vertical="center"/>
    </xf>
    <xf numFmtId="44" fontId="0" fillId="0" borderId="15" xfId="0" applyNumberFormat="1" applyBorder="1" applyAlignment="1">
      <alignment horizontal="center" vertical="center"/>
    </xf>
    <xf numFmtId="44" fontId="0" fillId="0" borderId="16" xfId="0" applyNumberFormat="1" applyBorder="1" applyAlignment="1">
      <alignment horizontal="center" vertical="center"/>
    </xf>
    <xf numFmtId="44" fontId="0" fillId="0" borderId="0" xfId="0" applyNumberFormat="1" applyAlignment="1">
      <alignment horizontal="center" vertical="center"/>
    </xf>
    <xf numFmtId="166" fontId="4" fillId="0" borderId="5" xfId="0" applyNumberFormat="1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167" fontId="7" fillId="0" borderId="5" xfId="0" applyNumberFormat="1" applyFont="1" applyBorder="1" applyAlignment="1">
      <alignment horizontal="center" vertical="top"/>
    </xf>
    <xf numFmtId="0" fontId="0" fillId="0" borderId="0" xfId="0" applyAlignment="1">
      <alignment wrapText="1"/>
    </xf>
    <xf numFmtId="0" fontId="5" fillId="0" borderId="1" xfId="0" applyFont="1" applyBorder="1" applyAlignment="1">
      <alignment wrapText="1"/>
    </xf>
    <xf numFmtId="0" fontId="2" fillId="0" borderId="17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2" fillId="0" borderId="17" xfId="2" applyFont="1" applyBorder="1" applyAlignment="1">
      <alignment horizontal="center"/>
    </xf>
    <xf numFmtId="0" fontId="2" fillId="0" borderId="17" xfId="0" applyFont="1" applyBorder="1" applyAlignment="1">
      <alignment vertical="top" wrapText="1"/>
    </xf>
    <xf numFmtId="0" fontId="2" fillId="0" borderId="17" xfId="0" applyFont="1" applyBorder="1" applyAlignment="1">
      <alignment horizontal="center" vertical="top"/>
    </xf>
    <xf numFmtId="4" fontId="2" fillId="0" borderId="17" xfId="0" applyNumberFormat="1" applyFont="1" applyBorder="1" applyAlignment="1">
      <alignment horizontal="center" vertical="top"/>
    </xf>
    <xf numFmtId="166" fontId="4" fillId="2" borderId="1" xfId="0" applyNumberFormat="1" applyFont="1" applyFill="1" applyBorder="1" applyAlignment="1">
      <alignment horizontal="center" vertical="top"/>
    </xf>
    <xf numFmtId="0" fontId="0" fillId="0" borderId="0" xfId="0" applyNumberFormat="1" applyAlignment="1">
      <alignment vertical="top"/>
    </xf>
    <xf numFmtId="0" fontId="0" fillId="0" borderId="0" xfId="0" applyNumberFormat="1"/>
    <xf numFmtId="0" fontId="3" fillId="0" borderId="2" xfId="0" applyFont="1" applyBorder="1" applyAlignment="1">
      <alignment horizontal="center" wrapText="1"/>
    </xf>
    <xf numFmtId="0" fontId="3" fillId="0" borderId="2" xfId="0" applyNumberFormat="1" applyFont="1" applyBorder="1" applyAlignment="1">
      <alignment horizontal="center" wrapText="1"/>
    </xf>
    <xf numFmtId="166" fontId="4" fillId="0" borderId="19" xfId="0" applyNumberFormat="1" applyFont="1" applyBorder="1" applyAlignment="1">
      <alignment horizontal="center" vertical="top"/>
    </xf>
    <xf numFmtId="0" fontId="3" fillId="0" borderId="2" xfId="0" applyNumberFormat="1" applyFont="1" applyBorder="1" applyAlignment="1">
      <alignment horizontal="center" vertical="top" wrapText="1"/>
    </xf>
    <xf numFmtId="0" fontId="5" fillId="0" borderId="4" xfId="0" applyFont="1" applyBorder="1" applyAlignment="1">
      <alignment wrapText="1"/>
    </xf>
    <xf numFmtId="0" fontId="4" fillId="0" borderId="4" xfId="0" applyFont="1" applyBorder="1"/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top"/>
    </xf>
    <xf numFmtId="4" fontId="4" fillId="0" borderId="1" xfId="0" applyNumberFormat="1" applyFont="1" applyBorder="1"/>
    <xf numFmtId="4" fontId="4" fillId="0" borderId="4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  <xf numFmtId="166" fontId="3" fillId="0" borderId="2" xfId="0" applyNumberFormat="1" applyFont="1" applyBorder="1" applyAlignment="1">
      <alignment horizontal="center" wrapText="1"/>
    </xf>
    <xf numFmtId="2" fontId="2" fillId="0" borderId="17" xfId="0" applyNumberFormat="1" applyFont="1" applyBorder="1" applyAlignment="1">
      <alignment horizontal="center" vertical="top"/>
    </xf>
    <xf numFmtId="4" fontId="2" fillId="0" borderId="1" xfId="0" applyNumberFormat="1" applyFont="1" applyBorder="1" applyAlignment="1">
      <alignment horizontal="center" vertical="top"/>
    </xf>
    <xf numFmtId="49" fontId="4" fillId="0" borderId="18" xfId="0" applyNumberFormat="1" applyFont="1" applyBorder="1" applyAlignment="1">
      <alignment horizontal="center" vertical="top"/>
    </xf>
    <xf numFmtId="0" fontId="2" fillId="0" borderId="1" xfId="0" applyFont="1" applyFill="1" applyBorder="1" applyAlignment="1">
      <alignment vertical="top" wrapText="1"/>
    </xf>
    <xf numFmtId="166" fontId="0" fillId="0" borderId="1" xfId="0" applyNumberFormat="1" applyBorder="1"/>
    <xf numFmtId="166" fontId="5" fillId="0" borderId="2" xfId="0" applyNumberFormat="1" applyFont="1" applyBorder="1" applyAlignment="1">
      <alignment horizontal="center"/>
    </xf>
    <xf numFmtId="166" fontId="5" fillId="0" borderId="3" xfId="0" applyNumberFormat="1" applyFont="1" applyBorder="1" applyAlignment="1">
      <alignment horizontal="center"/>
    </xf>
    <xf numFmtId="166" fontId="5" fillId="0" borderId="4" xfId="0" applyNumberFormat="1" applyFont="1" applyBorder="1" applyAlignment="1">
      <alignment horizontal="center"/>
    </xf>
    <xf numFmtId="0" fontId="6" fillId="0" borderId="3" xfId="0" applyFont="1" applyBorder="1" applyAlignment="1" applyProtection="1">
      <alignment horizontal="left"/>
      <protection hidden="1"/>
    </xf>
    <xf numFmtId="0" fontId="5" fillId="0" borderId="3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166" fontId="5" fillId="0" borderId="8" xfId="0" applyNumberFormat="1" applyFont="1" applyBorder="1" applyAlignment="1">
      <alignment horizontal="center"/>
    </xf>
    <xf numFmtId="166" fontId="5" fillId="0" borderId="9" xfId="0" applyNumberFormat="1" applyFont="1" applyBorder="1" applyAlignment="1">
      <alignment horizontal="center"/>
    </xf>
    <xf numFmtId="166" fontId="5" fillId="0" borderId="10" xfId="0" applyNumberFormat="1" applyFont="1" applyBorder="1" applyAlignment="1">
      <alignment horizontal="center"/>
    </xf>
    <xf numFmtId="166" fontId="5" fillId="0" borderId="11" xfId="0" applyNumberFormat="1" applyFont="1" applyBorder="1" applyAlignment="1">
      <alignment horizontal="center"/>
    </xf>
    <xf numFmtId="14" fontId="7" fillId="0" borderId="12" xfId="0" applyNumberFormat="1" applyFont="1" applyBorder="1" applyAlignment="1">
      <alignment horizontal="left" vertical="center"/>
    </xf>
    <xf numFmtId="14" fontId="7" fillId="0" borderId="6" xfId="0" applyNumberFormat="1" applyFont="1" applyBorder="1" applyAlignment="1">
      <alignment horizontal="left" vertical="center"/>
    </xf>
    <xf numFmtId="14" fontId="7" fillId="0" borderId="13" xfId="0" applyNumberFormat="1" applyFont="1" applyBorder="1" applyAlignment="1">
      <alignment horizontal="left" vertical="center"/>
    </xf>
    <xf numFmtId="165" fontId="5" fillId="0" borderId="8" xfId="0" applyNumberFormat="1" applyFont="1" applyBorder="1" applyAlignment="1">
      <alignment horizontal="left"/>
    </xf>
    <xf numFmtId="165" fontId="5" fillId="0" borderId="14" xfId="0" applyNumberFormat="1" applyFont="1" applyBorder="1" applyAlignment="1">
      <alignment horizontal="left"/>
    </xf>
    <xf numFmtId="165" fontId="5" fillId="0" borderId="9" xfId="0" applyNumberFormat="1" applyFont="1" applyBorder="1" applyAlignment="1">
      <alignment horizontal="left"/>
    </xf>
    <xf numFmtId="165" fontId="5" fillId="0" borderId="10" xfId="0" applyNumberFormat="1" applyFont="1" applyBorder="1" applyAlignment="1">
      <alignment horizontal="left" vertical="center"/>
    </xf>
    <xf numFmtId="165" fontId="5" fillId="0" borderId="0" xfId="0" applyNumberFormat="1" applyFont="1" applyAlignment="1">
      <alignment horizontal="left" vertical="center"/>
    </xf>
    <xf numFmtId="165" fontId="5" fillId="0" borderId="11" xfId="0" applyNumberFormat="1" applyFont="1" applyBorder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11" xfId="0" applyFont="1" applyBorder="1" applyAlignment="1">
      <alignment horizontal="left" vertical="center"/>
    </xf>
    <xf numFmtId="167" fontId="7" fillId="0" borderId="20" xfId="0" applyNumberFormat="1" applyFont="1" applyBorder="1" applyAlignment="1">
      <alignment horizontal="center" vertical="top"/>
    </xf>
    <xf numFmtId="165" fontId="3" fillId="0" borderId="7" xfId="0" applyNumberFormat="1" applyFont="1" applyBorder="1" applyAlignment="1">
      <alignment horizontal="center" wrapText="1"/>
    </xf>
    <xf numFmtId="0" fontId="11" fillId="0" borderId="5" xfId="0" applyFont="1" applyBorder="1" applyAlignment="1">
      <alignment vertical="top" wrapText="1"/>
    </xf>
    <xf numFmtId="0" fontId="3" fillId="0" borderId="7" xfId="0" applyFont="1" applyBorder="1" applyAlignment="1">
      <alignment horizontal="center" wrapText="1"/>
    </xf>
    <xf numFmtId="49" fontId="7" fillId="0" borderId="21" xfId="0" applyNumberFormat="1" applyFont="1" applyBorder="1" applyAlignment="1">
      <alignment horizontal="center" vertical="top"/>
    </xf>
    <xf numFmtId="44" fontId="5" fillId="0" borderId="5" xfId="0" applyNumberFormat="1" applyFont="1" applyBorder="1" applyAlignment="1">
      <alignment horizontal="center" vertical="center" wrapText="1"/>
    </xf>
    <xf numFmtId="0" fontId="4" fillId="3" borderId="5" xfId="0" applyFont="1" applyFill="1" applyBorder="1" applyAlignment="1">
      <alignment horizontal="left" vertical="center"/>
    </xf>
    <xf numFmtId="166" fontId="4" fillId="3" borderId="5" xfId="0" applyNumberFormat="1" applyFont="1" applyFill="1" applyBorder="1" applyAlignment="1">
      <alignment horizontal="center" vertical="center"/>
    </xf>
    <xf numFmtId="166" fontId="3" fillId="0" borderId="5" xfId="0" applyNumberFormat="1" applyFont="1" applyBorder="1" applyAlignment="1">
      <alignment horizontal="center" vertical="center"/>
    </xf>
    <xf numFmtId="4" fontId="4" fillId="0" borderId="5" xfId="0" applyNumberFormat="1" applyFont="1" applyBorder="1" applyAlignment="1">
      <alignment horizontal="center" vertical="center"/>
    </xf>
    <xf numFmtId="8" fontId="4" fillId="0" borderId="5" xfId="0" applyNumberFormat="1" applyFont="1" applyBorder="1" applyAlignment="1">
      <alignment horizontal="center" vertical="center"/>
    </xf>
  </cellXfs>
  <cellStyles count="3">
    <cellStyle name="Currency" xfId="1" builtinId="4"/>
    <cellStyle name="Normal" xfId="0" builtinId="0"/>
    <cellStyle name="Normal 18" xfId="2" xr:uid="{F277D22A-314B-467B-A458-F4D4ECF8EB0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acobsengineering.sharepoint.com/sites/CPW3Y16800/Shared%20Documents/TO#2 - eGSE/06_Cost Estimates/PDX eGSE Phase 2 Bid Cost Estimate 2024.01.25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POPFS\Eng-Spec\Pdx\22D\016\Bid%20Tab-test.xlsx" TargetMode="External"/><Relationship Id="rId1" Type="http://schemas.openxmlformats.org/officeDocument/2006/relationships/externalLinkPath" Target="/Pdx/22D/016/Bid%20Tab-te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Hard Cost Estimate Form"/>
      <sheetName val="Soft Cost Estimating Form"/>
      <sheetName val="Optional - Sch &amp; Resource Form"/>
      <sheetName val="Dashboard"/>
      <sheetName val="DivisionCostCodeLookup"/>
      <sheetName val="Soft Cost Codes"/>
      <sheetName val="Cost Codes"/>
      <sheetName val="UoM"/>
      <sheetName val="SoftCostUom"/>
      <sheetName val="Scope and Ris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C2" t="str">
            <v>%</v>
          </cell>
        </row>
        <row r="3">
          <cell r="C3" t="str">
            <v>Acre</v>
          </cell>
        </row>
        <row r="4">
          <cell r="C4" t="str">
            <v>CY</v>
          </cell>
        </row>
        <row r="5">
          <cell r="C5" t="str">
            <v>Day</v>
          </cell>
        </row>
        <row r="6">
          <cell r="C6" t="str">
            <v>Ea</v>
          </cell>
        </row>
        <row r="7">
          <cell r="C7" t="str">
            <v>Gal</v>
          </cell>
        </row>
        <row r="8">
          <cell r="C8" t="str">
            <v>Hr</v>
          </cell>
        </row>
        <row r="9">
          <cell r="C9" t="str">
            <v>Lb</v>
          </cell>
        </row>
        <row r="10">
          <cell r="C10" t="str">
            <v>LF</v>
          </cell>
        </row>
        <row r="11">
          <cell r="C11" t="str">
            <v>LS</v>
          </cell>
        </row>
        <row r="12">
          <cell r="C12" t="str">
            <v>SF</v>
          </cell>
        </row>
        <row r="13">
          <cell r="C13" t="str">
            <v>SY</v>
          </cell>
        </row>
        <row r="14">
          <cell r="C14" t="str">
            <v>Ton</v>
          </cell>
        </row>
        <row r="15">
          <cell r="C15" t="str">
            <v>Week</v>
          </cell>
        </row>
        <row r="16">
          <cell r="C16" t="str">
            <v>Job</v>
          </cell>
        </row>
      </sheetData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se Bid"/>
      <sheetName val="Additive Alternative 1"/>
      <sheetName val="Additive Alternative 2"/>
      <sheetName val="Additive Alternative 3"/>
      <sheetName val="Bid Tab Base Bid"/>
      <sheetName val="Bid Tab Add Alt 1"/>
      <sheetName val="Bid Tab Add Alt 2"/>
      <sheetName val="Bid Tab Add Alt 3"/>
      <sheetName val="Summary"/>
    </sheetNames>
    <sheetDataSet>
      <sheetData sheetId="0">
        <row r="15">
          <cell r="A15" t="str">
            <v>PORTLAND INTERNATIONAL AIRPORT</v>
          </cell>
        </row>
        <row r="16">
          <cell r="A16" t="str">
            <v>SOUTH RUNWAY PCC JOINT AND PANEL REHABILITATION</v>
          </cell>
        </row>
      </sheetData>
      <sheetData sheetId="1"/>
      <sheetData sheetId="2"/>
      <sheetData sheetId="3"/>
      <sheetData sheetId="4">
        <row r="1">
          <cell r="E1" t="str">
            <v>C.R. Contracting LLC</v>
          </cell>
          <cell r="G1" t="str">
            <v>Q&amp;D Construction LLC</v>
          </cell>
          <cell r="I1" t="str">
            <v>Roger Langeliers Construction Co.</v>
          </cell>
          <cell r="K1" t="str">
            <v>Engineer's Estimate</v>
          </cell>
        </row>
        <row r="4">
          <cell r="A4" t="str">
            <v>EAN 2022D016</v>
          </cell>
        </row>
        <row r="5">
          <cell r="A5" t="str">
            <v>Solicitation No. 2022-10084</v>
          </cell>
        </row>
        <row r="7">
          <cell r="C7" t="str">
            <v>Estimated Quantity</v>
          </cell>
        </row>
        <row r="8">
          <cell r="C8">
            <v>1</v>
          </cell>
        </row>
        <row r="9">
          <cell r="C9">
            <v>1</v>
          </cell>
        </row>
        <row r="10">
          <cell r="C10">
            <v>1</v>
          </cell>
        </row>
        <row r="11">
          <cell r="C11">
            <v>1</v>
          </cell>
        </row>
        <row r="12">
          <cell r="C12">
            <v>1</v>
          </cell>
        </row>
        <row r="13">
          <cell r="C13">
            <v>161500</v>
          </cell>
        </row>
        <row r="14">
          <cell r="C14">
            <v>3200</v>
          </cell>
        </row>
        <row r="15">
          <cell r="C15">
            <v>26700</v>
          </cell>
        </row>
        <row r="16">
          <cell r="F16">
            <v>2744501</v>
          </cell>
          <cell r="H16">
            <v>1307565</v>
          </cell>
          <cell r="J16">
            <v>1989891.1899999997</v>
          </cell>
          <cell r="L16">
            <v>1941500</v>
          </cell>
        </row>
      </sheetData>
      <sheetData sheetId="5">
        <row r="7">
          <cell r="C7" t="str">
            <v>Estimated Quantity</v>
          </cell>
        </row>
        <row r="8">
          <cell r="C8">
            <v>23</v>
          </cell>
        </row>
        <row r="9">
          <cell r="C9">
            <v>340</v>
          </cell>
        </row>
        <row r="10">
          <cell r="C10">
            <v>20</v>
          </cell>
        </row>
        <row r="11">
          <cell r="C11">
            <v>1</v>
          </cell>
        </row>
      </sheetData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5" tint="-0.499984740745262"/>
    <pageSetUpPr fitToPage="1"/>
  </sheetPr>
  <dimension ref="A1:F52"/>
  <sheetViews>
    <sheetView view="pageBreakPreview" topLeftCell="A14" zoomScaleNormal="100" zoomScaleSheetLayoutView="100" workbookViewId="0">
      <selection activeCell="B25" sqref="B25"/>
    </sheetView>
  </sheetViews>
  <sheetFormatPr defaultRowHeight="15" x14ac:dyDescent="0.25"/>
  <cols>
    <col min="1" max="1" width="6.5703125" customWidth="1"/>
    <col min="2" max="2" width="36.7109375" style="43" customWidth="1"/>
    <col min="3" max="3" width="10.7109375" style="23" customWidth="1"/>
    <col min="4" max="4" width="8.28515625" customWidth="1"/>
    <col min="5" max="6" width="13.28515625" style="26" customWidth="1"/>
  </cols>
  <sheetData>
    <row r="1" spans="1:6" hidden="1" x14ac:dyDescent="0.25">
      <c r="A1" s="1" t="s">
        <v>0</v>
      </c>
    </row>
    <row r="2" spans="1:6" hidden="1" x14ac:dyDescent="0.25">
      <c r="A2" s="1" t="s">
        <v>1</v>
      </c>
    </row>
    <row r="3" spans="1:6" hidden="1" x14ac:dyDescent="0.25">
      <c r="A3" s="1" t="s">
        <v>2</v>
      </c>
    </row>
    <row r="4" spans="1:6" hidden="1" x14ac:dyDescent="0.25">
      <c r="A4" s="1" t="s">
        <v>3</v>
      </c>
    </row>
    <row r="5" spans="1:6" hidden="1" x14ac:dyDescent="0.25">
      <c r="A5" s="1" t="s">
        <v>4</v>
      </c>
    </row>
    <row r="6" spans="1:6" hidden="1" x14ac:dyDescent="0.25">
      <c r="A6" s="1" t="s">
        <v>5</v>
      </c>
    </row>
    <row r="7" spans="1:6" hidden="1" x14ac:dyDescent="0.25">
      <c r="A7" s="1" t="s">
        <v>6</v>
      </c>
    </row>
    <row r="8" spans="1:6" hidden="1" x14ac:dyDescent="0.25">
      <c r="A8" s="1" t="s">
        <v>7</v>
      </c>
    </row>
    <row r="9" spans="1:6" hidden="1" x14ac:dyDescent="0.25">
      <c r="A9" s="1" t="s">
        <v>8</v>
      </c>
    </row>
    <row r="10" spans="1:6" hidden="1" x14ac:dyDescent="0.25">
      <c r="A10" s="1" t="s">
        <v>9</v>
      </c>
    </row>
    <row r="11" spans="1:6" hidden="1" x14ac:dyDescent="0.25">
      <c r="A11" s="1" t="s">
        <v>10</v>
      </c>
    </row>
    <row r="12" spans="1:6" hidden="1" x14ac:dyDescent="0.25">
      <c r="A12" s="1" t="s">
        <v>11</v>
      </c>
    </row>
    <row r="13" spans="1:6" hidden="1" x14ac:dyDescent="0.25">
      <c r="A13" s="1" t="s">
        <v>12</v>
      </c>
    </row>
    <row r="14" spans="1:6" x14ac:dyDescent="0.25">
      <c r="A14" s="77"/>
      <c r="B14" s="77"/>
      <c r="C14" s="77"/>
      <c r="D14" s="77"/>
      <c r="E14" s="71"/>
      <c r="F14" s="71"/>
    </row>
    <row r="15" spans="1:6" x14ac:dyDescent="0.25">
      <c r="A15" s="74" t="s">
        <v>13</v>
      </c>
      <c r="B15" s="74"/>
      <c r="C15" s="74"/>
      <c r="D15" s="74"/>
      <c r="E15" s="72"/>
      <c r="F15" s="72"/>
    </row>
    <row r="16" spans="1:6" x14ac:dyDescent="0.25">
      <c r="A16" s="74" t="s">
        <v>14</v>
      </c>
      <c r="B16" s="74"/>
      <c r="C16" s="74"/>
      <c r="D16" s="74"/>
      <c r="E16" s="72"/>
      <c r="F16" s="72"/>
    </row>
    <row r="17" spans="1:6" x14ac:dyDescent="0.25">
      <c r="A17" s="75"/>
      <c r="B17" s="75"/>
      <c r="C17" s="75"/>
      <c r="D17" s="75"/>
      <c r="E17" s="72"/>
      <c r="F17" s="72"/>
    </row>
    <row r="18" spans="1:6" x14ac:dyDescent="0.25">
      <c r="A18" s="76"/>
      <c r="B18" s="76"/>
      <c r="C18" s="76"/>
      <c r="D18" s="76"/>
      <c r="E18" s="73"/>
      <c r="F18" s="73"/>
    </row>
    <row r="19" spans="1:6" s="2" customFormat="1" ht="24" customHeight="1" x14ac:dyDescent="0.2">
      <c r="A19" s="3" t="s">
        <v>15</v>
      </c>
      <c r="B19" s="3" t="s">
        <v>16</v>
      </c>
      <c r="C19" s="24" t="s">
        <v>17</v>
      </c>
      <c r="D19" s="3" t="s">
        <v>18</v>
      </c>
      <c r="E19" s="27" t="s">
        <v>19</v>
      </c>
      <c r="F19" s="27" t="s">
        <v>20</v>
      </c>
    </row>
    <row r="20" spans="1:6" ht="40.5" customHeight="1" x14ac:dyDescent="0.25">
      <c r="A20" s="4" t="s">
        <v>21</v>
      </c>
      <c r="B20" s="48" t="s">
        <v>22</v>
      </c>
      <c r="C20" s="45"/>
      <c r="D20" s="49" t="s">
        <v>5</v>
      </c>
      <c r="E20" s="28"/>
      <c r="F20" s="28"/>
    </row>
    <row r="21" spans="1:6" ht="40.5" customHeight="1" x14ac:dyDescent="0.25">
      <c r="A21" s="4" t="s">
        <v>23</v>
      </c>
      <c r="B21" s="48" t="s">
        <v>24</v>
      </c>
      <c r="C21" s="45"/>
      <c r="D21" s="49" t="s">
        <v>5</v>
      </c>
      <c r="E21" s="28"/>
      <c r="F21" s="28"/>
    </row>
    <row r="22" spans="1:6" ht="40.5" customHeight="1" x14ac:dyDescent="0.25">
      <c r="A22" s="4" t="s">
        <v>25</v>
      </c>
      <c r="B22" s="48" t="s">
        <v>26</v>
      </c>
      <c r="C22" s="45"/>
      <c r="D22" s="49" t="s">
        <v>5</v>
      </c>
      <c r="E22" s="28"/>
      <c r="F22" s="28"/>
    </row>
    <row r="23" spans="1:6" ht="40.5" customHeight="1" x14ac:dyDescent="0.25">
      <c r="A23" s="4" t="s">
        <v>27</v>
      </c>
      <c r="B23" s="48" t="s">
        <v>28</v>
      </c>
      <c r="C23" s="66"/>
      <c r="D23" s="49" t="s">
        <v>2</v>
      </c>
      <c r="E23" s="28"/>
      <c r="F23" s="28"/>
    </row>
    <row r="24" spans="1:6" ht="40.5" customHeight="1" x14ac:dyDescent="0.25">
      <c r="A24" s="4" t="s">
        <v>29</v>
      </c>
      <c r="B24" s="48" t="s">
        <v>30</v>
      </c>
      <c r="C24" s="50"/>
      <c r="D24" s="49" t="s">
        <v>8</v>
      </c>
      <c r="E24" s="28"/>
      <c r="F24" s="28"/>
    </row>
    <row r="25" spans="1:6" ht="40.5" customHeight="1" x14ac:dyDescent="0.25">
      <c r="A25" s="4" t="s">
        <v>31</v>
      </c>
      <c r="B25" s="48" t="s">
        <v>32</v>
      </c>
      <c r="C25" s="45"/>
      <c r="D25" s="49" t="s">
        <v>11</v>
      </c>
      <c r="E25" s="28"/>
      <c r="F25" s="28"/>
    </row>
    <row r="26" spans="1:6" ht="40.5" customHeight="1" x14ac:dyDescent="0.25">
      <c r="A26" s="4" t="s">
        <v>33</v>
      </c>
      <c r="B26" s="48" t="s">
        <v>34</v>
      </c>
      <c r="C26" s="45"/>
      <c r="D26" s="49" t="s">
        <v>11</v>
      </c>
      <c r="E26" s="28"/>
      <c r="F26" s="28"/>
    </row>
    <row r="27" spans="1:6" ht="40.5" customHeight="1" x14ac:dyDescent="0.25">
      <c r="A27" s="4" t="s">
        <v>35</v>
      </c>
      <c r="B27" s="48" t="s">
        <v>36</v>
      </c>
      <c r="C27" s="46"/>
      <c r="D27" s="49" t="s">
        <v>10</v>
      </c>
      <c r="E27" s="28"/>
      <c r="F27" s="28"/>
    </row>
    <row r="28" spans="1:6" ht="40.5" customHeight="1" x14ac:dyDescent="0.25">
      <c r="A28" s="4" t="s">
        <v>37</v>
      </c>
      <c r="B28" s="48" t="s">
        <v>38</v>
      </c>
      <c r="C28" s="46"/>
      <c r="D28" s="49" t="s">
        <v>10</v>
      </c>
      <c r="E28" s="28"/>
      <c r="F28" s="28"/>
    </row>
    <row r="29" spans="1:6" ht="40.5" customHeight="1" x14ac:dyDescent="0.25">
      <c r="A29" s="4" t="s">
        <v>39</v>
      </c>
      <c r="B29" s="48" t="s">
        <v>40</v>
      </c>
      <c r="C29" s="46"/>
      <c r="D29" s="49" t="s">
        <v>10</v>
      </c>
      <c r="E29" s="28"/>
      <c r="F29" s="28"/>
    </row>
    <row r="30" spans="1:6" ht="40.5" customHeight="1" x14ac:dyDescent="0.25">
      <c r="A30" s="4" t="s">
        <v>41</v>
      </c>
      <c r="B30" s="48" t="s">
        <v>42</v>
      </c>
      <c r="C30" s="46"/>
      <c r="D30" s="49" t="s">
        <v>6</v>
      </c>
      <c r="E30" s="28"/>
      <c r="F30" s="28"/>
    </row>
    <row r="31" spans="1:6" ht="40.5" customHeight="1" x14ac:dyDescent="0.25">
      <c r="A31" s="4" t="s">
        <v>43</v>
      </c>
      <c r="B31" s="48" t="s">
        <v>44</v>
      </c>
      <c r="C31" s="50"/>
      <c r="D31" s="49" t="s">
        <v>2</v>
      </c>
      <c r="E31" s="28"/>
      <c r="F31" s="28"/>
    </row>
    <row r="32" spans="1:6" ht="40.5" customHeight="1" x14ac:dyDescent="0.25">
      <c r="A32" s="4" t="s">
        <v>45</v>
      </c>
      <c r="B32" s="48" t="s">
        <v>46</v>
      </c>
      <c r="C32" s="47"/>
      <c r="D32" s="49" t="s">
        <v>2</v>
      </c>
      <c r="E32" s="28"/>
      <c r="F32" s="28"/>
    </row>
    <row r="33" spans="1:6" ht="40.5" customHeight="1" x14ac:dyDescent="0.25">
      <c r="A33" s="4" t="s">
        <v>47</v>
      </c>
      <c r="B33" s="48" t="s">
        <v>48</v>
      </c>
      <c r="C33" s="50"/>
      <c r="D33" s="49" t="s">
        <v>8</v>
      </c>
      <c r="E33" s="28"/>
      <c r="F33" s="28"/>
    </row>
    <row r="34" spans="1:6" ht="40.5" customHeight="1" x14ac:dyDescent="0.25">
      <c r="A34" s="4" t="s">
        <v>49</v>
      </c>
      <c r="B34" s="48" t="s">
        <v>50</v>
      </c>
      <c r="C34" s="47"/>
      <c r="D34" s="49" t="s">
        <v>8</v>
      </c>
      <c r="E34" s="28"/>
      <c r="F34" s="28"/>
    </row>
    <row r="35" spans="1:6" ht="40.5" customHeight="1" x14ac:dyDescent="0.25">
      <c r="A35" s="4" t="s">
        <v>51</v>
      </c>
      <c r="B35" s="48" t="s">
        <v>52</v>
      </c>
      <c r="C35" s="45"/>
      <c r="D35" s="49" t="s">
        <v>2</v>
      </c>
      <c r="E35" s="28"/>
      <c r="F35" s="28"/>
    </row>
    <row r="36" spans="1:6" ht="40.5" customHeight="1" x14ac:dyDescent="0.25">
      <c r="A36" s="4" t="s">
        <v>53</v>
      </c>
      <c r="B36" s="48" t="s">
        <v>54</v>
      </c>
      <c r="C36" s="47"/>
      <c r="D36" s="49" t="s">
        <v>2</v>
      </c>
      <c r="E36" s="28"/>
      <c r="F36" s="28"/>
    </row>
    <row r="37" spans="1:6" ht="40.5" customHeight="1" x14ac:dyDescent="0.25">
      <c r="A37" s="4" t="s">
        <v>55</v>
      </c>
      <c r="B37" s="48" t="s">
        <v>56</v>
      </c>
      <c r="C37" s="47"/>
      <c r="D37" s="49" t="s">
        <v>2</v>
      </c>
      <c r="E37" s="28"/>
      <c r="F37" s="28"/>
    </row>
    <row r="38" spans="1:6" ht="40.5" customHeight="1" x14ac:dyDescent="0.25">
      <c r="A38" s="4" t="s">
        <v>57</v>
      </c>
      <c r="B38" s="48" t="s">
        <v>58</v>
      </c>
      <c r="C38" s="45"/>
      <c r="D38" s="49" t="s">
        <v>7</v>
      </c>
      <c r="E38" s="28"/>
      <c r="F38" s="28"/>
    </row>
    <row r="39" spans="1:6" ht="40.5" customHeight="1" x14ac:dyDescent="0.25">
      <c r="A39" s="4" t="s">
        <v>59</v>
      </c>
      <c r="B39" s="48" t="s">
        <v>60</v>
      </c>
      <c r="C39" s="45"/>
      <c r="D39" s="49" t="s">
        <v>7</v>
      </c>
      <c r="E39" s="28"/>
      <c r="F39" s="28"/>
    </row>
    <row r="40" spans="1:6" ht="40.5" customHeight="1" x14ac:dyDescent="0.25">
      <c r="A40" s="4" t="s">
        <v>61</v>
      </c>
      <c r="B40" s="48" t="s">
        <v>62</v>
      </c>
      <c r="C40" s="45"/>
      <c r="D40" s="49" t="s">
        <v>7</v>
      </c>
      <c r="E40" s="28"/>
      <c r="F40" s="28"/>
    </row>
    <row r="41" spans="1:6" ht="40.5" customHeight="1" x14ac:dyDescent="0.25">
      <c r="A41" s="4" t="s">
        <v>63</v>
      </c>
      <c r="B41" s="48" t="s">
        <v>64</v>
      </c>
      <c r="C41" s="45"/>
      <c r="D41" s="49" t="s">
        <v>7</v>
      </c>
      <c r="E41" s="28"/>
      <c r="F41" s="28"/>
    </row>
    <row r="42" spans="1:6" ht="40.5" customHeight="1" x14ac:dyDescent="0.25">
      <c r="A42" s="4" t="s">
        <v>65</v>
      </c>
      <c r="B42" s="48" t="s">
        <v>66</v>
      </c>
      <c r="C42" s="45"/>
      <c r="D42" s="49" t="s">
        <v>2</v>
      </c>
      <c r="E42" s="28"/>
      <c r="F42" s="28"/>
    </row>
    <row r="43" spans="1:6" ht="40.5" customHeight="1" x14ac:dyDescent="0.25">
      <c r="A43" s="4" t="s">
        <v>67</v>
      </c>
      <c r="B43" s="48" t="s">
        <v>68</v>
      </c>
      <c r="C43" s="45"/>
      <c r="D43" s="49" t="s">
        <v>2</v>
      </c>
      <c r="E43" s="28"/>
      <c r="F43" s="28"/>
    </row>
    <row r="44" spans="1:6" ht="40.5" customHeight="1" x14ac:dyDescent="0.25">
      <c r="A44" s="4" t="s">
        <v>69</v>
      </c>
      <c r="B44" s="48" t="s">
        <v>70</v>
      </c>
      <c r="C44" s="45"/>
      <c r="D44" s="49" t="s">
        <v>2</v>
      </c>
      <c r="E44" s="28"/>
      <c r="F44" s="28"/>
    </row>
    <row r="45" spans="1:6" ht="40.5" customHeight="1" x14ac:dyDescent="0.25">
      <c r="A45" s="4" t="s">
        <v>71</v>
      </c>
      <c r="B45" s="48" t="s">
        <v>72</v>
      </c>
      <c r="C45" s="45"/>
      <c r="D45" s="49" t="s">
        <v>2</v>
      </c>
      <c r="E45" s="28"/>
      <c r="F45" s="28"/>
    </row>
    <row r="46" spans="1:6" ht="40.5" customHeight="1" x14ac:dyDescent="0.25">
      <c r="A46" s="4" t="s">
        <v>73</v>
      </c>
      <c r="B46" s="48" t="s">
        <v>74</v>
      </c>
      <c r="C46" s="50">
        <v>1</v>
      </c>
      <c r="D46" s="49" t="s">
        <v>8</v>
      </c>
      <c r="E46" s="28"/>
      <c r="F46" s="28"/>
    </row>
    <row r="47" spans="1:6" ht="40.5" customHeight="1" x14ac:dyDescent="0.25">
      <c r="A47" s="4" t="s">
        <v>75</v>
      </c>
      <c r="B47" s="48" t="s">
        <v>76</v>
      </c>
      <c r="C47" s="45"/>
      <c r="D47" s="49" t="s">
        <v>2</v>
      </c>
      <c r="E47" s="28"/>
      <c r="F47" s="28"/>
    </row>
    <row r="48" spans="1:6" ht="40.5" customHeight="1" x14ac:dyDescent="0.25">
      <c r="A48" s="4" t="s">
        <v>77</v>
      </c>
      <c r="B48" s="48" t="s">
        <v>78</v>
      </c>
      <c r="C48" s="45"/>
      <c r="D48" s="49" t="s">
        <v>2</v>
      </c>
      <c r="E48" s="28"/>
      <c r="F48" s="28"/>
    </row>
    <row r="49" spans="1:6" ht="40.5" customHeight="1" x14ac:dyDescent="0.25">
      <c r="A49" s="4" t="s">
        <v>79</v>
      </c>
      <c r="B49" s="48" t="s">
        <v>80</v>
      </c>
      <c r="C49" s="45"/>
      <c r="D49" s="49" t="s">
        <v>2</v>
      </c>
      <c r="E49" s="28"/>
      <c r="F49" s="28"/>
    </row>
    <row r="50" spans="1:6" ht="40.5" customHeight="1" x14ac:dyDescent="0.25">
      <c r="A50" s="4" t="s">
        <v>81</v>
      </c>
      <c r="B50" s="48" t="s">
        <v>82</v>
      </c>
      <c r="C50" s="45"/>
      <c r="D50" s="49" t="s">
        <v>7</v>
      </c>
      <c r="E50" s="28"/>
      <c r="F50" s="28"/>
    </row>
    <row r="51" spans="1:6" ht="40.5" customHeight="1" x14ac:dyDescent="0.25">
      <c r="A51" s="4" t="s">
        <v>83</v>
      </c>
      <c r="B51" s="48" t="s">
        <v>84</v>
      </c>
      <c r="C51" s="45"/>
      <c r="D51" s="49" t="s">
        <v>2</v>
      </c>
      <c r="E51" s="28"/>
      <c r="F51" s="28"/>
    </row>
    <row r="52" spans="1:6" ht="27.75" customHeight="1" x14ac:dyDescent="0.25">
      <c r="A52" s="5"/>
      <c r="B52" s="44" t="s">
        <v>85</v>
      </c>
      <c r="C52" s="25"/>
      <c r="D52" s="5"/>
      <c r="E52" s="29"/>
      <c r="F52" s="29" t="s">
        <v>86</v>
      </c>
    </row>
  </sheetData>
  <dataConsolidate function="count"/>
  <mergeCells count="6">
    <mergeCell ref="E14:F18"/>
    <mergeCell ref="A15:D15"/>
    <mergeCell ref="A16:D16"/>
    <mergeCell ref="A17:D17"/>
    <mergeCell ref="A18:D18"/>
    <mergeCell ref="A14:D14"/>
  </mergeCells>
  <phoneticPr fontId="10" type="noConversion"/>
  <dataValidations count="3">
    <dataValidation allowBlank="1" showErrorMessage="1" promptTitle="Item Description Info" prompt="Enter Item Description Here." sqref="B42:B51 B24:B38" xr:uid="{F532F454-D02C-4D6E-8AA0-F5EBCFC78510}"/>
    <dataValidation allowBlank="1" showErrorMessage="1" sqref="C24:C51" xr:uid="{6EF1EF1F-30AE-4A99-8E77-20452CD20BB5}"/>
    <dataValidation type="list" errorStyle="warning" allowBlank="1" showErrorMessage="1" promptTitle="Enter Unit" prompt="Enter Unit." sqref="D24:D51" xr:uid="{E31E6D76-A03A-4D88-A8EC-A07D9F4FEEA0}">
      <formula1>UoM</formula1>
    </dataValidation>
  </dataValidations>
  <printOptions horizontalCentered="1"/>
  <pageMargins left="0.7" right="0.7" top="0.75" bottom="0.75" header="0.3" footer="0.3"/>
  <pageSetup firstPageNumber="2" fitToHeight="0" orientation="portrait" useFirstPageNumber="1" r:id="rId1"/>
  <headerFooter>
    <oddHeader>&amp;RBidder: _________________________</oddHeader>
    <oddFooter>&amp;L&amp;"Times New Roman,Regular"&amp;8&amp;Z&amp;F&amp;R&amp;"Times New Roman,Regular"&amp;9Bid 
004100-&amp;P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6773B-41F5-4FBA-845A-25348B9AB545}">
  <sheetPr>
    <tabColor theme="5" tint="-0.499984740745262"/>
    <pageSetUpPr fitToPage="1"/>
  </sheetPr>
  <dimension ref="A1:F41"/>
  <sheetViews>
    <sheetView view="pageLayout" topLeftCell="A34" zoomScaleNormal="100" zoomScaleSheetLayoutView="100" workbookViewId="0">
      <selection activeCell="B39" sqref="B39"/>
    </sheetView>
  </sheetViews>
  <sheetFormatPr defaultRowHeight="15" x14ac:dyDescent="0.25"/>
  <cols>
    <col min="1" max="1" width="6.5703125" customWidth="1"/>
    <col min="2" max="2" width="36.7109375" style="43" customWidth="1"/>
    <col min="3" max="3" width="10.7109375" style="53" customWidth="1"/>
    <col min="4" max="4" width="8.28515625" customWidth="1"/>
    <col min="5" max="5" width="13.28515625" style="26" customWidth="1"/>
    <col min="6" max="6" width="14.140625" style="26" bestFit="1" customWidth="1"/>
  </cols>
  <sheetData>
    <row r="1" spans="1:6" hidden="1" x14ac:dyDescent="0.25">
      <c r="A1" s="1" t="s">
        <v>0</v>
      </c>
    </row>
    <row r="2" spans="1:6" hidden="1" x14ac:dyDescent="0.25">
      <c r="A2" s="1" t="s">
        <v>1</v>
      </c>
    </row>
    <row r="3" spans="1:6" hidden="1" x14ac:dyDescent="0.25">
      <c r="A3" s="1" t="s">
        <v>2</v>
      </c>
    </row>
    <row r="4" spans="1:6" hidden="1" x14ac:dyDescent="0.25">
      <c r="A4" s="1" t="s">
        <v>3</v>
      </c>
    </row>
    <row r="5" spans="1:6" hidden="1" x14ac:dyDescent="0.25">
      <c r="A5" s="1" t="s">
        <v>4</v>
      </c>
    </row>
    <row r="6" spans="1:6" hidden="1" x14ac:dyDescent="0.25">
      <c r="A6" s="1" t="s">
        <v>5</v>
      </c>
    </row>
    <row r="7" spans="1:6" hidden="1" x14ac:dyDescent="0.25">
      <c r="A7" s="1" t="s">
        <v>6</v>
      </c>
    </row>
    <row r="8" spans="1:6" hidden="1" x14ac:dyDescent="0.25">
      <c r="A8" s="1" t="s">
        <v>7</v>
      </c>
    </row>
    <row r="9" spans="1:6" hidden="1" x14ac:dyDescent="0.25">
      <c r="A9" s="1" t="s">
        <v>8</v>
      </c>
    </row>
    <row r="10" spans="1:6" hidden="1" x14ac:dyDescent="0.25">
      <c r="A10" s="1" t="s">
        <v>9</v>
      </c>
    </row>
    <row r="11" spans="1:6" hidden="1" x14ac:dyDescent="0.25">
      <c r="A11" s="1" t="s">
        <v>10</v>
      </c>
    </row>
    <row r="12" spans="1:6" hidden="1" x14ac:dyDescent="0.25">
      <c r="A12" s="1" t="s">
        <v>11</v>
      </c>
    </row>
    <row r="13" spans="1:6" hidden="1" x14ac:dyDescent="0.25">
      <c r="A13" s="1" t="s">
        <v>12</v>
      </c>
    </row>
    <row r="14" spans="1:6" x14ac:dyDescent="0.25">
      <c r="A14" s="77"/>
      <c r="B14" s="77"/>
      <c r="C14" s="77"/>
      <c r="D14" s="77"/>
      <c r="E14" s="71"/>
      <c r="F14" s="71"/>
    </row>
    <row r="15" spans="1:6" x14ac:dyDescent="0.25">
      <c r="A15" s="74" t="s">
        <v>13</v>
      </c>
      <c r="B15" s="74"/>
      <c r="C15" s="74"/>
      <c r="D15" s="74"/>
      <c r="E15" s="72"/>
      <c r="F15" s="72"/>
    </row>
    <row r="16" spans="1:6" x14ac:dyDescent="0.25">
      <c r="A16" s="74" t="s">
        <v>14</v>
      </c>
      <c r="B16" s="74"/>
      <c r="C16" s="74"/>
      <c r="D16" s="74"/>
      <c r="E16" s="72"/>
      <c r="F16" s="72"/>
    </row>
    <row r="17" spans="1:6" x14ac:dyDescent="0.25">
      <c r="A17" s="75"/>
      <c r="B17" s="75"/>
      <c r="C17" s="75"/>
      <c r="D17" s="75"/>
      <c r="E17" s="72"/>
      <c r="F17" s="72"/>
    </row>
    <row r="18" spans="1:6" x14ac:dyDescent="0.25">
      <c r="A18" s="76"/>
      <c r="B18" s="76"/>
      <c r="C18" s="76"/>
      <c r="D18" s="76"/>
      <c r="E18" s="73"/>
      <c r="F18" s="73"/>
    </row>
    <row r="19" spans="1:6" s="2" customFormat="1" ht="24" customHeight="1" x14ac:dyDescent="0.2">
      <c r="A19" s="3" t="s">
        <v>15</v>
      </c>
      <c r="B19" s="54" t="s">
        <v>16</v>
      </c>
      <c r="C19" s="55" t="s">
        <v>17</v>
      </c>
      <c r="D19" s="54" t="s">
        <v>18</v>
      </c>
      <c r="E19" s="27" t="s">
        <v>19</v>
      </c>
      <c r="F19" s="27" t="s">
        <v>20</v>
      </c>
    </row>
    <row r="20" spans="1:6" ht="40.5" customHeight="1" x14ac:dyDescent="0.25">
      <c r="A20" s="4" t="s">
        <v>21</v>
      </c>
      <c r="B20" s="60" t="s">
        <v>30</v>
      </c>
      <c r="C20" s="67">
        <v>1</v>
      </c>
      <c r="D20" s="61" t="s">
        <v>8</v>
      </c>
      <c r="E20" s="64"/>
      <c r="F20" s="28"/>
    </row>
    <row r="21" spans="1:6" ht="40.5" customHeight="1" x14ac:dyDescent="0.25">
      <c r="A21" s="4" t="s">
        <v>23</v>
      </c>
      <c r="B21" s="60" t="s">
        <v>36</v>
      </c>
      <c r="C21" s="67">
        <v>5407</v>
      </c>
      <c r="D21" s="61" t="s">
        <v>10</v>
      </c>
      <c r="E21" s="28"/>
      <c r="F21" s="28"/>
    </row>
    <row r="22" spans="1:6" ht="40.5" customHeight="1" x14ac:dyDescent="0.25">
      <c r="A22" s="4" t="s">
        <v>25</v>
      </c>
      <c r="B22" s="60" t="s">
        <v>38</v>
      </c>
      <c r="C22" s="67">
        <v>1515</v>
      </c>
      <c r="D22" s="61" t="s">
        <v>10</v>
      </c>
      <c r="E22" s="28"/>
      <c r="F22" s="28"/>
    </row>
    <row r="23" spans="1:6" ht="40.5" customHeight="1" x14ac:dyDescent="0.25">
      <c r="A23" s="4" t="s">
        <v>27</v>
      </c>
      <c r="B23" s="60" t="s">
        <v>40</v>
      </c>
      <c r="C23" s="67">
        <v>5407</v>
      </c>
      <c r="D23" s="61" t="s">
        <v>10</v>
      </c>
      <c r="E23" s="28"/>
      <c r="F23" s="28"/>
    </row>
    <row r="24" spans="1:6" ht="40.5" customHeight="1" x14ac:dyDescent="0.25">
      <c r="A24" s="4" t="s">
        <v>29</v>
      </c>
      <c r="B24" s="60" t="s">
        <v>42</v>
      </c>
      <c r="C24" s="67">
        <v>362</v>
      </c>
      <c r="D24" s="61" t="s">
        <v>6</v>
      </c>
      <c r="E24" s="28"/>
      <c r="F24" s="28"/>
    </row>
    <row r="25" spans="1:6" ht="40.5" customHeight="1" x14ac:dyDescent="0.25">
      <c r="A25" s="4" t="s">
        <v>31</v>
      </c>
      <c r="B25" s="60" t="s">
        <v>87</v>
      </c>
      <c r="C25" s="67">
        <v>10</v>
      </c>
      <c r="D25" s="61" t="s">
        <v>2</v>
      </c>
      <c r="E25" s="28"/>
      <c r="F25" s="28"/>
    </row>
    <row r="26" spans="1:6" ht="40.5" customHeight="1" x14ac:dyDescent="0.25">
      <c r="A26" s="4" t="s">
        <v>33</v>
      </c>
      <c r="B26" s="60" t="s">
        <v>46</v>
      </c>
      <c r="C26" s="67">
        <v>1</v>
      </c>
      <c r="D26" s="61" t="s">
        <v>2</v>
      </c>
      <c r="E26" s="28"/>
      <c r="F26" s="28"/>
    </row>
    <row r="27" spans="1:6" ht="40.5" customHeight="1" x14ac:dyDescent="0.25">
      <c r="A27" s="4" t="s">
        <v>35</v>
      </c>
      <c r="B27" s="60" t="s">
        <v>52</v>
      </c>
      <c r="C27" s="67">
        <v>112</v>
      </c>
      <c r="D27" s="61" t="s">
        <v>2</v>
      </c>
      <c r="E27" s="51"/>
      <c r="F27" s="28"/>
    </row>
    <row r="28" spans="1:6" ht="40.5" customHeight="1" x14ac:dyDescent="0.25">
      <c r="A28" s="4" t="s">
        <v>37</v>
      </c>
      <c r="B28" s="60" t="s">
        <v>54</v>
      </c>
      <c r="C28" s="67">
        <v>74</v>
      </c>
      <c r="D28" s="61" t="s">
        <v>2</v>
      </c>
      <c r="E28" s="28"/>
      <c r="F28" s="28"/>
    </row>
    <row r="29" spans="1:6" ht="40.5" customHeight="1" x14ac:dyDescent="0.25">
      <c r="A29" s="4" t="s">
        <v>39</v>
      </c>
      <c r="B29" s="60" t="s">
        <v>56</v>
      </c>
      <c r="C29" s="67">
        <v>35</v>
      </c>
      <c r="D29" s="61" t="s">
        <v>2</v>
      </c>
      <c r="E29" s="28"/>
      <c r="F29" s="28"/>
    </row>
    <row r="30" spans="1:6" ht="40.5" customHeight="1" x14ac:dyDescent="0.25">
      <c r="A30" s="4" t="s">
        <v>41</v>
      </c>
      <c r="B30" s="60" t="s">
        <v>58</v>
      </c>
      <c r="C30" s="67">
        <v>430</v>
      </c>
      <c r="D30" s="61" t="s">
        <v>7</v>
      </c>
      <c r="E30" s="28"/>
      <c r="F30" s="28"/>
    </row>
    <row r="31" spans="1:6" ht="40.5" customHeight="1" x14ac:dyDescent="0.25">
      <c r="A31" s="4" t="s">
        <v>43</v>
      </c>
      <c r="B31" s="60" t="s">
        <v>60</v>
      </c>
      <c r="C31" s="67">
        <v>2700</v>
      </c>
      <c r="D31" s="61" t="s">
        <v>7</v>
      </c>
      <c r="E31" s="28"/>
      <c r="F31" s="28"/>
    </row>
    <row r="32" spans="1:6" ht="40.5" customHeight="1" x14ac:dyDescent="0.25">
      <c r="A32" s="4" t="s">
        <v>45</v>
      </c>
      <c r="B32" s="60" t="s">
        <v>62</v>
      </c>
      <c r="C32" s="67">
        <v>2660</v>
      </c>
      <c r="D32" s="61" t="s">
        <v>7</v>
      </c>
      <c r="E32" s="28"/>
      <c r="F32" s="28"/>
    </row>
    <row r="33" spans="1:6" ht="40.5" customHeight="1" x14ac:dyDescent="0.25">
      <c r="A33" s="4" t="s">
        <v>47</v>
      </c>
      <c r="B33" s="60" t="s">
        <v>68</v>
      </c>
      <c r="C33" s="67">
        <v>23</v>
      </c>
      <c r="D33" s="61" t="s">
        <v>2</v>
      </c>
      <c r="E33" s="28"/>
      <c r="F33" s="28"/>
    </row>
    <row r="34" spans="1:6" ht="40.5" customHeight="1" x14ac:dyDescent="0.25">
      <c r="A34" s="4" t="s">
        <v>49</v>
      </c>
      <c r="B34" s="60" t="s">
        <v>70</v>
      </c>
      <c r="C34" s="67">
        <v>1</v>
      </c>
      <c r="D34" s="61" t="s">
        <v>2</v>
      </c>
      <c r="E34" s="28"/>
      <c r="F34" s="28"/>
    </row>
    <row r="35" spans="1:6" ht="40.5" customHeight="1" x14ac:dyDescent="0.25">
      <c r="A35" s="4" t="s">
        <v>51</v>
      </c>
      <c r="B35" s="60" t="s">
        <v>74</v>
      </c>
      <c r="C35" s="67">
        <v>1</v>
      </c>
      <c r="D35" s="61" t="s">
        <v>8</v>
      </c>
      <c r="E35" s="28"/>
      <c r="F35" s="28"/>
    </row>
    <row r="36" spans="1:6" ht="40.5" customHeight="1" x14ac:dyDescent="0.25">
      <c r="A36" s="4" t="s">
        <v>53</v>
      </c>
      <c r="B36" s="60" t="s">
        <v>76</v>
      </c>
      <c r="C36" s="67">
        <v>24</v>
      </c>
      <c r="D36" s="61" t="s">
        <v>2</v>
      </c>
      <c r="E36" s="28"/>
      <c r="F36" s="28"/>
    </row>
    <row r="37" spans="1:6" ht="40.5" customHeight="1" x14ac:dyDescent="0.25">
      <c r="A37" s="4" t="s">
        <v>55</v>
      </c>
      <c r="B37" s="60" t="s">
        <v>78</v>
      </c>
      <c r="C37" s="67">
        <v>36</v>
      </c>
      <c r="D37" s="61" t="s">
        <v>2</v>
      </c>
      <c r="E37" s="28"/>
      <c r="F37" s="28"/>
    </row>
    <row r="38" spans="1:6" ht="40.5" customHeight="1" x14ac:dyDescent="0.25">
      <c r="A38" s="4" t="s">
        <v>57</v>
      </c>
      <c r="B38" s="60" t="s">
        <v>100</v>
      </c>
      <c r="C38" s="67">
        <v>30</v>
      </c>
      <c r="D38" s="61" t="s">
        <v>2</v>
      </c>
      <c r="E38" s="28"/>
      <c r="F38" s="28"/>
    </row>
    <row r="39" spans="1:6" ht="40.5" customHeight="1" x14ac:dyDescent="0.25">
      <c r="A39" s="4" t="s">
        <v>59</v>
      </c>
      <c r="B39" s="60" t="s">
        <v>88</v>
      </c>
      <c r="C39" s="67">
        <v>2400</v>
      </c>
      <c r="D39" s="61" t="s">
        <v>7</v>
      </c>
      <c r="E39" s="28"/>
      <c r="F39" s="28"/>
    </row>
    <row r="40" spans="1:6" ht="40.5" customHeight="1" x14ac:dyDescent="0.25">
      <c r="A40" s="4" t="s">
        <v>61</v>
      </c>
      <c r="B40" s="60" t="s">
        <v>103</v>
      </c>
      <c r="C40" s="67">
        <v>61</v>
      </c>
      <c r="D40" s="61" t="s">
        <v>2</v>
      </c>
      <c r="E40" s="28"/>
      <c r="F40" s="28"/>
    </row>
    <row r="41" spans="1:6" ht="27.75" customHeight="1" x14ac:dyDescent="0.25">
      <c r="A41" s="5"/>
      <c r="B41" s="44" t="s">
        <v>85</v>
      </c>
      <c r="C41" s="62"/>
      <c r="D41" s="5"/>
      <c r="E41" s="29"/>
      <c r="F41" s="29"/>
    </row>
  </sheetData>
  <mergeCells count="6">
    <mergeCell ref="A14:D14"/>
    <mergeCell ref="E14:F18"/>
    <mergeCell ref="A15:D15"/>
    <mergeCell ref="A16:D16"/>
    <mergeCell ref="A17:D17"/>
    <mergeCell ref="A18:D18"/>
  </mergeCells>
  <phoneticPr fontId="10" type="noConversion"/>
  <dataValidations count="3">
    <dataValidation allowBlank="1" showErrorMessage="1" promptTitle="Item Description Info" prompt="Enter Item Description Here." sqref="B33:B40 B20:B30" xr:uid="{E2A06CA9-A843-49ED-8FFF-F3DB8F25F21C}"/>
    <dataValidation allowBlank="1" showErrorMessage="1" sqref="C20:C40" xr:uid="{8302B37D-DAAD-4715-B105-A3EC5389E900}"/>
    <dataValidation type="list" errorStyle="warning" allowBlank="1" showErrorMessage="1" promptTitle="Enter Unit" prompt="Enter Unit." sqref="D20:D40" xr:uid="{00684497-0443-49B7-99AC-449E44FD8D65}">
      <formula1>UoM</formula1>
    </dataValidation>
  </dataValidations>
  <printOptions horizontalCentered="1"/>
  <pageMargins left="0.75" right="0.75" top="1" bottom="1" header="0.5" footer="0.7"/>
  <pageSetup scale="99" firstPageNumber="3" fitToHeight="0" orientation="portrait" useFirstPageNumber="1" r:id="rId1"/>
  <headerFooter>
    <oddHeader>&amp;L&amp;"Arial,Bold"BASE BID&amp;RBidder: _________________________</oddHeader>
    <oddFooter>&amp;L&amp;"Times New Roman,Regular"&amp;8&amp;Z&amp;F&amp;R&amp;"Times New Roman,Regular"&amp;9Bid 
004100-&amp;P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6A182-8115-4EC9-8267-55AA66C03E4F}">
  <sheetPr>
    <tabColor theme="5" tint="-0.499984740745262"/>
    <pageSetUpPr fitToPage="1"/>
  </sheetPr>
  <dimension ref="A1:F45"/>
  <sheetViews>
    <sheetView view="pageLayout" topLeftCell="A36" zoomScaleNormal="100" zoomScaleSheetLayoutView="100" workbookViewId="0">
      <selection activeCell="B44" sqref="B44"/>
    </sheetView>
  </sheetViews>
  <sheetFormatPr defaultRowHeight="15" x14ac:dyDescent="0.25"/>
  <cols>
    <col min="1" max="1" width="6.5703125" customWidth="1"/>
    <col min="2" max="2" width="36.7109375" style="43" customWidth="1"/>
    <col min="3" max="3" width="10.7109375" style="52" customWidth="1"/>
    <col min="4" max="4" width="8.28515625" customWidth="1"/>
    <col min="5" max="6" width="13.28515625" style="26" customWidth="1"/>
  </cols>
  <sheetData>
    <row r="1" spans="1:6" hidden="1" x14ac:dyDescent="0.25">
      <c r="A1" s="1" t="s">
        <v>0</v>
      </c>
    </row>
    <row r="2" spans="1:6" hidden="1" x14ac:dyDescent="0.25">
      <c r="A2" s="1" t="s">
        <v>1</v>
      </c>
    </row>
    <row r="3" spans="1:6" hidden="1" x14ac:dyDescent="0.25">
      <c r="A3" s="1" t="s">
        <v>2</v>
      </c>
    </row>
    <row r="4" spans="1:6" hidden="1" x14ac:dyDescent="0.25">
      <c r="A4" s="1" t="s">
        <v>3</v>
      </c>
    </row>
    <row r="5" spans="1:6" hidden="1" x14ac:dyDescent="0.25">
      <c r="A5" s="1" t="s">
        <v>4</v>
      </c>
    </row>
    <row r="6" spans="1:6" hidden="1" x14ac:dyDescent="0.25">
      <c r="A6" s="1" t="s">
        <v>5</v>
      </c>
    </row>
    <row r="7" spans="1:6" hidden="1" x14ac:dyDescent="0.25">
      <c r="A7" s="1" t="s">
        <v>6</v>
      </c>
    </row>
    <row r="8" spans="1:6" hidden="1" x14ac:dyDescent="0.25">
      <c r="A8" s="1" t="s">
        <v>7</v>
      </c>
    </row>
    <row r="9" spans="1:6" hidden="1" x14ac:dyDescent="0.25">
      <c r="A9" s="1" t="s">
        <v>8</v>
      </c>
    </row>
    <row r="10" spans="1:6" hidden="1" x14ac:dyDescent="0.25">
      <c r="A10" s="1" t="s">
        <v>9</v>
      </c>
    </row>
    <row r="11" spans="1:6" hidden="1" x14ac:dyDescent="0.25">
      <c r="A11" s="1" t="s">
        <v>10</v>
      </c>
    </row>
    <row r="12" spans="1:6" hidden="1" x14ac:dyDescent="0.25">
      <c r="A12" s="1" t="s">
        <v>11</v>
      </c>
    </row>
    <row r="13" spans="1:6" hidden="1" x14ac:dyDescent="0.25">
      <c r="A13" s="1" t="s">
        <v>12</v>
      </c>
    </row>
    <row r="14" spans="1:6" x14ac:dyDescent="0.25">
      <c r="A14" s="77"/>
      <c r="B14" s="77"/>
      <c r="C14" s="77"/>
      <c r="D14" s="77"/>
      <c r="E14" s="71"/>
      <c r="F14" s="71"/>
    </row>
    <row r="15" spans="1:6" x14ac:dyDescent="0.25">
      <c r="A15" s="74" t="s">
        <v>13</v>
      </c>
      <c r="B15" s="74"/>
      <c r="C15" s="74"/>
      <c r="D15" s="74"/>
      <c r="E15" s="72"/>
      <c r="F15" s="72"/>
    </row>
    <row r="16" spans="1:6" x14ac:dyDescent="0.25">
      <c r="A16" s="74" t="s">
        <v>14</v>
      </c>
      <c r="B16" s="74"/>
      <c r="C16" s="74"/>
      <c r="D16" s="74"/>
      <c r="E16" s="72"/>
      <c r="F16" s="72"/>
    </row>
    <row r="17" spans="1:6" x14ac:dyDescent="0.25">
      <c r="A17" s="75"/>
      <c r="B17" s="75"/>
      <c r="C17" s="75"/>
      <c r="D17" s="75"/>
      <c r="E17" s="72"/>
      <c r="F17" s="72"/>
    </row>
    <row r="18" spans="1:6" x14ac:dyDescent="0.25">
      <c r="A18" s="76"/>
      <c r="B18" s="76"/>
      <c r="C18" s="76"/>
      <c r="D18" s="76"/>
      <c r="E18" s="73"/>
      <c r="F18" s="73"/>
    </row>
    <row r="19" spans="1:6" s="2" customFormat="1" ht="24" customHeight="1" x14ac:dyDescent="0.2">
      <c r="A19" s="54" t="s">
        <v>15</v>
      </c>
      <c r="B19" s="54" t="s">
        <v>16</v>
      </c>
      <c r="C19" s="57" t="s">
        <v>17</v>
      </c>
      <c r="D19" s="54" t="s">
        <v>18</v>
      </c>
      <c r="E19" s="65" t="s">
        <v>19</v>
      </c>
      <c r="F19" s="65" t="s">
        <v>20</v>
      </c>
    </row>
    <row r="20" spans="1:6" ht="40.5" customHeight="1" x14ac:dyDescent="0.25">
      <c r="A20" s="68" t="s">
        <v>21</v>
      </c>
      <c r="B20" s="69" t="s">
        <v>98</v>
      </c>
      <c r="C20" s="67">
        <v>1</v>
      </c>
      <c r="D20" s="61" t="s">
        <v>8</v>
      </c>
      <c r="E20" s="56"/>
      <c r="F20" s="28"/>
    </row>
    <row r="21" spans="1:6" ht="40.5" customHeight="1" x14ac:dyDescent="0.25">
      <c r="A21" s="68" t="s">
        <v>23</v>
      </c>
      <c r="B21" s="69" t="s">
        <v>26</v>
      </c>
      <c r="C21" s="67">
        <v>1</v>
      </c>
      <c r="D21" s="61" t="s">
        <v>8</v>
      </c>
      <c r="E21" s="28"/>
      <c r="F21" s="28"/>
    </row>
    <row r="22" spans="1:6" ht="40.5" customHeight="1" x14ac:dyDescent="0.25">
      <c r="A22" s="68" t="s">
        <v>25</v>
      </c>
      <c r="B22" s="69" t="s">
        <v>30</v>
      </c>
      <c r="C22" s="67">
        <v>1</v>
      </c>
      <c r="D22" s="61" t="s">
        <v>8</v>
      </c>
      <c r="E22" s="56"/>
      <c r="F22" s="28"/>
    </row>
    <row r="23" spans="1:6" ht="40.5" customHeight="1" x14ac:dyDescent="0.25">
      <c r="A23" s="68" t="s">
        <v>27</v>
      </c>
      <c r="B23" s="69" t="s">
        <v>32</v>
      </c>
      <c r="C23" s="67">
        <v>145</v>
      </c>
      <c r="D23" s="61" t="s">
        <v>11</v>
      </c>
      <c r="E23" s="28"/>
      <c r="F23" s="28"/>
    </row>
    <row r="24" spans="1:6" ht="40.5" customHeight="1" x14ac:dyDescent="0.25">
      <c r="A24" s="68" t="s">
        <v>29</v>
      </c>
      <c r="B24" s="69" t="s">
        <v>34</v>
      </c>
      <c r="C24" s="67">
        <v>112</v>
      </c>
      <c r="D24" s="61" t="s">
        <v>11</v>
      </c>
      <c r="E24" s="28"/>
      <c r="F24" s="28"/>
    </row>
    <row r="25" spans="1:6" ht="40.5" customHeight="1" x14ac:dyDescent="0.25">
      <c r="A25" s="68" t="s">
        <v>31</v>
      </c>
      <c r="B25" s="69" t="s">
        <v>36</v>
      </c>
      <c r="C25" s="67">
        <v>1559</v>
      </c>
      <c r="D25" s="61" t="s">
        <v>10</v>
      </c>
      <c r="E25" s="28"/>
      <c r="F25" s="28"/>
    </row>
    <row r="26" spans="1:6" ht="40.5" customHeight="1" x14ac:dyDescent="0.25">
      <c r="A26" s="68" t="s">
        <v>33</v>
      </c>
      <c r="B26" s="69" t="s">
        <v>38</v>
      </c>
      <c r="C26" s="67">
        <v>220</v>
      </c>
      <c r="D26" s="61" t="s">
        <v>10</v>
      </c>
      <c r="E26" s="28"/>
      <c r="F26" s="28"/>
    </row>
    <row r="27" spans="1:6" ht="40.5" customHeight="1" x14ac:dyDescent="0.25">
      <c r="A27" s="68" t="s">
        <v>35</v>
      </c>
      <c r="B27" s="69" t="s">
        <v>40</v>
      </c>
      <c r="C27" s="67">
        <v>1559</v>
      </c>
      <c r="D27" s="61" t="s">
        <v>10</v>
      </c>
      <c r="E27" s="28"/>
      <c r="F27" s="28"/>
    </row>
    <row r="28" spans="1:6" ht="40.5" customHeight="1" x14ac:dyDescent="0.25">
      <c r="A28" s="68" t="s">
        <v>37</v>
      </c>
      <c r="B28" s="69" t="s">
        <v>42</v>
      </c>
      <c r="C28" s="67">
        <v>106</v>
      </c>
      <c r="D28" s="61" t="s">
        <v>6</v>
      </c>
      <c r="E28" s="28"/>
      <c r="F28" s="28"/>
    </row>
    <row r="29" spans="1:6" ht="40.5" customHeight="1" x14ac:dyDescent="0.25">
      <c r="A29" s="68" t="s">
        <v>39</v>
      </c>
      <c r="B29" s="69" t="s">
        <v>89</v>
      </c>
      <c r="C29" s="67">
        <v>9</v>
      </c>
      <c r="D29" s="61" t="s">
        <v>2</v>
      </c>
      <c r="E29" s="28"/>
      <c r="F29" s="28"/>
    </row>
    <row r="30" spans="1:6" ht="40.5" customHeight="1" x14ac:dyDescent="0.25">
      <c r="A30" s="68" t="s">
        <v>41</v>
      </c>
      <c r="B30" s="69" t="s">
        <v>48</v>
      </c>
      <c r="C30" s="67">
        <v>1</v>
      </c>
      <c r="D30" s="61" t="s">
        <v>8</v>
      </c>
      <c r="E30" s="28"/>
      <c r="F30" s="28"/>
    </row>
    <row r="31" spans="1:6" ht="40.5" customHeight="1" x14ac:dyDescent="0.25">
      <c r="A31" s="68" t="s">
        <v>43</v>
      </c>
      <c r="B31" s="69" t="s">
        <v>52</v>
      </c>
      <c r="C31" s="67">
        <v>38</v>
      </c>
      <c r="D31" s="61" t="s">
        <v>2</v>
      </c>
      <c r="E31" s="51"/>
      <c r="F31" s="28"/>
    </row>
    <row r="32" spans="1:6" ht="40.5" customHeight="1" x14ac:dyDescent="0.25">
      <c r="A32" s="68" t="s">
        <v>45</v>
      </c>
      <c r="B32" s="69" t="s">
        <v>54</v>
      </c>
      <c r="C32" s="67">
        <v>23</v>
      </c>
      <c r="D32" s="61" t="s">
        <v>2</v>
      </c>
      <c r="E32" s="28"/>
      <c r="F32" s="28"/>
    </row>
    <row r="33" spans="1:6" ht="40.5" customHeight="1" x14ac:dyDescent="0.25">
      <c r="A33" s="68" t="s">
        <v>47</v>
      </c>
      <c r="B33" s="69" t="s">
        <v>56</v>
      </c>
      <c r="C33" s="67">
        <v>7</v>
      </c>
      <c r="D33" s="61" t="s">
        <v>2</v>
      </c>
      <c r="E33" s="28"/>
      <c r="F33" s="28"/>
    </row>
    <row r="34" spans="1:6" ht="40.5" customHeight="1" x14ac:dyDescent="0.25">
      <c r="A34" s="68" t="s">
        <v>49</v>
      </c>
      <c r="B34" s="69" t="s">
        <v>58</v>
      </c>
      <c r="C34" s="67">
        <v>105</v>
      </c>
      <c r="D34" s="61" t="s">
        <v>7</v>
      </c>
      <c r="E34" s="28"/>
      <c r="F34" s="28"/>
    </row>
    <row r="35" spans="1:6" ht="40.5" customHeight="1" x14ac:dyDescent="0.25">
      <c r="A35" s="68" t="s">
        <v>51</v>
      </c>
      <c r="B35" s="69" t="s">
        <v>60</v>
      </c>
      <c r="C35" s="67">
        <v>858</v>
      </c>
      <c r="D35" s="61" t="s">
        <v>7</v>
      </c>
      <c r="E35" s="28"/>
      <c r="F35" s="28"/>
    </row>
    <row r="36" spans="1:6" ht="40.5" customHeight="1" x14ac:dyDescent="0.25">
      <c r="A36" s="68" t="s">
        <v>53</v>
      </c>
      <c r="B36" s="69" t="s">
        <v>62</v>
      </c>
      <c r="C36" s="67">
        <v>868</v>
      </c>
      <c r="D36" s="61" t="s">
        <v>7</v>
      </c>
      <c r="E36" s="28"/>
      <c r="F36" s="28"/>
    </row>
    <row r="37" spans="1:6" ht="40.5" customHeight="1" x14ac:dyDescent="0.25">
      <c r="A37" s="68" t="s">
        <v>55</v>
      </c>
      <c r="B37" s="69" t="s">
        <v>64</v>
      </c>
      <c r="C37" s="67">
        <v>1600</v>
      </c>
      <c r="D37" s="61" t="s">
        <v>7</v>
      </c>
      <c r="E37" s="28"/>
      <c r="F37" s="28"/>
    </row>
    <row r="38" spans="1:6" ht="40.5" customHeight="1" x14ac:dyDescent="0.25">
      <c r="A38" s="68" t="s">
        <v>57</v>
      </c>
      <c r="B38" s="69" t="s">
        <v>70</v>
      </c>
      <c r="C38" s="67">
        <v>6</v>
      </c>
      <c r="D38" s="61" t="s">
        <v>2</v>
      </c>
      <c r="E38" s="28"/>
      <c r="F38" s="28"/>
    </row>
    <row r="39" spans="1:6" ht="40.5" customHeight="1" x14ac:dyDescent="0.25">
      <c r="A39" s="68" t="s">
        <v>59</v>
      </c>
      <c r="B39" s="69" t="s">
        <v>102</v>
      </c>
      <c r="C39" s="67">
        <v>2</v>
      </c>
      <c r="D39" s="61" t="s">
        <v>2</v>
      </c>
      <c r="E39" s="28"/>
      <c r="F39" s="28"/>
    </row>
    <row r="40" spans="1:6" ht="40.5" customHeight="1" x14ac:dyDescent="0.25">
      <c r="A40" s="68" t="s">
        <v>61</v>
      </c>
      <c r="B40" s="69" t="s">
        <v>76</v>
      </c>
      <c r="C40" s="67">
        <v>6</v>
      </c>
      <c r="D40" s="61" t="s">
        <v>2</v>
      </c>
      <c r="E40" s="28"/>
      <c r="F40" s="28"/>
    </row>
    <row r="41" spans="1:6" ht="40.5" customHeight="1" x14ac:dyDescent="0.25">
      <c r="A41" s="68" t="s">
        <v>63</v>
      </c>
      <c r="B41" s="69" t="s">
        <v>78</v>
      </c>
      <c r="C41" s="67">
        <v>13</v>
      </c>
      <c r="D41" s="61" t="s">
        <v>2</v>
      </c>
      <c r="E41" s="28"/>
      <c r="F41" s="28"/>
    </row>
    <row r="42" spans="1:6" ht="40.5" customHeight="1" x14ac:dyDescent="0.25">
      <c r="A42" s="68" t="s">
        <v>65</v>
      </c>
      <c r="B42" s="69" t="s">
        <v>99</v>
      </c>
      <c r="C42" s="67">
        <v>6</v>
      </c>
      <c r="D42" s="61" t="s">
        <v>2</v>
      </c>
      <c r="E42" s="28"/>
      <c r="F42" s="28"/>
    </row>
    <row r="43" spans="1:6" ht="40.5" customHeight="1" x14ac:dyDescent="0.25">
      <c r="A43" s="68" t="s">
        <v>67</v>
      </c>
      <c r="B43" s="69" t="s">
        <v>88</v>
      </c>
      <c r="C43" s="67">
        <v>878</v>
      </c>
      <c r="D43" s="61" t="s">
        <v>7</v>
      </c>
      <c r="E43" s="28"/>
      <c r="F43" s="28"/>
    </row>
    <row r="44" spans="1:6" ht="40.5" customHeight="1" x14ac:dyDescent="0.25">
      <c r="A44" s="68" t="s">
        <v>69</v>
      </c>
      <c r="B44" s="69" t="s">
        <v>103</v>
      </c>
      <c r="C44" s="67">
        <v>19</v>
      </c>
      <c r="D44" s="61" t="s">
        <v>2</v>
      </c>
      <c r="E44" s="28"/>
      <c r="F44" s="28"/>
    </row>
    <row r="45" spans="1:6" ht="27.75" customHeight="1" x14ac:dyDescent="0.25">
      <c r="A45" s="5"/>
      <c r="B45" s="58" t="s">
        <v>90</v>
      </c>
      <c r="C45" s="63"/>
      <c r="D45" s="59"/>
      <c r="E45" s="70"/>
      <c r="F45" s="29"/>
    </row>
  </sheetData>
  <mergeCells count="6">
    <mergeCell ref="A14:D14"/>
    <mergeCell ref="E14:F18"/>
    <mergeCell ref="A15:D15"/>
    <mergeCell ref="A16:D16"/>
    <mergeCell ref="A17:D17"/>
    <mergeCell ref="A18:D18"/>
  </mergeCells>
  <phoneticPr fontId="10" type="noConversion"/>
  <dataValidations count="3">
    <dataValidation allowBlank="1" showErrorMessage="1" promptTitle="Item Description Info" prompt="Enter Item Description Here." sqref="B20:B34 B38:B44" xr:uid="{DA57082C-3EF1-47B6-9F31-94A17D9E8F09}"/>
    <dataValidation allowBlank="1" showErrorMessage="1" sqref="C20:C44" xr:uid="{5210DF44-699A-40B2-82C0-CAF61810AAA2}"/>
    <dataValidation type="list" errorStyle="warning" allowBlank="1" showErrorMessage="1" promptTitle="Enter Unit" prompt="Enter Unit." sqref="D20:D44" xr:uid="{FD97D06E-461B-41F6-9909-F1E8AB2687ED}">
      <formula1>UoM</formula1>
    </dataValidation>
  </dataValidations>
  <printOptions horizontalCentered="1"/>
  <pageMargins left="0.75" right="0.75" top="1" bottom="1" header="0.5" footer="0.7"/>
  <pageSetup firstPageNumber="5" fitToHeight="0" orientation="portrait" useFirstPageNumber="1" r:id="rId1"/>
  <headerFooter>
    <oddHeader>&amp;L&amp;"Arial,Bold"ADDITIVE ALTERNATE 1&amp;RBidder: _________________________</oddHeader>
    <oddFooter>&amp;L&amp;"Times New Roman,Regular"&amp;8&amp;Z&amp;F&amp;R&amp;"Times New Roman,Regular"&amp;9Bid 
004100-&amp;P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D7ACC-4F7F-43B4-AD10-2B0764F8C89D}">
  <sheetPr>
    <tabColor theme="5" tint="-0.499984740745262"/>
  </sheetPr>
  <dimension ref="A1:F39"/>
  <sheetViews>
    <sheetView view="pageLayout" topLeftCell="A34" zoomScaleNormal="100" zoomScaleSheetLayoutView="100" workbookViewId="0">
      <selection activeCell="B37" sqref="B37"/>
    </sheetView>
  </sheetViews>
  <sheetFormatPr defaultRowHeight="15" x14ac:dyDescent="0.25"/>
  <cols>
    <col min="1" max="1" width="6.5703125" customWidth="1"/>
    <col min="2" max="2" width="36.7109375" style="43" customWidth="1"/>
    <col min="3" max="3" width="10.7109375" style="52" customWidth="1"/>
    <col min="4" max="4" width="8.28515625" customWidth="1"/>
    <col min="5" max="6" width="13.28515625" style="26" customWidth="1"/>
  </cols>
  <sheetData>
    <row r="1" spans="1:6" hidden="1" x14ac:dyDescent="0.25">
      <c r="A1" s="1" t="s">
        <v>0</v>
      </c>
    </row>
    <row r="2" spans="1:6" hidden="1" x14ac:dyDescent="0.25">
      <c r="A2" s="1" t="s">
        <v>1</v>
      </c>
    </row>
    <row r="3" spans="1:6" hidden="1" x14ac:dyDescent="0.25">
      <c r="A3" s="1" t="s">
        <v>2</v>
      </c>
    </row>
    <row r="4" spans="1:6" hidden="1" x14ac:dyDescent="0.25">
      <c r="A4" s="1" t="s">
        <v>3</v>
      </c>
    </row>
    <row r="5" spans="1:6" hidden="1" x14ac:dyDescent="0.25">
      <c r="A5" s="1" t="s">
        <v>4</v>
      </c>
    </row>
    <row r="6" spans="1:6" hidden="1" x14ac:dyDescent="0.25">
      <c r="A6" s="1" t="s">
        <v>5</v>
      </c>
    </row>
    <row r="7" spans="1:6" hidden="1" x14ac:dyDescent="0.25">
      <c r="A7" s="1" t="s">
        <v>6</v>
      </c>
    </row>
    <row r="8" spans="1:6" hidden="1" x14ac:dyDescent="0.25">
      <c r="A8" s="1" t="s">
        <v>7</v>
      </c>
    </row>
    <row r="9" spans="1:6" hidden="1" x14ac:dyDescent="0.25">
      <c r="A9" s="1" t="s">
        <v>8</v>
      </c>
    </row>
    <row r="10" spans="1:6" hidden="1" x14ac:dyDescent="0.25">
      <c r="A10" s="1" t="s">
        <v>9</v>
      </c>
    </row>
    <row r="11" spans="1:6" hidden="1" x14ac:dyDescent="0.25">
      <c r="A11" s="1" t="s">
        <v>10</v>
      </c>
    </row>
    <row r="12" spans="1:6" hidden="1" x14ac:dyDescent="0.25">
      <c r="A12" s="1" t="s">
        <v>11</v>
      </c>
    </row>
    <row r="13" spans="1:6" hidden="1" x14ac:dyDescent="0.25">
      <c r="A13" s="1" t="s">
        <v>12</v>
      </c>
    </row>
    <row r="14" spans="1:6" x14ac:dyDescent="0.25">
      <c r="A14" s="77"/>
      <c r="B14" s="77"/>
      <c r="C14" s="77"/>
      <c r="D14" s="77"/>
      <c r="E14" s="71"/>
      <c r="F14" s="71"/>
    </row>
    <row r="15" spans="1:6" x14ac:dyDescent="0.25">
      <c r="A15" s="74" t="s">
        <v>13</v>
      </c>
      <c r="B15" s="74"/>
      <c r="C15" s="74"/>
      <c r="D15" s="74"/>
      <c r="E15" s="72"/>
      <c r="F15" s="72"/>
    </row>
    <row r="16" spans="1:6" x14ac:dyDescent="0.25">
      <c r="A16" s="74" t="s">
        <v>14</v>
      </c>
      <c r="B16" s="74"/>
      <c r="C16" s="74"/>
      <c r="D16" s="74"/>
      <c r="E16" s="72"/>
      <c r="F16" s="72"/>
    </row>
    <row r="17" spans="1:6" x14ac:dyDescent="0.25">
      <c r="A17" s="75"/>
      <c r="B17" s="75"/>
      <c r="C17" s="75"/>
      <c r="D17" s="75"/>
      <c r="E17" s="72"/>
      <c r="F17" s="72"/>
    </row>
    <row r="18" spans="1:6" x14ac:dyDescent="0.25">
      <c r="A18" s="76"/>
      <c r="B18" s="76"/>
      <c r="C18" s="76"/>
      <c r="D18" s="76"/>
      <c r="E18" s="73"/>
      <c r="F18" s="73"/>
    </row>
    <row r="19" spans="1:6" s="2" customFormat="1" ht="24" customHeight="1" x14ac:dyDescent="0.2">
      <c r="A19" s="3" t="s">
        <v>15</v>
      </c>
      <c r="B19" s="54" t="s">
        <v>16</v>
      </c>
      <c r="C19" s="57" t="s">
        <v>17</v>
      </c>
      <c r="D19" s="54" t="s">
        <v>18</v>
      </c>
      <c r="E19" s="27" t="s">
        <v>19</v>
      </c>
      <c r="F19" s="27" t="s">
        <v>20</v>
      </c>
    </row>
    <row r="20" spans="1:6" ht="40.5" customHeight="1" x14ac:dyDescent="0.25">
      <c r="A20" s="68" t="s">
        <v>21</v>
      </c>
      <c r="B20" s="60" t="s">
        <v>30</v>
      </c>
      <c r="C20" s="67">
        <v>1</v>
      </c>
      <c r="D20" s="61" t="s">
        <v>8</v>
      </c>
      <c r="E20" s="28"/>
      <c r="F20" s="28"/>
    </row>
    <row r="21" spans="1:6" ht="40.5" customHeight="1" x14ac:dyDescent="0.25">
      <c r="A21" s="68" t="s">
        <v>23</v>
      </c>
      <c r="B21" s="60" t="s">
        <v>36</v>
      </c>
      <c r="C21" s="67">
        <v>2142</v>
      </c>
      <c r="D21" s="61" t="s">
        <v>10</v>
      </c>
      <c r="E21" s="28"/>
      <c r="F21" s="28"/>
    </row>
    <row r="22" spans="1:6" ht="40.5" customHeight="1" x14ac:dyDescent="0.25">
      <c r="A22" s="68" t="s">
        <v>25</v>
      </c>
      <c r="B22" s="60" t="s">
        <v>38</v>
      </c>
      <c r="C22" s="67">
        <v>766</v>
      </c>
      <c r="D22" s="61" t="s">
        <v>10</v>
      </c>
      <c r="E22" s="28"/>
      <c r="F22" s="28"/>
    </row>
    <row r="23" spans="1:6" ht="40.5" customHeight="1" x14ac:dyDescent="0.25">
      <c r="A23" s="68" t="s">
        <v>27</v>
      </c>
      <c r="B23" s="60" t="s">
        <v>40</v>
      </c>
      <c r="C23" s="67">
        <v>2142</v>
      </c>
      <c r="D23" s="61" t="s">
        <v>10</v>
      </c>
      <c r="E23" s="28"/>
      <c r="F23" s="28"/>
    </row>
    <row r="24" spans="1:6" ht="40.5" customHeight="1" x14ac:dyDescent="0.25">
      <c r="A24" s="68" t="s">
        <v>29</v>
      </c>
      <c r="B24" s="60" t="s">
        <v>42</v>
      </c>
      <c r="C24" s="67">
        <v>143</v>
      </c>
      <c r="D24" s="61" t="s">
        <v>6</v>
      </c>
      <c r="E24" s="28"/>
      <c r="F24" s="28"/>
    </row>
    <row r="25" spans="1:6" ht="40.5" customHeight="1" x14ac:dyDescent="0.25">
      <c r="A25" s="68" t="s">
        <v>31</v>
      </c>
      <c r="B25" s="60" t="s">
        <v>91</v>
      </c>
      <c r="C25" s="67">
        <v>6</v>
      </c>
      <c r="D25" s="61" t="s">
        <v>2</v>
      </c>
      <c r="E25" s="56"/>
      <c r="F25" s="28"/>
    </row>
    <row r="26" spans="1:6" ht="40.5" customHeight="1" x14ac:dyDescent="0.25">
      <c r="A26" s="68" t="s">
        <v>33</v>
      </c>
      <c r="B26" s="60" t="s">
        <v>50</v>
      </c>
      <c r="C26" s="67">
        <v>1</v>
      </c>
      <c r="D26" s="61" t="s">
        <v>8</v>
      </c>
      <c r="E26" s="28"/>
      <c r="F26" s="28"/>
    </row>
    <row r="27" spans="1:6" ht="40.5" customHeight="1" x14ac:dyDescent="0.25">
      <c r="A27" s="68" t="s">
        <v>35</v>
      </c>
      <c r="B27" s="60" t="s">
        <v>52</v>
      </c>
      <c r="C27" s="67">
        <v>46</v>
      </c>
      <c r="D27" s="61" t="s">
        <v>2</v>
      </c>
      <c r="E27" s="51"/>
      <c r="F27" s="28"/>
    </row>
    <row r="28" spans="1:6" ht="40.5" customHeight="1" x14ac:dyDescent="0.25">
      <c r="A28" s="68" t="s">
        <v>37</v>
      </c>
      <c r="B28" s="60" t="s">
        <v>54</v>
      </c>
      <c r="C28" s="67">
        <v>33</v>
      </c>
      <c r="D28" s="61" t="s">
        <v>2</v>
      </c>
      <c r="E28" s="28"/>
      <c r="F28" s="28"/>
    </row>
    <row r="29" spans="1:6" ht="40.5" customHeight="1" x14ac:dyDescent="0.25">
      <c r="A29" s="68" t="s">
        <v>39</v>
      </c>
      <c r="B29" s="60" t="s">
        <v>56</v>
      </c>
      <c r="C29" s="67">
        <v>19</v>
      </c>
      <c r="D29" s="61" t="s">
        <v>2</v>
      </c>
      <c r="E29" s="28"/>
      <c r="F29" s="28"/>
    </row>
    <row r="30" spans="1:6" ht="40.5" customHeight="1" x14ac:dyDescent="0.25">
      <c r="A30" s="68" t="s">
        <v>41</v>
      </c>
      <c r="B30" s="60" t="s">
        <v>58</v>
      </c>
      <c r="C30" s="67">
        <v>161</v>
      </c>
      <c r="D30" s="61" t="s">
        <v>7</v>
      </c>
      <c r="E30" s="28"/>
      <c r="F30" s="28"/>
    </row>
    <row r="31" spans="1:6" ht="40.5" customHeight="1" x14ac:dyDescent="0.25">
      <c r="A31" s="68" t="s">
        <v>43</v>
      </c>
      <c r="B31" s="60" t="s">
        <v>60</v>
      </c>
      <c r="C31" s="67">
        <v>1025</v>
      </c>
      <c r="D31" s="61" t="s">
        <v>7</v>
      </c>
      <c r="E31" s="28"/>
      <c r="F31" s="28"/>
    </row>
    <row r="32" spans="1:6" ht="40.5" customHeight="1" x14ac:dyDescent="0.25">
      <c r="A32" s="68" t="s">
        <v>45</v>
      </c>
      <c r="B32" s="60" t="s">
        <v>62</v>
      </c>
      <c r="C32" s="67">
        <v>1025</v>
      </c>
      <c r="D32" s="61" t="s">
        <v>7</v>
      </c>
      <c r="E32" s="28"/>
      <c r="F32" s="28"/>
    </row>
    <row r="33" spans="1:6" ht="40.5" customHeight="1" x14ac:dyDescent="0.25">
      <c r="A33" s="68" t="s">
        <v>47</v>
      </c>
      <c r="B33" s="60" t="s">
        <v>68</v>
      </c>
      <c r="C33" s="67">
        <v>9</v>
      </c>
      <c r="D33" s="61" t="s">
        <v>2</v>
      </c>
      <c r="E33" s="28"/>
      <c r="F33" s="28"/>
    </row>
    <row r="34" spans="1:6" ht="40.5" customHeight="1" x14ac:dyDescent="0.25">
      <c r="A34" s="68" t="s">
        <v>49</v>
      </c>
      <c r="B34" s="60" t="s">
        <v>76</v>
      </c>
      <c r="C34" s="67">
        <v>9</v>
      </c>
      <c r="D34" s="61" t="s">
        <v>2</v>
      </c>
      <c r="E34" s="28"/>
      <c r="F34" s="28"/>
    </row>
    <row r="35" spans="1:6" ht="40.5" customHeight="1" x14ac:dyDescent="0.25">
      <c r="A35" s="68" t="s">
        <v>51</v>
      </c>
      <c r="B35" s="60" t="s">
        <v>78</v>
      </c>
      <c r="C35" s="67">
        <v>14</v>
      </c>
      <c r="D35" s="61" t="s">
        <v>2</v>
      </c>
      <c r="E35" s="28"/>
      <c r="F35" s="28"/>
    </row>
    <row r="36" spans="1:6" ht="40.5" customHeight="1" x14ac:dyDescent="0.25">
      <c r="A36" s="68" t="s">
        <v>53</v>
      </c>
      <c r="B36" s="60" t="s">
        <v>100</v>
      </c>
      <c r="C36" s="67">
        <v>14</v>
      </c>
      <c r="D36" s="61" t="s">
        <v>2</v>
      </c>
      <c r="E36" s="28"/>
      <c r="F36" s="28"/>
    </row>
    <row r="37" spans="1:6" ht="40.5" customHeight="1" x14ac:dyDescent="0.25">
      <c r="A37" s="68" t="s">
        <v>55</v>
      </c>
      <c r="B37" s="60" t="s">
        <v>88</v>
      </c>
      <c r="C37" s="67">
        <v>900</v>
      </c>
      <c r="D37" s="61" t="s">
        <v>7</v>
      </c>
      <c r="E37" s="28"/>
      <c r="F37" s="28"/>
    </row>
    <row r="38" spans="1:6" ht="40.5" customHeight="1" x14ac:dyDescent="0.25">
      <c r="A38" s="68" t="s">
        <v>57</v>
      </c>
      <c r="B38" s="60" t="s">
        <v>103</v>
      </c>
      <c r="C38" s="67">
        <v>23</v>
      </c>
      <c r="D38" s="61" t="s">
        <v>2</v>
      </c>
      <c r="E38" s="28"/>
      <c r="F38" s="28"/>
    </row>
    <row r="39" spans="1:6" ht="27.75" customHeight="1" x14ac:dyDescent="0.25">
      <c r="A39" s="5"/>
      <c r="B39" s="58" t="s">
        <v>92</v>
      </c>
      <c r="C39" s="63"/>
      <c r="D39" s="59"/>
      <c r="E39" s="70"/>
      <c r="F39" s="29"/>
    </row>
  </sheetData>
  <mergeCells count="6">
    <mergeCell ref="A14:D14"/>
    <mergeCell ref="E14:F18"/>
    <mergeCell ref="A15:D15"/>
    <mergeCell ref="A16:D16"/>
    <mergeCell ref="A17:D17"/>
    <mergeCell ref="A18:D18"/>
  </mergeCells>
  <phoneticPr fontId="10" type="noConversion"/>
  <dataValidations count="3">
    <dataValidation allowBlank="1" showErrorMessage="1" promptTitle="Item Description Info" prompt="Enter Item Description Here." sqref="B20:B30 B33:B38" xr:uid="{9318EDB3-1EC1-4E72-B242-E7180285761E}"/>
    <dataValidation type="list" errorStyle="warning" allowBlank="1" showErrorMessage="1" promptTitle="Enter Unit" prompt="Enter Unit." sqref="D20:D38" xr:uid="{8F20D077-B2AA-4781-96EB-200AF52BB399}">
      <formula1>UoM</formula1>
    </dataValidation>
    <dataValidation allowBlank="1" showErrorMessage="1" sqref="C20:C38" xr:uid="{31400305-BC03-4CB3-B45A-5FC3EF574D62}"/>
  </dataValidations>
  <printOptions horizontalCentered="1"/>
  <pageMargins left="0.75" right="0.75" top="1" bottom="1" header="0.5" footer="0.7"/>
  <pageSetup firstPageNumber="7" orientation="portrait" useFirstPageNumber="1" r:id="rId1"/>
  <headerFooter>
    <oddHeader>&amp;L&amp;"Arial,Bold"ADDITIVE ALTERNATE 2&amp;RBidder: _________________________</oddHeader>
    <oddFooter>&amp;L&amp;"Times New Roman,Regular"&amp;8&amp;Z&amp;F&amp;R&amp;"Times New Roman,Regular"&amp;9Bid 
004100-&amp;P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36F63-BF4F-4C7C-A547-E81D1C5F3555}">
  <sheetPr>
    <tabColor theme="5" tint="-0.499984740745262"/>
  </sheetPr>
  <dimension ref="A1:F40"/>
  <sheetViews>
    <sheetView view="pageLayout" topLeftCell="A14" zoomScaleNormal="100" zoomScaleSheetLayoutView="100" workbookViewId="0">
      <selection activeCell="B39" sqref="B39"/>
    </sheetView>
  </sheetViews>
  <sheetFormatPr defaultRowHeight="15" x14ac:dyDescent="0.25"/>
  <cols>
    <col min="1" max="1" width="6.5703125" customWidth="1"/>
    <col min="2" max="2" width="36.7109375" style="43" customWidth="1"/>
    <col min="3" max="3" width="10.7109375" style="52" customWidth="1"/>
    <col min="4" max="4" width="8.28515625" customWidth="1"/>
    <col min="5" max="6" width="13.28515625" style="26" customWidth="1"/>
  </cols>
  <sheetData>
    <row r="1" spans="1:6" hidden="1" x14ac:dyDescent="0.25">
      <c r="A1" s="1" t="s">
        <v>0</v>
      </c>
    </row>
    <row r="2" spans="1:6" hidden="1" x14ac:dyDescent="0.25">
      <c r="A2" s="1" t="s">
        <v>1</v>
      </c>
    </row>
    <row r="3" spans="1:6" hidden="1" x14ac:dyDescent="0.25">
      <c r="A3" s="1" t="s">
        <v>2</v>
      </c>
    </row>
    <row r="4" spans="1:6" hidden="1" x14ac:dyDescent="0.25">
      <c r="A4" s="1" t="s">
        <v>3</v>
      </c>
    </row>
    <row r="5" spans="1:6" hidden="1" x14ac:dyDescent="0.25">
      <c r="A5" s="1" t="s">
        <v>4</v>
      </c>
    </row>
    <row r="6" spans="1:6" hidden="1" x14ac:dyDescent="0.25">
      <c r="A6" s="1" t="s">
        <v>5</v>
      </c>
    </row>
    <row r="7" spans="1:6" hidden="1" x14ac:dyDescent="0.25">
      <c r="A7" s="1" t="s">
        <v>6</v>
      </c>
    </row>
    <row r="8" spans="1:6" hidden="1" x14ac:dyDescent="0.25">
      <c r="A8" s="1" t="s">
        <v>7</v>
      </c>
    </row>
    <row r="9" spans="1:6" hidden="1" x14ac:dyDescent="0.25">
      <c r="A9" s="1" t="s">
        <v>8</v>
      </c>
    </row>
    <row r="10" spans="1:6" hidden="1" x14ac:dyDescent="0.25">
      <c r="A10" s="1" t="s">
        <v>9</v>
      </c>
    </row>
    <row r="11" spans="1:6" hidden="1" x14ac:dyDescent="0.25">
      <c r="A11" s="1" t="s">
        <v>10</v>
      </c>
    </row>
    <row r="12" spans="1:6" hidden="1" x14ac:dyDescent="0.25">
      <c r="A12" s="1" t="s">
        <v>11</v>
      </c>
    </row>
    <row r="13" spans="1:6" hidden="1" x14ac:dyDescent="0.25">
      <c r="A13" s="1" t="s">
        <v>12</v>
      </c>
    </row>
    <row r="14" spans="1:6" x14ac:dyDescent="0.25">
      <c r="A14" s="77"/>
      <c r="B14" s="77"/>
      <c r="C14" s="77"/>
      <c r="D14" s="77"/>
      <c r="E14" s="71"/>
      <c r="F14" s="71"/>
    </row>
    <row r="15" spans="1:6" x14ac:dyDescent="0.25">
      <c r="A15" s="74" t="s">
        <v>13</v>
      </c>
      <c r="B15" s="74"/>
      <c r="C15" s="74"/>
      <c r="D15" s="74"/>
      <c r="E15" s="72"/>
      <c r="F15" s="72"/>
    </row>
    <row r="16" spans="1:6" x14ac:dyDescent="0.25">
      <c r="A16" s="74" t="s">
        <v>14</v>
      </c>
      <c r="B16" s="74"/>
      <c r="C16" s="74"/>
      <c r="D16" s="74"/>
      <c r="E16" s="72"/>
      <c r="F16" s="72"/>
    </row>
    <row r="17" spans="1:6" x14ac:dyDescent="0.25">
      <c r="A17" s="75"/>
      <c r="B17" s="75"/>
      <c r="C17" s="75"/>
      <c r="D17" s="75"/>
      <c r="E17" s="72"/>
      <c r="F17" s="72"/>
    </row>
    <row r="18" spans="1:6" x14ac:dyDescent="0.25">
      <c r="A18" s="76"/>
      <c r="B18" s="76"/>
      <c r="C18" s="76"/>
      <c r="D18" s="76"/>
      <c r="E18" s="73"/>
      <c r="F18" s="73"/>
    </row>
    <row r="19" spans="1:6" s="2" customFormat="1" ht="24" customHeight="1" x14ac:dyDescent="0.2">
      <c r="A19" s="3" t="s">
        <v>15</v>
      </c>
      <c r="B19" s="54" t="s">
        <v>16</v>
      </c>
      <c r="C19" s="57" t="s">
        <v>17</v>
      </c>
      <c r="D19" s="54" t="s">
        <v>18</v>
      </c>
      <c r="E19" s="27" t="s">
        <v>19</v>
      </c>
      <c r="F19" s="27" t="s">
        <v>20</v>
      </c>
    </row>
    <row r="20" spans="1:6" ht="40.5" customHeight="1" x14ac:dyDescent="0.25">
      <c r="A20" s="68" t="s">
        <v>21</v>
      </c>
      <c r="B20" s="69" t="s">
        <v>101</v>
      </c>
      <c r="C20" s="67">
        <v>1</v>
      </c>
      <c r="D20" s="61" t="s">
        <v>8</v>
      </c>
      <c r="E20" s="56"/>
      <c r="F20" s="28"/>
    </row>
    <row r="21" spans="1:6" ht="40.5" customHeight="1" x14ac:dyDescent="0.25">
      <c r="A21" s="68" t="s">
        <v>23</v>
      </c>
      <c r="B21" s="69" t="s">
        <v>26</v>
      </c>
      <c r="C21" s="67">
        <v>1</v>
      </c>
      <c r="D21" s="61" t="s">
        <v>8</v>
      </c>
      <c r="E21" s="28"/>
      <c r="F21" s="28"/>
    </row>
    <row r="22" spans="1:6" ht="40.5" customHeight="1" x14ac:dyDescent="0.25">
      <c r="A22" s="68" t="s">
        <v>25</v>
      </c>
      <c r="B22" s="69" t="s">
        <v>30</v>
      </c>
      <c r="C22" s="67">
        <v>1</v>
      </c>
      <c r="D22" s="61" t="s">
        <v>8</v>
      </c>
      <c r="E22" s="28"/>
      <c r="F22" s="28"/>
    </row>
    <row r="23" spans="1:6" ht="40.5" customHeight="1" x14ac:dyDescent="0.25">
      <c r="A23" s="68" t="s">
        <v>27</v>
      </c>
      <c r="B23" s="69" t="s">
        <v>32</v>
      </c>
      <c r="C23" s="67">
        <v>67</v>
      </c>
      <c r="D23" s="61" t="s">
        <v>11</v>
      </c>
      <c r="E23" s="28"/>
      <c r="F23" s="28"/>
    </row>
    <row r="24" spans="1:6" ht="40.5" customHeight="1" x14ac:dyDescent="0.25">
      <c r="A24" s="68" t="s">
        <v>29</v>
      </c>
      <c r="B24" s="69" t="s">
        <v>34</v>
      </c>
      <c r="C24" s="67">
        <v>67</v>
      </c>
      <c r="D24" s="61" t="s">
        <v>11</v>
      </c>
      <c r="E24" s="28"/>
      <c r="F24" s="28"/>
    </row>
    <row r="25" spans="1:6" ht="40.5" customHeight="1" x14ac:dyDescent="0.25">
      <c r="A25" s="68" t="s">
        <v>31</v>
      </c>
      <c r="B25" s="69" t="s">
        <v>36</v>
      </c>
      <c r="C25" s="67">
        <v>341</v>
      </c>
      <c r="D25" s="61" t="s">
        <v>10</v>
      </c>
      <c r="E25" s="28"/>
      <c r="F25" s="28"/>
    </row>
    <row r="26" spans="1:6" ht="40.5" customHeight="1" x14ac:dyDescent="0.25">
      <c r="A26" s="68" t="s">
        <v>33</v>
      </c>
      <c r="B26" s="69" t="s">
        <v>38</v>
      </c>
      <c r="C26" s="67">
        <v>67</v>
      </c>
      <c r="D26" s="61" t="s">
        <v>10</v>
      </c>
      <c r="E26" s="28"/>
      <c r="F26" s="28"/>
    </row>
    <row r="27" spans="1:6" ht="40.5" customHeight="1" x14ac:dyDescent="0.25">
      <c r="A27" s="68" t="s">
        <v>35</v>
      </c>
      <c r="B27" s="69" t="s">
        <v>40</v>
      </c>
      <c r="C27" s="67">
        <v>341</v>
      </c>
      <c r="D27" s="61" t="s">
        <v>10</v>
      </c>
      <c r="E27" s="28"/>
      <c r="F27" s="28"/>
    </row>
    <row r="28" spans="1:6" ht="40.5" customHeight="1" x14ac:dyDescent="0.25">
      <c r="A28" s="68" t="s">
        <v>37</v>
      </c>
      <c r="B28" s="69" t="s">
        <v>42</v>
      </c>
      <c r="C28" s="67">
        <v>23</v>
      </c>
      <c r="D28" s="61" t="s">
        <v>6</v>
      </c>
      <c r="E28" s="28"/>
      <c r="F28" s="28"/>
    </row>
    <row r="29" spans="1:6" ht="40.5" customHeight="1" x14ac:dyDescent="0.25">
      <c r="A29" s="68" t="s">
        <v>39</v>
      </c>
      <c r="B29" s="69" t="s">
        <v>52</v>
      </c>
      <c r="C29" s="67">
        <v>8</v>
      </c>
      <c r="D29" s="61" t="s">
        <v>2</v>
      </c>
      <c r="E29" s="51"/>
      <c r="F29" s="28"/>
    </row>
    <row r="30" spans="1:6" ht="40.5" customHeight="1" x14ac:dyDescent="0.25">
      <c r="A30" s="68" t="s">
        <v>41</v>
      </c>
      <c r="B30" s="69" t="s">
        <v>54</v>
      </c>
      <c r="C30" s="67">
        <v>8</v>
      </c>
      <c r="D30" s="61" t="s">
        <v>2</v>
      </c>
      <c r="E30" s="28"/>
      <c r="F30" s="28"/>
    </row>
    <row r="31" spans="1:6" ht="40.5" customHeight="1" x14ac:dyDescent="0.25">
      <c r="A31" s="68" t="s">
        <v>43</v>
      </c>
      <c r="B31" s="69" t="s">
        <v>58</v>
      </c>
      <c r="C31" s="67">
        <v>98</v>
      </c>
      <c r="D31" s="61" t="s">
        <v>7</v>
      </c>
      <c r="E31" s="28"/>
      <c r="F31" s="28"/>
    </row>
    <row r="32" spans="1:6" ht="40.5" customHeight="1" x14ac:dyDescent="0.25">
      <c r="A32" s="68" t="s">
        <v>45</v>
      </c>
      <c r="B32" s="69" t="s">
        <v>60</v>
      </c>
      <c r="C32" s="67">
        <v>80</v>
      </c>
      <c r="D32" s="61" t="s">
        <v>7</v>
      </c>
      <c r="E32" s="28"/>
      <c r="F32" s="28"/>
    </row>
    <row r="33" spans="1:6" ht="40.5" customHeight="1" x14ac:dyDescent="0.25">
      <c r="A33" s="68" t="s">
        <v>47</v>
      </c>
      <c r="B33" s="69" t="s">
        <v>62</v>
      </c>
      <c r="C33" s="67">
        <v>80</v>
      </c>
      <c r="D33" s="61" t="s">
        <v>7</v>
      </c>
      <c r="E33" s="28"/>
      <c r="F33" s="28"/>
    </row>
    <row r="34" spans="1:6" ht="40.5" customHeight="1" x14ac:dyDescent="0.25">
      <c r="A34" s="68" t="s">
        <v>49</v>
      </c>
      <c r="B34" s="69" t="s">
        <v>70</v>
      </c>
      <c r="C34" s="67">
        <v>1</v>
      </c>
      <c r="D34" s="61" t="s">
        <v>2</v>
      </c>
      <c r="E34" s="28"/>
      <c r="F34" s="28"/>
    </row>
    <row r="35" spans="1:6" ht="40.5" customHeight="1" x14ac:dyDescent="0.25">
      <c r="A35" s="68" t="s">
        <v>51</v>
      </c>
      <c r="B35" s="69" t="s">
        <v>76</v>
      </c>
      <c r="C35" s="67">
        <v>1</v>
      </c>
      <c r="D35" s="61" t="s">
        <v>2</v>
      </c>
      <c r="E35" s="28"/>
      <c r="F35" s="28"/>
    </row>
    <row r="36" spans="1:6" ht="40.5" customHeight="1" x14ac:dyDescent="0.25">
      <c r="A36" s="68" t="s">
        <v>53</v>
      </c>
      <c r="B36" s="69" t="s">
        <v>78</v>
      </c>
      <c r="C36" s="67">
        <v>3</v>
      </c>
      <c r="D36" s="61" t="s">
        <v>2</v>
      </c>
      <c r="E36" s="28"/>
      <c r="F36" s="28"/>
    </row>
    <row r="37" spans="1:6" ht="40.5" customHeight="1" x14ac:dyDescent="0.25">
      <c r="A37" s="68" t="s">
        <v>55</v>
      </c>
      <c r="B37" s="69" t="s">
        <v>99</v>
      </c>
      <c r="C37" s="67">
        <v>1</v>
      </c>
      <c r="D37" s="61" t="s">
        <v>2</v>
      </c>
      <c r="E37" s="28"/>
      <c r="F37" s="28"/>
    </row>
    <row r="38" spans="1:6" ht="40.5" customHeight="1" x14ac:dyDescent="0.25">
      <c r="A38" s="68" t="s">
        <v>57</v>
      </c>
      <c r="B38" s="69" t="s">
        <v>88</v>
      </c>
      <c r="C38" s="67">
        <v>100</v>
      </c>
      <c r="D38" s="61" t="s">
        <v>7</v>
      </c>
      <c r="E38" s="28"/>
      <c r="F38" s="28"/>
    </row>
    <row r="39" spans="1:6" ht="40.5" customHeight="1" x14ac:dyDescent="0.25">
      <c r="A39" s="68" t="s">
        <v>59</v>
      </c>
      <c r="B39" s="69" t="s">
        <v>103</v>
      </c>
      <c r="C39" s="67">
        <v>4</v>
      </c>
      <c r="D39" s="61" t="s">
        <v>2</v>
      </c>
      <c r="E39" s="28"/>
      <c r="F39" s="28"/>
    </row>
    <row r="40" spans="1:6" ht="27.75" customHeight="1" x14ac:dyDescent="0.25">
      <c r="A40" s="5"/>
      <c r="B40" s="58" t="s">
        <v>93</v>
      </c>
      <c r="C40" s="63"/>
      <c r="D40" s="59"/>
      <c r="E40" s="29"/>
      <c r="F40" s="29"/>
    </row>
  </sheetData>
  <mergeCells count="6">
    <mergeCell ref="A14:D14"/>
    <mergeCell ref="E14:F18"/>
    <mergeCell ref="A15:D15"/>
    <mergeCell ref="A16:D16"/>
    <mergeCell ref="A17:D17"/>
    <mergeCell ref="A18:D18"/>
  </mergeCells>
  <phoneticPr fontId="10" type="noConversion"/>
  <dataValidations count="3">
    <dataValidation allowBlank="1" showErrorMessage="1" promptTitle="Item Description Info" prompt="Enter Item Description Here." sqref="B20:B31 B34:B39" xr:uid="{A7EA98D1-EB41-423F-8097-EF877DE83423}"/>
    <dataValidation type="list" errorStyle="warning" allowBlank="1" showErrorMessage="1" promptTitle="Enter Unit" prompt="Enter Unit." sqref="D20:D39" xr:uid="{B276398F-2281-454F-B4E2-EF6A49084D8B}">
      <formula1>UoM</formula1>
    </dataValidation>
    <dataValidation allowBlank="1" showErrorMessage="1" sqref="C20:C39" xr:uid="{957676DD-2886-4672-9E6B-E5B39D82BC38}"/>
  </dataValidations>
  <printOptions horizontalCentered="1"/>
  <pageMargins left="0.75" right="0.75" top="1" bottom="1" header="0.5" footer="0.7"/>
  <pageSetup firstPageNumber="9" orientation="portrait" useFirstPageNumber="1" r:id="rId1"/>
  <headerFooter>
    <oddHeader>&amp;L&amp;"Arial,Bold"ADDITIVE ALTERNATE 3&amp;RBidder: _________________________</oddHeader>
    <oddFooter>&amp;L&amp;"Times New Roman,Regular"&amp;8&amp;Z&amp;F&amp;R&amp;"Times New Roman,Regular"&amp;9Bid 
004100-&amp;P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A1225-05E7-431F-8B53-9C9566A5ED78}">
  <sheetPr>
    <tabColor theme="5" tint="-0.499984740745262"/>
  </sheetPr>
  <dimension ref="A1:F42"/>
  <sheetViews>
    <sheetView view="pageLayout" topLeftCell="A14" zoomScaleNormal="100" zoomScaleSheetLayoutView="100" workbookViewId="0">
      <selection activeCell="B41" sqref="B41"/>
    </sheetView>
  </sheetViews>
  <sheetFormatPr defaultRowHeight="15" x14ac:dyDescent="0.25"/>
  <cols>
    <col min="1" max="1" width="6.5703125" customWidth="1"/>
    <col min="2" max="2" width="36.7109375" style="43" customWidth="1"/>
    <col min="3" max="3" width="10.7109375" style="52" customWidth="1"/>
    <col min="4" max="4" width="8.28515625" customWidth="1"/>
    <col min="5" max="6" width="13.28515625" style="26" customWidth="1"/>
  </cols>
  <sheetData>
    <row r="1" spans="1:6" hidden="1" x14ac:dyDescent="0.25">
      <c r="A1" s="1" t="s">
        <v>0</v>
      </c>
    </row>
    <row r="2" spans="1:6" hidden="1" x14ac:dyDescent="0.25">
      <c r="A2" s="1" t="s">
        <v>1</v>
      </c>
    </row>
    <row r="3" spans="1:6" hidden="1" x14ac:dyDescent="0.25">
      <c r="A3" s="1" t="s">
        <v>2</v>
      </c>
    </row>
    <row r="4" spans="1:6" hidden="1" x14ac:dyDescent="0.25">
      <c r="A4" s="1" t="s">
        <v>3</v>
      </c>
    </row>
    <row r="5" spans="1:6" hidden="1" x14ac:dyDescent="0.25">
      <c r="A5" s="1" t="s">
        <v>4</v>
      </c>
    </row>
    <row r="6" spans="1:6" hidden="1" x14ac:dyDescent="0.25">
      <c r="A6" s="1" t="s">
        <v>5</v>
      </c>
    </row>
    <row r="7" spans="1:6" hidden="1" x14ac:dyDescent="0.25">
      <c r="A7" s="1" t="s">
        <v>6</v>
      </c>
    </row>
    <row r="8" spans="1:6" hidden="1" x14ac:dyDescent="0.25">
      <c r="A8" s="1" t="s">
        <v>7</v>
      </c>
    </row>
    <row r="9" spans="1:6" hidden="1" x14ac:dyDescent="0.25">
      <c r="A9" s="1" t="s">
        <v>8</v>
      </c>
    </row>
    <row r="10" spans="1:6" hidden="1" x14ac:dyDescent="0.25">
      <c r="A10" s="1" t="s">
        <v>9</v>
      </c>
    </row>
    <row r="11" spans="1:6" hidden="1" x14ac:dyDescent="0.25">
      <c r="A11" s="1" t="s">
        <v>10</v>
      </c>
    </row>
    <row r="12" spans="1:6" hidden="1" x14ac:dyDescent="0.25">
      <c r="A12" s="1" t="s">
        <v>11</v>
      </c>
    </row>
    <row r="13" spans="1:6" hidden="1" x14ac:dyDescent="0.25">
      <c r="A13" s="1" t="s">
        <v>12</v>
      </c>
    </row>
    <row r="14" spans="1:6" x14ac:dyDescent="0.25">
      <c r="A14" s="77"/>
      <c r="B14" s="77"/>
      <c r="C14" s="77"/>
      <c r="D14" s="77"/>
      <c r="E14" s="71"/>
      <c r="F14" s="71"/>
    </row>
    <row r="15" spans="1:6" x14ac:dyDescent="0.25">
      <c r="A15" s="74" t="s">
        <v>13</v>
      </c>
      <c r="B15" s="74"/>
      <c r="C15" s="74"/>
      <c r="D15" s="74"/>
      <c r="E15" s="72"/>
      <c r="F15" s="72"/>
    </row>
    <row r="16" spans="1:6" x14ac:dyDescent="0.25">
      <c r="A16" s="74" t="s">
        <v>14</v>
      </c>
      <c r="B16" s="74"/>
      <c r="C16" s="74"/>
      <c r="D16" s="74"/>
      <c r="E16" s="72"/>
      <c r="F16" s="72"/>
    </row>
    <row r="17" spans="1:6" x14ac:dyDescent="0.25">
      <c r="A17" s="75"/>
      <c r="B17" s="75"/>
      <c r="C17" s="75"/>
      <c r="D17" s="75"/>
      <c r="E17" s="72"/>
      <c r="F17" s="72"/>
    </row>
    <row r="18" spans="1:6" x14ac:dyDescent="0.25">
      <c r="A18" s="76"/>
      <c r="B18" s="76"/>
      <c r="C18" s="76"/>
      <c r="D18" s="76"/>
      <c r="E18" s="73"/>
      <c r="F18" s="73"/>
    </row>
    <row r="19" spans="1:6" s="2" customFormat="1" ht="24" customHeight="1" x14ac:dyDescent="0.2">
      <c r="A19" s="3" t="s">
        <v>15</v>
      </c>
      <c r="B19" s="54" t="s">
        <v>16</v>
      </c>
      <c r="C19" s="57" t="s">
        <v>17</v>
      </c>
      <c r="D19" s="54" t="s">
        <v>18</v>
      </c>
      <c r="E19" s="27" t="s">
        <v>19</v>
      </c>
      <c r="F19" s="27" t="s">
        <v>20</v>
      </c>
    </row>
    <row r="20" spans="1:6" ht="40.5" customHeight="1" x14ac:dyDescent="0.25">
      <c r="A20" s="68" t="s">
        <v>21</v>
      </c>
      <c r="B20" s="60" t="s">
        <v>98</v>
      </c>
      <c r="C20" s="67">
        <v>1</v>
      </c>
      <c r="D20" s="61" t="s">
        <v>8</v>
      </c>
      <c r="E20" s="56"/>
      <c r="F20" s="28"/>
    </row>
    <row r="21" spans="1:6" ht="40.5" customHeight="1" x14ac:dyDescent="0.25">
      <c r="A21" s="68" t="s">
        <v>23</v>
      </c>
      <c r="B21" s="60" t="s">
        <v>26</v>
      </c>
      <c r="C21" s="67">
        <v>1</v>
      </c>
      <c r="D21" s="61" t="s">
        <v>8</v>
      </c>
      <c r="E21" s="28"/>
      <c r="F21" s="28"/>
    </row>
    <row r="22" spans="1:6" ht="40.5" customHeight="1" x14ac:dyDescent="0.25">
      <c r="A22" s="68" t="s">
        <v>25</v>
      </c>
      <c r="B22" s="60" t="s">
        <v>30</v>
      </c>
      <c r="C22" s="67">
        <v>1</v>
      </c>
      <c r="D22" s="61" t="s">
        <v>8</v>
      </c>
      <c r="E22" s="28"/>
      <c r="F22" s="28"/>
    </row>
    <row r="23" spans="1:6" ht="40.5" customHeight="1" x14ac:dyDescent="0.25">
      <c r="A23" s="68" t="s">
        <v>27</v>
      </c>
      <c r="B23" s="60" t="s">
        <v>32</v>
      </c>
      <c r="C23" s="67">
        <v>21</v>
      </c>
      <c r="D23" s="61" t="s">
        <v>11</v>
      </c>
      <c r="E23" s="28"/>
      <c r="F23" s="28"/>
    </row>
    <row r="24" spans="1:6" ht="40.5" customHeight="1" x14ac:dyDescent="0.25">
      <c r="A24" s="68" t="s">
        <v>29</v>
      </c>
      <c r="B24" s="60" t="s">
        <v>34</v>
      </c>
      <c r="C24" s="67">
        <v>21</v>
      </c>
      <c r="D24" s="61" t="s">
        <v>11</v>
      </c>
      <c r="E24" s="28"/>
      <c r="F24" s="28"/>
    </row>
    <row r="25" spans="1:6" ht="40.5" customHeight="1" x14ac:dyDescent="0.25">
      <c r="A25" s="68" t="s">
        <v>31</v>
      </c>
      <c r="B25" s="60" t="s">
        <v>36</v>
      </c>
      <c r="C25" s="67">
        <v>259</v>
      </c>
      <c r="D25" s="61" t="s">
        <v>10</v>
      </c>
      <c r="E25" s="28"/>
      <c r="F25" s="28"/>
    </row>
    <row r="26" spans="1:6" ht="40.5" customHeight="1" x14ac:dyDescent="0.25">
      <c r="A26" s="68" t="s">
        <v>33</v>
      </c>
      <c r="B26" s="60" t="s">
        <v>40</v>
      </c>
      <c r="C26" s="67">
        <v>259</v>
      </c>
      <c r="D26" s="61" t="s">
        <v>10</v>
      </c>
      <c r="E26" s="28"/>
      <c r="F26" s="28"/>
    </row>
    <row r="27" spans="1:6" ht="40.5" customHeight="1" x14ac:dyDescent="0.25">
      <c r="A27" s="68" t="s">
        <v>35</v>
      </c>
      <c r="B27" s="60" t="s">
        <v>42</v>
      </c>
      <c r="C27" s="67">
        <v>17</v>
      </c>
      <c r="D27" s="61" t="s">
        <v>6</v>
      </c>
      <c r="E27" s="28"/>
      <c r="F27" s="28"/>
    </row>
    <row r="28" spans="1:6" ht="40.5" customHeight="1" x14ac:dyDescent="0.25">
      <c r="A28" s="68" t="s">
        <v>37</v>
      </c>
      <c r="B28" s="60" t="s">
        <v>52</v>
      </c>
      <c r="C28" s="67">
        <v>6</v>
      </c>
      <c r="D28" s="61" t="s">
        <v>2</v>
      </c>
      <c r="E28" s="51"/>
      <c r="F28" s="28"/>
    </row>
    <row r="29" spans="1:6" ht="40.5" customHeight="1" x14ac:dyDescent="0.25">
      <c r="A29" s="68" t="s">
        <v>39</v>
      </c>
      <c r="B29" s="60" t="s">
        <v>54</v>
      </c>
      <c r="C29" s="67">
        <v>5</v>
      </c>
      <c r="D29" s="61" t="s">
        <v>2</v>
      </c>
      <c r="E29" s="28"/>
      <c r="F29" s="28"/>
    </row>
    <row r="30" spans="1:6" ht="40.5" customHeight="1" x14ac:dyDescent="0.25">
      <c r="A30" s="68" t="s">
        <v>41</v>
      </c>
      <c r="B30" s="60" t="s">
        <v>56</v>
      </c>
      <c r="C30" s="67">
        <v>2</v>
      </c>
      <c r="D30" s="61" t="s">
        <v>2</v>
      </c>
      <c r="E30" s="28"/>
      <c r="F30" s="28"/>
    </row>
    <row r="31" spans="1:6" ht="40.5" customHeight="1" x14ac:dyDescent="0.25">
      <c r="A31" s="68" t="s">
        <v>43</v>
      </c>
      <c r="B31" s="60" t="s">
        <v>58</v>
      </c>
      <c r="C31" s="67">
        <v>82</v>
      </c>
      <c r="D31" s="61" t="s">
        <v>7</v>
      </c>
      <c r="E31" s="28"/>
      <c r="F31" s="28"/>
    </row>
    <row r="32" spans="1:6" ht="40.5" customHeight="1" x14ac:dyDescent="0.25">
      <c r="A32" s="68" t="s">
        <v>45</v>
      </c>
      <c r="B32" s="60" t="s">
        <v>60</v>
      </c>
      <c r="C32" s="67">
        <v>50</v>
      </c>
      <c r="D32" s="61" t="s">
        <v>7</v>
      </c>
      <c r="E32" s="28"/>
      <c r="F32" s="28"/>
    </row>
    <row r="33" spans="1:6" ht="40.5" customHeight="1" x14ac:dyDescent="0.25">
      <c r="A33" s="68" t="s">
        <v>47</v>
      </c>
      <c r="B33" s="60" t="s">
        <v>62</v>
      </c>
      <c r="C33" s="67">
        <v>50</v>
      </c>
      <c r="D33" s="61" t="s">
        <v>7</v>
      </c>
      <c r="E33" s="28"/>
      <c r="F33" s="28"/>
    </row>
    <row r="34" spans="1:6" ht="40.5" customHeight="1" x14ac:dyDescent="0.25">
      <c r="A34" s="68" t="s">
        <v>49</v>
      </c>
      <c r="B34" s="60" t="s">
        <v>64</v>
      </c>
      <c r="C34" s="67">
        <v>70</v>
      </c>
      <c r="D34" s="61" t="s">
        <v>7</v>
      </c>
      <c r="E34" s="28"/>
      <c r="F34" s="28"/>
    </row>
    <row r="35" spans="1:6" ht="40.5" customHeight="1" x14ac:dyDescent="0.25">
      <c r="A35" s="68" t="s">
        <v>51</v>
      </c>
      <c r="B35" s="60" t="s">
        <v>70</v>
      </c>
      <c r="C35" s="67">
        <v>1</v>
      </c>
      <c r="D35" s="61" t="s">
        <v>2</v>
      </c>
      <c r="E35" s="28"/>
      <c r="F35" s="28"/>
    </row>
    <row r="36" spans="1:6" ht="40.5" customHeight="1" x14ac:dyDescent="0.25">
      <c r="A36" s="68" t="s">
        <v>53</v>
      </c>
      <c r="B36" s="60" t="s">
        <v>72</v>
      </c>
      <c r="C36" s="67">
        <v>2</v>
      </c>
      <c r="D36" s="61" t="s">
        <v>2</v>
      </c>
      <c r="E36" s="28"/>
      <c r="F36" s="28"/>
    </row>
    <row r="37" spans="1:6" ht="40.5" customHeight="1" x14ac:dyDescent="0.25">
      <c r="A37" s="68" t="s">
        <v>55</v>
      </c>
      <c r="B37" s="60" t="s">
        <v>76</v>
      </c>
      <c r="C37" s="67">
        <v>1</v>
      </c>
      <c r="D37" s="61" t="s">
        <v>2</v>
      </c>
      <c r="E37" s="28"/>
      <c r="F37" s="28"/>
    </row>
    <row r="38" spans="1:6" ht="40.5" customHeight="1" x14ac:dyDescent="0.25">
      <c r="A38" s="68" t="s">
        <v>57</v>
      </c>
      <c r="B38" s="60" t="s">
        <v>78</v>
      </c>
      <c r="C38" s="67">
        <v>2</v>
      </c>
      <c r="D38" s="61" t="s">
        <v>2</v>
      </c>
      <c r="E38" s="28"/>
      <c r="F38" s="28"/>
    </row>
    <row r="39" spans="1:6" ht="40.5" customHeight="1" x14ac:dyDescent="0.25">
      <c r="A39" s="68" t="s">
        <v>59</v>
      </c>
      <c r="B39" s="60" t="s">
        <v>99</v>
      </c>
      <c r="C39" s="67">
        <v>1</v>
      </c>
      <c r="D39" s="61" t="s">
        <v>2</v>
      </c>
      <c r="E39" s="28"/>
      <c r="F39" s="28"/>
    </row>
    <row r="40" spans="1:6" ht="40.5" customHeight="1" x14ac:dyDescent="0.25">
      <c r="A40" s="68" t="s">
        <v>61</v>
      </c>
      <c r="B40" s="60" t="s">
        <v>88</v>
      </c>
      <c r="C40" s="67">
        <v>100</v>
      </c>
      <c r="D40" s="61" t="s">
        <v>7</v>
      </c>
      <c r="E40" s="28"/>
      <c r="F40" s="28"/>
    </row>
    <row r="41" spans="1:6" ht="40.5" customHeight="1" x14ac:dyDescent="0.25">
      <c r="A41" s="68" t="s">
        <v>63</v>
      </c>
      <c r="B41" s="60" t="s">
        <v>103</v>
      </c>
      <c r="C41" s="67">
        <v>3</v>
      </c>
      <c r="D41" s="61" t="s">
        <v>2</v>
      </c>
      <c r="E41" s="28"/>
      <c r="F41" s="28"/>
    </row>
    <row r="42" spans="1:6" ht="27.75" customHeight="1" x14ac:dyDescent="0.25">
      <c r="A42" s="5"/>
      <c r="B42" s="58" t="s">
        <v>94</v>
      </c>
      <c r="C42" s="63"/>
      <c r="D42" s="59"/>
      <c r="E42" s="29"/>
      <c r="F42" s="29"/>
    </row>
  </sheetData>
  <mergeCells count="6">
    <mergeCell ref="A14:D14"/>
    <mergeCell ref="E14:F18"/>
    <mergeCell ref="A15:D15"/>
    <mergeCell ref="A16:D16"/>
    <mergeCell ref="A17:D17"/>
    <mergeCell ref="A18:D18"/>
  </mergeCells>
  <phoneticPr fontId="10" type="noConversion"/>
  <dataValidations count="3">
    <dataValidation allowBlank="1" showErrorMessage="1" promptTitle="Item Description Info" prompt="Enter Item Description Here." sqref="B35:B41 B20:B31" xr:uid="{5C799C45-C988-4512-86CA-38D6679B5DFA}"/>
    <dataValidation allowBlank="1" showErrorMessage="1" sqref="C20:C41" xr:uid="{D210E02B-C767-4DE1-9D07-CF6E6C9FD892}"/>
    <dataValidation type="list" errorStyle="warning" allowBlank="1" showErrorMessage="1" promptTitle="Enter Unit" prompt="Enter Unit." sqref="D20:D41" xr:uid="{D968D415-BFCD-476E-8CDE-81AE65C5ACBD}">
      <formula1>UoM</formula1>
    </dataValidation>
  </dataValidations>
  <printOptions horizontalCentered="1"/>
  <pageMargins left="0.75" right="0.75" top="1" bottom="1" header="0.5" footer="0.7"/>
  <pageSetup firstPageNumber="11" orientation="portrait" useFirstPageNumber="1" r:id="rId1"/>
  <headerFooter>
    <oddHeader>&amp;L&amp;"Arial,Bold"ADDITIVE ALTERNATE 4&amp;RBidder: _________________________</oddHeader>
    <oddFooter>&amp;L&amp;"Times New Roman,Regular"&amp;8&amp;Z&amp;F&amp;R&amp;"Times New Roman,Regular"&amp;9Bid 
004100-&amp;P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4" tint="-0.499984740745262"/>
  </sheetPr>
  <dimension ref="A1:J29"/>
  <sheetViews>
    <sheetView topLeftCell="A16" zoomScaleNormal="100" zoomScaleSheetLayoutView="100" workbookViewId="0">
      <selection activeCell="H29" sqref="H29"/>
    </sheetView>
  </sheetViews>
  <sheetFormatPr defaultRowHeight="15" x14ac:dyDescent="0.25"/>
  <cols>
    <col min="1" max="1" width="6.7109375" customWidth="1"/>
    <col min="2" max="2" width="28.85546875" style="18" customWidth="1"/>
    <col min="3" max="3" width="11.28515625" style="32" customWidth="1"/>
    <col min="4" max="4" width="6.7109375" style="18" customWidth="1"/>
    <col min="5" max="5" width="11" style="26" customWidth="1"/>
    <col min="6" max="6" width="13.42578125" style="26" customWidth="1"/>
    <col min="7" max="7" width="11" style="26" customWidth="1"/>
    <col min="8" max="8" width="13.42578125" style="26" customWidth="1"/>
    <col min="9" max="9" width="11" customWidth="1"/>
    <col min="10" max="10" width="13.42578125" customWidth="1"/>
  </cols>
  <sheetData>
    <row r="1" spans="1:10" ht="30" customHeight="1" x14ac:dyDescent="0.25">
      <c r="A1" s="85" t="str">
        <f>ProjectLocation</f>
        <v>PORTLAND INTERNATIONAL AIRPORT</v>
      </c>
      <c r="B1" s="86"/>
      <c r="C1" s="86"/>
      <c r="D1" s="87"/>
      <c r="E1" s="78" t="s">
        <v>113</v>
      </c>
      <c r="F1" s="79"/>
      <c r="G1" s="78" t="s">
        <v>114</v>
      </c>
      <c r="H1" s="79"/>
      <c r="I1" s="78" t="s">
        <v>95</v>
      </c>
      <c r="J1" s="79"/>
    </row>
    <row r="2" spans="1:10" x14ac:dyDescent="0.25">
      <c r="A2" s="88" t="str">
        <f>ProjectTitle</f>
        <v>EGSE INFRASTRUCTURE INSTALLATION - PHASE 2</v>
      </c>
      <c r="B2" s="89"/>
      <c r="C2" s="89"/>
      <c r="D2" s="90"/>
      <c r="E2" s="80"/>
      <c r="F2" s="81"/>
      <c r="G2" s="80"/>
      <c r="H2" s="81"/>
      <c r="I2" s="80"/>
      <c r="J2" s="81"/>
    </row>
    <row r="3" spans="1:10" x14ac:dyDescent="0.25">
      <c r="A3" s="88">
        <f>ProjectTitle2</f>
        <v>0</v>
      </c>
      <c r="B3" s="89"/>
      <c r="C3" s="89"/>
      <c r="D3" s="90"/>
      <c r="E3" s="80"/>
      <c r="F3" s="81"/>
      <c r="G3" s="80"/>
      <c r="H3" s="81"/>
      <c r="I3" s="80"/>
      <c r="J3" s="81"/>
    </row>
    <row r="4" spans="1:10" x14ac:dyDescent="0.25">
      <c r="A4" s="91" t="s">
        <v>104</v>
      </c>
      <c r="B4" s="92"/>
      <c r="C4" s="92"/>
      <c r="D4" s="93"/>
      <c r="E4" s="80"/>
      <c r="F4" s="81"/>
      <c r="G4" s="80"/>
      <c r="H4" s="81"/>
      <c r="I4" s="80"/>
      <c r="J4" s="81"/>
    </row>
    <row r="5" spans="1:10" x14ac:dyDescent="0.25">
      <c r="A5" s="91" t="s">
        <v>105</v>
      </c>
      <c r="B5" s="92"/>
      <c r="C5" s="92"/>
      <c r="D5" s="93"/>
      <c r="E5" s="80"/>
      <c r="F5" s="81"/>
      <c r="G5" s="80"/>
      <c r="H5" s="81"/>
      <c r="I5" s="80"/>
      <c r="J5" s="81"/>
    </row>
    <row r="6" spans="1:10" x14ac:dyDescent="0.25">
      <c r="A6" s="82">
        <f ca="1">TODAY()</f>
        <v>45377</v>
      </c>
      <c r="B6" s="83"/>
      <c r="C6" s="83"/>
      <c r="D6" s="84"/>
      <c r="E6" s="33"/>
      <c r="F6" s="34"/>
      <c r="G6" s="33"/>
      <c r="H6" s="34"/>
      <c r="I6" s="33"/>
      <c r="J6" s="34"/>
    </row>
    <row r="7" spans="1:10" ht="32.25" customHeight="1" x14ac:dyDescent="0.25">
      <c r="A7" s="97" t="s">
        <v>15</v>
      </c>
      <c r="B7" s="95" t="s">
        <v>16</v>
      </c>
      <c r="C7" s="30" t="s">
        <v>17</v>
      </c>
      <c r="D7" s="14" t="s">
        <v>18</v>
      </c>
      <c r="E7" s="35" t="s">
        <v>19</v>
      </c>
      <c r="F7" s="35" t="s">
        <v>20</v>
      </c>
      <c r="G7" s="35" t="s">
        <v>19</v>
      </c>
      <c r="H7" s="35" t="s">
        <v>20</v>
      </c>
      <c r="I7" s="35" t="s">
        <v>19</v>
      </c>
      <c r="J7" s="35" t="s">
        <v>20</v>
      </c>
    </row>
    <row r="8" spans="1:10" ht="32.25" customHeight="1" x14ac:dyDescent="0.25">
      <c r="A8" s="6" t="s">
        <v>21</v>
      </c>
      <c r="B8" s="96" t="str">
        <f>'Base Bid'!B20</f>
        <v>Mobilization
(Item C-105)</v>
      </c>
      <c r="C8" s="94">
        <f>'Base Bid'!C20</f>
        <v>1</v>
      </c>
      <c r="D8" s="15" t="str">
        <f>'Base Bid'!D20</f>
        <v>LS</v>
      </c>
      <c r="E8" s="21">
        <v>330989.89</v>
      </c>
      <c r="F8" s="21">
        <f t="shared" ref="F8:H10" si="0">QTY*E8</f>
        <v>330989.89</v>
      </c>
      <c r="G8" s="21">
        <v>750000</v>
      </c>
      <c r="H8" s="21">
        <f t="shared" si="0"/>
        <v>750000</v>
      </c>
      <c r="I8" s="21">
        <f>0.1*SUM(J15:J28)</f>
        <v>1333883.7000000002</v>
      </c>
      <c r="J8" s="21">
        <f t="shared" ref="J8:J9" si="1">QTY*I8</f>
        <v>1333883.7000000002</v>
      </c>
    </row>
    <row r="9" spans="1:10" ht="32.25" customHeight="1" x14ac:dyDescent="0.25">
      <c r="A9" s="6" t="s">
        <v>23</v>
      </c>
      <c r="B9" s="96" t="str">
        <f>'Base Bid'!B21</f>
        <v>Surface Prep - Existing Pavement    
(Item P-620)</v>
      </c>
      <c r="C9" s="42">
        <f>'Base Bid'!C21</f>
        <v>5407</v>
      </c>
      <c r="D9" s="15" t="str">
        <f>'Base Bid'!D21</f>
        <v>SF</v>
      </c>
      <c r="E9" s="21">
        <v>0.89</v>
      </c>
      <c r="F9" s="21">
        <f t="shared" si="0"/>
        <v>4812.2300000000005</v>
      </c>
      <c r="G9" s="21">
        <v>1</v>
      </c>
      <c r="H9" s="21">
        <f t="shared" si="0"/>
        <v>5407</v>
      </c>
      <c r="I9" s="21">
        <v>5</v>
      </c>
      <c r="J9" s="21">
        <f t="shared" si="1"/>
        <v>27035</v>
      </c>
    </row>
    <row r="10" spans="1:10" ht="33" customHeight="1" x14ac:dyDescent="0.25">
      <c r="A10" s="6" t="s">
        <v>25</v>
      </c>
      <c r="B10" s="96" t="str">
        <f>'Base Bid'!B22</f>
        <v>Surface Prep - Marking Removal   
(Item P-620)</v>
      </c>
      <c r="C10" s="42">
        <f>'Base Bid'!C22</f>
        <v>1515</v>
      </c>
      <c r="D10" s="15" t="str">
        <f>'Base Bid'!D22</f>
        <v>SF</v>
      </c>
      <c r="E10" s="21">
        <v>6.3</v>
      </c>
      <c r="F10" s="21">
        <f t="shared" si="0"/>
        <v>9544.5</v>
      </c>
      <c r="G10" s="21">
        <v>16</v>
      </c>
      <c r="H10" s="21">
        <f t="shared" ref="H10" si="2">QTY*G10</f>
        <v>24240</v>
      </c>
      <c r="I10" s="21">
        <v>12</v>
      </c>
      <c r="J10" s="21">
        <f t="shared" ref="J10" si="3">QTY*I10</f>
        <v>18180</v>
      </c>
    </row>
    <row r="11" spans="1:10" ht="33" customHeight="1" x14ac:dyDescent="0.25">
      <c r="A11" s="6" t="s">
        <v>27</v>
      </c>
      <c r="B11" s="96" t="str">
        <f>'Base Bid'!B23</f>
        <v>Markings   
(Item P-620)</v>
      </c>
      <c r="C11" s="42">
        <f>'Base Bid'!C23</f>
        <v>5407</v>
      </c>
      <c r="D11" s="15" t="str">
        <f>'Base Bid'!D23</f>
        <v>SF</v>
      </c>
      <c r="E11" s="21">
        <v>3.9</v>
      </c>
      <c r="F11" s="21">
        <f t="shared" ref="F11:F18" si="4">QTY*E11</f>
        <v>21087.3</v>
      </c>
      <c r="G11" s="21">
        <v>5</v>
      </c>
      <c r="H11" s="21">
        <f t="shared" ref="H11:H18" si="5">QTY*G11</f>
        <v>27035</v>
      </c>
      <c r="I11" s="21">
        <v>12.5</v>
      </c>
      <c r="J11" s="21">
        <f t="shared" ref="J11:J18" si="6">QTY*I11</f>
        <v>67587.5</v>
      </c>
    </row>
    <row r="12" spans="1:10" ht="33" customHeight="1" x14ac:dyDescent="0.25">
      <c r="A12" s="6" t="s">
        <v>29</v>
      </c>
      <c r="B12" s="96" t="str">
        <f>'Base Bid'!B24</f>
        <v>Reflective Media
(Item P-620)</v>
      </c>
      <c r="C12" s="42">
        <f>'Base Bid'!C24</f>
        <v>362</v>
      </c>
      <c r="D12" s="15" t="str">
        <f>'Base Bid'!D24</f>
        <v>LB</v>
      </c>
      <c r="E12" s="21">
        <v>2.23</v>
      </c>
      <c r="F12" s="21">
        <f t="shared" si="4"/>
        <v>807.26</v>
      </c>
      <c r="G12" s="21">
        <v>5</v>
      </c>
      <c r="H12" s="21">
        <f t="shared" si="5"/>
        <v>1810</v>
      </c>
      <c r="I12" s="21">
        <v>10</v>
      </c>
      <c r="J12" s="21">
        <f t="shared" si="6"/>
        <v>3620</v>
      </c>
    </row>
    <row r="13" spans="1:10" ht="33" customHeight="1" x14ac:dyDescent="0.25">
      <c r="A13" s="6" t="s">
        <v>31</v>
      </c>
      <c r="B13" s="96" t="str">
        <f>'Base Bid'!B25</f>
        <v>Remove Bollard - Embedded
(Section 024113)</v>
      </c>
      <c r="C13" s="42">
        <f>'Base Bid'!C25</f>
        <v>10</v>
      </c>
      <c r="D13" s="15" t="str">
        <f>'Base Bid'!D25</f>
        <v>Each</v>
      </c>
      <c r="E13" s="21">
        <v>1288.1400000000001</v>
      </c>
      <c r="F13" s="21">
        <f t="shared" si="4"/>
        <v>12881.400000000001</v>
      </c>
      <c r="G13" s="21">
        <v>1000</v>
      </c>
      <c r="H13" s="21">
        <f t="shared" si="5"/>
        <v>10000</v>
      </c>
      <c r="I13" s="21">
        <v>800</v>
      </c>
      <c r="J13" s="21">
        <f t="shared" si="6"/>
        <v>8000</v>
      </c>
    </row>
    <row r="14" spans="1:10" ht="33" customHeight="1" x14ac:dyDescent="0.25">
      <c r="A14" s="6" t="s">
        <v>33</v>
      </c>
      <c r="B14" s="96" t="str">
        <f>'Base Bid'!B26</f>
        <v>Remove Bollard - Bolt Down    
(Section 024113)</v>
      </c>
      <c r="C14" s="42">
        <f>'Base Bid'!C26</f>
        <v>1</v>
      </c>
      <c r="D14" s="15" t="str">
        <f>'Base Bid'!D26</f>
        <v>Each</v>
      </c>
      <c r="E14" s="21">
        <v>917.97</v>
      </c>
      <c r="F14" s="21">
        <f t="shared" si="4"/>
        <v>917.97</v>
      </c>
      <c r="G14" s="21">
        <v>1000</v>
      </c>
      <c r="H14" s="21">
        <f t="shared" si="5"/>
        <v>1000</v>
      </c>
      <c r="I14" s="21">
        <v>300</v>
      </c>
      <c r="J14" s="21">
        <f t="shared" si="6"/>
        <v>300</v>
      </c>
    </row>
    <row r="15" spans="1:10" ht="33" customHeight="1" x14ac:dyDescent="0.25">
      <c r="A15" s="6" t="s">
        <v>35</v>
      </c>
      <c r="B15" s="96" t="str">
        <f>'Base Bid'!B27</f>
        <v>Cable Retrievers      
(Section 111100)</v>
      </c>
      <c r="C15" s="42">
        <f>'Base Bid'!C27</f>
        <v>112</v>
      </c>
      <c r="D15" s="15" t="str">
        <f>'Base Bid'!D27</f>
        <v>Each</v>
      </c>
      <c r="E15" s="21">
        <v>5133.93</v>
      </c>
      <c r="F15" s="21">
        <f t="shared" si="4"/>
        <v>575000.16</v>
      </c>
      <c r="G15" s="21">
        <v>7500</v>
      </c>
      <c r="H15" s="21">
        <f t="shared" si="5"/>
        <v>840000</v>
      </c>
      <c r="I15" s="21">
        <v>6462</v>
      </c>
      <c r="J15" s="21">
        <f t="shared" si="6"/>
        <v>723744</v>
      </c>
    </row>
    <row r="16" spans="1:10" ht="33" customHeight="1" x14ac:dyDescent="0.25">
      <c r="A16" s="6" t="s">
        <v>37</v>
      </c>
      <c r="B16" s="96" t="str">
        <f>'Base Bid'!B28</f>
        <v>Precast Concrete Wheel Stop    
(Section 347115)</v>
      </c>
      <c r="C16" s="42">
        <f>'Base Bid'!C28</f>
        <v>74</v>
      </c>
      <c r="D16" s="15" t="str">
        <f>'Base Bid'!D28</f>
        <v>Each</v>
      </c>
      <c r="E16" s="21">
        <v>267.07</v>
      </c>
      <c r="F16" s="21">
        <f t="shared" si="4"/>
        <v>19763.18</v>
      </c>
      <c r="G16" s="21">
        <v>200</v>
      </c>
      <c r="H16" s="21">
        <f t="shared" si="5"/>
        <v>14800</v>
      </c>
      <c r="I16" s="21">
        <v>400</v>
      </c>
      <c r="J16" s="21">
        <f t="shared" si="6"/>
        <v>29600</v>
      </c>
    </row>
    <row r="17" spans="1:10" ht="33" customHeight="1" x14ac:dyDescent="0.25">
      <c r="A17" s="6" t="s">
        <v>39</v>
      </c>
      <c r="B17" s="96" t="str">
        <f>'Base Bid'!B29</f>
        <v>Bollard - Bolt Down     
(Section 347115)</v>
      </c>
      <c r="C17" s="42">
        <f>'Base Bid'!C29</f>
        <v>35</v>
      </c>
      <c r="D17" s="15" t="str">
        <f>'Base Bid'!D29</f>
        <v>Each</v>
      </c>
      <c r="E17" s="21">
        <v>5856.49</v>
      </c>
      <c r="F17" s="21">
        <f t="shared" si="4"/>
        <v>204977.15</v>
      </c>
      <c r="G17" s="21">
        <v>900</v>
      </c>
      <c r="H17" s="21">
        <f t="shared" si="5"/>
        <v>31500</v>
      </c>
      <c r="I17" s="21">
        <v>1700</v>
      </c>
      <c r="J17" s="21">
        <f t="shared" si="6"/>
        <v>59500</v>
      </c>
    </row>
    <row r="18" spans="1:10" ht="33" customHeight="1" x14ac:dyDescent="0.25">
      <c r="A18" s="6" t="s">
        <v>41</v>
      </c>
      <c r="B18" s="96" t="str">
        <f>'Base Bid'!B30</f>
        <v>Guard Rail        
(Section 347115)</v>
      </c>
      <c r="C18" s="42">
        <f>'Base Bid'!C30</f>
        <v>430</v>
      </c>
      <c r="D18" s="15" t="str">
        <f>'Base Bid'!D30</f>
        <v>LF</v>
      </c>
      <c r="E18" s="21">
        <v>688.7</v>
      </c>
      <c r="F18" s="21">
        <f t="shared" si="4"/>
        <v>296141</v>
      </c>
      <c r="G18" s="21">
        <v>185</v>
      </c>
      <c r="H18" s="21">
        <f t="shared" si="5"/>
        <v>79550</v>
      </c>
      <c r="I18" s="21">
        <v>625</v>
      </c>
      <c r="J18" s="21">
        <f t="shared" si="6"/>
        <v>268750</v>
      </c>
    </row>
    <row r="19" spans="1:10" ht="33" customHeight="1" x14ac:dyDescent="0.25">
      <c r="A19" s="6" t="s">
        <v>43</v>
      </c>
      <c r="B19" s="96" t="str">
        <f>'Base Bid'!B31</f>
        <v>Electrical Feeds to Enclosed Circuit Breakers (2.5" Conduit)    
(Section 260500)</v>
      </c>
      <c r="C19" s="42">
        <f>'Base Bid'!C31</f>
        <v>2700</v>
      </c>
      <c r="D19" s="15" t="str">
        <f>'Base Bid'!D31</f>
        <v>LF</v>
      </c>
      <c r="E19" s="21">
        <v>56.43</v>
      </c>
      <c r="F19" s="21">
        <f t="shared" ref="F19:F28" si="7">QTY*E19</f>
        <v>152361</v>
      </c>
      <c r="G19" s="21">
        <v>72</v>
      </c>
      <c r="H19" s="21">
        <f t="shared" ref="H19:H28" si="8">QTY*G19</f>
        <v>194400</v>
      </c>
      <c r="I19" s="21">
        <v>100</v>
      </c>
      <c r="J19" s="21">
        <f t="shared" ref="J19:J28" si="9">QTY*I19</f>
        <v>270000</v>
      </c>
    </row>
    <row r="20" spans="1:10" ht="33" customHeight="1" x14ac:dyDescent="0.25">
      <c r="A20" s="6" t="s">
        <v>45</v>
      </c>
      <c r="B20" s="96" t="str">
        <f>'Base Bid'!B32</f>
        <v>Electrical Feeds to Enclosed Circuit Breakers (3/4" Conduit)  
(Section 260500)</v>
      </c>
      <c r="C20" s="42">
        <f>'Base Bid'!C32</f>
        <v>2660</v>
      </c>
      <c r="D20" s="15" t="str">
        <f>'Base Bid'!D32</f>
        <v>LF</v>
      </c>
      <c r="E20" s="21">
        <v>19.27</v>
      </c>
      <c r="F20" s="21">
        <f t="shared" si="7"/>
        <v>51258.2</v>
      </c>
      <c r="G20" s="21">
        <v>25</v>
      </c>
      <c r="H20" s="21">
        <f t="shared" si="8"/>
        <v>66500</v>
      </c>
      <c r="I20" s="21">
        <v>100</v>
      </c>
      <c r="J20" s="21">
        <f t="shared" si="9"/>
        <v>266000</v>
      </c>
    </row>
    <row r="21" spans="1:10" ht="33" customHeight="1" x14ac:dyDescent="0.25">
      <c r="A21" s="6" t="s">
        <v>47</v>
      </c>
      <c r="B21" s="96" t="str">
        <f>'Base Bid'!B33</f>
        <v>Electrical Equipment Rack - Load Share Connected        
(Section 260500)</v>
      </c>
      <c r="C21" s="42">
        <f>'Base Bid'!C33</f>
        <v>23</v>
      </c>
      <c r="D21" s="15" t="str">
        <f>'Base Bid'!D33</f>
        <v>Each</v>
      </c>
      <c r="E21" s="21">
        <v>34307.97</v>
      </c>
      <c r="F21" s="21">
        <f t="shared" si="7"/>
        <v>789083.31</v>
      </c>
      <c r="G21" s="21">
        <v>35000</v>
      </c>
      <c r="H21" s="21">
        <f t="shared" si="8"/>
        <v>805000</v>
      </c>
      <c r="I21" s="21">
        <v>39932</v>
      </c>
      <c r="J21" s="21">
        <f t="shared" si="9"/>
        <v>918436</v>
      </c>
    </row>
    <row r="22" spans="1:10" ht="33" customHeight="1" x14ac:dyDescent="0.25">
      <c r="A22" s="6" t="s">
        <v>49</v>
      </c>
      <c r="B22" s="96" t="str">
        <f>'Base Bid'!B34</f>
        <v>Electrical Equipment Rack - Panel Connected                
(Section 260500)</v>
      </c>
      <c r="C22" s="42">
        <f>'Base Bid'!C34</f>
        <v>1</v>
      </c>
      <c r="D22" s="15" t="str">
        <f>'Base Bid'!D34</f>
        <v>Each</v>
      </c>
      <c r="E22" s="21">
        <v>10352.32</v>
      </c>
      <c r="F22" s="21">
        <f t="shared" si="7"/>
        <v>10352.32</v>
      </c>
      <c r="G22" s="21">
        <v>15000</v>
      </c>
      <c r="H22" s="21">
        <f t="shared" si="8"/>
        <v>15000</v>
      </c>
      <c r="I22" s="21">
        <v>30519</v>
      </c>
      <c r="J22" s="21">
        <f t="shared" si="9"/>
        <v>30519</v>
      </c>
    </row>
    <row r="23" spans="1:10" ht="33" customHeight="1" x14ac:dyDescent="0.25">
      <c r="A23" s="6" t="s">
        <v>51</v>
      </c>
      <c r="B23" s="96" t="str">
        <f>'Base Bid'!B35</f>
        <v>Training                           
(Section 260500)</v>
      </c>
      <c r="C23" s="42">
        <f>'Base Bid'!C35</f>
        <v>1</v>
      </c>
      <c r="D23" s="15" t="str">
        <f>'Base Bid'!D35</f>
        <v>LS</v>
      </c>
      <c r="E23" s="21">
        <v>11428.05</v>
      </c>
      <c r="F23" s="21">
        <f t="shared" si="7"/>
        <v>11428.05</v>
      </c>
      <c r="G23" s="21">
        <v>10000</v>
      </c>
      <c r="H23" s="21">
        <f t="shared" si="8"/>
        <v>10000</v>
      </c>
      <c r="I23" s="21">
        <v>11570</v>
      </c>
      <c r="J23" s="21">
        <f t="shared" si="9"/>
        <v>11570</v>
      </c>
    </row>
    <row r="24" spans="1:10" ht="33" customHeight="1" x14ac:dyDescent="0.25">
      <c r="A24" s="6" t="s">
        <v>53</v>
      </c>
      <c r="B24" s="96" t="str">
        <f>'Base Bid'!B36</f>
        <v>Electrical Charging Units (Primary Units)
(Section 263343)</v>
      </c>
      <c r="C24" s="42">
        <f>'Base Bid'!C36</f>
        <v>24</v>
      </c>
      <c r="D24" s="15" t="str">
        <f>'Base Bid'!D36</f>
        <v>Each</v>
      </c>
      <c r="E24" s="21">
        <v>88139.47</v>
      </c>
      <c r="F24" s="21">
        <f t="shared" si="7"/>
        <v>2115347.2800000003</v>
      </c>
      <c r="G24" s="21">
        <v>85000</v>
      </c>
      <c r="H24" s="21">
        <f t="shared" si="8"/>
        <v>2040000</v>
      </c>
      <c r="I24" s="21">
        <v>157280</v>
      </c>
      <c r="J24" s="21">
        <f t="shared" si="9"/>
        <v>3774720</v>
      </c>
    </row>
    <row r="25" spans="1:10" ht="33" customHeight="1" x14ac:dyDescent="0.25">
      <c r="A25" s="6" t="s">
        <v>55</v>
      </c>
      <c r="B25" s="96" t="str">
        <f>'Base Bid'!B37</f>
        <v>Electrical Charging Units (Secondary Units) (Section 263343)</v>
      </c>
      <c r="C25" s="42">
        <f>'Base Bid'!C37</f>
        <v>36</v>
      </c>
      <c r="D25" s="15" t="str">
        <f>'Base Bid'!D37</f>
        <v>Each</v>
      </c>
      <c r="E25" s="21">
        <v>40569.379999999997</v>
      </c>
      <c r="F25" s="21">
        <f t="shared" si="7"/>
        <v>1460497.68</v>
      </c>
      <c r="G25" s="21">
        <v>40000</v>
      </c>
      <c r="H25" s="21">
        <f t="shared" si="8"/>
        <v>1440000</v>
      </c>
      <c r="I25" s="21">
        <v>157280</v>
      </c>
      <c r="J25" s="21">
        <f t="shared" si="9"/>
        <v>5662080</v>
      </c>
    </row>
    <row r="26" spans="1:10" ht="33" customHeight="1" x14ac:dyDescent="0.25">
      <c r="A26" s="6" t="s">
        <v>57</v>
      </c>
      <c r="B26" s="96" t="str">
        <f>'Base Bid'!B38</f>
        <v>Network Termination Enclosure 
(Section 271000)</v>
      </c>
      <c r="C26" s="42">
        <f>'Base Bid'!C38</f>
        <v>30</v>
      </c>
      <c r="D26" s="15" t="str">
        <f>'Base Bid'!D38</f>
        <v>Each</v>
      </c>
      <c r="E26" s="21">
        <v>3314.26</v>
      </c>
      <c r="F26" s="21">
        <f t="shared" si="7"/>
        <v>99427.8</v>
      </c>
      <c r="G26" s="21">
        <v>2000</v>
      </c>
      <c r="H26" s="21">
        <f t="shared" si="8"/>
        <v>60000</v>
      </c>
      <c r="I26" s="21">
        <v>22430</v>
      </c>
      <c r="J26" s="21">
        <f t="shared" si="9"/>
        <v>672900</v>
      </c>
    </row>
    <row r="27" spans="1:10" ht="33" customHeight="1" x14ac:dyDescent="0.25">
      <c r="A27" s="6" t="s">
        <v>59</v>
      </c>
      <c r="B27" s="96" t="str">
        <f>'Base Bid'!B39</f>
        <v>Data Equipment Rack &amp; Data Connections 1" Conduit          
(Section 271000)</v>
      </c>
      <c r="C27" s="42">
        <f>'Base Bid'!C39</f>
        <v>2400</v>
      </c>
      <c r="D27" s="15" t="str">
        <f>'Base Bid'!D39</f>
        <v>LF</v>
      </c>
      <c r="E27" s="21">
        <v>14.44</v>
      </c>
      <c r="F27" s="21">
        <f t="shared" si="7"/>
        <v>34656</v>
      </c>
      <c r="G27" s="21">
        <v>50</v>
      </c>
      <c r="H27" s="21">
        <f t="shared" si="8"/>
        <v>120000</v>
      </c>
      <c r="I27" s="21">
        <v>100</v>
      </c>
      <c r="J27" s="21">
        <f t="shared" si="9"/>
        <v>240000</v>
      </c>
    </row>
    <row r="28" spans="1:10" ht="33" customHeight="1" x14ac:dyDescent="0.25">
      <c r="A28" s="6" t="s">
        <v>61</v>
      </c>
      <c r="B28" s="96" t="str">
        <f>'Base Bid'!B40</f>
        <v>Data Drop to Each Enclosure and Chargers
(Section 271000)</v>
      </c>
      <c r="C28" s="42">
        <f>'Base Bid'!C40</f>
        <v>61</v>
      </c>
      <c r="D28" s="15" t="str">
        <f>'Base Bid'!D40</f>
        <v>Each</v>
      </c>
      <c r="E28" s="21">
        <v>3049.65</v>
      </c>
      <c r="F28" s="21">
        <f t="shared" si="7"/>
        <v>186028.65</v>
      </c>
      <c r="G28" s="21">
        <v>17000</v>
      </c>
      <c r="H28" s="21">
        <f t="shared" si="8"/>
        <v>1037000</v>
      </c>
      <c r="I28" s="21">
        <v>6738</v>
      </c>
      <c r="J28" s="21">
        <f t="shared" si="9"/>
        <v>411018</v>
      </c>
    </row>
    <row r="29" spans="1:10" ht="27.75" customHeight="1" x14ac:dyDescent="0.25">
      <c r="A29" s="7"/>
      <c r="B29" s="16" t="s">
        <v>85</v>
      </c>
      <c r="C29" s="31"/>
      <c r="D29" s="17"/>
      <c r="E29" s="22"/>
      <c r="F29" s="102">
        <f>SUM($F8:$F28)</f>
        <v>6387362.3299999991</v>
      </c>
      <c r="G29" s="22"/>
      <c r="H29" s="102">
        <f>SUM($H8:$H28)</f>
        <v>7573242</v>
      </c>
      <c r="I29" s="22"/>
      <c r="J29" s="102">
        <f>SUM($J8:$J28)</f>
        <v>14797443.199999999</v>
      </c>
    </row>
  </sheetData>
  <mergeCells count="9">
    <mergeCell ref="A6:D6"/>
    <mergeCell ref="E1:F5"/>
    <mergeCell ref="G1:H5"/>
    <mergeCell ref="A1:D1"/>
    <mergeCell ref="A2:D2"/>
    <mergeCell ref="A3:D3"/>
    <mergeCell ref="A4:D4"/>
    <mergeCell ref="A5:D5"/>
    <mergeCell ref="I1:J5"/>
  </mergeCells>
  <phoneticPr fontId="10" type="noConversion"/>
  <dataValidations count="1">
    <dataValidation allowBlank="1" showErrorMessage="1" promptTitle="Item Description Info" prompt="Enter Item Description Here." sqref="B8:B28" xr:uid="{73EC5A0C-BF96-43A0-AD02-3E7384261CC9}"/>
  </dataValidations>
  <printOptions horizontalCentered="1"/>
  <pageMargins left="0.5" right="0.5" top="0.5" bottom="0.5" header="0.5" footer="0.5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8C3E3-403D-4E36-A274-41EF34EC76F1}">
  <sheetPr>
    <tabColor theme="4" tint="-0.499984740745262"/>
  </sheetPr>
  <dimension ref="A1:J33"/>
  <sheetViews>
    <sheetView topLeftCell="B17" zoomScaleNormal="100" zoomScaleSheetLayoutView="100" workbookViewId="0">
      <selection activeCell="F33" sqref="F33"/>
    </sheetView>
  </sheetViews>
  <sheetFormatPr defaultRowHeight="15" x14ac:dyDescent="0.25"/>
  <cols>
    <col min="1" max="1" width="6.7109375" customWidth="1"/>
    <col min="2" max="2" width="28.85546875" style="18" customWidth="1"/>
    <col min="3" max="3" width="11.28515625" style="32" customWidth="1"/>
    <col min="4" max="4" width="6.7109375" style="18" customWidth="1"/>
    <col min="5" max="5" width="11" style="26" customWidth="1"/>
    <col min="6" max="6" width="13.42578125" style="26" customWidth="1"/>
    <col min="7" max="7" width="11" style="26" customWidth="1"/>
    <col min="8" max="8" width="13.42578125" style="26" customWidth="1"/>
    <col min="9" max="9" width="11" customWidth="1"/>
    <col min="10" max="10" width="13.42578125" customWidth="1"/>
  </cols>
  <sheetData>
    <row r="1" spans="1:10" ht="30" customHeight="1" x14ac:dyDescent="0.25">
      <c r="A1" s="85" t="str">
        <f>ProjectLocation</f>
        <v>PORTLAND INTERNATIONAL AIRPORT</v>
      </c>
      <c r="B1" s="86"/>
      <c r="C1" s="86"/>
      <c r="D1" s="87"/>
      <c r="E1" s="78" t="s">
        <v>113</v>
      </c>
      <c r="F1" s="79"/>
      <c r="G1" s="78" t="s">
        <v>114</v>
      </c>
      <c r="H1" s="79"/>
      <c r="I1" s="78" t="s">
        <v>95</v>
      </c>
      <c r="J1" s="79"/>
    </row>
    <row r="2" spans="1:10" x14ac:dyDescent="0.25">
      <c r="A2" s="88" t="str">
        <f>ProjectTitle</f>
        <v>EGSE INFRASTRUCTURE INSTALLATION - PHASE 2</v>
      </c>
      <c r="B2" s="89"/>
      <c r="C2" s="89"/>
      <c r="D2" s="90"/>
      <c r="E2" s="80"/>
      <c r="F2" s="81"/>
      <c r="G2" s="80"/>
      <c r="H2" s="81"/>
      <c r="I2" s="80"/>
      <c r="J2" s="81"/>
    </row>
    <row r="3" spans="1:10" x14ac:dyDescent="0.25">
      <c r="A3" s="88">
        <f>ProjectTitle2</f>
        <v>0</v>
      </c>
      <c r="B3" s="89"/>
      <c r="C3" s="89"/>
      <c r="D3" s="90"/>
      <c r="E3" s="80"/>
      <c r="F3" s="81"/>
      <c r="G3" s="80"/>
      <c r="H3" s="81"/>
      <c r="I3" s="80"/>
      <c r="J3" s="81"/>
    </row>
    <row r="4" spans="1:10" x14ac:dyDescent="0.25">
      <c r="A4" s="91" t="s">
        <v>104</v>
      </c>
      <c r="B4" s="92"/>
      <c r="C4" s="92"/>
      <c r="D4" s="93"/>
      <c r="E4" s="80"/>
      <c r="F4" s="81"/>
      <c r="G4" s="80"/>
      <c r="H4" s="81"/>
      <c r="I4" s="80"/>
      <c r="J4" s="81"/>
    </row>
    <row r="5" spans="1:10" x14ac:dyDescent="0.25">
      <c r="A5" s="91" t="s">
        <v>105</v>
      </c>
      <c r="B5" s="92"/>
      <c r="C5" s="92"/>
      <c r="D5" s="93"/>
      <c r="E5" s="80"/>
      <c r="F5" s="81"/>
      <c r="G5" s="80"/>
      <c r="H5" s="81"/>
      <c r="I5" s="80"/>
      <c r="J5" s="81"/>
    </row>
    <row r="6" spans="1:10" x14ac:dyDescent="0.25">
      <c r="A6" s="82">
        <f ca="1">TODAY()</f>
        <v>45377</v>
      </c>
      <c r="B6" s="83"/>
      <c r="C6" s="83"/>
      <c r="D6" s="84"/>
      <c r="E6" s="33"/>
      <c r="F6" s="34"/>
      <c r="G6" s="33"/>
      <c r="H6" s="34"/>
      <c r="I6" s="33"/>
      <c r="J6" s="34"/>
    </row>
    <row r="7" spans="1:10" ht="32.25" customHeight="1" x14ac:dyDescent="0.25">
      <c r="A7" s="97" t="s">
        <v>15</v>
      </c>
      <c r="B7" s="95" t="s">
        <v>16</v>
      </c>
      <c r="C7" s="30" t="s">
        <v>17</v>
      </c>
      <c r="D7" s="14" t="s">
        <v>18</v>
      </c>
      <c r="E7" s="35" t="s">
        <v>19</v>
      </c>
      <c r="F7" s="35" t="s">
        <v>20</v>
      </c>
      <c r="G7" s="35" t="s">
        <v>19</v>
      </c>
      <c r="H7" s="35" t="s">
        <v>20</v>
      </c>
      <c r="I7" s="35" t="s">
        <v>19</v>
      </c>
      <c r="J7" s="35" t="s">
        <v>20</v>
      </c>
    </row>
    <row r="8" spans="1:10" ht="32.25" customHeight="1" x14ac:dyDescent="0.25">
      <c r="A8" s="6" t="s">
        <v>21</v>
      </c>
      <c r="B8" s="96" t="str">
        <f>'AddAlt 1'!B20</f>
        <v>Sweeper                                                     (Section 012200)</v>
      </c>
      <c r="C8" s="94">
        <f>'AddAlt 1'!C20</f>
        <v>1</v>
      </c>
      <c r="D8" s="15" t="str">
        <f>'AddAlt 1'!D20</f>
        <v>LS</v>
      </c>
      <c r="E8" s="21">
        <v>50000</v>
      </c>
      <c r="F8" s="21">
        <f t="shared" ref="F8:F10" si="0">QTY*E8</f>
        <v>50000</v>
      </c>
      <c r="G8" s="21">
        <v>6000</v>
      </c>
      <c r="H8" s="21">
        <f t="shared" ref="H8:H10" si="1">QTY*G8</f>
        <v>6000</v>
      </c>
      <c r="I8" s="21">
        <v>7500</v>
      </c>
      <c r="J8" s="21">
        <f t="shared" ref="J8:J10" si="2">QTY*I8</f>
        <v>7500</v>
      </c>
    </row>
    <row r="9" spans="1:10" ht="32.25" customHeight="1" x14ac:dyDescent="0.25">
      <c r="A9" s="6" t="s">
        <v>23</v>
      </c>
      <c r="B9" s="96" t="str">
        <f>'AddAlt 1'!B21</f>
        <v>Escort
(Section 012200)</v>
      </c>
      <c r="C9" s="42">
        <f>'AddAlt 1'!C21</f>
        <v>1</v>
      </c>
      <c r="D9" s="15" t="str">
        <f>'AddAlt 1'!D21</f>
        <v>LS</v>
      </c>
      <c r="E9" s="21">
        <v>50000</v>
      </c>
      <c r="F9" s="21">
        <f t="shared" si="0"/>
        <v>50000</v>
      </c>
      <c r="G9" s="21">
        <v>15000</v>
      </c>
      <c r="H9" s="21">
        <f t="shared" si="1"/>
        <v>15000</v>
      </c>
      <c r="I9" s="21">
        <v>5000</v>
      </c>
      <c r="J9" s="21">
        <f t="shared" si="2"/>
        <v>5000</v>
      </c>
    </row>
    <row r="10" spans="1:10" ht="33" customHeight="1" x14ac:dyDescent="0.25">
      <c r="A10" s="6" t="s">
        <v>25</v>
      </c>
      <c r="B10" s="96" t="str">
        <f>'AddAlt 1'!B22</f>
        <v>Mobilization
(Item C-105)</v>
      </c>
      <c r="C10" s="42">
        <f>'AddAlt 1'!C22</f>
        <v>1</v>
      </c>
      <c r="D10" s="15" t="str">
        <f>'AddAlt 1'!D22</f>
        <v>LS</v>
      </c>
      <c r="E10" s="21">
        <v>267968.32</v>
      </c>
      <c r="F10" s="21">
        <f t="shared" si="0"/>
        <v>267968.32</v>
      </c>
      <c r="G10" s="21">
        <v>100000</v>
      </c>
      <c r="H10" s="21">
        <f t="shared" si="1"/>
        <v>100000</v>
      </c>
      <c r="I10" s="21">
        <f>0.1*(J8+J9+SUM(J11:J32))</f>
        <v>425659.95</v>
      </c>
      <c r="J10" s="21">
        <f t="shared" si="2"/>
        <v>425659.95</v>
      </c>
    </row>
    <row r="11" spans="1:10" ht="33" customHeight="1" x14ac:dyDescent="0.25">
      <c r="A11" s="98" t="s">
        <v>27</v>
      </c>
      <c r="B11" s="96" t="str">
        <f>'AddAlt 1'!B23</f>
        <v>Asphalt Pavement Removal
(Item P-101)</v>
      </c>
      <c r="C11" s="42">
        <f>'AddAlt 1'!C23</f>
        <v>145</v>
      </c>
      <c r="D11" s="15" t="str">
        <f>'AddAlt 1'!D23</f>
        <v>SY</v>
      </c>
      <c r="E11" s="21">
        <v>200</v>
      </c>
      <c r="F11" s="21">
        <f t="shared" ref="F11:F18" si="3">QTY*E11</f>
        <v>29000</v>
      </c>
      <c r="G11" s="21">
        <v>280</v>
      </c>
      <c r="H11" s="21">
        <f t="shared" ref="H11:H18" si="4">QTY*G11</f>
        <v>40600</v>
      </c>
      <c r="I11" s="21">
        <v>50</v>
      </c>
      <c r="J11" s="21">
        <f t="shared" ref="J11:J18" si="5">QTY*I11</f>
        <v>7250</v>
      </c>
    </row>
    <row r="12" spans="1:10" ht="33" customHeight="1" x14ac:dyDescent="0.25">
      <c r="A12" s="6" t="s">
        <v>29</v>
      </c>
      <c r="B12" s="96" t="str">
        <f>'AddAlt 1'!B24</f>
        <v>Concrete
(Item P-610)</v>
      </c>
      <c r="C12" s="42">
        <f>'AddAlt 1'!C24</f>
        <v>112</v>
      </c>
      <c r="D12" s="15" t="str">
        <f>'AddAlt 1'!D24</f>
        <v>SY</v>
      </c>
      <c r="E12" s="21">
        <v>1750</v>
      </c>
      <c r="F12" s="21">
        <f t="shared" si="3"/>
        <v>196000</v>
      </c>
      <c r="G12" s="21">
        <v>350</v>
      </c>
      <c r="H12" s="21">
        <f t="shared" si="4"/>
        <v>39200</v>
      </c>
      <c r="I12" s="21">
        <v>67</v>
      </c>
      <c r="J12" s="21">
        <f t="shared" si="5"/>
        <v>7504</v>
      </c>
    </row>
    <row r="13" spans="1:10" ht="33" customHeight="1" x14ac:dyDescent="0.25">
      <c r="A13" s="6" t="s">
        <v>31</v>
      </c>
      <c r="B13" s="96" t="str">
        <f>'AddAlt 1'!B25</f>
        <v>Surface Prep - Existing Pavement    
(Item P-620)</v>
      </c>
      <c r="C13" s="42">
        <f>'AddAlt 1'!C25</f>
        <v>1559</v>
      </c>
      <c r="D13" s="15" t="str">
        <f>'AddAlt 1'!D25</f>
        <v>SF</v>
      </c>
      <c r="E13" s="21">
        <v>0.89</v>
      </c>
      <c r="F13" s="21">
        <f t="shared" si="3"/>
        <v>1387.51</v>
      </c>
      <c r="G13" s="21">
        <v>1</v>
      </c>
      <c r="H13" s="21">
        <f t="shared" si="4"/>
        <v>1559</v>
      </c>
      <c r="I13" s="21">
        <v>5</v>
      </c>
      <c r="J13" s="21">
        <f t="shared" si="5"/>
        <v>7795</v>
      </c>
    </row>
    <row r="14" spans="1:10" ht="33" customHeight="1" x14ac:dyDescent="0.25">
      <c r="A14" s="6" t="s">
        <v>33</v>
      </c>
      <c r="B14" s="96" t="str">
        <f>'AddAlt 1'!B26</f>
        <v>Surface Prep - Marking Removal   
(Item P-620)</v>
      </c>
      <c r="C14" s="42">
        <f>'AddAlt 1'!C26</f>
        <v>220</v>
      </c>
      <c r="D14" s="15" t="str">
        <f>'AddAlt 1'!D26</f>
        <v>SF</v>
      </c>
      <c r="E14" s="21">
        <v>6.3</v>
      </c>
      <c r="F14" s="21">
        <f t="shared" si="3"/>
        <v>1386</v>
      </c>
      <c r="G14" s="21">
        <v>16</v>
      </c>
      <c r="H14" s="21">
        <f t="shared" si="4"/>
        <v>3520</v>
      </c>
      <c r="I14" s="21">
        <v>12</v>
      </c>
      <c r="J14" s="21">
        <f t="shared" si="5"/>
        <v>2640</v>
      </c>
    </row>
    <row r="15" spans="1:10" ht="33" customHeight="1" x14ac:dyDescent="0.25">
      <c r="A15" s="6" t="s">
        <v>35</v>
      </c>
      <c r="B15" s="96" t="str">
        <f>'AddAlt 1'!B27</f>
        <v>Markings   
(Item P-620)</v>
      </c>
      <c r="C15" s="42">
        <f>'AddAlt 1'!C27</f>
        <v>1559</v>
      </c>
      <c r="D15" s="15" t="str">
        <f>'AddAlt 1'!D27</f>
        <v>SF</v>
      </c>
      <c r="E15" s="21">
        <v>3.9</v>
      </c>
      <c r="F15" s="21">
        <f t="shared" si="3"/>
        <v>6080.0999999999995</v>
      </c>
      <c r="G15" s="21">
        <v>5</v>
      </c>
      <c r="H15" s="21">
        <f t="shared" si="4"/>
        <v>7795</v>
      </c>
      <c r="I15" s="21">
        <v>12.5</v>
      </c>
      <c r="J15" s="21">
        <f t="shared" si="5"/>
        <v>19487.5</v>
      </c>
    </row>
    <row r="16" spans="1:10" ht="33" customHeight="1" x14ac:dyDescent="0.25">
      <c r="A16" s="6" t="s">
        <v>37</v>
      </c>
      <c r="B16" s="96" t="str">
        <f>'AddAlt 1'!B28</f>
        <v>Reflective Media
(Item P-620)</v>
      </c>
      <c r="C16" s="42">
        <f>'AddAlt 1'!C28</f>
        <v>106</v>
      </c>
      <c r="D16" s="15" t="str">
        <f>'AddAlt 1'!D28</f>
        <v>LB</v>
      </c>
      <c r="E16" s="21">
        <v>2.23</v>
      </c>
      <c r="F16" s="21">
        <f t="shared" si="3"/>
        <v>236.38</v>
      </c>
      <c r="G16" s="21">
        <v>5</v>
      </c>
      <c r="H16" s="21">
        <f t="shared" si="4"/>
        <v>530</v>
      </c>
      <c r="I16" s="21">
        <v>10</v>
      </c>
      <c r="J16" s="21">
        <f t="shared" si="5"/>
        <v>1060</v>
      </c>
    </row>
    <row r="17" spans="1:10" ht="33" customHeight="1" x14ac:dyDescent="0.25">
      <c r="A17" s="6" t="s">
        <v>39</v>
      </c>
      <c r="B17" s="96" t="str">
        <f>'AddAlt 1'!B29</f>
        <v>Remove Bollard - Embedded                         (Section 024113)</v>
      </c>
      <c r="C17" s="42">
        <f>'AddAlt 1'!C29</f>
        <v>9</v>
      </c>
      <c r="D17" s="15" t="str">
        <f>'AddAlt 1'!D29</f>
        <v>Each</v>
      </c>
      <c r="E17" s="21">
        <v>1288.1400000000001</v>
      </c>
      <c r="F17" s="21">
        <f t="shared" si="3"/>
        <v>11593.26</v>
      </c>
      <c r="G17" s="21">
        <v>800</v>
      </c>
      <c r="H17" s="21">
        <f t="shared" si="4"/>
        <v>7200</v>
      </c>
      <c r="I17" s="21">
        <v>800</v>
      </c>
      <c r="J17" s="21">
        <f t="shared" si="5"/>
        <v>7200</v>
      </c>
    </row>
    <row r="18" spans="1:10" ht="33" customHeight="1" x14ac:dyDescent="0.25">
      <c r="A18" s="6" t="s">
        <v>41</v>
      </c>
      <c r="B18" s="96" t="str">
        <f>'AddAlt 1'!B30</f>
        <v>Remove Electrical Chargers  
(Section 024113)</v>
      </c>
      <c r="C18" s="42">
        <f>'AddAlt 1'!C30</f>
        <v>1</v>
      </c>
      <c r="D18" s="15" t="str">
        <f>'AddAlt 1'!D30</f>
        <v>LS</v>
      </c>
      <c r="E18" s="21">
        <v>25000</v>
      </c>
      <c r="F18" s="21">
        <f t="shared" si="3"/>
        <v>25000</v>
      </c>
      <c r="G18" s="21">
        <v>7500</v>
      </c>
      <c r="H18" s="21">
        <f t="shared" si="4"/>
        <v>7500</v>
      </c>
      <c r="I18" s="21">
        <v>25000</v>
      </c>
      <c r="J18" s="21">
        <f t="shared" si="5"/>
        <v>25000</v>
      </c>
    </row>
    <row r="19" spans="1:10" ht="33" customHeight="1" x14ac:dyDescent="0.25">
      <c r="A19" s="6" t="s">
        <v>43</v>
      </c>
      <c r="B19" s="96" t="str">
        <f>'AddAlt 1'!B31</f>
        <v>Cable Retrievers      
(Section 111100)</v>
      </c>
      <c r="C19" s="42">
        <f>'AddAlt 1'!C31</f>
        <v>38</v>
      </c>
      <c r="D19" s="15" t="str">
        <f>'AddAlt 1'!D31</f>
        <v>Each</v>
      </c>
      <c r="E19" s="21">
        <v>5133.93</v>
      </c>
      <c r="F19" s="21">
        <f t="shared" ref="F19:F32" si="6">QTY*E19</f>
        <v>195089.34000000003</v>
      </c>
      <c r="G19" s="21">
        <v>7500</v>
      </c>
      <c r="H19" s="21">
        <f t="shared" ref="H19:H32" si="7">QTY*G19</f>
        <v>285000</v>
      </c>
      <c r="I19" s="21">
        <v>6462</v>
      </c>
      <c r="J19" s="21">
        <f t="shared" ref="J19:J32" si="8">QTY*I19</f>
        <v>245556</v>
      </c>
    </row>
    <row r="20" spans="1:10" ht="33" customHeight="1" x14ac:dyDescent="0.25">
      <c r="A20" s="6" t="s">
        <v>45</v>
      </c>
      <c r="B20" s="96" t="str">
        <f>'AddAlt 1'!B32</f>
        <v>Precast Concrete Wheel Stop    
(Section 347115)</v>
      </c>
      <c r="C20" s="42">
        <f>'AddAlt 1'!C32</f>
        <v>23</v>
      </c>
      <c r="D20" s="15" t="str">
        <f>'AddAlt 1'!D32</f>
        <v>Each</v>
      </c>
      <c r="E20" s="21">
        <v>267.07</v>
      </c>
      <c r="F20" s="21">
        <f t="shared" si="6"/>
        <v>6142.61</v>
      </c>
      <c r="G20" s="21">
        <v>200</v>
      </c>
      <c r="H20" s="21">
        <f t="shared" si="7"/>
        <v>4600</v>
      </c>
      <c r="I20" s="21">
        <v>400</v>
      </c>
      <c r="J20" s="21">
        <f t="shared" si="8"/>
        <v>9200</v>
      </c>
    </row>
    <row r="21" spans="1:10" ht="33" customHeight="1" x14ac:dyDescent="0.25">
      <c r="A21" s="6" t="s">
        <v>47</v>
      </c>
      <c r="B21" s="96" t="str">
        <f>'AddAlt 1'!B33</f>
        <v>Bollard - Bolt Down     
(Section 347115)</v>
      </c>
      <c r="C21" s="42">
        <f>'AddAlt 1'!C33</f>
        <v>7</v>
      </c>
      <c r="D21" s="15" t="str">
        <f>'AddAlt 1'!D33</f>
        <v>Each</v>
      </c>
      <c r="E21" s="21">
        <v>3200</v>
      </c>
      <c r="F21" s="21">
        <f t="shared" si="6"/>
        <v>22400</v>
      </c>
      <c r="G21" s="21">
        <v>900</v>
      </c>
      <c r="H21" s="21">
        <f t="shared" si="7"/>
        <v>6300</v>
      </c>
      <c r="I21" s="21">
        <v>1700</v>
      </c>
      <c r="J21" s="21">
        <f t="shared" si="8"/>
        <v>11900</v>
      </c>
    </row>
    <row r="22" spans="1:10" ht="33" customHeight="1" x14ac:dyDescent="0.25">
      <c r="A22" s="6" t="s">
        <v>49</v>
      </c>
      <c r="B22" s="96" t="str">
        <f>'AddAlt 1'!B34</f>
        <v>Guard Rail        
(Section 347115)</v>
      </c>
      <c r="C22" s="42">
        <f>'AddAlt 1'!C34</f>
        <v>105</v>
      </c>
      <c r="D22" s="15" t="str">
        <f>'AddAlt 1'!D34</f>
        <v>LF</v>
      </c>
      <c r="E22" s="21">
        <v>688.7</v>
      </c>
      <c r="F22" s="21">
        <f t="shared" si="6"/>
        <v>72313.5</v>
      </c>
      <c r="G22" s="21">
        <v>185</v>
      </c>
      <c r="H22" s="21">
        <f t="shared" si="7"/>
        <v>19425</v>
      </c>
      <c r="I22" s="21">
        <v>625</v>
      </c>
      <c r="J22" s="21">
        <f t="shared" si="8"/>
        <v>65625</v>
      </c>
    </row>
    <row r="23" spans="1:10" ht="33" customHeight="1" x14ac:dyDescent="0.25">
      <c r="A23" s="6" t="s">
        <v>51</v>
      </c>
      <c r="B23" s="96" t="str">
        <f>'AddAlt 1'!B35</f>
        <v>Electrical Feeds to Enclosed Circuit Breakers (2.5" Conduit)    
(Section 260500)</v>
      </c>
      <c r="C23" s="42">
        <f>'AddAlt 1'!C35</f>
        <v>858</v>
      </c>
      <c r="D23" s="15" t="str">
        <f>'AddAlt 1'!D35</f>
        <v>LF</v>
      </c>
      <c r="E23" s="21">
        <v>56.43</v>
      </c>
      <c r="F23" s="21">
        <f t="shared" si="6"/>
        <v>48416.94</v>
      </c>
      <c r="G23" s="21">
        <v>60</v>
      </c>
      <c r="H23" s="21">
        <f t="shared" si="7"/>
        <v>51480</v>
      </c>
      <c r="I23" s="21">
        <v>100</v>
      </c>
      <c r="J23" s="21">
        <f t="shared" si="8"/>
        <v>85800</v>
      </c>
    </row>
    <row r="24" spans="1:10" ht="33" customHeight="1" x14ac:dyDescent="0.25">
      <c r="A24" s="6" t="s">
        <v>53</v>
      </c>
      <c r="B24" s="96" t="str">
        <f>'AddAlt 1'!B36</f>
        <v>Electrical Feeds to Enclosed Circuit Breakers (3/4" Conduit)  
(Section 260500)</v>
      </c>
      <c r="C24" s="42">
        <f>'AddAlt 1'!C36</f>
        <v>868</v>
      </c>
      <c r="D24" s="15" t="str">
        <f>'AddAlt 1'!D36</f>
        <v>LF</v>
      </c>
      <c r="E24" s="21">
        <v>19.27</v>
      </c>
      <c r="F24" s="21">
        <f t="shared" si="6"/>
        <v>16726.36</v>
      </c>
      <c r="G24" s="21">
        <v>20</v>
      </c>
      <c r="H24" s="21">
        <f t="shared" si="7"/>
        <v>17360</v>
      </c>
      <c r="I24" s="21">
        <v>100</v>
      </c>
      <c r="J24" s="21">
        <f t="shared" si="8"/>
        <v>86800</v>
      </c>
    </row>
    <row r="25" spans="1:10" ht="33" customHeight="1" x14ac:dyDescent="0.25">
      <c r="A25" s="6" t="s">
        <v>55</v>
      </c>
      <c r="B25" s="96" t="str">
        <f>'AddAlt 1'!B37</f>
        <v>Electrical Feeds to Panels (Existing 3.5" Conduit)              
(Section 260500)</v>
      </c>
      <c r="C25" s="42">
        <f>'AddAlt 1'!C37</f>
        <v>1600</v>
      </c>
      <c r="D25" s="15" t="str">
        <f>'AddAlt 1'!D37</f>
        <v>LF</v>
      </c>
      <c r="E25" s="21">
        <v>20</v>
      </c>
      <c r="F25" s="21">
        <f t="shared" si="6"/>
        <v>32000</v>
      </c>
      <c r="G25" s="21">
        <v>135</v>
      </c>
      <c r="H25" s="21">
        <f t="shared" si="7"/>
        <v>216000</v>
      </c>
      <c r="I25" s="21">
        <v>72</v>
      </c>
      <c r="J25" s="21">
        <f t="shared" si="8"/>
        <v>115200</v>
      </c>
    </row>
    <row r="26" spans="1:10" ht="33" customHeight="1" x14ac:dyDescent="0.25">
      <c r="A26" s="6" t="s">
        <v>57</v>
      </c>
      <c r="B26" s="96" t="str">
        <f>'AddAlt 1'!B38</f>
        <v>Electrical Equipment Rack - Panel Connected                
(Section 260500)</v>
      </c>
      <c r="C26" s="42">
        <f>'AddAlt 1'!C38</f>
        <v>6</v>
      </c>
      <c r="D26" s="15" t="str">
        <f>'AddAlt 1'!D38</f>
        <v>Each</v>
      </c>
      <c r="E26" s="21">
        <v>10352.32</v>
      </c>
      <c r="F26" s="21">
        <f t="shared" si="6"/>
        <v>62113.919999999998</v>
      </c>
      <c r="G26" s="21">
        <v>15000</v>
      </c>
      <c r="H26" s="21">
        <f t="shared" si="7"/>
        <v>90000</v>
      </c>
      <c r="I26" s="21">
        <v>30519</v>
      </c>
      <c r="J26" s="21">
        <f t="shared" si="8"/>
        <v>183114</v>
      </c>
    </row>
    <row r="27" spans="1:10" ht="33" customHeight="1" x14ac:dyDescent="0.25">
      <c r="A27" s="6" t="s">
        <v>59</v>
      </c>
      <c r="B27" s="96" t="str">
        <f>'AddAlt 1'!B39</f>
        <v>New Electrical Panels, 800A                (Section 260500)</v>
      </c>
      <c r="C27" s="42">
        <f>'AddAlt 1'!C39</f>
        <v>2</v>
      </c>
      <c r="D27" s="15" t="str">
        <f>'AddAlt 1'!D39</f>
        <v>Each</v>
      </c>
      <c r="E27" s="21">
        <v>82500</v>
      </c>
      <c r="F27" s="21">
        <f t="shared" si="6"/>
        <v>165000</v>
      </c>
      <c r="G27" s="21">
        <v>50000</v>
      </c>
      <c r="H27" s="21">
        <f t="shared" si="7"/>
        <v>100000</v>
      </c>
      <c r="I27" s="21">
        <v>12123</v>
      </c>
      <c r="J27" s="21">
        <f t="shared" si="8"/>
        <v>24246</v>
      </c>
    </row>
    <row r="28" spans="1:10" ht="33" customHeight="1" x14ac:dyDescent="0.25">
      <c r="A28" s="6" t="s">
        <v>61</v>
      </c>
      <c r="B28" s="96" t="str">
        <f>'AddAlt 1'!B40</f>
        <v>Electrical Charging Units (Primary Units)
(Section 263343)</v>
      </c>
      <c r="C28" s="42">
        <f>'AddAlt 1'!C40</f>
        <v>6</v>
      </c>
      <c r="D28" s="15" t="str">
        <f>'AddAlt 1'!D40</f>
        <v>Each</v>
      </c>
      <c r="E28" s="21">
        <v>88139.47</v>
      </c>
      <c r="F28" s="21">
        <f t="shared" si="6"/>
        <v>528836.82000000007</v>
      </c>
      <c r="G28" s="21">
        <v>85000</v>
      </c>
      <c r="H28" s="21">
        <f t="shared" si="7"/>
        <v>510000</v>
      </c>
      <c r="I28" s="21">
        <v>157280</v>
      </c>
      <c r="J28" s="21">
        <f t="shared" si="8"/>
        <v>943680</v>
      </c>
    </row>
    <row r="29" spans="1:10" ht="33" customHeight="1" x14ac:dyDescent="0.25">
      <c r="A29" s="6" t="s">
        <v>63</v>
      </c>
      <c r="B29" s="96" t="str">
        <f>'AddAlt 1'!B41</f>
        <v>Electrical Charging Units (Secondary Units) (Section 263343)</v>
      </c>
      <c r="C29" s="42">
        <f>'AddAlt 1'!C41</f>
        <v>13</v>
      </c>
      <c r="D29" s="15" t="str">
        <f>'AddAlt 1'!D41</f>
        <v>Each</v>
      </c>
      <c r="E29" s="21">
        <v>40569.379999999997</v>
      </c>
      <c r="F29" s="21">
        <f t="shared" si="6"/>
        <v>527401.93999999994</v>
      </c>
      <c r="G29" s="21">
        <v>40000</v>
      </c>
      <c r="H29" s="21">
        <f t="shared" si="7"/>
        <v>520000</v>
      </c>
      <c r="I29" s="21">
        <v>157280</v>
      </c>
      <c r="J29" s="21">
        <f t="shared" si="8"/>
        <v>2044640</v>
      </c>
    </row>
    <row r="30" spans="1:10" ht="33" customHeight="1" x14ac:dyDescent="0.25">
      <c r="A30" s="6" t="s">
        <v>65</v>
      </c>
      <c r="B30" s="96" t="str">
        <f>'AddAlt 1'!B42</f>
        <v>Network Termination Enclosure
(Section 271000)</v>
      </c>
      <c r="C30" s="42">
        <f>'AddAlt 1'!C42</f>
        <v>6</v>
      </c>
      <c r="D30" s="15" t="str">
        <f>'AddAlt 1'!D42</f>
        <v>Each</v>
      </c>
      <c r="E30" s="21">
        <v>3314.26</v>
      </c>
      <c r="F30" s="21">
        <f t="shared" si="6"/>
        <v>19885.560000000001</v>
      </c>
      <c r="G30" s="21">
        <v>2000</v>
      </c>
      <c r="H30" s="21">
        <f t="shared" si="7"/>
        <v>12000</v>
      </c>
      <c r="I30" s="21">
        <v>22430</v>
      </c>
      <c r="J30" s="21">
        <f t="shared" si="8"/>
        <v>134580</v>
      </c>
    </row>
    <row r="31" spans="1:10" ht="33" customHeight="1" x14ac:dyDescent="0.25">
      <c r="A31" s="6" t="s">
        <v>67</v>
      </c>
      <c r="B31" s="96" t="str">
        <f>'AddAlt 1'!B43</f>
        <v>Data Equipment Rack &amp; Data Connections 1" Conduit          
(Section 271000)</v>
      </c>
      <c r="C31" s="42">
        <f>'AddAlt 1'!C43</f>
        <v>878</v>
      </c>
      <c r="D31" s="15" t="str">
        <f>'AddAlt 1'!D43</f>
        <v>LF</v>
      </c>
      <c r="E31" s="21">
        <v>14.44</v>
      </c>
      <c r="F31" s="21">
        <f t="shared" si="6"/>
        <v>12678.32</v>
      </c>
      <c r="G31" s="21">
        <v>50</v>
      </c>
      <c r="H31" s="21">
        <f t="shared" si="7"/>
        <v>43900</v>
      </c>
      <c r="I31" s="21">
        <v>100</v>
      </c>
      <c r="J31" s="21">
        <f t="shared" si="8"/>
        <v>87800</v>
      </c>
    </row>
    <row r="32" spans="1:10" ht="33" customHeight="1" x14ac:dyDescent="0.25">
      <c r="A32" s="6" t="s">
        <v>69</v>
      </c>
      <c r="B32" s="96" t="str">
        <f>'AddAlt 1'!B44</f>
        <v>Data Drop to Each Enclosure and Chargers
(Section 271000)</v>
      </c>
      <c r="C32" s="42">
        <f>'AddAlt 1'!C44</f>
        <v>19</v>
      </c>
      <c r="D32" s="15" t="str">
        <f>'AddAlt 1'!D44</f>
        <v>Each</v>
      </c>
      <c r="E32" s="21">
        <v>3049.65</v>
      </c>
      <c r="F32" s="21">
        <f t="shared" si="6"/>
        <v>57943.35</v>
      </c>
      <c r="G32" s="21">
        <v>9000</v>
      </c>
      <c r="H32" s="21">
        <f t="shared" si="7"/>
        <v>171000</v>
      </c>
      <c r="I32" s="21">
        <v>6738</v>
      </c>
      <c r="J32" s="21">
        <f t="shared" si="8"/>
        <v>128022</v>
      </c>
    </row>
    <row r="33" spans="1:10" ht="27.75" customHeight="1" x14ac:dyDescent="0.25">
      <c r="A33" s="7"/>
      <c r="B33" s="16" t="s">
        <v>90</v>
      </c>
      <c r="C33" s="31"/>
      <c r="D33" s="17"/>
      <c r="E33" s="22"/>
      <c r="F33" s="102">
        <f>SUM($F8:$F32)</f>
        <v>2405600.23</v>
      </c>
      <c r="G33" s="22"/>
      <c r="H33" s="102">
        <f>SUM($H8:$H32)</f>
        <v>2275969</v>
      </c>
      <c r="I33" s="22"/>
      <c r="J33" s="102">
        <f>SUM($J8:$J32)</f>
        <v>4682259.45</v>
      </c>
    </row>
  </sheetData>
  <mergeCells count="9">
    <mergeCell ref="A6:D6"/>
    <mergeCell ref="I1:J5"/>
    <mergeCell ref="A2:D2"/>
    <mergeCell ref="A3:D3"/>
    <mergeCell ref="A4:D4"/>
    <mergeCell ref="A5:D5"/>
    <mergeCell ref="A1:D1"/>
    <mergeCell ref="E1:F5"/>
    <mergeCell ref="G1:H5"/>
  </mergeCells>
  <dataValidations count="1">
    <dataValidation allowBlank="1" showErrorMessage="1" promptTitle="Item Description Info" prompt="Enter Item Description Here." sqref="B8:B32" xr:uid="{9808ADA2-C796-4957-BE63-41E20BBC24ED}"/>
  </dataValidations>
  <printOptions horizontalCentered="1"/>
  <pageMargins left="0.5" right="0.5" top="0.5" bottom="0.5" header="0.5" footer="0.5"/>
  <pageSetup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5E0C0-1A30-441A-A7BC-6B72F136CE46}">
  <sheetPr>
    <tabColor theme="4" tint="-0.499984740745262"/>
  </sheetPr>
  <dimension ref="A1:J27"/>
  <sheetViews>
    <sheetView topLeftCell="B14" zoomScaleNormal="100" zoomScaleSheetLayoutView="100" workbookViewId="0">
      <selection activeCell="G27" sqref="G27"/>
    </sheetView>
  </sheetViews>
  <sheetFormatPr defaultRowHeight="15" x14ac:dyDescent="0.25"/>
  <cols>
    <col min="1" max="1" width="6.7109375" customWidth="1"/>
    <col min="2" max="2" width="28.85546875" style="18" customWidth="1"/>
    <col min="3" max="3" width="11.28515625" style="32" customWidth="1"/>
    <col min="4" max="4" width="6.7109375" style="18" customWidth="1"/>
    <col min="5" max="5" width="11" style="26" customWidth="1"/>
    <col min="6" max="6" width="13.42578125" style="26" customWidth="1"/>
    <col min="7" max="7" width="11" style="26" customWidth="1"/>
    <col min="8" max="8" width="13.42578125" style="26" customWidth="1"/>
    <col min="9" max="9" width="11" customWidth="1"/>
    <col min="10" max="10" width="13.42578125" customWidth="1"/>
  </cols>
  <sheetData>
    <row r="1" spans="1:10" ht="30" customHeight="1" x14ac:dyDescent="0.25">
      <c r="A1" s="85" t="str">
        <f>ProjectLocation</f>
        <v>PORTLAND INTERNATIONAL AIRPORT</v>
      </c>
      <c r="B1" s="86"/>
      <c r="C1" s="86"/>
      <c r="D1" s="87"/>
      <c r="E1" s="78" t="s">
        <v>113</v>
      </c>
      <c r="F1" s="79"/>
      <c r="G1" s="78" t="s">
        <v>114</v>
      </c>
      <c r="H1" s="79"/>
      <c r="I1" s="78" t="s">
        <v>95</v>
      </c>
      <c r="J1" s="79"/>
    </row>
    <row r="2" spans="1:10" x14ac:dyDescent="0.25">
      <c r="A2" s="88" t="str">
        <f>ProjectTitle</f>
        <v>EGSE INFRASTRUCTURE INSTALLATION - PHASE 2</v>
      </c>
      <c r="B2" s="89"/>
      <c r="C2" s="89"/>
      <c r="D2" s="90"/>
      <c r="E2" s="80"/>
      <c r="F2" s="81"/>
      <c r="G2" s="80"/>
      <c r="H2" s="81"/>
      <c r="I2" s="80"/>
      <c r="J2" s="81"/>
    </row>
    <row r="3" spans="1:10" x14ac:dyDescent="0.25">
      <c r="A3" s="88">
        <f>ProjectTitle2</f>
        <v>0</v>
      </c>
      <c r="B3" s="89"/>
      <c r="C3" s="89"/>
      <c r="D3" s="90"/>
      <c r="E3" s="80"/>
      <c r="F3" s="81"/>
      <c r="G3" s="80"/>
      <c r="H3" s="81"/>
      <c r="I3" s="80"/>
      <c r="J3" s="81"/>
    </row>
    <row r="4" spans="1:10" x14ac:dyDescent="0.25">
      <c r="A4" s="91" t="s">
        <v>104</v>
      </c>
      <c r="B4" s="92"/>
      <c r="C4" s="92"/>
      <c r="D4" s="93"/>
      <c r="E4" s="80"/>
      <c r="F4" s="81"/>
      <c r="G4" s="80"/>
      <c r="H4" s="81"/>
      <c r="I4" s="80"/>
      <c r="J4" s="81"/>
    </row>
    <row r="5" spans="1:10" x14ac:dyDescent="0.25">
      <c r="A5" s="91" t="s">
        <v>105</v>
      </c>
      <c r="B5" s="92"/>
      <c r="C5" s="92"/>
      <c r="D5" s="93"/>
      <c r="E5" s="80"/>
      <c r="F5" s="81"/>
      <c r="G5" s="80"/>
      <c r="H5" s="81"/>
      <c r="I5" s="80"/>
      <c r="J5" s="81"/>
    </row>
    <row r="6" spans="1:10" x14ac:dyDescent="0.25">
      <c r="A6" s="82">
        <f ca="1">TODAY()</f>
        <v>45377</v>
      </c>
      <c r="B6" s="83"/>
      <c r="C6" s="83"/>
      <c r="D6" s="84"/>
      <c r="E6" s="33"/>
      <c r="F6" s="34"/>
      <c r="G6" s="33"/>
      <c r="H6" s="34"/>
      <c r="I6" s="33"/>
      <c r="J6" s="34"/>
    </row>
    <row r="7" spans="1:10" ht="32.25" customHeight="1" x14ac:dyDescent="0.25">
      <c r="A7" s="97" t="s">
        <v>15</v>
      </c>
      <c r="B7" s="95" t="s">
        <v>16</v>
      </c>
      <c r="C7" s="30" t="s">
        <v>17</v>
      </c>
      <c r="D7" s="14" t="s">
        <v>18</v>
      </c>
      <c r="E7" s="35" t="s">
        <v>19</v>
      </c>
      <c r="F7" s="35" t="s">
        <v>20</v>
      </c>
      <c r="G7" s="35" t="s">
        <v>19</v>
      </c>
      <c r="H7" s="35" t="s">
        <v>20</v>
      </c>
      <c r="I7" s="35" t="s">
        <v>19</v>
      </c>
      <c r="J7" s="35" t="s">
        <v>20</v>
      </c>
    </row>
    <row r="8" spans="1:10" ht="32.25" customHeight="1" x14ac:dyDescent="0.25">
      <c r="A8" s="6" t="s">
        <v>21</v>
      </c>
      <c r="B8" s="96" t="str">
        <f>'AddAlt 2'!B20</f>
        <v>Mobilization
(Item C-105)</v>
      </c>
      <c r="C8" s="94">
        <f>'AddAlt 2'!C20</f>
        <v>1</v>
      </c>
      <c r="D8" s="15" t="str">
        <f>'AddAlt 2'!D20</f>
        <v>LS</v>
      </c>
      <c r="E8" s="21">
        <v>448409.26</v>
      </c>
      <c r="F8" s="21">
        <f t="shared" ref="F8:F10" si="0">QTY*E8</f>
        <v>448409.26</v>
      </c>
      <c r="G8" s="21">
        <v>100000</v>
      </c>
      <c r="H8" s="21">
        <f t="shared" ref="H8:H10" si="1">QTY*G8</f>
        <v>100000</v>
      </c>
      <c r="I8" s="21">
        <f>0.1*SUM(J9:J26)</f>
        <v>524710.6</v>
      </c>
      <c r="J8" s="21">
        <f t="shared" ref="J8:J10" si="2">QTY*I8</f>
        <v>524710.6</v>
      </c>
    </row>
    <row r="9" spans="1:10" ht="32.25" customHeight="1" x14ac:dyDescent="0.25">
      <c r="A9" s="6" t="s">
        <v>23</v>
      </c>
      <c r="B9" s="96" t="str">
        <f>'AddAlt 2'!B21</f>
        <v>Surface Prep - Existing Pavement    
(Item P-620)</v>
      </c>
      <c r="C9" s="42">
        <f>'AddAlt 2'!C21</f>
        <v>2142</v>
      </c>
      <c r="D9" s="15" t="str">
        <f>'AddAlt 2'!D21</f>
        <v>SF</v>
      </c>
      <c r="E9" s="21">
        <v>0.89</v>
      </c>
      <c r="F9" s="21">
        <f t="shared" si="0"/>
        <v>1906.38</v>
      </c>
      <c r="G9" s="21">
        <v>1</v>
      </c>
      <c r="H9" s="21">
        <f t="shared" si="1"/>
        <v>2142</v>
      </c>
      <c r="I9" s="21">
        <v>5</v>
      </c>
      <c r="J9" s="21">
        <f t="shared" si="2"/>
        <v>10710</v>
      </c>
    </row>
    <row r="10" spans="1:10" ht="33" customHeight="1" x14ac:dyDescent="0.25">
      <c r="A10" s="6" t="s">
        <v>25</v>
      </c>
      <c r="B10" s="96" t="str">
        <f>'AddAlt 2'!B22</f>
        <v>Surface Prep - Marking Removal   
(Item P-620)</v>
      </c>
      <c r="C10" s="42">
        <f>'AddAlt 2'!C22</f>
        <v>766</v>
      </c>
      <c r="D10" s="15" t="str">
        <f>'AddAlt 2'!D22</f>
        <v>SF</v>
      </c>
      <c r="E10" s="21">
        <v>6.3</v>
      </c>
      <c r="F10" s="21">
        <f t="shared" si="0"/>
        <v>4825.8</v>
      </c>
      <c r="G10" s="21">
        <v>16</v>
      </c>
      <c r="H10" s="21">
        <f t="shared" si="1"/>
        <v>12256</v>
      </c>
      <c r="I10" s="21">
        <v>12</v>
      </c>
      <c r="J10" s="21">
        <f t="shared" si="2"/>
        <v>9192</v>
      </c>
    </row>
    <row r="11" spans="1:10" ht="33" customHeight="1" x14ac:dyDescent="0.25">
      <c r="A11" s="6" t="s">
        <v>27</v>
      </c>
      <c r="B11" s="96" t="str">
        <f>'AddAlt 2'!B23</f>
        <v>Markings   
(Item P-620)</v>
      </c>
      <c r="C11" s="42">
        <f>'AddAlt 2'!C23</f>
        <v>2142</v>
      </c>
      <c r="D11" s="15" t="str">
        <f>'AddAlt 2'!D23</f>
        <v>SF</v>
      </c>
      <c r="E11" s="21">
        <v>3.9</v>
      </c>
      <c r="F11" s="21">
        <f t="shared" ref="F11:F18" si="3">QTY*E11</f>
        <v>8353.7999999999993</v>
      </c>
      <c r="G11" s="21">
        <v>5</v>
      </c>
      <c r="H11" s="21">
        <f t="shared" ref="H11:H18" si="4">QTY*G11</f>
        <v>10710</v>
      </c>
      <c r="I11" s="21">
        <v>12.5</v>
      </c>
      <c r="J11" s="21">
        <f t="shared" ref="J11:J18" si="5">QTY*I11</f>
        <v>26775</v>
      </c>
    </row>
    <row r="12" spans="1:10" ht="33" customHeight="1" x14ac:dyDescent="0.25">
      <c r="A12" s="6" t="s">
        <v>29</v>
      </c>
      <c r="B12" s="96" t="str">
        <f>'AddAlt 2'!B24</f>
        <v>Reflective Media
(Item P-620)</v>
      </c>
      <c r="C12" s="42">
        <f>'AddAlt 2'!C24</f>
        <v>143</v>
      </c>
      <c r="D12" s="15" t="str">
        <f>'AddAlt 2'!D24</f>
        <v>LB</v>
      </c>
      <c r="E12" s="21">
        <v>2.23</v>
      </c>
      <c r="F12" s="21">
        <f t="shared" si="3"/>
        <v>318.89</v>
      </c>
      <c r="G12" s="21">
        <v>5</v>
      </c>
      <c r="H12" s="21">
        <f t="shared" si="4"/>
        <v>715</v>
      </c>
      <c r="I12" s="21">
        <v>10</v>
      </c>
      <c r="J12" s="21">
        <f t="shared" si="5"/>
        <v>1430</v>
      </c>
    </row>
    <row r="13" spans="1:10" ht="33" customHeight="1" x14ac:dyDescent="0.25">
      <c r="A13" s="6" t="s">
        <v>31</v>
      </c>
      <c r="B13" s="96" t="str">
        <f>'AddAlt 2'!B25</f>
        <v>Remove Bollard - Embedded 
(Section 024113)</v>
      </c>
      <c r="C13" s="42">
        <f>'AddAlt 2'!C25</f>
        <v>6</v>
      </c>
      <c r="D13" s="15" t="str">
        <f>'AddAlt 2'!D25</f>
        <v>Each</v>
      </c>
      <c r="E13" s="21">
        <v>1288.1400000000001</v>
      </c>
      <c r="F13" s="21">
        <f t="shared" si="3"/>
        <v>7728.84</v>
      </c>
      <c r="G13" s="21">
        <v>1000</v>
      </c>
      <c r="H13" s="21">
        <f t="shared" si="4"/>
        <v>6000</v>
      </c>
      <c r="I13" s="21">
        <v>800</v>
      </c>
      <c r="J13" s="21">
        <f t="shared" si="5"/>
        <v>4800</v>
      </c>
    </row>
    <row r="14" spans="1:10" ht="33" customHeight="1" x14ac:dyDescent="0.25">
      <c r="A14" s="6" t="s">
        <v>33</v>
      </c>
      <c r="B14" s="96" t="str">
        <f>'AddAlt 2'!B26</f>
        <v>Relocate Storage Shelter  
(Section 024113)</v>
      </c>
      <c r="C14" s="42">
        <f>'AddAlt 2'!C26</f>
        <v>1</v>
      </c>
      <c r="D14" s="15" t="str">
        <f>'AddAlt 2'!D26</f>
        <v>LS</v>
      </c>
      <c r="E14" s="21">
        <v>25000</v>
      </c>
      <c r="F14" s="21">
        <f t="shared" si="3"/>
        <v>25000</v>
      </c>
      <c r="G14" s="21">
        <v>2000</v>
      </c>
      <c r="H14" s="21">
        <f t="shared" si="4"/>
        <v>2000</v>
      </c>
      <c r="I14" s="21">
        <v>10000</v>
      </c>
      <c r="J14" s="21">
        <f t="shared" si="5"/>
        <v>10000</v>
      </c>
    </row>
    <row r="15" spans="1:10" ht="33" customHeight="1" x14ac:dyDescent="0.25">
      <c r="A15" s="6" t="s">
        <v>35</v>
      </c>
      <c r="B15" s="96" t="str">
        <f>'AddAlt 2'!B27</f>
        <v>Cable Retrievers      
(Section 111100)</v>
      </c>
      <c r="C15" s="42">
        <f>'AddAlt 2'!C27</f>
        <v>46</v>
      </c>
      <c r="D15" s="15" t="str">
        <f>'AddAlt 2'!D27</f>
        <v>Each</v>
      </c>
      <c r="E15" s="21">
        <v>5133.93</v>
      </c>
      <c r="F15" s="21">
        <f t="shared" si="3"/>
        <v>236160.78000000003</v>
      </c>
      <c r="G15" s="21">
        <v>7500</v>
      </c>
      <c r="H15" s="21">
        <f t="shared" si="4"/>
        <v>345000</v>
      </c>
      <c r="I15" s="21">
        <v>6462</v>
      </c>
      <c r="J15" s="21">
        <f t="shared" si="5"/>
        <v>297252</v>
      </c>
    </row>
    <row r="16" spans="1:10" ht="33" customHeight="1" x14ac:dyDescent="0.25">
      <c r="A16" s="6" t="s">
        <v>37</v>
      </c>
      <c r="B16" s="96" t="str">
        <f>'AddAlt 2'!B28</f>
        <v>Precast Concrete Wheel Stop    
(Section 347115)</v>
      </c>
      <c r="C16" s="42">
        <f>'AddAlt 2'!C28</f>
        <v>33</v>
      </c>
      <c r="D16" s="15" t="str">
        <f>'AddAlt 2'!D28</f>
        <v>Each</v>
      </c>
      <c r="E16" s="21">
        <v>267.07</v>
      </c>
      <c r="F16" s="21">
        <f t="shared" si="3"/>
        <v>8813.31</v>
      </c>
      <c r="G16" s="21">
        <v>200</v>
      </c>
      <c r="H16" s="21">
        <f t="shared" si="4"/>
        <v>6600</v>
      </c>
      <c r="I16" s="21">
        <v>400</v>
      </c>
      <c r="J16" s="21">
        <f t="shared" si="5"/>
        <v>13200</v>
      </c>
    </row>
    <row r="17" spans="1:10" ht="33" customHeight="1" x14ac:dyDescent="0.25">
      <c r="A17" s="6" t="s">
        <v>39</v>
      </c>
      <c r="B17" s="96" t="str">
        <f>'AddAlt 2'!B29</f>
        <v>Bollard - Bolt Down     
(Section 347115)</v>
      </c>
      <c r="C17" s="42">
        <f>'AddAlt 2'!C29</f>
        <v>19</v>
      </c>
      <c r="D17" s="15" t="str">
        <f>'AddAlt 2'!D29</f>
        <v>Each</v>
      </c>
      <c r="E17" s="21">
        <v>5856.49</v>
      </c>
      <c r="F17" s="21">
        <f t="shared" si="3"/>
        <v>111273.31</v>
      </c>
      <c r="G17" s="21">
        <v>900</v>
      </c>
      <c r="H17" s="21">
        <f t="shared" si="4"/>
        <v>17100</v>
      </c>
      <c r="I17" s="21">
        <v>1700</v>
      </c>
      <c r="J17" s="21">
        <f t="shared" si="5"/>
        <v>32300</v>
      </c>
    </row>
    <row r="18" spans="1:10" ht="33" customHeight="1" x14ac:dyDescent="0.25">
      <c r="A18" s="6" t="s">
        <v>41</v>
      </c>
      <c r="B18" s="96" t="str">
        <f>'AddAlt 2'!B30</f>
        <v>Guard Rail        
(Section 347115)</v>
      </c>
      <c r="C18" s="42">
        <f>'AddAlt 2'!C30</f>
        <v>161</v>
      </c>
      <c r="D18" s="15" t="str">
        <f>'AddAlt 2'!D30</f>
        <v>LF</v>
      </c>
      <c r="E18" s="21">
        <v>688.7</v>
      </c>
      <c r="F18" s="21">
        <f t="shared" si="3"/>
        <v>110880.70000000001</v>
      </c>
      <c r="G18" s="21">
        <v>185</v>
      </c>
      <c r="H18" s="21">
        <f t="shared" si="4"/>
        <v>29785</v>
      </c>
      <c r="I18" s="21">
        <v>625</v>
      </c>
      <c r="J18" s="21">
        <f t="shared" si="5"/>
        <v>100625</v>
      </c>
    </row>
    <row r="19" spans="1:10" ht="33" customHeight="1" x14ac:dyDescent="0.25">
      <c r="A19" s="6" t="s">
        <v>43</v>
      </c>
      <c r="B19" s="96" t="str">
        <f>'AddAlt 2'!B31</f>
        <v>Electrical Feeds to Enclosed Circuit Breakers (2.5" Conduit)    
(Section 260500)</v>
      </c>
      <c r="C19" s="42">
        <f>'AddAlt 2'!C31</f>
        <v>1025</v>
      </c>
      <c r="D19" s="15" t="str">
        <f>'AddAlt 2'!D31</f>
        <v>LF</v>
      </c>
      <c r="E19" s="21">
        <v>56.43</v>
      </c>
      <c r="F19" s="21">
        <f t="shared" ref="F19:F26" si="6">QTY*E19</f>
        <v>57840.75</v>
      </c>
      <c r="G19" s="21">
        <v>60</v>
      </c>
      <c r="H19" s="21">
        <f t="shared" ref="H19:H26" si="7">QTY*G19</f>
        <v>61500</v>
      </c>
      <c r="I19" s="21">
        <v>100</v>
      </c>
      <c r="J19" s="21">
        <f t="shared" ref="J19:J26" si="8">QTY*I19</f>
        <v>102500</v>
      </c>
    </row>
    <row r="20" spans="1:10" ht="33" customHeight="1" x14ac:dyDescent="0.25">
      <c r="A20" s="6" t="s">
        <v>45</v>
      </c>
      <c r="B20" s="96" t="str">
        <f>'AddAlt 2'!B32</f>
        <v>Electrical Feeds to Enclosed Circuit Breakers (3/4" Conduit)  
(Section 260500)</v>
      </c>
      <c r="C20" s="42">
        <f>'AddAlt 2'!C32</f>
        <v>1025</v>
      </c>
      <c r="D20" s="15" t="str">
        <f>'AddAlt 2'!D32</f>
        <v>LF</v>
      </c>
      <c r="E20" s="21">
        <v>19.27</v>
      </c>
      <c r="F20" s="21">
        <f t="shared" si="6"/>
        <v>19751.75</v>
      </c>
      <c r="G20" s="21">
        <v>20</v>
      </c>
      <c r="H20" s="21">
        <f t="shared" si="7"/>
        <v>20500</v>
      </c>
      <c r="I20" s="21">
        <v>100</v>
      </c>
      <c r="J20" s="21">
        <f t="shared" si="8"/>
        <v>102500</v>
      </c>
    </row>
    <row r="21" spans="1:10" ht="33" customHeight="1" x14ac:dyDescent="0.25">
      <c r="A21" s="6" t="s">
        <v>47</v>
      </c>
      <c r="B21" s="96" t="str">
        <f>'AddAlt 2'!B33</f>
        <v>Electrical Equipment Rack - Load Share Connected        
(Section 260500)</v>
      </c>
      <c r="C21" s="42">
        <f>'AddAlt 2'!C33</f>
        <v>9</v>
      </c>
      <c r="D21" s="15" t="str">
        <f>'AddAlt 2'!D33</f>
        <v>Each</v>
      </c>
      <c r="E21" s="21">
        <v>34307.97</v>
      </c>
      <c r="F21" s="21">
        <f t="shared" si="6"/>
        <v>308771.73</v>
      </c>
      <c r="G21" s="21">
        <v>35000</v>
      </c>
      <c r="H21" s="21">
        <f t="shared" si="7"/>
        <v>315000</v>
      </c>
      <c r="I21" s="21">
        <v>39932</v>
      </c>
      <c r="J21" s="21">
        <f t="shared" si="8"/>
        <v>359388</v>
      </c>
    </row>
    <row r="22" spans="1:10" ht="33" customHeight="1" x14ac:dyDescent="0.25">
      <c r="A22" s="6" t="s">
        <v>49</v>
      </c>
      <c r="B22" s="96" t="str">
        <f>'AddAlt 2'!B34</f>
        <v>Electrical Charging Units (Primary Units)
(Section 263343)</v>
      </c>
      <c r="C22" s="42">
        <f>'AddAlt 2'!C34</f>
        <v>9</v>
      </c>
      <c r="D22" s="15" t="str">
        <f>'AddAlt 2'!D34</f>
        <v>Each</v>
      </c>
      <c r="E22" s="21">
        <v>88139.47</v>
      </c>
      <c r="F22" s="21">
        <f t="shared" si="6"/>
        <v>793255.23</v>
      </c>
      <c r="G22" s="21">
        <v>85000</v>
      </c>
      <c r="H22" s="21">
        <f t="shared" si="7"/>
        <v>765000</v>
      </c>
      <c r="I22" s="21">
        <v>157280</v>
      </c>
      <c r="J22" s="21">
        <f t="shared" si="8"/>
        <v>1415520</v>
      </c>
    </row>
    <row r="23" spans="1:10" ht="33" customHeight="1" x14ac:dyDescent="0.25">
      <c r="A23" s="6" t="s">
        <v>51</v>
      </c>
      <c r="B23" s="96" t="str">
        <f>'AddAlt 2'!B35</f>
        <v>Electrical Charging Units (Secondary Units) (Section 263343)</v>
      </c>
      <c r="C23" s="42">
        <f>'AddAlt 2'!C35</f>
        <v>14</v>
      </c>
      <c r="D23" s="15" t="str">
        <f>'AddAlt 2'!D35</f>
        <v>Each</v>
      </c>
      <c r="E23" s="21">
        <v>40569.379999999997</v>
      </c>
      <c r="F23" s="21">
        <f t="shared" si="6"/>
        <v>567971.31999999995</v>
      </c>
      <c r="G23" s="21">
        <v>40000</v>
      </c>
      <c r="H23" s="21">
        <f t="shared" si="7"/>
        <v>560000</v>
      </c>
      <c r="I23" s="21">
        <v>157280</v>
      </c>
      <c r="J23" s="21">
        <f t="shared" si="8"/>
        <v>2201920</v>
      </c>
    </row>
    <row r="24" spans="1:10" ht="33" customHeight="1" x14ac:dyDescent="0.25">
      <c r="A24" s="6" t="s">
        <v>53</v>
      </c>
      <c r="B24" s="96" t="str">
        <f>'AddAlt 2'!B36</f>
        <v>Network Termination Enclosure 
(Section 271000)</v>
      </c>
      <c r="C24" s="42">
        <f>'AddAlt 2'!C36</f>
        <v>14</v>
      </c>
      <c r="D24" s="15" t="str">
        <f>'AddAlt 2'!D36</f>
        <v>Each</v>
      </c>
      <c r="E24" s="21">
        <v>3314.26</v>
      </c>
      <c r="F24" s="21">
        <f t="shared" si="6"/>
        <v>46399.64</v>
      </c>
      <c r="G24" s="21">
        <v>2000</v>
      </c>
      <c r="H24" s="21">
        <f t="shared" si="7"/>
        <v>28000</v>
      </c>
      <c r="I24" s="21">
        <v>22430</v>
      </c>
      <c r="J24" s="21">
        <f t="shared" si="8"/>
        <v>314020</v>
      </c>
    </row>
    <row r="25" spans="1:10" ht="33" customHeight="1" x14ac:dyDescent="0.25">
      <c r="A25" s="6" t="s">
        <v>55</v>
      </c>
      <c r="B25" s="96" t="str">
        <f>'AddAlt 2'!B37</f>
        <v>Data Equipment Rack &amp; Data Connections 1" Conduit          
(Section 271000)</v>
      </c>
      <c r="C25" s="42">
        <f>'AddAlt 2'!C37</f>
        <v>900</v>
      </c>
      <c r="D25" s="15" t="str">
        <f>'AddAlt 2'!D37</f>
        <v>LF</v>
      </c>
      <c r="E25" s="21">
        <v>14.44</v>
      </c>
      <c r="F25" s="21">
        <f t="shared" si="6"/>
        <v>12996</v>
      </c>
      <c r="G25" s="21">
        <v>50</v>
      </c>
      <c r="H25" s="21">
        <f t="shared" si="7"/>
        <v>45000</v>
      </c>
      <c r="I25" s="21">
        <v>100</v>
      </c>
      <c r="J25" s="21">
        <f t="shared" si="8"/>
        <v>90000</v>
      </c>
    </row>
    <row r="26" spans="1:10" ht="33" customHeight="1" x14ac:dyDescent="0.25">
      <c r="A26" s="6" t="s">
        <v>57</v>
      </c>
      <c r="B26" s="96" t="str">
        <f>'AddAlt 2'!B38</f>
        <v>Data Drop to Each Enclosure and Chargers
(Section 271000)</v>
      </c>
      <c r="C26" s="42">
        <f>'AddAlt 2'!C38</f>
        <v>23</v>
      </c>
      <c r="D26" s="15" t="str">
        <f>'AddAlt 2'!D38</f>
        <v>Each</v>
      </c>
      <c r="E26" s="21">
        <v>3049.65</v>
      </c>
      <c r="F26" s="21">
        <f t="shared" si="6"/>
        <v>70141.95</v>
      </c>
      <c r="G26" s="21">
        <v>11000</v>
      </c>
      <c r="H26" s="21">
        <f t="shared" si="7"/>
        <v>253000</v>
      </c>
      <c r="I26" s="21">
        <v>6738</v>
      </c>
      <c r="J26" s="21">
        <f t="shared" si="8"/>
        <v>154974</v>
      </c>
    </row>
    <row r="27" spans="1:10" ht="27.75" customHeight="1" x14ac:dyDescent="0.25">
      <c r="A27" s="7"/>
      <c r="B27" s="16" t="s">
        <v>92</v>
      </c>
      <c r="C27" s="31"/>
      <c r="D27" s="17"/>
      <c r="E27" s="22"/>
      <c r="F27" s="102">
        <f>SUM($F8:$F26)</f>
        <v>2840799.4400000004</v>
      </c>
      <c r="G27" s="22"/>
      <c r="H27" s="102">
        <f>SUM($H8:$H26)</f>
        <v>2580308</v>
      </c>
      <c r="I27" s="22"/>
      <c r="J27" s="102">
        <f>SUM($J8:$J26)</f>
        <v>5771816.5999999996</v>
      </c>
    </row>
  </sheetData>
  <mergeCells count="9">
    <mergeCell ref="A6:D6"/>
    <mergeCell ref="I1:J5"/>
    <mergeCell ref="A2:D2"/>
    <mergeCell ref="A3:D3"/>
    <mergeCell ref="A4:D4"/>
    <mergeCell ref="A5:D5"/>
    <mergeCell ref="A1:D1"/>
    <mergeCell ref="E1:F5"/>
    <mergeCell ref="G1:H5"/>
  </mergeCells>
  <dataValidations count="1">
    <dataValidation allowBlank="1" showErrorMessage="1" promptTitle="Item Description Info" prompt="Enter Item Description Here." sqref="B8:B26" xr:uid="{F2D9EB85-3489-4E94-A0F3-6A1B6C1B779A}"/>
  </dataValidations>
  <printOptions horizontalCentered="1"/>
  <pageMargins left="0.5" right="0.5" top="0.5" bottom="0.5" header="0.5" footer="0.5"/>
  <pageSetup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37473-8948-48EE-A7CA-52918B29EE99}">
  <sheetPr>
    <tabColor theme="4" tint="-0.499984740745262"/>
  </sheetPr>
  <dimension ref="A1:J28"/>
  <sheetViews>
    <sheetView topLeftCell="B17" zoomScaleNormal="100" zoomScaleSheetLayoutView="100" workbookViewId="0">
      <selection activeCell="H26" sqref="H26:H27"/>
    </sheetView>
  </sheetViews>
  <sheetFormatPr defaultRowHeight="15" x14ac:dyDescent="0.25"/>
  <cols>
    <col min="1" max="1" width="6.7109375" customWidth="1"/>
    <col min="2" max="2" width="28.85546875" style="18" customWidth="1"/>
    <col min="3" max="3" width="11.28515625" style="32" customWidth="1"/>
    <col min="4" max="4" width="6.7109375" style="18" customWidth="1"/>
    <col min="5" max="5" width="11" style="26" customWidth="1"/>
    <col min="6" max="6" width="13.42578125" style="26" customWidth="1"/>
    <col min="7" max="7" width="11" style="26" customWidth="1"/>
    <col min="8" max="8" width="13.42578125" style="26" customWidth="1"/>
    <col min="9" max="9" width="11" customWidth="1"/>
    <col min="10" max="10" width="13.42578125" customWidth="1"/>
  </cols>
  <sheetData>
    <row r="1" spans="1:10" ht="30" customHeight="1" x14ac:dyDescent="0.25">
      <c r="A1" s="85" t="str">
        <f>ProjectLocation</f>
        <v>PORTLAND INTERNATIONAL AIRPORT</v>
      </c>
      <c r="B1" s="86"/>
      <c r="C1" s="86"/>
      <c r="D1" s="87"/>
      <c r="E1" s="78" t="s">
        <v>113</v>
      </c>
      <c r="F1" s="79"/>
      <c r="G1" s="78" t="s">
        <v>114</v>
      </c>
      <c r="H1" s="79"/>
      <c r="I1" s="78" t="s">
        <v>95</v>
      </c>
      <c r="J1" s="79"/>
    </row>
    <row r="2" spans="1:10" x14ac:dyDescent="0.25">
      <c r="A2" s="88" t="str">
        <f>ProjectTitle</f>
        <v>EGSE INFRASTRUCTURE INSTALLATION - PHASE 2</v>
      </c>
      <c r="B2" s="89"/>
      <c r="C2" s="89"/>
      <c r="D2" s="90"/>
      <c r="E2" s="80"/>
      <c r="F2" s="81"/>
      <c r="G2" s="80"/>
      <c r="H2" s="81"/>
      <c r="I2" s="80"/>
      <c r="J2" s="81"/>
    </row>
    <row r="3" spans="1:10" x14ac:dyDescent="0.25">
      <c r="A3" s="88">
        <f>ProjectTitle2</f>
        <v>0</v>
      </c>
      <c r="B3" s="89"/>
      <c r="C3" s="89"/>
      <c r="D3" s="90"/>
      <c r="E3" s="80"/>
      <c r="F3" s="81"/>
      <c r="G3" s="80"/>
      <c r="H3" s="81"/>
      <c r="I3" s="80"/>
      <c r="J3" s="81"/>
    </row>
    <row r="4" spans="1:10" x14ac:dyDescent="0.25">
      <c r="A4" s="91" t="s">
        <v>104</v>
      </c>
      <c r="B4" s="92"/>
      <c r="C4" s="92"/>
      <c r="D4" s="93"/>
      <c r="E4" s="80"/>
      <c r="F4" s="81"/>
      <c r="G4" s="80"/>
      <c r="H4" s="81"/>
      <c r="I4" s="80"/>
      <c r="J4" s="81"/>
    </row>
    <row r="5" spans="1:10" x14ac:dyDescent="0.25">
      <c r="A5" s="91" t="s">
        <v>105</v>
      </c>
      <c r="B5" s="92"/>
      <c r="C5" s="92"/>
      <c r="D5" s="93"/>
      <c r="E5" s="80"/>
      <c r="F5" s="81"/>
      <c r="G5" s="80"/>
      <c r="H5" s="81"/>
      <c r="I5" s="80"/>
      <c r="J5" s="81"/>
    </row>
    <row r="6" spans="1:10" x14ac:dyDescent="0.25">
      <c r="A6" s="82">
        <f ca="1">TODAY()</f>
        <v>45377</v>
      </c>
      <c r="B6" s="83"/>
      <c r="C6" s="83"/>
      <c r="D6" s="84"/>
      <c r="E6" s="33"/>
      <c r="F6" s="34"/>
      <c r="G6" s="33"/>
      <c r="H6" s="34"/>
      <c r="I6" s="33"/>
      <c r="J6" s="34"/>
    </row>
    <row r="7" spans="1:10" ht="32.25" customHeight="1" x14ac:dyDescent="0.25">
      <c r="A7" s="97" t="s">
        <v>15</v>
      </c>
      <c r="B7" s="95" t="s">
        <v>16</v>
      </c>
      <c r="C7" s="30" t="s">
        <v>17</v>
      </c>
      <c r="D7" s="14" t="s">
        <v>18</v>
      </c>
      <c r="E7" s="35" t="s">
        <v>19</v>
      </c>
      <c r="F7" s="35" t="s">
        <v>20</v>
      </c>
      <c r="G7" s="35" t="s">
        <v>19</v>
      </c>
      <c r="H7" s="35" t="s">
        <v>20</v>
      </c>
      <c r="I7" s="35" t="s">
        <v>19</v>
      </c>
      <c r="J7" s="35" t="s">
        <v>20</v>
      </c>
    </row>
    <row r="8" spans="1:10" ht="32.25" customHeight="1" x14ac:dyDescent="0.25">
      <c r="A8" s="6" t="s">
        <v>21</v>
      </c>
      <c r="B8" s="96" t="str">
        <f>'AddAlt 3'!B20</f>
        <v>Sweeper                                                     Section (012200)</v>
      </c>
      <c r="C8" s="94">
        <f>'AddAlt 3'!C20</f>
        <v>1</v>
      </c>
      <c r="D8" s="15" t="str">
        <f>'AddAlt 3'!D20</f>
        <v>LS</v>
      </c>
      <c r="E8" s="21">
        <v>50000</v>
      </c>
      <c r="F8" s="21">
        <f t="shared" ref="F8:F10" si="0">QTY*E8</f>
        <v>50000</v>
      </c>
      <c r="G8" s="21">
        <v>3000</v>
      </c>
      <c r="H8" s="21">
        <f t="shared" ref="H8:H10" si="1">QTY*G8</f>
        <v>3000</v>
      </c>
      <c r="I8" s="21">
        <v>7500</v>
      </c>
      <c r="J8" s="21">
        <f t="shared" ref="J8:J10" si="2">QTY*I8</f>
        <v>7500</v>
      </c>
    </row>
    <row r="9" spans="1:10" ht="32.25" customHeight="1" x14ac:dyDescent="0.25">
      <c r="A9" s="6" t="s">
        <v>23</v>
      </c>
      <c r="B9" s="96" t="str">
        <f>'AddAlt 3'!B21</f>
        <v>Escort
(Section 012200)</v>
      </c>
      <c r="C9" s="94">
        <f>'AddAlt 3'!C21</f>
        <v>1</v>
      </c>
      <c r="D9" s="15" t="str">
        <f>'AddAlt 3'!D21</f>
        <v>LS</v>
      </c>
      <c r="E9" s="21">
        <v>50000</v>
      </c>
      <c r="F9" s="21">
        <f t="shared" si="0"/>
        <v>50000</v>
      </c>
      <c r="G9" s="21">
        <v>10000</v>
      </c>
      <c r="H9" s="21">
        <f t="shared" si="1"/>
        <v>10000</v>
      </c>
      <c r="I9" s="21">
        <v>5000</v>
      </c>
      <c r="J9" s="21">
        <f t="shared" si="2"/>
        <v>5000</v>
      </c>
    </row>
    <row r="10" spans="1:10" ht="33" customHeight="1" x14ac:dyDescent="0.25">
      <c r="A10" s="6" t="s">
        <v>25</v>
      </c>
      <c r="B10" s="96" t="str">
        <f>'AddAlt 3'!B22</f>
        <v>Mobilization
(Item C-105)</v>
      </c>
      <c r="C10" s="94">
        <f>'AddAlt 3'!C22</f>
        <v>1</v>
      </c>
      <c r="D10" s="15" t="str">
        <f>'AddAlt 3'!D22</f>
        <v>LS</v>
      </c>
      <c r="E10" s="21">
        <v>254409.54</v>
      </c>
      <c r="F10" s="21">
        <f t="shared" si="0"/>
        <v>254409.54</v>
      </c>
      <c r="G10" s="21">
        <v>20000</v>
      </c>
      <c r="H10" s="21">
        <f t="shared" si="1"/>
        <v>20000</v>
      </c>
      <c r="I10" s="21">
        <f>0.1*(J8+J9+SUM(J11:J27))</f>
        <v>87850.75</v>
      </c>
      <c r="J10" s="21">
        <f t="shared" si="2"/>
        <v>87850.75</v>
      </c>
    </row>
    <row r="11" spans="1:10" ht="33" customHeight="1" x14ac:dyDescent="0.25">
      <c r="A11" s="6" t="s">
        <v>27</v>
      </c>
      <c r="B11" s="96" t="str">
        <f>'AddAlt 3'!B23</f>
        <v>Asphalt Pavement Removal
(Item P-101)</v>
      </c>
      <c r="C11" s="94">
        <f>'AddAlt 3'!C23</f>
        <v>67</v>
      </c>
      <c r="D11" s="15" t="str">
        <f>'AddAlt 3'!D23</f>
        <v>SY</v>
      </c>
      <c r="E11" s="21">
        <v>200</v>
      </c>
      <c r="F11" s="21">
        <f t="shared" ref="F11:F18" si="3">QTY*E11</f>
        <v>13400</v>
      </c>
      <c r="G11" s="21">
        <v>280</v>
      </c>
      <c r="H11" s="21">
        <f t="shared" ref="H11:H18" si="4">QTY*G11</f>
        <v>18760</v>
      </c>
      <c r="I11" s="21">
        <v>50</v>
      </c>
      <c r="J11" s="21">
        <f t="shared" ref="J11:J18" si="5">QTY*I11</f>
        <v>3350</v>
      </c>
    </row>
    <row r="12" spans="1:10" ht="33" customHeight="1" x14ac:dyDescent="0.25">
      <c r="A12" s="6" t="s">
        <v>29</v>
      </c>
      <c r="B12" s="96" t="str">
        <f>'AddAlt 3'!B24</f>
        <v>Concrete
(Item P-610)</v>
      </c>
      <c r="C12" s="94">
        <f>'AddAlt 3'!C24</f>
        <v>67</v>
      </c>
      <c r="D12" s="15" t="str">
        <f>'AddAlt 3'!D24</f>
        <v>SY</v>
      </c>
      <c r="E12" s="21">
        <v>1750</v>
      </c>
      <c r="F12" s="21">
        <f t="shared" si="3"/>
        <v>117250</v>
      </c>
      <c r="G12" s="21">
        <v>350</v>
      </c>
      <c r="H12" s="21">
        <f t="shared" si="4"/>
        <v>23450</v>
      </c>
      <c r="I12" s="21">
        <v>67</v>
      </c>
      <c r="J12" s="21">
        <f t="shared" si="5"/>
        <v>4489</v>
      </c>
    </row>
    <row r="13" spans="1:10" ht="33" customHeight="1" x14ac:dyDescent="0.25">
      <c r="A13" s="6" t="s">
        <v>31</v>
      </c>
      <c r="B13" s="96" t="str">
        <f>'AddAlt 3'!B25</f>
        <v>Surface Prep - Existing Pavement    
(Item P-620)</v>
      </c>
      <c r="C13" s="94">
        <f>'AddAlt 3'!C25</f>
        <v>341</v>
      </c>
      <c r="D13" s="15" t="str">
        <f>'AddAlt 3'!D25</f>
        <v>SF</v>
      </c>
      <c r="E13" s="21">
        <v>0.89</v>
      </c>
      <c r="F13" s="21">
        <f t="shared" si="3"/>
        <v>303.49</v>
      </c>
      <c r="G13" s="21">
        <v>1</v>
      </c>
      <c r="H13" s="21">
        <f t="shared" si="4"/>
        <v>341</v>
      </c>
      <c r="I13" s="21">
        <v>5</v>
      </c>
      <c r="J13" s="21">
        <f t="shared" si="5"/>
        <v>1705</v>
      </c>
    </row>
    <row r="14" spans="1:10" ht="33" customHeight="1" x14ac:dyDescent="0.25">
      <c r="A14" s="6" t="s">
        <v>33</v>
      </c>
      <c r="B14" s="96" t="str">
        <f>'AddAlt 3'!B26</f>
        <v>Surface Prep - Marking Removal   
(Item P-620)</v>
      </c>
      <c r="C14" s="94">
        <f>'AddAlt 3'!C26</f>
        <v>67</v>
      </c>
      <c r="D14" s="15" t="str">
        <f>'AddAlt 3'!D26</f>
        <v>SF</v>
      </c>
      <c r="E14" s="21">
        <v>6.3</v>
      </c>
      <c r="F14" s="21">
        <f t="shared" si="3"/>
        <v>422.09999999999997</v>
      </c>
      <c r="G14" s="21">
        <v>16</v>
      </c>
      <c r="H14" s="21">
        <f t="shared" si="4"/>
        <v>1072</v>
      </c>
      <c r="I14" s="21">
        <v>12</v>
      </c>
      <c r="J14" s="21">
        <f t="shared" si="5"/>
        <v>804</v>
      </c>
    </row>
    <row r="15" spans="1:10" ht="33" customHeight="1" x14ac:dyDescent="0.25">
      <c r="A15" s="6" t="s">
        <v>35</v>
      </c>
      <c r="B15" s="96" t="str">
        <f>'AddAlt 3'!B27</f>
        <v>Markings   
(Item P-620)</v>
      </c>
      <c r="C15" s="94">
        <f>'AddAlt 3'!C27</f>
        <v>341</v>
      </c>
      <c r="D15" s="15" t="str">
        <f>'AddAlt 3'!D27</f>
        <v>SF</v>
      </c>
      <c r="E15" s="21">
        <v>3.9</v>
      </c>
      <c r="F15" s="21">
        <f t="shared" si="3"/>
        <v>1329.8999999999999</v>
      </c>
      <c r="G15" s="21">
        <v>5</v>
      </c>
      <c r="H15" s="21">
        <f t="shared" si="4"/>
        <v>1705</v>
      </c>
      <c r="I15" s="21">
        <v>12.5</v>
      </c>
      <c r="J15" s="21">
        <f t="shared" si="5"/>
        <v>4262.5</v>
      </c>
    </row>
    <row r="16" spans="1:10" ht="33" customHeight="1" x14ac:dyDescent="0.25">
      <c r="A16" s="6" t="s">
        <v>37</v>
      </c>
      <c r="B16" s="96" t="str">
        <f>'AddAlt 3'!B28</f>
        <v>Reflective Media
(Item P-620)</v>
      </c>
      <c r="C16" s="94">
        <f>'AddAlt 3'!C28</f>
        <v>23</v>
      </c>
      <c r="D16" s="15" t="str">
        <f>'AddAlt 3'!D28</f>
        <v>LB</v>
      </c>
      <c r="E16" s="21">
        <v>2.23</v>
      </c>
      <c r="F16" s="21">
        <f t="shared" si="3"/>
        <v>51.29</v>
      </c>
      <c r="G16" s="21">
        <v>5</v>
      </c>
      <c r="H16" s="21">
        <f t="shared" si="4"/>
        <v>115</v>
      </c>
      <c r="I16" s="21">
        <v>10</v>
      </c>
      <c r="J16" s="21">
        <f t="shared" si="5"/>
        <v>230</v>
      </c>
    </row>
    <row r="17" spans="1:10" ht="33" customHeight="1" x14ac:dyDescent="0.25">
      <c r="A17" s="6" t="s">
        <v>39</v>
      </c>
      <c r="B17" s="96" t="str">
        <f>'AddAlt 3'!B29</f>
        <v>Cable Retrievers      
(Section 111100)</v>
      </c>
      <c r="C17" s="94">
        <f>'AddAlt 3'!C29</f>
        <v>8</v>
      </c>
      <c r="D17" s="15" t="str">
        <f>'AddAlt 3'!D29</f>
        <v>Each</v>
      </c>
      <c r="E17" s="21">
        <v>5133.93</v>
      </c>
      <c r="F17" s="21">
        <f t="shared" si="3"/>
        <v>41071.440000000002</v>
      </c>
      <c r="G17" s="21">
        <v>7500</v>
      </c>
      <c r="H17" s="21">
        <f t="shared" si="4"/>
        <v>60000</v>
      </c>
      <c r="I17" s="21">
        <v>6462</v>
      </c>
      <c r="J17" s="21">
        <f t="shared" si="5"/>
        <v>51696</v>
      </c>
    </row>
    <row r="18" spans="1:10" ht="33" customHeight="1" x14ac:dyDescent="0.25">
      <c r="A18" s="6" t="s">
        <v>41</v>
      </c>
      <c r="B18" s="96" t="str">
        <f>'AddAlt 3'!B30</f>
        <v>Precast Concrete Wheel Stop    
(Section 347115)</v>
      </c>
      <c r="C18" s="94">
        <f>'AddAlt 3'!C30</f>
        <v>8</v>
      </c>
      <c r="D18" s="15" t="str">
        <f>'AddAlt 3'!D30</f>
        <v>Each</v>
      </c>
      <c r="E18" s="21">
        <v>267.07</v>
      </c>
      <c r="F18" s="21">
        <f t="shared" si="3"/>
        <v>2136.56</v>
      </c>
      <c r="G18" s="21">
        <v>200</v>
      </c>
      <c r="H18" s="21">
        <f t="shared" si="4"/>
        <v>1600</v>
      </c>
      <c r="I18" s="21">
        <v>400</v>
      </c>
      <c r="J18" s="21">
        <f t="shared" si="5"/>
        <v>3200</v>
      </c>
    </row>
    <row r="19" spans="1:10" ht="33" customHeight="1" x14ac:dyDescent="0.25">
      <c r="A19" s="6" t="s">
        <v>43</v>
      </c>
      <c r="B19" s="96" t="str">
        <f>'AddAlt 3'!B31</f>
        <v>Guard Rail        
(Section 347115)</v>
      </c>
      <c r="C19" s="94">
        <f>'AddAlt 3'!C31</f>
        <v>98</v>
      </c>
      <c r="D19" s="15" t="str">
        <f>'AddAlt 3'!D31</f>
        <v>LF</v>
      </c>
      <c r="E19" s="21">
        <v>688.7</v>
      </c>
      <c r="F19" s="21">
        <f t="shared" ref="F19:F27" si="6">QTY*E19</f>
        <v>67492.600000000006</v>
      </c>
      <c r="G19" s="21">
        <v>185</v>
      </c>
      <c r="H19" s="21">
        <f t="shared" ref="H19:H27" si="7">QTY*G19</f>
        <v>18130</v>
      </c>
      <c r="I19" s="21">
        <v>625</v>
      </c>
      <c r="J19" s="21">
        <f t="shared" ref="J19:J27" si="8">QTY*I19</f>
        <v>61250</v>
      </c>
    </row>
    <row r="20" spans="1:10" ht="33" customHeight="1" x14ac:dyDescent="0.25">
      <c r="A20" s="6" t="s">
        <v>45</v>
      </c>
      <c r="B20" s="96" t="str">
        <f>'AddAlt 3'!B32</f>
        <v>Electrical Feeds to Enclosed Circuit Breakers (2.5" Conduit)    
(Section 260500)</v>
      </c>
      <c r="C20" s="94">
        <f>'AddAlt 3'!C32</f>
        <v>80</v>
      </c>
      <c r="D20" s="15" t="str">
        <f>'AddAlt 3'!D32</f>
        <v>LF</v>
      </c>
      <c r="E20" s="21">
        <v>56.43</v>
      </c>
      <c r="F20" s="21">
        <f t="shared" si="6"/>
        <v>4514.3999999999996</v>
      </c>
      <c r="G20" s="21">
        <v>60</v>
      </c>
      <c r="H20" s="21">
        <f t="shared" si="7"/>
        <v>4800</v>
      </c>
      <c r="I20" s="21">
        <v>100</v>
      </c>
      <c r="J20" s="21">
        <f t="shared" si="8"/>
        <v>8000</v>
      </c>
    </row>
    <row r="21" spans="1:10" ht="33" customHeight="1" x14ac:dyDescent="0.25">
      <c r="A21" s="6" t="s">
        <v>47</v>
      </c>
      <c r="B21" s="96" t="str">
        <f>'AddAlt 3'!B33</f>
        <v>Electrical Feeds to Enclosed Circuit Breakers (3/4" Conduit)  
(Section 260500)</v>
      </c>
      <c r="C21" s="94">
        <f>'AddAlt 3'!C33</f>
        <v>80</v>
      </c>
      <c r="D21" s="15" t="str">
        <f>'AddAlt 3'!D33</f>
        <v>LF</v>
      </c>
      <c r="E21" s="21">
        <v>19.27</v>
      </c>
      <c r="F21" s="21">
        <f t="shared" si="6"/>
        <v>1541.6</v>
      </c>
      <c r="G21" s="21">
        <v>20</v>
      </c>
      <c r="H21" s="21">
        <f t="shared" si="7"/>
        <v>1600</v>
      </c>
      <c r="I21" s="21">
        <v>100</v>
      </c>
      <c r="J21" s="21">
        <f t="shared" si="8"/>
        <v>8000</v>
      </c>
    </row>
    <row r="22" spans="1:10" ht="33" customHeight="1" x14ac:dyDescent="0.25">
      <c r="A22" s="6" t="s">
        <v>49</v>
      </c>
      <c r="B22" s="96" t="str">
        <f>'AddAlt 3'!B34</f>
        <v>Electrical Equipment Rack - Panel Connected                
(Section 260500)</v>
      </c>
      <c r="C22" s="94">
        <f>'AddAlt 3'!C34</f>
        <v>1</v>
      </c>
      <c r="D22" s="15" t="str">
        <f>'AddAlt 3'!D34</f>
        <v>Each</v>
      </c>
      <c r="E22" s="21">
        <v>10352.32</v>
      </c>
      <c r="F22" s="21">
        <f t="shared" si="6"/>
        <v>10352.32</v>
      </c>
      <c r="G22" s="21">
        <v>15000</v>
      </c>
      <c r="H22" s="21">
        <f t="shared" si="7"/>
        <v>15000</v>
      </c>
      <c r="I22" s="21">
        <v>30519</v>
      </c>
      <c r="J22" s="21">
        <f t="shared" si="8"/>
        <v>30519</v>
      </c>
    </row>
    <row r="23" spans="1:10" ht="33" customHeight="1" x14ac:dyDescent="0.25">
      <c r="A23" s="6" t="s">
        <v>51</v>
      </c>
      <c r="B23" s="96" t="str">
        <f>'AddAlt 3'!B35</f>
        <v>Electrical Charging Units (Primary Units)
(Section 263343)</v>
      </c>
      <c r="C23" s="94">
        <f>'AddAlt 3'!C35</f>
        <v>1</v>
      </c>
      <c r="D23" s="15" t="str">
        <f>'AddAlt 3'!D35</f>
        <v>Each</v>
      </c>
      <c r="E23" s="21">
        <v>88139.47</v>
      </c>
      <c r="F23" s="21">
        <f t="shared" si="6"/>
        <v>88139.47</v>
      </c>
      <c r="G23" s="21">
        <v>85000</v>
      </c>
      <c r="H23" s="21">
        <f t="shared" si="7"/>
        <v>85000</v>
      </c>
      <c r="I23" s="21">
        <v>157280</v>
      </c>
      <c r="J23" s="21">
        <f t="shared" si="8"/>
        <v>157280</v>
      </c>
    </row>
    <row r="24" spans="1:10" ht="33" customHeight="1" x14ac:dyDescent="0.25">
      <c r="A24" s="6" t="s">
        <v>53</v>
      </c>
      <c r="B24" s="96" t="str">
        <f>'AddAlt 3'!B36</f>
        <v>Electrical Charging Units (Secondary Units) (Section 263343)</v>
      </c>
      <c r="C24" s="94">
        <f>'AddAlt 3'!C36</f>
        <v>3</v>
      </c>
      <c r="D24" s="15" t="str">
        <f>'AddAlt 3'!D36</f>
        <v>Each</v>
      </c>
      <c r="E24" s="21">
        <v>40569.379999999997</v>
      </c>
      <c r="F24" s="21">
        <f t="shared" si="6"/>
        <v>121708.13999999998</v>
      </c>
      <c r="G24" s="21">
        <v>40000</v>
      </c>
      <c r="H24" s="21">
        <f t="shared" si="7"/>
        <v>120000</v>
      </c>
      <c r="I24" s="21">
        <v>157280</v>
      </c>
      <c r="J24" s="21">
        <f t="shared" si="8"/>
        <v>471840</v>
      </c>
    </row>
    <row r="25" spans="1:10" ht="33" customHeight="1" x14ac:dyDescent="0.25">
      <c r="A25" s="6" t="s">
        <v>55</v>
      </c>
      <c r="B25" s="96" t="str">
        <f>'AddAlt 3'!B37</f>
        <v>Network Termination Enclosure
(Section 271000)</v>
      </c>
      <c r="C25" s="94">
        <f>'AddAlt 3'!C37</f>
        <v>1</v>
      </c>
      <c r="D25" s="15" t="str">
        <f>'AddAlt 3'!D37</f>
        <v>Each</v>
      </c>
      <c r="E25" s="21">
        <v>3314.26</v>
      </c>
      <c r="F25" s="21">
        <f t="shared" si="6"/>
        <v>3314.26</v>
      </c>
      <c r="G25" s="21">
        <v>2000</v>
      </c>
      <c r="H25" s="21">
        <f t="shared" si="7"/>
        <v>2000</v>
      </c>
      <c r="I25" s="21">
        <v>22430</v>
      </c>
      <c r="J25" s="21">
        <f t="shared" si="8"/>
        <v>22430</v>
      </c>
    </row>
    <row r="26" spans="1:10" ht="33" customHeight="1" x14ac:dyDescent="0.25">
      <c r="A26" s="6" t="s">
        <v>57</v>
      </c>
      <c r="B26" s="96" t="str">
        <f>'AddAlt 3'!B38</f>
        <v>Data Equipment Rack &amp; Data Connections 1" Conduit          
(Section 271000)</v>
      </c>
      <c r="C26" s="94">
        <f>'AddAlt 3'!C38</f>
        <v>100</v>
      </c>
      <c r="D26" s="15" t="str">
        <f>'AddAlt 3'!D38</f>
        <v>LF</v>
      </c>
      <c r="E26" s="21">
        <v>14.44</v>
      </c>
      <c r="F26" s="21">
        <f t="shared" si="6"/>
        <v>1444</v>
      </c>
      <c r="G26" s="21">
        <v>50</v>
      </c>
      <c r="H26" s="21">
        <f t="shared" si="7"/>
        <v>5000</v>
      </c>
      <c r="I26" s="21">
        <v>100</v>
      </c>
      <c r="J26" s="21">
        <f t="shared" si="8"/>
        <v>10000</v>
      </c>
    </row>
    <row r="27" spans="1:10" ht="33" customHeight="1" x14ac:dyDescent="0.25">
      <c r="A27" s="6" t="s">
        <v>59</v>
      </c>
      <c r="B27" s="96" t="str">
        <f>'AddAlt 3'!B39</f>
        <v>Data Drop to Each Enclosure and Chargers
(Section 271000)</v>
      </c>
      <c r="C27" s="94">
        <f>'AddAlt 3'!C39</f>
        <v>4</v>
      </c>
      <c r="D27" s="15" t="str">
        <f>'AddAlt 3'!D39</f>
        <v>Each</v>
      </c>
      <c r="E27" s="21">
        <v>3049.65</v>
      </c>
      <c r="F27" s="21">
        <f t="shared" si="6"/>
        <v>12198.6</v>
      </c>
      <c r="G27" s="21">
        <v>5000</v>
      </c>
      <c r="H27" s="21">
        <f t="shared" si="7"/>
        <v>20000</v>
      </c>
      <c r="I27" s="21">
        <v>6738</v>
      </c>
      <c r="J27" s="21">
        <f t="shared" si="8"/>
        <v>26952</v>
      </c>
    </row>
    <row r="28" spans="1:10" ht="27.75" customHeight="1" x14ac:dyDescent="0.25">
      <c r="A28" s="7"/>
      <c r="B28" s="16" t="s">
        <v>93</v>
      </c>
      <c r="C28" s="31"/>
      <c r="D28" s="17"/>
      <c r="E28" s="22"/>
      <c r="F28" s="102">
        <f>SUM($F8:$F27)</f>
        <v>841079.71</v>
      </c>
      <c r="G28" s="22"/>
      <c r="H28" s="102">
        <f>SUM($H8:$H27)</f>
        <v>411573</v>
      </c>
      <c r="I28" s="22"/>
      <c r="J28" s="102">
        <f>SUM($J8:$J27)</f>
        <v>966358.25</v>
      </c>
    </row>
  </sheetData>
  <mergeCells count="9">
    <mergeCell ref="A6:D6"/>
    <mergeCell ref="I1:J5"/>
    <mergeCell ref="A2:D2"/>
    <mergeCell ref="A3:D3"/>
    <mergeCell ref="A4:D4"/>
    <mergeCell ref="A5:D5"/>
    <mergeCell ref="A1:D1"/>
    <mergeCell ref="E1:F5"/>
    <mergeCell ref="G1:H5"/>
  </mergeCells>
  <phoneticPr fontId="10" type="noConversion"/>
  <dataValidations count="1">
    <dataValidation allowBlank="1" showErrorMessage="1" promptTitle="Item Description Info" prompt="Enter Item Description Here." sqref="B8:B27" xr:uid="{76F1566A-85F8-4439-8A1E-C57D0A8231E8}"/>
  </dataValidations>
  <printOptions horizontalCentered="1"/>
  <pageMargins left="0.5" right="0.5" top="0.5" bottom="0.5" header="0.5" footer="0.5"/>
  <pageSetup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0ED4A-7251-48B3-8CF3-6F978CB2FA0C}">
  <sheetPr>
    <tabColor theme="4" tint="-0.499984740745262"/>
  </sheetPr>
  <dimension ref="A1:J30"/>
  <sheetViews>
    <sheetView topLeftCell="A17" zoomScaleNormal="100" zoomScaleSheetLayoutView="100" workbookViewId="0">
      <selection activeCell="G30" sqref="G30"/>
    </sheetView>
  </sheetViews>
  <sheetFormatPr defaultRowHeight="15" x14ac:dyDescent="0.25"/>
  <cols>
    <col min="1" max="1" width="6.7109375" customWidth="1"/>
    <col min="2" max="2" width="28.85546875" style="18" customWidth="1"/>
    <col min="3" max="3" width="11.28515625" style="32" customWidth="1"/>
    <col min="4" max="4" width="6.7109375" style="18" customWidth="1"/>
    <col min="5" max="5" width="11" style="26" customWidth="1"/>
    <col min="6" max="6" width="13.42578125" style="26" customWidth="1"/>
    <col min="7" max="7" width="11" style="26" customWidth="1"/>
    <col min="8" max="8" width="13.42578125" style="26" customWidth="1"/>
    <col min="9" max="9" width="11" customWidth="1"/>
    <col min="10" max="10" width="13.42578125" customWidth="1"/>
  </cols>
  <sheetData>
    <row r="1" spans="1:10" ht="30" customHeight="1" x14ac:dyDescent="0.25">
      <c r="A1" s="85" t="str">
        <f>ProjectLocation</f>
        <v>PORTLAND INTERNATIONAL AIRPORT</v>
      </c>
      <c r="B1" s="86"/>
      <c r="C1" s="86"/>
      <c r="D1" s="87"/>
      <c r="E1" s="78" t="s">
        <v>113</v>
      </c>
      <c r="F1" s="79"/>
      <c r="G1" s="78" t="s">
        <v>114</v>
      </c>
      <c r="H1" s="79"/>
      <c r="I1" s="78" t="s">
        <v>95</v>
      </c>
      <c r="J1" s="79"/>
    </row>
    <row r="2" spans="1:10" x14ac:dyDescent="0.25">
      <c r="A2" s="88" t="str">
        <f>ProjectTitle</f>
        <v>EGSE INFRASTRUCTURE INSTALLATION - PHASE 2</v>
      </c>
      <c r="B2" s="89"/>
      <c r="C2" s="89"/>
      <c r="D2" s="90"/>
      <c r="E2" s="80"/>
      <c r="F2" s="81"/>
      <c r="G2" s="80"/>
      <c r="H2" s="81"/>
      <c r="I2" s="80"/>
      <c r="J2" s="81"/>
    </row>
    <row r="3" spans="1:10" x14ac:dyDescent="0.25">
      <c r="A3" s="88">
        <f>ProjectTitle2</f>
        <v>0</v>
      </c>
      <c r="B3" s="89"/>
      <c r="C3" s="89"/>
      <c r="D3" s="90"/>
      <c r="E3" s="80"/>
      <c r="F3" s="81"/>
      <c r="G3" s="80"/>
      <c r="H3" s="81"/>
      <c r="I3" s="80"/>
      <c r="J3" s="81"/>
    </row>
    <row r="4" spans="1:10" x14ac:dyDescent="0.25">
      <c r="A4" s="91" t="s">
        <v>104</v>
      </c>
      <c r="B4" s="92"/>
      <c r="C4" s="92"/>
      <c r="D4" s="93"/>
      <c r="E4" s="80"/>
      <c r="F4" s="81"/>
      <c r="G4" s="80"/>
      <c r="H4" s="81"/>
      <c r="I4" s="80"/>
      <c r="J4" s="81"/>
    </row>
    <row r="5" spans="1:10" x14ac:dyDescent="0.25">
      <c r="A5" s="91" t="s">
        <v>105</v>
      </c>
      <c r="B5" s="92"/>
      <c r="C5" s="92"/>
      <c r="D5" s="93"/>
      <c r="E5" s="80"/>
      <c r="F5" s="81"/>
      <c r="G5" s="80"/>
      <c r="H5" s="81"/>
      <c r="I5" s="80"/>
      <c r="J5" s="81"/>
    </row>
    <row r="6" spans="1:10" x14ac:dyDescent="0.25">
      <c r="A6" s="82">
        <f ca="1">TODAY()</f>
        <v>45377</v>
      </c>
      <c r="B6" s="83"/>
      <c r="C6" s="83"/>
      <c r="D6" s="84"/>
      <c r="E6" s="33"/>
      <c r="F6" s="34"/>
      <c r="G6" s="33"/>
      <c r="H6" s="34"/>
      <c r="I6" s="33"/>
      <c r="J6" s="34"/>
    </row>
    <row r="7" spans="1:10" ht="32.25" customHeight="1" x14ac:dyDescent="0.25">
      <c r="A7" s="97" t="s">
        <v>15</v>
      </c>
      <c r="B7" s="95" t="s">
        <v>16</v>
      </c>
      <c r="C7" s="30" t="s">
        <v>17</v>
      </c>
      <c r="D7" s="14" t="s">
        <v>18</v>
      </c>
      <c r="E7" s="35" t="s">
        <v>19</v>
      </c>
      <c r="F7" s="35" t="s">
        <v>20</v>
      </c>
      <c r="G7" s="35" t="s">
        <v>19</v>
      </c>
      <c r="H7" s="35" t="s">
        <v>20</v>
      </c>
      <c r="I7" s="35" t="s">
        <v>19</v>
      </c>
      <c r="J7" s="35" t="s">
        <v>20</v>
      </c>
    </row>
    <row r="8" spans="1:10" ht="32.25" customHeight="1" x14ac:dyDescent="0.25">
      <c r="A8" s="6" t="s">
        <v>21</v>
      </c>
      <c r="B8" s="96" t="str">
        <f>'AddAlt 4'!B20</f>
        <v>Sweeper                                                     (Section 012200)</v>
      </c>
      <c r="C8" s="94">
        <f>'AddAlt 4'!C20</f>
        <v>1</v>
      </c>
      <c r="D8" s="15" t="str">
        <f>'AddAlt 4'!D20</f>
        <v>LS</v>
      </c>
      <c r="E8" s="21">
        <v>25000</v>
      </c>
      <c r="F8" s="21">
        <f t="shared" ref="F8:F10" si="0">QTY*E8</f>
        <v>25000</v>
      </c>
      <c r="G8" s="21">
        <v>3000</v>
      </c>
      <c r="H8" s="21">
        <f t="shared" ref="H8:H10" si="1">QTY*G8</f>
        <v>3000</v>
      </c>
      <c r="I8" s="21">
        <v>7500</v>
      </c>
      <c r="J8" s="21">
        <f t="shared" ref="J8:J10" si="2">QTY*I8</f>
        <v>7500</v>
      </c>
    </row>
    <row r="9" spans="1:10" ht="32.25" customHeight="1" x14ac:dyDescent="0.25">
      <c r="A9" s="6" t="s">
        <v>23</v>
      </c>
      <c r="B9" s="96" t="str">
        <f>'AddAlt 4'!B21</f>
        <v>Escort
(Section 012200)</v>
      </c>
      <c r="C9" s="42">
        <f>'AddAlt 4'!C21</f>
        <v>1</v>
      </c>
      <c r="D9" s="15" t="str">
        <f>'AddAlt 4'!D21</f>
        <v>LS</v>
      </c>
      <c r="E9" s="21">
        <v>25000</v>
      </c>
      <c r="F9" s="21">
        <f t="shared" si="0"/>
        <v>25000</v>
      </c>
      <c r="G9" s="21">
        <v>10000</v>
      </c>
      <c r="H9" s="21">
        <f t="shared" si="1"/>
        <v>10000</v>
      </c>
      <c r="I9" s="21">
        <v>5000</v>
      </c>
      <c r="J9" s="21">
        <f t="shared" si="2"/>
        <v>5000</v>
      </c>
    </row>
    <row r="10" spans="1:10" ht="33" customHeight="1" x14ac:dyDescent="0.25">
      <c r="A10" s="6" t="s">
        <v>25</v>
      </c>
      <c r="B10" s="96" t="str">
        <f>'AddAlt 4'!B22</f>
        <v>Mobilization
(Item C-105)</v>
      </c>
      <c r="C10" s="42">
        <f>'AddAlt 4'!C22</f>
        <v>1</v>
      </c>
      <c r="D10" s="15" t="str">
        <f>'AddAlt 4'!D22</f>
        <v>LS</v>
      </c>
      <c r="E10" s="21">
        <v>86276.4</v>
      </c>
      <c r="F10" s="21">
        <f t="shared" si="0"/>
        <v>86276.4</v>
      </c>
      <c r="G10" s="21">
        <v>20000</v>
      </c>
      <c r="H10" s="21">
        <f t="shared" si="1"/>
        <v>20000</v>
      </c>
      <c r="I10" s="21">
        <f>0.1*(J8+J9+SUM(J11:J29))</f>
        <v>70937.05</v>
      </c>
      <c r="J10" s="21">
        <f t="shared" si="2"/>
        <v>70937.05</v>
      </c>
    </row>
    <row r="11" spans="1:10" ht="33" customHeight="1" x14ac:dyDescent="0.25">
      <c r="A11" s="6" t="s">
        <v>27</v>
      </c>
      <c r="B11" s="96" t="str">
        <f>'AddAlt 4'!B23</f>
        <v>Asphalt Pavement Removal
(Item P-101)</v>
      </c>
      <c r="C11" s="42">
        <f>'AddAlt 4'!C23</f>
        <v>21</v>
      </c>
      <c r="D11" s="15" t="str">
        <f>'AddAlt 4'!D23</f>
        <v>SY</v>
      </c>
      <c r="E11" s="21">
        <v>200</v>
      </c>
      <c r="F11" s="21">
        <f t="shared" ref="F11:F18" si="3">QTY*E11</f>
        <v>4200</v>
      </c>
      <c r="G11" s="21">
        <v>280</v>
      </c>
      <c r="H11" s="21">
        <f t="shared" ref="H11:H18" si="4">QTY*G11</f>
        <v>5880</v>
      </c>
      <c r="I11" s="21">
        <v>50</v>
      </c>
      <c r="J11" s="21">
        <f t="shared" ref="J11:J18" si="5">QTY*I11</f>
        <v>1050</v>
      </c>
    </row>
    <row r="12" spans="1:10" ht="33" customHeight="1" x14ac:dyDescent="0.25">
      <c r="A12" s="6" t="s">
        <v>29</v>
      </c>
      <c r="B12" s="96" t="str">
        <f>'AddAlt 4'!B24</f>
        <v>Concrete
(Item P-610)</v>
      </c>
      <c r="C12" s="42">
        <f>'AddAlt 4'!C24</f>
        <v>21</v>
      </c>
      <c r="D12" s="15" t="str">
        <f>'AddAlt 4'!D24</f>
        <v>SY</v>
      </c>
      <c r="E12" s="21">
        <v>1750</v>
      </c>
      <c r="F12" s="21">
        <f t="shared" si="3"/>
        <v>36750</v>
      </c>
      <c r="G12" s="21">
        <v>350</v>
      </c>
      <c r="H12" s="21">
        <f t="shared" si="4"/>
        <v>7350</v>
      </c>
      <c r="I12" s="21">
        <v>67</v>
      </c>
      <c r="J12" s="21">
        <f t="shared" si="5"/>
        <v>1407</v>
      </c>
    </row>
    <row r="13" spans="1:10" ht="33" customHeight="1" x14ac:dyDescent="0.25">
      <c r="A13" s="6" t="s">
        <v>31</v>
      </c>
      <c r="B13" s="96" t="str">
        <f>'AddAlt 4'!B25</f>
        <v>Surface Prep - Existing Pavement    
(Item P-620)</v>
      </c>
      <c r="C13" s="42">
        <f>'AddAlt 4'!C25</f>
        <v>259</v>
      </c>
      <c r="D13" s="15" t="str">
        <f>'AddAlt 4'!D25</f>
        <v>SF</v>
      </c>
      <c r="E13" s="21">
        <v>0.89</v>
      </c>
      <c r="F13" s="21">
        <f t="shared" si="3"/>
        <v>230.51</v>
      </c>
      <c r="G13" s="21">
        <v>1</v>
      </c>
      <c r="H13" s="21">
        <f t="shared" si="4"/>
        <v>259</v>
      </c>
      <c r="I13" s="21">
        <v>5</v>
      </c>
      <c r="J13" s="21">
        <f t="shared" si="5"/>
        <v>1295</v>
      </c>
    </row>
    <row r="14" spans="1:10" ht="33" customHeight="1" x14ac:dyDescent="0.25">
      <c r="A14" s="6" t="s">
        <v>33</v>
      </c>
      <c r="B14" s="96" t="str">
        <f>'AddAlt 4'!B26</f>
        <v>Markings   
(Item P-620)</v>
      </c>
      <c r="C14" s="42">
        <f>'AddAlt 4'!C26</f>
        <v>259</v>
      </c>
      <c r="D14" s="15" t="str">
        <f>'AddAlt 4'!D26</f>
        <v>SF</v>
      </c>
      <c r="E14" s="21">
        <v>3.9</v>
      </c>
      <c r="F14" s="21">
        <f t="shared" si="3"/>
        <v>1010.1</v>
      </c>
      <c r="G14" s="21">
        <v>5</v>
      </c>
      <c r="H14" s="21">
        <f t="shared" si="4"/>
        <v>1295</v>
      </c>
      <c r="I14" s="21">
        <v>12.5</v>
      </c>
      <c r="J14" s="21">
        <f t="shared" si="5"/>
        <v>3237.5</v>
      </c>
    </row>
    <row r="15" spans="1:10" ht="33" customHeight="1" x14ac:dyDescent="0.25">
      <c r="A15" s="6" t="s">
        <v>35</v>
      </c>
      <c r="B15" s="96" t="str">
        <f>'AddAlt 4'!B27</f>
        <v>Reflective Media
(Item P-620)</v>
      </c>
      <c r="C15" s="42">
        <f>'AddAlt 4'!C27</f>
        <v>17</v>
      </c>
      <c r="D15" s="15" t="str">
        <f>'AddAlt 4'!D27</f>
        <v>LB</v>
      </c>
      <c r="E15" s="21">
        <v>2.23</v>
      </c>
      <c r="F15" s="21">
        <f t="shared" si="3"/>
        <v>37.909999999999997</v>
      </c>
      <c r="G15" s="21">
        <v>5</v>
      </c>
      <c r="H15" s="21">
        <f t="shared" si="4"/>
        <v>85</v>
      </c>
      <c r="I15" s="21">
        <v>10</v>
      </c>
      <c r="J15" s="21">
        <f t="shared" si="5"/>
        <v>170</v>
      </c>
    </row>
    <row r="16" spans="1:10" ht="33" customHeight="1" x14ac:dyDescent="0.25">
      <c r="A16" s="6" t="s">
        <v>37</v>
      </c>
      <c r="B16" s="96" t="str">
        <f>'AddAlt 4'!B28</f>
        <v>Cable Retrievers      
(Section 111100)</v>
      </c>
      <c r="C16" s="42">
        <f>'AddAlt 4'!C28</f>
        <v>6</v>
      </c>
      <c r="D16" s="15" t="str">
        <f>'AddAlt 4'!D28</f>
        <v>Each</v>
      </c>
      <c r="E16" s="21">
        <v>5133.93</v>
      </c>
      <c r="F16" s="21">
        <f t="shared" si="3"/>
        <v>30803.58</v>
      </c>
      <c r="G16" s="21">
        <v>7500</v>
      </c>
      <c r="H16" s="21">
        <f t="shared" si="4"/>
        <v>45000</v>
      </c>
      <c r="I16" s="21">
        <v>6462</v>
      </c>
      <c r="J16" s="21">
        <f t="shared" si="5"/>
        <v>38772</v>
      </c>
    </row>
    <row r="17" spans="1:10" ht="33" customHeight="1" x14ac:dyDescent="0.25">
      <c r="A17" s="6" t="s">
        <v>39</v>
      </c>
      <c r="B17" s="96" t="str">
        <f>'AddAlt 4'!B29</f>
        <v>Precast Concrete Wheel Stop    
(Section 347115)</v>
      </c>
      <c r="C17" s="42">
        <f>'AddAlt 4'!C29</f>
        <v>5</v>
      </c>
      <c r="D17" s="15" t="str">
        <f>'AddAlt 4'!D29</f>
        <v>Each</v>
      </c>
      <c r="E17" s="21">
        <v>267.07</v>
      </c>
      <c r="F17" s="21">
        <f t="shared" si="3"/>
        <v>1335.35</v>
      </c>
      <c r="G17" s="21">
        <v>200</v>
      </c>
      <c r="H17" s="21">
        <f t="shared" si="4"/>
        <v>1000</v>
      </c>
      <c r="I17" s="21">
        <v>400</v>
      </c>
      <c r="J17" s="21">
        <f t="shared" si="5"/>
        <v>2000</v>
      </c>
    </row>
    <row r="18" spans="1:10" ht="33" customHeight="1" x14ac:dyDescent="0.25">
      <c r="A18" s="6" t="s">
        <v>41</v>
      </c>
      <c r="B18" s="96" t="str">
        <f>'AddAlt 4'!B30</f>
        <v>Bollard - Bolt Down     
(Section 347115)</v>
      </c>
      <c r="C18" s="42">
        <f>'AddAlt 4'!C30</f>
        <v>2</v>
      </c>
      <c r="D18" s="15" t="str">
        <f>'AddAlt 4'!D30</f>
        <v>Each</v>
      </c>
      <c r="E18" s="21">
        <v>5856.49</v>
      </c>
      <c r="F18" s="21">
        <f t="shared" si="3"/>
        <v>11712.98</v>
      </c>
      <c r="G18" s="21">
        <v>900</v>
      </c>
      <c r="H18" s="21">
        <f t="shared" si="4"/>
        <v>1800</v>
      </c>
      <c r="I18" s="21">
        <v>1700</v>
      </c>
      <c r="J18" s="21">
        <f t="shared" si="5"/>
        <v>3400</v>
      </c>
    </row>
    <row r="19" spans="1:10" ht="33" customHeight="1" x14ac:dyDescent="0.25">
      <c r="A19" s="6" t="s">
        <v>43</v>
      </c>
      <c r="B19" s="96" t="str">
        <f>'AddAlt 4'!B31</f>
        <v>Guard Rail        
(Section 347115)</v>
      </c>
      <c r="C19" s="42">
        <f>'AddAlt 4'!C31</f>
        <v>82</v>
      </c>
      <c r="D19" s="15" t="str">
        <f>'AddAlt 4'!D31</f>
        <v>LF</v>
      </c>
      <c r="E19" s="21">
        <v>688.7</v>
      </c>
      <c r="F19" s="21">
        <f t="shared" ref="F19:F29" si="6">QTY*E19</f>
        <v>56473.4</v>
      </c>
      <c r="G19" s="21">
        <v>185</v>
      </c>
      <c r="H19" s="21">
        <f t="shared" ref="H19:H29" si="7">QTY*G19</f>
        <v>15170</v>
      </c>
      <c r="I19" s="21">
        <v>625</v>
      </c>
      <c r="J19" s="21">
        <f t="shared" ref="J19:J29" si="8">QTY*I19</f>
        <v>51250</v>
      </c>
    </row>
    <row r="20" spans="1:10" ht="33" customHeight="1" x14ac:dyDescent="0.25">
      <c r="A20" s="6" t="s">
        <v>45</v>
      </c>
      <c r="B20" s="96" t="str">
        <f>'AddAlt 4'!B32</f>
        <v>Electrical Feeds to Enclosed Circuit Breakers (2.5" Conduit)    
(Section 260500)</v>
      </c>
      <c r="C20" s="42">
        <f>'AddAlt 4'!C32</f>
        <v>50</v>
      </c>
      <c r="D20" s="15" t="str">
        <f>'AddAlt 4'!D32</f>
        <v>LF</v>
      </c>
      <c r="E20" s="21">
        <v>56.43</v>
      </c>
      <c r="F20" s="21">
        <f t="shared" si="6"/>
        <v>2821.5</v>
      </c>
      <c r="G20" s="21">
        <v>60</v>
      </c>
      <c r="H20" s="21">
        <f t="shared" si="7"/>
        <v>3000</v>
      </c>
      <c r="I20" s="21">
        <v>100</v>
      </c>
      <c r="J20" s="21">
        <f t="shared" si="8"/>
        <v>5000</v>
      </c>
    </row>
    <row r="21" spans="1:10" ht="33" customHeight="1" x14ac:dyDescent="0.25">
      <c r="A21" s="6" t="s">
        <v>47</v>
      </c>
      <c r="B21" s="96" t="str">
        <f>'AddAlt 4'!B33</f>
        <v>Electrical Feeds to Enclosed Circuit Breakers (3/4" Conduit)  
(Section 260500)</v>
      </c>
      <c r="C21" s="42">
        <f>'AddAlt 4'!C33</f>
        <v>50</v>
      </c>
      <c r="D21" s="15" t="str">
        <f>'AddAlt 4'!D33</f>
        <v>LF</v>
      </c>
      <c r="E21" s="21">
        <v>19.27</v>
      </c>
      <c r="F21" s="21">
        <f t="shared" si="6"/>
        <v>963.5</v>
      </c>
      <c r="G21" s="21">
        <v>20</v>
      </c>
      <c r="H21" s="21">
        <f t="shared" si="7"/>
        <v>1000</v>
      </c>
      <c r="I21" s="21">
        <v>100</v>
      </c>
      <c r="J21" s="21">
        <f t="shared" si="8"/>
        <v>5000</v>
      </c>
    </row>
    <row r="22" spans="1:10" ht="33" customHeight="1" x14ac:dyDescent="0.25">
      <c r="A22" s="6" t="s">
        <v>49</v>
      </c>
      <c r="B22" s="96" t="str">
        <f>'AddAlt 4'!B34</f>
        <v>Electrical Feeds to Panels (Existing 3.5" Conduit)              
(Section 260500)</v>
      </c>
      <c r="C22" s="42">
        <f>'AddAlt 4'!C34</f>
        <v>70</v>
      </c>
      <c r="D22" s="15" t="str">
        <f>'AddAlt 4'!D34</f>
        <v>LF</v>
      </c>
      <c r="E22" s="21">
        <v>20</v>
      </c>
      <c r="F22" s="21">
        <f t="shared" si="6"/>
        <v>1400</v>
      </c>
      <c r="G22" s="21">
        <v>35</v>
      </c>
      <c r="H22" s="21">
        <f t="shared" si="7"/>
        <v>2450</v>
      </c>
      <c r="I22" s="21">
        <v>72</v>
      </c>
      <c r="J22" s="21">
        <f t="shared" si="8"/>
        <v>5040</v>
      </c>
    </row>
    <row r="23" spans="1:10" ht="33" customHeight="1" x14ac:dyDescent="0.25">
      <c r="A23" s="6" t="s">
        <v>51</v>
      </c>
      <c r="B23" s="96" t="str">
        <f>'AddAlt 4'!B35</f>
        <v>Electrical Equipment Rack - Panel Connected                
(Section 260500)</v>
      </c>
      <c r="C23" s="42">
        <f>'AddAlt 4'!C35</f>
        <v>1</v>
      </c>
      <c r="D23" s="15" t="str">
        <f>'AddAlt 4'!D35</f>
        <v>Each</v>
      </c>
      <c r="E23" s="21">
        <v>10352.32</v>
      </c>
      <c r="F23" s="21">
        <f t="shared" si="6"/>
        <v>10352.32</v>
      </c>
      <c r="G23" s="21">
        <v>15000</v>
      </c>
      <c r="H23" s="21">
        <f t="shared" si="7"/>
        <v>15000</v>
      </c>
      <c r="I23" s="21">
        <v>30519</v>
      </c>
      <c r="J23" s="21">
        <f t="shared" si="8"/>
        <v>30519</v>
      </c>
    </row>
    <row r="24" spans="1:10" ht="33" customHeight="1" x14ac:dyDescent="0.25">
      <c r="A24" s="6" t="s">
        <v>53</v>
      </c>
      <c r="B24" s="96" t="str">
        <f>'AddAlt 4'!B36</f>
        <v>New Electrical Panels, 800A    
(Section 260500)</v>
      </c>
      <c r="C24" s="42">
        <f>'AddAlt 4'!C36</f>
        <v>2</v>
      </c>
      <c r="D24" s="15" t="str">
        <f>'AddAlt 4'!D36</f>
        <v>Each</v>
      </c>
      <c r="E24" s="21">
        <v>20625</v>
      </c>
      <c r="F24" s="21">
        <f t="shared" si="6"/>
        <v>41250</v>
      </c>
      <c r="G24" s="21">
        <v>30000</v>
      </c>
      <c r="H24" s="21">
        <f t="shared" si="7"/>
        <v>60000</v>
      </c>
      <c r="I24" s="21">
        <v>12123</v>
      </c>
      <c r="J24" s="21">
        <f t="shared" si="8"/>
        <v>24246</v>
      </c>
    </row>
    <row r="25" spans="1:10" ht="33" customHeight="1" x14ac:dyDescent="0.25">
      <c r="A25" s="6" t="s">
        <v>55</v>
      </c>
      <c r="B25" s="96" t="str">
        <f>'AddAlt 4'!B37</f>
        <v>Electrical Charging Units (Primary Units)
(Section 263343)</v>
      </c>
      <c r="C25" s="42">
        <f>'AddAlt 4'!C37</f>
        <v>1</v>
      </c>
      <c r="D25" s="15" t="str">
        <f>'AddAlt 4'!D37</f>
        <v>Each</v>
      </c>
      <c r="E25" s="21">
        <v>88139.47</v>
      </c>
      <c r="F25" s="21">
        <f t="shared" si="6"/>
        <v>88139.47</v>
      </c>
      <c r="G25" s="21">
        <v>85000</v>
      </c>
      <c r="H25" s="21">
        <f t="shared" si="7"/>
        <v>85000</v>
      </c>
      <c r="I25" s="21">
        <v>157280</v>
      </c>
      <c r="J25" s="21">
        <f t="shared" si="8"/>
        <v>157280</v>
      </c>
    </row>
    <row r="26" spans="1:10" ht="33" customHeight="1" x14ac:dyDescent="0.25">
      <c r="A26" s="6" t="s">
        <v>57</v>
      </c>
      <c r="B26" s="96" t="str">
        <f>'AddAlt 4'!B38</f>
        <v>Electrical Charging Units (Secondary Units) (Section 263343)</v>
      </c>
      <c r="C26" s="42">
        <f>'AddAlt 4'!C38</f>
        <v>2</v>
      </c>
      <c r="D26" s="15" t="str">
        <f>'AddAlt 4'!D38</f>
        <v>Each</v>
      </c>
      <c r="E26" s="21">
        <v>40569.379999999997</v>
      </c>
      <c r="F26" s="21">
        <f t="shared" si="6"/>
        <v>81138.759999999995</v>
      </c>
      <c r="G26" s="21">
        <v>40000</v>
      </c>
      <c r="H26" s="21">
        <f t="shared" si="7"/>
        <v>80000</v>
      </c>
      <c r="I26" s="21">
        <v>157280</v>
      </c>
      <c r="J26" s="21">
        <f t="shared" si="8"/>
        <v>314560</v>
      </c>
    </row>
    <row r="27" spans="1:10" ht="33" customHeight="1" x14ac:dyDescent="0.25">
      <c r="A27" s="6" t="s">
        <v>59</v>
      </c>
      <c r="B27" s="96" t="str">
        <f>'AddAlt 4'!B39</f>
        <v>Network Termination Enclosure
(Section 271000)</v>
      </c>
      <c r="C27" s="42">
        <f>'AddAlt 4'!C39</f>
        <v>1</v>
      </c>
      <c r="D27" s="15" t="str">
        <f>'AddAlt 4'!D39</f>
        <v>Each</v>
      </c>
      <c r="E27" s="21">
        <v>3314.26</v>
      </c>
      <c r="F27" s="21">
        <f t="shared" si="6"/>
        <v>3314.26</v>
      </c>
      <c r="G27" s="21">
        <v>2000</v>
      </c>
      <c r="H27" s="21">
        <f t="shared" si="7"/>
        <v>2000</v>
      </c>
      <c r="I27" s="21">
        <v>22430</v>
      </c>
      <c r="J27" s="21">
        <f t="shared" si="8"/>
        <v>22430</v>
      </c>
    </row>
    <row r="28" spans="1:10" ht="33" customHeight="1" x14ac:dyDescent="0.25">
      <c r="A28" s="6" t="s">
        <v>61</v>
      </c>
      <c r="B28" s="96" t="str">
        <f>'AddAlt 4'!B40</f>
        <v>Data Equipment Rack &amp; Data Connections 1" Conduit          
(Section 271000)</v>
      </c>
      <c r="C28" s="42">
        <f>'AddAlt 4'!C40</f>
        <v>100</v>
      </c>
      <c r="D28" s="15" t="str">
        <f>'AddAlt 4'!D40</f>
        <v>LF</v>
      </c>
      <c r="E28" s="21">
        <v>14.44</v>
      </c>
      <c r="F28" s="21">
        <f t="shared" si="6"/>
        <v>1444</v>
      </c>
      <c r="G28" s="21">
        <v>50</v>
      </c>
      <c r="H28" s="21">
        <f t="shared" si="7"/>
        <v>5000</v>
      </c>
      <c r="I28" s="21">
        <v>100</v>
      </c>
      <c r="J28" s="21">
        <f t="shared" si="8"/>
        <v>10000</v>
      </c>
    </row>
    <row r="29" spans="1:10" ht="33" customHeight="1" x14ac:dyDescent="0.25">
      <c r="A29" s="6" t="s">
        <v>63</v>
      </c>
      <c r="B29" s="96" t="str">
        <f>'AddAlt 4'!B41</f>
        <v>Data Drop to Each Enclosure and Chargers
(Section 271000)</v>
      </c>
      <c r="C29" s="42">
        <f>'AddAlt 4'!C41</f>
        <v>3</v>
      </c>
      <c r="D29" s="15" t="str">
        <f>'AddAlt 4'!D41</f>
        <v>Each</v>
      </c>
      <c r="E29" s="21">
        <v>3049.65</v>
      </c>
      <c r="F29" s="21">
        <f t="shared" si="6"/>
        <v>9148.9500000000007</v>
      </c>
      <c r="G29" s="21">
        <v>6000</v>
      </c>
      <c r="H29" s="21">
        <f t="shared" si="7"/>
        <v>18000</v>
      </c>
      <c r="I29" s="21">
        <v>6738</v>
      </c>
      <c r="J29" s="21">
        <f t="shared" si="8"/>
        <v>20214</v>
      </c>
    </row>
    <row r="30" spans="1:10" ht="27.75" customHeight="1" x14ac:dyDescent="0.25">
      <c r="A30" s="7"/>
      <c r="B30" s="16" t="s">
        <v>94</v>
      </c>
      <c r="C30" s="31"/>
      <c r="D30" s="17"/>
      <c r="E30" s="22"/>
      <c r="F30" s="102">
        <f>SUM($F8:$F29)</f>
        <v>518802.99000000005</v>
      </c>
      <c r="G30" s="22"/>
      <c r="H30" s="102">
        <f>SUM($H8:$H29)</f>
        <v>382289</v>
      </c>
      <c r="I30" s="22"/>
      <c r="J30" s="102">
        <f>SUM($J8:$J29)</f>
        <v>780307.55</v>
      </c>
    </row>
  </sheetData>
  <mergeCells count="9">
    <mergeCell ref="A6:D6"/>
    <mergeCell ref="I1:J5"/>
    <mergeCell ref="A2:D2"/>
    <mergeCell ref="A3:D3"/>
    <mergeCell ref="A4:D4"/>
    <mergeCell ref="A5:D5"/>
    <mergeCell ref="A1:D1"/>
    <mergeCell ref="E1:F5"/>
    <mergeCell ref="G1:H5"/>
  </mergeCells>
  <phoneticPr fontId="10" type="noConversion"/>
  <dataValidations count="1">
    <dataValidation allowBlank="1" showErrorMessage="1" promptTitle="Item Description Info" prompt="Enter Item Description Here." sqref="B8:B29" xr:uid="{AFF3DF4B-EB01-4804-A8E1-770A0BB050E7}"/>
  </dataValidations>
  <printOptions horizontalCentered="1"/>
  <pageMargins left="0.5" right="0.5" top="0.5" bottom="0.5" header="0.5" footer="0.5"/>
  <pageSetup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482F1-334B-4D28-9828-CB6601690A1E}">
  <sheetPr>
    <tabColor theme="6" tint="-0.499984740745262"/>
  </sheetPr>
  <dimension ref="A1:F13"/>
  <sheetViews>
    <sheetView tabSelected="1" view="pageLayout" zoomScaleNormal="75" zoomScaleSheetLayoutView="100" workbookViewId="0">
      <selection activeCell="F10" sqref="F10"/>
    </sheetView>
  </sheetViews>
  <sheetFormatPr defaultColWidth="9.140625" defaultRowHeight="15" x14ac:dyDescent="0.25"/>
  <cols>
    <col min="1" max="1" width="36.42578125" style="8" customWidth="1"/>
    <col min="2" max="6" width="16.7109375" style="39" customWidth="1"/>
  </cols>
  <sheetData>
    <row r="1" spans="1:6" ht="30" customHeight="1" x14ac:dyDescent="0.25">
      <c r="A1" s="19" t="str">
        <f>ProjectLocation</f>
        <v>PORTLAND INTERNATIONAL AIRPORT</v>
      </c>
      <c r="B1" s="36"/>
      <c r="C1" s="36"/>
      <c r="D1" s="36"/>
      <c r="E1" s="36"/>
      <c r="F1" s="36"/>
    </row>
    <row r="2" spans="1:6" ht="15" customHeight="1" x14ac:dyDescent="0.25">
      <c r="A2" s="20" t="s">
        <v>111</v>
      </c>
      <c r="B2" s="37"/>
      <c r="C2" s="37"/>
      <c r="D2" s="37"/>
      <c r="E2" s="37"/>
      <c r="F2" s="37"/>
    </row>
    <row r="3" spans="1:6" ht="15" customHeight="1" x14ac:dyDescent="0.25">
      <c r="A3" s="20" t="s">
        <v>112</v>
      </c>
      <c r="B3" s="37"/>
      <c r="C3" s="37"/>
      <c r="D3" s="37"/>
      <c r="E3" s="37"/>
      <c r="F3" s="37"/>
    </row>
    <row r="4" spans="1:6" x14ac:dyDescent="0.25">
      <c r="A4" s="9" t="s">
        <v>104</v>
      </c>
      <c r="B4" s="37"/>
      <c r="C4" s="37"/>
      <c r="D4" s="37"/>
      <c r="E4" s="37"/>
      <c r="F4" s="37"/>
    </row>
    <row r="5" spans="1:6" ht="15" customHeight="1" x14ac:dyDescent="0.25">
      <c r="A5" s="10" t="s">
        <v>105</v>
      </c>
      <c r="B5" s="37"/>
      <c r="C5" s="37"/>
      <c r="D5" s="37"/>
      <c r="E5" s="37"/>
      <c r="F5" s="37"/>
    </row>
    <row r="6" spans="1:6" ht="15" customHeight="1" x14ac:dyDescent="0.25">
      <c r="A6" s="11">
        <f ca="1">TODAY()</f>
        <v>45377</v>
      </c>
      <c r="B6" s="38"/>
      <c r="C6" s="38"/>
      <c r="D6" s="38"/>
      <c r="E6" s="38"/>
      <c r="F6" s="38"/>
    </row>
    <row r="7" spans="1:6" ht="33" customHeight="1" x14ac:dyDescent="0.25">
      <c r="A7" s="12" t="s">
        <v>96</v>
      </c>
      <c r="B7" s="99" t="s">
        <v>106</v>
      </c>
      <c r="C7" s="99" t="s">
        <v>107</v>
      </c>
      <c r="D7" s="99" t="s">
        <v>108</v>
      </c>
      <c r="E7" s="99" t="s">
        <v>109</v>
      </c>
      <c r="F7" s="99" t="s">
        <v>110</v>
      </c>
    </row>
    <row r="8" spans="1:6" ht="33" customHeight="1" x14ac:dyDescent="0.25">
      <c r="A8" s="13" t="s">
        <v>113</v>
      </c>
      <c r="B8" s="103" t="s">
        <v>115</v>
      </c>
      <c r="C8" s="103" t="s">
        <v>116</v>
      </c>
      <c r="D8" s="104" t="s">
        <v>117</v>
      </c>
      <c r="E8" s="104" t="s">
        <v>118</v>
      </c>
      <c r="F8" s="104" t="s">
        <v>119</v>
      </c>
    </row>
    <row r="9" spans="1:6" ht="33" customHeight="1" x14ac:dyDescent="0.25">
      <c r="A9" s="13" t="s">
        <v>114</v>
      </c>
      <c r="B9" s="40">
        <v>7573242</v>
      </c>
      <c r="C9" s="40">
        <v>2275969</v>
      </c>
      <c r="D9" s="40">
        <v>2580308</v>
      </c>
      <c r="E9" s="40">
        <v>411573</v>
      </c>
      <c r="F9" s="40">
        <v>382289</v>
      </c>
    </row>
    <row r="10" spans="1:6" ht="33" customHeight="1" x14ac:dyDescent="0.25">
      <c r="A10" s="100" t="str">
        <f>EngineerEstimate</f>
        <v>Engineer's Estimate</v>
      </c>
      <c r="B10" s="101">
        <v>14797443.199999999</v>
      </c>
      <c r="C10" s="101">
        <v>4682259.45</v>
      </c>
      <c r="D10" s="101">
        <v>5771816.5999999996</v>
      </c>
      <c r="E10" s="101">
        <v>966358.25</v>
      </c>
      <c r="F10" s="101">
        <v>780307.55</v>
      </c>
    </row>
    <row r="11" spans="1:6" x14ac:dyDescent="0.25">
      <c r="A11" s="41" t="s">
        <v>120</v>
      </c>
    </row>
    <row r="13" spans="1:6" x14ac:dyDescent="0.25">
      <c r="A13" s="41" t="s">
        <v>97</v>
      </c>
    </row>
  </sheetData>
  <printOptions horizontalCentered="1"/>
  <pageMargins left="0.7" right="0.7" top="0.75" bottom="0.75" header="0.3" footer="0.3"/>
  <pageSetup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4C3FC360486C3449A5BF21A412D0E8B" ma:contentTypeVersion="3" ma:contentTypeDescription="Create a new document." ma:contentTypeScope="" ma:versionID="ae1734035da06489cee3bc010ff747fc">
  <xsd:schema xmlns:xsd="http://www.w3.org/2001/XMLSchema" xmlns:xs="http://www.w3.org/2001/XMLSchema" xmlns:p="http://schemas.microsoft.com/office/2006/metadata/properties" xmlns:ns2="149230f7-eaf4-416e-8d5c-5c6c61cbabe4" targetNamespace="http://schemas.microsoft.com/office/2006/metadata/properties" ma:root="true" ma:fieldsID="6046d4d5e893a6dcf2a15683580b6564" ns2:_="">
    <xsd:import namespace="149230f7-eaf4-416e-8d5c-5c6c61cbab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9230f7-eaf4-416e-8d5c-5c6c61cbab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293B80C-0E2C-4306-AA7F-AC95A0D557D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02705D3-0AC0-4204-8745-8E8E96223106}">
  <ds:schemaRefs>
    <ds:schemaRef ds:uri="http://purl.org/dc/elements/1.1/"/>
    <ds:schemaRef ds:uri="http://schemas.microsoft.com/office/2006/metadata/properties"/>
    <ds:schemaRef ds:uri="9bfc549d-f162-4529-8f98-f81f55161b76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8ff65d6f-4868-4737-bb01-6b6221ad3e6b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FD7EA95C-CC9E-4FCA-8326-467BFAFD7F6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81</vt:i4>
      </vt:variant>
    </vt:vector>
  </HeadingPairs>
  <TitlesOfParts>
    <vt:vector size="93" baseType="lpstr">
      <vt:lpstr>Bid Item List</vt:lpstr>
      <vt:lpstr>Base Bid</vt:lpstr>
      <vt:lpstr>AddAlt 1</vt:lpstr>
      <vt:lpstr>AddAlt 2</vt:lpstr>
      <vt:lpstr>AddAlt 3</vt:lpstr>
      <vt:lpstr>AddAlt 4</vt:lpstr>
      <vt:lpstr>Base Bid Tab</vt:lpstr>
      <vt:lpstr>Alternate 1 Tab</vt:lpstr>
      <vt:lpstr>Alternate 2 Tab</vt:lpstr>
      <vt:lpstr>Alternate 3 Tab</vt:lpstr>
      <vt:lpstr>Alternate 4 Tab</vt:lpstr>
      <vt:lpstr>Summary</vt:lpstr>
      <vt:lpstr>'Alternate 1 Tab'!Contractor1</vt:lpstr>
      <vt:lpstr>'Alternate 2 Tab'!Contractor1</vt:lpstr>
      <vt:lpstr>'Alternate 3 Tab'!Contractor1</vt:lpstr>
      <vt:lpstr>'Alternate 4 Tab'!Contractor1</vt:lpstr>
      <vt:lpstr>Contractor1</vt:lpstr>
      <vt:lpstr>'Alternate 1 Tab'!Contractor2</vt:lpstr>
      <vt:lpstr>'Alternate 2 Tab'!Contractor2</vt:lpstr>
      <vt:lpstr>'Alternate 3 Tab'!Contractor2</vt:lpstr>
      <vt:lpstr>'Alternate 4 Tab'!Contractor2</vt:lpstr>
      <vt:lpstr>Contractor2</vt:lpstr>
      <vt:lpstr>'Alternate 1 Tab'!EAN</vt:lpstr>
      <vt:lpstr>'Alternate 2 Tab'!EAN</vt:lpstr>
      <vt:lpstr>'Alternate 3 Tab'!EAN</vt:lpstr>
      <vt:lpstr>'Alternate 4 Tab'!EAN</vt:lpstr>
      <vt:lpstr>EAN</vt:lpstr>
      <vt:lpstr>'Alternate 1 Tab'!EngineerEstimate</vt:lpstr>
      <vt:lpstr>'Alternate 2 Tab'!EngineerEstimate</vt:lpstr>
      <vt:lpstr>'Alternate 3 Tab'!EngineerEstimate</vt:lpstr>
      <vt:lpstr>'Alternate 4 Tab'!EngineerEstimate</vt:lpstr>
      <vt:lpstr>EngineerEstimate</vt:lpstr>
      <vt:lpstr>'AddAlt 1'!Print_Area</vt:lpstr>
      <vt:lpstr>'AddAlt 2'!Print_Area</vt:lpstr>
      <vt:lpstr>'AddAlt 3'!Print_Area</vt:lpstr>
      <vt:lpstr>'AddAlt 4'!Print_Area</vt:lpstr>
      <vt:lpstr>'Base Bid'!Print_Area</vt:lpstr>
      <vt:lpstr>'Bid Item List'!Print_Area</vt:lpstr>
      <vt:lpstr>Summary!Print_Area</vt:lpstr>
      <vt:lpstr>'AddAlt 1'!Print_Titles</vt:lpstr>
      <vt:lpstr>'AddAlt 2'!Print_Titles</vt:lpstr>
      <vt:lpstr>'AddAlt 3'!Print_Titles</vt:lpstr>
      <vt:lpstr>'AddAlt 4'!Print_Titles</vt:lpstr>
      <vt:lpstr>'Alternate 1 Tab'!Print_Titles</vt:lpstr>
      <vt:lpstr>'Alternate 2 Tab'!Print_Titles</vt:lpstr>
      <vt:lpstr>'Alternate 3 Tab'!Print_Titles</vt:lpstr>
      <vt:lpstr>'Alternate 4 Tab'!Print_Titles</vt:lpstr>
      <vt:lpstr>'Base Bid'!Print_Titles</vt:lpstr>
      <vt:lpstr>'Base Bid Tab'!Print_Titles</vt:lpstr>
      <vt:lpstr>'Bid Item List'!Print_Titles</vt:lpstr>
      <vt:lpstr>'AddAlt 1'!ProjectLocation</vt:lpstr>
      <vt:lpstr>'AddAlt 2'!ProjectLocation</vt:lpstr>
      <vt:lpstr>'AddAlt 3'!ProjectLocation</vt:lpstr>
      <vt:lpstr>'AddAlt 4'!ProjectLocation</vt:lpstr>
      <vt:lpstr>'Base Bid'!ProjectLocation</vt:lpstr>
      <vt:lpstr>ProjectLocation</vt:lpstr>
      <vt:lpstr>'AddAlt 1'!ProjectTitle</vt:lpstr>
      <vt:lpstr>'AddAlt 2'!ProjectTitle</vt:lpstr>
      <vt:lpstr>'AddAlt 3'!ProjectTitle</vt:lpstr>
      <vt:lpstr>'AddAlt 4'!ProjectTitle</vt:lpstr>
      <vt:lpstr>'Base Bid'!ProjectTitle</vt:lpstr>
      <vt:lpstr>ProjectTitle</vt:lpstr>
      <vt:lpstr>'AddAlt 1'!ProjectTitle2</vt:lpstr>
      <vt:lpstr>'AddAlt 2'!ProjectTitle2</vt:lpstr>
      <vt:lpstr>'AddAlt 3'!ProjectTitle2</vt:lpstr>
      <vt:lpstr>'AddAlt 4'!ProjectTitle2</vt:lpstr>
      <vt:lpstr>'Base Bid'!ProjectTitle2</vt:lpstr>
      <vt:lpstr>ProjectTitle2</vt:lpstr>
      <vt:lpstr>'Alternate 1 Tab'!QTY</vt:lpstr>
      <vt:lpstr>'Alternate 2 Tab'!QTY</vt:lpstr>
      <vt:lpstr>'Alternate 3 Tab'!QTY</vt:lpstr>
      <vt:lpstr>'Alternate 4 Tab'!QTY</vt:lpstr>
      <vt:lpstr>QTY</vt:lpstr>
      <vt:lpstr>'Alternate 1 Tab'!SolicitationNo</vt:lpstr>
      <vt:lpstr>'Alternate 2 Tab'!SolicitationNo</vt:lpstr>
      <vt:lpstr>'Alternate 3 Tab'!SolicitationNo</vt:lpstr>
      <vt:lpstr>'Alternate 4 Tab'!SolicitationNo</vt:lpstr>
      <vt:lpstr>SolicitationNo</vt:lpstr>
      <vt:lpstr>'Alternate 1 Tab'!Total1</vt:lpstr>
      <vt:lpstr>'Alternate 2 Tab'!Total1</vt:lpstr>
      <vt:lpstr>'Alternate 3 Tab'!Total1</vt:lpstr>
      <vt:lpstr>'Alternate 4 Tab'!Total1</vt:lpstr>
      <vt:lpstr>Total1</vt:lpstr>
      <vt:lpstr>'Alternate 1 Tab'!Total2</vt:lpstr>
      <vt:lpstr>'Alternate 2 Tab'!Total2</vt:lpstr>
      <vt:lpstr>'Alternate 3 Tab'!Total2</vt:lpstr>
      <vt:lpstr>'Alternate 4 Tab'!Total2</vt:lpstr>
      <vt:lpstr>Total2</vt:lpstr>
      <vt:lpstr>'Alternate 1 Tab'!TotalEE</vt:lpstr>
      <vt:lpstr>'Alternate 2 Tab'!TotalEE</vt:lpstr>
      <vt:lpstr>'Alternate 3 Tab'!TotalEE</vt:lpstr>
      <vt:lpstr>'Alternate 4 Tab'!TotalEE</vt:lpstr>
      <vt:lpstr>TotalEE</vt:lpstr>
    </vt:vector>
  </TitlesOfParts>
  <Manager/>
  <Company>Port of Portland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Etta Goerl</dc:creator>
  <cp:keywords/>
  <dc:description/>
  <cp:lastModifiedBy>Doherty, Colin</cp:lastModifiedBy>
  <cp:revision/>
  <cp:lastPrinted>2024-03-26T21:58:50Z</cp:lastPrinted>
  <dcterms:created xsi:type="dcterms:W3CDTF">2014-05-02T22:08:37Z</dcterms:created>
  <dcterms:modified xsi:type="dcterms:W3CDTF">2024-03-26T22:02:23Z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0x010100C4C3FC360486C3449A5BF21A412D0E8B</vt:lpwstr>
  </property>
  <property fmtid="{D5CDD505-2E9C-101B-9397-08002B2CF9AE}" pid="3" name="MediaServiceImageTags">
    <vt:lpwstr/>
  </property>
</Properties>
</file>