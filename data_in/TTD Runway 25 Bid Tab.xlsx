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TTD\21D\017\"/>
    </mc:Choice>
  </mc:AlternateContent>
  <xr:revisionPtr revIDLastSave="3" documentId="13_ncr:1_{DA169BE4-9220-4E3A-8DFF-245A64C36551}" xr6:coauthVersionLast="47" xr6:coauthVersionMax="47" xr10:uidLastSave="{FC8DBD5B-AA9D-47C0-A8B8-31FCA53067E4}"/>
  <bookViews>
    <workbookView xWindow="-120" yWindow="-120" windowWidth="29040" windowHeight="15990" tabRatio="716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Tabulation'!#REF!</definedName>
    <definedName name="Contractor4">'Bid Tabulation'!#REF!</definedName>
    <definedName name="Contractor5">'Bid Tabulation'!#REF!</definedName>
    <definedName name="Contractor6">'Bid Tabulation'!#REF!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Tabulation'!$I$1</definedName>
    <definedName name="_xlnm.Print_Area" localSheetId="0">'Bid Item List'!$A$14:$F$48</definedName>
    <definedName name="_xlnm.Print_Area" localSheetId="2">Summary!$A$1:$B$10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Tabulation'!$F$36</definedName>
    <definedName name="Total2">'Bid Tabulation'!$H$36</definedName>
    <definedName name="Total3">'Bid Tabulation'!#REF!</definedName>
    <definedName name="Total4">'Bid Tabulation'!#REF!</definedName>
    <definedName name="Total5">'Bid Tabulation'!#REF!</definedName>
    <definedName name="Total6">'Bid Tabulation'!#REF!</definedName>
    <definedName name="Total7">'Bid Tabulation'!#REF!</definedName>
    <definedName name="Total8">'Bid Tabulation'!#REF!</definedName>
    <definedName name="TotalEE">'Bid Tabulation'!$J$36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C12" i="2"/>
  <c r="C13" i="2"/>
  <c r="C14" i="2"/>
  <c r="C15" i="2"/>
  <c r="C16" i="2"/>
  <c r="C17" i="2"/>
  <c r="C18" i="2"/>
  <c r="F18" i="2" s="1"/>
  <c r="C19" i="2"/>
  <c r="C20" i="2"/>
  <c r="J20" i="2" s="1"/>
  <c r="C21" i="2"/>
  <c r="C22" i="2"/>
  <c r="C23" i="2"/>
  <c r="C24" i="2"/>
  <c r="C25" i="2"/>
  <c r="C26" i="2"/>
  <c r="C27" i="2"/>
  <c r="J27" i="2" s="1"/>
  <c r="C28" i="2"/>
  <c r="C29" i="2"/>
  <c r="C30" i="2"/>
  <c r="C31" i="2"/>
  <c r="C32" i="2"/>
  <c r="C33" i="2"/>
  <c r="C34" i="2"/>
  <c r="C35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J19" i="2"/>
  <c r="J17" i="2"/>
  <c r="F28" i="2"/>
  <c r="H18" i="2" l="1"/>
  <c r="J18" i="2"/>
  <c r="F19" i="2"/>
  <c r="H19" i="2"/>
  <c r="F20" i="2"/>
  <c r="H20" i="2"/>
  <c r="F17" i="2"/>
  <c r="H17" i="2"/>
  <c r="H34" i="2"/>
  <c r="F34" i="2"/>
  <c r="J34" i="2"/>
  <c r="H32" i="2"/>
  <c r="F32" i="2"/>
  <c r="J32" i="2"/>
  <c r="H28" i="2"/>
  <c r="J28" i="2"/>
  <c r="H29" i="2"/>
  <c r="F35" i="2"/>
  <c r="F27" i="2"/>
  <c r="J35" i="2"/>
  <c r="J29" i="2"/>
  <c r="J33" i="2"/>
  <c r="H33" i="2"/>
  <c r="J31" i="2"/>
  <c r="H31" i="2"/>
  <c r="J30" i="2"/>
  <c r="F33" i="2"/>
  <c r="H30" i="2"/>
  <c r="F31" i="2"/>
  <c r="F30" i="2"/>
  <c r="H27" i="2"/>
  <c r="F29" i="2"/>
  <c r="H35" i="2"/>
  <c r="J16" i="2"/>
  <c r="C9" i="2"/>
  <c r="J9" i="2" s="1"/>
  <c r="B9" i="2"/>
  <c r="A9" i="2"/>
  <c r="C10" i="2"/>
  <c r="J10" i="2" s="1"/>
  <c r="C11" i="2"/>
  <c r="J11" i="2" s="1"/>
  <c r="F12" i="2"/>
  <c r="F13" i="2"/>
  <c r="F14" i="2"/>
  <c r="F15" i="2"/>
  <c r="F21" i="2"/>
  <c r="J22" i="2"/>
  <c r="J23" i="2"/>
  <c r="J24" i="2"/>
  <c r="J25" i="2"/>
  <c r="J26" i="2"/>
  <c r="H26" i="2" l="1"/>
  <c r="H25" i="2"/>
  <c r="H24" i="2"/>
  <c r="H23" i="2"/>
  <c r="H22" i="2"/>
  <c r="H21" i="2"/>
  <c r="F16" i="2"/>
  <c r="H16" i="2"/>
  <c r="H15" i="2"/>
  <c r="F9" i="2"/>
  <c r="H9" i="2"/>
  <c r="F22" i="2"/>
  <c r="J21" i="2"/>
  <c r="F26" i="2"/>
  <c r="J15" i="2"/>
  <c r="F25" i="2"/>
  <c r="F11" i="2"/>
  <c r="J14" i="2"/>
  <c r="F24" i="2"/>
  <c r="J13" i="2"/>
  <c r="F23" i="2"/>
  <c r="F10" i="2"/>
  <c r="J12" i="2"/>
  <c r="A5" i="5"/>
  <c r="A4" i="5"/>
  <c r="A3" i="5"/>
  <c r="A2" i="5"/>
  <c r="A1" i="5"/>
  <c r="A3" i="2"/>
  <c r="A2" i="2"/>
  <c r="A1" i="2"/>
  <c r="H14" i="2" l="1"/>
  <c r="H13" i="2"/>
  <c r="H12" i="2"/>
  <c r="A10" i="5"/>
  <c r="A9" i="5"/>
  <c r="A8" i="5"/>
  <c r="A6" i="5" l="1"/>
  <c r="B10" i="2"/>
  <c r="D8" i="2"/>
  <c r="C8" i="2"/>
  <c r="F8" i="2" s="1"/>
  <c r="B8" i="2"/>
  <c r="A8" i="2"/>
  <c r="A6" i="2"/>
  <c r="J8" i="2" l="1"/>
  <c r="J36" i="2" s="1"/>
  <c r="H8" i="2"/>
  <c r="H11" i="2"/>
  <c r="H10" i="2"/>
  <c r="B10" i="5" l="1"/>
  <c r="F36" i="2"/>
  <c r="B8" i="5" s="1"/>
  <c r="H36" i="2"/>
  <c r="B9" i="5" s="1"/>
</calcChain>
</file>

<file path=xl/sharedStrings.xml><?xml version="1.0" encoding="utf-8"?>
<sst xmlns="http://schemas.openxmlformats.org/spreadsheetml/2006/main" count="127" uniqueCount="87">
  <si>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</si>
  <si>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</si>
  <si>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</si>
  <si>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</si>
  <si>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</si>
  <si>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</si>
  <si>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</si>
  <si>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</si>
  <si>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</si>
  <si>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</si>
  <si>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</si>
  <si>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</si>
  <si>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</si>
  <si>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TROUTDALE AIRPORT</t>
  </si>
  <si>
    <t>RUNWAY 25 END RELOCATION AND SLURRY SEAL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</si>
  <si>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</si>
  <si>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</si>
  <si>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</si>
  <si>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</si>
  <si>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</si>
  <si>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</si>
  <si>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</si>
  <si>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Mobilization, Surveying, Cleanup, and Demobilization (Section 012200)</t>
  </si>
  <si>
    <t>0002</t>
  </si>
  <si>
    <t>Work Zone and Traffic Control 
(Section 012200)</t>
  </si>
  <si>
    <t>0003</t>
  </si>
  <si>
    <t>Sweeper (Section 012200)</t>
  </si>
  <si>
    <t>0004</t>
  </si>
  <si>
    <t>Inlet Protection (Section 015713)</t>
  </si>
  <si>
    <t>0005</t>
  </si>
  <si>
    <t>Surface Preparation - Remove Existing Markings (Item P-620)</t>
  </si>
  <si>
    <t>0006</t>
  </si>
  <si>
    <t>Pavement Markings
(Item P-620)</t>
  </si>
  <si>
    <t>0007</t>
  </si>
  <si>
    <t>Reflective Media
(Item P-620)</t>
  </si>
  <si>
    <t>0008</t>
  </si>
  <si>
    <t>Temporary Pavement Markings
(Item P-620)</t>
  </si>
  <si>
    <t>0009</t>
  </si>
  <si>
    <t>Slurry Seal (Item P-626)</t>
  </si>
  <si>
    <t>0010</t>
  </si>
  <si>
    <t>Asphalt Pavement Removal - 2-3 Inch Depth
(Section 320117)</t>
  </si>
  <si>
    <t>0011</t>
  </si>
  <si>
    <t>Asphalt Concrete Surface Course               (Section 320117)</t>
  </si>
  <si>
    <t>0012</t>
  </si>
  <si>
    <t>Crack Repair (Section 320118)</t>
  </si>
  <si>
    <t>0013</t>
  </si>
  <si>
    <t>General Electrical Removal
(Section 260500)</t>
  </si>
  <si>
    <t>0014</t>
  </si>
  <si>
    <t>Temporary Circuit Connection 
(Section 260500)</t>
  </si>
  <si>
    <t>0015</t>
  </si>
  <si>
    <t>Install PF LED Elevated Runway End/Threshold Light on Existing Base Can with PF Transformer (Section 344300)</t>
  </si>
  <si>
    <t>0016</t>
  </si>
  <si>
    <t>Install PF LED Elevated Runway Edge Light on Existing Base Can with PF Transformer
(Section 344300)</t>
  </si>
  <si>
    <t>0017</t>
  </si>
  <si>
    <t>Install PF LED In-Pavement Runway Edge  Light on Existing Base Can with PF Transformer (Section 344300)</t>
  </si>
  <si>
    <t>0018</t>
  </si>
  <si>
    <t>Install PF Cover Plate on Existing Base Can with PF Bolts (Section 344300)</t>
  </si>
  <si>
    <t>0019</t>
  </si>
  <si>
    <t>Install PF Taxiway Edge Reflector 
(Section 344300)</t>
  </si>
  <si>
    <t>0020</t>
  </si>
  <si>
    <t>Sign A1-1 (Section 344302)</t>
  </si>
  <si>
    <t>0021</t>
  </si>
  <si>
    <t>Sign A7-2 (Section 344302)</t>
  </si>
  <si>
    <t>0022</t>
  </si>
  <si>
    <t>Sign A8-1 (Section 344302)</t>
  </si>
  <si>
    <t>0023</t>
  </si>
  <si>
    <t>Sign A8-2 (Section 344302)</t>
  </si>
  <si>
    <t>0024</t>
  </si>
  <si>
    <t>Sign B1-1 (Section 344302)</t>
  </si>
  <si>
    <t>0025</t>
  </si>
  <si>
    <t>Sign B7-1 (Section 344302)</t>
  </si>
  <si>
    <t>0026</t>
  </si>
  <si>
    <t>Sign B8-1 (Section 344302)</t>
  </si>
  <si>
    <t>0027</t>
  </si>
  <si>
    <t>Sign UL-1 Section 344302)</t>
  </si>
  <si>
    <t>0028</t>
  </si>
  <si>
    <t>Sign UL-2 (Section 344302)</t>
  </si>
  <si>
    <t>Total Amount Bid (Basis of Award)</t>
  </si>
  <si>
    <t>$___________</t>
  </si>
  <si>
    <t>C.R. Contracting, LLC</t>
  </si>
  <si>
    <t>Granite Construction Company</t>
  </si>
  <si>
    <t>Engineer's Estimate</t>
  </si>
  <si>
    <t>EAN 2021D017</t>
  </si>
  <si>
    <t>Solicitation No. 2022-8514</t>
  </si>
  <si>
    <t>Bidder</t>
  </si>
  <si>
    <t>*Non-responsive to the small business requirements of this solicitation</t>
  </si>
  <si>
    <t>^Corrected Bid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</si>
</sst>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165" fontId="7" fillId="0" borderId="5" xfId="0" applyNumberFormat="1" applyFont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top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48"/>
  <sheetViews>
    <sheetView tabSelected="1" view="pageBreakPreview" topLeftCell="A14" zoomScaleNormal="100" zoomScaleSheetLayoutView="100" workbookViewId="0">
      <selection activeCell="G20" sqref="G20"/>
    </sheetView>
  </sheetViews>
  <sheetFormatPr defaultRowHeight="1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3" customWidth="1"/>
    <col min="7" max="7" width="31.85546875" customWidth="1"/>
    <col min="8" max="8" width="33.7109375" customWidth="1"/>
  </cols>
  <sheetData>
    <row r="1" spans="1:6" hidden="1">
      <c r="A1" s="1" t="s">
        <v>0</v>
      </c>
    </row>
    <row r="2" spans="1:6" hidden="1">
      <c r="A2" s="1" t="s">
        <v>1</v>
      </c>
    </row>
    <row r="3" spans="1:6" hidden="1">
      <c r="A3" s="2" t="s">
        <v>2</v>
      </c>
    </row>
    <row r="4" spans="1:6" hidden="1">
      <c r="A4" s="2" t="s">
        <v>3</v>
      </c>
    </row>
    <row r="5" spans="1:6" hidden="1">
      <c r="A5" s="2" t="s">
        <v>4</v>
      </c>
    </row>
    <row r="6" spans="1:6" hidden="1">
      <c r="A6" s="2" t="s">
        <v>5</v>
      </c>
    </row>
    <row r="7" spans="1:6" hidden="1">
      <c r="A7" s="2" t="s">
        <v>6</v>
      </c>
    </row>
    <row r="8" spans="1:6" hidden="1">
      <c r="A8" s="2" t="s">
        <v>7</v>
      </c>
    </row>
    <row r="9" spans="1:6" hidden="1">
      <c r="A9" s="1" t="s">
        <v>8</v>
      </c>
    </row>
    <row r="10" spans="1:6" hidden="1">
      <c r="A10" s="2" t="s">
        <v>9</v>
      </c>
    </row>
    <row r="11" spans="1:6" hidden="1">
      <c r="A11" s="2" t="s">
        <v>10</v>
      </c>
    </row>
    <row r="12" spans="1:6" hidden="1">
      <c r="A12" s="2" t="s">
        <v>11</v>
      </c>
    </row>
    <row r="13" spans="1:6" hidden="1">
      <c r="A13" s="2" t="s">
        <v>12</v>
      </c>
    </row>
    <row r="14" spans="1:6">
      <c r="A14" s="63"/>
      <c r="B14" s="63"/>
      <c r="C14" s="63"/>
      <c r="D14" s="63"/>
      <c r="E14" s="57"/>
      <c r="F14" s="57"/>
    </row>
    <row r="15" spans="1:6">
      <c r="A15" s="60" t="s">
        <v>13</v>
      </c>
      <c r="B15" s="60"/>
      <c r="C15" s="60"/>
      <c r="D15" s="60"/>
      <c r="E15" s="58"/>
      <c r="F15" s="58"/>
    </row>
    <row r="16" spans="1:6">
      <c r="A16" s="60" t="s">
        <v>14</v>
      </c>
      <c r="B16" s="60"/>
      <c r="C16" s="60"/>
      <c r="D16" s="60"/>
      <c r="E16" s="58"/>
      <c r="F16" s="58"/>
    </row>
    <row r="17" spans="1:6">
      <c r="A17" s="61"/>
      <c r="B17" s="61"/>
      <c r="C17" s="61"/>
      <c r="D17" s="61"/>
      <c r="E17" s="58"/>
      <c r="F17" s="58"/>
    </row>
    <row r="18" spans="1:6">
      <c r="A18" s="62"/>
      <c r="B18" s="62"/>
      <c r="C18" s="62"/>
      <c r="D18" s="62"/>
      <c r="E18" s="59"/>
      <c r="F18" s="59"/>
    </row>
    <row r="19" spans="1:6" s="3" customFormat="1" ht="24" customHeight="1">
      <c r="A19" s="4" t="s">
        <v>15</v>
      </c>
      <c r="B19" s="4" t="s">
        <v>16</v>
      </c>
      <c r="C19" s="30" t="s">
        <v>17</v>
      </c>
      <c r="D19" s="4" t="s">
        <v>18</v>
      </c>
      <c r="E19" s="34" t="s">
        <v>19</v>
      </c>
      <c r="F19" s="34" t="s">
        <v>20</v>
      </c>
    </row>
    <row r="20" spans="1:6" ht="40.5" customHeight="1">
      <c r="A20" s="5" t="s">
        <v>21</v>
      </c>
      <c r="B20" s="51" t="s">
        <v>22</v>
      </c>
      <c r="C20" s="31">
        <v>1</v>
      </c>
      <c r="D20" s="6" t="s">
        <v>8</v>
      </c>
      <c r="E20" s="35"/>
      <c r="F20" s="35"/>
    </row>
    <row r="21" spans="1:6" ht="40.5" customHeight="1">
      <c r="A21" s="5" t="s">
        <v>23</v>
      </c>
      <c r="B21" s="51" t="s">
        <v>24</v>
      </c>
      <c r="C21" s="31">
        <v>1</v>
      </c>
      <c r="D21" s="6" t="s">
        <v>8</v>
      </c>
      <c r="E21" s="35"/>
      <c r="F21" s="35"/>
    </row>
    <row r="22" spans="1:6" ht="40.5" customHeight="1">
      <c r="A22" s="5" t="s">
        <v>25</v>
      </c>
      <c r="B22" s="51" t="s">
        <v>26</v>
      </c>
      <c r="C22" s="31">
        <v>1</v>
      </c>
      <c r="D22" s="6" t="s">
        <v>8</v>
      </c>
      <c r="E22" s="35"/>
      <c r="F22" s="35"/>
    </row>
    <row r="23" spans="1:6" ht="40.5" customHeight="1">
      <c r="A23" s="5" t="s">
        <v>27</v>
      </c>
      <c r="B23" s="51" t="s">
        <v>28</v>
      </c>
      <c r="C23" s="31">
        <v>13</v>
      </c>
      <c r="D23" s="6" t="s">
        <v>2</v>
      </c>
      <c r="E23" s="35"/>
      <c r="F23" s="35"/>
    </row>
    <row r="24" spans="1:6" ht="40.5" customHeight="1">
      <c r="A24" s="5" t="s">
        <v>29</v>
      </c>
      <c r="B24" s="51" t="s">
        <v>30</v>
      </c>
      <c r="C24" s="52">
        <v>59920</v>
      </c>
      <c r="D24" s="6" t="s">
        <v>10</v>
      </c>
      <c r="E24" s="35"/>
      <c r="F24" s="35"/>
    </row>
    <row r="25" spans="1:6" ht="40.5" customHeight="1">
      <c r="A25" s="5" t="s">
        <v>31</v>
      </c>
      <c r="B25" s="51" t="s">
        <v>32</v>
      </c>
      <c r="C25" s="52">
        <v>56090</v>
      </c>
      <c r="D25" s="6" t="s">
        <v>10</v>
      </c>
      <c r="E25" s="35"/>
      <c r="F25" s="35"/>
    </row>
    <row r="26" spans="1:6" ht="40.5" customHeight="1">
      <c r="A26" s="5" t="s">
        <v>33</v>
      </c>
      <c r="B26" s="51" t="s">
        <v>34</v>
      </c>
      <c r="C26" s="52">
        <v>3420</v>
      </c>
      <c r="D26" s="6" t="s">
        <v>6</v>
      </c>
      <c r="E26" s="35"/>
      <c r="F26" s="35"/>
    </row>
    <row r="27" spans="1:6" ht="40.5" customHeight="1">
      <c r="A27" s="5" t="s">
        <v>35</v>
      </c>
      <c r="B27" s="51" t="s">
        <v>36</v>
      </c>
      <c r="C27" s="52">
        <v>56090</v>
      </c>
      <c r="D27" s="6" t="s">
        <v>10</v>
      </c>
      <c r="E27" s="35"/>
      <c r="F27" s="35"/>
    </row>
    <row r="28" spans="1:6" ht="40.5" customHeight="1">
      <c r="A28" s="5" t="s">
        <v>37</v>
      </c>
      <c r="B28" s="51" t="s">
        <v>38</v>
      </c>
      <c r="C28" s="52">
        <v>83900</v>
      </c>
      <c r="D28" s="6" t="s">
        <v>11</v>
      </c>
      <c r="E28" s="35"/>
      <c r="F28" s="35"/>
    </row>
    <row r="29" spans="1:6" ht="40.5" customHeight="1">
      <c r="A29" s="5" t="s">
        <v>39</v>
      </c>
      <c r="B29" s="51" t="s">
        <v>40</v>
      </c>
      <c r="C29" s="52">
        <v>160</v>
      </c>
      <c r="D29" s="6" t="s">
        <v>11</v>
      </c>
      <c r="E29" s="35"/>
      <c r="F29" s="35"/>
    </row>
    <row r="30" spans="1:6" ht="40.5" customHeight="1">
      <c r="A30" s="5" t="s">
        <v>41</v>
      </c>
      <c r="B30" s="51" t="s">
        <v>42</v>
      </c>
      <c r="C30" s="52">
        <v>30</v>
      </c>
      <c r="D30" s="6" t="s">
        <v>12</v>
      </c>
      <c r="E30" s="35"/>
      <c r="F30" s="35"/>
    </row>
    <row r="31" spans="1:6" ht="40.5" customHeight="1">
      <c r="A31" s="5" t="s">
        <v>43</v>
      </c>
      <c r="B31" s="51" t="s">
        <v>44</v>
      </c>
      <c r="C31" s="52">
        <v>4500</v>
      </c>
      <c r="D31" s="6" t="s">
        <v>7</v>
      </c>
      <c r="E31" s="35"/>
      <c r="F31" s="35"/>
    </row>
    <row r="32" spans="1:6" ht="40.5" customHeight="1">
      <c r="A32" s="5" t="s">
        <v>45</v>
      </c>
      <c r="B32" s="51" t="s">
        <v>46</v>
      </c>
      <c r="C32" s="52">
        <v>1</v>
      </c>
      <c r="D32" s="6" t="s">
        <v>8</v>
      </c>
      <c r="E32" s="35"/>
      <c r="F32" s="35"/>
    </row>
    <row r="33" spans="1:6" ht="40.5" customHeight="1">
      <c r="A33" s="5" t="s">
        <v>47</v>
      </c>
      <c r="B33" s="51" t="s">
        <v>48</v>
      </c>
      <c r="C33" s="52">
        <v>1</v>
      </c>
      <c r="D33" s="6" t="s">
        <v>8</v>
      </c>
      <c r="E33" s="35"/>
      <c r="F33" s="35"/>
    </row>
    <row r="34" spans="1:6" ht="40.5" customHeight="1">
      <c r="A34" s="5" t="s">
        <v>49</v>
      </c>
      <c r="B34" s="51" t="s">
        <v>50</v>
      </c>
      <c r="C34" s="31">
        <v>14</v>
      </c>
      <c r="D34" s="6" t="s">
        <v>2</v>
      </c>
      <c r="E34" s="35"/>
      <c r="F34" s="35"/>
    </row>
    <row r="35" spans="1:6" ht="40.5" customHeight="1">
      <c r="A35" s="5" t="s">
        <v>51</v>
      </c>
      <c r="B35" s="51" t="s">
        <v>52</v>
      </c>
      <c r="C35" s="31">
        <v>43</v>
      </c>
      <c r="D35" s="6" t="s">
        <v>2</v>
      </c>
      <c r="E35" s="35"/>
      <c r="F35" s="35"/>
    </row>
    <row r="36" spans="1:6" ht="40.5" customHeight="1">
      <c r="A36" s="5" t="s">
        <v>53</v>
      </c>
      <c r="B36" s="51" t="s">
        <v>54</v>
      </c>
      <c r="C36" s="52">
        <v>1</v>
      </c>
      <c r="D36" s="6" t="s">
        <v>2</v>
      </c>
      <c r="E36" s="35"/>
      <c r="F36" s="35"/>
    </row>
    <row r="37" spans="1:6" ht="40.5" customHeight="1">
      <c r="A37" s="5" t="s">
        <v>55</v>
      </c>
      <c r="B37" s="51" t="s">
        <v>56</v>
      </c>
      <c r="C37" s="52">
        <v>50</v>
      </c>
      <c r="D37" s="6" t="s">
        <v>2</v>
      </c>
      <c r="E37" s="35"/>
      <c r="F37" s="35"/>
    </row>
    <row r="38" spans="1:6" ht="40.5" customHeight="1">
      <c r="A38" s="5" t="s">
        <v>57</v>
      </c>
      <c r="B38" s="51" t="s">
        <v>58</v>
      </c>
      <c r="C38" s="52">
        <v>7</v>
      </c>
      <c r="D38" s="6" t="s">
        <v>2</v>
      </c>
      <c r="E38" s="35"/>
      <c r="F38" s="35"/>
    </row>
    <row r="39" spans="1:6" ht="40.5" customHeight="1">
      <c r="A39" s="5" t="s">
        <v>59</v>
      </c>
      <c r="B39" s="51" t="s">
        <v>60</v>
      </c>
      <c r="C39" s="52">
        <v>1</v>
      </c>
      <c r="D39" s="6" t="s">
        <v>8</v>
      </c>
      <c r="E39" s="35"/>
      <c r="F39" s="35"/>
    </row>
    <row r="40" spans="1:6" ht="40.5" customHeight="1">
      <c r="A40" s="5" t="s">
        <v>61</v>
      </c>
      <c r="B40" s="51" t="s">
        <v>62</v>
      </c>
      <c r="C40" s="52">
        <v>1</v>
      </c>
      <c r="D40" s="6" t="s">
        <v>8</v>
      </c>
      <c r="E40" s="35"/>
      <c r="F40" s="35"/>
    </row>
    <row r="41" spans="1:6" ht="40.5" customHeight="1">
      <c r="A41" s="5" t="s">
        <v>63</v>
      </c>
      <c r="B41" s="51" t="s">
        <v>64</v>
      </c>
      <c r="C41" s="52">
        <v>1</v>
      </c>
      <c r="D41" s="6" t="s">
        <v>8</v>
      </c>
      <c r="E41" s="35"/>
      <c r="F41" s="35"/>
    </row>
    <row r="42" spans="1:6" ht="40.5" customHeight="1">
      <c r="A42" s="5" t="s">
        <v>65</v>
      </c>
      <c r="B42" s="51" t="s">
        <v>66</v>
      </c>
      <c r="C42" s="52">
        <v>1</v>
      </c>
      <c r="D42" s="6" t="s">
        <v>8</v>
      </c>
      <c r="E42" s="35"/>
      <c r="F42" s="35"/>
    </row>
    <row r="43" spans="1:6" ht="40.5" customHeight="1">
      <c r="A43" s="5" t="s">
        <v>67</v>
      </c>
      <c r="B43" s="51" t="s">
        <v>68</v>
      </c>
      <c r="C43" s="52">
        <v>1</v>
      </c>
      <c r="D43" s="6" t="s">
        <v>8</v>
      </c>
      <c r="E43" s="35"/>
      <c r="F43" s="35"/>
    </row>
    <row r="44" spans="1:6" ht="40.5" customHeight="1">
      <c r="A44" s="5" t="s">
        <v>69</v>
      </c>
      <c r="B44" s="51" t="s">
        <v>70</v>
      </c>
      <c r="C44" s="52">
        <v>1</v>
      </c>
      <c r="D44" s="6" t="s">
        <v>8</v>
      </c>
      <c r="E44" s="35"/>
      <c r="F44" s="35"/>
    </row>
    <row r="45" spans="1:6" ht="40.5" customHeight="1">
      <c r="A45" s="5" t="s">
        <v>71</v>
      </c>
      <c r="B45" s="51" t="s">
        <v>72</v>
      </c>
      <c r="C45" s="52">
        <v>1</v>
      </c>
      <c r="D45" s="6" t="s">
        <v>8</v>
      </c>
      <c r="E45" s="35"/>
      <c r="F45" s="35"/>
    </row>
    <row r="46" spans="1:6" ht="40.5" customHeight="1">
      <c r="A46" s="5" t="s">
        <v>73</v>
      </c>
      <c r="B46" s="51" t="s">
        <v>74</v>
      </c>
      <c r="C46" s="52">
        <v>1</v>
      </c>
      <c r="D46" s="6" t="s">
        <v>8</v>
      </c>
      <c r="E46" s="35"/>
      <c r="F46" s="35"/>
    </row>
    <row r="47" spans="1:6" ht="40.5" customHeight="1">
      <c r="A47" s="5" t="s">
        <v>75</v>
      </c>
      <c r="B47" s="51" t="s">
        <v>76</v>
      </c>
      <c r="C47" s="52">
        <v>1</v>
      </c>
      <c r="D47" s="6" t="s">
        <v>8</v>
      </c>
      <c r="E47" s="35"/>
      <c r="F47" s="35"/>
    </row>
    <row r="48" spans="1:6" ht="27.75" customHeight="1">
      <c r="A48" s="7"/>
      <c r="B48" s="9" t="s">
        <v>77</v>
      </c>
      <c r="C48" s="32"/>
      <c r="D48" s="7"/>
      <c r="E48" s="36"/>
      <c r="F48" s="36" t="s">
        <v>78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1">
    <dataValidation type="list" allowBlank="1" showInputMessage="1" showErrorMessage="1" sqref="D20:D47" xr:uid="{00000000-0002-0000-0000-000000000000}">
      <formula1>$A$1:$A$13</formula1>
    </dataValidation>
  </dataValidations>
  <printOptions horizontalCentered="1"/>
  <pageMargins left="0.75" right="0.75" top="1" bottom="1" header="0.5" footer="0.7"/>
  <pageSetup scale="96"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  <rowBreaks count="1" manualBreakCount="1">
    <brk id="33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J36"/>
  <sheetViews>
    <sheetView view="pageBreakPreview" zoomScaleNormal="100" zoomScaleSheetLayoutView="100" workbookViewId="0">
      <selection activeCell="A6" sqref="A6:D6"/>
    </sheetView>
  </sheetViews>
  <sheetFormatPr defaultRowHeight="15"/>
  <cols>
    <col min="1" max="1" width="6.7109375" customWidth="1"/>
    <col min="2" max="2" width="28.85546875" style="23" customWidth="1"/>
    <col min="3" max="3" width="11.28515625" style="40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customWidth="1"/>
    <col min="10" max="10" width="13.42578125" customWidth="1"/>
  </cols>
  <sheetData>
    <row r="1" spans="1:10" s="8" customFormat="1" ht="30" customHeight="1">
      <c r="A1" s="75" t="str">
        <f>ProjectLocation</f>
        <v>TROUTDALE AIRPORT</v>
      </c>
      <c r="B1" s="76"/>
      <c r="C1" s="76"/>
      <c r="D1" s="77"/>
      <c r="E1" s="64" t="s">
        <v>79</v>
      </c>
      <c r="F1" s="65"/>
      <c r="G1" s="71" t="s">
        <v>80</v>
      </c>
      <c r="H1" s="72"/>
      <c r="I1" s="64" t="s">
        <v>81</v>
      </c>
      <c r="J1" s="65"/>
    </row>
    <row r="2" spans="1:10">
      <c r="A2" s="78" t="str">
        <f>ProjectTitle</f>
        <v>RUNWAY 25 END RELOCATION AND SLURRY SEAL</v>
      </c>
      <c r="B2" s="79"/>
      <c r="C2" s="79"/>
      <c r="D2" s="80"/>
      <c r="E2" s="66"/>
      <c r="F2" s="67"/>
      <c r="G2" s="73"/>
      <c r="H2" s="74"/>
      <c r="I2" s="66"/>
      <c r="J2" s="67"/>
    </row>
    <row r="3" spans="1:10">
      <c r="A3" s="78">
        <f>ProjectTitle2</f>
        <v>0</v>
      </c>
      <c r="B3" s="79"/>
      <c r="C3" s="79"/>
      <c r="D3" s="80"/>
      <c r="E3" s="66"/>
      <c r="F3" s="67"/>
      <c r="G3" s="73"/>
      <c r="H3" s="74"/>
      <c r="I3" s="66"/>
      <c r="J3" s="67"/>
    </row>
    <row r="4" spans="1:10">
      <c r="A4" s="81" t="s">
        <v>82</v>
      </c>
      <c r="B4" s="82"/>
      <c r="C4" s="82"/>
      <c r="D4" s="83"/>
      <c r="E4" s="66"/>
      <c r="F4" s="67"/>
      <c r="G4" s="73"/>
      <c r="H4" s="74"/>
      <c r="I4" s="66"/>
      <c r="J4" s="67"/>
    </row>
    <row r="5" spans="1:10">
      <c r="A5" s="81" t="s">
        <v>83</v>
      </c>
      <c r="B5" s="82"/>
      <c r="C5" s="82"/>
      <c r="D5" s="83"/>
      <c r="E5" s="66"/>
      <c r="F5" s="67"/>
      <c r="G5" s="73"/>
      <c r="H5" s="74"/>
      <c r="I5" s="66"/>
      <c r="J5" s="67"/>
    </row>
    <row r="6" spans="1:10">
      <c r="A6" s="68">
        <f ca="1">TODAY()</f>
        <v>45755</v>
      </c>
      <c r="B6" s="69"/>
      <c r="C6" s="69"/>
      <c r="D6" s="70"/>
      <c r="E6" s="41"/>
      <c r="F6" s="42"/>
      <c r="G6" s="41"/>
      <c r="H6" s="42"/>
      <c r="I6" s="41"/>
      <c r="J6" s="42"/>
    </row>
    <row r="7" spans="1:10" ht="32.25" customHeight="1">
      <c r="A7" s="10" t="s">
        <v>15</v>
      </c>
      <c r="B7" s="19" t="s">
        <v>16</v>
      </c>
      <c r="C7" s="37" t="s">
        <v>17</v>
      </c>
      <c r="D7" s="19" t="s">
        <v>18</v>
      </c>
      <c r="E7" s="43" t="s">
        <v>19</v>
      </c>
      <c r="F7" s="43" t="s">
        <v>20</v>
      </c>
      <c r="G7" s="43" t="s">
        <v>19</v>
      </c>
      <c r="H7" s="43" t="s">
        <v>20</v>
      </c>
      <c r="I7" s="43" t="s">
        <v>19</v>
      </c>
      <c r="J7" s="43" t="s">
        <v>20</v>
      </c>
    </row>
    <row r="8" spans="1:10" ht="33" customHeight="1">
      <c r="A8" s="11" t="str">
        <f>'Bid Item List'!A20</f>
        <v>0001</v>
      </c>
      <c r="B8" s="53" t="str">
        <f>'Bid Item List'!B20</f>
        <v>Mobilization, Surveying, Cleanup, and Demobilization (Section 012200)</v>
      </c>
      <c r="C8" s="38">
        <f>'Bid Item List'!C20</f>
        <v>1</v>
      </c>
      <c r="D8" s="20" t="str">
        <f>'Bid Item List'!D20</f>
        <v>LS</v>
      </c>
      <c r="E8" s="26">
        <v>75988</v>
      </c>
      <c r="F8" s="27">
        <f>QTY*E8</f>
        <v>75988</v>
      </c>
      <c r="G8" s="26">
        <v>83239.22</v>
      </c>
      <c r="H8" s="27">
        <f t="shared" ref="H8:H35" si="0">QTY*G8</f>
        <v>83239.22</v>
      </c>
      <c r="I8" s="26">
        <v>67336</v>
      </c>
      <c r="J8" s="27">
        <f t="shared" ref="J8:J35" si="1">QTY*I8</f>
        <v>67336</v>
      </c>
    </row>
    <row r="9" spans="1:10" ht="33" customHeight="1">
      <c r="A9" s="11" t="str">
        <f>'Bid Item List'!A21</f>
        <v>0002</v>
      </c>
      <c r="B9" s="53" t="str">
        <f>'Bid Item List'!B21</f>
        <v>Work Zone and Traffic Control 
(Section 012200)</v>
      </c>
      <c r="C9" s="38">
        <f>'Bid Item List'!C21</f>
        <v>1</v>
      </c>
      <c r="D9" s="20" t="str">
        <f>'Bid Item List'!D21</f>
        <v>LS</v>
      </c>
      <c r="E9" s="26">
        <v>35485</v>
      </c>
      <c r="F9" s="27">
        <f>QTY*E9</f>
        <v>35485</v>
      </c>
      <c r="G9" s="26">
        <v>170000</v>
      </c>
      <c r="H9" s="27">
        <f t="shared" si="0"/>
        <v>170000</v>
      </c>
      <c r="I9" s="26">
        <v>20000</v>
      </c>
      <c r="J9" s="27">
        <f t="shared" si="1"/>
        <v>20000</v>
      </c>
    </row>
    <row r="10" spans="1:10" ht="33" customHeight="1">
      <c r="A10" s="11" t="str">
        <f>'Bid Item List'!A22</f>
        <v>0003</v>
      </c>
      <c r="B10" s="53" t="str">
        <f>'Bid Item List'!B22</f>
        <v>Sweeper (Section 012200)</v>
      </c>
      <c r="C10" s="38">
        <f>'Bid Item List'!C22</f>
        <v>1</v>
      </c>
      <c r="D10" s="20" t="str">
        <f>'Bid Item List'!D22</f>
        <v>LS</v>
      </c>
      <c r="E10" s="26">
        <v>15450</v>
      </c>
      <c r="F10" s="27">
        <f t="shared" ref="F10:F35" si="2">QTY*E10</f>
        <v>15450</v>
      </c>
      <c r="G10" s="26">
        <v>40000</v>
      </c>
      <c r="H10" s="27">
        <f t="shared" si="0"/>
        <v>40000</v>
      </c>
      <c r="I10" s="26">
        <v>15000</v>
      </c>
      <c r="J10" s="27">
        <f t="shared" si="1"/>
        <v>15000</v>
      </c>
    </row>
    <row r="11" spans="1:10" ht="33" customHeight="1">
      <c r="A11" s="11" t="str">
        <f>'Bid Item List'!A23</f>
        <v>0004</v>
      </c>
      <c r="B11" s="53" t="str">
        <f>'Bid Item List'!B23</f>
        <v>Inlet Protection (Section 015713)</v>
      </c>
      <c r="C11" s="38">
        <f>'Bid Item List'!C23</f>
        <v>13</v>
      </c>
      <c r="D11" s="20" t="str">
        <f>'Bid Item List'!D23</f>
        <v>Each</v>
      </c>
      <c r="E11" s="26">
        <v>990.38</v>
      </c>
      <c r="F11" s="27">
        <f t="shared" si="2"/>
        <v>12874.94</v>
      </c>
      <c r="G11" s="26">
        <v>500</v>
      </c>
      <c r="H11" s="27">
        <f t="shared" si="0"/>
        <v>6500</v>
      </c>
      <c r="I11" s="26">
        <v>100</v>
      </c>
      <c r="J11" s="27">
        <f t="shared" si="1"/>
        <v>1300</v>
      </c>
    </row>
    <row r="12" spans="1:10" ht="33" customHeight="1">
      <c r="A12" s="11" t="str">
        <f>'Bid Item List'!A24</f>
        <v>0005</v>
      </c>
      <c r="B12" s="53" t="str">
        <f>'Bid Item List'!B24</f>
        <v>Surface Preparation - Remove Existing Markings (Item P-620)</v>
      </c>
      <c r="C12" s="56">
        <f>'Bid Item List'!C24</f>
        <v>59920</v>
      </c>
      <c r="D12" s="20" t="str">
        <f>'Bid Item List'!D24</f>
        <v>SF</v>
      </c>
      <c r="E12" s="26">
        <v>1.1399999999999999</v>
      </c>
      <c r="F12" s="27">
        <f t="shared" si="2"/>
        <v>68308.799999999988</v>
      </c>
      <c r="G12" s="26">
        <v>0.8</v>
      </c>
      <c r="H12" s="27">
        <f t="shared" si="0"/>
        <v>47936</v>
      </c>
      <c r="I12" s="26">
        <v>2</v>
      </c>
      <c r="J12" s="27">
        <f t="shared" si="1"/>
        <v>119840</v>
      </c>
    </row>
    <row r="13" spans="1:10" ht="33" customHeight="1">
      <c r="A13" s="11" t="str">
        <f>'Bid Item List'!A25</f>
        <v>0006</v>
      </c>
      <c r="B13" s="53" t="str">
        <f>'Bid Item List'!B25</f>
        <v>Pavement Markings
(Item P-620)</v>
      </c>
      <c r="C13" s="56">
        <f>'Bid Item List'!C25</f>
        <v>56090</v>
      </c>
      <c r="D13" s="20" t="str">
        <f>'Bid Item List'!D25</f>
        <v>SF</v>
      </c>
      <c r="E13" s="26">
        <v>0.85</v>
      </c>
      <c r="F13" s="27">
        <f t="shared" si="2"/>
        <v>47676.5</v>
      </c>
      <c r="G13" s="26">
        <v>0.75</v>
      </c>
      <c r="H13" s="27">
        <f t="shared" si="0"/>
        <v>42067.5</v>
      </c>
      <c r="I13" s="26">
        <v>1.5</v>
      </c>
      <c r="J13" s="27">
        <f t="shared" si="1"/>
        <v>84135</v>
      </c>
    </row>
    <row r="14" spans="1:10" ht="33" customHeight="1">
      <c r="A14" s="11" t="str">
        <f>'Bid Item List'!A26</f>
        <v>0007</v>
      </c>
      <c r="B14" s="53" t="str">
        <f>'Bid Item List'!B26</f>
        <v>Reflective Media
(Item P-620)</v>
      </c>
      <c r="C14" s="56">
        <f>'Bid Item List'!C26</f>
        <v>3420</v>
      </c>
      <c r="D14" s="20" t="str">
        <f>'Bid Item List'!D26</f>
        <v>LB</v>
      </c>
      <c r="E14" s="26">
        <v>0.88</v>
      </c>
      <c r="F14" s="27">
        <f t="shared" si="2"/>
        <v>3009.6</v>
      </c>
      <c r="G14" s="26">
        <v>0.6</v>
      </c>
      <c r="H14" s="27">
        <f t="shared" si="0"/>
        <v>2052</v>
      </c>
      <c r="I14" s="26">
        <v>0.6</v>
      </c>
      <c r="J14" s="27">
        <f t="shared" si="1"/>
        <v>2052</v>
      </c>
    </row>
    <row r="15" spans="1:10" ht="33" customHeight="1">
      <c r="A15" s="11" t="str">
        <f>'Bid Item List'!A27</f>
        <v>0008</v>
      </c>
      <c r="B15" s="53" t="str">
        <f>'Bid Item List'!B27</f>
        <v>Temporary Pavement Markings
(Item P-620)</v>
      </c>
      <c r="C15" s="56">
        <f>'Bid Item List'!C27</f>
        <v>56090</v>
      </c>
      <c r="D15" s="20" t="str">
        <f>'Bid Item List'!D27</f>
        <v>SF</v>
      </c>
      <c r="E15" s="26">
        <v>0.82</v>
      </c>
      <c r="F15" s="27">
        <f t="shared" si="2"/>
        <v>45993.799999999996</v>
      </c>
      <c r="G15" s="26">
        <v>0.75</v>
      </c>
      <c r="H15" s="27">
        <f t="shared" si="0"/>
        <v>42067.5</v>
      </c>
      <c r="I15" s="26">
        <v>1.5</v>
      </c>
      <c r="J15" s="27">
        <f t="shared" si="1"/>
        <v>84135</v>
      </c>
    </row>
    <row r="16" spans="1:10" ht="33" customHeight="1">
      <c r="A16" s="11" t="str">
        <f>'Bid Item List'!A28</f>
        <v>0009</v>
      </c>
      <c r="B16" s="53" t="str">
        <f>'Bid Item List'!B28</f>
        <v>Slurry Seal (Item P-626)</v>
      </c>
      <c r="C16" s="56">
        <f>'Bid Item List'!C28</f>
        <v>83900</v>
      </c>
      <c r="D16" s="20" t="str">
        <f>'Bid Item List'!D28</f>
        <v>SY</v>
      </c>
      <c r="E16" s="26">
        <v>2.21</v>
      </c>
      <c r="F16" s="27">
        <f t="shared" si="2"/>
        <v>185419</v>
      </c>
      <c r="G16" s="26">
        <v>3.4</v>
      </c>
      <c r="H16" s="27">
        <f t="shared" si="0"/>
        <v>285260</v>
      </c>
      <c r="I16" s="26">
        <v>2.75</v>
      </c>
      <c r="J16" s="27">
        <f t="shared" si="1"/>
        <v>230725</v>
      </c>
    </row>
    <row r="17" spans="1:10" ht="33" customHeight="1">
      <c r="A17" s="11" t="str">
        <f>'Bid Item List'!A29</f>
        <v>0010</v>
      </c>
      <c r="B17" s="53" t="str">
        <f>'Bid Item List'!B29</f>
        <v>Asphalt Pavement Removal - 2-3 Inch Depth
(Section 320117)</v>
      </c>
      <c r="C17" s="56">
        <f>'Bid Item List'!C29</f>
        <v>160</v>
      </c>
      <c r="D17" s="20" t="str">
        <f>'Bid Item List'!D29</f>
        <v>SY</v>
      </c>
      <c r="E17" s="26">
        <v>145</v>
      </c>
      <c r="F17" s="27">
        <f t="shared" ref="F17:F20" si="3">QTY*E17</f>
        <v>23200</v>
      </c>
      <c r="G17" s="26">
        <v>100</v>
      </c>
      <c r="H17" s="27">
        <f t="shared" ref="H17:H20" si="4">QTY*G17</f>
        <v>16000</v>
      </c>
      <c r="I17" s="26">
        <v>40</v>
      </c>
      <c r="J17" s="27">
        <f t="shared" ref="J17:J20" si="5">QTY*I17</f>
        <v>6400</v>
      </c>
    </row>
    <row r="18" spans="1:10" ht="33" customHeight="1">
      <c r="A18" s="11" t="str">
        <f>'Bid Item List'!A30</f>
        <v>0011</v>
      </c>
      <c r="B18" s="53" t="str">
        <f>'Bid Item List'!B30</f>
        <v>Asphalt Concrete Surface Course               (Section 320117)</v>
      </c>
      <c r="C18" s="56">
        <f>'Bid Item List'!C30</f>
        <v>30</v>
      </c>
      <c r="D18" s="20" t="str">
        <f>'Bid Item List'!D30</f>
        <v>Ton</v>
      </c>
      <c r="E18" s="26">
        <v>680</v>
      </c>
      <c r="F18" s="27">
        <f t="shared" si="3"/>
        <v>20400</v>
      </c>
      <c r="G18" s="26">
        <v>1500</v>
      </c>
      <c r="H18" s="27">
        <f t="shared" si="4"/>
        <v>45000</v>
      </c>
      <c r="I18" s="26">
        <v>500</v>
      </c>
      <c r="J18" s="27">
        <f t="shared" si="5"/>
        <v>15000</v>
      </c>
    </row>
    <row r="19" spans="1:10" ht="33" customHeight="1">
      <c r="A19" s="11" t="str">
        <f>'Bid Item List'!A31</f>
        <v>0012</v>
      </c>
      <c r="B19" s="53" t="str">
        <f>'Bid Item List'!B31</f>
        <v>Crack Repair (Section 320118)</v>
      </c>
      <c r="C19" s="56">
        <f>'Bid Item List'!C31</f>
        <v>4500</v>
      </c>
      <c r="D19" s="20" t="str">
        <f>'Bid Item List'!D31</f>
        <v>LF</v>
      </c>
      <c r="E19" s="26">
        <v>4.45</v>
      </c>
      <c r="F19" s="27">
        <f t="shared" si="3"/>
        <v>20025</v>
      </c>
      <c r="G19" s="26">
        <v>5.5</v>
      </c>
      <c r="H19" s="27">
        <f t="shared" si="4"/>
        <v>24750</v>
      </c>
      <c r="I19" s="26">
        <v>2.25</v>
      </c>
      <c r="J19" s="27">
        <f t="shared" si="5"/>
        <v>10125</v>
      </c>
    </row>
    <row r="20" spans="1:10" ht="33" customHeight="1">
      <c r="A20" s="11" t="str">
        <f>'Bid Item List'!A32</f>
        <v>0013</v>
      </c>
      <c r="B20" s="53" t="str">
        <f>'Bid Item List'!B32</f>
        <v>General Electrical Removal
(Section 260500)</v>
      </c>
      <c r="C20" s="38">
        <f>'Bid Item List'!C32</f>
        <v>1</v>
      </c>
      <c r="D20" s="20" t="str">
        <f>'Bid Item List'!D32</f>
        <v>LS</v>
      </c>
      <c r="E20" s="26">
        <v>4467</v>
      </c>
      <c r="F20" s="27">
        <f t="shared" si="3"/>
        <v>4467</v>
      </c>
      <c r="G20" s="26">
        <v>6000</v>
      </c>
      <c r="H20" s="27">
        <f t="shared" si="4"/>
        <v>6000</v>
      </c>
      <c r="I20" s="26">
        <v>30000</v>
      </c>
      <c r="J20" s="27">
        <f t="shared" si="5"/>
        <v>30000</v>
      </c>
    </row>
    <row r="21" spans="1:10" ht="33" customHeight="1">
      <c r="A21" s="11" t="str">
        <f>'Bid Item List'!A33</f>
        <v>0014</v>
      </c>
      <c r="B21" s="53" t="str">
        <f>'Bid Item List'!B33</f>
        <v>Temporary Circuit Connection 
(Section 260500)</v>
      </c>
      <c r="C21" s="38">
        <f>'Bid Item List'!C33</f>
        <v>1</v>
      </c>
      <c r="D21" s="20" t="str">
        <f>'Bid Item List'!D33</f>
        <v>LS</v>
      </c>
      <c r="E21" s="26">
        <v>8200</v>
      </c>
      <c r="F21" s="27">
        <f t="shared" si="2"/>
        <v>8200</v>
      </c>
      <c r="G21" s="26">
        <v>10000</v>
      </c>
      <c r="H21" s="27">
        <f t="shared" si="0"/>
        <v>10000</v>
      </c>
      <c r="I21" s="26">
        <v>8000</v>
      </c>
      <c r="J21" s="27">
        <f t="shared" si="1"/>
        <v>8000</v>
      </c>
    </row>
    <row r="22" spans="1:10" ht="33" customHeight="1">
      <c r="A22" s="11" t="str">
        <f>'Bid Item List'!A34</f>
        <v>0015</v>
      </c>
      <c r="B22" s="53" t="str">
        <f>'Bid Item List'!B34</f>
        <v>Install PF LED Elevated Runway End/Threshold Light on Existing Base Can with PF Transformer (Section 344300)</v>
      </c>
      <c r="C22" s="38">
        <f>'Bid Item List'!C34</f>
        <v>14</v>
      </c>
      <c r="D22" s="20" t="str">
        <f>'Bid Item List'!D34</f>
        <v>Each</v>
      </c>
      <c r="E22" s="26">
        <v>390.57</v>
      </c>
      <c r="F22" s="27">
        <f t="shared" si="2"/>
        <v>5467.98</v>
      </c>
      <c r="G22" s="26">
        <v>350</v>
      </c>
      <c r="H22" s="27">
        <f t="shared" si="0"/>
        <v>4900</v>
      </c>
      <c r="I22" s="26">
        <v>650</v>
      </c>
      <c r="J22" s="27">
        <f t="shared" si="1"/>
        <v>9100</v>
      </c>
    </row>
    <row r="23" spans="1:10" ht="33" customHeight="1">
      <c r="A23" s="11" t="str">
        <f>'Bid Item List'!A35</f>
        <v>0016</v>
      </c>
      <c r="B23" s="53" t="str">
        <f>'Bid Item List'!B35</f>
        <v>Install PF LED Elevated Runway Edge Light on Existing Base Can with PF Transformer
(Section 344300)</v>
      </c>
      <c r="C23" s="38">
        <f>'Bid Item List'!C35</f>
        <v>43</v>
      </c>
      <c r="D23" s="20" t="str">
        <f>'Bid Item List'!D35</f>
        <v>Each</v>
      </c>
      <c r="E23" s="26">
        <v>392.23</v>
      </c>
      <c r="F23" s="27">
        <f t="shared" si="2"/>
        <v>16865.89</v>
      </c>
      <c r="G23" s="26">
        <v>350</v>
      </c>
      <c r="H23" s="27">
        <f t="shared" si="0"/>
        <v>15050</v>
      </c>
      <c r="I23" s="26">
        <v>650</v>
      </c>
      <c r="J23" s="27">
        <f t="shared" si="1"/>
        <v>27950</v>
      </c>
    </row>
    <row r="24" spans="1:10" ht="33" customHeight="1">
      <c r="A24" s="11" t="str">
        <f>'Bid Item List'!A36</f>
        <v>0017</v>
      </c>
      <c r="B24" s="53" t="str">
        <f>'Bid Item List'!B36</f>
        <v>Install PF LED In-Pavement Runway Edge  Light on Existing Base Can with PF Transformer (Section 344300)</v>
      </c>
      <c r="C24" s="38">
        <f>'Bid Item List'!C36</f>
        <v>1</v>
      </c>
      <c r="D24" s="20" t="str">
        <f>'Bid Item List'!D36</f>
        <v>Each</v>
      </c>
      <c r="E24" s="26">
        <v>411.25</v>
      </c>
      <c r="F24" s="27">
        <f t="shared" si="2"/>
        <v>411.25</v>
      </c>
      <c r="G24" s="26">
        <v>300</v>
      </c>
      <c r="H24" s="27">
        <f t="shared" si="0"/>
        <v>300</v>
      </c>
      <c r="I24" s="26">
        <v>650</v>
      </c>
      <c r="J24" s="27">
        <f t="shared" si="1"/>
        <v>650</v>
      </c>
    </row>
    <row r="25" spans="1:10" ht="33" customHeight="1">
      <c r="A25" s="11" t="str">
        <f>'Bid Item List'!A37</f>
        <v>0018</v>
      </c>
      <c r="B25" s="53" t="str">
        <f>'Bid Item List'!B37</f>
        <v>Install PF Cover Plate on Existing Base Can with PF Bolts (Section 344300)</v>
      </c>
      <c r="C25" s="38">
        <f>'Bid Item List'!C37</f>
        <v>50</v>
      </c>
      <c r="D25" s="20" t="str">
        <f>'Bid Item List'!D37</f>
        <v>Each</v>
      </c>
      <c r="E25" s="26">
        <v>328.5</v>
      </c>
      <c r="F25" s="27">
        <f t="shared" si="2"/>
        <v>16425</v>
      </c>
      <c r="G25" s="26">
        <v>200</v>
      </c>
      <c r="H25" s="27">
        <f t="shared" si="0"/>
        <v>10000</v>
      </c>
      <c r="I25" s="26">
        <v>25</v>
      </c>
      <c r="J25" s="27">
        <f t="shared" si="1"/>
        <v>1250</v>
      </c>
    </row>
    <row r="26" spans="1:10" ht="33" customHeight="1">
      <c r="A26" s="11" t="str">
        <f>'Bid Item List'!A38</f>
        <v>0019</v>
      </c>
      <c r="B26" s="53" t="str">
        <f>'Bid Item List'!B38</f>
        <v>Install PF Taxiway Edge Reflector 
(Section 344300)</v>
      </c>
      <c r="C26" s="38">
        <f>'Bid Item List'!C38</f>
        <v>7</v>
      </c>
      <c r="D26" s="20" t="str">
        <f>'Bid Item List'!D38</f>
        <v>Each</v>
      </c>
      <c r="E26" s="26">
        <v>399</v>
      </c>
      <c r="F26" s="27">
        <f t="shared" si="2"/>
        <v>2793</v>
      </c>
      <c r="G26" s="26">
        <v>300</v>
      </c>
      <c r="H26" s="27">
        <f t="shared" si="0"/>
        <v>2100</v>
      </c>
      <c r="I26" s="26">
        <v>200</v>
      </c>
      <c r="J26" s="27">
        <f t="shared" si="1"/>
        <v>1400</v>
      </c>
    </row>
    <row r="27" spans="1:10" ht="33" customHeight="1">
      <c r="A27" s="11" t="str">
        <f>'Bid Item List'!A39</f>
        <v>0020</v>
      </c>
      <c r="B27" s="53" t="str">
        <f>'Bid Item List'!B39</f>
        <v>Sign A1-1 (Section 344302)</v>
      </c>
      <c r="C27" s="38">
        <f>'Bid Item List'!C39</f>
        <v>1</v>
      </c>
      <c r="D27" s="20" t="str">
        <f>'Bid Item List'!D39</f>
        <v>LS</v>
      </c>
      <c r="E27" s="26">
        <v>1301.25</v>
      </c>
      <c r="F27" s="27">
        <f t="shared" si="2"/>
        <v>1301.25</v>
      </c>
      <c r="G27" s="26">
        <v>2000</v>
      </c>
      <c r="H27" s="27">
        <f t="shared" si="0"/>
        <v>2000</v>
      </c>
      <c r="I27" s="26">
        <v>200</v>
      </c>
      <c r="J27" s="27">
        <f t="shared" si="1"/>
        <v>200</v>
      </c>
    </row>
    <row r="28" spans="1:10" ht="33" customHeight="1">
      <c r="A28" s="11" t="str">
        <f>'Bid Item List'!A40</f>
        <v>0021</v>
      </c>
      <c r="B28" s="53" t="str">
        <f>'Bid Item List'!B40</f>
        <v>Sign A7-2 (Section 344302)</v>
      </c>
      <c r="C28" s="38">
        <f>'Bid Item List'!C40</f>
        <v>1</v>
      </c>
      <c r="D28" s="20" t="str">
        <f>'Bid Item List'!D40</f>
        <v>LS</v>
      </c>
      <c r="E28" s="26">
        <v>1301.25</v>
      </c>
      <c r="F28" s="27">
        <f t="shared" ref="F28" si="6">QTY*E28</f>
        <v>1301.25</v>
      </c>
      <c r="G28" s="26">
        <v>2000</v>
      </c>
      <c r="H28" s="27">
        <f t="shared" ref="H28" si="7">QTY*G28</f>
        <v>2000</v>
      </c>
      <c r="I28" s="26">
        <v>250</v>
      </c>
      <c r="J28" s="27">
        <f t="shared" ref="J28" si="8">QTY*I28</f>
        <v>250</v>
      </c>
    </row>
    <row r="29" spans="1:10" ht="33" customHeight="1">
      <c r="A29" s="11" t="str">
        <f>'Bid Item List'!A41</f>
        <v>0022</v>
      </c>
      <c r="B29" s="53" t="str">
        <f>'Bid Item List'!B41</f>
        <v>Sign A8-1 (Section 344302)</v>
      </c>
      <c r="C29" s="38">
        <f>'Bid Item List'!C41</f>
        <v>1</v>
      </c>
      <c r="D29" s="20" t="str">
        <f>'Bid Item List'!D41</f>
        <v>LS</v>
      </c>
      <c r="E29" s="26">
        <v>1089.75</v>
      </c>
      <c r="F29" s="27">
        <f t="shared" si="2"/>
        <v>1089.75</v>
      </c>
      <c r="G29" s="26">
        <v>2000</v>
      </c>
      <c r="H29" s="27">
        <f t="shared" si="0"/>
        <v>2000</v>
      </c>
      <c r="I29" s="26">
        <v>300</v>
      </c>
      <c r="J29" s="27">
        <f t="shared" si="1"/>
        <v>300</v>
      </c>
    </row>
    <row r="30" spans="1:10" ht="33" customHeight="1">
      <c r="A30" s="11" t="str">
        <f>'Bid Item List'!A42</f>
        <v>0023</v>
      </c>
      <c r="B30" s="53" t="str">
        <f>'Bid Item List'!B42</f>
        <v>Sign A8-2 (Section 344302)</v>
      </c>
      <c r="C30" s="38">
        <f>'Bid Item List'!C42</f>
        <v>1</v>
      </c>
      <c r="D30" s="20" t="str">
        <f>'Bid Item List'!D42</f>
        <v>LS</v>
      </c>
      <c r="E30" s="26">
        <v>1089.75</v>
      </c>
      <c r="F30" s="27">
        <f t="shared" si="2"/>
        <v>1089.75</v>
      </c>
      <c r="G30" s="26">
        <v>2000</v>
      </c>
      <c r="H30" s="27">
        <f t="shared" si="0"/>
        <v>2000</v>
      </c>
      <c r="I30" s="26">
        <v>300</v>
      </c>
      <c r="J30" s="27">
        <f t="shared" si="1"/>
        <v>300</v>
      </c>
    </row>
    <row r="31" spans="1:10" ht="33" customHeight="1">
      <c r="A31" s="11" t="str">
        <f>'Bid Item List'!A43</f>
        <v>0024</v>
      </c>
      <c r="B31" s="53" t="str">
        <f>'Bid Item List'!B43</f>
        <v>Sign B1-1 (Section 344302)</v>
      </c>
      <c r="C31" s="38">
        <f>'Bid Item List'!C43</f>
        <v>1</v>
      </c>
      <c r="D31" s="20" t="str">
        <f>'Bid Item List'!D43</f>
        <v>LS</v>
      </c>
      <c r="E31" s="26">
        <v>1301.25</v>
      </c>
      <c r="F31" s="27">
        <f t="shared" si="2"/>
        <v>1301.25</v>
      </c>
      <c r="G31" s="26">
        <v>2000</v>
      </c>
      <c r="H31" s="27">
        <f t="shared" si="0"/>
        <v>2000</v>
      </c>
      <c r="I31" s="26">
        <v>200</v>
      </c>
      <c r="J31" s="27">
        <f t="shared" si="1"/>
        <v>200</v>
      </c>
    </row>
    <row r="32" spans="1:10" ht="33" customHeight="1">
      <c r="A32" s="11" t="str">
        <f>'Bid Item List'!A44</f>
        <v>0025</v>
      </c>
      <c r="B32" s="53" t="str">
        <f>'Bid Item List'!B44</f>
        <v>Sign B7-1 (Section 344302)</v>
      </c>
      <c r="C32" s="38">
        <f>'Bid Item List'!C44</f>
        <v>1</v>
      </c>
      <c r="D32" s="20" t="str">
        <f>'Bid Item List'!D44</f>
        <v>LS</v>
      </c>
      <c r="E32" s="26">
        <v>1301.25</v>
      </c>
      <c r="F32" s="27">
        <f t="shared" ref="F32" si="9">QTY*E32</f>
        <v>1301.25</v>
      </c>
      <c r="G32" s="26">
        <v>2000</v>
      </c>
      <c r="H32" s="27">
        <f t="shared" ref="H32" si="10">QTY*G32</f>
        <v>2000</v>
      </c>
      <c r="I32" s="26">
        <v>250</v>
      </c>
      <c r="J32" s="27">
        <f t="shared" ref="J32" si="11">QTY*I32</f>
        <v>250</v>
      </c>
    </row>
    <row r="33" spans="1:10" ht="33" customHeight="1">
      <c r="A33" s="11" t="str">
        <f>'Bid Item List'!A45</f>
        <v>0026</v>
      </c>
      <c r="B33" s="53" t="str">
        <f>'Bid Item List'!B45</f>
        <v>Sign B8-1 (Section 344302)</v>
      </c>
      <c r="C33" s="38">
        <f>'Bid Item List'!C45</f>
        <v>1</v>
      </c>
      <c r="D33" s="20" t="str">
        <f>'Bid Item List'!D45</f>
        <v>LS</v>
      </c>
      <c r="E33" s="26">
        <v>1089.75</v>
      </c>
      <c r="F33" s="27">
        <f t="shared" si="2"/>
        <v>1089.75</v>
      </c>
      <c r="G33" s="26">
        <v>2000</v>
      </c>
      <c r="H33" s="27">
        <f t="shared" si="0"/>
        <v>2000</v>
      </c>
      <c r="I33" s="26">
        <v>300</v>
      </c>
      <c r="J33" s="27">
        <f t="shared" si="1"/>
        <v>300</v>
      </c>
    </row>
    <row r="34" spans="1:10" ht="33" customHeight="1">
      <c r="A34" s="11" t="str">
        <f>'Bid Item List'!A46</f>
        <v>0027</v>
      </c>
      <c r="B34" s="53" t="str">
        <f>'Bid Item List'!B46</f>
        <v>Sign UL-1 Section 344302)</v>
      </c>
      <c r="C34" s="38">
        <f>'Bid Item List'!C46</f>
        <v>1</v>
      </c>
      <c r="D34" s="20" t="str">
        <f>'Bid Item List'!D46</f>
        <v>LS</v>
      </c>
      <c r="E34" s="26">
        <v>4619</v>
      </c>
      <c r="F34" s="27">
        <f t="shared" ref="F34" si="12">QTY*E34</f>
        <v>4619</v>
      </c>
      <c r="G34" s="26">
        <v>3000</v>
      </c>
      <c r="H34" s="27">
        <f t="shared" ref="H34" si="13">QTY*G34</f>
        <v>3000</v>
      </c>
      <c r="I34" s="26">
        <v>3000</v>
      </c>
      <c r="J34" s="27">
        <f t="shared" ref="J34" si="14">QTY*I34</f>
        <v>3000</v>
      </c>
    </row>
    <row r="35" spans="1:10" ht="33" customHeight="1">
      <c r="A35" s="11" t="str">
        <f>'Bid Item List'!A47</f>
        <v>0028</v>
      </c>
      <c r="B35" s="53" t="str">
        <f>'Bid Item List'!B47</f>
        <v>Sign UL-2 (Section 344302)</v>
      </c>
      <c r="C35" s="38">
        <f>'Bid Item List'!C47</f>
        <v>1</v>
      </c>
      <c r="D35" s="20" t="str">
        <f>'Bid Item List'!D47</f>
        <v>LS</v>
      </c>
      <c r="E35" s="26">
        <v>3096.5</v>
      </c>
      <c r="F35" s="27">
        <f t="shared" si="2"/>
        <v>3096.5</v>
      </c>
      <c r="G35" s="26">
        <v>3000</v>
      </c>
      <c r="H35" s="27">
        <f t="shared" si="0"/>
        <v>3000</v>
      </c>
      <c r="I35" s="26">
        <v>1500</v>
      </c>
      <c r="J35" s="27">
        <f t="shared" si="1"/>
        <v>1500</v>
      </c>
    </row>
    <row r="36" spans="1:10" ht="27.75" customHeight="1">
      <c r="A36" s="12"/>
      <c r="B36" s="21" t="s">
        <v>77</v>
      </c>
      <c r="C36" s="39"/>
      <c r="D36" s="22"/>
      <c r="E36" s="28"/>
      <c r="F36" s="28">
        <f>SUM(F8:F35)</f>
        <v>624650.51</v>
      </c>
      <c r="G36" s="28"/>
      <c r="H36" s="28">
        <f>SUM(H8:H35)</f>
        <v>873222.22</v>
      </c>
      <c r="I36" s="28"/>
      <c r="J36" s="28">
        <f>SUM(J8:J35)</f>
        <v>740698</v>
      </c>
    </row>
  </sheetData>
  <mergeCells count="9">
    <mergeCell ref="I1:J5"/>
    <mergeCell ref="A6:D6"/>
    <mergeCell ref="E1:F5"/>
    <mergeCell ref="G1:H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2"/>
  <sheetViews>
    <sheetView view="pageBreakPreview" zoomScaleNormal="75" zoomScaleSheetLayoutView="100" workbookViewId="0">
      <selection activeCell="A14" sqref="A14"/>
    </sheetView>
  </sheetViews>
  <sheetFormatPr defaultRowHeight="15"/>
  <cols>
    <col min="1" max="1" width="53.7109375" style="13" customWidth="1"/>
    <col min="2" max="2" width="27" style="48" customWidth="1"/>
  </cols>
  <sheetData>
    <row r="1" spans="1:2" ht="30" customHeight="1">
      <c r="A1" s="24" t="str">
        <f>ProjectLocation</f>
        <v>TROUTDALE AIRPORT</v>
      </c>
      <c r="B1" s="44"/>
    </row>
    <row r="2" spans="1:2" ht="15" customHeight="1">
      <c r="A2" s="25" t="str">
        <f>ProjectTitle</f>
        <v>RUNWAY 25 END RELOCATION AND SLURRY SEAL</v>
      </c>
      <c r="B2" s="45"/>
    </row>
    <row r="3" spans="1:2" ht="15" customHeight="1">
      <c r="A3" s="25">
        <f>ProjectTitle2</f>
        <v>0</v>
      </c>
      <c r="B3" s="45"/>
    </row>
    <row r="4" spans="1:2">
      <c r="A4" s="14" t="str">
        <f>EAN</f>
        <v>EAN 2021D017</v>
      </c>
      <c r="B4" s="45"/>
    </row>
    <row r="5" spans="1:2" ht="15" customHeight="1">
      <c r="A5" s="15" t="str">
        <f>SolicitationNo</f>
        <v>Solicitation No. 2022-8514</v>
      </c>
      <c r="B5" s="45"/>
    </row>
    <row r="6" spans="1:2" ht="15" customHeight="1">
      <c r="A6" s="16">
        <f ca="1">TODAY()</f>
        <v>45755</v>
      </c>
      <c r="B6" s="46"/>
    </row>
    <row r="7" spans="1:2" ht="33" customHeight="1">
      <c r="A7" s="17" t="s">
        <v>84</v>
      </c>
      <c r="B7" s="47" t="s">
        <v>20</v>
      </c>
    </row>
    <row r="8" spans="1:2" ht="33" customHeight="1">
      <c r="A8" s="18" t="str">
        <f>Contractor1</f>
        <v>C.R. Contracting, LLC</v>
      </c>
      <c r="B8" s="49">
        <f>Total1</f>
        <v>624650.51</v>
      </c>
    </row>
    <row r="9" spans="1:2" ht="33" customHeight="1">
      <c r="A9" s="18" t="str">
        <f>Contractor2</f>
        <v>Granite Construction Company</v>
      </c>
      <c r="B9" s="49">
        <f>Total2</f>
        <v>873222.22</v>
      </c>
    </row>
    <row r="10" spans="1:2" ht="33" customHeight="1">
      <c r="A10" s="54" t="str">
        <f>EngineerEstimate</f>
        <v>Engineer's Estimate</v>
      </c>
      <c r="B10" s="55">
        <f>TotalEE</f>
        <v>740698</v>
      </c>
    </row>
    <row r="11" spans="1:2">
      <c r="A11" s="50" t="s">
        <v>85</v>
      </c>
    </row>
    <row r="12" spans="1:2">
      <c r="A12" s="50" t="s">
        <v>86</v>
      </c>
    </row>
  </sheetData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AE4796-E851-4E63-B752-1EFAC22B24E6}"/>
</file>

<file path=customXml/itemProps2.xml><?xml version="1.0" encoding="utf-8"?>
<ds:datastoreItem xmlns:ds="http://schemas.openxmlformats.org/officeDocument/2006/customXml" ds:itemID="{C646AB13-148B-4688-87BF-1A2C5A05C7BE}"/>
</file>

<file path=customXml/itemProps3.xml><?xml version="1.0" encoding="utf-8"?>
<ds:datastoreItem xmlns:ds="http://schemas.openxmlformats.org/officeDocument/2006/customXml" ds:itemID="{4CAC1176-9716-4D67-AD35-F90F0FB38C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Port of Portland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Coleman, Amanda</cp:lastModifiedBy>
  <cp:revision/>
  <dcterms:created xsi:type="dcterms:W3CDTF">2014-05-02T22:08:37Z</dcterms:created>
  <dcterms:modified xsi:type="dcterms:W3CDTF">2025-04-08T13:55:23Z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