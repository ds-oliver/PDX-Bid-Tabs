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03"/>
  <workbookPr defaultThemeVersion="124226"/>
  <xr:revisionPtr revIDLastSave="0" documentId="11_344C775265C8F12389AADB9A571D001BDC3D0DFA" xr6:coauthVersionLast="47" xr6:coauthVersionMax="47" xr10:uidLastSave="{00000000-0000-0000-0000-000000000000}"/>
  <bookViews>
    <workbookView xWindow="12705" yWindow="-60" windowWidth="12645" windowHeight="12405" tabRatio="716" firstSheet="5" activeTab="5" xr2:uid="{00000000-000D-0000-FFFF-FFFF00000000}"/>
  </bookViews>
  <sheets>
    <sheet name="Bid Item List (small)" sheetId="1" r:id="rId1"/>
    <sheet name="Bid Tab (1-3)" sheetId="2" r:id="rId2"/>
    <sheet name="Bid Tab (4-6)" sheetId="8" r:id="rId3"/>
    <sheet name="Bid Tab (7-9)" sheetId="9" r:id="rId4"/>
    <sheet name="Bid Tab (10-12)" sheetId="10" r:id="rId5"/>
    <sheet name="Bid Tab (EE)" sheetId="11" r:id="rId6"/>
    <sheet name="Summary" sheetId="5" r:id="rId7"/>
  </sheets>
  <definedNames>
    <definedName name="_xlnm.Print_Area" localSheetId="0">'Bid Item List (small)'!$A$14:$F$50</definedName>
    <definedName name="_xlnm.Print_Area" localSheetId="4">'Bid Tab (10-12)'!$A$1:$J$39</definedName>
    <definedName name="_xlnm.Print_Area" localSheetId="1">'Bid Tab (1-3)'!$A$1:$J$39</definedName>
    <definedName name="_xlnm.Print_Area" localSheetId="2">'Bid Tab (4-6)'!$A$1:$J$39</definedName>
    <definedName name="_xlnm.Print_Area" localSheetId="3">'Bid Tab (7-9)'!$A$1:$J$39</definedName>
    <definedName name="_xlnm.Print_Area" localSheetId="5">'Bid Tab (EE)'!$A$1:$F$39</definedName>
    <definedName name="_xlnm.Print_Titles" localSheetId="0">'Bid Item List (small)'!$14:$19</definedName>
    <definedName name="_xlnm.Print_Titles" localSheetId="4">'Bid Tab (10-12)'!$1:$7</definedName>
    <definedName name="_xlnm.Print_Titles" localSheetId="1">'Bid Tab (1-3)'!$1:$7</definedName>
    <definedName name="_xlnm.Print_Titles" localSheetId="2">'Bid Tab (4-6)'!$1:$7</definedName>
    <definedName name="_xlnm.Print_Titles" localSheetId="3">'Bid Tab (7-9)'!$1:$7</definedName>
    <definedName name="_xlnm.Print_Titles" localSheetId="5">'Bid Tab (EE)'!$1:$7</definedName>
  </definedNames>
  <calcPr calcId="145621" calcCompleted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6" i="2" l="1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B20" i="5" l="1"/>
  <c r="B17" i="5"/>
  <c r="B9" i="5"/>
  <c r="B15" i="5"/>
  <c r="B12" i="5"/>
  <c r="B10" i="5"/>
  <c r="B16" i="5"/>
  <c r="B19" i="5"/>
  <c r="B14" i="5"/>
  <c r="B11" i="5"/>
  <c r="B8" i="5"/>
  <c r="B13" i="5"/>
  <c r="A20" i="5"/>
  <c r="A17" i="5"/>
  <c r="A9" i="5"/>
  <c r="A15" i="5"/>
  <c r="A12" i="5"/>
  <c r="A10" i="5"/>
  <c r="A16" i="5"/>
  <c r="A19" i="5"/>
  <c r="A14" i="5"/>
  <c r="A11" i="5"/>
  <c r="B18" i="5"/>
  <c r="D38" i="11" l="1"/>
  <c r="B38" i="11"/>
  <c r="D37" i="11"/>
  <c r="C37" i="11"/>
  <c r="F37" i="11" s="1"/>
  <c r="B37" i="11"/>
  <c r="A37" i="11"/>
  <c r="D36" i="11"/>
  <c r="C36" i="11"/>
  <c r="F36" i="11" s="1"/>
  <c r="B36" i="11"/>
  <c r="A36" i="11"/>
  <c r="D35" i="11"/>
  <c r="C35" i="11"/>
  <c r="B35" i="11"/>
  <c r="A35" i="11"/>
  <c r="D34" i="11"/>
  <c r="C34" i="11"/>
  <c r="B34" i="11"/>
  <c r="A34" i="11"/>
  <c r="D33" i="11"/>
  <c r="C33" i="11"/>
  <c r="F33" i="11" s="1"/>
  <c r="B33" i="11"/>
  <c r="A33" i="11"/>
  <c r="D32" i="11"/>
  <c r="C32" i="11"/>
  <c r="F32" i="11" s="1"/>
  <c r="B32" i="11"/>
  <c r="A32" i="11"/>
  <c r="D31" i="11"/>
  <c r="C31" i="11"/>
  <c r="B31" i="11"/>
  <c r="A31" i="11"/>
  <c r="D30" i="11"/>
  <c r="C30" i="11"/>
  <c r="B30" i="11"/>
  <c r="A30" i="11"/>
  <c r="D29" i="11"/>
  <c r="C29" i="11"/>
  <c r="F29" i="11" s="1"/>
  <c r="B29" i="11"/>
  <c r="A29" i="11"/>
  <c r="D28" i="11"/>
  <c r="C28" i="11"/>
  <c r="F28" i="11" s="1"/>
  <c r="B28" i="11"/>
  <c r="A28" i="11"/>
  <c r="D27" i="11"/>
  <c r="C27" i="11"/>
  <c r="B27" i="11"/>
  <c r="A27" i="11"/>
  <c r="D26" i="11"/>
  <c r="C26" i="11"/>
  <c r="B26" i="11"/>
  <c r="A26" i="11"/>
  <c r="D25" i="11"/>
  <c r="C25" i="11"/>
  <c r="F25" i="11" s="1"/>
  <c r="B25" i="11"/>
  <c r="A25" i="11"/>
  <c r="D24" i="11"/>
  <c r="C24" i="11"/>
  <c r="F24" i="11" s="1"/>
  <c r="B24" i="11"/>
  <c r="A24" i="11"/>
  <c r="D23" i="11"/>
  <c r="C23" i="11"/>
  <c r="B23" i="11"/>
  <c r="A23" i="11"/>
  <c r="D22" i="11"/>
  <c r="C22" i="11"/>
  <c r="B22" i="11"/>
  <c r="A22" i="11"/>
  <c r="D21" i="11"/>
  <c r="C21" i="11"/>
  <c r="F21" i="11" s="1"/>
  <c r="B21" i="11"/>
  <c r="A21" i="11"/>
  <c r="D20" i="11"/>
  <c r="C20" i="11"/>
  <c r="F20" i="11" s="1"/>
  <c r="B20" i="11"/>
  <c r="A20" i="11"/>
  <c r="D19" i="11"/>
  <c r="C19" i="11"/>
  <c r="B19" i="11"/>
  <c r="A19" i="11"/>
  <c r="D18" i="11"/>
  <c r="C18" i="11"/>
  <c r="B18" i="11"/>
  <c r="A18" i="11"/>
  <c r="D17" i="11"/>
  <c r="C17" i="11"/>
  <c r="F17" i="11" s="1"/>
  <c r="B17" i="11"/>
  <c r="A17" i="11"/>
  <c r="D16" i="11"/>
  <c r="C16" i="11"/>
  <c r="F16" i="11" s="1"/>
  <c r="B16" i="11"/>
  <c r="A16" i="11"/>
  <c r="D15" i="11"/>
  <c r="C15" i="11"/>
  <c r="B15" i="11"/>
  <c r="A15" i="11"/>
  <c r="D14" i="11"/>
  <c r="C14" i="11"/>
  <c r="B14" i="11"/>
  <c r="A14" i="11"/>
  <c r="D13" i="11"/>
  <c r="C13" i="11"/>
  <c r="F13" i="11" s="1"/>
  <c r="B13" i="11"/>
  <c r="A13" i="11"/>
  <c r="D12" i="11"/>
  <c r="C12" i="11"/>
  <c r="F12" i="11" s="1"/>
  <c r="B12" i="11"/>
  <c r="A12" i="11"/>
  <c r="D11" i="11"/>
  <c r="C11" i="11"/>
  <c r="B11" i="11"/>
  <c r="A11" i="11"/>
  <c r="D10" i="11"/>
  <c r="C10" i="11"/>
  <c r="B10" i="11"/>
  <c r="A10" i="11"/>
  <c r="D9" i="11"/>
  <c r="C9" i="11"/>
  <c r="F9" i="11" s="1"/>
  <c r="B9" i="11"/>
  <c r="A9" i="11"/>
  <c r="D8" i="11"/>
  <c r="C8" i="11"/>
  <c r="F8" i="11" s="1"/>
  <c r="B8" i="11"/>
  <c r="A8" i="11"/>
  <c r="A6" i="11"/>
  <c r="A3" i="11"/>
  <c r="A2" i="11"/>
  <c r="A1" i="11"/>
  <c r="J38" i="10"/>
  <c r="H38" i="2"/>
  <c r="J38" i="2"/>
  <c r="F38" i="2"/>
  <c r="A11" i="2"/>
  <c r="B11" i="2"/>
  <c r="C11" i="2"/>
  <c r="A12" i="2"/>
  <c r="B12" i="2"/>
  <c r="C12" i="2"/>
  <c r="A13" i="2"/>
  <c r="B13" i="2"/>
  <c r="C13" i="2"/>
  <c r="A14" i="2"/>
  <c r="B14" i="2"/>
  <c r="C14" i="2"/>
  <c r="A15" i="2"/>
  <c r="B15" i="2"/>
  <c r="C15" i="2"/>
  <c r="A16" i="2"/>
  <c r="B16" i="2"/>
  <c r="C16" i="2"/>
  <c r="A17" i="2"/>
  <c r="B17" i="2"/>
  <c r="C17" i="2"/>
  <c r="A18" i="2"/>
  <c r="B18" i="2"/>
  <c r="C18" i="2"/>
  <c r="A19" i="2"/>
  <c r="B19" i="2"/>
  <c r="C19" i="2"/>
  <c r="A20" i="2"/>
  <c r="B20" i="2"/>
  <c r="C20" i="2"/>
  <c r="A21" i="2"/>
  <c r="B21" i="2"/>
  <c r="C21" i="2"/>
  <c r="A22" i="2"/>
  <c r="B22" i="2"/>
  <c r="C22" i="2"/>
  <c r="A23" i="2"/>
  <c r="B23" i="2"/>
  <c r="C23" i="2"/>
  <c r="A24" i="2"/>
  <c r="B24" i="2"/>
  <c r="C24" i="2"/>
  <c r="A25" i="2"/>
  <c r="B25" i="2"/>
  <c r="C25" i="2"/>
  <c r="A26" i="2"/>
  <c r="B26" i="2"/>
  <c r="C26" i="2"/>
  <c r="A27" i="2"/>
  <c r="B27" i="2"/>
  <c r="C27" i="2"/>
  <c r="A28" i="2"/>
  <c r="B28" i="2"/>
  <c r="C28" i="2"/>
  <c r="A29" i="2"/>
  <c r="B29" i="2"/>
  <c r="C29" i="2"/>
  <c r="A30" i="2"/>
  <c r="B30" i="2"/>
  <c r="C30" i="2"/>
  <c r="A31" i="2"/>
  <c r="B31" i="2"/>
  <c r="C31" i="2"/>
  <c r="A32" i="2"/>
  <c r="B32" i="2"/>
  <c r="C32" i="2"/>
  <c r="A33" i="2"/>
  <c r="B33" i="2"/>
  <c r="C33" i="2"/>
  <c r="A34" i="2"/>
  <c r="B34" i="2"/>
  <c r="C34" i="2"/>
  <c r="A35" i="2"/>
  <c r="B35" i="2"/>
  <c r="C35" i="2"/>
  <c r="A36" i="2"/>
  <c r="B36" i="2"/>
  <c r="C36" i="2"/>
  <c r="A37" i="2"/>
  <c r="B37" i="2"/>
  <c r="C37" i="2"/>
  <c r="H38" i="10"/>
  <c r="J38" i="8"/>
  <c r="F38" i="9"/>
  <c r="H38" i="9"/>
  <c r="A11" i="10"/>
  <c r="B11" i="10"/>
  <c r="C11" i="10"/>
  <c r="D11" i="10"/>
  <c r="A12" i="10"/>
  <c r="B12" i="10"/>
  <c r="C12" i="10"/>
  <c r="D12" i="10"/>
  <c r="A13" i="10"/>
  <c r="B13" i="10"/>
  <c r="C13" i="10"/>
  <c r="D13" i="10"/>
  <c r="A14" i="10"/>
  <c r="B14" i="10"/>
  <c r="C14" i="10"/>
  <c r="D14" i="10"/>
  <c r="A15" i="10"/>
  <c r="B15" i="10"/>
  <c r="C15" i="10"/>
  <c r="D15" i="10"/>
  <c r="A16" i="10"/>
  <c r="B16" i="10"/>
  <c r="C16" i="10"/>
  <c r="D16" i="10"/>
  <c r="A17" i="10"/>
  <c r="B17" i="10"/>
  <c r="C17" i="10"/>
  <c r="D17" i="10"/>
  <c r="A18" i="10"/>
  <c r="B18" i="10"/>
  <c r="C18" i="10"/>
  <c r="D18" i="10"/>
  <c r="A19" i="10"/>
  <c r="B19" i="10"/>
  <c r="C19" i="10"/>
  <c r="D19" i="10"/>
  <c r="A20" i="10"/>
  <c r="B20" i="10"/>
  <c r="C20" i="10"/>
  <c r="D20" i="10"/>
  <c r="A21" i="10"/>
  <c r="B21" i="10"/>
  <c r="C21" i="10"/>
  <c r="D21" i="10"/>
  <c r="A22" i="10"/>
  <c r="B22" i="10"/>
  <c r="C22" i="10"/>
  <c r="D22" i="10"/>
  <c r="A23" i="10"/>
  <c r="B23" i="10"/>
  <c r="C23" i="10"/>
  <c r="D23" i="10"/>
  <c r="A24" i="10"/>
  <c r="B24" i="10"/>
  <c r="C24" i="10"/>
  <c r="D24" i="10"/>
  <c r="A25" i="10"/>
  <c r="B25" i="10"/>
  <c r="C25" i="10"/>
  <c r="D25" i="10"/>
  <c r="A26" i="10"/>
  <c r="B26" i="10"/>
  <c r="C26" i="10"/>
  <c r="D26" i="10"/>
  <c r="A27" i="10"/>
  <c r="B27" i="10"/>
  <c r="C27" i="10"/>
  <c r="D27" i="10"/>
  <c r="A28" i="10"/>
  <c r="B28" i="10"/>
  <c r="C28" i="10"/>
  <c r="D28" i="10"/>
  <c r="A29" i="10"/>
  <c r="B29" i="10"/>
  <c r="C29" i="10"/>
  <c r="D29" i="10"/>
  <c r="A30" i="10"/>
  <c r="B30" i="10"/>
  <c r="C30" i="10"/>
  <c r="D30" i="10"/>
  <c r="A31" i="10"/>
  <c r="B31" i="10"/>
  <c r="C31" i="10"/>
  <c r="D31" i="10"/>
  <c r="A32" i="10"/>
  <c r="B32" i="10"/>
  <c r="C32" i="10"/>
  <c r="D32" i="10"/>
  <c r="A33" i="10"/>
  <c r="B33" i="10"/>
  <c r="C33" i="10"/>
  <c r="D33" i="10"/>
  <c r="A34" i="10"/>
  <c r="B34" i="10"/>
  <c r="C34" i="10"/>
  <c r="D34" i="10"/>
  <c r="A35" i="10"/>
  <c r="B35" i="10"/>
  <c r="C35" i="10"/>
  <c r="D35" i="10"/>
  <c r="A36" i="10"/>
  <c r="B36" i="10"/>
  <c r="C36" i="10"/>
  <c r="D36" i="10"/>
  <c r="A37" i="10"/>
  <c r="B37" i="10"/>
  <c r="C37" i="10"/>
  <c r="D37" i="10"/>
  <c r="A11" i="8"/>
  <c r="B11" i="8"/>
  <c r="C11" i="8"/>
  <c r="D11" i="8"/>
  <c r="A12" i="8"/>
  <c r="B12" i="8"/>
  <c r="C12" i="8"/>
  <c r="D12" i="8"/>
  <c r="A13" i="8"/>
  <c r="B13" i="8"/>
  <c r="C13" i="8"/>
  <c r="D13" i="8"/>
  <c r="A14" i="8"/>
  <c r="B14" i="8"/>
  <c r="C14" i="8"/>
  <c r="D14" i="8"/>
  <c r="A15" i="8"/>
  <c r="B15" i="8"/>
  <c r="C15" i="8"/>
  <c r="D15" i="8"/>
  <c r="A16" i="8"/>
  <c r="B16" i="8"/>
  <c r="C16" i="8"/>
  <c r="D16" i="8"/>
  <c r="A17" i="8"/>
  <c r="B17" i="8"/>
  <c r="C17" i="8"/>
  <c r="H17" i="8" s="1"/>
  <c r="D17" i="8"/>
  <c r="A18" i="8"/>
  <c r="B18" i="8"/>
  <c r="C18" i="8"/>
  <c r="D18" i="8"/>
  <c r="A19" i="8"/>
  <c r="B19" i="8"/>
  <c r="C19" i="8"/>
  <c r="F19" i="8" s="1"/>
  <c r="D19" i="8"/>
  <c r="A20" i="8"/>
  <c r="B20" i="8"/>
  <c r="C20" i="8"/>
  <c r="D20" i="8"/>
  <c r="A21" i="8"/>
  <c r="B21" i="8"/>
  <c r="C21" i="8"/>
  <c r="J21" i="8" s="1"/>
  <c r="D21" i="8"/>
  <c r="A22" i="8"/>
  <c r="B22" i="8"/>
  <c r="C22" i="8"/>
  <c r="D22" i="8"/>
  <c r="A23" i="8"/>
  <c r="B23" i="8"/>
  <c r="C23" i="8"/>
  <c r="F23" i="8" s="1"/>
  <c r="D23" i="8"/>
  <c r="A24" i="8"/>
  <c r="B24" i="8"/>
  <c r="C24" i="8"/>
  <c r="D24" i="8"/>
  <c r="A25" i="8"/>
  <c r="B25" i="8"/>
  <c r="C25" i="8"/>
  <c r="H25" i="8" s="1"/>
  <c r="D25" i="8"/>
  <c r="A26" i="8"/>
  <c r="B26" i="8"/>
  <c r="C26" i="8"/>
  <c r="D26" i="8"/>
  <c r="A27" i="8"/>
  <c r="B27" i="8"/>
  <c r="C27" i="8"/>
  <c r="F27" i="8" s="1"/>
  <c r="D27" i="8"/>
  <c r="A28" i="8"/>
  <c r="B28" i="8"/>
  <c r="C28" i="8"/>
  <c r="D28" i="8"/>
  <c r="A29" i="8"/>
  <c r="B29" i="8"/>
  <c r="C29" i="8"/>
  <c r="H29" i="8" s="1"/>
  <c r="D29" i="8"/>
  <c r="A30" i="8"/>
  <c r="B30" i="8"/>
  <c r="C30" i="8"/>
  <c r="D30" i="8"/>
  <c r="A31" i="8"/>
  <c r="B31" i="8"/>
  <c r="C31" i="8"/>
  <c r="F31" i="8" s="1"/>
  <c r="D31" i="8"/>
  <c r="A32" i="8"/>
  <c r="B32" i="8"/>
  <c r="C32" i="8"/>
  <c r="D32" i="8"/>
  <c r="A33" i="8"/>
  <c r="B33" i="8"/>
  <c r="C33" i="8"/>
  <c r="H33" i="8" s="1"/>
  <c r="D33" i="8"/>
  <c r="A34" i="8"/>
  <c r="B34" i="8"/>
  <c r="C34" i="8"/>
  <c r="J34" i="8" s="1"/>
  <c r="D34" i="8"/>
  <c r="A35" i="8"/>
  <c r="B35" i="8"/>
  <c r="C35" i="8"/>
  <c r="J35" i="8" s="1"/>
  <c r="D35" i="8"/>
  <c r="A36" i="8"/>
  <c r="B36" i="8"/>
  <c r="C36" i="8"/>
  <c r="H36" i="8" s="1"/>
  <c r="D36" i="8"/>
  <c r="A37" i="8"/>
  <c r="B37" i="8"/>
  <c r="C37" i="8"/>
  <c r="J37" i="8" s="1"/>
  <c r="D37" i="8"/>
  <c r="A11" i="9"/>
  <c r="B11" i="9"/>
  <c r="C11" i="9"/>
  <c r="H11" i="9" s="1"/>
  <c r="D11" i="9"/>
  <c r="F11" i="9"/>
  <c r="A12" i="9"/>
  <c r="B12" i="9"/>
  <c r="C12" i="9"/>
  <c r="F12" i="9" s="1"/>
  <c r="D12" i="9"/>
  <c r="A13" i="9"/>
  <c r="B13" i="9"/>
  <c r="C13" i="9"/>
  <c r="H13" i="9" s="1"/>
  <c r="D13" i="9"/>
  <c r="F13" i="9"/>
  <c r="A14" i="9"/>
  <c r="B14" i="9"/>
  <c r="C14" i="9"/>
  <c r="F14" i="9" s="1"/>
  <c r="D14" i="9"/>
  <c r="A15" i="9"/>
  <c r="B15" i="9"/>
  <c r="C15" i="9"/>
  <c r="H15" i="9" s="1"/>
  <c r="D15" i="9"/>
  <c r="F15" i="9"/>
  <c r="A16" i="9"/>
  <c r="B16" i="9"/>
  <c r="C16" i="9"/>
  <c r="F16" i="9" s="1"/>
  <c r="D16" i="9"/>
  <c r="A17" i="9"/>
  <c r="B17" i="9"/>
  <c r="C17" i="9"/>
  <c r="H17" i="9" s="1"/>
  <c r="D17" i="9"/>
  <c r="F17" i="9"/>
  <c r="A18" i="9"/>
  <c r="B18" i="9"/>
  <c r="C18" i="9"/>
  <c r="F18" i="9" s="1"/>
  <c r="D18" i="9"/>
  <c r="A19" i="9"/>
  <c r="B19" i="9"/>
  <c r="C19" i="9"/>
  <c r="H19" i="9" s="1"/>
  <c r="D19" i="9"/>
  <c r="F19" i="9"/>
  <c r="A20" i="9"/>
  <c r="B20" i="9"/>
  <c r="C20" i="9"/>
  <c r="F20" i="9" s="1"/>
  <c r="D20" i="9"/>
  <c r="A21" i="9"/>
  <c r="B21" i="9"/>
  <c r="C21" i="9"/>
  <c r="H21" i="9" s="1"/>
  <c r="D21" i="9"/>
  <c r="F21" i="9"/>
  <c r="A22" i="9"/>
  <c r="B22" i="9"/>
  <c r="C22" i="9"/>
  <c r="F22" i="9" s="1"/>
  <c r="D22" i="9"/>
  <c r="A23" i="9"/>
  <c r="B23" i="9"/>
  <c r="C23" i="9"/>
  <c r="H23" i="9" s="1"/>
  <c r="D23" i="9"/>
  <c r="F23" i="9"/>
  <c r="A24" i="9"/>
  <c r="B24" i="9"/>
  <c r="C24" i="9"/>
  <c r="F24" i="9" s="1"/>
  <c r="D24" i="9"/>
  <c r="A25" i="9"/>
  <c r="B25" i="9"/>
  <c r="C25" i="9"/>
  <c r="H25" i="9" s="1"/>
  <c r="D25" i="9"/>
  <c r="F25" i="9"/>
  <c r="A26" i="9"/>
  <c r="B26" i="9"/>
  <c r="C26" i="9"/>
  <c r="F26" i="9" s="1"/>
  <c r="D26" i="9"/>
  <c r="A27" i="9"/>
  <c r="B27" i="9"/>
  <c r="C27" i="9"/>
  <c r="H27" i="9" s="1"/>
  <c r="D27" i="9"/>
  <c r="F27" i="9"/>
  <c r="A28" i="9"/>
  <c r="B28" i="9"/>
  <c r="C28" i="9"/>
  <c r="F28" i="9" s="1"/>
  <c r="D28" i="9"/>
  <c r="A29" i="9"/>
  <c r="B29" i="9"/>
  <c r="C29" i="9"/>
  <c r="H29" i="9" s="1"/>
  <c r="D29" i="9"/>
  <c r="F29" i="9"/>
  <c r="A30" i="9"/>
  <c r="B30" i="9"/>
  <c r="C30" i="9"/>
  <c r="F30" i="9" s="1"/>
  <c r="D30" i="9"/>
  <c r="A31" i="9"/>
  <c r="B31" i="9"/>
  <c r="C31" i="9"/>
  <c r="H31" i="9" s="1"/>
  <c r="D31" i="9"/>
  <c r="F31" i="9"/>
  <c r="A32" i="9"/>
  <c r="B32" i="9"/>
  <c r="C32" i="9"/>
  <c r="F32" i="9" s="1"/>
  <c r="D32" i="9"/>
  <c r="A33" i="9"/>
  <c r="B33" i="9"/>
  <c r="C33" i="9"/>
  <c r="H33" i="9" s="1"/>
  <c r="D33" i="9"/>
  <c r="F33" i="9"/>
  <c r="A34" i="9"/>
  <c r="B34" i="9"/>
  <c r="C34" i="9"/>
  <c r="F34" i="9" s="1"/>
  <c r="D34" i="9"/>
  <c r="A35" i="9"/>
  <c r="B35" i="9"/>
  <c r="C35" i="9"/>
  <c r="H35" i="9" s="1"/>
  <c r="D35" i="9"/>
  <c r="F35" i="9"/>
  <c r="A36" i="9"/>
  <c r="B36" i="9"/>
  <c r="C36" i="9"/>
  <c r="F36" i="9" s="1"/>
  <c r="D36" i="9"/>
  <c r="A37" i="9"/>
  <c r="B37" i="9"/>
  <c r="C37" i="9"/>
  <c r="H37" i="9" s="1"/>
  <c r="D37" i="9"/>
  <c r="F37" i="9"/>
  <c r="D38" i="10"/>
  <c r="B38" i="10"/>
  <c r="J37" i="10"/>
  <c r="H36" i="10"/>
  <c r="J36" i="10"/>
  <c r="H35" i="10"/>
  <c r="F35" i="10"/>
  <c r="J35" i="10"/>
  <c r="F34" i="10"/>
  <c r="J34" i="10"/>
  <c r="J33" i="10"/>
  <c r="H32" i="10"/>
  <c r="J32" i="10"/>
  <c r="H31" i="10"/>
  <c r="F31" i="10"/>
  <c r="J31" i="10"/>
  <c r="H30" i="10"/>
  <c r="F30" i="10"/>
  <c r="J30" i="10"/>
  <c r="J29" i="10"/>
  <c r="H28" i="10"/>
  <c r="J28" i="10"/>
  <c r="H27" i="10"/>
  <c r="F27" i="10"/>
  <c r="J27" i="10"/>
  <c r="H26" i="10"/>
  <c r="F26" i="10"/>
  <c r="J26" i="10"/>
  <c r="H25" i="10"/>
  <c r="H24" i="10"/>
  <c r="J24" i="10"/>
  <c r="H23" i="10"/>
  <c r="F23" i="10"/>
  <c r="J23" i="10"/>
  <c r="H22" i="10"/>
  <c r="F22" i="10"/>
  <c r="J22" i="10"/>
  <c r="H21" i="10"/>
  <c r="H20" i="10"/>
  <c r="J20" i="10"/>
  <c r="H19" i="10"/>
  <c r="F19" i="10"/>
  <c r="J19" i="10"/>
  <c r="H18" i="10"/>
  <c r="F18" i="10"/>
  <c r="J18" i="10"/>
  <c r="J17" i="10"/>
  <c r="H16" i="10"/>
  <c r="J16" i="10"/>
  <c r="H15" i="10"/>
  <c r="F15" i="10"/>
  <c r="J15" i="10"/>
  <c r="H14" i="10"/>
  <c r="F14" i="10"/>
  <c r="J14" i="10"/>
  <c r="J13" i="10"/>
  <c r="H12" i="10"/>
  <c r="J12" i="10"/>
  <c r="H11" i="10"/>
  <c r="F11" i="10"/>
  <c r="J11" i="10"/>
  <c r="H10" i="10"/>
  <c r="F10" i="10"/>
  <c r="D10" i="10"/>
  <c r="C10" i="10"/>
  <c r="J10" i="10" s="1"/>
  <c r="B10" i="10"/>
  <c r="A10" i="10"/>
  <c r="D9" i="10"/>
  <c r="C9" i="10"/>
  <c r="H9" i="10" s="1"/>
  <c r="B9" i="10"/>
  <c r="A9" i="10"/>
  <c r="H8" i="10"/>
  <c r="D8" i="10"/>
  <c r="C8" i="10"/>
  <c r="J8" i="10" s="1"/>
  <c r="B8" i="10"/>
  <c r="A8" i="10"/>
  <c r="A6" i="10"/>
  <c r="A3" i="10"/>
  <c r="A2" i="10"/>
  <c r="A1" i="10"/>
  <c r="D38" i="9"/>
  <c r="B38" i="9"/>
  <c r="J34" i="9"/>
  <c r="J30" i="9"/>
  <c r="J27" i="9"/>
  <c r="J26" i="9"/>
  <c r="J23" i="9"/>
  <c r="J22" i="9"/>
  <c r="J19" i="9"/>
  <c r="J18" i="9"/>
  <c r="J15" i="9"/>
  <c r="J14" i="9"/>
  <c r="J11" i="9"/>
  <c r="F10" i="9"/>
  <c r="D10" i="9"/>
  <c r="C10" i="9"/>
  <c r="J10" i="9" s="1"/>
  <c r="B10" i="9"/>
  <c r="A10" i="9"/>
  <c r="D9" i="9"/>
  <c r="C9" i="9"/>
  <c r="H9" i="9" s="1"/>
  <c r="B9" i="9"/>
  <c r="A9" i="9"/>
  <c r="H8" i="9"/>
  <c r="D8" i="9"/>
  <c r="C8" i="9"/>
  <c r="F8" i="9" s="1"/>
  <c r="B8" i="9"/>
  <c r="A8" i="9"/>
  <c r="A6" i="9"/>
  <c r="A3" i="9"/>
  <c r="A2" i="9"/>
  <c r="A1" i="9"/>
  <c r="D38" i="8"/>
  <c r="B38" i="8"/>
  <c r="H37" i="8"/>
  <c r="J36" i="8"/>
  <c r="F35" i="8"/>
  <c r="F34" i="8"/>
  <c r="J33" i="8"/>
  <c r="H32" i="8"/>
  <c r="J32" i="8"/>
  <c r="H31" i="8"/>
  <c r="J31" i="8"/>
  <c r="F30" i="8"/>
  <c r="J30" i="8"/>
  <c r="H28" i="8"/>
  <c r="J28" i="8"/>
  <c r="H27" i="8"/>
  <c r="J27" i="8"/>
  <c r="F26" i="8"/>
  <c r="J26" i="8"/>
  <c r="H24" i="8"/>
  <c r="J24" i="8"/>
  <c r="H23" i="8"/>
  <c r="J23" i="8"/>
  <c r="F22" i="8"/>
  <c r="J22" i="8"/>
  <c r="H20" i="8"/>
  <c r="J20" i="8"/>
  <c r="H19" i="8"/>
  <c r="J19" i="8"/>
  <c r="F18" i="8"/>
  <c r="J18" i="8"/>
  <c r="H16" i="8"/>
  <c r="J16" i="8"/>
  <c r="H15" i="8"/>
  <c r="F15" i="8"/>
  <c r="J15" i="8"/>
  <c r="F14" i="8"/>
  <c r="J14" i="8"/>
  <c r="J13" i="8"/>
  <c r="H12" i="8"/>
  <c r="J12" i="8"/>
  <c r="H11" i="8"/>
  <c r="F11" i="8"/>
  <c r="J11" i="8"/>
  <c r="F10" i="8"/>
  <c r="D10" i="8"/>
  <c r="C10" i="8"/>
  <c r="J10" i="8" s="1"/>
  <c r="B10" i="8"/>
  <c r="A10" i="8"/>
  <c r="D9" i="8"/>
  <c r="C9" i="8"/>
  <c r="H9" i="8" s="1"/>
  <c r="B9" i="8"/>
  <c r="A9" i="8"/>
  <c r="H8" i="8"/>
  <c r="D8" i="8"/>
  <c r="C8" i="8"/>
  <c r="J8" i="8" s="1"/>
  <c r="B8" i="8"/>
  <c r="A8" i="8"/>
  <c r="A6" i="8"/>
  <c r="A3" i="8"/>
  <c r="A2" i="8"/>
  <c r="A1" i="8"/>
  <c r="B38" i="2"/>
  <c r="D38" i="2"/>
  <c r="H31" i="2"/>
  <c r="F32" i="2"/>
  <c r="H32" i="2"/>
  <c r="J32" i="2"/>
  <c r="H33" i="2"/>
  <c r="F33" i="2"/>
  <c r="J33" i="2"/>
  <c r="F34" i="2"/>
  <c r="H34" i="2"/>
  <c r="J34" i="2"/>
  <c r="H35" i="2"/>
  <c r="J35" i="2"/>
  <c r="F36" i="2"/>
  <c r="H36" i="2"/>
  <c r="J36" i="2"/>
  <c r="H37" i="2"/>
  <c r="F37" i="2"/>
  <c r="J37" i="2"/>
  <c r="F17" i="2"/>
  <c r="H17" i="2"/>
  <c r="J17" i="2"/>
  <c r="F18" i="2"/>
  <c r="H18" i="2"/>
  <c r="J18" i="2"/>
  <c r="F19" i="2"/>
  <c r="J19" i="2"/>
  <c r="F20" i="2"/>
  <c r="H20" i="2"/>
  <c r="J20" i="2"/>
  <c r="F21" i="2"/>
  <c r="H21" i="2"/>
  <c r="J21" i="2"/>
  <c r="F22" i="2"/>
  <c r="H22" i="2"/>
  <c r="J22" i="2"/>
  <c r="F23" i="2"/>
  <c r="J23" i="2"/>
  <c r="F24" i="2"/>
  <c r="H24" i="2"/>
  <c r="J24" i="2"/>
  <c r="F25" i="2"/>
  <c r="H25" i="2"/>
  <c r="J25" i="2"/>
  <c r="F26" i="2"/>
  <c r="H26" i="2"/>
  <c r="J26" i="2"/>
  <c r="F27" i="2"/>
  <c r="J27" i="2"/>
  <c r="F28" i="2"/>
  <c r="H28" i="2"/>
  <c r="J28" i="2"/>
  <c r="F29" i="2"/>
  <c r="H29" i="2"/>
  <c r="J29" i="2"/>
  <c r="F30" i="2"/>
  <c r="H30" i="2"/>
  <c r="J30" i="2"/>
  <c r="F11" i="11" l="1"/>
  <c r="F15" i="11"/>
  <c r="F19" i="11"/>
  <c r="F23" i="11"/>
  <c r="F27" i="11"/>
  <c r="F31" i="11"/>
  <c r="F35" i="11"/>
  <c r="F10" i="11"/>
  <c r="F14" i="11"/>
  <c r="F18" i="11"/>
  <c r="F22" i="11"/>
  <c r="F26" i="11"/>
  <c r="F30" i="11"/>
  <c r="F34" i="11"/>
  <c r="H35" i="8"/>
  <c r="J35" i="9"/>
  <c r="H36" i="9"/>
  <c r="H34" i="9"/>
  <c r="H32" i="9"/>
  <c r="H30" i="9"/>
  <c r="H28" i="9"/>
  <c r="H26" i="9"/>
  <c r="H24" i="9"/>
  <c r="H22" i="9"/>
  <c r="H20" i="9"/>
  <c r="H18" i="9"/>
  <c r="H16" i="9"/>
  <c r="H14" i="9"/>
  <c r="H12" i="9"/>
  <c r="J31" i="9"/>
  <c r="J9" i="10"/>
  <c r="J25" i="10"/>
  <c r="F9" i="10"/>
  <c r="F13" i="10"/>
  <c r="F17" i="10"/>
  <c r="F21" i="10"/>
  <c r="F38" i="10" s="1"/>
  <c r="F25" i="10"/>
  <c r="F29" i="10"/>
  <c r="F33" i="10"/>
  <c r="H34" i="10"/>
  <c r="F37" i="10"/>
  <c r="J21" i="10"/>
  <c r="F8" i="10"/>
  <c r="F12" i="10"/>
  <c r="H13" i="10"/>
  <c r="F16" i="10"/>
  <c r="H17" i="10"/>
  <c r="F20" i="10"/>
  <c r="F24" i="10"/>
  <c r="F28" i="10"/>
  <c r="H29" i="10"/>
  <c r="F32" i="10"/>
  <c r="H33" i="10"/>
  <c r="F36" i="10"/>
  <c r="H37" i="10"/>
  <c r="J13" i="9"/>
  <c r="J17" i="9"/>
  <c r="J21" i="9"/>
  <c r="J25" i="9"/>
  <c r="J29" i="9"/>
  <c r="J33" i="9"/>
  <c r="J16" i="9"/>
  <c r="J20" i="9"/>
  <c r="F9" i="9"/>
  <c r="H10" i="9"/>
  <c r="J9" i="9"/>
  <c r="J37" i="9"/>
  <c r="J8" i="9"/>
  <c r="J12" i="9"/>
  <c r="J24" i="9"/>
  <c r="J28" i="9"/>
  <c r="J32" i="9"/>
  <c r="J36" i="9"/>
  <c r="J9" i="8"/>
  <c r="F9" i="8"/>
  <c r="H10" i="8"/>
  <c r="F13" i="8"/>
  <c r="H14" i="8"/>
  <c r="F17" i="8"/>
  <c r="H18" i="8"/>
  <c r="H38" i="8" s="1"/>
  <c r="F21" i="8"/>
  <c r="H22" i="8"/>
  <c r="F25" i="8"/>
  <c r="H26" i="8"/>
  <c r="F29" i="8"/>
  <c r="H30" i="8"/>
  <c r="F33" i="8"/>
  <c r="H34" i="8"/>
  <c r="F37" i="8"/>
  <c r="J17" i="8"/>
  <c r="J25" i="8"/>
  <c r="J29" i="8"/>
  <c r="F8" i="8"/>
  <c r="F12" i="8"/>
  <c r="H13" i="8"/>
  <c r="F16" i="8"/>
  <c r="F20" i="8"/>
  <c r="H21" i="8"/>
  <c r="F24" i="8"/>
  <c r="F28" i="8"/>
  <c r="F32" i="8"/>
  <c r="F36" i="8"/>
  <c r="F35" i="2"/>
  <c r="F31" i="2"/>
  <c r="J31" i="2"/>
  <c r="H27" i="2"/>
  <c r="H23" i="2"/>
  <c r="H19" i="2"/>
  <c r="F38" i="11" l="1"/>
  <c r="F38" i="8"/>
  <c r="J38" i="9"/>
  <c r="A3" i="5"/>
  <c r="A3" i="2"/>
  <c r="A2" i="5"/>
  <c r="A2" i="2"/>
  <c r="A1" i="5"/>
  <c r="A1" i="2"/>
  <c r="A5" i="5"/>
  <c r="A4" i="5"/>
  <c r="A8" i="5"/>
  <c r="A13" i="5"/>
  <c r="A18" i="5"/>
  <c r="A6" i="5" l="1"/>
  <c r="A9" i="2"/>
  <c r="B9" i="2"/>
  <c r="C9" i="2"/>
  <c r="J9" i="2" s="1"/>
  <c r="D9" i="2"/>
  <c r="A10" i="2"/>
  <c r="B10" i="2"/>
  <c r="C10" i="2"/>
  <c r="J10" i="2" s="1"/>
  <c r="D10" i="2"/>
  <c r="J11" i="2"/>
  <c r="D11" i="2"/>
  <c r="H12" i="2"/>
  <c r="D12" i="2"/>
  <c r="J13" i="2"/>
  <c r="D13" i="2"/>
  <c r="F14" i="2"/>
  <c r="D14" i="2"/>
  <c r="F15" i="2"/>
  <c r="D15" i="2"/>
  <c r="H16" i="2"/>
  <c r="D8" i="2"/>
  <c r="C8" i="2"/>
  <c r="J8" i="2" s="1"/>
  <c r="B8" i="2"/>
  <c r="A8" i="2"/>
  <c r="A6" i="2"/>
  <c r="J15" i="2" l="1"/>
  <c r="H15" i="2"/>
  <c r="F13" i="2"/>
  <c r="H13" i="2"/>
  <c r="F11" i="2"/>
  <c r="H11" i="2"/>
  <c r="F8" i="2"/>
  <c r="H8" i="2"/>
  <c r="F9" i="2"/>
  <c r="F12" i="2"/>
  <c r="H9" i="2"/>
  <c r="H14" i="2"/>
  <c r="H10" i="2"/>
  <c r="J16" i="2"/>
  <c r="J12" i="2"/>
  <c r="F16" i="2"/>
  <c r="F10" i="2"/>
  <c r="J14" i="2"/>
</calcChain>
</file>

<file path=xl/sharedStrings.xml><?xml version="1.0" encoding="utf-8"?>
<sst xmlns="http://schemas.openxmlformats.org/spreadsheetml/2006/main" count="184" uniqueCount="99">
  <si>
    <t>Acre</t>
  </si>
  <si>
    <t>CY</t>
  </si>
  <si>
    <t>Each</t>
  </si>
  <si>
    <t>FT</t>
  </si>
  <si>
    <t>Gal</t>
  </si>
  <si>
    <t>Hour</t>
  </si>
  <si>
    <t>LB</t>
  </si>
  <si>
    <t>LF</t>
  </si>
  <si>
    <t>LS</t>
  </si>
  <si>
    <t>Mile</t>
  </si>
  <si>
    <t>SF</t>
  </si>
  <si>
    <t>SY</t>
  </si>
  <si>
    <t>Ton</t>
  </si>
  <si>
    <t>PORTLAND INTERNATIONAL AIRPORT</t>
  </si>
  <si>
    <t>COLWOOD PIPE AND OUTFALLS</t>
  </si>
  <si>
    <t>Item No.</t>
  </si>
  <si>
    <t>Item Description</t>
  </si>
  <si>
    <t>Estimated Quantity</t>
  </si>
  <si>
    <t xml:space="preserve">Units </t>
  </si>
  <si>
    <t>Unit Price</t>
  </si>
  <si>
    <t>Total Price</t>
  </si>
  <si>
    <t>0001</t>
  </si>
  <si>
    <t>Mobilization, Surveying, Cleanup, and Demobilization</t>
  </si>
  <si>
    <t>0002</t>
  </si>
  <si>
    <t>Work Zone Traffic Control</t>
  </si>
  <si>
    <t>0003</t>
  </si>
  <si>
    <t>Temporary Erosion, Sediment, and Pollution Control</t>
  </si>
  <si>
    <t>0004</t>
  </si>
  <si>
    <t>Site Demolition</t>
  </si>
  <si>
    <t>0005</t>
  </si>
  <si>
    <t>Clearing and Grubbing</t>
  </si>
  <si>
    <t>0006</t>
  </si>
  <si>
    <t>Trench Excavation and General Native Backfill</t>
  </si>
  <si>
    <t>0007</t>
  </si>
  <si>
    <t>Trench Excavation and Select Native Backfill</t>
  </si>
  <si>
    <t>0008</t>
  </si>
  <si>
    <t>Trench Excavation and Select Backfill</t>
  </si>
  <si>
    <t>0009</t>
  </si>
  <si>
    <t>Offsite Haul and Disposal</t>
  </si>
  <si>
    <t>0010</t>
  </si>
  <si>
    <t>Contaminated Soil Sediment Excavation and Disposal</t>
  </si>
  <si>
    <t>0011</t>
  </si>
  <si>
    <t>Shoring</t>
  </si>
  <si>
    <t>0012</t>
  </si>
  <si>
    <t>Pipe Zone and Bedding Material</t>
  </si>
  <si>
    <t>0013</t>
  </si>
  <si>
    <t>Trench Stabilization</t>
  </si>
  <si>
    <t>0014</t>
  </si>
  <si>
    <t>Dewatering</t>
  </si>
  <si>
    <t>0015</t>
  </si>
  <si>
    <t>72-Inch Sewer Pipe</t>
  </si>
  <si>
    <t>0016</t>
  </si>
  <si>
    <t>108-Inch Manhole</t>
  </si>
  <si>
    <t>0017</t>
  </si>
  <si>
    <t>120-Inch Manhole</t>
  </si>
  <si>
    <t>0018</t>
  </si>
  <si>
    <t>Subdrains</t>
  </si>
  <si>
    <t>0019</t>
  </si>
  <si>
    <t>Inlet (Type PB)</t>
  </si>
  <si>
    <t>0020</t>
  </si>
  <si>
    <t>McBride Slough Intake Structure</t>
  </si>
  <si>
    <t>0021</t>
  </si>
  <si>
    <t>Columbia Slough Outfall Structure</t>
  </si>
  <si>
    <t>0022</t>
  </si>
  <si>
    <t>Modified Concrete Curb and Gutter</t>
  </si>
  <si>
    <t>0023</t>
  </si>
  <si>
    <t>Sidewalk</t>
  </si>
  <si>
    <t>0024</t>
  </si>
  <si>
    <t>Aggregate Base Course</t>
  </si>
  <si>
    <t>0025</t>
  </si>
  <si>
    <t>Portland Cement Concrete Pavement 
(9-Inch)</t>
  </si>
  <si>
    <t>0026</t>
  </si>
  <si>
    <t>Pavement Marking</t>
  </si>
  <si>
    <t>0027</t>
  </si>
  <si>
    <t>Guard Rail Removal and Replacement</t>
  </si>
  <si>
    <t>0028</t>
  </si>
  <si>
    <t>Area Seeding</t>
  </si>
  <si>
    <t>0029</t>
  </si>
  <si>
    <t>Stormwater Flow Through Pollution Reduction Facility</t>
  </si>
  <si>
    <t>0030</t>
  </si>
  <si>
    <t>Landscape Restoration</t>
  </si>
  <si>
    <t>Total Amount Bid (Basis of Award)</t>
  </si>
  <si>
    <t>$___________</t>
  </si>
  <si>
    <t>Emery &amp; Sons</t>
  </si>
  <si>
    <t>James W. Fowler Co.</t>
  </si>
  <si>
    <t>K&amp;E Excavating, Inc.</t>
  </si>
  <si>
    <t>EAN 2015D006</t>
  </si>
  <si>
    <t>Solicitation No. 2015-6576</t>
  </si>
  <si>
    <t>Kerr Contractors, 
Oregon, Inc.</t>
  </si>
  <si>
    <t>MJ Hughes 
Construction, Inc.</t>
  </si>
  <si>
    <t>Moore Excavation, Inc.</t>
  </si>
  <si>
    <t>Nutter Corporation</t>
  </si>
  <si>
    <t>Rotshy, Inc.</t>
  </si>
  <si>
    <t>Tapani, Inc.</t>
  </si>
  <si>
    <t>Thompson Bros. Excavating, Inc.</t>
  </si>
  <si>
    <t>Weitman Excavation, LLC</t>
  </si>
  <si>
    <t>Wildish Standard 
Paving, Co.</t>
  </si>
  <si>
    <t>Engineer's Estimate</t>
  </si>
  <si>
    <t>Bidder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</si>
</sst>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0.0"/>
    <numFmt numFmtId="165" formatCode="General;\–General;"/>
    <numFmt numFmtId="166" formatCode="&quot;$&quot;#,##0.00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sz val="8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7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 style="thin">
        <color theme="1" tint="0.499984740745262"/>
      </right>
      <top/>
      <bottom/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95">
    <xf numFmtId="0" fontId="0" fillId="0" borderId="0" xfId="0"/>
    <xf numFmtId="0" fontId="2" fillId="0" borderId="0" xfId="0" applyFont="1" applyBorder="1" applyProtection="1">
      <protection hidden="1"/>
    </xf>
    <xf numFmtId="0" fontId="2" fillId="0" borderId="0" xfId="0" applyFont="1" applyFill="1" applyBorder="1" applyProtection="1">
      <protection hidden="1"/>
    </xf>
    <xf numFmtId="0" fontId="3" fillId="0" borderId="0" xfId="0" applyFont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49" fontId="4" fillId="0" borderId="1" xfId="0" applyNumberFormat="1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4" fillId="0" borderId="1" xfId="0" applyFont="1" applyBorder="1"/>
    <xf numFmtId="0" fontId="0" fillId="0" borderId="0" xfId="0" applyAlignment="1"/>
    <xf numFmtId="0" fontId="5" fillId="0" borderId="1" xfId="0" applyFont="1" applyBorder="1"/>
    <xf numFmtId="0" fontId="3" fillId="0" borderId="5" xfId="0" applyFont="1" applyBorder="1" applyAlignment="1">
      <alignment horizontal="center" wrapText="1"/>
    </xf>
    <xf numFmtId="49" fontId="7" fillId="0" borderId="5" xfId="0" applyNumberFormat="1" applyFont="1" applyBorder="1" applyAlignment="1">
      <alignment horizontal="center" vertical="top"/>
    </xf>
    <xf numFmtId="0" fontId="0" fillId="0" borderId="0" xfId="0" applyAlignment="1">
      <alignment horizontal="left" vertical="center"/>
    </xf>
    <xf numFmtId="0" fontId="7" fillId="0" borderId="15" xfId="0" applyFont="1" applyBorder="1" applyAlignment="1">
      <alignment horizontal="left"/>
    </xf>
    <xf numFmtId="0" fontId="7" fillId="0" borderId="15" xfId="0" applyFont="1" applyBorder="1" applyAlignment="1">
      <alignment horizontal="left" vertical="center"/>
    </xf>
    <xf numFmtId="14" fontId="7" fillId="0" borderId="15" xfId="0" applyNumberFormat="1" applyFont="1" applyBorder="1" applyAlignment="1">
      <alignment horizontal="left" vertical="center"/>
    </xf>
    <xf numFmtId="0" fontId="5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horizontal="left" vertical="center"/>
    </xf>
    <xf numFmtId="44" fontId="4" fillId="0" borderId="5" xfId="0" applyNumberFormat="1" applyFont="1" applyBorder="1" applyAlignment="1">
      <alignment horizontal="center" vertical="center"/>
    </xf>
    <xf numFmtId="165" fontId="3" fillId="0" borderId="5" xfId="0" applyNumberFormat="1" applyFont="1" applyBorder="1" applyAlignment="1">
      <alignment horizontal="center" wrapText="1"/>
    </xf>
    <xf numFmtId="165" fontId="7" fillId="0" borderId="5" xfId="0" applyNumberFormat="1" applyFont="1" applyBorder="1" applyAlignment="1">
      <alignment horizontal="left" vertical="top"/>
    </xf>
    <xf numFmtId="165" fontId="7" fillId="0" borderId="5" xfId="0" applyNumberFormat="1" applyFont="1" applyBorder="1" applyAlignment="1">
      <alignment horizontal="center" vertical="top"/>
    </xf>
    <xf numFmtId="165" fontId="0" fillId="0" borderId="0" xfId="0" applyNumberFormat="1"/>
    <xf numFmtId="165" fontId="5" fillId="0" borderId="7" xfId="0" applyNumberFormat="1" applyFont="1" applyBorder="1" applyAlignment="1">
      <alignment horizontal="left"/>
    </xf>
    <xf numFmtId="165" fontId="5" fillId="0" borderId="15" xfId="0" applyNumberFormat="1" applyFont="1" applyBorder="1" applyAlignment="1">
      <alignment horizontal="left" vertical="center"/>
    </xf>
    <xf numFmtId="166" fontId="7" fillId="0" borderId="5" xfId="0" applyNumberFormat="1" applyFont="1" applyBorder="1" applyAlignment="1">
      <alignment horizontal="center" vertical="top"/>
    </xf>
    <xf numFmtId="166" fontId="7" fillId="0" borderId="5" xfId="1" applyNumberFormat="1" applyFont="1" applyBorder="1" applyAlignment="1">
      <alignment horizontal="center" vertical="top"/>
    </xf>
    <xf numFmtId="2" fontId="0" fillId="0" borderId="0" xfId="0" applyNumberFormat="1"/>
    <xf numFmtId="2" fontId="3" fillId="0" borderId="1" xfId="0" applyNumberFormat="1" applyFont="1" applyBorder="1" applyAlignment="1">
      <alignment horizontal="center" wrapText="1"/>
    </xf>
    <xf numFmtId="2" fontId="4" fillId="0" borderId="1" xfId="0" applyNumberFormat="1" applyFont="1" applyBorder="1" applyAlignment="1">
      <alignment horizontal="center" vertical="top"/>
    </xf>
    <xf numFmtId="2" fontId="4" fillId="0" borderId="1" xfId="0" applyNumberFormat="1" applyFont="1" applyBorder="1"/>
    <xf numFmtId="166" fontId="0" fillId="0" borderId="0" xfId="0" applyNumberFormat="1"/>
    <xf numFmtId="166" fontId="3" fillId="0" borderId="1" xfId="0" applyNumberFormat="1" applyFont="1" applyBorder="1" applyAlignment="1">
      <alignment horizontal="center" wrapText="1"/>
    </xf>
    <xf numFmtId="166" fontId="4" fillId="0" borderId="1" xfId="0" applyNumberFormat="1" applyFont="1" applyBorder="1" applyAlignment="1">
      <alignment horizontal="center" vertical="top"/>
    </xf>
    <xf numFmtId="166" fontId="4" fillId="0" borderId="1" xfId="0" applyNumberFormat="1" applyFont="1" applyBorder="1"/>
    <xf numFmtId="164" fontId="3" fillId="0" borderId="5" xfId="0" applyNumberFormat="1" applyFont="1" applyBorder="1" applyAlignment="1">
      <alignment horizontal="center" wrapText="1"/>
    </xf>
    <xf numFmtId="164" fontId="7" fillId="0" borderId="5" xfId="0" applyNumberFormat="1" applyFont="1" applyBorder="1" applyAlignment="1">
      <alignment horizontal="center" vertical="top"/>
    </xf>
    <xf numFmtId="164" fontId="0" fillId="0" borderId="0" xfId="0" applyNumberFormat="1"/>
    <xf numFmtId="166" fontId="0" fillId="0" borderId="12" xfId="0" applyNumberFormat="1" applyBorder="1"/>
    <xf numFmtId="166" fontId="0" fillId="0" borderId="13" xfId="0" applyNumberFormat="1" applyBorder="1"/>
    <xf numFmtId="166" fontId="3" fillId="0" borderId="5" xfId="0" applyNumberFormat="1" applyFont="1" applyBorder="1" applyAlignment="1">
      <alignment horizontal="center" wrapText="1"/>
    </xf>
    <xf numFmtId="44" fontId="0" fillId="0" borderId="7" xfId="0" applyNumberFormat="1" applyBorder="1" applyAlignment="1">
      <alignment horizontal="center" vertical="center"/>
    </xf>
    <xf numFmtId="44" fontId="0" fillId="0" borderId="15" xfId="0" applyNumberFormat="1" applyBorder="1" applyAlignment="1">
      <alignment horizontal="center" vertical="center"/>
    </xf>
    <xf numFmtId="44" fontId="0" fillId="0" borderId="16" xfId="0" applyNumberFormat="1" applyBorder="1" applyAlignment="1">
      <alignment horizontal="center" vertical="center"/>
    </xf>
    <xf numFmtId="44" fontId="5" fillId="0" borderId="5" xfId="0" applyNumberFormat="1" applyFont="1" applyBorder="1" applyAlignment="1">
      <alignment horizontal="center" vertical="center"/>
    </xf>
    <xf numFmtId="44" fontId="0" fillId="0" borderId="0" xfId="0" applyNumberFormat="1" applyAlignment="1">
      <alignment horizontal="center" vertical="center"/>
    </xf>
    <xf numFmtId="0" fontId="4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/>
    </xf>
    <xf numFmtId="49" fontId="9" fillId="0" borderId="5" xfId="0" applyNumberFormat="1" applyFont="1" applyBorder="1" applyAlignment="1">
      <alignment horizontal="center" vertical="top"/>
    </xf>
    <xf numFmtId="165" fontId="9" fillId="0" borderId="5" xfId="0" applyNumberFormat="1" applyFont="1" applyBorder="1" applyAlignment="1">
      <alignment horizontal="left" vertical="top"/>
    </xf>
    <xf numFmtId="164" fontId="9" fillId="0" borderId="5" xfId="0" applyNumberFormat="1" applyFont="1" applyBorder="1" applyAlignment="1">
      <alignment horizontal="center" vertical="top"/>
    </xf>
    <xf numFmtId="165" fontId="9" fillId="0" borderId="5" xfId="0" applyNumberFormat="1" applyFont="1" applyBorder="1" applyAlignment="1">
      <alignment horizontal="center" vertical="top"/>
    </xf>
    <xf numFmtId="166" fontId="9" fillId="0" borderId="5" xfId="0" applyNumberFormat="1" applyFont="1" applyBorder="1" applyAlignment="1">
      <alignment horizontal="center" vertical="top"/>
    </xf>
    <xf numFmtId="166" fontId="9" fillId="0" borderId="5" xfId="1" applyNumberFormat="1" applyFont="1" applyBorder="1" applyAlignment="1">
      <alignment horizontal="center" vertical="top"/>
    </xf>
    <xf numFmtId="0" fontId="8" fillId="0" borderId="0" xfId="0" applyFont="1"/>
    <xf numFmtId="166" fontId="0" fillId="2" borderId="12" xfId="0" applyNumberFormat="1" applyFill="1" applyBorder="1"/>
    <xf numFmtId="166" fontId="0" fillId="2" borderId="13" xfId="0" applyNumberFormat="1" applyFill="1" applyBorder="1"/>
    <xf numFmtId="166" fontId="3" fillId="2" borderId="5" xfId="0" applyNumberFormat="1" applyFont="1" applyFill="1" applyBorder="1" applyAlignment="1">
      <alignment horizontal="center" wrapText="1"/>
    </xf>
    <xf numFmtId="166" fontId="7" fillId="2" borderId="5" xfId="0" applyNumberFormat="1" applyFont="1" applyFill="1" applyBorder="1" applyAlignment="1">
      <alignment horizontal="center" vertical="top"/>
    </xf>
    <xf numFmtId="166" fontId="7" fillId="2" borderId="5" xfId="1" applyNumberFormat="1" applyFont="1" applyFill="1" applyBorder="1" applyAlignment="1">
      <alignment horizontal="center" vertical="top"/>
    </xf>
    <xf numFmtId="166" fontId="9" fillId="2" borderId="5" xfId="0" applyNumberFormat="1" applyFont="1" applyFill="1" applyBorder="1" applyAlignment="1">
      <alignment horizontal="center" vertical="top"/>
    </xf>
    <xf numFmtId="166" fontId="9" fillId="2" borderId="5" xfId="1" applyNumberFormat="1" applyFont="1" applyFill="1" applyBorder="1" applyAlignment="1">
      <alignment horizontal="center" vertical="top"/>
    </xf>
    <xf numFmtId="0" fontId="4" fillId="2" borderId="5" xfId="0" applyFont="1" applyFill="1" applyBorder="1" applyAlignment="1">
      <alignment horizontal="left" vertical="center"/>
    </xf>
    <xf numFmtId="44" fontId="4" fillId="2" borderId="5" xfId="0" applyNumberFormat="1" applyFont="1" applyFill="1" applyBorder="1" applyAlignment="1">
      <alignment horizontal="center" vertical="center"/>
    </xf>
    <xf numFmtId="166" fontId="5" fillId="0" borderId="2" xfId="0" applyNumberFormat="1" applyFont="1" applyBorder="1" applyAlignment="1">
      <alignment horizontal="center"/>
    </xf>
    <xf numFmtId="166" fontId="5" fillId="0" borderId="3" xfId="0" applyNumberFormat="1" applyFont="1" applyBorder="1" applyAlignment="1">
      <alignment horizontal="center"/>
    </xf>
    <xf numFmtId="166" fontId="5" fillId="0" borderId="4" xfId="0" applyNumberFormat="1" applyFont="1" applyBorder="1" applyAlignment="1">
      <alignment horizontal="center"/>
    </xf>
    <xf numFmtId="0" fontId="6" fillId="0" borderId="3" xfId="0" applyFont="1" applyFill="1" applyBorder="1" applyAlignment="1" applyProtection="1">
      <alignment horizontal="left"/>
      <protection hidden="1"/>
    </xf>
    <xf numFmtId="0" fontId="5" fillId="0" borderId="3" xfId="0" applyFont="1" applyBorder="1" applyAlignment="1">
      <alignment horizontal="left"/>
    </xf>
    <xf numFmtId="0" fontId="5" fillId="0" borderId="4" xfId="0" applyFont="1" applyBorder="1" applyAlignment="1">
      <alignment horizontal="left"/>
    </xf>
    <xf numFmtId="0" fontId="5" fillId="0" borderId="2" xfId="0" applyFont="1" applyBorder="1" applyAlignment="1">
      <alignment horizontal="left"/>
    </xf>
    <xf numFmtId="14" fontId="7" fillId="0" borderId="12" xfId="0" applyNumberFormat="1" applyFont="1" applyBorder="1" applyAlignment="1">
      <alignment horizontal="left" vertical="center"/>
    </xf>
    <xf numFmtId="14" fontId="7" fillId="0" borderId="6" xfId="0" applyNumberFormat="1" applyFont="1" applyBorder="1" applyAlignment="1">
      <alignment horizontal="left" vertical="center"/>
    </xf>
    <xf numFmtId="14" fontId="7" fillId="0" borderId="13" xfId="0" applyNumberFormat="1" applyFont="1" applyBorder="1" applyAlignment="1">
      <alignment horizontal="left" vertical="center"/>
    </xf>
    <xf numFmtId="166" fontId="5" fillId="0" borderId="8" xfId="0" applyNumberFormat="1" applyFont="1" applyBorder="1" applyAlignment="1">
      <alignment horizontal="center"/>
    </xf>
    <xf numFmtId="166" fontId="5" fillId="0" borderId="9" xfId="0" applyNumberFormat="1" applyFont="1" applyBorder="1" applyAlignment="1">
      <alignment horizontal="center"/>
    </xf>
    <xf numFmtId="166" fontId="5" fillId="0" borderId="10" xfId="0" applyNumberFormat="1" applyFont="1" applyBorder="1" applyAlignment="1">
      <alignment horizontal="center"/>
    </xf>
    <xf numFmtId="166" fontId="5" fillId="0" borderId="11" xfId="0" applyNumberFormat="1" applyFont="1" applyBorder="1" applyAlignment="1">
      <alignment horizontal="center"/>
    </xf>
    <xf numFmtId="165" fontId="5" fillId="0" borderId="8" xfId="0" applyNumberFormat="1" applyFont="1" applyBorder="1" applyAlignment="1">
      <alignment horizontal="left"/>
    </xf>
    <xf numFmtId="165" fontId="5" fillId="0" borderId="14" xfId="0" applyNumberFormat="1" applyFont="1" applyBorder="1" applyAlignment="1">
      <alignment horizontal="left"/>
    </xf>
    <xf numFmtId="165" fontId="5" fillId="0" borderId="9" xfId="0" applyNumberFormat="1" applyFont="1" applyBorder="1" applyAlignment="1">
      <alignment horizontal="left"/>
    </xf>
    <xf numFmtId="165" fontId="5" fillId="0" borderId="10" xfId="0" applyNumberFormat="1" applyFont="1" applyBorder="1" applyAlignment="1">
      <alignment horizontal="left" vertical="center"/>
    </xf>
    <xf numFmtId="165" fontId="5" fillId="0" borderId="0" xfId="0" applyNumberFormat="1" applyFont="1" applyBorder="1" applyAlignment="1">
      <alignment horizontal="left" vertical="center"/>
    </xf>
    <xf numFmtId="165" fontId="5" fillId="0" borderId="11" xfId="0" applyNumberFormat="1" applyFont="1" applyBorder="1" applyAlignment="1">
      <alignment horizontal="left" vertical="center"/>
    </xf>
    <xf numFmtId="0" fontId="7" fillId="0" borderId="10" xfId="0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0" fontId="7" fillId="0" borderId="11" xfId="0" applyFont="1" applyBorder="1" applyAlignment="1">
      <alignment horizontal="left" vertical="center"/>
    </xf>
    <xf numFmtId="166" fontId="5" fillId="0" borderId="8" xfId="0" applyNumberFormat="1" applyFont="1" applyBorder="1" applyAlignment="1">
      <alignment horizontal="center" wrapText="1"/>
    </xf>
    <xf numFmtId="166" fontId="5" fillId="0" borderId="9" xfId="0" applyNumberFormat="1" applyFont="1" applyBorder="1" applyAlignment="1">
      <alignment horizontal="center" wrapText="1"/>
    </xf>
    <xf numFmtId="166" fontId="5" fillId="0" borderId="10" xfId="0" applyNumberFormat="1" applyFont="1" applyBorder="1" applyAlignment="1">
      <alignment horizontal="center" wrapText="1"/>
    </xf>
    <xf numFmtId="166" fontId="5" fillId="0" borderId="11" xfId="0" applyNumberFormat="1" applyFont="1" applyBorder="1" applyAlignment="1">
      <alignment horizontal="center" wrapText="1"/>
    </xf>
    <xf numFmtId="166" fontId="5" fillId="2" borderId="8" xfId="0" applyNumberFormat="1" applyFont="1" applyFill="1" applyBorder="1" applyAlignment="1">
      <alignment horizontal="center" wrapText="1"/>
    </xf>
    <xf numFmtId="166" fontId="5" fillId="2" borderId="9" xfId="0" applyNumberFormat="1" applyFont="1" applyFill="1" applyBorder="1" applyAlignment="1">
      <alignment horizontal="center" wrapText="1"/>
    </xf>
    <xf numFmtId="166" fontId="5" fillId="2" borderId="10" xfId="0" applyNumberFormat="1" applyFont="1" applyFill="1" applyBorder="1" applyAlignment="1">
      <alignment horizontal="center" wrapText="1"/>
    </xf>
    <xf numFmtId="166" fontId="5" fillId="2" borderId="11" xfId="0" applyNumberFormat="1" applyFont="1" applyFill="1" applyBorder="1" applyAlignment="1">
      <alignment horizontal="center" wrapText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"/>
  <sheetViews>
    <sheetView view="pageLayout" topLeftCell="A13" zoomScaleNormal="100" zoomScaleSheetLayoutView="100" workbookViewId="0">
      <selection activeCell="B24" sqref="B24"/>
    </sheetView>
  </sheetViews>
  <sheetFormatPr defaultRowHeight="15"/>
  <cols>
    <col min="1" max="1" width="6.5703125" customWidth="1"/>
    <col min="2" max="2" width="36.7109375" customWidth="1"/>
    <col min="3" max="3" width="10.7109375" style="27" customWidth="1"/>
    <col min="4" max="4" width="8.28515625" customWidth="1"/>
    <col min="5" max="6" width="13.28515625" style="31" customWidth="1"/>
  </cols>
  <sheetData>
    <row r="1" spans="1:6">
      <c r="A1" s="1" t="s">
        <v>0</v>
      </c>
    </row>
    <row r="2" spans="1:6">
      <c r="A2" s="1" t="s">
        <v>1</v>
      </c>
    </row>
    <row r="3" spans="1:6">
      <c r="A3" s="2" t="s">
        <v>2</v>
      </c>
    </row>
    <row r="4" spans="1:6">
      <c r="A4" s="2" t="s">
        <v>3</v>
      </c>
    </row>
    <row r="5" spans="1:6">
      <c r="A5" s="2" t="s">
        <v>4</v>
      </c>
    </row>
    <row r="6" spans="1:6">
      <c r="A6" s="2" t="s">
        <v>5</v>
      </c>
    </row>
    <row r="7" spans="1:6">
      <c r="A7" s="2" t="s">
        <v>6</v>
      </c>
    </row>
    <row r="8" spans="1:6">
      <c r="A8" s="2" t="s">
        <v>7</v>
      </c>
    </row>
    <row r="9" spans="1:6">
      <c r="A9" s="1" t="s">
        <v>8</v>
      </c>
    </row>
    <row r="10" spans="1:6">
      <c r="A10" s="2" t="s">
        <v>9</v>
      </c>
    </row>
    <row r="11" spans="1:6">
      <c r="A11" s="2" t="s">
        <v>10</v>
      </c>
    </row>
    <row r="12" spans="1:6">
      <c r="A12" s="2" t="s">
        <v>11</v>
      </c>
    </row>
    <row r="13" spans="1:6">
      <c r="A13" s="2" t="s">
        <v>12</v>
      </c>
    </row>
    <row r="14" spans="1:6">
      <c r="A14" s="70"/>
      <c r="B14" s="70"/>
      <c r="C14" s="70"/>
      <c r="D14" s="70"/>
      <c r="E14" s="64"/>
      <c r="F14" s="64"/>
    </row>
    <row r="15" spans="1:6">
      <c r="A15" s="67" t="s">
        <v>13</v>
      </c>
      <c r="B15" s="67"/>
      <c r="C15" s="67"/>
      <c r="D15" s="67"/>
      <c r="E15" s="65"/>
      <c r="F15" s="65"/>
    </row>
    <row r="16" spans="1:6">
      <c r="A16" s="67" t="s">
        <v>14</v>
      </c>
      <c r="B16" s="67"/>
      <c r="C16" s="67"/>
      <c r="D16" s="67"/>
      <c r="E16" s="65"/>
      <c r="F16" s="65"/>
    </row>
    <row r="17" spans="1:6">
      <c r="A17" s="68"/>
      <c r="B17" s="68"/>
      <c r="C17" s="68"/>
      <c r="D17" s="68"/>
      <c r="E17" s="65"/>
      <c r="F17" s="65"/>
    </row>
    <row r="18" spans="1:6">
      <c r="A18" s="69"/>
      <c r="B18" s="69"/>
      <c r="C18" s="69"/>
      <c r="D18" s="69"/>
      <c r="E18" s="66"/>
      <c r="F18" s="66"/>
    </row>
    <row r="19" spans="1:6" s="3" customFormat="1" ht="24" customHeight="1">
      <c r="A19" s="4" t="s">
        <v>15</v>
      </c>
      <c r="B19" s="4" t="s">
        <v>16</v>
      </c>
      <c r="C19" s="28" t="s">
        <v>17</v>
      </c>
      <c r="D19" s="4" t="s">
        <v>18</v>
      </c>
      <c r="E19" s="32" t="s">
        <v>19</v>
      </c>
      <c r="F19" s="32" t="s">
        <v>20</v>
      </c>
    </row>
    <row r="20" spans="1:6" ht="40.5" customHeight="1">
      <c r="A20" s="5" t="s">
        <v>21</v>
      </c>
      <c r="B20" s="46" t="s">
        <v>22</v>
      </c>
      <c r="C20" s="29">
        <v>1</v>
      </c>
      <c r="D20" s="6" t="s">
        <v>8</v>
      </c>
      <c r="E20" s="33"/>
      <c r="F20" s="33"/>
    </row>
    <row r="21" spans="1:6" ht="40.5" customHeight="1">
      <c r="A21" s="5" t="s">
        <v>23</v>
      </c>
      <c r="B21" s="46" t="s">
        <v>24</v>
      </c>
      <c r="C21" s="29">
        <v>1</v>
      </c>
      <c r="D21" s="6" t="s">
        <v>8</v>
      </c>
      <c r="E21" s="33"/>
      <c r="F21" s="33"/>
    </row>
    <row r="22" spans="1:6" ht="40.5" customHeight="1">
      <c r="A22" s="5" t="s">
        <v>25</v>
      </c>
      <c r="B22" s="46" t="s">
        <v>26</v>
      </c>
      <c r="C22" s="29">
        <v>1</v>
      </c>
      <c r="D22" s="6" t="s">
        <v>8</v>
      </c>
      <c r="E22" s="33"/>
      <c r="F22" s="33"/>
    </row>
    <row r="23" spans="1:6" ht="40.5" customHeight="1">
      <c r="A23" s="5" t="s">
        <v>27</v>
      </c>
      <c r="B23" s="46" t="s">
        <v>28</v>
      </c>
      <c r="C23" s="29">
        <v>1</v>
      </c>
      <c r="D23" s="6" t="s">
        <v>8</v>
      </c>
      <c r="E23" s="33"/>
      <c r="F23" s="33"/>
    </row>
    <row r="24" spans="1:6" ht="40.5" customHeight="1">
      <c r="A24" s="5" t="s">
        <v>29</v>
      </c>
      <c r="B24" s="46" t="s">
        <v>30</v>
      </c>
      <c r="C24" s="29">
        <v>1</v>
      </c>
      <c r="D24" s="6" t="s">
        <v>8</v>
      </c>
      <c r="E24" s="33"/>
      <c r="F24" s="33"/>
    </row>
    <row r="25" spans="1:6" ht="40.5" customHeight="1">
      <c r="A25" s="5" t="s">
        <v>31</v>
      </c>
      <c r="B25" s="46" t="s">
        <v>32</v>
      </c>
      <c r="C25" s="29">
        <v>577</v>
      </c>
      <c r="D25" s="6" t="s">
        <v>7</v>
      </c>
      <c r="E25" s="33"/>
      <c r="F25" s="33"/>
    </row>
    <row r="26" spans="1:6" ht="40.5" customHeight="1">
      <c r="A26" s="5" t="s">
        <v>33</v>
      </c>
      <c r="B26" s="46" t="s">
        <v>34</v>
      </c>
      <c r="C26" s="29">
        <v>622</v>
      </c>
      <c r="D26" s="6" t="s">
        <v>7</v>
      </c>
      <c r="E26" s="33"/>
      <c r="F26" s="33"/>
    </row>
    <row r="27" spans="1:6" ht="40.5" customHeight="1">
      <c r="A27" s="5" t="s">
        <v>35</v>
      </c>
      <c r="B27" s="46" t="s">
        <v>36</v>
      </c>
      <c r="C27" s="29">
        <v>48</v>
      </c>
      <c r="D27" s="6" t="s">
        <v>7</v>
      </c>
      <c r="E27" s="33"/>
      <c r="F27" s="33"/>
    </row>
    <row r="28" spans="1:6" ht="40.5" customHeight="1">
      <c r="A28" s="5" t="s">
        <v>37</v>
      </c>
      <c r="B28" s="46" t="s">
        <v>38</v>
      </c>
      <c r="C28" s="47">
        <v>6060</v>
      </c>
      <c r="D28" s="6" t="s">
        <v>1</v>
      </c>
      <c r="E28" s="33"/>
      <c r="F28" s="33"/>
    </row>
    <row r="29" spans="1:6" ht="40.5" customHeight="1">
      <c r="A29" s="5" t="s">
        <v>39</v>
      </c>
      <c r="B29" s="46" t="s">
        <v>40</v>
      </c>
      <c r="C29" s="47">
        <v>255</v>
      </c>
      <c r="D29" s="6" t="s">
        <v>12</v>
      </c>
      <c r="E29" s="33"/>
      <c r="F29" s="33"/>
    </row>
    <row r="30" spans="1:6" ht="40.5" customHeight="1">
      <c r="A30" s="5" t="s">
        <v>41</v>
      </c>
      <c r="B30" s="46" t="s">
        <v>42</v>
      </c>
      <c r="C30" s="47">
        <v>1</v>
      </c>
      <c r="D30" s="6" t="s">
        <v>8</v>
      </c>
      <c r="E30" s="33"/>
      <c r="F30" s="33"/>
    </row>
    <row r="31" spans="1:6" ht="40.5" customHeight="1">
      <c r="A31" s="5" t="s">
        <v>43</v>
      </c>
      <c r="B31" s="46" t="s">
        <v>44</v>
      </c>
      <c r="C31" s="47">
        <v>2940</v>
      </c>
      <c r="D31" s="6" t="s">
        <v>1</v>
      </c>
      <c r="E31" s="33"/>
      <c r="F31" s="33"/>
    </row>
    <row r="32" spans="1:6" ht="40.5" customHeight="1">
      <c r="A32" s="5" t="s">
        <v>45</v>
      </c>
      <c r="B32" s="46" t="s">
        <v>46</v>
      </c>
      <c r="C32" s="47">
        <v>555</v>
      </c>
      <c r="D32" s="6" t="s">
        <v>1</v>
      </c>
      <c r="E32" s="33"/>
      <c r="F32" s="33"/>
    </row>
    <row r="33" spans="1:6" ht="40.5" customHeight="1">
      <c r="A33" s="5" t="s">
        <v>47</v>
      </c>
      <c r="B33" s="46" t="s">
        <v>48</v>
      </c>
      <c r="C33" s="29">
        <v>1</v>
      </c>
      <c r="D33" s="6" t="s">
        <v>8</v>
      </c>
      <c r="E33" s="33"/>
      <c r="F33" s="33"/>
    </row>
    <row r="34" spans="1:6" ht="40.5" customHeight="1">
      <c r="A34" s="5" t="s">
        <v>49</v>
      </c>
      <c r="B34" s="46" t="s">
        <v>50</v>
      </c>
      <c r="C34" s="29">
        <v>1260</v>
      </c>
      <c r="D34" s="6" t="s">
        <v>7</v>
      </c>
      <c r="E34" s="33"/>
      <c r="F34" s="33"/>
    </row>
    <row r="35" spans="1:6" ht="40.5" customHeight="1">
      <c r="A35" s="5" t="s">
        <v>51</v>
      </c>
      <c r="B35" s="46" t="s">
        <v>52</v>
      </c>
      <c r="C35" s="29">
        <v>1</v>
      </c>
      <c r="D35" s="6" t="s">
        <v>2</v>
      </c>
      <c r="E35" s="33"/>
      <c r="F35" s="33"/>
    </row>
    <row r="36" spans="1:6" ht="40.5" customHeight="1">
      <c r="A36" s="5" t="s">
        <v>53</v>
      </c>
      <c r="B36" s="46" t="s">
        <v>54</v>
      </c>
      <c r="C36" s="29">
        <v>1</v>
      </c>
      <c r="D36" s="6" t="s">
        <v>2</v>
      </c>
      <c r="E36" s="33"/>
      <c r="F36" s="33"/>
    </row>
    <row r="37" spans="1:6" ht="40.5" customHeight="1">
      <c r="A37" s="5" t="s">
        <v>55</v>
      </c>
      <c r="B37" s="46" t="s">
        <v>56</v>
      </c>
      <c r="C37" s="29">
        <v>36</v>
      </c>
      <c r="D37" s="6" t="s">
        <v>7</v>
      </c>
      <c r="E37" s="33"/>
      <c r="F37" s="33"/>
    </row>
    <row r="38" spans="1:6" ht="40.5" customHeight="1">
      <c r="A38" s="5" t="s">
        <v>57</v>
      </c>
      <c r="B38" s="46" t="s">
        <v>58</v>
      </c>
      <c r="C38" s="29">
        <v>3</v>
      </c>
      <c r="D38" s="6" t="s">
        <v>2</v>
      </c>
      <c r="E38" s="33"/>
      <c r="F38" s="33"/>
    </row>
    <row r="39" spans="1:6" ht="40.5" customHeight="1">
      <c r="A39" s="5" t="s">
        <v>59</v>
      </c>
      <c r="B39" s="46" t="s">
        <v>60</v>
      </c>
      <c r="C39" s="29">
        <v>1</v>
      </c>
      <c r="D39" s="6" t="s">
        <v>8</v>
      </c>
      <c r="E39" s="33"/>
      <c r="F39" s="33"/>
    </row>
    <row r="40" spans="1:6" ht="40.5" customHeight="1">
      <c r="A40" s="5" t="s">
        <v>61</v>
      </c>
      <c r="B40" s="46" t="s">
        <v>62</v>
      </c>
      <c r="C40" s="29">
        <v>1</v>
      </c>
      <c r="D40" s="6" t="s">
        <v>8</v>
      </c>
      <c r="E40" s="33"/>
      <c r="F40" s="33"/>
    </row>
    <row r="41" spans="1:6" ht="40.5" customHeight="1">
      <c r="A41" s="5" t="s">
        <v>63</v>
      </c>
      <c r="B41" s="46" t="s">
        <v>64</v>
      </c>
      <c r="C41" s="29">
        <v>36</v>
      </c>
      <c r="D41" s="6" t="s">
        <v>7</v>
      </c>
      <c r="E41" s="33"/>
      <c r="F41" s="33"/>
    </row>
    <row r="42" spans="1:6" ht="40.5" customHeight="1">
      <c r="A42" s="5" t="s">
        <v>65</v>
      </c>
      <c r="B42" s="46" t="s">
        <v>66</v>
      </c>
      <c r="C42" s="29">
        <v>500</v>
      </c>
      <c r="D42" s="6" t="s">
        <v>10</v>
      </c>
      <c r="E42" s="33"/>
      <c r="F42" s="33"/>
    </row>
    <row r="43" spans="1:6" ht="40.5" customHeight="1">
      <c r="A43" s="5" t="s">
        <v>67</v>
      </c>
      <c r="B43" s="46" t="s">
        <v>68</v>
      </c>
      <c r="C43" s="29">
        <v>175</v>
      </c>
      <c r="D43" s="6" t="s">
        <v>12</v>
      </c>
      <c r="E43" s="33"/>
      <c r="F43" s="33"/>
    </row>
    <row r="44" spans="1:6" ht="40.5" customHeight="1">
      <c r="A44" s="5" t="s">
        <v>69</v>
      </c>
      <c r="B44" s="46" t="s">
        <v>70</v>
      </c>
      <c r="C44" s="29">
        <v>175</v>
      </c>
      <c r="D44" s="6" t="s">
        <v>11</v>
      </c>
      <c r="E44" s="33"/>
      <c r="F44" s="33"/>
    </row>
    <row r="45" spans="1:6" ht="40.5" customHeight="1">
      <c r="A45" s="5" t="s">
        <v>71</v>
      </c>
      <c r="B45" s="46" t="s">
        <v>72</v>
      </c>
      <c r="C45" s="29">
        <v>1</v>
      </c>
      <c r="D45" s="6" t="s">
        <v>8</v>
      </c>
      <c r="E45" s="33"/>
      <c r="F45" s="33"/>
    </row>
    <row r="46" spans="1:6" ht="40.5" customHeight="1">
      <c r="A46" s="5" t="s">
        <v>73</v>
      </c>
      <c r="B46" s="46" t="s">
        <v>74</v>
      </c>
      <c r="C46" s="29">
        <v>72</v>
      </c>
      <c r="D46" s="6" t="s">
        <v>7</v>
      </c>
      <c r="E46" s="33"/>
      <c r="F46" s="33"/>
    </row>
    <row r="47" spans="1:6" ht="40.5" customHeight="1">
      <c r="A47" s="5" t="s">
        <v>75</v>
      </c>
      <c r="B47" s="46" t="s">
        <v>76</v>
      </c>
      <c r="C47" s="29">
        <v>1</v>
      </c>
      <c r="D47" s="6" t="s">
        <v>8</v>
      </c>
      <c r="E47" s="33"/>
      <c r="F47" s="33"/>
    </row>
    <row r="48" spans="1:6" ht="40.5" customHeight="1">
      <c r="A48" s="5" t="s">
        <v>77</v>
      </c>
      <c r="B48" s="46" t="s">
        <v>78</v>
      </c>
      <c r="C48" s="29">
        <v>1</v>
      </c>
      <c r="D48" s="6" t="s">
        <v>8</v>
      </c>
      <c r="E48" s="33"/>
      <c r="F48" s="33"/>
    </row>
    <row r="49" spans="1:6" ht="40.5" customHeight="1">
      <c r="A49" s="5" t="s">
        <v>79</v>
      </c>
      <c r="B49" s="46" t="s">
        <v>80</v>
      </c>
      <c r="C49" s="29">
        <v>1</v>
      </c>
      <c r="D49" s="6" t="s">
        <v>8</v>
      </c>
      <c r="E49" s="33"/>
      <c r="F49" s="33"/>
    </row>
    <row r="50" spans="1:6" ht="27.75" customHeight="1">
      <c r="A50" s="7"/>
      <c r="B50" s="9" t="s">
        <v>81</v>
      </c>
      <c r="C50" s="30"/>
      <c r="D50" s="7"/>
      <c r="E50" s="34"/>
      <c r="F50" s="34" t="s">
        <v>82</v>
      </c>
    </row>
  </sheetData>
  <mergeCells count="6">
    <mergeCell ref="E14:F18"/>
    <mergeCell ref="A15:D15"/>
    <mergeCell ref="A16:D16"/>
    <mergeCell ref="A17:D17"/>
    <mergeCell ref="A18:D18"/>
    <mergeCell ref="A14:D14"/>
  </mergeCells>
  <dataValidations count="1">
    <dataValidation type="list" allowBlank="1" showInputMessage="1" showErrorMessage="1" sqref="D20:D49" xr:uid="{00000000-0002-0000-0000-000000000000}">
      <formula1>$A$1:$A$13</formula1>
    </dataValidation>
  </dataValidations>
  <printOptions horizontalCentered="1"/>
  <pageMargins left="0.75" right="0.75" top="1" bottom="1" header="0.5" footer="0.7"/>
  <pageSetup firstPageNumber="2" orientation="portrait" useFirstPageNumber="1" r:id="rId1"/>
  <headerFooter>
    <oddFooter>&amp;L&amp;"Times New Roman,Regular"&amp;8&amp;Z&amp;F&amp;R&amp;"Times New Roman,Regular"&amp;9Bid 
004100-&amp;P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8"/>
  <sheetViews>
    <sheetView view="pageBreakPreview" zoomScaleNormal="75" zoomScaleSheetLayoutView="100" workbookViewId="0">
      <selection activeCell="D16" sqref="D16"/>
    </sheetView>
  </sheetViews>
  <sheetFormatPr defaultRowHeight="15"/>
  <cols>
    <col min="1" max="1" width="6.7109375" customWidth="1"/>
    <col min="2" max="2" width="29" style="22" customWidth="1"/>
    <col min="3" max="3" width="10.7109375" style="37" customWidth="1"/>
    <col min="4" max="4" width="6.7109375" style="22" customWidth="1"/>
    <col min="5" max="5" width="11" style="31" customWidth="1"/>
    <col min="6" max="6" width="13.7109375" style="31" customWidth="1"/>
    <col min="7" max="7" width="11" style="31" customWidth="1"/>
    <col min="8" max="8" width="13.7109375" style="31" customWidth="1"/>
    <col min="9" max="9" width="11" style="31" customWidth="1"/>
    <col min="10" max="10" width="13.7109375" style="31" customWidth="1"/>
  </cols>
  <sheetData>
    <row r="1" spans="1:10" s="8" customFormat="1" ht="30" customHeight="1">
      <c r="A1" s="78" t="str">
        <f>'Bid Item List (small)'!$A$15</f>
        <v>PORTLAND INTERNATIONAL AIRPORT</v>
      </c>
      <c r="B1" s="79"/>
      <c r="C1" s="79"/>
      <c r="D1" s="80"/>
      <c r="E1" s="74" t="s">
        <v>83</v>
      </c>
      <c r="F1" s="75"/>
      <c r="G1" s="74" t="s">
        <v>84</v>
      </c>
      <c r="H1" s="75"/>
      <c r="I1" s="74" t="s">
        <v>85</v>
      </c>
      <c r="J1" s="75"/>
    </row>
    <row r="2" spans="1:10">
      <c r="A2" s="81" t="str">
        <f>'Bid Item List (small)'!$A$16</f>
        <v>COLWOOD PIPE AND OUTFALLS</v>
      </c>
      <c r="B2" s="82"/>
      <c r="C2" s="82"/>
      <c r="D2" s="83"/>
      <c r="E2" s="76"/>
      <c r="F2" s="77"/>
      <c r="G2" s="76"/>
      <c r="H2" s="77"/>
      <c r="I2" s="76"/>
      <c r="J2" s="77"/>
    </row>
    <row r="3" spans="1:10">
      <c r="A3" s="81">
        <f>'Bid Item List (small)'!$A$17</f>
        <v>0</v>
      </c>
      <c r="B3" s="82"/>
      <c r="C3" s="82"/>
      <c r="D3" s="83"/>
      <c r="E3" s="76"/>
      <c r="F3" s="77"/>
      <c r="G3" s="76"/>
      <c r="H3" s="77"/>
      <c r="I3" s="76"/>
      <c r="J3" s="77"/>
    </row>
    <row r="4" spans="1:10">
      <c r="A4" s="84" t="s">
        <v>86</v>
      </c>
      <c r="B4" s="85"/>
      <c r="C4" s="85"/>
      <c r="D4" s="86"/>
      <c r="E4" s="76"/>
      <c r="F4" s="77"/>
      <c r="G4" s="76"/>
      <c r="H4" s="77"/>
      <c r="I4" s="76"/>
      <c r="J4" s="77"/>
    </row>
    <row r="5" spans="1:10">
      <c r="A5" s="84" t="s">
        <v>87</v>
      </c>
      <c r="B5" s="85"/>
      <c r="C5" s="85"/>
      <c r="D5" s="86"/>
      <c r="E5" s="76"/>
      <c r="F5" s="77"/>
      <c r="G5" s="76"/>
      <c r="H5" s="77"/>
      <c r="I5" s="76"/>
      <c r="J5" s="77"/>
    </row>
    <row r="6" spans="1:10">
      <c r="A6" s="71">
        <f ca="1">TODAY()</f>
        <v>42397</v>
      </c>
      <c r="B6" s="72"/>
      <c r="C6" s="72"/>
      <c r="D6" s="73"/>
      <c r="E6" s="38"/>
      <c r="F6" s="39"/>
      <c r="G6" s="38"/>
      <c r="H6" s="39"/>
      <c r="I6" s="38"/>
      <c r="J6" s="39"/>
    </row>
    <row r="7" spans="1:10" ht="32.25" customHeight="1">
      <c r="A7" s="10" t="s">
        <v>15</v>
      </c>
      <c r="B7" s="19" t="s">
        <v>16</v>
      </c>
      <c r="C7" s="35" t="s">
        <v>17</v>
      </c>
      <c r="D7" s="19" t="s">
        <v>18</v>
      </c>
      <c r="E7" s="40" t="s">
        <v>19</v>
      </c>
      <c r="F7" s="40" t="s">
        <v>20</v>
      </c>
      <c r="G7" s="40" t="s">
        <v>19</v>
      </c>
      <c r="H7" s="40" t="s">
        <v>20</v>
      </c>
      <c r="I7" s="40" t="s">
        <v>19</v>
      </c>
      <c r="J7" s="40" t="s">
        <v>20</v>
      </c>
    </row>
    <row r="8" spans="1:10" ht="33" customHeight="1">
      <c r="A8" s="11" t="str">
        <f>'Bid Item List (small)'!A20</f>
        <v>0001</v>
      </c>
      <c r="B8" s="20" t="str">
        <f>'Bid Item List (small)'!B20</f>
        <v>Mobilization, Surveying, Cleanup, and Demobilization</v>
      </c>
      <c r="C8" s="36">
        <f>'Bid Item List (small)'!C20</f>
        <v>1</v>
      </c>
      <c r="D8" s="21" t="str">
        <f>'Bid Item List (small)'!D20</f>
        <v>LS</v>
      </c>
      <c r="E8" s="25">
        <v>220000</v>
      </c>
      <c r="F8" s="26">
        <f>C8*E8</f>
        <v>220000</v>
      </c>
      <c r="G8" s="25">
        <v>190000</v>
      </c>
      <c r="H8" s="26">
        <f>C8*G8</f>
        <v>190000</v>
      </c>
      <c r="I8" s="25">
        <v>140000</v>
      </c>
      <c r="J8" s="26">
        <f>C8*I8</f>
        <v>140000</v>
      </c>
    </row>
    <row r="9" spans="1:10" ht="33" customHeight="1">
      <c r="A9" s="11" t="str">
        <f>'Bid Item List (small)'!A21</f>
        <v>0002</v>
      </c>
      <c r="B9" s="20" t="str">
        <f>'Bid Item List (small)'!B21</f>
        <v>Work Zone Traffic Control</v>
      </c>
      <c r="C9" s="36">
        <f>'Bid Item List (small)'!C21</f>
        <v>1</v>
      </c>
      <c r="D9" s="21" t="str">
        <f>'Bid Item List (small)'!D21</f>
        <v>LS</v>
      </c>
      <c r="E9" s="25">
        <v>10000</v>
      </c>
      <c r="F9" s="26">
        <f>C9*E9</f>
        <v>10000</v>
      </c>
      <c r="G9" s="25">
        <v>10000</v>
      </c>
      <c r="H9" s="26">
        <f>C9*G9</f>
        <v>10000</v>
      </c>
      <c r="I9" s="25">
        <v>23000</v>
      </c>
      <c r="J9" s="26">
        <f>C9*I9</f>
        <v>23000</v>
      </c>
    </row>
    <row r="10" spans="1:10" ht="33" customHeight="1">
      <c r="A10" s="11" t="str">
        <f>'Bid Item List (small)'!A22</f>
        <v>0003</v>
      </c>
      <c r="B10" s="20" t="str">
        <f>'Bid Item List (small)'!B22</f>
        <v>Temporary Erosion, Sediment, and Pollution Control</v>
      </c>
      <c r="C10" s="36">
        <f>'Bid Item List (small)'!C22</f>
        <v>1</v>
      </c>
      <c r="D10" s="21" t="str">
        <f>'Bid Item List (small)'!D22</f>
        <v>LS</v>
      </c>
      <c r="E10" s="25">
        <v>15000</v>
      </c>
      <c r="F10" s="26">
        <f t="shared" ref="F10:F18" si="0">C10*E10</f>
        <v>15000</v>
      </c>
      <c r="G10" s="25">
        <v>10000</v>
      </c>
      <c r="H10" s="26">
        <f t="shared" ref="H10:H18" si="1">C10*G10</f>
        <v>10000</v>
      </c>
      <c r="I10" s="25">
        <v>11000</v>
      </c>
      <c r="J10" s="26">
        <f t="shared" ref="J10:J18" si="2">C10*I10</f>
        <v>11000</v>
      </c>
    </row>
    <row r="11" spans="1:10" ht="33" customHeight="1">
      <c r="A11" s="11" t="str">
        <f>'Bid Item List (small)'!A23</f>
        <v>0004</v>
      </c>
      <c r="B11" s="20" t="str">
        <f>'Bid Item List (small)'!B23</f>
        <v>Site Demolition</v>
      </c>
      <c r="C11" s="36">
        <f>'Bid Item List (small)'!C23</f>
        <v>1</v>
      </c>
      <c r="D11" s="21" t="str">
        <f>'Bid Item List (small)'!D23</f>
        <v>LS</v>
      </c>
      <c r="E11" s="25">
        <v>15000</v>
      </c>
      <c r="F11" s="26">
        <f t="shared" si="0"/>
        <v>15000</v>
      </c>
      <c r="G11" s="25">
        <v>2300</v>
      </c>
      <c r="H11" s="26">
        <f t="shared" si="1"/>
        <v>2300</v>
      </c>
      <c r="I11" s="25">
        <v>8000</v>
      </c>
      <c r="J11" s="26">
        <f t="shared" si="2"/>
        <v>8000</v>
      </c>
    </row>
    <row r="12" spans="1:10" ht="33" customHeight="1">
      <c r="A12" s="11" t="str">
        <f>'Bid Item List (small)'!A24</f>
        <v>0005</v>
      </c>
      <c r="B12" s="20" t="str">
        <f>'Bid Item List (small)'!B24</f>
        <v>Clearing and Grubbing</v>
      </c>
      <c r="C12" s="36">
        <f>'Bid Item List (small)'!C24</f>
        <v>1</v>
      </c>
      <c r="D12" s="21" t="str">
        <f>'Bid Item List (small)'!D24</f>
        <v>LS</v>
      </c>
      <c r="E12" s="25">
        <v>55000</v>
      </c>
      <c r="F12" s="26">
        <f t="shared" si="0"/>
        <v>55000</v>
      </c>
      <c r="G12" s="25">
        <v>30000</v>
      </c>
      <c r="H12" s="26">
        <f t="shared" si="1"/>
        <v>30000</v>
      </c>
      <c r="I12" s="25">
        <v>16000</v>
      </c>
      <c r="J12" s="26">
        <f t="shared" si="2"/>
        <v>16000</v>
      </c>
    </row>
    <row r="13" spans="1:10" ht="33" customHeight="1">
      <c r="A13" s="11" t="str">
        <f>'Bid Item List (small)'!A25</f>
        <v>0006</v>
      </c>
      <c r="B13" s="20" t="str">
        <f>'Bid Item List (small)'!B25</f>
        <v>Trench Excavation and General Native Backfill</v>
      </c>
      <c r="C13" s="36">
        <f>'Bid Item List (small)'!C25</f>
        <v>577</v>
      </c>
      <c r="D13" s="21" t="str">
        <f>'Bid Item List (small)'!D25</f>
        <v>LF</v>
      </c>
      <c r="E13" s="25">
        <v>768</v>
      </c>
      <c r="F13" s="26">
        <f t="shared" si="0"/>
        <v>443136</v>
      </c>
      <c r="G13" s="25">
        <v>145</v>
      </c>
      <c r="H13" s="26">
        <f t="shared" si="1"/>
        <v>83665</v>
      </c>
      <c r="I13" s="25">
        <v>143</v>
      </c>
      <c r="J13" s="26">
        <f t="shared" si="2"/>
        <v>82511</v>
      </c>
    </row>
    <row r="14" spans="1:10" ht="33" customHeight="1">
      <c r="A14" s="11" t="str">
        <f>'Bid Item List (small)'!A26</f>
        <v>0007</v>
      </c>
      <c r="B14" s="20" t="str">
        <f>'Bid Item List (small)'!B26</f>
        <v>Trench Excavation and Select Native Backfill</v>
      </c>
      <c r="C14" s="36">
        <f>'Bid Item List (small)'!C26</f>
        <v>622</v>
      </c>
      <c r="D14" s="21" t="str">
        <f>'Bid Item List (small)'!D26</f>
        <v>LF</v>
      </c>
      <c r="E14" s="25">
        <v>755</v>
      </c>
      <c r="F14" s="26">
        <f t="shared" si="0"/>
        <v>469610</v>
      </c>
      <c r="G14" s="25">
        <v>145</v>
      </c>
      <c r="H14" s="26">
        <f t="shared" si="1"/>
        <v>90190</v>
      </c>
      <c r="I14" s="25">
        <v>172</v>
      </c>
      <c r="J14" s="26">
        <f t="shared" si="2"/>
        <v>106984</v>
      </c>
    </row>
    <row r="15" spans="1:10" ht="33" customHeight="1">
      <c r="A15" s="11" t="str">
        <f>'Bid Item List (small)'!A27</f>
        <v>0008</v>
      </c>
      <c r="B15" s="20" t="str">
        <f>'Bid Item List (small)'!B27</f>
        <v>Trench Excavation and Select Backfill</v>
      </c>
      <c r="C15" s="36">
        <f>'Bid Item List (small)'!C27</f>
        <v>48</v>
      </c>
      <c r="D15" s="21" t="str">
        <f>'Bid Item List (small)'!D27</f>
        <v>LF</v>
      </c>
      <c r="E15" s="25">
        <v>1160</v>
      </c>
      <c r="F15" s="26">
        <f t="shared" si="0"/>
        <v>55680</v>
      </c>
      <c r="G15" s="25">
        <v>800</v>
      </c>
      <c r="H15" s="26">
        <f t="shared" si="1"/>
        <v>38400</v>
      </c>
      <c r="I15" s="25">
        <v>1307</v>
      </c>
      <c r="J15" s="26">
        <f t="shared" si="2"/>
        <v>62736</v>
      </c>
    </row>
    <row r="16" spans="1:10" ht="33" customHeight="1">
      <c r="A16" s="11" t="str">
        <f>'Bid Item List (small)'!A28</f>
        <v>0009</v>
      </c>
      <c r="B16" s="20" t="str">
        <f>'Bid Item List (small)'!B28</f>
        <v>Offsite Haul and Disposal</v>
      </c>
      <c r="C16" s="36">
        <f>'Bid Item List (small)'!C28</f>
        <v>6060</v>
      </c>
      <c r="D16" s="21" t="str">
        <f>'Bid Item List (small)'!D28</f>
        <v>CY</v>
      </c>
      <c r="E16" s="25">
        <v>20</v>
      </c>
      <c r="F16" s="26">
        <f t="shared" si="0"/>
        <v>121200</v>
      </c>
      <c r="G16" s="25">
        <v>12</v>
      </c>
      <c r="H16" s="26">
        <f t="shared" si="1"/>
        <v>72720</v>
      </c>
      <c r="I16" s="25">
        <v>8</v>
      </c>
      <c r="J16" s="26">
        <f t="shared" si="2"/>
        <v>48480</v>
      </c>
    </row>
    <row r="17" spans="1:10" ht="33" customHeight="1">
      <c r="A17" s="11" t="str">
        <f>'Bid Item List (small)'!A29</f>
        <v>0010</v>
      </c>
      <c r="B17" s="20" t="str">
        <f>'Bid Item List (small)'!B29</f>
        <v>Contaminated Soil Sediment Excavation and Disposal</v>
      </c>
      <c r="C17" s="36">
        <f>'Bid Item List (small)'!C29</f>
        <v>255</v>
      </c>
      <c r="D17" s="21" t="str">
        <f>'Bid Item List (small)'!D29</f>
        <v>Ton</v>
      </c>
      <c r="E17" s="25">
        <v>55</v>
      </c>
      <c r="F17" s="26">
        <f t="shared" si="0"/>
        <v>14025</v>
      </c>
      <c r="G17" s="25">
        <v>46</v>
      </c>
      <c r="H17" s="26">
        <f t="shared" si="1"/>
        <v>11730</v>
      </c>
      <c r="I17" s="25">
        <v>55</v>
      </c>
      <c r="J17" s="26">
        <f t="shared" si="2"/>
        <v>14025</v>
      </c>
    </row>
    <row r="18" spans="1:10" ht="33" customHeight="1">
      <c r="A18" s="11" t="str">
        <f>'Bid Item List (small)'!A30</f>
        <v>0011</v>
      </c>
      <c r="B18" s="20" t="str">
        <f>'Bid Item List (small)'!B30</f>
        <v>Shoring</v>
      </c>
      <c r="C18" s="36">
        <f>'Bid Item List (small)'!C30</f>
        <v>1</v>
      </c>
      <c r="D18" s="21" t="str">
        <f>'Bid Item List (small)'!D30</f>
        <v>LS</v>
      </c>
      <c r="E18" s="25">
        <v>4000</v>
      </c>
      <c r="F18" s="26">
        <f t="shared" si="0"/>
        <v>4000</v>
      </c>
      <c r="G18" s="25">
        <v>10000</v>
      </c>
      <c r="H18" s="26">
        <f t="shared" si="1"/>
        <v>10000</v>
      </c>
      <c r="I18" s="25">
        <v>16000</v>
      </c>
      <c r="J18" s="26">
        <f t="shared" si="2"/>
        <v>16000</v>
      </c>
    </row>
    <row r="19" spans="1:10" ht="33" customHeight="1">
      <c r="A19" s="11" t="str">
        <f>'Bid Item List (small)'!A31</f>
        <v>0012</v>
      </c>
      <c r="B19" s="20" t="str">
        <f>'Bid Item List (small)'!B31</f>
        <v>Pipe Zone and Bedding Material</v>
      </c>
      <c r="C19" s="36">
        <f>'Bid Item List (small)'!C31</f>
        <v>2940</v>
      </c>
      <c r="D19" s="21" t="str">
        <f>'Bid Item List (small)'!D31</f>
        <v>CY</v>
      </c>
      <c r="E19" s="25">
        <v>33</v>
      </c>
      <c r="F19" s="26">
        <f t="shared" ref="F19:F30" si="3">C19*E19</f>
        <v>97020</v>
      </c>
      <c r="G19" s="25">
        <v>26</v>
      </c>
      <c r="H19" s="26">
        <f t="shared" ref="H19:H30" si="4">C19*G19</f>
        <v>76440</v>
      </c>
      <c r="I19" s="25">
        <v>28</v>
      </c>
      <c r="J19" s="26">
        <f t="shared" ref="J19:J30" si="5">C19*I19</f>
        <v>82320</v>
      </c>
    </row>
    <row r="20" spans="1:10" ht="33" customHeight="1">
      <c r="A20" s="11" t="str">
        <f>'Bid Item List (small)'!A32</f>
        <v>0013</v>
      </c>
      <c r="B20" s="20" t="str">
        <f>'Bid Item List (small)'!B32</f>
        <v>Trench Stabilization</v>
      </c>
      <c r="C20" s="36">
        <f>'Bid Item List (small)'!C32</f>
        <v>555</v>
      </c>
      <c r="D20" s="21" t="str">
        <f>'Bid Item List (small)'!D32</f>
        <v>CY</v>
      </c>
      <c r="E20" s="25">
        <v>80</v>
      </c>
      <c r="F20" s="26">
        <f t="shared" si="3"/>
        <v>44400</v>
      </c>
      <c r="G20" s="25">
        <v>60</v>
      </c>
      <c r="H20" s="26">
        <f t="shared" si="4"/>
        <v>33300</v>
      </c>
      <c r="I20" s="25">
        <v>63</v>
      </c>
      <c r="J20" s="26">
        <f t="shared" si="5"/>
        <v>34965</v>
      </c>
    </row>
    <row r="21" spans="1:10" ht="33" customHeight="1">
      <c r="A21" s="11" t="str">
        <f>'Bid Item List (small)'!A33</f>
        <v>0014</v>
      </c>
      <c r="B21" s="20" t="str">
        <f>'Bid Item List (small)'!B33</f>
        <v>Dewatering</v>
      </c>
      <c r="C21" s="36">
        <f>'Bid Item List (small)'!C33</f>
        <v>1</v>
      </c>
      <c r="D21" s="21" t="str">
        <f>'Bid Item List (small)'!D33</f>
        <v>LS</v>
      </c>
      <c r="E21" s="25">
        <v>140000</v>
      </c>
      <c r="F21" s="26">
        <f t="shared" si="3"/>
        <v>140000</v>
      </c>
      <c r="G21" s="25">
        <v>90000</v>
      </c>
      <c r="H21" s="26">
        <f t="shared" si="4"/>
        <v>90000</v>
      </c>
      <c r="I21" s="25">
        <v>150000</v>
      </c>
      <c r="J21" s="26">
        <f t="shared" si="5"/>
        <v>150000</v>
      </c>
    </row>
    <row r="22" spans="1:10" ht="33" customHeight="1">
      <c r="A22" s="11" t="str">
        <f>'Bid Item List (small)'!A34</f>
        <v>0015</v>
      </c>
      <c r="B22" s="20" t="str">
        <f>'Bid Item List (small)'!B34</f>
        <v>72-Inch Sewer Pipe</v>
      </c>
      <c r="C22" s="36">
        <f>'Bid Item List (small)'!C34</f>
        <v>1260</v>
      </c>
      <c r="D22" s="21" t="str">
        <f>'Bid Item List (small)'!D34</f>
        <v>LF</v>
      </c>
      <c r="E22" s="25">
        <v>16</v>
      </c>
      <c r="F22" s="26">
        <f t="shared" si="3"/>
        <v>20160</v>
      </c>
      <c r="G22" s="25">
        <v>420</v>
      </c>
      <c r="H22" s="26">
        <f t="shared" si="4"/>
        <v>529200</v>
      </c>
      <c r="I22" s="25">
        <v>427</v>
      </c>
      <c r="J22" s="26">
        <f t="shared" si="5"/>
        <v>538020</v>
      </c>
    </row>
    <row r="23" spans="1:10" ht="33" customHeight="1">
      <c r="A23" s="11" t="str">
        <f>'Bid Item List (small)'!A35</f>
        <v>0016</v>
      </c>
      <c r="B23" s="20" t="str">
        <f>'Bid Item List (small)'!B35</f>
        <v>108-Inch Manhole</v>
      </c>
      <c r="C23" s="36">
        <f>'Bid Item List (small)'!C35</f>
        <v>1</v>
      </c>
      <c r="D23" s="21" t="str">
        <f>'Bid Item List (small)'!D35</f>
        <v>Each</v>
      </c>
      <c r="E23" s="25">
        <v>36000</v>
      </c>
      <c r="F23" s="26">
        <f t="shared" si="3"/>
        <v>36000</v>
      </c>
      <c r="G23" s="25">
        <v>19000</v>
      </c>
      <c r="H23" s="26">
        <f t="shared" si="4"/>
        <v>19000</v>
      </c>
      <c r="I23" s="25">
        <v>33000</v>
      </c>
      <c r="J23" s="26">
        <f t="shared" si="5"/>
        <v>33000</v>
      </c>
    </row>
    <row r="24" spans="1:10" ht="33" customHeight="1">
      <c r="A24" s="11" t="str">
        <f>'Bid Item List (small)'!A36</f>
        <v>0017</v>
      </c>
      <c r="B24" s="20" t="str">
        <f>'Bid Item List (small)'!B36</f>
        <v>120-Inch Manhole</v>
      </c>
      <c r="C24" s="36">
        <f>'Bid Item List (small)'!C36</f>
        <v>1</v>
      </c>
      <c r="D24" s="21" t="str">
        <f>'Bid Item List (small)'!D36</f>
        <v>Each</v>
      </c>
      <c r="E24" s="25">
        <v>37000</v>
      </c>
      <c r="F24" s="26">
        <f t="shared" si="3"/>
        <v>37000</v>
      </c>
      <c r="G24" s="25">
        <v>23000</v>
      </c>
      <c r="H24" s="26">
        <f t="shared" si="4"/>
        <v>23000</v>
      </c>
      <c r="I24" s="25">
        <v>38000</v>
      </c>
      <c r="J24" s="26">
        <f t="shared" si="5"/>
        <v>38000</v>
      </c>
    </row>
    <row r="25" spans="1:10" ht="33" customHeight="1">
      <c r="A25" s="11" t="str">
        <f>'Bid Item List (small)'!A37</f>
        <v>0018</v>
      </c>
      <c r="B25" s="20" t="str">
        <f>'Bid Item List (small)'!B37</f>
        <v>Subdrains</v>
      </c>
      <c r="C25" s="36">
        <f>'Bid Item List (small)'!C37</f>
        <v>36</v>
      </c>
      <c r="D25" s="21" t="str">
        <f>'Bid Item List (small)'!D37</f>
        <v>LF</v>
      </c>
      <c r="E25" s="25">
        <v>23</v>
      </c>
      <c r="F25" s="26">
        <f t="shared" si="3"/>
        <v>828</v>
      </c>
      <c r="G25" s="25">
        <v>18</v>
      </c>
      <c r="H25" s="26">
        <f t="shared" si="4"/>
        <v>648</v>
      </c>
      <c r="I25" s="25">
        <v>20</v>
      </c>
      <c r="J25" s="26">
        <f t="shared" si="5"/>
        <v>720</v>
      </c>
    </row>
    <row r="26" spans="1:10" ht="33" customHeight="1">
      <c r="A26" s="11" t="str">
        <f>'Bid Item List (small)'!A38</f>
        <v>0019</v>
      </c>
      <c r="B26" s="20" t="str">
        <f>'Bid Item List (small)'!B38</f>
        <v>Inlet (Type PB)</v>
      </c>
      <c r="C26" s="36">
        <f>'Bid Item List (small)'!C38</f>
        <v>3</v>
      </c>
      <c r="D26" s="21" t="str">
        <f>'Bid Item List (small)'!D38</f>
        <v>Each</v>
      </c>
      <c r="E26" s="25">
        <v>700</v>
      </c>
      <c r="F26" s="26">
        <f t="shared" si="3"/>
        <v>2100</v>
      </c>
      <c r="G26" s="25">
        <v>480</v>
      </c>
      <c r="H26" s="26">
        <f t="shared" si="4"/>
        <v>1440</v>
      </c>
      <c r="I26" s="25">
        <v>575</v>
      </c>
      <c r="J26" s="26">
        <f t="shared" si="5"/>
        <v>1725</v>
      </c>
    </row>
    <row r="27" spans="1:10" ht="33" customHeight="1">
      <c r="A27" s="11" t="str">
        <f>'Bid Item List (small)'!A39</f>
        <v>0020</v>
      </c>
      <c r="B27" s="20" t="str">
        <f>'Bid Item List (small)'!B39</f>
        <v>McBride Slough Intake Structure</v>
      </c>
      <c r="C27" s="36">
        <f>'Bid Item List (small)'!C39</f>
        <v>1</v>
      </c>
      <c r="D27" s="21" t="str">
        <f>'Bid Item List (small)'!D39</f>
        <v>LS</v>
      </c>
      <c r="E27" s="25">
        <v>221000</v>
      </c>
      <c r="F27" s="26">
        <f t="shared" si="3"/>
        <v>221000</v>
      </c>
      <c r="G27" s="25">
        <v>200000</v>
      </c>
      <c r="H27" s="26">
        <f t="shared" si="4"/>
        <v>200000</v>
      </c>
      <c r="I27" s="25">
        <v>185000</v>
      </c>
      <c r="J27" s="26">
        <f t="shared" si="5"/>
        <v>185000</v>
      </c>
    </row>
    <row r="28" spans="1:10" ht="33" customHeight="1">
      <c r="A28" s="11" t="str">
        <f>'Bid Item List (small)'!A40</f>
        <v>0021</v>
      </c>
      <c r="B28" s="20" t="str">
        <f>'Bid Item List (small)'!B40</f>
        <v>Columbia Slough Outfall Structure</v>
      </c>
      <c r="C28" s="36">
        <f>'Bid Item List (small)'!C40</f>
        <v>1</v>
      </c>
      <c r="D28" s="21" t="str">
        <f>'Bid Item List (small)'!D40</f>
        <v>LS</v>
      </c>
      <c r="E28" s="25">
        <v>220000</v>
      </c>
      <c r="F28" s="26">
        <f t="shared" si="3"/>
        <v>220000</v>
      </c>
      <c r="G28" s="25">
        <v>450000</v>
      </c>
      <c r="H28" s="26">
        <f t="shared" si="4"/>
        <v>450000</v>
      </c>
      <c r="I28" s="25">
        <v>165000</v>
      </c>
      <c r="J28" s="26">
        <f t="shared" si="5"/>
        <v>165000</v>
      </c>
    </row>
    <row r="29" spans="1:10" ht="33" customHeight="1">
      <c r="A29" s="11" t="str">
        <f>'Bid Item List (small)'!A41</f>
        <v>0022</v>
      </c>
      <c r="B29" s="20" t="str">
        <f>'Bid Item List (small)'!B41</f>
        <v>Modified Concrete Curb and Gutter</v>
      </c>
      <c r="C29" s="36">
        <f>'Bid Item List (small)'!C41</f>
        <v>36</v>
      </c>
      <c r="D29" s="21" t="str">
        <f>'Bid Item List (small)'!D41</f>
        <v>LF</v>
      </c>
      <c r="E29" s="25">
        <v>41</v>
      </c>
      <c r="F29" s="26">
        <f t="shared" si="3"/>
        <v>1476</v>
      </c>
      <c r="G29" s="25">
        <v>62</v>
      </c>
      <c r="H29" s="26">
        <f t="shared" si="4"/>
        <v>2232</v>
      </c>
      <c r="I29" s="25">
        <v>45</v>
      </c>
      <c r="J29" s="26">
        <f t="shared" si="5"/>
        <v>1620</v>
      </c>
    </row>
    <row r="30" spans="1:10" ht="33" customHeight="1">
      <c r="A30" s="11" t="str">
        <f>'Bid Item List (small)'!A42</f>
        <v>0023</v>
      </c>
      <c r="B30" s="20" t="str">
        <f>'Bid Item List (small)'!B42</f>
        <v>Sidewalk</v>
      </c>
      <c r="C30" s="36">
        <f>'Bid Item List (small)'!C42</f>
        <v>500</v>
      </c>
      <c r="D30" s="21" t="str">
        <f>'Bid Item List (small)'!D42</f>
        <v>SF</v>
      </c>
      <c r="E30" s="25">
        <v>6.5</v>
      </c>
      <c r="F30" s="26">
        <f t="shared" si="3"/>
        <v>3250</v>
      </c>
      <c r="G30" s="25">
        <v>10</v>
      </c>
      <c r="H30" s="26">
        <f t="shared" si="4"/>
        <v>5000</v>
      </c>
      <c r="I30" s="25">
        <v>9</v>
      </c>
      <c r="J30" s="26">
        <f t="shared" si="5"/>
        <v>4500</v>
      </c>
    </row>
    <row r="31" spans="1:10" ht="33" customHeight="1">
      <c r="A31" s="11" t="str">
        <f>'Bid Item List (small)'!A43</f>
        <v>0024</v>
      </c>
      <c r="B31" s="20" t="str">
        <f>'Bid Item List (small)'!B43</f>
        <v>Aggregate Base Course</v>
      </c>
      <c r="C31" s="36">
        <f>'Bid Item List (small)'!C43</f>
        <v>175</v>
      </c>
      <c r="D31" s="21" t="str">
        <f>'Bid Item List (small)'!D43</f>
        <v>Ton</v>
      </c>
      <c r="E31" s="25">
        <v>36</v>
      </c>
      <c r="F31" s="26">
        <f>C31*E31</f>
        <v>6300</v>
      </c>
      <c r="G31" s="25">
        <v>15</v>
      </c>
      <c r="H31" s="26">
        <f>C31*G31</f>
        <v>2625</v>
      </c>
      <c r="I31" s="25">
        <v>28</v>
      </c>
      <c r="J31" s="26">
        <f>C31*I31</f>
        <v>4900</v>
      </c>
    </row>
    <row r="32" spans="1:10" ht="33" customHeight="1">
      <c r="A32" s="11" t="str">
        <f>'Bid Item List (small)'!A44</f>
        <v>0025</v>
      </c>
      <c r="B32" s="20" t="str">
        <f>'Bid Item List (small)'!B44</f>
        <v>Portland Cement Concrete Pavement 
(9-Inch)</v>
      </c>
      <c r="C32" s="36">
        <f>'Bid Item List (small)'!C44</f>
        <v>175</v>
      </c>
      <c r="D32" s="21" t="str">
        <f>'Bid Item List (small)'!D44</f>
        <v>SY</v>
      </c>
      <c r="E32" s="25">
        <v>165</v>
      </c>
      <c r="F32" s="26">
        <f>C32*E32</f>
        <v>28875</v>
      </c>
      <c r="G32" s="25">
        <v>215</v>
      </c>
      <c r="H32" s="26">
        <f>C32*G32</f>
        <v>37625</v>
      </c>
      <c r="I32" s="25">
        <v>170</v>
      </c>
      <c r="J32" s="26">
        <f>C32*I32</f>
        <v>29750</v>
      </c>
    </row>
    <row r="33" spans="1:10" ht="33" customHeight="1">
      <c r="A33" s="11" t="str">
        <f>'Bid Item List (small)'!A45</f>
        <v>0026</v>
      </c>
      <c r="B33" s="20" t="str">
        <f>'Bid Item List (small)'!B45</f>
        <v>Pavement Marking</v>
      </c>
      <c r="C33" s="36">
        <f>'Bid Item List (small)'!C45</f>
        <v>1</v>
      </c>
      <c r="D33" s="21" t="str">
        <f>'Bid Item List (small)'!D45</f>
        <v>LS</v>
      </c>
      <c r="E33" s="25">
        <v>4100</v>
      </c>
      <c r="F33" s="26">
        <f t="shared" ref="F33:F37" si="6">C33*E33</f>
        <v>4100</v>
      </c>
      <c r="G33" s="25">
        <v>4100</v>
      </c>
      <c r="H33" s="26">
        <f t="shared" ref="H33:H37" si="7">C33*G33</f>
        <v>4100</v>
      </c>
      <c r="I33" s="25">
        <v>4054</v>
      </c>
      <c r="J33" s="26">
        <f t="shared" ref="J33:J37" si="8">C33*I33</f>
        <v>4054</v>
      </c>
    </row>
    <row r="34" spans="1:10" ht="33" customHeight="1">
      <c r="A34" s="11" t="str">
        <f>'Bid Item List (small)'!A46</f>
        <v>0027</v>
      </c>
      <c r="B34" s="20" t="str">
        <f>'Bid Item List (small)'!B46</f>
        <v>Guard Rail Removal and Replacement</v>
      </c>
      <c r="C34" s="36">
        <f>'Bid Item List (small)'!C46</f>
        <v>72</v>
      </c>
      <c r="D34" s="21" t="str">
        <f>'Bid Item List (small)'!D46</f>
        <v>LF</v>
      </c>
      <c r="E34" s="25">
        <v>46</v>
      </c>
      <c r="F34" s="26">
        <f t="shared" si="6"/>
        <v>3312</v>
      </c>
      <c r="G34" s="25">
        <v>50</v>
      </c>
      <c r="H34" s="26">
        <f t="shared" si="7"/>
        <v>3600</v>
      </c>
      <c r="I34" s="25">
        <v>40</v>
      </c>
      <c r="J34" s="26">
        <f t="shared" si="8"/>
        <v>2880</v>
      </c>
    </row>
    <row r="35" spans="1:10" ht="33" customHeight="1">
      <c r="A35" s="11" t="str">
        <f>'Bid Item List (small)'!A47</f>
        <v>0028</v>
      </c>
      <c r="B35" s="20" t="str">
        <f>'Bid Item List (small)'!B47</f>
        <v>Area Seeding</v>
      </c>
      <c r="C35" s="36">
        <f>'Bid Item List (small)'!C47</f>
        <v>1</v>
      </c>
      <c r="D35" s="21" t="str">
        <f>'Bid Item List (small)'!D47</f>
        <v>LS</v>
      </c>
      <c r="E35" s="25">
        <v>7000</v>
      </c>
      <c r="F35" s="26">
        <f t="shared" si="6"/>
        <v>7000</v>
      </c>
      <c r="G35" s="25">
        <v>10500</v>
      </c>
      <c r="H35" s="26">
        <f t="shared" si="7"/>
        <v>10500</v>
      </c>
      <c r="I35" s="25">
        <v>10285</v>
      </c>
      <c r="J35" s="26">
        <f t="shared" si="8"/>
        <v>10285</v>
      </c>
    </row>
    <row r="36" spans="1:10" ht="33" customHeight="1">
      <c r="A36" s="11" t="str">
        <f>'Bid Item List (small)'!A48</f>
        <v>0029</v>
      </c>
      <c r="B36" s="20" t="str">
        <f>'Bid Item List (small)'!B48</f>
        <v>Stormwater Flow Through Pollution Reduction Facility</v>
      </c>
      <c r="C36" s="36">
        <f>'Bid Item List (small)'!C48</f>
        <v>1</v>
      </c>
      <c r="D36" s="21" t="str">
        <f>'Bid Item List (small)'!D48</f>
        <v>LS</v>
      </c>
      <c r="E36" s="25">
        <v>3000</v>
      </c>
      <c r="F36" s="26">
        <f t="shared" si="6"/>
        <v>3000</v>
      </c>
      <c r="G36" s="25">
        <v>1000</v>
      </c>
      <c r="H36" s="26">
        <f t="shared" si="7"/>
        <v>1000</v>
      </c>
      <c r="I36" s="25">
        <v>1800</v>
      </c>
      <c r="J36" s="26">
        <f t="shared" si="8"/>
        <v>1800</v>
      </c>
    </row>
    <row r="37" spans="1:10" ht="33" customHeight="1">
      <c r="A37" s="11" t="str">
        <f>'Bid Item List (small)'!A49</f>
        <v>0030</v>
      </c>
      <c r="B37" s="20" t="str">
        <f>'Bid Item List (small)'!B49</f>
        <v>Landscape Restoration</v>
      </c>
      <c r="C37" s="36">
        <f>'Bid Item List (small)'!C49</f>
        <v>1</v>
      </c>
      <c r="D37" s="21" t="str">
        <f>'Bid Item List (small)'!D49</f>
        <v>LS</v>
      </c>
      <c r="E37" s="25">
        <v>14000</v>
      </c>
      <c r="F37" s="26">
        <f t="shared" si="6"/>
        <v>14000</v>
      </c>
      <c r="G37" s="25">
        <v>9000</v>
      </c>
      <c r="H37" s="26">
        <f t="shared" si="7"/>
        <v>9000</v>
      </c>
      <c r="I37" s="25">
        <v>26000</v>
      </c>
      <c r="J37" s="26">
        <f t="shared" si="8"/>
        <v>26000</v>
      </c>
    </row>
    <row r="38" spans="1:10" s="54" customFormat="1" ht="33" customHeight="1">
      <c r="A38" s="48"/>
      <c r="B38" s="49" t="str">
        <f>'Bid Item List (small)'!B50</f>
        <v>Total Amount Bid (Basis of Award)</v>
      </c>
      <c r="C38" s="50"/>
      <c r="D38" s="51">
        <f>'Bid Item List (small)'!D50</f>
        <v>0</v>
      </c>
      <c r="E38" s="52"/>
      <c r="F38" s="53">
        <f>SUM(F8:F37)</f>
        <v>2312472</v>
      </c>
      <c r="G38" s="52"/>
      <c r="H38" s="53">
        <f>SUM(H8:H37)</f>
        <v>2047715</v>
      </c>
      <c r="I38" s="52"/>
      <c r="J38" s="53">
        <f>SUM(J8:J37)</f>
        <v>1843275</v>
      </c>
    </row>
  </sheetData>
  <mergeCells count="9">
    <mergeCell ref="A6:D6"/>
    <mergeCell ref="E1:F5"/>
    <mergeCell ref="G1:H5"/>
    <mergeCell ref="I1:J5"/>
    <mergeCell ref="A1:D1"/>
    <mergeCell ref="A2:D2"/>
    <mergeCell ref="A3:D3"/>
    <mergeCell ref="A4:D4"/>
    <mergeCell ref="A5:D5"/>
  </mergeCells>
  <printOptions horizontalCentered="1"/>
  <pageMargins left="0.5" right="0.5" top="0.5" bottom="0.5" header="0.5" footer="0.5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8"/>
  <sheetViews>
    <sheetView view="pageBreakPreview" zoomScaleNormal="75" zoomScaleSheetLayoutView="100" workbookViewId="0">
      <selection activeCell="D16" sqref="D16"/>
    </sheetView>
  </sheetViews>
  <sheetFormatPr defaultRowHeight="15"/>
  <cols>
    <col min="1" max="1" width="6.7109375" customWidth="1"/>
    <col min="2" max="2" width="29" style="22" customWidth="1"/>
    <col min="3" max="3" width="10.7109375" style="37" customWidth="1"/>
    <col min="4" max="4" width="6.7109375" style="22" customWidth="1"/>
    <col min="5" max="5" width="11" style="31" customWidth="1"/>
    <col min="6" max="6" width="13.7109375" style="31" customWidth="1"/>
    <col min="7" max="7" width="11" style="31" customWidth="1"/>
    <col min="8" max="8" width="13.7109375" style="31" customWidth="1"/>
    <col min="9" max="9" width="11" style="31" customWidth="1"/>
    <col min="10" max="10" width="13.7109375" style="31" customWidth="1"/>
  </cols>
  <sheetData>
    <row r="1" spans="1:10" s="8" customFormat="1" ht="30" customHeight="1">
      <c r="A1" s="78" t="str">
        <f>'Bid Item List (small)'!$A$15</f>
        <v>PORTLAND INTERNATIONAL AIRPORT</v>
      </c>
      <c r="B1" s="79"/>
      <c r="C1" s="79"/>
      <c r="D1" s="80"/>
      <c r="E1" s="87" t="s">
        <v>88</v>
      </c>
      <c r="F1" s="88"/>
      <c r="G1" s="87" t="s">
        <v>89</v>
      </c>
      <c r="H1" s="88"/>
      <c r="I1" s="74" t="s">
        <v>90</v>
      </c>
      <c r="J1" s="75"/>
    </row>
    <row r="2" spans="1:10">
      <c r="A2" s="81" t="str">
        <f>'Bid Item List (small)'!$A$16</f>
        <v>COLWOOD PIPE AND OUTFALLS</v>
      </c>
      <c r="B2" s="82"/>
      <c r="C2" s="82"/>
      <c r="D2" s="83"/>
      <c r="E2" s="89"/>
      <c r="F2" s="90"/>
      <c r="G2" s="89"/>
      <c r="H2" s="90"/>
      <c r="I2" s="76"/>
      <c r="J2" s="77"/>
    </row>
    <row r="3" spans="1:10">
      <c r="A3" s="81">
        <f>'Bid Item List (small)'!$A$17</f>
        <v>0</v>
      </c>
      <c r="B3" s="82"/>
      <c r="C3" s="82"/>
      <c r="D3" s="83"/>
      <c r="E3" s="89"/>
      <c r="F3" s="90"/>
      <c r="G3" s="89"/>
      <c r="H3" s="90"/>
      <c r="I3" s="76"/>
      <c r="J3" s="77"/>
    </row>
    <row r="4" spans="1:10">
      <c r="A4" s="84" t="s">
        <v>86</v>
      </c>
      <c r="B4" s="85"/>
      <c r="C4" s="85"/>
      <c r="D4" s="86"/>
      <c r="E4" s="89"/>
      <c r="F4" s="90"/>
      <c r="G4" s="89"/>
      <c r="H4" s="90"/>
      <c r="I4" s="76"/>
      <c r="J4" s="77"/>
    </row>
    <row r="5" spans="1:10">
      <c r="A5" s="84" t="s">
        <v>87</v>
      </c>
      <c r="B5" s="85"/>
      <c r="C5" s="85"/>
      <c r="D5" s="86"/>
      <c r="E5" s="89"/>
      <c r="F5" s="90"/>
      <c r="G5" s="89"/>
      <c r="H5" s="90"/>
      <c r="I5" s="76"/>
      <c r="J5" s="77"/>
    </row>
    <row r="6" spans="1:10">
      <c r="A6" s="71">
        <f ca="1">TODAY()</f>
        <v>42397</v>
      </c>
      <c r="B6" s="72"/>
      <c r="C6" s="72"/>
      <c r="D6" s="73"/>
      <c r="E6" s="38"/>
      <c r="F6" s="39"/>
      <c r="G6" s="38"/>
      <c r="H6" s="39"/>
      <c r="I6" s="38"/>
      <c r="J6" s="39"/>
    </row>
    <row r="7" spans="1:10" ht="32.25" customHeight="1">
      <c r="A7" s="10" t="s">
        <v>15</v>
      </c>
      <c r="B7" s="19" t="s">
        <v>16</v>
      </c>
      <c r="C7" s="35" t="s">
        <v>17</v>
      </c>
      <c r="D7" s="19" t="s">
        <v>18</v>
      </c>
      <c r="E7" s="40" t="s">
        <v>19</v>
      </c>
      <c r="F7" s="40" t="s">
        <v>20</v>
      </c>
      <c r="G7" s="40" t="s">
        <v>19</v>
      </c>
      <c r="H7" s="40" t="s">
        <v>20</v>
      </c>
      <c r="I7" s="40" t="s">
        <v>19</v>
      </c>
      <c r="J7" s="40" t="s">
        <v>20</v>
      </c>
    </row>
    <row r="8" spans="1:10" ht="33" customHeight="1">
      <c r="A8" s="11" t="str">
        <f>'Bid Item List (small)'!A20</f>
        <v>0001</v>
      </c>
      <c r="B8" s="20" t="str">
        <f>'Bid Item List (small)'!B20</f>
        <v>Mobilization, Surveying, Cleanup, and Demobilization</v>
      </c>
      <c r="C8" s="36">
        <f>'Bid Item List (small)'!C20</f>
        <v>1</v>
      </c>
      <c r="D8" s="21" t="str">
        <f>'Bid Item List (small)'!D20</f>
        <v>LS</v>
      </c>
      <c r="E8" s="25">
        <v>161387</v>
      </c>
      <c r="F8" s="26">
        <f>C8*E8</f>
        <v>161387</v>
      </c>
      <c r="G8" s="25">
        <v>200000</v>
      </c>
      <c r="H8" s="26">
        <f>C8*G8</f>
        <v>200000</v>
      </c>
      <c r="I8" s="25">
        <v>240000</v>
      </c>
      <c r="J8" s="26">
        <f>C8*I8</f>
        <v>240000</v>
      </c>
    </row>
    <row r="9" spans="1:10" ht="33" customHeight="1">
      <c r="A9" s="11" t="str">
        <f>'Bid Item List (small)'!A21</f>
        <v>0002</v>
      </c>
      <c r="B9" s="20" t="str">
        <f>'Bid Item List (small)'!B21</f>
        <v>Work Zone Traffic Control</v>
      </c>
      <c r="C9" s="36">
        <f>'Bid Item List (small)'!C21</f>
        <v>1</v>
      </c>
      <c r="D9" s="21" t="str">
        <f>'Bid Item List (small)'!D21</f>
        <v>LS</v>
      </c>
      <c r="E9" s="25">
        <v>20685</v>
      </c>
      <c r="F9" s="26">
        <f>C9*E9</f>
        <v>20685</v>
      </c>
      <c r="G9" s="25">
        <v>20000</v>
      </c>
      <c r="H9" s="26">
        <f>C9*G9</f>
        <v>20000</v>
      </c>
      <c r="I9" s="25">
        <v>25000</v>
      </c>
      <c r="J9" s="26">
        <f>C9*I9</f>
        <v>25000</v>
      </c>
    </row>
    <row r="10" spans="1:10" ht="33" customHeight="1">
      <c r="A10" s="11" t="str">
        <f>'Bid Item List (small)'!A22</f>
        <v>0003</v>
      </c>
      <c r="B10" s="20" t="str">
        <f>'Bid Item List (small)'!B22</f>
        <v>Temporary Erosion, Sediment, and Pollution Control</v>
      </c>
      <c r="C10" s="36">
        <f>'Bid Item List (small)'!C22</f>
        <v>1</v>
      </c>
      <c r="D10" s="21" t="str">
        <f>'Bid Item List (small)'!D22</f>
        <v>LS</v>
      </c>
      <c r="E10" s="25">
        <v>21675</v>
      </c>
      <c r="F10" s="26">
        <f t="shared" ref="F10:F30" si="0">C10*E10</f>
        <v>21675</v>
      </c>
      <c r="G10" s="25">
        <v>20000</v>
      </c>
      <c r="H10" s="26">
        <f t="shared" ref="H10:H30" si="1">C10*G10</f>
        <v>20000</v>
      </c>
      <c r="I10" s="25">
        <v>40000</v>
      </c>
      <c r="J10" s="26">
        <f t="shared" ref="J10:J30" si="2">C10*I10</f>
        <v>40000</v>
      </c>
    </row>
    <row r="11" spans="1:10" ht="33" customHeight="1">
      <c r="A11" s="11" t="str">
        <f>'Bid Item List (small)'!A23</f>
        <v>0004</v>
      </c>
      <c r="B11" s="20" t="str">
        <f>'Bid Item List (small)'!B23</f>
        <v>Site Demolition</v>
      </c>
      <c r="C11" s="36">
        <f>'Bid Item List (small)'!C23</f>
        <v>1</v>
      </c>
      <c r="D11" s="21" t="str">
        <f>'Bid Item List (small)'!D23</f>
        <v>LS</v>
      </c>
      <c r="E11" s="25">
        <v>2225</v>
      </c>
      <c r="F11" s="26">
        <f t="shared" si="0"/>
        <v>2225</v>
      </c>
      <c r="G11" s="25">
        <v>10000</v>
      </c>
      <c r="H11" s="26">
        <f t="shared" si="1"/>
        <v>10000</v>
      </c>
      <c r="I11" s="25">
        <v>15000</v>
      </c>
      <c r="J11" s="26">
        <f t="shared" si="2"/>
        <v>15000</v>
      </c>
    </row>
    <row r="12" spans="1:10" ht="33" customHeight="1">
      <c r="A12" s="11" t="str">
        <f>'Bid Item List (small)'!A24</f>
        <v>0005</v>
      </c>
      <c r="B12" s="20" t="str">
        <f>'Bid Item List (small)'!B24</f>
        <v>Clearing and Grubbing</v>
      </c>
      <c r="C12" s="36">
        <f>'Bid Item List (small)'!C24</f>
        <v>1</v>
      </c>
      <c r="D12" s="21" t="str">
        <f>'Bid Item List (small)'!D24</f>
        <v>LS</v>
      </c>
      <c r="E12" s="25">
        <v>17000</v>
      </c>
      <c r="F12" s="26">
        <f t="shared" si="0"/>
        <v>17000</v>
      </c>
      <c r="G12" s="25">
        <v>35000</v>
      </c>
      <c r="H12" s="26">
        <f t="shared" si="1"/>
        <v>35000</v>
      </c>
      <c r="I12" s="25">
        <v>20000</v>
      </c>
      <c r="J12" s="26">
        <f t="shared" si="2"/>
        <v>20000</v>
      </c>
    </row>
    <row r="13" spans="1:10" ht="33" customHeight="1">
      <c r="A13" s="11" t="str">
        <f>'Bid Item List (small)'!A25</f>
        <v>0006</v>
      </c>
      <c r="B13" s="20" t="str">
        <f>'Bid Item List (small)'!B25</f>
        <v>Trench Excavation and General Native Backfill</v>
      </c>
      <c r="C13" s="36">
        <f>'Bid Item List (small)'!C25</f>
        <v>577</v>
      </c>
      <c r="D13" s="21" t="str">
        <f>'Bid Item List (small)'!D25</f>
        <v>LF</v>
      </c>
      <c r="E13" s="25">
        <v>160</v>
      </c>
      <c r="F13" s="26">
        <f t="shared" si="0"/>
        <v>92320</v>
      </c>
      <c r="G13" s="25">
        <v>200</v>
      </c>
      <c r="H13" s="26">
        <f t="shared" si="1"/>
        <v>115400</v>
      </c>
      <c r="I13" s="25">
        <v>40</v>
      </c>
      <c r="J13" s="26">
        <f t="shared" si="2"/>
        <v>23080</v>
      </c>
    </row>
    <row r="14" spans="1:10" ht="33" customHeight="1">
      <c r="A14" s="11" t="str">
        <f>'Bid Item List (small)'!A26</f>
        <v>0007</v>
      </c>
      <c r="B14" s="20" t="str">
        <f>'Bid Item List (small)'!B26</f>
        <v>Trench Excavation and Select Native Backfill</v>
      </c>
      <c r="C14" s="36">
        <f>'Bid Item List (small)'!C26</f>
        <v>622</v>
      </c>
      <c r="D14" s="21" t="str">
        <f>'Bid Item List (small)'!D26</f>
        <v>LF</v>
      </c>
      <c r="E14" s="25">
        <v>218</v>
      </c>
      <c r="F14" s="26">
        <f t="shared" si="0"/>
        <v>135596</v>
      </c>
      <c r="G14" s="25">
        <v>200</v>
      </c>
      <c r="H14" s="26">
        <f t="shared" si="1"/>
        <v>124400</v>
      </c>
      <c r="I14" s="25">
        <v>45</v>
      </c>
      <c r="J14" s="26">
        <f t="shared" si="2"/>
        <v>27990</v>
      </c>
    </row>
    <row r="15" spans="1:10" ht="33" customHeight="1">
      <c r="A15" s="11" t="str">
        <f>'Bid Item List (small)'!A27</f>
        <v>0008</v>
      </c>
      <c r="B15" s="20" t="str">
        <f>'Bid Item List (small)'!B27</f>
        <v>Trench Excavation and Select Backfill</v>
      </c>
      <c r="C15" s="36">
        <f>'Bid Item List (small)'!C27</f>
        <v>48</v>
      </c>
      <c r="D15" s="21" t="str">
        <f>'Bid Item List (small)'!D27</f>
        <v>LF</v>
      </c>
      <c r="E15" s="25">
        <v>900</v>
      </c>
      <c r="F15" s="26">
        <f t="shared" si="0"/>
        <v>43200</v>
      </c>
      <c r="G15" s="25">
        <v>700</v>
      </c>
      <c r="H15" s="26">
        <f t="shared" si="1"/>
        <v>33600</v>
      </c>
      <c r="I15" s="25">
        <v>300</v>
      </c>
      <c r="J15" s="26">
        <f t="shared" si="2"/>
        <v>14400</v>
      </c>
    </row>
    <row r="16" spans="1:10" ht="33" customHeight="1">
      <c r="A16" s="11" t="str">
        <f>'Bid Item List (small)'!A28</f>
        <v>0009</v>
      </c>
      <c r="B16" s="20" t="str">
        <f>'Bid Item List (small)'!B28</f>
        <v>Offsite Haul and Disposal</v>
      </c>
      <c r="C16" s="36">
        <f>'Bid Item List (small)'!C28</f>
        <v>6060</v>
      </c>
      <c r="D16" s="21" t="str">
        <f>'Bid Item List (small)'!D28</f>
        <v>CY</v>
      </c>
      <c r="E16" s="25">
        <v>16</v>
      </c>
      <c r="F16" s="26">
        <f t="shared" si="0"/>
        <v>96960</v>
      </c>
      <c r="G16" s="25">
        <v>7</v>
      </c>
      <c r="H16" s="26">
        <f t="shared" si="1"/>
        <v>42420</v>
      </c>
      <c r="I16" s="25">
        <v>17</v>
      </c>
      <c r="J16" s="26">
        <f t="shared" si="2"/>
        <v>103020</v>
      </c>
    </row>
    <row r="17" spans="1:10" ht="33" customHeight="1">
      <c r="A17" s="11" t="str">
        <f>'Bid Item List (small)'!A29</f>
        <v>0010</v>
      </c>
      <c r="B17" s="20" t="str">
        <f>'Bid Item List (small)'!B29</f>
        <v>Contaminated Soil Sediment Excavation and Disposal</v>
      </c>
      <c r="C17" s="36">
        <f>'Bid Item List (small)'!C29</f>
        <v>255</v>
      </c>
      <c r="D17" s="21" t="str">
        <f>'Bid Item List (small)'!D29</f>
        <v>Ton</v>
      </c>
      <c r="E17" s="25">
        <v>62</v>
      </c>
      <c r="F17" s="26">
        <f t="shared" si="0"/>
        <v>15810</v>
      </c>
      <c r="G17" s="25">
        <v>75</v>
      </c>
      <c r="H17" s="26">
        <f t="shared" si="1"/>
        <v>19125</v>
      </c>
      <c r="I17" s="25">
        <v>135</v>
      </c>
      <c r="J17" s="26">
        <f t="shared" si="2"/>
        <v>34425</v>
      </c>
    </row>
    <row r="18" spans="1:10" ht="33" customHeight="1">
      <c r="A18" s="11" t="str">
        <f>'Bid Item List (small)'!A30</f>
        <v>0011</v>
      </c>
      <c r="B18" s="20" t="str">
        <f>'Bid Item List (small)'!B30</f>
        <v>Shoring</v>
      </c>
      <c r="C18" s="36">
        <f>'Bid Item List (small)'!C30</f>
        <v>1</v>
      </c>
      <c r="D18" s="21" t="str">
        <f>'Bid Item List (small)'!D30</f>
        <v>LS</v>
      </c>
      <c r="E18" s="25">
        <v>159000</v>
      </c>
      <c r="F18" s="26">
        <f t="shared" si="0"/>
        <v>159000</v>
      </c>
      <c r="G18" s="25">
        <v>130000</v>
      </c>
      <c r="H18" s="26">
        <f t="shared" si="1"/>
        <v>130000</v>
      </c>
      <c r="I18" s="25">
        <v>280000</v>
      </c>
      <c r="J18" s="26">
        <f t="shared" si="2"/>
        <v>280000</v>
      </c>
    </row>
    <row r="19" spans="1:10" ht="33" customHeight="1">
      <c r="A19" s="11" t="str">
        <f>'Bid Item List (small)'!A31</f>
        <v>0012</v>
      </c>
      <c r="B19" s="20" t="str">
        <f>'Bid Item List (small)'!B31</f>
        <v>Pipe Zone and Bedding Material</v>
      </c>
      <c r="C19" s="36">
        <f>'Bid Item List (small)'!C31</f>
        <v>2940</v>
      </c>
      <c r="D19" s="21" t="str">
        <f>'Bid Item List (small)'!D31</f>
        <v>CY</v>
      </c>
      <c r="E19" s="25">
        <v>33</v>
      </c>
      <c r="F19" s="26">
        <f t="shared" si="0"/>
        <v>97020</v>
      </c>
      <c r="G19" s="25">
        <v>30</v>
      </c>
      <c r="H19" s="26">
        <f t="shared" si="1"/>
        <v>88200</v>
      </c>
      <c r="I19" s="25">
        <v>34</v>
      </c>
      <c r="J19" s="26">
        <f t="shared" si="2"/>
        <v>99960</v>
      </c>
    </row>
    <row r="20" spans="1:10" ht="33" customHeight="1">
      <c r="A20" s="11" t="str">
        <f>'Bid Item List (small)'!A32</f>
        <v>0013</v>
      </c>
      <c r="B20" s="20" t="str">
        <f>'Bid Item List (small)'!B32</f>
        <v>Trench Stabilization</v>
      </c>
      <c r="C20" s="36">
        <f>'Bid Item List (small)'!C32</f>
        <v>555</v>
      </c>
      <c r="D20" s="21" t="str">
        <f>'Bid Item List (small)'!D32</f>
        <v>CY</v>
      </c>
      <c r="E20" s="25">
        <v>70</v>
      </c>
      <c r="F20" s="26">
        <f t="shared" si="0"/>
        <v>38850</v>
      </c>
      <c r="G20" s="25">
        <v>30</v>
      </c>
      <c r="H20" s="26">
        <f t="shared" si="1"/>
        <v>16650</v>
      </c>
      <c r="I20" s="25">
        <v>135</v>
      </c>
      <c r="J20" s="26">
        <f t="shared" si="2"/>
        <v>74925</v>
      </c>
    </row>
    <row r="21" spans="1:10" ht="33" customHeight="1">
      <c r="A21" s="11" t="str">
        <f>'Bid Item List (small)'!A33</f>
        <v>0014</v>
      </c>
      <c r="B21" s="20" t="str">
        <f>'Bid Item List (small)'!B33</f>
        <v>Dewatering</v>
      </c>
      <c r="C21" s="36">
        <f>'Bid Item List (small)'!C33</f>
        <v>1</v>
      </c>
      <c r="D21" s="21" t="str">
        <f>'Bid Item List (small)'!D33</f>
        <v>LS</v>
      </c>
      <c r="E21" s="25">
        <v>150000</v>
      </c>
      <c r="F21" s="26">
        <f t="shared" si="0"/>
        <v>150000</v>
      </c>
      <c r="G21" s="25">
        <v>200000</v>
      </c>
      <c r="H21" s="26">
        <f t="shared" si="1"/>
        <v>200000</v>
      </c>
      <c r="I21" s="25">
        <v>325000</v>
      </c>
      <c r="J21" s="26">
        <f t="shared" si="2"/>
        <v>325000</v>
      </c>
    </row>
    <row r="22" spans="1:10" ht="33" customHeight="1">
      <c r="A22" s="11" t="str">
        <f>'Bid Item List (small)'!A34</f>
        <v>0015</v>
      </c>
      <c r="B22" s="20" t="str">
        <f>'Bid Item List (small)'!B34</f>
        <v>72-Inch Sewer Pipe</v>
      </c>
      <c r="C22" s="36">
        <f>'Bid Item List (small)'!C34</f>
        <v>1260</v>
      </c>
      <c r="D22" s="21" t="str">
        <f>'Bid Item List (small)'!D34</f>
        <v>LF</v>
      </c>
      <c r="E22" s="25">
        <v>465</v>
      </c>
      <c r="F22" s="26">
        <f t="shared" si="0"/>
        <v>585900</v>
      </c>
      <c r="G22" s="25">
        <v>635</v>
      </c>
      <c r="H22" s="26">
        <f t="shared" si="1"/>
        <v>800100</v>
      </c>
      <c r="I22" s="25">
        <v>665</v>
      </c>
      <c r="J22" s="26">
        <f t="shared" si="2"/>
        <v>837900</v>
      </c>
    </row>
    <row r="23" spans="1:10" ht="33" customHeight="1">
      <c r="A23" s="11" t="str">
        <f>'Bid Item List (small)'!A35</f>
        <v>0016</v>
      </c>
      <c r="B23" s="20" t="str">
        <f>'Bid Item List (small)'!B35</f>
        <v>108-Inch Manhole</v>
      </c>
      <c r="C23" s="36">
        <f>'Bid Item List (small)'!C35</f>
        <v>1</v>
      </c>
      <c r="D23" s="21" t="str">
        <f>'Bid Item List (small)'!D35</f>
        <v>Each</v>
      </c>
      <c r="E23" s="25">
        <v>31600</v>
      </c>
      <c r="F23" s="26">
        <f t="shared" si="0"/>
        <v>31600</v>
      </c>
      <c r="G23" s="25">
        <v>30000</v>
      </c>
      <c r="H23" s="26">
        <f t="shared" si="1"/>
        <v>30000</v>
      </c>
      <c r="I23" s="25">
        <v>25000</v>
      </c>
      <c r="J23" s="26">
        <f t="shared" si="2"/>
        <v>25000</v>
      </c>
    </row>
    <row r="24" spans="1:10" ht="33" customHeight="1">
      <c r="A24" s="11" t="str">
        <f>'Bid Item List (small)'!A36</f>
        <v>0017</v>
      </c>
      <c r="B24" s="20" t="str">
        <f>'Bid Item List (small)'!B36</f>
        <v>120-Inch Manhole</v>
      </c>
      <c r="C24" s="36">
        <f>'Bid Item List (small)'!C36</f>
        <v>1</v>
      </c>
      <c r="D24" s="21" t="str">
        <f>'Bid Item List (small)'!D36</f>
        <v>Each</v>
      </c>
      <c r="E24" s="25">
        <v>33500</v>
      </c>
      <c r="F24" s="26">
        <f t="shared" si="0"/>
        <v>33500</v>
      </c>
      <c r="G24" s="25">
        <v>35000</v>
      </c>
      <c r="H24" s="26">
        <f t="shared" si="1"/>
        <v>35000</v>
      </c>
      <c r="I24" s="25">
        <v>29000</v>
      </c>
      <c r="J24" s="26">
        <f t="shared" si="2"/>
        <v>29000</v>
      </c>
    </row>
    <row r="25" spans="1:10" ht="33" customHeight="1">
      <c r="A25" s="11" t="str">
        <f>'Bid Item List (small)'!A37</f>
        <v>0018</v>
      </c>
      <c r="B25" s="20" t="str">
        <f>'Bid Item List (small)'!B37</f>
        <v>Subdrains</v>
      </c>
      <c r="C25" s="36">
        <f>'Bid Item List (small)'!C37</f>
        <v>36</v>
      </c>
      <c r="D25" s="21" t="str">
        <f>'Bid Item List (small)'!D37</f>
        <v>LF</v>
      </c>
      <c r="E25" s="25">
        <v>34</v>
      </c>
      <c r="F25" s="26">
        <f t="shared" si="0"/>
        <v>1224</v>
      </c>
      <c r="G25" s="25">
        <v>25</v>
      </c>
      <c r="H25" s="26">
        <f t="shared" si="1"/>
        <v>900</v>
      </c>
      <c r="I25" s="25">
        <v>98</v>
      </c>
      <c r="J25" s="26">
        <f t="shared" si="2"/>
        <v>3528</v>
      </c>
    </row>
    <row r="26" spans="1:10" ht="33" customHeight="1">
      <c r="A26" s="11" t="str">
        <f>'Bid Item List (small)'!A38</f>
        <v>0019</v>
      </c>
      <c r="B26" s="20" t="str">
        <f>'Bid Item List (small)'!B38</f>
        <v>Inlet (Type PB)</v>
      </c>
      <c r="C26" s="36">
        <f>'Bid Item List (small)'!C38</f>
        <v>3</v>
      </c>
      <c r="D26" s="21" t="str">
        <f>'Bid Item List (small)'!D38</f>
        <v>Each</v>
      </c>
      <c r="E26" s="25">
        <v>668</v>
      </c>
      <c r="F26" s="26">
        <f t="shared" si="0"/>
        <v>2004</v>
      </c>
      <c r="G26" s="25">
        <v>700</v>
      </c>
      <c r="H26" s="26">
        <f t="shared" si="1"/>
        <v>2100</v>
      </c>
      <c r="I26" s="25">
        <v>950</v>
      </c>
      <c r="J26" s="26">
        <f t="shared" si="2"/>
        <v>2850</v>
      </c>
    </row>
    <row r="27" spans="1:10" ht="33" customHeight="1">
      <c r="A27" s="11" t="str">
        <f>'Bid Item List (small)'!A39</f>
        <v>0020</v>
      </c>
      <c r="B27" s="20" t="str">
        <f>'Bid Item List (small)'!B39</f>
        <v>McBride Slough Intake Structure</v>
      </c>
      <c r="C27" s="36">
        <f>'Bid Item List (small)'!C39</f>
        <v>1</v>
      </c>
      <c r="D27" s="21" t="str">
        <f>'Bid Item List (small)'!D39</f>
        <v>LS</v>
      </c>
      <c r="E27" s="25">
        <v>79150</v>
      </c>
      <c r="F27" s="26">
        <f t="shared" si="0"/>
        <v>79150</v>
      </c>
      <c r="G27" s="25">
        <v>90000</v>
      </c>
      <c r="H27" s="26">
        <f t="shared" si="1"/>
        <v>90000</v>
      </c>
      <c r="I27" s="25">
        <v>250000</v>
      </c>
      <c r="J27" s="26">
        <f t="shared" si="2"/>
        <v>250000</v>
      </c>
    </row>
    <row r="28" spans="1:10" ht="33" customHeight="1">
      <c r="A28" s="11" t="str">
        <f>'Bid Item List (small)'!A40</f>
        <v>0021</v>
      </c>
      <c r="B28" s="20" t="str">
        <f>'Bid Item List (small)'!B40</f>
        <v>Columbia Slough Outfall Structure</v>
      </c>
      <c r="C28" s="36">
        <f>'Bid Item List (small)'!C40</f>
        <v>1</v>
      </c>
      <c r="D28" s="21" t="str">
        <f>'Bid Item List (small)'!D40</f>
        <v>LS</v>
      </c>
      <c r="E28" s="25">
        <v>79550</v>
      </c>
      <c r="F28" s="26">
        <f t="shared" si="0"/>
        <v>79550</v>
      </c>
      <c r="G28" s="25">
        <v>65000</v>
      </c>
      <c r="H28" s="26">
        <f t="shared" si="1"/>
        <v>65000</v>
      </c>
      <c r="I28" s="25">
        <v>205000</v>
      </c>
      <c r="J28" s="26">
        <f t="shared" si="2"/>
        <v>205000</v>
      </c>
    </row>
    <row r="29" spans="1:10" ht="33" customHeight="1">
      <c r="A29" s="11" t="str">
        <f>'Bid Item List (small)'!A41</f>
        <v>0022</v>
      </c>
      <c r="B29" s="20" t="str">
        <f>'Bid Item List (small)'!B41</f>
        <v>Modified Concrete Curb and Gutter</v>
      </c>
      <c r="C29" s="36">
        <f>'Bid Item List (small)'!C41</f>
        <v>36</v>
      </c>
      <c r="D29" s="21" t="str">
        <f>'Bid Item List (small)'!D41</f>
        <v>LF</v>
      </c>
      <c r="E29" s="25">
        <v>40</v>
      </c>
      <c r="F29" s="26">
        <f t="shared" si="0"/>
        <v>1440</v>
      </c>
      <c r="G29" s="25">
        <v>40</v>
      </c>
      <c r="H29" s="26">
        <f t="shared" si="1"/>
        <v>1440</v>
      </c>
      <c r="I29" s="25">
        <v>74</v>
      </c>
      <c r="J29" s="26">
        <f t="shared" si="2"/>
        <v>2664</v>
      </c>
    </row>
    <row r="30" spans="1:10" ht="33" customHeight="1">
      <c r="A30" s="11" t="str">
        <f>'Bid Item List (small)'!A42</f>
        <v>0023</v>
      </c>
      <c r="B30" s="20" t="str">
        <f>'Bid Item List (small)'!B42</f>
        <v>Sidewalk</v>
      </c>
      <c r="C30" s="36">
        <f>'Bid Item List (small)'!C42</f>
        <v>500</v>
      </c>
      <c r="D30" s="21" t="str">
        <f>'Bid Item List (small)'!D42</f>
        <v>SF</v>
      </c>
      <c r="E30" s="25">
        <v>7.75</v>
      </c>
      <c r="F30" s="26">
        <f t="shared" si="0"/>
        <v>3875</v>
      </c>
      <c r="G30" s="25">
        <v>9</v>
      </c>
      <c r="H30" s="26">
        <f t="shared" si="1"/>
        <v>4500</v>
      </c>
      <c r="I30" s="25">
        <v>9</v>
      </c>
      <c r="J30" s="26">
        <f t="shared" si="2"/>
        <v>4500</v>
      </c>
    </row>
    <row r="31" spans="1:10" ht="33" customHeight="1">
      <c r="A31" s="11" t="str">
        <f>'Bid Item List (small)'!A43</f>
        <v>0024</v>
      </c>
      <c r="B31" s="20" t="str">
        <f>'Bid Item List (small)'!B43</f>
        <v>Aggregate Base Course</v>
      </c>
      <c r="C31" s="36">
        <f>'Bid Item List (small)'!C43</f>
        <v>175</v>
      </c>
      <c r="D31" s="21" t="str">
        <f>'Bid Item List (small)'!D43</f>
        <v>Ton</v>
      </c>
      <c r="E31" s="25">
        <v>29</v>
      </c>
      <c r="F31" s="26">
        <f>C31*E31</f>
        <v>5075</v>
      </c>
      <c r="G31" s="25">
        <v>30</v>
      </c>
      <c r="H31" s="26">
        <f>C31*G31</f>
        <v>5250</v>
      </c>
      <c r="I31" s="25">
        <v>32</v>
      </c>
      <c r="J31" s="26">
        <f>C31*I31</f>
        <v>5600</v>
      </c>
    </row>
    <row r="32" spans="1:10" ht="33" customHeight="1">
      <c r="A32" s="11" t="str">
        <f>'Bid Item List (small)'!A44</f>
        <v>0025</v>
      </c>
      <c r="B32" s="20" t="str">
        <f>'Bid Item List (small)'!B44</f>
        <v>Portland Cement Concrete Pavement 
(9-Inch)</v>
      </c>
      <c r="C32" s="36">
        <f>'Bid Item List (small)'!C44</f>
        <v>175</v>
      </c>
      <c r="D32" s="21" t="str">
        <f>'Bid Item List (small)'!D44</f>
        <v>SY</v>
      </c>
      <c r="E32" s="25">
        <v>190</v>
      </c>
      <c r="F32" s="26">
        <f>C32*E32</f>
        <v>33250</v>
      </c>
      <c r="G32" s="25">
        <v>150</v>
      </c>
      <c r="H32" s="26">
        <f>C32*G32</f>
        <v>26250</v>
      </c>
      <c r="I32" s="25">
        <v>165</v>
      </c>
      <c r="J32" s="26">
        <f>C32*I32</f>
        <v>28875</v>
      </c>
    </row>
    <row r="33" spans="1:10" ht="33" customHeight="1">
      <c r="A33" s="11" t="str">
        <f>'Bid Item List (small)'!A45</f>
        <v>0026</v>
      </c>
      <c r="B33" s="20" t="str">
        <f>'Bid Item List (small)'!B45</f>
        <v>Pavement Marking</v>
      </c>
      <c r="C33" s="36">
        <f>'Bid Item List (small)'!C45</f>
        <v>1</v>
      </c>
      <c r="D33" s="21" t="str">
        <f>'Bid Item List (small)'!D45</f>
        <v>LS</v>
      </c>
      <c r="E33" s="25">
        <v>4054</v>
      </c>
      <c r="F33" s="26">
        <f t="shared" ref="F33:F37" si="3">C33*E33</f>
        <v>4054</v>
      </c>
      <c r="G33" s="25">
        <v>4500</v>
      </c>
      <c r="H33" s="26">
        <f t="shared" ref="H33:H37" si="4">C33*G33</f>
        <v>4500</v>
      </c>
      <c r="I33" s="25">
        <v>3600</v>
      </c>
      <c r="J33" s="26">
        <f t="shared" ref="J33:J37" si="5">C33*I33</f>
        <v>3600</v>
      </c>
    </row>
    <row r="34" spans="1:10" ht="33" customHeight="1">
      <c r="A34" s="11" t="str">
        <f>'Bid Item List (small)'!A46</f>
        <v>0027</v>
      </c>
      <c r="B34" s="20" t="str">
        <f>'Bid Item List (small)'!B46</f>
        <v>Guard Rail Removal and Replacement</v>
      </c>
      <c r="C34" s="36">
        <f>'Bid Item List (small)'!C46</f>
        <v>72</v>
      </c>
      <c r="D34" s="21" t="str">
        <f>'Bid Item List (small)'!D46</f>
        <v>LF</v>
      </c>
      <c r="E34" s="25">
        <v>40</v>
      </c>
      <c r="F34" s="26">
        <f t="shared" si="3"/>
        <v>2880</v>
      </c>
      <c r="G34" s="25">
        <v>45</v>
      </c>
      <c r="H34" s="26">
        <f t="shared" si="4"/>
        <v>3240</v>
      </c>
      <c r="I34" s="25">
        <v>42</v>
      </c>
      <c r="J34" s="26">
        <f t="shared" si="5"/>
        <v>3024</v>
      </c>
    </row>
    <row r="35" spans="1:10" ht="33" customHeight="1">
      <c r="A35" s="11" t="str">
        <f>'Bid Item List (small)'!A47</f>
        <v>0028</v>
      </c>
      <c r="B35" s="20" t="str">
        <f>'Bid Item List (small)'!B47</f>
        <v>Area Seeding</v>
      </c>
      <c r="C35" s="36">
        <f>'Bid Item List (small)'!C47</f>
        <v>1</v>
      </c>
      <c r="D35" s="21" t="str">
        <f>'Bid Item List (small)'!D47</f>
        <v>LS</v>
      </c>
      <c r="E35" s="25">
        <v>10285</v>
      </c>
      <c r="F35" s="26">
        <f t="shared" si="3"/>
        <v>10285</v>
      </c>
      <c r="G35" s="25">
        <v>9000</v>
      </c>
      <c r="H35" s="26">
        <f t="shared" si="4"/>
        <v>9000</v>
      </c>
      <c r="I35" s="25">
        <v>12000</v>
      </c>
      <c r="J35" s="26">
        <f t="shared" si="5"/>
        <v>12000</v>
      </c>
    </row>
    <row r="36" spans="1:10" ht="33" customHeight="1">
      <c r="A36" s="11" t="str">
        <f>'Bid Item List (small)'!A48</f>
        <v>0029</v>
      </c>
      <c r="B36" s="20" t="str">
        <f>'Bid Item List (small)'!B48</f>
        <v>Stormwater Flow Through Pollution Reduction Facility</v>
      </c>
      <c r="C36" s="36">
        <f>'Bid Item List (small)'!C48</f>
        <v>1</v>
      </c>
      <c r="D36" s="21" t="str">
        <f>'Bid Item List (small)'!D48</f>
        <v>LS</v>
      </c>
      <c r="E36" s="25">
        <v>1200</v>
      </c>
      <c r="F36" s="26">
        <f t="shared" si="3"/>
        <v>1200</v>
      </c>
      <c r="G36" s="25">
        <v>1200</v>
      </c>
      <c r="H36" s="26">
        <f t="shared" si="4"/>
        <v>1200</v>
      </c>
      <c r="I36" s="25">
        <v>3000</v>
      </c>
      <c r="J36" s="26">
        <f t="shared" si="5"/>
        <v>3000</v>
      </c>
    </row>
    <row r="37" spans="1:10" ht="33" customHeight="1">
      <c r="A37" s="11" t="str">
        <f>'Bid Item List (small)'!A49</f>
        <v>0030</v>
      </c>
      <c r="B37" s="20" t="str">
        <f>'Bid Item List (small)'!B49</f>
        <v>Landscape Restoration</v>
      </c>
      <c r="C37" s="36">
        <f>'Bid Item List (small)'!C49</f>
        <v>1</v>
      </c>
      <c r="D37" s="21" t="str">
        <f>'Bid Item List (small)'!D49</f>
        <v>LS</v>
      </c>
      <c r="E37" s="25">
        <v>8434</v>
      </c>
      <c r="F37" s="26">
        <f t="shared" si="3"/>
        <v>8434</v>
      </c>
      <c r="G37" s="25">
        <v>15000</v>
      </c>
      <c r="H37" s="26">
        <f t="shared" si="4"/>
        <v>15000</v>
      </c>
      <c r="I37" s="25">
        <v>9500</v>
      </c>
      <c r="J37" s="26">
        <f t="shared" si="5"/>
        <v>9500</v>
      </c>
    </row>
    <row r="38" spans="1:10" s="54" customFormat="1" ht="33" customHeight="1">
      <c r="A38" s="48"/>
      <c r="B38" s="49" t="str">
        <f>'Bid Item List (small)'!B50</f>
        <v>Total Amount Bid (Basis of Award)</v>
      </c>
      <c r="C38" s="50"/>
      <c r="D38" s="51">
        <f>'Bid Item List (small)'!D50</f>
        <v>0</v>
      </c>
      <c r="E38" s="52"/>
      <c r="F38" s="53">
        <f>SUM(F8:F37)</f>
        <v>1935149</v>
      </c>
      <c r="G38" s="52"/>
      <c r="H38" s="53">
        <f>SUM(H8:H37)</f>
        <v>2148275</v>
      </c>
      <c r="I38" s="52"/>
      <c r="J38" s="53">
        <f>SUM(J8:J37)</f>
        <v>2748841</v>
      </c>
    </row>
  </sheetData>
  <mergeCells count="9">
    <mergeCell ref="A6:D6"/>
    <mergeCell ref="A1:D1"/>
    <mergeCell ref="E1:F5"/>
    <mergeCell ref="G1:H5"/>
    <mergeCell ref="I1:J5"/>
    <mergeCell ref="A2:D2"/>
    <mergeCell ref="A3:D3"/>
    <mergeCell ref="A4:D4"/>
    <mergeCell ref="A5:D5"/>
  </mergeCells>
  <printOptions horizontalCentered="1"/>
  <pageMargins left="0.5" right="0.5" top="0.5" bottom="0.5" header="0.5" footer="0.5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38"/>
  <sheetViews>
    <sheetView view="pageBreakPreview" zoomScaleNormal="75" zoomScaleSheetLayoutView="100" workbookViewId="0">
      <selection activeCell="F38" sqref="F38"/>
    </sheetView>
  </sheetViews>
  <sheetFormatPr defaultRowHeight="15"/>
  <cols>
    <col min="1" max="1" width="6.7109375" customWidth="1"/>
    <col min="2" max="2" width="29" style="22" customWidth="1"/>
    <col min="3" max="3" width="10.7109375" style="37" customWidth="1"/>
    <col min="4" max="4" width="6.7109375" style="22" customWidth="1"/>
    <col min="5" max="5" width="11" style="31" customWidth="1"/>
    <col min="6" max="6" width="13.7109375" style="31" customWidth="1"/>
    <col min="7" max="7" width="11" style="31" customWidth="1"/>
    <col min="8" max="8" width="13.7109375" style="31" customWidth="1"/>
    <col min="9" max="9" width="11" style="31" customWidth="1"/>
    <col min="10" max="10" width="13.7109375" style="31" customWidth="1"/>
  </cols>
  <sheetData>
    <row r="1" spans="1:10" s="8" customFormat="1" ht="30" customHeight="1">
      <c r="A1" s="78" t="str">
        <f>'Bid Item List (small)'!$A$15</f>
        <v>PORTLAND INTERNATIONAL AIRPORT</v>
      </c>
      <c r="B1" s="79"/>
      <c r="C1" s="79"/>
      <c r="D1" s="80"/>
      <c r="E1" s="74" t="s">
        <v>91</v>
      </c>
      <c r="F1" s="75"/>
      <c r="G1" s="74" t="s">
        <v>92</v>
      </c>
      <c r="H1" s="75"/>
      <c r="I1" s="74" t="s">
        <v>93</v>
      </c>
      <c r="J1" s="75"/>
    </row>
    <row r="2" spans="1:10">
      <c r="A2" s="81" t="str">
        <f>'Bid Item List (small)'!$A$16</f>
        <v>COLWOOD PIPE AND OUTFALLS</v>
      </c>
      <c r="B2" s="82"/>
      <c r="C2" s="82"/>
      <c r="D2" s="83"/>
      <c r="E2" s="76"/>
      <c r="F2" s="77"/>
      <c r="G2" s="76"/>
      <c r="H2" s="77"/>
      <c r="I2" s="76"/>
      <c r="J2" s="77"/>
    </row>
    <row r="3" spans="1:10">
      <c r="A3" s="81">
        <f>'Bid Item List (small)'!$A$17</f>
        <v>0</v>
      </c>
      <c r="B3" s="82"/>
      <c r="C3" s="82"/>
      <c r="D3" s="83"/>
      <c r="E3" s="76"/>
      <c r="F3" s="77"/>
      <c r="G3" s="76"/>
      <c r="H3" s="77"/>
      <c r="I3" s="76"/>
      <c r="J3" s="77"/>
    </row>
    <row r="4" spans="1:10">
      <c r="A4" s="84" t="s">
        <v>86</v>
      </c>
      <c r="B4" s="85"/>
      <c r="C4" s="85"/>
      <c r="D4" s="86"/>
      <c r="E4" s="76"/>
      <c r="F4" s="77"/>
      <c r="G4" s="76"/>
      <c r="H4" s="77"/>
      <c r="I4" s="76"/>
      <c r="J4" s="77"/>
    </row>
    <row r="5" spans="1:10">
      <c r="A5" s="84" t="s">
        <v>87</v>
      </c>
      <c r="B5" s="85"/>
      <c r="C5" s="85"/>
      <c r="D5" s="86"/>
      <c r="E5" s="76"/>
      <c r="F5" s="77"/>
      <c r="G5" s="76"/>
      <c r="H5" s="77"/>
      <c r="I5" s="76"/>
      <c r="J5" s="77"/>
    </row>
    <row r="6" spans="1:10">
      <c r="A6" s="71">
        <f ca="1">TODAY()</f>
        <v>42397</v>
      </c>
      <c r="B6" s="72"/>
      <c r="C6" s="72"/>
      <c r="D6" s="73"/>
      <c r="E6" s="38"/>
      <c r="F6" s="39"/>
      <c r="G6" s="38"/>
      <c r="H6" s="39"/>
      <c r="I6" s="38"/>
      <c r="J6" s="39"/>
    </row>
    <row r="7" spans="1:10" ht="32.25" customHeight="1">
      <c r="A7" s="10" t="s">
        <v>15</v>
      </c>
      <c r="B7" s="19" t="s">
        <v>16</v>
      </c>
      <c r="C7" s="35" t="s">
        <v>17</v>
      </c>
      <c r="D7" s="19" t="s">
        <v>18</v>
      </c>
      <c r="E7" s="40" t="s">
        <v>19</v>
      </c>
      <c r="F7" s="40" t="s">
        <v>20</v>
      </c>
      <c r="G7" s="40" t="s">
        <v>19</v>
      </c>
      <c r="H7" s="40" t="s">
        <v>20</v>
      </c>
      <c r="I7" s="40" t="s">
        <v>19</v>
      </c>
      <c r="J7" s="40" t="s">
        <v>20</v>
      </c>
    </row>
    <row r="8" spans="1:10" ht="33" customHeight="1">
      <c r="A8" s="11" t="str">
        <f>'Bid Item List (small)'!A20</f>
        <v>0001</v>
      </c>
      <c r="B8" s="20" t="str">
        <f>'Bid Item List (small)'!B20</f>
        <v>Mobilization, Surveying, Cleanup, and Demobilization</v>
      </c>
      <c r="C8" s="36">
        <f>'Bid Item List (small)'!C20</f>
        <v>1</v>
      </c>
      <c r="D8" s="21" t="str">
        <f>'Bid Item List (small)'!D20</f>
        <v>LS</v>
      </c>
      <c r="E8" s="25">
        <v>200321.22</v>
      </c>
      <c r="F8" s="26">
        <f>C8*E8</f>
        <v>200321.22</v>
      </c>
      <c r="G8" s="25">
        <v>159350</v>
      </c>
      <c r="H8" s="26">
        <f>C8*G8</f>
        <v>159350</v>
      </c>
      <c r="I8" s="25">
        <v>105000</v>
      </c>
      <c r="J8" s="26">
        <f>C8*I8</f>
        <v>105000</v>
      </c>
    </row>
    <row r="9" spans="1:10" ht="33" customHeight="1">
      <c r="A9" s="11" t="str">
        <f>'Bid Item List (small)'!A21</f>
        <v>0002</v>
      </c>
      <c r="B9" s="20" t="str">
        <f>'Bid Item List (small)'!B21</f>
        <v>Work Zone Traffic Control</v>
      </c>
      <c r="C9" s="36">
        <f>'Bid Item List (small)'!C21</f>
        <v>1</v>
      </c>
      <c r="D9" s="21" t="str">
        <f>'Bid Item List (small)'!D21</f>
        <v>LS</v>
      </c>
      <c r="E9" s="25">
        <v>20000</v>
      </c>
      <c r="F9" s="26">
        <f>C9*E9</f>
        <v>20000</v>
      </c>
      <c r="G9" s="25">
        <v>20000</v>
      </c>
      <c r="H9" s="26">
        <f>C9*G9</f>
        <v>20000</v>
      </c>
      <c r="I9" s="25">
        <v>15000</v>
      </c>
      <c r="J9" s="26">
        <f>C9*I9</f>
        <v>15000</v>
      </c>
    </row>
    <row r="10" spans="1:10" ht="33" customHeight="1">
      <c r="A10" s="11" t="str">
        <f>'Bid Item List (small)'!A22</f>
        <v>0003</v>
      </c>
      <c r="B10" s="20" t="str">
        <f>'Bid Item List (small)'!B22</f>
        <v>Temporary Erosion, Sediment, and Pollution Control</v>
      </c>
      <c r="C10" s="36">
        <f>'Bid Item List (small)'!C22</f>
        <v>1</v>
      </c>
      <c r="D10" s="21" t="str">
        <f>'Bid Item List (small)'!D22</f>
        <v>LS</v>
      </c>
      <c r="E10" s="25">
        <v>15000</v>
      </c>
      <c r="F10" s="26">
        <f t="shared" ref="F10:F12" si="0">C10*E10</f>
        <v>15000</v>
      </c>
      <c r="G10" s="25">
        <v>35000</v>
      </c>
      <c r="H10" s="26">
        <f t="shared" ref="H10:H12" si="1">C10*G10</f>
        <v>35000</v>
      </c>
      <c r="I10" s="25">
        <v>25000</v>
      </c>
      <c r="J10" s="26">
        <f t="shared" ref="J10:J30" si="2">C10*I10</f>
        <v>25000</v>
      </c>
    </row>
    <row r="11" spans="1:10" ht="33" customHeight="1">
      <c r="A11" s="11" t="str">
        <f>'Bid Item List (small)'!A23</f>
        <v>0004</v>
      </c>
      <c r="B11" s="20" t="str">
        <f>'Bid Item List (small)'!B23</f>
        <v>Site Demolition</v>
      </c>
      <c r="C11" s="36">
        <f>'Bid Item List (small)'!C23</f>
        <v>1</v>
      </c>
      <c r="D11" s="21" t="str">
        <f>'Bid Item List (small)'!D23</f>
        <v>LS</v>
      </c>
      <c r="E11" s="25">
        <v>20000</v>
      </c>
      <c r="F11" s="26">
        <f t="shared" si="0"/>
        <v>20000</v>
      </c>
      <c r="G11" s="25">
        <v>10000</v>
      </c>
      <c r="H11" s="26">
        <f t="shared" si="1"/>
        <v>10000</v>
      </c>
      <c r="I11" s="25">
        <v>10000</v>
      </c>
      <c r="J11" s="26">
        <f t="shared" si="2"/>
        <v>10000</v>
      </c>
    </row>
    <row r="12" spans="1:10" ht="33" customHeight="1">
      <c r="A12" s="11" t="str">
        <f>'Bid Item List (small)'!A24</f>
        <v>0005</v>
      </c>
      <c r="B12" s="20" t="str">
        <f>'Bid Item List (small)'!B24</f>
        <v>Clearing and Grubbing</v>
      </c>
      <c r="C12" s="36">
        <f>'Bid Item List (small)'!C24</f>
        <v>1</v>
      </c>
      <c r="D12" s="21" t="str">
        <f>'Bid Item List (small)'!D24</f>
        <v>LS</v>
      </c>
      <c r="E12" s="25">
        <v>35000</v>
      </c>
      <c r="F12" s="26">
        <f t="shared" si="0"/>
        <v>35000</v>
      </c>
      <c r="G12" s="25">
        <v>35000</v>
      </c>
      <c r="H12" s="26">
        <f t="shared" si="1"/>
        <v>35000</v>
      </c>
      <c r="I12" s="25">
        <v>23000</v>
      </c>
      <c r="J12" s="26">
        <f t="shared" si="2"/>
        <v>23000</v>
      </c>
    </row>
    <row r="13" spans="1:10" ht="33" customHeight="1">
      <c r="A13" s="11" t="str">
        <f>'Bid Item List (small)'!A25</f>
        <v>0006</v>
      </c>
      <c r="B13" s="20" t="str">
        <f>'Bid Item List (small)'!B25</f>
        <v>Trench Excavation and General Native Backfill</v>
      </c>
      <c r="C13" s="36">
        <f>'Bid Item List (small)'!C25</f>
        <v>577</v>
      </c>
      <c r="D13" s="21" t="str">
        <f>'Bid Item List (small)'!D25</f>
        <v>LF</v>
      </c>
      <c r="E13" s="25">
        <v>60</v>
      </c>
      <c r="F13" s="26">
        <f t="shared" ref="F13:F37" si="3">C13*E13</f>
        <v>34620</v>
      </c>
      <c r="G13" s="25">
        <v>55</v>
      </c>
      <c r="H13" s="26">
        <f t="shared" ref="H13:H37" si="4">C13*G13</f>
        <v>31735</v>
      </c>
      <c r="I13" s="25">
        <v>90</v>
      </c>
      <c r="J13" s="26">
        <f t="shared" si="2"/>
        <v>51930</v>
      </c>
    </row>
    <row r="14" spans="1:10" ht="33" customHeight="1">
      <c r="A14" s="11" t="str">
        <f>'Bid Item List (small)'!A26</f>
        <v>0007</v>
      </c>
      <c r="B14" s="20" t="str">
        <f>'Bid Item List (small)'!B26</f>
        <v>Trench Excavation and Select Native Backfill</v>
      </c>
      <c r="C14" s="36">
        <f>'Bid Item List (small)'!C26</f>
        <v>622</v>
      </c>
      <c r="D14" s="21" t="str">
        <f>'Bid Item List (small)'!D26</f>
        <v>LF</v>
      </c>
      <c r="E14" s="25">
        <v>60</v>
      </c>
      <c r="F14" s="26">
        <f t="shared" si="3"/>
        <v>37320</v>
      </c>
      <c r="G14" s="25">
        <v>110</v>
      </c>
      <c r="H14" s="26">
        <f t="shared" si="4"/>
        <v>68420</v>
      </c>
      <c r="I14" s="25">
        <v>160</v>
      </c>
      <c r="J14" s="26">
        <f t="shared" si="2"/>
        <v>99520</v>
      </c>
    </row>
    <row r="15" spans="1:10" ht="33" customHeight="1">
      <c r="A15" s="11" t="str">
        <f>'Bid Item List (small)'!A27</f>
        <v>0008</v>
      </c>
      <c r="B15" s="20" t="str">
        <f>'Bid Item List (small)'!B27</f>
        <v>Trench Excavation and Select Backfill</v>
      </c>
      <c r="C15" s="36">
        <f>'Bid Item List (small)'!C27</f>
        <v>48</v>
      </c>
      <c r="D15" s="21" t="str">
        <f>'Bid Item List (small)'!D27</f>
        <v>LF</v>
      </c>
      <c r="E15" s="25">
        <v>200</v>
      </c>
      <c r="F15" s="26">
        <f t="shared" si="3"/>
        <v>9600</v>
      </c>
      <c r="G15" s="25">
        <v>195</v>
      </c>
      <c r="H15" s="26">
        <f t="shared" si="4"/>
        <v>9360</v>
      </c>
      <c r="I15" s="25">
        <v>250</v>
      </c>
      <c r="J15" s="26">
        <f t="shared" si="2"/>
        <v>12000</v>
      </c>
    </row>
    <row r="16" spans="1:10" ht="33" customHeight="1">
      <c r="A16" s="11" t="str">
        <f>'Bid Item List (small)'!A28</f>
        <v>0009</v>
      </c>
      <c r="B16" s="20" t="str">
        <f>'Bid Item List (small)'!B28</f>
        <v>Offsite Haul and Disposal</v>
      </c>
      <c r="C16" s="36">
        <f>'Bid Item List (small)'!C28</f>
        <v>6060</v>
      </c>
      <c r="D16" s="21" t="str">
        <f>'Bid Item List (small)'!D28</f>
        <v>CY</v>
      </c>
      <c r="E16" s="25">
        <v>15</v>
      </c>
      <c r="F16" s="26">
        <f t="shared" si="3"/>
        <v>90900</v>
      </c>
      <c r="G16" s="25">
        <v>15</v>
      </c>
      <c r="H16" s="26">
        <f t="shared" si="4"/>
        <v>90900</v>
      </c>
      <c r="I16" s="25">
        <v>14</v>
      </c>
      <c r="J16" s="26">
        <f t="shared" si="2"/>
        <v>84840</v>
      </c>
    </row>
    <row r="17" spans="1:10" ht="33" customHeight="1">
      <c r="A17" s="11" t="str">
        <f>'Bid Item List (small)'!A29</f>
        <v>0010</v>
      </c>
      <c r="B17" s="20" t="str">
        <f>'Bid Item List (small)'!B29</f>
        <v>Contaminated Soil Sediment Excavation and Disposal</v>
      </c>
      <c r="C17" s="36">
        <f>'Bid Item List (small)'!C29</f>
        <v>255</v>
      </c>
      <c r="D17" s="21" t="str">
        <f>'Bid Item List (small)'!D29</f>
        <v>Ton</v>
      </c>
      <c r="E17" s="25">
        <v>55</v>
      </c>
      <c r="F17" s="26">
        <f t="shared" si="3"/>
        <v>14025</v>
      </c>
      <c r="G17" s="25">
        <v>70</v>
      </c>
      <c r="H17" s="26">
        <f t="shared" si="4"/>
        <v>17850</v>
      </c>
      <c r="I17" s="25">
        <v>160</v>
      </c>
      <c r="J17" s="26">
        <f t="shared" si="2"/>
        <v>40800</v>
      </c>
    </row>
    <row r="18" spans="1:10" ht="33" customHeight="1">
      <c r="A18" s="11" t="str">
        <f>'Bid Item List (small)'!A30</f>
        <v>0011</v>
      </c>
      <c r="B18" s="20" t="str">
        <f>'Bid Item List (small)'!B30</f>
        <v>Shoring</v>
      </c>
      <c r="C18" s="36">
        <f>'Bid Item List (small)'!C30</f>
        <v>1</v>
      </c>
      <c r="D18" s="21" t="str">
        <f>'Bid Item List (small)'!D30</f>
        <v>LS</v>
      </c>
      <c r="E18" s="25">
        <v>20000</v>
      </c>
      <c r="F18" s="26">
        <f t="shared" si="3"/>
        <v>20000</v>
      </c>
      <c r="G18" s="25">
        <v>40300</v>
      </c>
      <c r="H18" s="26">
        <f t="shared" si="4"/>
        <v>40300</v>
      </c>
      <c r="I18" s="25">
        <v>20000</v>
      </c>
      <c r="J18" s="26">
        <f t="shared" si="2"/>
        <v>20000</v>
      </c>
    </row>
    <row r="19" spans="1:10" ht="33" customHeight="1">
      <c r="A19" s="11" t="str">
        <f>'Bid Item List (small)'!A31</f>
        <v>0012</v>
      </c>
      <c r="B19" s="20" t="str">
        <f>'Bid Item List (small)'!B31</f>
        <v>Pipe Zone and Bedding Material</v>
      </c>
      <c r="C19" s="36">
        <f>'Bid Item List (small)'!C31</f>
        <v>2940</v>
      </c>
      <c r="D19" s="21" t="str">
        <f>'Bid Item List (small)'!D31</f>
        <v>CY</v>
      </c>
      <c r="E19" s="25">
        <v>30</v>
      </c>
      <c r="F19" s="26">
        <f t="shared" si="3"/>
        <v>88200</v>
      </c>
      <c r="G19" s="25">
        <v>45</v>
      </c>
      <c r="H19" s="26">
        <f t="shared" si="4"/>
        <v>132300</v>
      </c>
      <c r="I19" s="25">
        <v>32</v>
      </c>
      <c r="J19" s="26">
        <f t="shared" si="2"/>
        <v>94080</v>
      </c>
    </row>
    <row r="20" spans="1:10" ht="33" customHeight="1">
      <c r="A20" s="11" t="str">
        <f>'Bid Item List (small)'!A32</f>
        <v>0013</v>
      </c>
      <c r="B20" s="20" t="str">
        <f>'Bid Item List (small)'!B32</f>
        <v>Trench Stabilization</v>
      </c>
      <c r="C20" s="36">
        <f>'Bid Item List (small)'!C32</f>
        <v>555</v>
      </c>
      <c r="D20" s="21" t="str">
        <f>'Bid Item List (small)'!D32</f>
        <v>CY</v>
      </c>
      <c r="E20" s="25">
        <v>67</v>
      </c>
      <c r="F20" s="26">
        <f t="shared" si="3"/>
        <v>37185</v>
      </c>
      <c r="G20" s="25">
        <v>20</v>
      </c>
      <c r="H20" s="26">
        <f t="shared" si="4"/>
        <v>11100</v>
      </c>
      <c r="I20" s="25">
        <v>55</v>
      </c>
      <c r="J20" s="26">
        <f t="shared" si="2"/>
        <v>30525</v>
      </c>
    </row>
    <row r="21" spans="1:10" ht="33" customHeight="1">
      <c r="A21" s="11" t="str">
        <f>'Bid Item List (small)'!A33</f>
        <v>0014</v>
      </c>
      <c r="B21" s="20" t="str">
        <f>'Bid Item List (small)'!B33</f>
        <v>Dewatering</v>
      </c>
      <c r="C21" s="36">
        <f>'Bid Item List (small)'!C33</f>
        <v>1</v>
      </c>
      <c r="D21" s="21" t="str">
        <f>'Bid Item List (small)'!D33</f>
        <v>LS</v>
      </c>
      <c r="E21" s="25">
        <v>235000</v>
      </c>
      <c r="F21" s="26">
        <f t="shared" si="3"/>
        <v>235000</v>
      </c>
      <c r="G21" s="25">
        <v>80000</v>
      </c>
      <c r="H21" s="26">
        <f t="shared" si="4"/>
        <v>80000</v>
      </c>
      <c r="I21" s="25">
        <v>155000</v>
      </c>
      <c r="J21" s="26">
        <f t="shared" si="2"/>
        <v>155000</v>
      </c>
    </row>
    <row r="22" spans="1:10" ht="33" customHeight="1">
      <c r="A22" s="11" t="str">
        <f>'Bid Item List (small)'!A34</f>
        <v>0015</v>
      </c>
      <c r="B22" s="20" t="str">
        <f>'Bid Item List (small)'!B34</f>
        <v>72-Inch Sewer Pipe</v>
      </c>
      <c r="C22" s="36">
        <f>'Bid Item List (small)'!C34</f>
        <v>1260</v>
      </c>
      <c r="D22" s="21" t="str">
        <f>'Bid Item List (small)'!D34</f>
        <v>LF</v>
      </c>
      <c r="E22" s="25">
        <v>566</v>
      </c>
      <c r="F22" s="26">
        <f t="shared" si="3"/>
        <v>713160</v>
      </c>
      <c r="G22" s="25">
        <v>500</v>
      </c>
      <c r="H22" s="26">
        <f t="shared" si="4"/>
        <v>630000</v>
      </c>
      <c r="I22" s="25">
        <v>450</v>
      </c>
      <c r="J22" s="26">
        <f t="shared" si="2"/>
        <v>567000</v>
      </c>
    </row>
    <row r="23" spans="1:10" ht="33" customHeight="1">
      <c r="A23" s="11" t="str">
        <f>'Bid Item List (small)'!A35</f>
        <v>0016</v>
      </c>
      <c r="B23" s="20" t="str">
        <f>'Bid Item List (small)'!B35</f>
        <v>108-Inch Manhole</v>
      </c>
      <c r="C23" s="36">
        <f>'Bid Item List (small)'!C35</f>
        <v>1</v>
      </c>
      <c r="D23" s="21" t="str">
        <f>'Bid Item List (small)'!D35</f>
        <v>Each</v>
      </c>
      <c r="E23" s="25">
        <v>31000</v>
      </c>
      <c r="F23" s="26">
        <f t="shared" si="3"/>
        <v>31000</v>
      </c>
      <c r="G23" s="25">
        <v>15000</v>
      </c>
      <c r="H23" s="26">
        <f t="shared" si="4"/>
        <v>15000</v>
      </c>
      <c r="I23" s="25">
        <v>30000</v>
      </c>
      <c r="J23" s="26">
        <f t="shared" si="2"/>
        <v>30000</v>
      </c>
    </row>
    <row r="24" spans="1:10" ht="33" customHeight="1">
      <c r="A24" s="11" t="str">
        <f>'Bid Item List (small)'!A36</f>
        <v>0017</v>
      </c>
      <c r="B24" s="20" t="str">
        <f>'Bid Item List (small)'!B36</f>
        <v>120-Inch Manhole</v>
      </c>
      <c r="C24" s="36">
        <f>'Bid Item List (small)'!C36</f>
        <v>1</v>
      </c>
      <c r="D24" s="21" t="str">
        <f>'Bid Item List (small)'!D36</f>
        <v>Each</v>
      </c>
      <c r="E24" s="25">
        <v>32000</v>
      </c>
      <c r="F24" s="26">
        <f t="shared" si="3"/>
        <v>32000</v>
      </c>
      <c r="G24" s="25">
        <v>16000</v>
      </c>
      <c r="H24" s="26">
        <f t="shared" si="4"/>
        <v>16000</v>
      </c>
      <c r="I24" s="25">
        <v>32500</v>
      </c>
      <c r="J24" s="26">
        <f t="shared" si="2"/>
        <v>32500</v>
      </c>
    </row>
    <row r="25" spans="1:10" ht="33" customHeight="1">
      <c r="A25" s="11" t="str">
        <f>'Bid Item List (small)'!A37</f>
        <v>0018</v>
      </c>
      <c r="B25" s="20" t="str">
        <f>'Bid Item List (small)'!B37</f>
        <v>Subdrains</v>
      </c>
      <c r="C25" s="36">
        <f>'Bid Item List (small)'!C37</f>
        <v>36</v>
      </c>
      <c r="D25" s="21" t="str">
        <f>'Bid Item List (small)'!D37</f>
        <v>LF</v>
      </c>
      <c r="E25" s="25">
        <v>46</v>
      </c>
      <c r="F25" s="26">
        <f t="shared" si="3"/>
        <v>1656</v>
      </c>
      <c r="G25" s="25">
        <v>25</v>
      </c>
      <c r="H25" s="26">
        <f t="shared" si="4"/>
        <v>900</v>
      </c>
      <c r="I25" s="25">
        <v>50</v>
      </c>
      <c r="J25" s="26">
        <f t="shared" si="2"/>
        <v>1800</v>
      </c>
    </row>
    <row r="26" spans="1:10" ht="33" customHeight="1">
      <c r="A26" s="11" t="str">
        <f>'Bid Item List (small)'!A38</f>
        <v>0019</v>
      </c>
      <c r="B26" s="20" t="str">
        <f>'Bid Item List (small)'!B38</f>
        <v>Inlet (Type PB)</v>
      </c>
      <c r="C26" s="36">
        <f>'Bid Item List (small)'!C38</f>
        <v>3</v>
      </c>
      <c r="D26" s="21" t="str">
        <f>'Bid Item List (small)'!D38</f>
        <v>Each</v>
      </c>
      <c r="E26" s="25">
        <v>1200</v>
      </c>
      <c r="F26" s="26">
        <f t="shared" si="3"/>
        <v>3600</v>
      </c>
      <c r="G26" s="25">
        <v>250</v>
      </c>
      <c r="H26" s="26">
        <f t="shared" si="4"/>
        <v>750</v>
      </c>
      <c r="I26" s="25">
        <v>700</v>
      </c>
      <c r="J26" s="26">
        <f t="shared" si="2"/>
        <v>2100</v>
      </c>
    </row>
    <row r="27" spans="1:10" ht="33" customHeight="1">
      <c r="A27" s="11" t="str">
        <f>'Bid Item List (small)'!A39</f>
        <v>0020</v>
      </c>
      <c r="B27" s="20" t="str">
        <f>'Bid Item List (small)'!B39</f>
        <v>McBride Slough Intake Structure</v>
      </c>
      <c r="C27" s="36">
        <f>'Bid Item List (small)'!C39</f>
        <v>1</v>
      </c>
      <c r="D27" s="21" t="str">
        <f>'Bid Item List (small)'!D39</f>
        <v>LS</v>
      </c>
      <c r="E27" s="25">
        <v>230000</v>
      </c>
      <c r="F27" s="26">
        <f t="shared" si="3"/>
        <v>230000</v>
      </c>
      <c r="G27" s="25">
        <v>200000</v>
      </c>
      <c r="H27" s="26">
        <f t="shared" si="4"/>
        <v>200000</v>
      </c>
      <c r="I27" s="25">
        <v>265000</v>
      </c>
      <c r="J27" s="26">
        <f t="shared" si="2"/>
        <v>265000</v>
      </c>
    </row>
    <row r="28" spans="1:10" ht="33" customHeight="1">
      <c r="A28" s="11" t="str">
        <f>'Bid Item List (small)'!A40</f>
        <v>0021</v>
      </c>
      <c r="B28" s="20" t="str">
        <f>'Bid Item List (small)'!B40</f>
        <v>Columbia Slough Outfall Structure</v>
      </c>
      <c r="C28" s="36">
        <f>'Bid Item List (small)'!C40</f>
        <v>1</v>
      </c>
      <c r="D28" s="21" t="str">
        <f>'Bid Item List (small)'!D40</f>
        <v>LS</v>
      </c>
      <c r="E28" s="25">
        <v>225000</v>
      </c>
      <c r="F28" s="26">
        <f t="shared" si="3"/>
        <v>225000</v>
      </c>
      <c r="G28" s="25">
        <v>230000</v>
      </c>
      <c r="H28" s="26">
        <f t="shared" si="4"/>
        <v>230000</v>
      </c>
      <c r="I28" s="25">
        <v>230000</v>
      </c>
      <c r="J28" s="26">
        <f t="shared" si="2"/>
        <v>230000</v>
      </c>
    </row>
    <row r="29" spans="1:10" ht="33" customHeight="1">
      <c r="A29" s="11" t="str">
        <f>'Bid Item List (small)'!A41</f>
        <v>0022</v>
      </c>
      <c r="B29" s="20" t="str">
        <f>'Bid Item List (small)'!B41</f>
        <v>Modified Concrete Curb and Gutter</v>
      </c>
      <c r="C29" s="36">
        <f>'Bid Item List (small)'!C41</f>
        <v>36</v>
      </c>
      <c r="D29" s="21" t="str">
        <f>'Bid Item List (small)'!D41</f>
        <v>LF</v>
      </c>
      <c r="E29" s="25">
        <v>65</v>
      </c>
      <c r="F29" s="26">
        <f t="shared" si="3"/>
        <v>2340</v>
      </c>
      <c r="G29" s="25">
        <v>53</v>
      </c>
      <c r="H29" s="26">
        <f t="shared" si="4"/>
        <v>1908</v>
      </c>
      <c r="I29" s="25">
        <v>55</v>
      </c>
      <c r="J29" s="26">
        <f t="shared" si="2"/>
        <v>1980</v>
      </c>
    </row>
    <row r="30" spans="1:10" ht="33" customHeight="1">
      <c r="A30" s="11" t="str">
        <f>'Bid Item List (small)'!A42</f>
        <v>0023</v>
      </c>
      <c r="B30" s="20" t="str">
        <f>'Bid Item List (small)'!B42</f>
        <v>Sidewalk</v>
      </c>
      <c r="C30" s="36">
        <f>'Bid Item List (small)'!C42</f>
        <v>500</v>
      </c>
      <c r="D30" s="21" t="str">
        <f>'Bid Item List (small)'!D42</f>
        <v>SF</v>
      </c>
      <c r="E30" s="25">
        <v>12</v>
      </c>
      <c r="F30" s="26">
        <f t="shared" si="3"/>
        <v>6000</v>
      </c>
      <c r="G30" s="25">
        <v>6.75</v>
      </c>
      <c r="H30" s="26">
        <f t="shared" si="4"/>
        <v>3375</v>
      </c>
      <c r="I30" s="25">
        <v>8</v>
      </c>
      <c r="J30" s="26">
        <f t="shared" si="2"/>
        <v>4000</v>
      </c>
    </row>
    <row r="31" spans="1:10" ht="33" customHeight="1">
      <c r="A31" s="11" t="str">
        <f>'Bid Item List (small)'!A43</f>
        <v>0024</v>
      </c>
      <c r="B31" s="20" t="str">
        <f>'Bid Item List (small)'!B43</f>
        <v>Aggregate Base Course</v>
      </c>
      <c r="C31" s="36">
        <f>'Bid Item List (small)'!C43</f>
        <v>175</v>
      </c>
      <c r="D31" s="21" t="str">
        <f>'Bid Item List (small)'!D43</f>
        <v>Ton</v>
      </c>
      <c r="E31" s="25">
        <v>35</v>
      </c>
      <c r="F31" s="26">
        <f t="shared" si="3"/>
        <v>6125</v>
      </c>
      <c r="G31" s="25">
        <v>15</v>
      </c>
      <c r="H31" s="26">
        <f t="shared" si="4"/>
        <v>2625</v>
      </c>
      <c r="I31" s="25">
        <v>65</v>
      </c>
      <c r="J31" s="26">
        <f>C31*I31</f>
        <v>11375</v>
      </c>
    </row>
    <row r="32" spans="1:10" ht="33" customHeight="1">
      <c r="A32" s="11" t="str">
        <f>'Bid Item List (small)'!A44</f>
        <v>0025</v>
      </c>
      <c r="B32" s="20" t="str">
        <f>'Bid Item List (small)'!B44</f>
        <v>Portland Cement Concrete Pavement 
(9-Inch)</v>
      </c>
      <c r="C32" s="36">
        <f>'Bid Item List (small)'!C44</f>
        <v>175</v>
      </c>
      <c r="D32" s="21" t="str">
        <f>'Bid Item List (small)'!D44</f>
        <v>SY</v>
      </c>
      <c r="E32" s="25">
        <v>185</v>
      </c>
      <c r="F32" s="26">
        <f t="shared" si="3"/>
        <v>32375</v>
      </c>
      <c r="G32" s="25">
        <v>165</v>
      </c>
      <c r="H32" s="26">
        <f t="shared" si="4"/>
        <v>28875</v>
      </c>
      <c r="I32" s="25">
        <v>160</v>
      </c>
      <c r="J32" s="26">
        <f>C32*I32</f>
        <v>28000</v>
      </c>
    </row>
    <row r="33" spans="1:10" ht="33" customHeight="1">
      <c r="A33" s="11" t="str">
        <f>'Bid Item List (small)'!A45</f>
        <v>0026</v>
      </c>
      <c r="B33" s="20" t="str">
        <f>'Bid Item List (small)'!B45</f>
        <v>Pavement Marking</v>
      </c>
      <c r="C33" s="36">
        <f>'Bid Item List (small)'!C45</f>
        <v>1</v>
      </c>
      <c r="D33" s="21" t="str">
        <f>'Bid Item List (small)'!D45</f>
        <v>LS</v>
      </c>
      <c r="E33" s="25">
        <v>4000</v>
      </c>
      <c r="F33" s="26">
        <f t="shared" si="3"/>
        <v>4000</v>
      </c>
      <c r="G33" s="25">
        <v>4500</v>
      </c>
      <c r="H33" s="26">
        <f t="shared" si="4"/>
        <v>4500</v>
      </c>
      <c r="I33" s="25">
        <v>4500</v>
      </c>
      <c r="J33" s="26">
        <f t="shared" ref="J33:J37" si="5">C33*I33</f>
        <v>4500</v>
      </c>
    </row>
    <row r="34" spans="1:10" ht="33" customHeight="1">
      <c r="A34" s="11" t="str">
        <f>'Bid Item List (small)'!A46</f>
        <v>0027</v>
      </c>
      <c r="B34" s="20" t="str">
        <f>'Bid Item List (small)'!B46</f>
        <v>Guard Rail Removal and Replacement</v>
      </c>
      <c r="C34" s="36">
        <f>'Bid Item List (small)'!C46</f>
        <v>72</v>
      </c>
      <c r="D34" s="21" t="str">
        <f>'Bid Item List (small)'!D46</f>
        <v>LF</v>
      </c>
      <c r="E34" s="25">
        <v>41</v>
      </c>
      <c r="F34" s="26">
        <f t="shared" si="3"/>
        <v>2952</v>
      </c>
      <c r="G34" s="25">
        <v>22</v>
      </c>
      <c r="H34" s="26">
        <f t="shared" si="4"/>
        <v>1584</v>
      </c>
      <c r="I34" s="25">
        <v>45</v>
      </c>
      <c r="J34" s="26">
        <f t="shared" si="5"/>
        <v>3240</v>
      </c>
    </row>
    <row r="35" spans="1:10" ht="33" customHeight="1">
      <c r="A35" s="11" t="str">
        <f>'Bid Item List (small)'!A47</f>
        <v>0028</v>
      </c>
      <c r="B35" s="20" t="str">
        <f>'Bid Item List (small)'!B47</f>
        <v>Area Seeding</v>
      </c>
      <c r="C35" s="36">
        <f>'Bid Item List (small)'!C47</f>
        <v>1</v>
      </c>
      <c r="D35" s="21" t="str">
        <f>'Bid Item List (small)'!D47</f>
        <v>LS</v>
      </c>
      <c r="E35" s="25">
        <v>30000</v>
      </c>
      <c r="F35" s="26">
        <f t="shared" si="3"/>
        <v>30000</v>
      </c>
      <c r="G35" s="25">
        <v>20000</v>
      </c>
      <c r="H35" s="26">
        <f t="shared" si="4"/>
        <v>20000</v>
      </c>
      <c r="I35" s="25">
        <v>35000</v>
      </c>
      <c r="J35" s="26">
        <f t="shared" si="5"/>
        <v>35000</v>
      </c>
    </row>
    <row r="36" spans="1:10" ht="33" customHeight="1">
      <c r="A36" s="11" t="str">
        <f>'Bid Item List (small)'!A48</f>
        <v>0029</v>
      </c>
      <c r="B36" s="20" t="str">
        <f>'Bid Item List (small)'!B48</f>
        <v>Stormwater Flow Through Pollution Reduction Facility</v>
      </c>
      <c r="C36" s="36">
        <f>'Bid Item List (small)'!C48</f>
        <v>1</v>
      </c>
      <c r="D36" s="21" t="str">
        <f>'Bid Item List (small)'!D48</f>
        <v>LS</v>
      </c>
      <c r="E36" s="25">
        <v>3500</v>
      </c>
      <c r="F36" s="26">
        <f t="shared" si="3"/>
        <v>3500</v>
      </c>
      <c r="G36" s="25">
        <v>1300</v>
      </c>
      <c r="H36" s="26">
        <f t="shared" si="4"/>
        <v>1300</v>
      </c>
      <c r="I36" s="25">
        <v>6000</v>
      </c>
      <c r="J36" s="26">
        <f t="shared" si="5"/>
        <v>6000</v>
      </c>
    </row>
    <row r="37" spans="1:10" ht="33" customHeight="1">
      <c r="A37" s="11" t="str">
        <f>'Bid Item List (small)'!A49</f>
        <v>0030</v>
      </c>
      <c r="B37" s="20" t="str">
        <f>'Bid Item List (small)'!B49</f>
        <v>Landscape Restoration</v>
      </c>
      <c r="C37" s="36">
        <f>'Bid Item List (small)'!C49</f>
        <v>1</v>
      </c>
      <c r="D37" s="21" t="str">
        <f>'Bid Item List (small)'!D49</f>
        <v>LS</v>
      </c>
      <c r="E37" s="25">
        <v>32180</v>
      </c>
      <c r="F37" s="26">
        <f t="shared" si="3"/>
        <v>32180</v>
      </c>
      <c r="G37" s="25">
        <v>12000</v>
      </c>
      <c r="H37" s="26">
        <f t="shared" si="4"/>
        <v>12000</v>
      </c>
      <c r="I37" s="25">
        <v>5000</v>
      </c>
      <c r="J37" s="26">
        <f t="shared" si="5"/>
        <v>5000</v>
      </c>
    </row>
    <row r="38" spans="1:10" s="54" customFormat="1" ht="33" customHeight="1">
      <c r="A38" s="48"/>
      <c r="B38" s="49" t="str">
        <f>'Bid Item List (small)'!B50</f>
        <v>Total Amount Bid (Basis of Award)</v>
      </c>
      <c r="C38" s="50"/>
      <c r="D38" s="51">
        <f>'Bid Item List (small)'!D50</f>
        <v>0</v>
      </c>
      <c r="E38" s="52"/>
      <c r="F38" s="53">
        <f>SUM(F8:F37)</f>
        <v>2213059.2199999997</v>
      </c>
      <c r="G38" s="52"/>
      <c r="H38" s="53">
        <f>SUM(H8:H37)</f>
        <v>1910132</v>
      </c>
      <c r="I38" s="52"/>
      <c r="J38" s="53">
        <f>SUM(J8:J37)</f>
        <v>1994190</v>
      </c>
    </row>
  </sheetData>
  <mergeCells count="9">
    <mergeCell ref="A6:D6"/>
    <mergeCell ref="A1:D1"/>
    <mergeCell ref="E1:F5"/>
    <mergeCell ref="G1:H5"/>
    <mergeCell ref="I1:J5"/>
    <mergeCell ref="A2:D2"/>
    <mergeCell ref="A3:D3"/>
    <mergeCell ref="A4:D4"/>
    <mergeCell ref="A5:D5"/>
  </mergeCells>
  <printOptions horizontalCentered="1"/>
  <pageMargins left="0.5" right="0.5" top="0.5" bottom="0.5" header="0.5" footer="0.5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38"/>
  <sheetViews>
    <sheetView view="pageBreakPreview" zoomScaleNormal="75" zoomScaleSheetLayoutView="100" workbookViewId="0">
      <selection activeCell="D16" sqref="D16"/>
    </sheetView>
  </sheetViews>
  <sheetFormatPr defaultRowHeight="15"/>
  <cols>
    <col min="1" max="1" width="6.7109375" customWidth="1"/>
    <col min="2" max="2" width="29" style="22" customWidth="1"/>
    <col min="3" max="3" width="10.7109375" style="37" customWidth="1"/>
    <col min="4" max="4" width="6.7109375" style="22" customWidth="1"/>
    <col min="5" max="5" width="11" style="31" customWidth="1"/>
    <col min="6" max="6" width="13.7109375" style="31" customWidth="1"/>
    <col min="7" max="7" width="11" style="31" customWidth="1"/>
    <col min="8" max="8" width="13.7109375" style="31" customWidth="1"/>
    <col min="9" max="9" width="11" style="31" customWidth="1"/>
    <col min="10" max="10" width="13.7109375" style="31" customWidth="1"/>
  </cols>
  <sheetData>
    <row r="1" spans="1:10" s="8" customFormat="1" ht="30" customHeight="1">
      <c r="A1" s="78" t="str">
        <f>'Bid Item List (small)'!$A$15</f>
        <v>PORTLAND INTERNATIONAL AIRPORT</v>
      </c>
      <c r="B1" s="79"/>
      <c r="C1" s="79"/>
      <c r="D1" s="80"/>
      <c r="E1" s="87" t="s">
        <v>94</v>
      </c>
      <c r="F1" s="88"/>
      <c r="G1" s="74" t="s">
        <v>95</v>
      </c>
      <c r="H1" s="75"/>
      <c r="I1" s="87" t="s">
        <v>96</v>
      </c>
      <c r="J1" s="88"/>
    </row>
    <row r="2" spans="1:10">
      <c r="A2" s="81" t="str">
        <f>'Bid Item List (small)'!$A$16</f>
        <v>COLWOOD PIPE AND OUTFALLS</v>
      </c>
      <c r="B2" s="82"/>
      <c r="C2" s="82"/>
      <c r="D2" s="83"/>
      <c r="E2" s="89"/>
      <c r="F2" s="90"/>
      <c r="G2" s="76"/>
      <c r="H2" s="77"/>
      <c r="I2" s="89"/>
      <c r="J2" s="90"/>
    </row>
    <row r="3" spans="1:10">
      <c r="A3" s="81">
        <f>'Bid Item List (small)'!$A$17</f>
        <v>0</v>
      </c>
      <c r="B3" s="82"/>
      <c r="C3" s="82"/>
      <c r="D3" s="83"/>
      <c r="E3" s="89"/>
      <c r="F3" s="90"/>
      <c r="G3" s="76"/>
      <c r="H3" s="77"/>
      <c r="I3" s="89"/>
      <c r="J3" s="90"/>
    </row>
    <row r="4" spans="1:10">
      <c r="A4" s="84" t="s">
        <v>86</v>
      </c>
      <c r="B4" s="85"/>
      <c r="C4" s="85"/>
      <c r="D4" s="86"/>
      <c r="E4" s="89"/>
      <c r="F4" s="90"/>
      <c r="G4" s="76"/>
      <c r="H4" s="77"/>
      <c r="I4" s="89"/>
      <c r="J4" s="90"/>
    </row>
    <row r="5" spans="1:10">
      <c r="A5" s="84" t="s">
        <v>87</v>
      </c>
      <c r="B5" s="85"/>
      <c r="C5" s="85"/>
      <c r="D5" s="86"/>
      <c r="E5" s="89"/>
      <c r="F5" s="90"/>
      <c r="G5" s="76"/>
      <c r="H5" s="77"/>
      <c r="I5" s="89"/>
      <c r="J5" s="90"/>
    </row>
    <row r="6" spans="1:10">
      <c r="A6" s="71">
        <f ca="1">TODAY()</f>
        <v>42397</v>
      </c>
      <c r="B6" s="72"/>
      <c r="C6" s="72"/>
      <c r="D6" s="73"/>
      <c r="E6" s="38"/>
      <c r="F6" s="39"/>
      <c r="G6" s="38"/>
      <c r="H6" s="39"/>
      <c r="I6" s="38"/>
      <c r="J6" s="39"/>
    </row>
    <row r="7" spans="1:10" ht="32.25" customHeight="1">
      <c r="A7" s="10" t="s">
        <v>15</v>
      </c>
      <c r="B7" s="19" t="s">
        <v>16</v>
      </c>
      <c r="C7" s="35" t="s">
        <v>17</v>
      </c>
      <c r="D7" s="19" t="s">
        <v>18</v>
      </c>
      <c r="E7" s="40" t="s">
        <v>19</v>
      </c>
      <c r="F7" s="40" t="s">
        <v>20</v>
      </c>
      <c r="G7" s="40" t="s">
        <v>19</v>
      </c>
      <c r="H7" s="40" t="s">
        <v>20</v>
      </c>
      <c r="I7" s="40" t="s">
        <v>19</v>
      </c>
      <c r="J7" s="40" t="s">
        <v>20</v>
      </c>
    </row>
    <row r="8" spans="1:10" ht="33" customHeight="1">
      <c r="A8" s="11" t="str">
        <f>'Bid Item List (small)'!A20</f>
        <v>0001</v>
      </c>
      <c r="B8" s="20" t="str">
        <f>'Bid Item List (small)'!B20</f>
        <v>Mobilization, Surveying, Cleanup, and Demobilization</v>
      </c>
      <c r="C8" s="36">
        <f>'Bid Item List (small)'!C20</f>
        <v>1</v>
      </c>
      <c r="D8" s="21" t="str">
        <f>'Bid Item List (small)'!D20</f>
        <v>LS</v>
      </c>
      <c r="E8" s="25">
        <v>200000</v>
      </c>
      <c r="F8" s="26">
        <f>C8*E8</f>
        <v>200000</v>
      </c>
      <c r="G8" s="25">
        <v>85860</v>
      </c>
      <c r="H8" s="26">
        <f>C8*G8</f>
        <v>85860</v>
      </c>
      <c r="I8" s="25">
        <v>100000</v>
      </c>
      <c r="J8" s="26">
        <f>C8*I8</f>
        <v>100000</v>
      </c>
    </row>
    <row r="9" spans="1:10" ht="33" customHeight="1">
      <c r="A9" s="11" t="str">
        <f>'Bid Item List (small)'!A21</f>
        <v>0002</v>
      </c>
      <c r="B9" s="20" t="str">
        <f>'Bid Item List (small)'!B21</f>
        <v>Work Zone Traffic Control</v>
      </c>
      <c r="C9" s="36">
        <f>'Bid Item List (small)'!C21</f>
        <v>1</v>
      </c>
      <c r="D9" s="21" t="str">
        <f>'Bid Item List (small)'!D21</f>
        <v>LS</v>
      </c>
      <c r="E9" s="25">
        <v>21000</v>
      </c>
      <c r="F9" s="26">
        <f>C9*E9</f>
        <v>21000</v>
      </c>
      <c r="G9" s="25">
        <v>30250</v>
      </c>
      <c r="H9" s="26">
        <f>C9*G9</f>
        <v>30250</v>
      </c>
      <c r="I9" s="25">
        <v>53500</v>
      </c>
      <c r="J9" s="26">
        <f>C9*I9</f>
        <v>53500</v>
      </c>
    </row>
    <row r="10" spans="1:10" ht="33" customHeight="1">
      <c r="A10" s="11" t="str">
        <f>'Bid Item List (small)'!A22</f>
        <v>0003</v>
      </c>
      <c r="B10" s="20" t="str">
        <f>'Bid Item List (small)'!B22</f>
        <v>Temporary Erosion, Sediment, and Pollution Control</v>
      </c>
      <c r="C10" s="36">
        <f>'Bid Item List (small)'!C22</f>
        <v>1</v>
      </c>
      <c r="D10" s="21" t="str">
        <f>'Bid Item List (small)'!D22</f>
        <v>LS</v>
      </c>
      <c r="E10" s="25">
        <v>29000</v>
      </c>
      <c r="F10" s="26">
        <f t="shared" ref="F10:F30" si="0">C10*E10</f>
        <v>29000</v>
      </c>
      <c r="G10" s="25">
        <v>18530</v>
      </c>
      <c r="H10" s="26">
        <f t="shared" ref="H10:H30" si="1">C10*G10</f>
        <v>18530</v>
      </c>
      <c r="I10" s="25">
        <v>15000</v>
      </c>
      <c r="J10" s="26">
        <f t="shared" ref="J10:J30" si="2">C10*I10</f>
        <v>15000</v>
      </c>
    </row>
    <row r="11" spans="1:10" ht="33" customHeight="1">
      <c r="A11" s="11" t="str">
        <f>'Bid Item List (small)'!A23</f>
        <v>0004</v>
      </c>
      <c r="B11" s="20" t="str">
        <f>'Bid Item List (small)'!B23</f>
        <v>Site Demolition</v>
      </c>
      <c r="C11" s="36">
        <f>'Bid Item List (small)'!C23</f>
        <v>1</v>
      </c>
      <c r="D11" s="21" t="str">
        <f>'Bid Item List (small)'!D23</f>
        <v>LS</v>
      </c>
      <c r="E11" s="25">
        <v>12000</v>
      </c>
      <c r="F11" s="26">
        <f t="shared" si="0"/>
        <v>12000</v>
      </c>
      <c r="G11" s="25">
        <v>10100</v>
      </c>
      <c r="H11" s="26">
        <f t="shared" si="1"/>
        <v>10100</v>
      </c>
      <c r="I11" s="25">
        <v>5000</v>
      </c>
      <c r="J11" s="26">
        <f t="shared" si="2"/>
        <v>5000</v>
      </c>
    </row>
    <row r="12" spans="1:10" ht="33" customHeight="1">
      <c r="A12" s="11" t="str">
        <f>'Bid Item List (small)'!A24</f>
        <v>0005</v>
      </c>
      <c r="B12" s="20" t="str">
        <f>'Bid Item List (small)'!B24</f>
        <v>Clearing and Grubbing</v>
      </c>
      <c r="C12" s="36">
        <f>'Bid Item List (small)'!C24</f>
        <v>1</v>
      </c>
      <c r="D12" s="21" t="str">
        <f>'Bid Item List (small)'!D24</f>
        <v>LS</v>
      </c>
      <c r="E12" s="25">
        <v>10000</v>
      </c>
      <c r="F12" s="26">
        <f t="shared" si="0"/>
        <v>10000</v>
      </c>
      <c r="G12" s="25">
        <v>9900</v>
      </c>
      <c r="H12" s="26">
        <f t="shared" si="1"/>
        <v>9900</v>
      </c>
      <c r="I12" s="25">
        <v>12000</v>
      </c>
      <c r="J12" s="26">
        <f t="shared" si="2"/>
        <v>12000</v>
      </c>
    </row>
    <row r="13" spans="1:10" ht="33" customHeight="1">
      <c r="A13" s="11" t="str">
        <f>'Bid Item List (small)'!A25</f>
        <v>0006</v>
      </c>
      <c r="B13" s="20" t="str">
        <f>'Bid Item List (small)'!B25</f>
        <v>Trench Excavation and General Native Backfill</v>
      </c>
      <c r="C13" s="36">
        <f>'Bid Item List (small)'!C25</f>
        <v>577</v>
      </c>
      <c r="D13" s="21" t="str">
        <f>'Bid Item List (small)'!D25</f>
        <v>LF</v>
      </c>
      <c r="E13" s="25">
        <v>160</v>
      </c>
      <c r="F13" s="26">
        <f t="shared" si="0"/>
        <v>92320</v>
      </c>
      <c r="G13" s="25">
        <v>138</v>
      </c>
      <c r="H13" s="26">
        <f t="shared" si="1"/>
        <v>79626</v>
      </c>
      <c r="I13" s="25">
        <v>35</v>
      </c>
      <c r="J13" s="26">
        <f t="shared" si="2"/>
        <v>20195</v>
      </c>
    </row>
    <row r="14" spans="1:10" ht="33" customHeight="1">
      <c r="A14" s="11" t="str">
        <f>'Bid Item List (small)'!A26</f>
        <v>0007</v>
      </c>
      <c r="B14" s="20" t="str">
        <f>'Bid Item List (small)'!B26</f>
        <v>Trench Excavation and Select Native Backfill</v>
      </c>
      <c r="C14" s="36">
        <f>'Bid Item List (small)'!C26</f>
        <v>622</v>
      </c>
      <c r="D14" s="21" t="str">
        <f>'Bid Item List (small)'!D26</f>
        <v>LF</v>
      </c>
      <c r="E14" s="25">
        <v>170</v>
      </c>
      <c r="F14" s="26">
        <f t="shared" si="0"/>
        <v>105740</v>
      </c>
      <c r="G14" s="25">
        <v>202</v>
      </c>
      <c r="H14" s="26">
        <f t="shared" si="1"/>
        <v>125644</v>
      </c>
      <c r="I14" s="25">
        <v>120</v>
      </c>
      <c r="J14" s="26">
        <f t="shared" si="2"/>
        <v>74640</v>
      </c>
    </row>
    <row r="15" spans="1:10" ht="33" customHeight="1">
      <c r="A15" s="11" t="str">
        <f>'Bid Item List (small)'!A27</f>
        <v>0008</v>
      </c>
      <c r="B15" s="20" t="str">
        <f>'Bid Item List (small)'!B27</f>
        <v>Trench Excavation and Select Backfill</v>
      </c>
      <c r="C15" s="36">
        <f>'Bid Item List (small)'!C27</f>
        <v>48</v>
      </c>
      <c r="D15" s="21" t="str">
        <f>'Bid Item List (small)'!D27</f>
        <v>LF</v>
      </c>
      <c r="E15" s="25">
        <v>800</v>
      </c>
      <c r="F15" s="26">
        <f t="shared" si="0"/>
        <v>38400</v>
      </c>
      <c r="G15" s="25">
        <v>589</v>
      </c>
      <c r="H15" s="26">
        <f t="shared" si="1"/>
        <v>28272</v>
      </c>
      <c r="I15" s="25">
        <v>300</v>
      </c>
      <c r="J15" s="26">
        <f t="shared" si="2"/>
        <v>14400</v>
      </c>
    </row>
    <row r="16" spans="1:10" ht="33" customHeight="1">
      <c r="A16" s="11" t="str">
        <f>'Bid Item List (small)'!A28</f>
        <v>0009</v>
      </c>
      <c r="B16" s="20" t="str">
        <f>'Bid Item List (small)'!B28</f>
        <v>Offsite Haul and Disposal</v>
      </c>
      <c r="C16" s="36">
        <f>'Bid Item List (small)'!C28</f>
        <v>6060</v>
      </c>
      <c r="D16" s="21" t="str">
        <f>'Bid Item List (small)'!D28</f>
        <v>CY</v>
      </c>
      <c r="E16" s="25">
        <v>9.25</v>
      </c>
      <c r="F16" s="26">
        <f t="shared" si="0"/>
        <v>56055</v>
      </c>
      <c r="G16" s="25">
        <v>20</v>
      </c>
      <c r="H16" s="26">
        <f t="shared" si="1"/>
        <v>121200</v>
      </c>
      <c r="I16" s="25">
        <v>13</v>
      </c>
      <c r="J16" s="26">
        <f t="shared" si="2"/>
        <v>78780</v>
      </c>
    </row>
    <row r="17" spans="1:10" ht="33" customHeight="1">
      <c r="A17" s="11" t="str">
        <f>'Bid Item List (small)'!A29</f>
        <v>0010</v>
      </c>
      <c r="B17" s="20" t="str">
        <f>'Bid Item List (small)'!B29</f>
        <v>Contaminated Soil Sediment Excavation and Disposal</v>
      </c>
      <c r="C17" s="36">
        <f>'Bid Item List (small)'!C29</f>
        <v>255</v>
      </c>
      <c r="D17" s="21" t="str">
        <f>'Bid Item List (small)'!D29</f>
        <v>Ton</v>
      </c>
      <c r="E17" s="25">
        <v>64</v>
      </c>
      <c r="F17" s="26">
        <f t="shared" si="0"/>
        <v>16320</v>
      </c>
      <c r="G17" s="25">
        <v>72</v>
      </c>
      <c r="H17" s="26">
        <f t="shared" si="1"/>
        <v>18360</v>
      </c>
      <c r="I17" s="25">
        <v>100</v>
      </c>
      <c r="J17" s="26">
        <f t="shared" si="2"/>
        <v>25500</v>
      </c>
    </row>
    <row r="18" spans="1:10" ht="33" customHeight="1">
      <c r="A18" s="11" t="str">
        <f>'Bid Item List (small)'!A30</f>
        <v>0011</v>
      </c>
      <c r="B18" s="20" t="str">
        <f>'Bid Item List (small)'!B30</f>
        <v>Shoring</v>
      </c>
      <c r="C18" s="36">
        <f>'Bid Item List (small)'!C30</f>
        <v>1</v>
      </c>
      <c r="D18" s="21" t="str">
        <f>'Bid Item List (small)'!D30</f>
        <v>LS</v>
      </c>
      <c r="E18" s="25">
        <v>50000</v>
      </c>
      <c r="F18" s="26">
        <f t="shared" si="0"/>
        <v>50000</v>
      </c>
      <c r="G18" s="25">
        <v>205000</v>
      </c>
      <c r="H18" s="26">
        <f t="shared" si="1"/>
        <v>205000</v>
      </c>
      <c r="I18" s="25">
        <v>75000</v>
      </c>
      <c r="J18" s="26">
        <f t="shared" si="2"/>
        <v>75000</v>
      </c>
    </row>
    <row r="19" spans="1:10" ht="33" customHeight="1">
      <c r="A19" s="11" t="str">
        <f>'Bid Item List (small)'!A31</f>
        <v>0012</v>
      </c>
      <c r="B19" s="20" t="str">
        <f>'Bid Item List (small)'!B31</f>
        <v>Pipe Zone and Bedding Material</v>
      </c>
      <c r="C19" s="36">
        <f>'Bid Item List (small)'!C31</f>
        <v>2940</v>
      </c>
      <c r="D19" s="21" t="str">
        <f>'Bid Item List (small)'!D31</f>
        <v>CY</v>
      </c>
      <c r="E19" s="25">
        <v>34</v>
      </c>
      <c r="F19" s="26">
        <f t="shared" si="0"/>
        <v>99960</v>
      </c>
      <c r="G19" s="25">
        <v>28.2</v>
      </c>
      <c r="H19" s="26">
        <f t="shared" si="1"/>
        <v>82908</v>
      </c>
      <c r="I19" s="25">
        <v>30</v>
      </c>
      <c r="J19" s="26">
        <f t="shared" si="2"/>
        <v>88200</v>
      </c>
    </row>
    <row r="20" spans="1:10" ht="33" customHeight="1">
      <c r="A20" s="11" t="str">
        <f>'Bid Item List (small)'!A32</f>
        <v>0013</v>
      </c>
      <c r="B20" s="20" t="str">
        <f>'Bid Item List (small)'!B32</f>
        <v>Trench Stabilization</v>
      </c>
      <c r="C20" s="36">
        <f>'Bid Item List (small)'!C32</f>
        <v>555</v>
      </c>
      <c r="D20" s="21" t="str">
        <f>'Bid Item List (small)'!D32</f>
        <v>CY</v>
      </c>
      <c r="E20" s="25">
        <v>60</v>
      </c>
      <c r="F20" s="26">
        <f t="shared" si="0"/>
        <v>33300</v>
      </c>
      <c r="G20" s="25">
        <v>76</v>
      </c>
      <c r="H20" s="26">
        <f t="shared" si="1"/>
        <v>42180</v>
      </c>
      <c r="I20" s="25">
        <v>75</v>
      </c>
      <c r="J20" s="26">
        <f t="shared" si="2"/>
        <v>41625</v>
      </c>
    </row>
    <row r="21" spans="1:10" ht="33" customHeight="1">
      <c r="A21" s="11" t="str">
        <f>'Bid Item List (small)'!A33</f>
        <v>0014</v>
      </c>
      <c r="B21" s="20" t="str">
        <f>'Bid Item List (small)'!B33</f>
        <v>Dewatering</v>
      </c>
      <c r="C21" s="36">
        <f>'Bid Item List (small)'!C33</f>
        <v>1</v>
      </c>
      <c r="D21" s="21" t="str">
        <f>'Bid Item List (small)'!D33</f>
        <v>LS</v>
      </c>
      <c r="E21" s="25">
        <v>120000</v>
      </c>
      <c r="F21" s="26">
        <f t="shared" si="0"/>
        <v>120000</v>
      </c>
      <c r="G21" s="25">
        <v>142800</v>
      </c>
      <c r="H21" s="26">
        <f t="shared" si="1"/>
        <v>142800</v>
      </c>
      <c r="I21" s="25">
        <v>136000</v>
      </c>
      <c r="J21" s="26">
        <f t="shared" si="2"/>
        <v>136000</v>
      </c>
    </row>
    <row r="22" spans="1:10" ht="33" customHeight="1">
      <c r="A22" s="11" t="str">
        <f>'Bid Item List (small)'!A34</f>
        <v>0015</v>
      </c>
      <c r="B22" s="20" t="str">
        <f>'Bid Item List (small)'!B34</f>
        <v>72-Inch Sewer Pipe</v>
      </c>
      <c r="C22" s="36">
        <f>'Bid Item List (small)'!C34</f>
        <v>1260</v>
      </c>
      <c r="D22" s="21" t="str">
        <f>'Bid Item List (small)'!D34</f>
        <v>LF</v>
      </c>
      <c r="E22" s="25">
        <v>495</v>
      </c>
      <c r="F22" s="26">
        <f t="shared" si="0"/>
        <v>623700</v>
      </c>
      <c r="G22" s="25">
        <v>443</v>
      </c>
      <c r="H22" s="26">
        <f t="shared" si="1"/>
        <v>558180</v>
      </c>
      <c r="I22" s="25">
        <v>770</v>
      </c>
      <c r="J22" s="26">
        <f t="shared" si="2"/>
        <v>970200</v>
      </c>
    </row>
    <row r="23" spans="1:10" ht="33" customHeight="1">
      <c r="A23" s="11" t="str">
        <f>'Bid Item List (small)'!A35</f>
        <v>0016</v>
      </c>
      <c r="B23" s="20" t="str">
        <f>'Bid Item List (small)'!B35</f>
        <v>108-Inch Manhole</v>
      </c>
      <c r="C23" s="36">
        <f>'Bid Item List (small)'!C35</f>
        <v>1</v>
      </c>
      <c r="D23" s="21" t="str">
        <f>'Bid Item List (small)'!D35</f>
        <v>Each</v>
      </c>
      <c r="E23" s="25">
        <v>35000</v>
      </c>
      <c r="F23" s="26">
        <f t="shared" si="0"/>
        <v>35000</v>
      </c>
      <c r="G23" s="25">
        <v>21220</v>
      </c>
      <c r="H23" s="26">
        <f t="shared" si="1"/>
        <v>21220</v>
      </c>
      <c r="I23" s="25">
        <v>35000</v>
      </c>
      <c r="J23" s="26">
        <f t="shared" si="2"/>
        <v>35000</v>
      </c>
    </row>
    <row r="24" spans="1:10" ht="33" customHeight="1">
      <c r="A24" s="11" t="str">
        <f>'Bid Item List (small)'!A36</f>
        <v>0017</v>
      </c>
      <c r="B24" s="20" t="str">
        <f>'Bid Item List (small)'!B36</f>
        <v>120-Inch Manhole</v>
      </c>
      <c r="C24" s="36">
        <f>'Bid Item List (small)'!C36</f>
        <v>1</v>
      </c>
      <c r="D24" s="21" t="str">
        <f>'Bid Item List (small)'!D36</f>
        <v>Each</v>
      </c>
      <c r="E24" s="25">
        <v>41000</v>
      </c>
      <c r="F24" s="26">
        <f t="shared" si="0"/>
        <v>41000</v>
      </c>
      <c r="G24" s="25">
        <v>22600</v>
      </c>
      <c r="H24" s="26">
        <f t="shared" si="1"/>
        <v>22600</v>
      </c>
      <c r="I24" s="25">
        <v>50000</v>
      </c>
      <c r="J24" s="26">
        <f t="shared" si="2"/>
        <v>50000</v>
      </c>
    </row>
    <row r="25" spans="1:10" ht="33" customHeight="1">
      <c r="A25" s="11" t="str">
        <f>'Bid Item List (small)'!A37</f>
        <v>0018</v>
      </c>
      <c r="B25" s="20" t="str">
        <f>'Bid Item List (small)'!B37</f>
        <v>Subdrains</v>
      </c>
      <c r="C25" s="36">
        <f>'Bid Item List (small)'!C37</f>
        <v>36</v>
      </c>
      <c r="D25" s="21" t="str">
        <f>'Bid Item List (small)'!D37</f>
        <v>LF</v>
      </c>
      <c r="E25" s="25">
        <v>100</v>
      </c>
      <c r="F25" s="26">
        <f t="shared" si="0"/>
        <v>3600</v>
      </c>
      <c r="G25" s="25">
        <v>62</v>
      </c>
      <c r="H25" s="26">
        <f t="shared" si="1"/>
        <v>2232</v>
      </c>
      <c r="I25" s="25">
        <v>30</v>
      </c>
      <c r="J25" s="26">
        <f t="shared" si="2"/>
        <v>1080</v>
      </c>
    </row>
    <row r="26" spans="1:10" ht="33" customHeight="1">
      <c r="A26" s="11" t="str">
        <f>'Bid Item List (small)'!A38</f>
        <v>0019</v>
      </c>
      <c r="B26" s="20" t="str">
        <f>'Bid Item List (small)'!B38</f>
        <v>Inlet (Type PB)</v>
      </c>
      <c r="C26" s="36">
        <f>'Bid Item List (small)'!C38</f>
        <v>3</v>
      </c>
      <c r="D26" s="21" t="str">
        <f>'Bid Item List (small)'!D38</f>
        <v>Each</v>
      </c>
      <c r="E26" s="25">
        <v>2500</v>
      </c>
      <c r="F26" s="26">
        <f t="shared" si="0"/>
        <v>7500</v>
      </c>
      <c r="G26" s="25">
        <v>1500</v>
      </c>
      <c r="H26" s="26">
        <f t="shared" si="1"/>
        <v>4500</v>
      </c>
      <c r="I26" s="25">
        <v>500</v>
      </c>
      <c r="J26" s="26">
        <f t="shared" si="2"/>
        <v>1500</v>
      </c>
    </row>
    <row r="27" spans="1:10" ht="33" customHeight="1">
      <c r="A27" s="11" t="str">
        <f>'Bid Item List (small)'!A39</f>
        <v>0020</v>
      </c>
      <c r="B27" s="20" t="str">
        <f>'Bid Item List (small)'!B39</f>
        <v>McBride Slough Intake Structure</v>
      </c>
      <c r="C27" s="36">
        <f>'Bid Item List (small)'!C39</f>
        <v>1</v>
      </c>
      <c r="D27" s="21" t="str">
        <f>'Bid Item List (small)'!D39</f>
        <v>LS</v>
      </c>
      <c r="E27" s="25">
        <v>245000</v>
      </c>
      <c r="F27" s="26">
        <f t="shared" si="0"/>
        <v>245000</v>
      </c>
      <c r="G27" s="25">
        <v>107400</v>
      </c>
      <c r="H27" s="26">
        <f t="shared" si="1"/>
        <v>107400</v>
      </c>
      <c r="I27" s="25">
        <v>200000</v>
      </c>
      <c r="J27" s="26">
        <f t="shared" si="2"/>
        <v>200000</v>
      </c>
    </row>
    <row r="28" spans="1:10" ht="33" customHeight="1">
      <c r="A28" s="11" t="str">
        <f>'Bid Item List (small)'!A40</f>
        <v>0021</v>
      </c>
      <c r="B28" s="20" t="str">
        <f>'Bid Item List (small)'!B40</f>
        <v>Columbia Slough Outfall Structure</v>
      </c>
      <c r="C28" s="36">
        <f>'Bid Item List (small)'!C40</f>
        <v>1</v>
      </c>
      <c r="D28" s="21" t="str">
        <f>'Bid Item List (small)'!D40</f>
        <v>LS</v>
      </c>
      <c r="E28" s="25">
        <v>240000</v>
      </c>
      <c r="F28" s="26">
        <f t="shared" si="0"/>
        <v>240000</v>
      </c>
      <c r="G28" s="25">
        <v>95225</v>
      </c>
      <c r="H28" s="26">
        <f t="shared" si="1"/>
        <v>95225</v>
      </c>
      <c r="I28" s="25">
        <v>160000</v>
      </c>
      <c r="J28" s="26">
        <f t="shared" si="2"/>
        <v>160000</v>
      </c>
    </row>
    <row r="29" spans="1:10" ht="33" customHeight="1">
      <c r="A29" s="11" t="str">
        <f>'Bid Item List (small)'!A41</f>
        <v>0022</v>
      </c>
      <c r="B29" s="20" t="str">
        <f>'Bid Item List (small)'!B41</f>
        <v>Modified Concrete Curb and Gutter</v>
      </c>
      <c r="C29" s="36">
        <f>'Bid Item List (small)'!C41</f>
        <v>36</v>
      </c>
      <c r="D29" s="21" t="str">
        <f>'Bid Item List (small)'!D41</f>
        <v>LF</v>
      </c>
      <c r="E29" s="25">
        <v>70</v>
      </c>
      <c r="F29" s="26">
        <f t="shared" si="0"/>
        <v>2520</v>
      </c>
      <c r="G29" s="25">
        <v>57</v>
      </c>
      <c r="H29" s="26">
        <f t="shared" si="1"/>
        <v>2052</v>
      </c>
      <c r="I29" s="25">
        <v>60</v>
      </c>
      <c r="J29" s="26">
        <f t="shared" si="2"/>
        <v>2160</v>
      </c>
    </row>
    <row r="30" spans="1:10" ht="33" customHeight="1">
      <c r="A30" s="11" t="str">
        <f>'Bid Item List (small)'!A42</f>
        <v>0023</v>
      </c>
      <c r="B30" s="20" t="str">
        <f>'Bid Item List (small)'!B42</f>
        <v>Sidewalk</v>
      </c>
      <c r="C30" s="36">
        <f>'Bid Item List (small)'!C42</f>
        <v>500</v>
      </c>
      <c r="D30" s="21" t="str">
        <f>'Bid Item List (small)'!D42</f>
        <v>SF</v>
      </c>
      <c r="E30" s="25">
        <v>9</v>
      </c>
      <c r="F30" s="26">
        <f t="shared" si="0"/>
        <v>4500</v>
      </c>
      <c r="G30" s="25">
        <v>6.5</v>
      </c>
      <c r="H30" s="26">
        <f t="shared" si="1"/>
        <v>3250</v>
      </c>
      <c r="I30" s="25">
        <v>10</v>
      </c>
      <c r="J30" s="26">
        <f t="shared" si="2"/>
        <v>5000</v>
      </c>
    </row>
    <row r="31" spans="1:10" ht="33" customHeight="1">
      <c r="A31" s="11" t="str">
        <f>'Bid Item List (small)'!A43</f>
        <v>0024</v>
      </c>
      <c r="B31" s="20" t="str">
        <f>'Bid Item List (small)'!B43</f>
        <v>Aggregate Base Course</v>
      </c>
      <c r="C31" s="36">
        <f>'Bid Item List (small)'!C43</f>
        <v>175</v>
      </c>
      <c r="D31" s="21" t="str">
        <f>'Bid Item List (small)'!D43</f>
        <v>Ton</v>
      </c>
      <c r="E31" s="25">
        <v>35</v>
      </c>
      <c r="F31" s="26">
        <f>C31*E31</f>
        <v>6125</v>
      </c>
      <c r="G31" s="25">
        <v>52</v>
      </c>
      <c r="H31" s="26">
        <f>C31*G31</f>
        <v>9100</v>
      </c>
      <c r="I31" s="25">
        <v>35</v>
      </c>
      <c r="J31" s="26">
        <f>C31*I31</f>
        <v>6125</v>
      </c>
    </row>
    <row r="32" spans="1:10" ht="33" customHeight="1">
      <c r="A32" s="11" t="str">
        <f>'Bid Item List (small)'!A44</f>
        <v>0025</v>
      </c>
      <c r="B32" s="20" t="str">
        <f>'Bid Item List (small)'!B44</f>
        <v>Portland Cement Concrete Pavement 
(9-Inch)</v>
      </c>
      <c r="C32" s="36">
        <f>'Bid Item List (small)'!C44</f>
        <v>175</v>
      </c>
      <c r="D32" s="21" t="str">
        <f>'Bid Item List (small)'!D44</f>
        <v>SY</v>
      </c>
      <c r="E32" s="25">
        <v>180</v>
      </c>
      <c r="F32" s="26">
        <f>C32*E32</f>
        <v>31500</v>
      </c>
      <c r="G32" s="25">
        <v>159.5</v>
      </c>
      <c r="H32" s="26">
        <f>C32*G32</f>
        <v>27912.5</v>
      </c>
      <c r="I32" s="25">
        <v>200</v>
      </c>
      <c r="J32" s="26">
        <f>C32*I32</f>
        <v>35000</v>
      </c>
    </row>
    <row r="33" spans="1:10" ht="33" customHeight="1">
      <c r="A33" s="11" t="str">
        <f>'Bid Item List (small)'!A45</f>
        <v>0026</v>
      </c>
      <c r="B33" s="20" t="str">
        <f>'Bid Item List (small)'!B45</f>
        <v>Pavement Marking</v>
      </c>
      <c r="C33" s="36">
        <f>'Bid Item List (small)'!C45</f>
        <v>1</v>
      </c>
      <c r="D33" s="21" t="str">
        <f>'Bid Item List (small)'!D45</f>
        <v>LS</v>
      </c>
      <c r="E33" s="25">
        <v>5000</v>
      </c>
      <c r="F33" s="26">
        <f t="shared" ref="F33:F37" si="3">C33*E33</f>
        <v>5000</v>
      </c>
      <c r="G33" s="25">
        <v>2350</v>
      </c>
      <c r="H33" s="26">
        <f t="shared" ref="H33:H37" si="4">C33*G33</f>
        <v>2350</v>
      </c>
      <c r="I33" s="25">
        <v>4000</v>
      </c>
      <c r="J33" s="26">
        <f t="shared" ref="J33:J37" si="5">C33*I33</f>
        <v>4000</v>
      </c>
    </row>
    <row r="34" spans="1:10" ht="33" customHeight="1">
      <c r="A34" s="11" t="str">
        <f>'Bid Item List (small)'!A46</f>
        <v>0027</v>
      </c>
      <c r="B34" s="20" t="str">
        <f>'Bid Item List (small)'!B46</f>
        <v>Guard Rail Removal and Replacement</v>
      </c>
      <c r="C34" s="36">
        <f>'Bid Item List (small)'!C46</f>
        <v>72</v>
      </c>
      <c r="D34" s="21" t="str">
        <f>'Bid Item List (small)'!D46</f>
        <v>LF</v>
      </c>
      <c r="E34" s="25">
        <v>80</v>
      </c>
      <c r="F34" s="26">
        <f t="shared" si="3"/>
        <v>5760</v>
      </c>
      <c r="G34" s="25">
        <v>43</v>
      </c>
      <c r="H34" s="26">
        <f t="shared" si="4"/>
        <v>3096</v>
      </c>
      <c r="I34" s="25">
        <v>50</v>
      </c>
      <c r="J34" s="26">
        <f t="shared" si="5"/>
        <v>3600</v>
      </c>
    </row>
    <row r="35" spans="1:10" ht="33" customHeight="1">
      <c r="A35" s="11" t="str">
        <f>'Bid Item List (small)'!A47</f>
        <v>0028</v>
      </c>
      <c r="B35" s="20" t="str">
        <f>'Bid Item List (small)'!B47</f>
        <v>Area Seeding</v>
      </c>
      <c r="C35" s="36">
        <f>'Bid Item List (small)'!C47</f>
        <v>1</v>
      </c>
      <c r="D35" s="21" t="str">
        <f>'Bid Item List (small)'!D47</f>
        <v>LS</v>
      </c>
      <c r="E35" s="25">
        <v>12000</v>
      </c>
      <c r="F35" s="26">
        <f t="shared" si="3"/>
        <v>12000</v>
      </c>
      <c r="G35" s="25">
        <v>16000</v>
      </c>
      <c r="H35" s="26">
        <f t="shared" si="4"/>
        <v>16000</v>
      </c>
      <c r="I35" s="25">
        <v>12000</v>
      </c>
      <c r="J35" s="26">
        <f t="shared" si="5"/>
        <v>12000</v>
      </c>
    </row>
    <row r="36" spans="1:10" ht="33" customHeight="1">
      <c r="A36" s="11" t="str">
        <f>'Bid Item List (small)'!A48</f>
        <v>0029</v>
      </c>
      <c r="B36" s="20" t="str">
        <f>'Bid Item List (small)'!B48</f>
        <v>Stormwater Flow Through Pollution Reduction Facility</v>
      </c>
      <c r="C36" s="36">
        <f>'Bid Item List (small)'!C48</f>
        <v>1</v>
      </c>
      <c r="D36" s="21" t="str">
        <f>'Bid Item List (small)'!D48</f>
        <v>LS</v>
      </c>
      <c r="E36" s="25">
        <v>5000</v>
      </c>
      <c r="F36" s="26">
        <f t="shared" si="3"/>
        <v>5000</v>
      </c>
      <c r="G36" s="25">
        <v>12500</v>
      </c>
      <c r="H36" s="26">
        <f t="shared" si="4"/>
        <v>12500</v>
      </c>
      <c r="I36" s="25">
        <v>5000</v>
      </c>
      <c r="J36" s="26">
        <f t="shared" si="5"/>
        <v>5000</v>
      </c>
    </row>
    <row r="37" spans="1:10" ht="33" customHeight="1">
      <c r="A37" s="11" t="str">
        <f>'Bid Item List (small)'!A49</f>
        <v>0030</v>
      </c>
      <c r="B37" s="20" t="str">
        <f>'Bid Item List (small)'!B49</f>
        <v>Landscape Restoration</v>
      </c>
      <c r="C37" s="36">
        <f>'Bid Item List (small)'!C49</f>
        <v>1</v>
      </c>
      <c r="D37" s="21" t="str">
        <f>'Bid Item List (small)'!D49</f>
        <v>LS</v>
      </c>
      <c r="E37" s="25">
        <v>10000</v>
      </c>
      <c r="F37" s="26">
        <f t="shared" si="3"/>
        <v>10000</v>
      </c>
      <c r="G37" s="25">
        <v>9000</v>
      </c>
      <c r="H37" s="26">
        <f t="shared" si="4"/>
        <v>9000</v>
      </c>
      <c r="I37" s="25">
        <v>10000</v>
      </c>
      <c r="J37" s="26">
        <f t="shared" si="5"/>
        <v>10000</v>
      </c>
    </row>
    <row r="38" spans="1:10" s="54" customFormat="1" ht="33" customHeight="1">
      <c r="A38" s="48"/>
      <c r="B38" s="49" t="str">
        <f>'Bid Item List (small)'!B50</f>
        <v>Total Amount Bid (Basis of Award)</v>
      </c>
      <c r="C38" s="50"/>
      <c r="D38" s="51">
        <f>'Bid Item List (small)'!D50</f>
        <v>0</v>
      </c>
      <c r="E38" s="52"/>
      <c r="F38" s="53">
        <f>SUM(F8:F37)</f>
        <v>2162300</v>
      </c>
      <c r="G38" s="52"/>
      <c r="H38" s="53">
        <f>SUM(H8:H37)</f>
        <v>1897247.5</v>
      </c>
      <c r="I38" s="52"/>
      <c r="J38" s="53">
        <f>SUM(J8:J37)</f>
        <v>2240505</v>
      </c>
    </row>
  </sheetData>
  <mergeCells count="9">
    <mergeCell ref="A6:D6"/>
    <mergeCell ref="A1:D1"/>
    <mergeCell ref="E1:F5"/>
    <mergeCell ref="G1:H5"/>
    <mergeCell ref="I1:J5"/>
    <mergeCell ref="A2:D2"/>
    <mergeCell ref="A3:D3"/>
    <mergeCell ref="A4:D4"/>
    <mergeCell ref="A5:D5"/>
  </mergeCells>
  <printOptions horizontalCentered="1"/>
  <pageMargins left="0.5" right="0.5" top="0.5" bottom="0.5" header="0.5" footer="0.5"/>
  <pageSetup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38"/>
  <sheetViews>
    <sheetView tabSelected="1" view="pageBreakPreview" topLeftCell="A4" zoomScaleNormal="75" zoomScaleSheetLayoutView="100" workbookViewId="0">
      <selection activeCell="D16" sqref="D16"/>
    </sheetView>
  </sheetViews>
  <sheetFormatPr defaultRowHeight="15"/>
  <cols>
    <col min="1" max="1" width="6.7109375" customWidth="1"/>
    <col min="2" max="2" width="29" style="22" customWidth="1"/>
    <col min="3" max="3" width="10.7109375" style="37" customWidth="1"/>
    <col min="4" max="4" width="6.7109375" style="22" customWidth="1"/>
    <col min="5" max="5" width="11" style="31" customWidth="1"/>
    <col min="6" max="6" width="13.7109375" style="31" customWidth="1"/>
  </cols>
  <sheetData>
    <row r="1" spans="1:6" s="8" customFormat="1" ht="30" customHeight="1">
      <c r="A1" s="78" t="str">
        <f>'Bid Item List (small)'!$A$15</f>
        <v>PORTLAND INTERNATIONAL AIRPORT</v>
      </c>
      <c r="B1" s="79"/>
      <c r="C1" s="79"/>
      <c r="D1" s="80"/>
      <c r="E1" s="91" t="s">
        <v>97</v>
      </c>
      <c r="F1" s="92"/>
    </row>
    <row r="2" spans="1:6">
      <c r="A2" s="81" t="str">
        <f>'Bid Item List (small)'!$A$16</f>
        <v>COLWOOD PIPE AND OUTFALLS</v>
      </c>
      <c r="B2" s="82"/>
      <c r="C2" s="82"/>
      <c r="D2" s="83"/>
      <c r="E2" s="93"/>
      <c r="F2" s="94"/>
    </row>
    <row r="3" spans="1:6">
      <c r="A3" s="81">
        <f>'Bid Item List (small)'!$A$17</f>
        <v>0</v>
      </c>
      <c r="B3" s="82"/>
      <c r="C3" s="82"/>
      <c r="D3" s="83"/>
      <c r="E3" s="93"/>
      <c r="F3" s="94"/>
    </row>
    <row r="4" spans="1:6">
      <c r="A4" s="84" t="s">
        <v>86</v>
      </c>
      <c r="B4" s="85"/>
      <c r="C4" s="85"/>
      <c r="D4" s="86"/>
      <c r="E4" s="93"/>
      <c r="F4" s="94"/>
    </row>
    <row r="5" spans="1:6">
      <c r="A5" s="84" t="s">
        <v>87</v>
      </c>
      <c r="B5" s="85"/>
      <c r="C5" s="85"/>
      <c r="D5" s="86"/>
      <c r="E5" s="93"/>
      <c r="F5" s="94"/>
    </row>
    <row r="6" spans="1:6">
      <c r="A6" s="71">
        <f ca="1">TODAY()</f>
        <v>42397</v>
      </c>
      <c r="B6" s="72"/>
      <c r="C6" s="72"/>
      <c r="D6" s="73"/>
      <c r="E6" s="55"/>
      <c r="F6" s="56"/>
    </row>
    <row r="7" spans="1:6" ht="32.25" customHeight="1">
      <c r="A7" s="10" t="s">
        <v>15</v>
      </c>
      <c r="B7" s="19" t="s">
        <v>16</v>
      </c>
      <c r="C7" s="35" t="s">
        <v>17</v>
      </c>
      <c r="D7" s="19" t="s">
        <v>18</v>
      </c>
      <c r="E7" s="57" t="s">
        <v>19</v>
      </c>
      <c r="F7" s="57" t="s">
        <v>20</v>
      </c>
    </row>
    <row r="8" spans="1:6" ht="33" customHeight="1">
      <c r="A8" s="11" t="str">
        <f>'Bid Item List (small)'!A20</f>
        <v>0001</v>
      </c>
      <c r="B8" s="20" t="str">
        <f>'Bid Item List (small)'!B20</f>
        <v>Mobilization, Surveying, Cleanup, and Demobilization</v>
      </c>
      <c r="C8" s="36">
        <f>'Bid Item List (small)'!C20</f>
        <v>1</v>
      </c>
      <c r="D8" s="21" t="str">
        <f>'Bid Item List (small)'!D20</f>
        <v>LS</v>
      </c>
      <c r="E8" s="58">
        <v>210000</v>
      </c>
      <c r="F8" s="59">
        <f t="shared" ref="F8:F37" si="0">C8*E8</f>
        <v>210000</v>
      </c>
    </row>
    <row r="9" spans="1:6" ht="33" customHeight="1">
      <c r="A9" s="11" t="str">
        <f>'Bid Item List (small)'!A21</f>
        <v>0002</v>
      </c>
      <c r="B9" s="20" t="str">
        <f>'Bid Item List (small)'!B21</f>
        <v>Work Zone Traffic Control</v>
      </c>
      <c r="C9" s="36">
        <f>'Bid Item List (small)'!C21</f>
        <v>1</v>
      </c>
      <c r="D9" s="21" t="str">
        <f>'Bid Item List (small)'!D21</f>
        <v>LS</v>
      </c>
      <c r="E9" s="58">
        <v>37500</v>
      </c>
      <c r="F9" s="59">
        <f t="shared" si="0"/>
        <v>37500</v>
      </c>
    </row>
    <row r="10" spans="1:6" ht="33" customHeight="1">
      <c r="A10" s="11" t="str">
        <f>'Bid Item List (small)'!A22</f>
        <v>0003</v>
      </c>
      <c r="B10" s="20" t="str">
        <f>'Bid Item List (small)'!B22</f>
        <v>Temporary Erosion, Sediment, and Pollution Control</v>
      </c>
      <c r="C10" s="36">
        <f>'Bid Item List (small)'!C22</f>
        <v>1</v>
      </c>
      <c r="D10" s="21" t="str">
        <f>'Bid Item List (small)'!D22</f>
        <v>LS</v>
      </c>
      <c r="E10" s="58">
        <v>22500</v>
      </c>
      <c r="F10" s="59">
        <f t="shared" si="0"/>
        <v>22500</v>
      </c>
    </row>
    <row r="11" spans="1:6" ht="33" customHeight="1">
      <c r="A11" s="11" t="str">
        <f>'Bid Item List (small)'!A23</f>
        <v>0004</v>
      </c>
      <c r="B11" s="20" t="str">
        <f>'Bid Item List (small)'!B23</f>
        <v>Site Demolition</v>
      </c>
      <c r="C11" s="36">
        <f>'Bid Item List (small)'!C23</f>
        <v>1</v>
      </c>
      <c r="D11" s="21" t="str">
        <f>'Bid Item List (small)'!D23</f>
        <v>LS</v>
      </c>
      <c r="E11" s="58">
        <v>25000</v>
      </c>
      <c r="F11" s="59">
        <f t="shared" si="0"/>
        <v>25000</v>
      </c>
    </row>
    <row r="12" spans="1:6" ht="33" customHeight="1">
      <c r="A12" s="11" t="str">
        <f>'Bid Item List (small)'!A24</f>
        <v>0005</v>
      </c>
      <c r="B12" s="20" t="str">
        <f>'Bid Item List (small)'!B24</f>
        <v>Clearing and Grubbing</v>
      </c>
      <c r="C12" s="36">
        <f>'Bid Item List (small)'!C24</f>
        <v>1</v>
      </c>
      <c r="D12" s="21" t="str">
        <f>'Bid Item List (small)'!D24</f>
        <v>LS</v>
      </c>
      <c r="E12" s="58">
        <v>25000</v>
      </c>
      <c r="F12" s="59">
        <f t="shared" si="0"/>
        <v>25000</v>
      </c>
    </row>
    <row r="13" spans="1:6" ht="33" customHeight="1">
      <c r="A13" s="11" t="str">
        <f>'Bid Item List (small)'!A25</f>
        <v>0006</v>
      </c>
      <c r="B13" s="20" t="str">
        <f>'Bid Item List (small)'!B25</f>
        <v>Trench Excavation and General Native Backfill</v>
      </c>
      <c r="C13" s="36">
        <f>'Bid Item List (small)'!C25</f>
        <v>577</v>
      </c>
      <c r="D13" s="21" t="str">
        <f>'Bid Item List (small)'!D25</f>
        <v>LF</v>
      </c>
      <c r="E13" s="58">
        <v>125</v>
      </c>
      <c r="F13" s="59">
        <f t="shared" si="0"/>
        <v>72125</v>
      </c>
    </row>
    <row r="14" spans="1:6" ht="33" customHeight="1">
      <c r="A14" s="11" t="str">
        <f>'Bid Item List (small)'!A26</f>
        <v>0007</v>
      </c>
      <c r="B14" s="20" t="str">
        <f>'Bid Item List (small)'!B26</f>
        <v>Trench Excavation and Select Native Backfill</v>
      </c>
      <c r="C14" s="36">
        <f>'Bid Item List (small)'!C26</f>
        <v>622</v>
      </c>
      <c r="D14" s="21" t="str">
        <f>'Bid Item List (small)'!D26</f>
        <v>LF</v>
      </c>
      <c r="E14" s="58">
        <v>225</v>
      </c>
      <c r="F14" s="59">
        <f t="shared" si="0"/>
        <v>139950</v>
      </c>
    </row>
    <row r="15" spans="1:6" ht="33" customHeight="1">
      <c r="A15" s="11" t="str">
        <f>'Bid Item List (small)'!A27</f>
        <v>0008</v>
      </c>
      <c r="B15" s="20" t="str">
        <f>'Bid Item List (small)'!B27</f>
        <v>Trench Excavation and Select Backfill</v>
      </c>
      <c r="C15" s="36">
        <f>'Bid Item List (small)'!C27</f>
        <v>48</v>
      </c>
      <c r="D15" s="21" t="str">
        <f>'Bid Item List (small)'!D27</f>
        <v>LF</v>
      </c>
      <c r="E15" s="58">
        <v>350</v>
      </c>
      <c r="F15" s="59">
        <f t="shared" si="0"/>
        <v>16800</v>
      </c>
    </row>
    <row r="16" spans="1:6" ht="33" customHeight="1">
      <c r="A16" s="11" t="str">
        <f>'Bid Item List (small)'!A28</f>
        <v>0009</v>
      </c>
      <c r="B16" s="20" t="str">
        <f>'Bid Item List (small)'!B28</f>
        <v>Offsite Haul and Disposal</v>
      </c>
      <c r="C16" s="36">
        <f>'Bid Item List (small)'!C28</f>
        <v>6060</v>
      </c>
      <c r="D16" s="21" t="str">
        <f>'Bid Item List (small)'!D28</f>
        <v>CY</v>
      </c>
      <c r="E16" s="58">
        <v>20.5</v>
      </c>
      <c r="F16" s="59">
        <f t="shared" si="0"/>
        <v>124230</v>
      </c>
    </row>
    <row r="17" spans="1:6" ht="33" customHeight="1">
      <c r="A17" s="11" t="str">
        <f>'Bid Item List (small)'!A29</f>
        <v>0010</v>
      </c>
      <c r="B17" s="20" t="str">
        <f>'Bid Item List (small)'!B29</f>
        <v>Contaminated Soil Sediment Excavation and Disposal</v>
      </c>
      <c r="C17" s="36">
        <f>'Bid Item List (small)'!C29</f>
        <v>255</v>
      </c>
      <c r="D17" s="21" t="str">
        <f>'Bid Item List (small)'!D29</f>
        <v>Ton</v>
      </c>
      <c r="E17" s="58">
        <v>100</v>
      </c>
      <c r="F17" s="59">
        <f t="shared" si="0"/>
        <v>25500</v>
      </c>
    </row>
    <row r="18" spans="1:6" ht="33" customHeight="1">
      <c r="A18" s="11" t="str">
        <f>'Bid Item List (small)'!A30</f>
        <v>0011</v>
      </c>
      <c r="B18" s="20" t="str">
        <f>'Bid Item List (small)'!B30</f>
        <v>Shoring</v>
      </c>
      <c r="C18" s="36">
        <f>'Bid Item List (small)'!C30</f>
        <v>1</v>
      </c>
      <c r="D18" s="21" t="str">
        <f>'Bid Item List (small)'!D30</f>
        <v>LS</v>
      </c>
      <c r="E18" s="58">
        <v>110000</v>
      </c>
      <c r="F18" s="59">
        <f t="shared" si="0"/>
        <v>110000</v>
      </c>
    </row>
    <row r="19" spans="1:6" ht="33" customHeight="1">
      <c r="A19" s="11" t="str">
        <f>'Bid Item List (small)'!A31</f>
        <v>0012</v>
      </c>
      <c r="B19" s="20" t="str">
        <f>'Bid Item List (small)'!B31</f>
        <v>Pipe Zone and Bedding Material</v>
      </c>
      <c r="C19" s="36">
        <f>'Bid Item List (small)'!C31</f>
        <v>2940</v>
      </c>
      <c r="D19" s="21" t="str">
        <f>'Bid Item List (small)'!D31</f>
        <v>CY</v>
      </c>
      <c r="E19" s="58">
        <v>40</v>
      </c>
      <c r="F19" s="59">
        <f t="shared" si="0"/>
        <v>117600</v>
      </c>
    </row>
    <row r="20" spans="1:6" ht="33" customHeight="1">
      <c r="A20" s="11" t="str">
        <f>'Bid Item List (small)'!A32</f>
        <v>0013</v>
      </c>
      <c r="B20" s="20" t="str">
        <f>'Bid Item List (small)'!B32</f>
        <v>Trench Stabilization</v>
      </c>
      <c r="C20" s="36">
        <f>'Bid Item List (small)'!C32</f>
        <v>555</v>
      </c>
      <c r="D20" s="21" t="str">
        <f>'Bid Item List (small)'!D32</f>
        <v>CY</v>
      </c>
      <c r="E20" s="58">
        <v>55</v>
      </c>
      <c r="F20" s="59">
        <f t="shared" si="0"/>
        <v>30525</v>
      </c>
    </row>
    <row r="21" spans="1:6" ht="33" customHeight="1">
      <c r="A21" s="11" t="str">
        <f>'Bid Item List (small)'!A33</f>
        <v>0014</v>
      </c>
      <c r="B21" s="20" t="str">
        <f>'Bid Item List (small)'!B33</f>
        <v>Dewatering</v>
      </c>
      <c r="C21" s="36">
        <f>'Bid Item List (small)'!C33</f>
        <v>1</v>
      </c>
      <c r="D21" s="21" t="str">
        <f>'Bid Item List (small)'!D33</f>
        <v>LS</v>
      </c>
      <c r="E21" s="58">
        <v>225000</v>
      </c>
      <c r="F21" s="59">
        <f t="shared" si="0"/>
        <v>225000</v>
      </c>
    </row>
    <row r="22" spans="1:6" ht="33" customHeight="1">
      <c r="A22" s="11" t="str">
        <f>'Bid Item List (small)'!A34</f>
        <v>0015</v>
      </c>
      <c r="B22" s="20" t="str">
        <f>'Bid Item List (small)'!B34</f>
        <v>72-Inch Sewer Pipe</v>
      </c>
      <c r="C22" s="36">
        <f>'Bid Item List (small)'!C34</f>
        <v>1260</v>
      </c>
      <c r="D22" s="21" t="str">
        <f>'Bid Item List (small)'!D34</f>
        <v>LF</v>
      </c>
      <c r="E22" s="58">
        <v>375</v>
      </c>
      <c r="F22" s="59">
        <f t="shared" si="0"/>
        <v>472500</v>
      </c>
    </row>
    <row r="23" spans="1:6" ht="33" customHeight="1">
      <c r="A23" s="11" t="str">
        <f>'Bid Item List (small)'!A35</f>
        <v>0016</v>
      </c>
      <c r="B23" s="20" t="str">
        <f>'Bid Item List (small)'!B35</f>
        <v>108-Inch Manhole</v>
      </c>
      <c r="C23" s="36">
        <f>'Bid Item List (small)'!C35</f>
        <v>1</v>
      </c>
      <c r="D23" s="21" t="str">
        <f>'Bid Item List (small)'!D35</f>
        <v>Each</v>
      </c>
      <c r="E23" s="58">
        <v>22000</v>
      </c>
      <c r="F23" s="59">
        <f t="shared" si="0"/>
        <v>22000</v>
      </c>
    </row>
    <row r="24" spans="1:6" ht="33" customHeight="1">
      <c r="A24" s="11" t="str">
        <f>'Bid Item List (small)'!A36</f>
        <v>0017</v>
      </c>
      <c r="B24" s="20" t="str">
        <f>'Bid Item List (small)'!B36</f>
        <v>120-Inch Manhole</v>
      </c>
      <c r="C24" s="36">
        <f>'Bid Item List (small)'!C36</f>
        <v>1</v>
      </c>
      <c r="D24" s="21" t="str">
        <f>'Bid Item List (small)'!D36</f>
        <v>Each</v>
      </c>
      <c r="E24" s="58">
        <v>25000</v>
      </c>
      <c r="F24" s="59">
        <f t="shared" si="0"/>
        <v>25000</v>
      </c>
    </row>
    <row r="25" spans="1:6" ht="33" customHeight="1">
      <c r="A25" s="11" t="str">
        <f>'Bid Item List (small)'!A37</f>
        <v>0018</v>
      </c>
      <c r="B25" s="20" t="str">
        <f>'Bid Item List (small)'!B37</f>
        <v>Subdrains</v>
      </c>
      <c r="C25" s="36">
        <f>'Bid Item List (small)'!C37</f>
        <v>36</v>
      </c>
      <c r="D25" s="21" t="str">
        <f>'Bid Item List (small)'!D37</f>
        <v>LF</v>
      </c>
      <c r="E25" s="58">
        <v>30</v>
      </c>
      <c r="F25" s="59">
        <f t="shared" si="0"/>
        <v>1080</v>
      </c>
    </row>
    <row r="26" spans="1:6" ht="33" customHeight="1">
      <c r="A26" s="11" t="str">
        <f>'Bid Item List (small)'!A38</f>
        <v>0019</v>
      </c>
      <c r="B26" s="20" t="str">
        <f>'Bid Item List (small)'!B38</f>
        <v>Inlet (Type PB)</v>
      </c>
      <c r="C26" s="36">
        <f>'Bid Item List (small)'!C38</f>
        <v>3</v>
      </c>
      <c r="D26" s="21" t="str">
        <f>'Bid Item List (small)'!D38</f>
        <v>Each</v>
      </c>
      <c r="E26" s="58">
        <v>2500</v>
      </c>
      <c r="F26" s="59">
        <f t="shared" si="0"/>
        <v>7500</v>
      </c>
    </row>
    <row r="27" spans="1:6" ht="33" customHeight="1">
      <c r="A27" s="11" t="str">
        <f>'Bid Item List (small)'!A39</f>
        <v>0020</v>
      </c>
      <c r="B27" s="20" t="str">
        <f>'Bid Item List (small)'!B39</f>
        <v>McBride Slough Intake Structure</v>
      </c>
      <c r="C27" s="36">
        <f>'Bid Item List (small)'!C39</f>
        <v>1</v>
      </c>
      <c r="D27" s="21" t="str">
        <f>'Bid Item List (small)'!D39</f>
        <v>LS</v>
      </c>
      <c r="E27" s="58">
        <v>125000</v>
      </c>
      <c r="F27" s="59">
        <f t="shared" si="0"/>
        <v>125000</v>
      </c>
    </row>
    <row r="28" spans="1:6" ht="33" customHeight="1">
      <c r="A28" s="11" t="str">
        <f>'Bid Item List (small)'!A40</f>
        <v>0021</v>
      </c>
      <c r="B28" s="20" t="str">
        <f>'Bid Item List (small)'!B40</f>
        <v>Columbia Slough Outfall Structure</v>
      </c>
      <c r="C28" s="36">
        <f>'Bid Item List (small)'!C40</f>
        <v>1</v>
      </c>
      <c r="D28" s="21" t="str">
        <f>'Bid Item List (small)'!D40</f>
        <v>LS</v>
      </c>
      <c r="E28" s="58">
        <v>115000</v>
      </c>
      <c r="F28" s="59">
        <f t="shared" si="0"/>
        <v>115000</v>
      </c>
    </row>
    <row r="29" spans="1:6" ht="33" customHeight="1">
      <c r="A29" s="11" t="str">
        <f>'Bid Item List (small)'!A41</f>
        <v>0022</v>
      </c>
      <c r="B29" s="20" t="str">
        <f>'Bid Item List (small)'!B41</f>
        <v>Modified Concrete Curb and Gutter</v>
      </c>
      <c r="C29" s="36">
        <f>'Bid Item List (small)'!C41</f>
        <v>36</v>
      </c>
      <c r="D29" s="21" t="str">
        <f>'Bid Item List (small)'!D41</f>
        <v>LF</v>
      </c>
      <c r="E29" s="58">
        <v>50</v>
      </c>
      <c r="F29" s="59">
        <f t="shared" si="0"/>
        <v>1800</v>
      </c>
    </row>
    <row r="30" spans="1:6" ht="33" customHeight="1">
      <c r="A30" s="11" t="str">
        <f>'Bid Item List (small)'!A42</f>
        <v>0023</v>
      </c>
      <c r="B30" s="20" t="str">
        <f>'Bid Item List (small)'!B42</f>
        <v>Sidewalk</v>
      </c>
      <c r="C30" s="36">
        <f>'Bid Item List (small)'!C42</f>
        <v>500</v>
      </c>
      <c r="D30" s="21" t="str">
        <f>'Bid Item List (small)'!D42</f>
        <v>SF</v>
      </c>
      <c r="E30" s="58">
        <v>12.5</v>
      </c>
      <c r="F30" s="59">
        <f t="shared" si="0"/>
        <v>6250</v>
      </c>
    </row>
    <row r="31" spans="1:6" ht="33" customHeight="1">
      <c r="A31" s="11" t="str">
        <f>'Bid Item List (small)'!A43</f>
        <v>0024</v>
      </c>
      <c r="B31" s="20" t="str">
        <f>'Bid Item List (small)'!B43</f>
        <v>Aggregate Base Course</v>
      </c>
      <c r="C31" s="36">
        <f>'Bid Item List (small)'!C43</f>
        <v>175</v>
      </c>
      <c r="D31" s="21" t="str">
        <f>'Bid Item List (small)'!D43</f>
        <v>Ton</v>
      </c>
      <c r="E31" s="58">
        <v>25</v>
      </c>
      <c r="F31" s="59">
        <f t="shared" si="0"/>
        <v>4375</v>
      </c>
    </row>
    <row r="32" spans="1:6" ht="33" customHeight="1">
      <c r="A32" s="11" t="str">
        <f>'Bid Item List (small)'!A44</f>
        <v>0025</v>
      </c>
      <c r="B32" s="20" t="str">
        <f>'Bid Item List (small)'!B44</f>
        <v>Portland Cement Concrete Pavement 
(9-Inch)</v>
      </c>
      <c r="C32" s="36">
        <f>'Bid Item List (small)'!C44</f>
        <v>175</v>
      </c>
      <c r="D32" s="21" t="str">
        <f>'Bid Item List (small)'!D44</f>
        <v>SY</v>
      </c>
      <c r="E32" s="58">
        <v>160</v>
      </c>
      <c r="F32" s="59">
        <f t="shared" si="0"/>
        <v>28000</v>
      </c>
    </row>
    <row r="33" spans="1:6" ht="33" customHeight="1">
      <c r="A33" s="11" t="str">
        <f>'Bid Item List (small)'!A45</f>
        <v>0026</v>
      </c>
      <c r="B33" s="20" t="str">
        <f>'Bid Item List (small)'!B45</f>
        <v>Pavement Marking</v>
      </c>
      <c r="C33" s="36">
        <f>'Bid Item List (small)'!C45</f>
        <v>1</v>
      </c>
      <c r="D33" s="21" t="str">
        <f>'Bid Item List (small)'!D45</f>
        <v>LS</v>
      </c>
      <c r="E33" s="58">
        <v>1500</v>
      </c>
      <c r="F33" s="59">
        <f t="shared" si="0"/>
        <v>1500</v>
      </c>
    </row>
    <row r="34" spans="1:6" ht="33" customHeight="1">
      <c r="A34" s="11" t="str">
        <f>'Bid Item List (small)'!A46</f>
        <v>0027</v>
      </c>
      <c r="B34" s="20" t="str">
        <f>'Bid Item List (small)'!B46</f>
        <v>Guard Rail Removal and Replacement</v>
      </c>
      <c r="C34" s="36">
        <f>'Bid Item List (small)'!C46</f>
        <v>72</v>
      </c>
      <c r="D34" s="21" t="str">
        <f>'Bid Item List (small)'!D46</f>
        <v>LF</v>
      </c>
      <c r="E34" s="58">
        <v>115</v>
      </c>
      <c r="F34" s="59">
        <f t="shared" si="0"/>
        <v>8280</v>
      </c>
    </row>
    <row r="35" spans="1:6" ht="33" customHeight="1">
      <c r="A35" s="11" t="str">
        <f>'Bid Item List (small)'!A47</f>
        <v>0028</v>
      </c>
      <c r="B35" s="20" t="str">
        <f>'Bid Item List (small)'!B47</f>
        <v>Area Seeding</v>
      </c>
      <c r="C35" s="36">
        <f>'Bid Item List (small)'!C47</f>
        <v>1</v>
      </c>
      <c r="D35" s="21" t="str">
        <f>'Bid Item List (small)'!D47</f>
        <v>LS</v>
      </c>
      <c r="E35" s="58">
        <v>3000</v>
      </c>
      <c r="F35" s="59">
        <f t="shared" si="0"/>
        <v>3000</v>
      </c>
    </row>
    <row r="36" spans="1:6" ht="33" customHeight="1">
      <c r="A36" s="11" t="str">
        <f>'Bid Item List (small)'!A48</f>
        <v>0029</v>
      </c>
      <c r="B36" s="20" t="str">
        <f>'Bid Item List (small)'!B48</f>
        <v>Stormwater Flow Through Pollution Reduction Facility</v>
      </c>
      <c r="C36" s="36">
        <f>'Bid Item List (small)'!C48</f>
        <v>1</v>
      </c>
      <c r="D36" s="21" t="str">
        <f>'Bid Item List (small)'!D48</f>
        <v>LS</v>
      </c>
      <c r="E36" s="58">
        <v>15000</v>
      </c>
      <c r="F36" s="59">
        <f t="shared" si="0"/>
        <v>15000</v>
      </c>
    </row>
    <row r="37" spans="1:6" ht="33" customHeight="1">
      <c r="A37" s="11" t="str">
        <f>'Bid Item List (small)'!A49</f>
        <v>0030</v>
      </c>
      <c r="B37" s="20" t="str">
        <f>'Bid Item List (small)'!B49</f>
        <v>Landscape Restoration</v>
      </c>
      <c r="C37" s="36">
        <f>'Bid Item List (small)'!C49</f>
        <v>1</v>
      </c>
      <c r="D37" s="21" t="str">
        <f>'Bid Item List (small)'!D49</f>
        <v>LS</v>
      </c>
      <c r="E37" s="58">
        <v>61500</v>
      </c>
      <c r="F37" s="59">
        <f t="shared" si="0"/>
        <v>61500</v>
      </c>
    </row>
    <row r="38" spans="1:6" s="54" customFormat="1" ht="33" customHeight="1">
      <c r="A38" s="48"/>
      <c r="B38" s="49" t="str">
        <f>'Bid Item List (small)'!B50</f>
        <v>Total Amount Bid (Basis of Award)</v>
      </c>
      <c r="C38" s="50"/>
      <c r="D38" s="51">
        <f>'Bid Item List (small)'!D50</f>
        <v>0</v>
      </c>
      <c r="E38" s="60"/>
      <c r="F38" s="61">
        <f>SUM(F8:F37)</f>
        <v>2079515</v>
      </c>
    </row>
  </sheetData>
  <mergeCells count="7">
    <mergeCell ref="A6:D6"/>
    <mergeCell ref="A1:D1"/>
    <mergeCell ref="E1:F5"/>
    <mergeCell ref="A2:D2"/>
    <mergeCell ref="A3:D3"/>
    <mergeCell ref="A4:D4"/>
    <mergeCell ref="A5:D5"/>
  </mergeCells>
  <printOptions horizontalCentered="1"/>
  <pageMargins left="0.5" right="0.5" top="0.5" bottom="0.5" header="0.5" footer="0.5"/>
  <pageSetup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20"/>
  <sheetViews>
    <sheetView zoomScale="75" zoomScaleNormal="75" workbookViewId="0">
      <selection activeCell="A12" sqref="A12"/>
    </sheetView>
  </sheetViews>
  <sheetFormatPr defaultRowHeight="15"/>
  <cols>
    <col min="1" max="1" width="53.7109375" style="12" customWidth="1"/>
    <col min="2" max="2" width="27" style="45" customWidth="1"/>
  </cols>
  <sheetData>
    <row r="1" spans="1:2" ht="30" customHeight="1">
      <c r="A1" s="23" t="str">
        <f>'Bid Item List (small)'!$A$15</f>
        <v>PORTLAND INTERNATIONAL AIRPORT</v>
      </c>
      <c r="B1" s="41"/>
    </row>
    <row r="2" spans="1:2" ht="15" customHeight="1">
      <c r="A2" s="24" t="str">
        <f>'Bid Item List (small)'!$A$16</f>
        <v>COLWOOD PIPE AND OUTFALLS</v>
      </c>
      <c r="B2" s="42"/>
    </row>
    <row r="3" spans="1:2" ht="15" customHeight="1">
      <c r="A3" s="24">
        <f>'Bid Item List (small)'!$A$17</f>
        <v>0</v>
      </c>
      <c r="B3" s="42"/>
    </row>
    <row r="4" spans="1:2">
      <c r="A4" s="13" t="str">
        <f>'Bid Tab (1-3)'!$A$4</f>
        <v>EAN 2015D006</v>
      </c>
      <c r="B4" s="42"/>
    </row>
    <row r="5" spans="1:2" ht="15" customHeight="1">
      <c r="A5" s="14" t="str">
        <f>'Bid Tab (1-3)'!$A$5</f>
        <v>Solicitation No. 2015-6576</v>
      </c>
      <c r="B5" s="42"/>
    </row>
    <row r="6" spans="1:2" ht="15" customHeight="1">
      <c r="A6" s="15">
        <f ca="1">TODAY()</f>
        <v>42397</v>
      </c>
      <c r="B6" s="43"/>
    </row>
    <row r="7" spans="1:2" ht="33" customHeight="1">
      <c r="A7" s="16" t="s">
        <v>98</v>
      </c>
      <c r="B7" s="44" t="s">
        <v>20</v>
      </c>
    </row>
    <row r="8" spans="1:2" ht="33" customHeight="1">
      <c r="A8" s="17" t="str">
        <f>'Bid Tab (1-3)'!$I$1</f>
        <v>K&amp;E Excavating, Inc.</v>
      </c>
      <c r="B8" s="18">
        <f>'Bid Tab (1-3)'!J38</f>
        <v>1843275</v>
      </c>
    </row>
    <row r="9" spans="1:2" ht="33" customHeight="1">
      <c r="A9" s="17" t="str">
        <f>'Bid Tab (10-12)'!$G$1</f>
        <v>Weitman Excavation, LLC</v>
      </c>
      <c r="B9" s="18">
        <f>'Bid Tab (10-12)'!H38</f>
        <v>1897247.5</v>
      </c>
    </row>
    <row r="10" spans="1:2" ht="33" customHeight="1">
      <c r="A10" s="17" t="str">
        <f>'Bid Tab (7-9)'!$G$1</f>
        <v>Rotshy, Inc.</v>
      </c>
      <c r="B10" s="18">
        <f>'Bid Tab (7-9)'!H38</f>
        <v>1910132</v>
      </c>
    </row>
    <row r="11" spans="1:2" ht="33" customHeight="1">
      <c r="A11" s="17" t="str">
        <f>'Bid Tab (4-6)'!$E$1</f>
        <v>Kerr Contractors, 
Oregon, Inc.</v>
      </c>
      <c r="B11" s="18">
        <f>'Bid Tab (4-6)'!F38</f>
        <v>1935149</v>
      </c>
    </row>
    <row r="12" spans="1:2" ht="33" customHeight="1">
      <c r="A12" s="17" t="str">
        <f>'Bid Tab (7-9)'!$I$1</f>
        <v>Tapani, Inc.</v>
      </c>
      <c r="B12" s="18">
        <f>'Bid Tab (7-9)'!J38</f>
        <v>1994190</v>
      </c>
    </row>
    <row r="13" spans="1:2" ht="33" customHeight="1">
      <c r="A13" s="17" t="str">
        <f>'Bid Tab (1-3)'!$G$1</f>
        <v>James W. Fowler Co.</v>
      </c>
      <c r="B13" s="18">
        <f>'Bid Tab (1-3)'!H38</f>
        <v>2047715</v>
      </c>
    </row>
    <row r="14" spans="1:2" ht="33" customHeight="1">
      <c r="A14" s="17" t="str">
        <f>'Bid Tab (4-6)'!$G$1</f>
        <v>MJ Hughes 
Construction, Inc.</v>
      </c>
      <c r="B14" s="18">
        <f>'Bid Tab (4-6)'!H38</f>
        <v>2148275</v>
      </c>
    </row>
    <row r="15" spans="1:2" ht="33" customHeight="1">
      <c r="A15" s="17" t="str">
        <f>'Bid Tab (10-12)'!$E$1</f>
        <v>Thompson Bros. Excavating, Inc.</v>
      </c>
      <c r="B15" s="18">
        <f>'Bid Tab (10-12)'!F38</f>
        <v>2162300</v>
      </c>
    </row>
    <row r="16" spans="1:2" ht="33" customHeight="1">
      <c r="A16" s="17" t="str">
        <f>'Bid Tab (7-9)'!$E$1</f>
        <v>Nutter Corporation</v>
      </c>
      <c r="B16" s="18">
        <f>'Bid Tab (7-9)'!F38</f>
        <v>2213059.2199999997</v>
      </c>
    </row>
    <row r="17" spans="1:2" ht="33" customHeight="1">
      <c r="A17" s="17" t="str">
        <f>'Bid Tab (10-12)'!$I$1</f>
        <v>Wildish Standard 
Paving, Co.</v>
      </c>
      <c r="B17" s="18">
        <f>'Bid Tab (10-12)'!J38</f>
        <v>2240505</v>
      </c>
    </row>
    <row r="18" spans="1:2" ht="33" customHeight="1">
      <c r="A18" s="17" t="str">
        <f>'Bid Tab (1-3)'!$E$1</f>
        <v>Emery &amp; Sons</v>
      </c>
      <c r="B18" s="18">
        <f>'Bid Tab (1-3)'!F38</f>
        <v>2312472</v>
      </c>
    </row>
    <row r="19" spans="1:2" ht="33" customHeight="1">
      <c r="A19" s="17" t="str">
        <f>'Bid Tab (4-6)'!$I$1</f>
        <v>Moore Excavation, Inc.</v>
      </c>
      <c r="B19" s="18">
        <f>'Bid Tab (4-6)'!J38</f>
        <v>2748841</v>
      </c>
    </row>
    <row r="20" spans="1:2" ht="33" customHeight="1">
      <c r="A20" s="62" t="str">
        <f>'Bid Tab (EE)'!$E$1</f>
        <v>Engineer's Estimate</v>
      </c>
      <c r="B20" s="63">
        <f>'Bid Tab (EE)'!F38</f>
        <v>2079515</v>
      </c>
    </row>
  </sheetData>
  <sortState xmlns:xlrd2="http://schemas.microsoft.com/office/spreadsheetml/2017/richdata2" ref="A8:B19">
    <sortCondition ref="B8:B19"/>
  </sortState>
  <printOptions horizontalCentered="1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4C3FC360486C3449A5BF21A412D0E8B" ma:contentTypeVersion="3" ma:contentTypeDescription="Create a new document." ma:contentTypeScope="" ma:versionID="ae1734035da06489cee3bc010ff747fc">
  <xsd:schema xmlns:xsd="http://www.w3.org/2001/XMLSchema" xmlns:xs="http://www.w3.org/2001/XMLSchema" xmlns:p="http://schemas.microsoft.com/office/2006/metadata/properties" xmlns:ns2="149230f7-eaf4-416e-8d5c-5c6c61cbabe4" targetNamespace="http://schemas.microsoft.com/office/2006/metadata/properties" ma:root="true" ma:fieldsID="6046d4d5e893a6dcf2a15683580b6564" ns2:_="">
    <xsd:import namespace="149230f7-eaf4-416e-8d5c-5c6c61cbab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9230f7-eaf4-416e-8d5c-5c6c61cbab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B2BAF77-A5C2-4A04-8696-45DC9CEEE642}"/>
</file>

<file path=customXml/itemProps2.xml><?xml version="1.0" encoding="utf-8"?>
<ds:datastoreItem xmlns:ds="http://schemas.openxmlformats.org/officeDocument/2006/customXml" ds:itemID="{A3329428-EF50-4FA2-8AB5-579012015CF4}"/>
</file>

<file path=customXml/itemProps3.xml><?xml version="1.0" encoding="utf-8"?>
<ds:datastoreItem xmlns:ds="http://schemas.openxmlformats.org/officeDocument/2006/customXml" ds:itemID="{2E8C76D9-5656-453F-AE57-11E722789B8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Port of Portland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Etta Goerl</dc:creator>
  <cp:keywords/>
  <dc:description/>
  <cp:lastModifiedBy>Kim Tuttle</cp:lastModifiedBy>
  <cp:revision/>
  <dcterms:created xsi:type="dcterms:W3CDTF">2014-05-02T22:08:37Z</dcterms:created>
  <dcterms:modified xsi:type="dcterms:W3CDTF">2026-02-09T21:13:59Z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0x010100C4C3FC360486C3449A5BF21A412D0E8B</vt:lpwstr>
  </property>
</Properties>
</file>