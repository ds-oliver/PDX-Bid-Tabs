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POPFS\Eng-Spec\Pdx\20D\008\"/>
    </mc:Choice>
  </mc:AlternateContent>
  <xr:revisionPtr revIDLastSave="0" documentId="13_ncr:1_{2123E07F-0FCB-46C8-84BF-F7CBE475326B}" xr6:coauthVersionLast="45" xr6:coauthVersionMax="45" xr10:uidLastSave="{00000000-0000-0000-0000-000000000000}"/>
  <bookViews>
    <workbookView xWindow="-120" yWindow="-120" windowWidth="29040" windowHeight="15990" tabRatio="716" xr2:uid="{00000000-000D-0000-FFFF-FFFF00000000}"/>
  </bookViews>
  <sheets>
    <sheet name="Bid Item List" sheetId="1" r:id="rId1"/>
    <sheet name="Bid Tabulation" sheetId="2" r:id="rId2"/>
    <sheet name="Summary" sheetId="5" r:id="rId3"/>
  </sheets>
  <definedNames>
    <definedName name="Contractor1">'Bid Tabulation'!$E$1</definedName>
    <definedName name="Contractor2">'Bid Tabulation'!$G$1</definedName>
    <definedName name="Contractor3">'Bid Tabulation'!$I$1</definedName>
    <definedName name="Contractor4">'Bid Tabulation'!$K$1</definedName>
    <definedName name="Contractor5">'Bid Tabulation'!$M$1</definedName>
    <definedName name="Contractor6">'Bid Tabulation'!$O$1</definedName>
    <definedName name="Contractor7">'Bid Tabulation'!#REF!</definedName>
    <definedName name="Contractor8">'Bid Tabulation'!#REF!</definedName>
    <definedName name="EAN">'Bid Tabulation'!$A$4</definedName>
    <definedName name="EngineerEstimate">'Bid Tabulation'!$Q$1</definedName>
    <definedName name="_xlnm.Print_Area" localSheetId="0">'Bid Item List'!$A$14:$F$32</definedName>
    <definedName name="_xlnm.Print_Area" localSheetId="2">Summary!$A$1:$B$15</definedName>
    <definedName name="_xlnm.Print_Titles" localSheetId="0">'Bid Item List'!$14:$18</definedName>
    <definedName name="_xlnm.Print_Titles" localSheetId="1">'Bid Tabulation'!$A:$D,'Bid Tabulation'!$1:$7</definedName>
    <definedName name="ProjectLocation">'Bid Item List'!$A$14</definedName>
    <definedName name="ProjectTitle">'Bid Item List'!$A$15</definedName>
    <definedName name="ProjectTitle2">'Bid Item List'!$A$16</definedName>
    <definedName name="QTY">'Bid Tabulation'!$C:$C</definedName>
    <definedName name="SolicitationNo">'Bid Tabulation'!$A$5</definedName>
    <definedName name="Total1">'Bid Tabulation'!$F$19</definedName>
    <definedName name="Total2">'Bid Tabulation'!$H$19</definedName>
    <definedName name="Total3">'Bid Tabulation'!$J$19</definedName>
    <definedName name="Total4">'Bid Tabulation'!$L$19</definedName>
    <definedName name="Total5">'Bid Tabulation'!$N$19</definedName>
    <definedName name="Total6">'Bid Tabulation'!$P$19</definedName>
    <definedName name="Total7">'Bid Tabulation'!#REF!</definedName>
    <definedName name="Total8">'Bid Tabulation'!#REF!</definedName>
    <definedName name="TotalEE">'Bid Tabulation'!$R$19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19" i="2" l="1"/>
  <c r="N20" i="2"/>
  <c r="N19" i="2"/>
  <c r="F19" i="2"/>
  <c r="R19" i="2"/>
  <c r="A9" i="2"/>
  <c r="B9" i="2"/>
  <c r="C9" i="2"/>
  <c r="D9" i="2"/>
  <c r="A10" i="2"/>
  <c r="B10" i="2"/>
  <c r="C10" i="2"/>
  <c r="D10" i="2"/>
  <c r="A11" i="2"/>
  <c r="B11" i="2"/>
  <c r="C11" i="2"/>
  <c r="D11" i="2"/>
  <c r="A12" i="2"/>
  <c r="B12" i="2"/>
  <c r="C12" i="2"/>
  <c r="D12" i="2"/>
  <c r="A13" i="2"/>
  <c r="B13" i="2"/>
  <c r="C13" i="2"/>
  <c r="D13" i="2"/>
  <c r="A14" i="2"/>
  <c r="B14" i="2"/>
  <c r="C14" i="2"/>
  <c r="D14" i="2"/>
  <c r="A15" i="2"/>
  <c r="B15" i="2"/>
  <c r="C15" i="2"/>
  <c r="D15" i="2"/>
  <c r="A16" i="2"/>
  <c r="B16" i="2"/>
  <c r="C16" i="2"/>
  <c r="D16" i="2"/>
  <c r="A17" i="2"/>
  <c r="B17" i="2"/>
  <c r="C17" i="2"/>
  <c r="D17" i="2"/>
  <c r="A18" i="2"/>
  <c r="B18" i="2"/>
  <c r="C18" i="2"/>
  <c r="D18" i="2"/>
  <c r="A19" i="2"/>
  <c r="B19" i="2"/>
  <c r="C19" i="2"/>
  <c r="J19" i="2" s="1"/>
  <c r="D19" i="2"/>
  <c r="A20" i="2"/>
  <c r="B20" i="2"/>
  <c r="C20" i="2"/>
  <c r="L20" i="2" s="1"/>
  <c r="D20" i="2"/>
  <c r="P20" i="2" l="1"/>
  <c r="F20" i="2"/>
  <c r="H19" i="2"/>
  <c r="H20" i="2"/>
  <c r="R20" i="2"/>
  <c r="L19" i="2"/>
  <c r="J20" i="2"/>
  <c r="B21" i="2"/>
  <c r="D21" i="2"/>
  <c r="A5" i="5" l="1"/>
  <c r="A4" i="5"/>
  <c r="A3" i="5"/>
  <c r="A2" i="5"/>
  <c r="A1" i="5"/>
  <c r="A3" i="2"/>
  <c r="A2" i="2"/>
  <c r="A1" i="2"/>
  <c r="F18" i="2"/>
  <c r="J18" i="2" l="1"/>
  <c r="L18" i="2"/>
  <c r="P18" i="2"/>
  <c r="H18" i="2"/>
  <c r="R18" i="2"/>
  <c r="N18" i="2"/>
  <c r="P17" i="2" l="1"/>
  <c r="L17" i="2"/>
  <c r="N17" i="2"/>
  <c r="R17" i="2"/>
  <c r="L16" i="2"/>
  <c r="N16" i="2"/>
  <c r="R16" i="2"/>
  <c r="P16" i="2"/>
  <c r="P15" i="2"/>
  <c r="L15" i="2"/>
  <c r="N15" i="2"/>
  <c r="R15" i="2"/>
  <c r="L14" i="2"/>
  <c r="N14" i="2"/>
  <c r="R14" i="2"/>
  <c r="P14" i="2"/>
  <c r="P13" i="2"/>
  <c r="L13" i="2"/>
  <c r="N13" i="2"/>
  <c r="R13" i="2"/>
  <c r="H17" i="2"/>
  <c r="F17" i="2"/>
  <c r="J17" i="2"/>
  <c r="J16" i="2"/>
  <c r="H16" i="2"/>
  <c r="F16" i="2"/>
  <c r="H15" i="2"/>
  <c r="J15" i="2"/>
  <c r="F15" i="2"/>
  <c r="F14" i="2"/>
  <c r="H14" i="2"/>
  <c r="J14" i="2"/>
  <c r="F13" i="2"/>
  <c r="H13" i="2"/>
  <c r="J13" i="2"/>
  <c r="A14" i="5"/>
  <c r="A10" i="5"/>
  <c r="A9" i="5"/>
  <c r="A12" i="5"/>
  <c r="A8" i="5"/>
  <c r="A11" i="5"/>
  <c r="A13" i="5"/>
  <c r="A6" i="5" l="1"/>
  <c r="D8" i="2"/>
  <c r="C8" i="2"/>
  <c r="B8" i="2"/>
  <c r="A8" i="2"/>
  <c r="A6" i="2"/>
  <c r="P9" i="2" l="1"/>
  <c r="L9" i="2"/>
  <c r="N9" i="2"/>
  <c r="R9" i="2"/>
  <c r="L12" i="2"/>
  <c r="N12" i="2"/>
  <c r="R12" i="2"/>
  <c r="P12" i="2"/>
  <c r="P11" i="2"/>
  <c r="L11" i="2"/>
  <c r="N11" i="2"/>
  <c r="R11" i="2"/>
  <c r="L10" i="2"/>
  <c r="N10" i="2"/>
  <c r="R10" i="2"/>
  <c r="P10" i="2"/>
  <c r="L8" i="2"/>
  <c r="N8" i="2"/>
  <c r="R8" i="2"/>
  <c r="P8" i="2"/>
  <c r="J8" i="2"/>
  <c r="F8" i="2"/>
  <c r="H8" i="2"/>
  <c r="J12" i="2"/>
  <c r="H12" i="2"/>
  <c r="F12" i="2"/>
  <c r="J11" i="2"/>
  <c r="H11" i="2"/>
  <c r="F11" i="2"/>
  <c r="F10" i="2"/>
  <c r="H10" i="2"/>
  <c r="J10" i="2"/>
  <c r="J9" i="2"/>
  <c r="H9" i="2"/>
  <c r="F9" i="2"/>
  <c r="R21" i="2" l="1"/>
  <c r="B14" i="5" s="1"/>
  <c r="H21" i="2"/>
  <c r="P21" i="2"/>
  <c r="J21" i="2"/>
  <c r="B8" i="5" s="1"/>
  <c r="N21" i="2"/>
  <c r="L21" i="2"/>
  <c r="B12" i="5" s="1"/>
  <c r="F21" i="2"/>
  <c r="B13" i="5" s="1"/>
</calcChain>
</file>

<file path=xl/sharedStrings.xml><?xml version="1.0" encoding="utf-8"?>
<sst xmlns="http://schemas.openxmlformats.org/spreadsheetml/2006/main" count="95" uniqueCount="63">
  <si>
    <t>Acre</t>
  </si>
  <si>
    <t>CY</t>
  </si>
  <si>
    <t>Each</t>
  </si>
  <si>
    <t>FT</t>
  </si>
  <si>
    <t>Gal</t>
  </si>
  <si>
    <t>Hour</t>
  </si>
  <si>
    <t>LB</t>
  </si>
  <si>
    <t>LF</t>
  </si>
  <si>
    <t>LS</t>
  </si>
  <si>
    <t>Mile</t>
  </si>
  <si>
    <t>SF</t>
  </si>
  <si>
    <t>SY</t>
  </si>
  <si>
    <t>Ton</t>
  </si>
  <si>
    <t>Item No.</t>
  </si>
  <si>
    <t>Item Description</t>
  </si>
  <si>
    <t>Estimated Quantity</t>
  </si>
  <si>
    <t xml:space="preserve">Units </t>
  </si>
  <si>
    <t>Unit Price</t>
  </si>
  <si>
    <t>Total Price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</si>
  <si>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</si>
  <si>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</si>
  <si>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</si>
  <si>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</si>
  <si>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</si>
  <si>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</si>
  <si>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</si>
  <si>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</si>
  <si>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</si>
  <si>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</si>
  <si>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$___________</t>
  </si>
  <si>
    <t>Total Amount Bid (Basis of Award)</t>
  </si>
  <si>
    <t>Bidder</t>
  </si>
  <si>
    <t>Engineer's Estimate</t>
  </si>
  <si>
    <t>0011</t>
  </si>
  <si>
    <t>PORTLAND INTERNATIONAL AIRPORT</t>
  </si>
  <si>
    <t>Mobilization, Surveying, Cleanup, and Demobilization</t>
  </si>
  <si>
    <t>Sweeper</t>
  </si>
  <si>
    <t>Contaminated Soil Excavation and Disposal</t>
  </si>
  <si>
    <t>Dewatering</t>
  </si>
  <si>
    <t>Aircraft-Rated Electrical Vaults</t>
  </si>
  <si>
    <t>H-20 Traffic-Rated Electrical Vaults</t>
  </si>
  <si>
    <t>Electrical Feeder Conductor Assembly</t>
  </si>
  <si>
    <t>KENNEDY FEEDER AND KILLINGSWORTH EXTENSION</t>
  </si>
  <si>
    <t>Temporary Erosion and Sediment Control</t>
  </si>
  <si>
    <t>0012</t>
  </si>
  <si>
    <t>Kennedy Feeder Point-of-Service Access Pad</t>
  </si>
  <si>
    <t>Two 6-Inch Conduits by Directional Drilling Method</t>
  </si>
  <si>
    <t>Electrical Feeder Installation in Vaults</t>
  </si>
  <si>
    <t xml:space="preserve">Electrical Feeder Conductor Termination and Testing </t>
  </si>
  <si>
    <t>0013</t>
  </si>
  <si>
    <t>Kennedy Feeder Pad-Mount Switch</t>
  </si>
  <si>
    <t>EAN 2020D008</t>
  </si>
  <si>
    <t>Solicitation No. 2021-8920</t>
  </si>
  <si>
    <t>Northstar Electrical Contractors, Inc.</t>
  </si>
  <si>
    <t>OEG, Inc.</t>
  </si>
  <si>
    <t>PHK Construction, LLC</t>
  </si>
  <si>
    <t>Northeast Electric, LLC</t>
  </si>
  <si>
    <t>Magnum Power, LLC</t>
  </si>
  <si>
    <t>Kiewit Infrastructure 
West Co.</t>
  </si>
  <si>
    <t>$2,781,118.64*</t>
  </si>
  <si>
    <t>$3,194,069.00*</t>
  </si>
  <si>
    <t>$3,636,850.00*</t>
  </si>
  <si>
    <t>*Corrected Bid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</si>
</sst>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0.0"/>
    <numFmt numFmtId="165" formatCode="General;\–General;"/>
    <numFmt numFmtId="166" formatCode="&quot;$&quot;#,##0.00"/>
    <numFmt numFmtId="167" formatCode="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7">
    <xf numFmtId="0" fontId="0" fillId="0" borderId="0" xfId="0"/>
    <xf numFmtId="0" fontId="2" fillId="0" borderId="0" xfId="0" applyFont="1" applyBorder="1" applyProtection="1">
      <protection hidden="1"/>
    </xf>
    <xf numFmtId="0" fontId="2" fillId="0" borderId="0" xfId="0" applyFont="1" applyFill="1" applyBorder="1" applyProtection="1">
      <protection hidden="1"/>
    </xf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/>
    <xf numFmtId="0" fontId="0" fillId="0" borderId="0" xfId="0" applyAlignment="1"/>
    <xf numFmtId="0" fontId="5" fillId="0" borderId="1" xfId="0" applyFont="1" applyBorder="1"/>
    <xf numFmtId="0" fontId="3" fillId="0" borderId="4" xfId="0" applyFont="1" applyBorder="1" applyAlignment="1">
      <alignment horizontal="center" wrapText="1"/>
    </xf>
    <xf numFmtId="49" fontId="7" fillId="0" borderId="4" xfId="0" applyNumberFormat="1" applyFont="1" applyBorder="1" applyAlignment="1">
      <alignment horizontal="center" vertical="top"/>
    </xf>
    <xf numFmtId="0" fontId="3" fillId="0" borderId="4" xfId="0" applyFont="1" applyBorder="1"/>
    <xf numFmtId="0" fontId="0" fillId="0" borderId="0" xfId="0" applyAlignment="1">
      <alignment horizontal="left" vertical="center"/>
    </xf>
    <xf numFmtId="0" fontId="7" fillId="0" borderId="1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14" fontId="7" fillId="0" borderId="14" xfId="0" applyNumberFormat="1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165" fontId="3" fillId="0" borderId="4" xfId="0" applyNumberFormat="1" applyFont="1" applyBorder="1" applyAlignment="1">
      <alignment horizontal="center" wrapText="1"/>
    </xf>
    <xf numFmtId="165" fontId="7" fillId="0" borderId="4" xfId="0" applyNumberFormat="1" applyFont="1" applyBorder="1" applyAlignment="1">
      <alignment horizontal="center" vertical="top"/>
    </xf>
    <xf numFmtId="165" fontId="3" fillId="0" borderId="4" xfId="0" applyNumberFormat="1" applyFont="1" applyBorder="1" applyAlignment="1">
      <alignment horizontal="left" vertical="center"/>
    </xf>
    <xf numFmtId="165" fontId="3" fillId="0" borderId="4" xfId="0" applyNumberFormat="1" applyFont="1" applyBorder="1"/>
    <xf numFmtId="165" fontId="0" fillId="0" borderId="0" xfId="0" applyNumberFormat="1"/>
    <xf numFmtId="165" fontId="5" fillId="0" borderId="6" xfId="0" applyNumberFormat="1" applyFont="1" applyBorder="1" applyAlignment="1">
      <alignment horizontal="left"/>
    </xf>
    <xf numFmtId="165" fontId="5" fillId="0" borderId="14" xfId="0" applyNumberFormat="1" applyFont="1" applyBorder="1" applyAlignment="1">
      <alignment horizontal="left" vertical="center"/>
    </xf>
    <xf numFmtId="166" fontId="7" fillId="0" borderId="4" xfId="0" applyNumberFormat="1" applyFont="1" applyBorder="1" applyAlignment="1">
      <alignment horizontal="center" vertical="top"/>
    </xf>
    <xf numFmtId="166" fontId="7" fillId="0" borderId="4" xfId="1" applyNumberFormat="1" applyFont="1" applyBorder="1" applyAlignment="1">
      <alignment horizontal="center" vertical="top"/>
    </xf>
    <xf numFmtId="166" fontId="3" fillId="0" borderId="4" xfId="0" applyNumberFormat="1" applyFont="1" applyBorder="1"/>
    <xf numFmtId="2" fontId="0" fillId="0" borderId="0" xfId="0" applyNumberFormat="1"/>
    <xf numFmtId="2" fontId="3" fillId="0" borderId="1" xfId="0" applyNumberFormat="1" applyFont="1" applyBorder="1" applyAlignment="1">
      <alignment horizontal="center" wrapText="1"/>
    </xf>
    <xf numFmtId="2" fontId="4" fillId="0" borderId="1" xfId="0" applyNumberFormat="1" applyFont="1" applyBorder="1" applyAlignment="1">
      <alignment horizontal="center" vertical="top"/>
    </xf>
    <xf numFmtId="2" fontId="4" fillId="0" borderId="1" xfId="0" applyNumberFormat="1" applyFont="1" applyBorder="1"/>
    <xf numFmtId="166" fontId="0" fillId="0" borderId="0" xfId="0" applyNumberFormat="1"/>
    <xf numFmtId="166" fontId="3" fillId="0" borderId="1" xfId="0" applyNumberFormat="1" applyFont="1" applyBorder="1" applyAlignment="1">
      <alignment horizontal="center" wrapText="1"/>
    </xf>
    <xf numFmtId="166" fontId="4" fillId="0" borderId="1" xfId="0" applyNumberFormat="1" applyFont="1" applyBorder="1" applyAlignment="1">
      <alignment horizontal="center" vertical="top"/>
    </xf>
    <xf numFmtId="166" fontId="4" fillId="0" borderId="1" xfId="0" applyNumberFormat="1" applyFont="1" applyBorder="1"/>
    <xf numFmtId="164" fontId="3" fillId="0" borderId="4" xfId="0" applyNumberFormat="1" applyFont="1" applyBorder="1" applyAlignment="1">
      <alignment horizontal="center" wrapText="1"/>
    </xf>
    <xf numFmtId="164" fontId="7" fillId="0" borderId="4" xfId="0" applyNumberFormat="1" applyFont="1" applyBorder="1" applyAlignment="1">
      <alignment horizontal="center" vertical="top"/>
    </xf>
    <xf numFmtId="164" fontId="3" fillId="0" borderId="4" xfId="0" applyNumberFormat="1" applyFont="1" applyBorder="1"/>
    <xf numFmtId="164" fontId="0" fillId="0" borderId="0" xfId="0" applyNumberFormat="1"/>
    <xf numFmtId="166" fontId="0" fillId="0" borderId="11" xfId="0" applyNumberFormat="1" applyBorder="1"/>
    <xf numFmtId="166" fontId="0" fillId="0" borderId="12" xfId="0" applyNumberFormat="1" applyBorder="1"/>
    <xf numFmtId="166" fontId="3" fillId="0" borderId="4" xfId="0" applyNumberFormat="1" applyFont="1" applyBorder="1" applyAlignment="1">
      <alignment horizontal="center" wrapText="1"/>
    </xf>
    <xf numFmtId="44" fontId="0" fillId="0" borderId="6" xfId="0" applyNumberFormat="1" applyBorder="1" applyAlignment="1">
      <alignment horizontal="center" vertical="center"/>
    </xf>
    <xf numFmtId="44" fontId="0" fillId="0" borderId="14" xfId="0" applyNumberFormat="1" applyBorder="1" applyAlignment="1">
      <alignment horizontal="center" vertical="center"/>
    </xf>
    <xf numFmtId="44" fontId="0" fillId="0" borderId="15" xfId="0" applyNumberFormat="1" applyBorder="1" applyAlignment="1">
      <alignment horizontal="center" vertical="center"/>
    </xf>
    <xf numFmtId="44" fontId="5" fillId="0" borderId="4" xfId="0" applyNumberFormat="1" applyFont="1" applyBorder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  <xf numFmtId="4" fontId="4" fillId="0" borderId="1" xfId="0" applyNumberFormat="1" applyFont="1" applyBorder="1" applyAlignment="1">
      <alignment horizontal="center" vertical="top"/>
    </xf>
    <xf numFmtId="165" fontId="7" fillId="0" borderId="4" xfId="0" applyNumberFormat="1" applyFont="1" applyBorder="1" applyAlignment="1">
      <alignment horizontal="left" vertical="top" wrapText="1"/>
    </xf>
    <xf numFmtId="166" fontId="3" fillId="0" borderId="4" xfId="0" applyNumberFormat="1" applyFont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166" fontId="4" fillId="2" borderId="4" xfId="0" applyNumberFormat="1" applyFont="1" applyFill="1" applyBorder="1" applyAlignment="1">
      <alignment horizontal="center" vertical="center"/>
    </xf>
    <xf numFmtId="167" fontId="7" fillId="0" borderId="4" xfId="0" applyNumberFormat="1" applyFont="1" applyBorder="1" applyAlignment="1">
      <alignment horizontal="center" vertical="top"/>
    </xf>
    <xf numFmtId="166" fontId="5" fillId="0" borderId="2" xfId="0" applyNumberFormat="1" applyFont="1" applyBorder="1" applyAlignment="1">
      <alignment horizontal="center"/>
    </xf>
    <xf numFmtId="166" fontId="5" fillId="0" borderId="3" xfId="0" applyNumberFormat="1" applyFont="1" applyBorder="1" applyAlignment="1">
      <alignment horizontal="center"/>
    </xf>
    <xf numFmtId="0" fontId="6" fillId="0" borderId="2" xfId="0" applyFont="1" applyFill="1" applyBorder="1" applyAlignment="1" applyProtection="1">
      <alignment horizontal="left"/>
      <protection hidden="1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166" fontId="5" fillId="0" borderId="7" xfId="0" applyNumberFormat="1" applyFont="1" applyBorder="1" applyAlignment="1">
      <alignment horizontal="center"/>
    </xf>
    <xf numFmtId="166" fontId="5" fillId="0" borderId="8" xfId="0" applyNumberFormat="1" applyFont="1" applyBorder="1" applyAlignment="1">
      <alignment horizontal="center"/>
    </xf>
    <xf numFmtId="166" fontId="5" fillId="0" borderId="9" xfId="0" applyNumberFormat="1" applyFont="1" applyBorder="1" applyAlignment="1">
      <alignment horizontal="center"/>
    </xf>
    <xf numFmtId="166" fontId="5" fillId="0" borderId="10" xfId="0" applyNumberFormat="1" applyFont="1" applyBorder="1" applyAlignment="1">
      <alignment horizontal="center"/>
    </xf>
    <xf numFmtId="166" fontId="5" fillId="0" borderId="7" xfId="0" applyNumberFormat="1" applyFont="1" applyBorder="1" applyAlignment="1">
      <alignment horizontal="center" wrapText="1"/>
    </xf>
    <xf numFmtId="166" fontId="5" fillId="0" borderId="8" xfId="0" applyNumberFormat="1" applyFont="1" applyBorder="1" applyAlignment="1">
      <alignment horizontal="center" wrapText="1"/>
    </xf>
    <xf numFmtId="166" fontId="5" fillId="0" borderId="9" xfId="0" applyNumberFormat="1" applyFont="1" applyBorder="1" applyAlignment="1">
      <alignment horizontal="center" wrapText="1"/>
    </xf>
    <xf numFmtId="166" fontId="5" fillId="0" borderId="10" xfId="0" applyNumberFormat="1" applyFont="1" applyBorder="1" applyAlignment="1">
      <alignment horizontal="center" wrapText="1"/>
    </xf>
    <xf numFmtId="14" fontId="7" fillId="0" borderId="11" xfId="0" applyNumberFormat="1" applyFont="1" applyBorder="1" applyAlignment="1">
      <alignment horizontal="left" vertical="center"/>
    </xf>
    <xf numFmtId="14" fontId="7" fillId="0" borderId="5" xfId="0" applyNumberFormat="1" applyFont="1" applyBorder="1" applyAlignment="1">
      <alignment horizontal="left" vertical="center"/>
    </xf>
    <xf numFmtId="14" fontId="7" fillId="0" borderId="12" xfId="0" applyNumberFormat="1" applyFont="1" applyBorder="1" applyAlignment="1">
      <alignment horizontal="left" vertical="center"/>
    </xf>
    <xf numFmtId="165" fontId="5" fillId="0" borderId="7" xfId="0" applyNumberFormat="1" applyFont="1" applyBorder="1" applyAlignment="1">
      <alignment horizontal="left"/>
    </xf>
    <xf numFmtId="165" fontId="5" fillId="0" borderId="13" xfId="0" applyNumberFormat="1" applyFont="1" applyBorder="1" applyAlignment="1">
      <alignment horizontal="left"/>
    </xf>
    <xf numFmtId="165" fontId="5" fillId="0" borderId="8" xfId="0" applyNumberFormat="1" applyFont="1" applyBorder="1" applyAlignment="1">
      <alignment horizontal="left"/>
    </xf>
    <xf numFmtId="165" fontId="5" fillId="0" borderId="9" xfId="0" applyNumberFormat="1" applyFont="1" applyBorder="1" applyAlignment="1">
      <alignment horizontal="left" vertical="center"/>
    </xf>
    <xf numFmtId="165" fontId="5" fillId="0" borderId="0" xfId="0" applyNumberFormat="1" applyFont="1" applyBorder="1" applyAlignment="1">
      <alignment horizontal="left" vertical="center"/>
    </xf>
    <xf numFmtId="165" fontId="5" fillId="0" borderId="10" xfId="0" applyNumberFormat="1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5" fillId="0" borderId="17" xfId="0" applyFont="1" applyBorder="1" applyAlignment="1">
      <alignment horizontal="left"/>
    </xf>
    <xf numFmtId="0" fontId="5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166" fontId="5" fillId="0" borderId="16" xfId="0" applyNumberFormat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5" tint="-0.499984740745262"/>
  </sheetPr>
  <dimension ref="A1:F32"/>
  <sheetViews>
    <sheetView tabSelected="1" view="pageLayout" topLeftCell="A14" zoomScaleNormal="100" zoomScaleSheetLayoutView="100" workbookViewId="0">
      <selection activeCell="E14" sqref="E14:F17"/>
    </sheetView>
  </sheetViews>
  <sheetFormatPr defaultRowHeight="15" x14ac:dyDescent="0.25"/>
  <cols>
    <col min="1" max="1" width="6.5703125" customWidth="1"/>
    <col min="2" max="2" width="36.7109375" customWidth="1"/>
    <col min="3" max="3" width="10.7109375" style="29" customWidth="1"/>
    <col min="4" max="4" width="8.28515625" customWidth="1"/>
    <col min="5" max="6" width="13.28515625" style="33" customWidth="1"/>
  </cols>
  <sheetData>
    <row r="1" spans="1:6" hidden="1" x14ac:dyDescent="0.25">
      <c r="A1" s="1" t="s">
        <v>0</v>
      </c>
    </row>
    <row r="2" spans="1:6" hidden="1" x14ac:dyDescent="0.25">
      <c r="A2" s="1" t="s">
        <v>1</v>
      </c>
    </row>
    <row r="3" spans="1:6" hidden="1" x14ac:dyDescent="0.25">
      <c r="A3" s="2" t="s">
        <v>2</v>
      </c>
    </row>
    <row r="4" spans="1:6" hidden="1" x14ac:dyDescent="0.25">
      <c r="A4" s="2" t="s">
        <v>3</v>
      </c>
    </row>
    <row r="5" spans="1:6" hidden="1" x14ac:dyDescent="0.25">
      <c r="A5" s="2" t="s">
        <v>4</v>
      </c>
    </row>
    <row r="6" spans="1:6" hidden="1" x14ac:dyDescent="0.25">
      <c r="A6" s="2" t="s">
        <v>5</v>
      </c>
    </row>
    <row r="7" spans="1:6" hidden="1" x14ac:dyDescent="0.25">
      <c r="A7" s="2" t="s">
        <v>6</v>
      </c>
    </row>
    <row r="8" spans="1:6" hidden="1" x14ac:dyDescent="0.25">
      <c r="A8" s="2" t="s">
        <v>7</v>
      </c>
    </row>
    <row r="9" spans="1:6" hidden="1" x14ac:dyDescent="0.25">
      <c r="A9" s="1" t="s">
        <v>8</v>
      </c>
    </row>
    <row r="10" spans="1:6" hidden="1" x14ac:dyDescent="0.25">
      <c r="A10" s="2" t="s">
        <v>9</v>
      </c>
    </row>
    <row r="11" spans="1:6" hidden="1" x14ac:dyDescent="0.25">
      <c r="A11" s="2" t="s">
        <v>10</v>
      </c>
    </row>
    <row r="12" spans="1:6" hidden="1" x14ac:dyDescent="0.25">
      <c r="A12" s="2" t="s">
        <v>11</v>
      </c>
    </row>
    <row r="13" spans="1:6" hidden="1" x14ac:dyDescent="0.25">
      <c r="A13" s="2" t="s">
        <v>12</v>
      </c>
    </row>
    <row r="14" spans="1:6" x14ac:dyDescent="0.25">
      <c r="A14" s="83" t="s">
        <v>34</v>
      </c>
      <c r="B14" s="84"/>
      <c r="C14" s="84"/>
      <c r="D14" s="85"/>
      <c r="E14" s="86"/>
      <c r="F14" s="86"/>
    </row>
    <row r="15" spans="1:6" x14ac:dyDescent="0.25">
      <c r="A15" s="60" t="s">
        <v>42</v>
      </c>
      <c r="B15" s="60"/>
      <c r="C15" s="60"/>
      <c r="D15" s="60"/>
      <c r="E15" s="58"/>
      <c r="F15" s="58"/>
    </row>
    <row r="16" spans="1:6" x14ac:dyDescent="0.25">
      <c r="A16" s="61"/>
      <c r="B16" s="61"/>
      <c r="C16" s="61"/>
      <c r="D16" s="61"/>
      <c r="E16" s="58"/>
      <c r="F16" s="58"/>
    </row>
    <row r="17" spans="1:6" x14ac:dyDescent="0.25">
      <c r="A17" s="62"/>
      <c r="B17" s="62"/>
      <c r="C17" s="62"/>
      <c r="D17" s="62"/>
      <c r="E17" s="59"/>
      <c r="F17" s="59"/>
    </row>
    <row r="18" spans="1:6" s="3" customFormat="1" ht="24" customHeight="1" x14ac:dyDescent="0.2">
      <c r="A18" s="4" t="s">
        <v>13</v>
      </c>
      <c r="B18" s="4" t="s">
        <v>14</v>
      </c>
      <c r="C18" s="30" t="s">
        <v>15</v>
      </c>
      <c r="D18" s="4" t="s">
        <v>16</v>
      </c>
      <c r="E18" s="34" t="s">
        <v>17</v>
      </c>
      <c r="F18" s="34" t="s">
        <v>18</v>
      </c>
    </row>
    <row r="19" spans="1:6" ht="40.5" customHeight="1" x14ac:dyDescent="0.25">
      <c r="A19" s="5" t="s">
        <v>19</v>
      </c>
      <c r="B19" s="51" t="s">
        <v>35</v>
      </c>
      <c r="C19" s="31">
        <v>1</v>
      </c>
      <c r="D19" s="6" t="s">
        <v>8</v>
      </c>
      <c r="E19" s="35"/>
      <c r="F19" s="35"/>
    </row>
    <row r="20" spans="1:6" ht="40.5" customHeight="1" x14ac:dyDescent="0.25">
      <c r="A20" s="5" t="s">
        <v>20</v>
      </c>
      <c r="B20" s="51" t="s">
        <v>36</v>
      </c>
      <c r="C20" s="31">
        <v>1</v>
      </c>
      <c r="D20" s="6" t="s">
        <v>8</v>
      </c>
      <c r="E20" s="35"/>
      <c r="F20" s="35"/>
    </row>
    <row r="21" spans="1:6" ht="40.5" customHeight="1" x14ac:dyDescent="0.25">
      <c r="A21" s="5" t="s">
        <v>21</v>
      </c>
      <c r="B21" s="51" t="s">
        <v>43</v>
      </c>
      <c r="C21" s="31">
        <v>1</v>
      </c>
      <c r="D21" s="6" t="s">
        <v>8</v>
      </c>
      <c r="E21" s="35"/>
      <c r="F21" s="35"/>
    </row>
    <row r="22" spans="1:6" ht="40.5" customHeight="1" x14ac:dyDescent="0.25">
      <c r="A22" s="5" t="s">
        <v>22</v>
      </c>
      <c r="B22" s="51" t="s">
        <v>37</v>
      </c>
      <c r="C22" s="31">
        <v>300</v>
      </c>
      <c r="D22" s="6" t="s">
        <v>1</v>
      </c>
      <c r="E22" s="35"/>
      <c r="F22" s="35"/>
    </row>
    <row r="23" spans="1:6" ht="40.5" customHeight="1" x14ac:dyDescent="0.25">
      <c r="A23" s="5" t="s">
        <v>23</v>
      </c>
      <c r="B23" s="51" t="s">
        <v>38</v>
      </c>
      <c r="C23" s="31">
        <v>9</v>
      </c>
      <c r="D23" s="6" t="s">
        <v>2</v>
      </c>
      <c r="E23" s="35"/>
      <c r="F23" s="35"/>
    </row>
    <row r="24" spans="1:6" ht="40.5" customHeight="1" x14ac:dyDescent="0.25">
      <c r="A24" s="5" t="s">
        <v>24</v>
      </c>
      <c r="B24" s="51" t="s">
        <v>45</v>
      </c>
      <c r="C24" s="31">
        <v>1</v>
      </c>
      <c r="D24" s="6" t="s">
        <v>8</v>
      </c>
      <c r="E24" s="35"/>
      <c r="F24" s="35"/>
    </row>
    <row r="25" spans="1:6" ht="40.5" customHeight="1" x14ac:dyDescent="0.25">
      <c r="A25" s="5" t="s">
        <v>25</v>
      </c>
      <c r="B25" s="51" t="s">
        <v>50</v>
      </c>
      <c r="C25" s="31">
        <v>1</v>
      </c>
      <c r="D25" s="6" t="s">
        <v>8</v>
      </c>
      <c r="E25" s="35"/>
      <c r="F25" s="35"/>
    </row>
    <row r="26" spans="1:6" ht="40.5" customHeight="1" x14ac:dyDescent="0.25">
      <c r="A26" s="5" t="s">
        <v>26</v>
      </c>
      <c r="B26" s="51" t="s">
        <v>39</v>
      </c>
      <c r="C26" s="31">
        <v>4</v>
      </c>
      <c r="D26" s="6" t="s">
        <v>2</v>
      </c>
      <c r="E26" s="35"/>
      <c r="F26" s="35"/>
    </row>
    <row r="27" spans="1:6" ht="40.5" customHeight="1" x14ac:dyDescent="0.25">
      <c r="A27" s="5" t="s">
        <v>27</v>
      </c>
      <c r="B27" s="51" t="s">
        <v>40</v>
      </c>
      <c r="C27" s="31">
        <v>4</v>
      </c>
      <c r="D27" s="6" t="s">
        <v>2</v>
      </c>
      <c r="E27" s="35"/>
      <c r="F27" s="35"/>
    </row>
    <row r="28" spans="1:6" ht="40.5" customHeight="1" x14ac:dyDescent="0.25">
      <c r="A28" s="5" t="s">
        <v>28</v>
      </c>
      <c r="B28" s="51" t="s">
        <v>46</v>
      </c>
      <c r="C28" s="52">
        <v>5360</v>
      </c>
      <c r="D28" s="6" t="s">
        <v>7</v>
      </c>
      <c r="E28" s="35"/>
      <c r="F28" s="35"/>
    </row>
    <row r="29" spans="1:6" ht="40.5" customHeight="1" x14ac:dyDescent="0.25">
      <c r="A29" s="5" t="s">
        <v>33</v>
      </c>
      <c r="B29" s="51" t="s">
        <v>41</v>
      </c>
      <c r="C29" s="52">
        <v>12397</v>
      </c>
      <c r="D29" s="6" t="s">
        <v>7</v>
      </c>
      <c r="E29" s="35"/>
      <c r="F29" s="35"/>
    </row>
    <row r="30" spans="1:6" ht="40.5" customHeight="1" x14ac:dyDescent="0.25">
      <c r="A30" s="5" t="s">
        <v>44</v>
      </c>
      <c r="B30" s="51" t="s">
        <v>47</v>
      </c>
      <c r="C30" s="31">
        <v>17</v>
      </c>
      <c r="D30" s="6" t="s">
        <v>2</v>
      </c>
      <c r="E30" s="35"/>
      <c r="F30" s="35"/>
    </row>
    <row r="31" spans="1:6" ht="40.5" customHeight="1" x14ac:dyDescent="0.25">
      <c r="A31" s="5" t="s">
        <v>49</v>
      </c>
      <c r="B31" s="51" t="s">
        <v>48</v>
      </c>
      <c r="C31" s="31">
        <v>1</v>
      </c>
      <c r="D31" s="6" t="s">
        <v>8</v>
      </c>
      <c r="E31" s="35"/>
      <c r="F31" s="35"/>
    </row>
    <row r="32" spans="1:6" ht="27.75" customHeight="1" x14ac:dyDescent="0.25">
      <c r="A32" s="7"/>
      <c r="B32" s="9" t="s">
        <v>30</v>
      </c>
      <c r="C32" s="32"/>
      <c r="D32" s="7"/>
      <c r="E32" s="36"/>
      <c r="F32" s="36" t="s">
        <v>29</v>
      </c>
    </row>
  </sheetData>
  <dataConsolidate function="count"/>
  <mergeCells count="5">
    <mergeCell ref="E14:F17"/>
    <mergeCell ref="A14:D14"/>
    <mergeCell ref="A15:D15"/>
    <mergeCell ref="A16:D16"/>
    <mergeCell ref="A17:D17"/>
  </mergeCells>
  <phoneticPr fontId="9" type="noConversion"/>
  <dataValidations disablePrompts="1" count="1">
    <dataValidation type="list" allowBlank="1" showInputMessage="1" showErrorMessage="1" sqref="D19:D31" xr:uid="{00000000-0002-0000-0000-000000000000}">
      <formula1>$A$1:$A$13</formula1>
    </dataValidation>
  </dataValidations>
  <printOptions horizontalCentered="1"/>
  <pageMargins left="0.75" right="0.75" top="1" bottom="1" header="0.5" footer="0.7"/>
  <pageSetup firstPageNumber="2" orientation="portrait" useFirstPageNumber="1" r:id="rId1"/>
  <headerFooter>
    <oddHeader>&amp;R
Bidder: _________________________</oddHeader>
    <oddFooter>&amp;L&amp;"Times New Roman,Regular"&amp;8&amp;Z&amp;F&amp;R&amp;"Times New Roman,Regular"&amp;9Bid 
004100-&amp;P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-0.499984740745262"/>
  </sheetPr>
  <dimension ref="A1:R21"/>
  <sheetViews>
    <sheetView view="pageBreakPreview" topLeftCell="A4" zoomScaleNormal="100" zoomScaleSheetLayoutView="100" workbookViewId="0">
      <selection activeCell="C16" sqref="C16"/>
    </sheetView>
  </sheetViews>
  <sheetFormatPr defaultRowHeight="15" x14ac:dyDescent="0.25"/>
  <cols>
    <col min="1" max="1" width="6.7109375" customWidth="1"/>
    <col min="2" max="2" width="28.85546875" style="23" customWidth="1"/>
    <col min="3" max="3" width="11.28515625" style="40" customWidth="1"/>
    <col min="4" max="4" width="6.7109375" style="23" customWidth="1"/>
    <col min="5" max="5" width="11" style="33" customWidth="1"/>
    <col min="6" max="6" width="13.42578125" style="33" customWidth="1"/>
    <col min="7" max="7" width="11" style="33" customWidth="1"/>
    <col min="8" max="8" width="13.42578125" style="33" customWidth="1"/>
    <col min="9" max="9" width="11" style="33" customWidth="1"/>
    <col min="10" max="10" width="13.42578125" style="33" customWidth="1"/>
    <col min="11" max="11" width="11" customWidth="1"/>
    <col min="12" max="12" width="13.42578125" customWidth="1"/>
    <col min="13" max="13" width="11" customWidth="1"/>
    <col min="14" max="14" width="13.42578125" customWidth="1"/>
    <col min="15" max="15" width="11" customWidth="1"/>
    <col min="16" max="16" width="13.42578125" customWidth="1"/>
    <col min="17" max="17" width="11" customWidth="1"/>
    <col min="18" max="18" width="13.42578125" customWidth="1"/>
  </cols>
  <sheetData>
    <row r="1" spans="1:18" s="8" customFormat="1" ht="30" customHeight="1" x14ac:dyDescent="0.25">
      <c r="A1" s="74" t="str">
        <f>ProjectLocation</f>
        <v>PORTLAND INTERNATIONAL AIRPORT</v>
      </c>
      <c r="B1" s="75"/>
      <c r="C1" s="75"/>
      <c r="D1" s="76"/>
      <c r="E1" s="67" t="s">
        <v>58</v>
      </c>
      <c r="F1" s="68"/>
      <c r="G1" s="67" t="s">
        <v>57</v>
      </c>
      <c r="H1" s="68"/>
      <c r="I1" s="67" t="s">
        <v>56</v>
      </c>
      <c r="J1" s="68"/>
      <c r="K1" s="67" t="s">
        <v>53</v>
      </c>
      <c r="L1" s="68"/>
      <c r="M1" s="67" t="s">
        <v>54</v>
      </c>
      <c r="N1" s="68"/>
      <c r="O1" s="67" t="s">
        <v>55</v>
      </c>
      <c r="P1" s="68"/>
      <c r="Q1" s="63" t="s">
        <v>32</v>
      </c>
      <c r="R1" s="64"/>
    </row>
    <row r="2" spans="1:18" x14ac:dyDescent="0.25">
      <c r="A2" s="77" t="str">
        <f>ProjectTitle</f>
        <v>KENNEDY FEEDER AND KILLINGSWORTH EXTENSION</v>
      </c>
      <c r="B2" s="78"/>
      <c r="C2" s="78"/>
      <c r="D2" s="79"/>
      <c r="E2" s="69"/>
      <c r="F2" s="70"/>
      <c r="G2" s="69"/>
      <c r="H2" s="70"/>
      <c r="I2" s="69"/>
      <c r="J2" s="70"/>
      <c r="K2" s="69"/>
      <c r="L2" s="70"/>
      <c r="M2" s="69"/>
      <c r="N2" s="70"/>
      <c r="O2" s="69"/>
      <c r="P2" s="70"/>
      <c r="Q2" s="65"/>
      <c r="R2" s="66"/>
    </row>
    <row r="3" spans="1:18" x14ac:dyDescent="0.25">
      <c r="A3" s="77">
        <f>ProjectTitle2</f>
        <v>0</v>
      </c>
      <c r="B3" s="78"/>
      <c r="C3" s="78"/>
      <c r="D3" s="79"/>
      <c r="E3" s="69"/>
      <c r="F3" s="70"/>
      <c r="G3" s="69"/>
      <c r="H3" s="70"/>
      <c r="I3" s="69"/>
      <c r="J3" s="70"/>
      <c r="K3" s="69"/>
      <c r="L3" s="70"/>
      <c r="M3" s="69"/>
      <c r="N3" s="70"/>
      <c r="O3" s="69"/>
      <c r="P3" s="70"/>
      <c r="Q3" s="65"/>
      <c r="R3" s="66"/>
    </row>
    <row r="4" spans="1:18" x14ac:dyDescent="0.25">
      <c r="A4" s="80" t="s">
        <v>51</v>
      </c>
      <c r="B4" s="81"/>
      <c r="C4" s="81"/>
      <c r="D4" s="82"/>
      <c r="E4" s="69"/>
      <c r="F4" s="70"/>
      <c r="G4" s="69"/>
      <c r="H4" s="70"/>
      <c r="I4" s="69"/>
      <c r="J4" s="70"/>
      <c r="K4" s="69"/>
      <c r="L4" s="70"/>
      <c r="M4" s="69"/>
      <c r="N4" s="70"/>
      <c r="O4" s="69"/>
      <c r="P4" s="70"/>
      <c r="Q4" s="65"/>
      <c r="R4" s="66"/>
    </row>
    <row r="5" spans="1:18" x14ac:dyDescent="0.25">
      <c r="A5" s="80" t="s">
        <v>52</v>
      </c>
      <c r="B5" s="81"/>
      <c r="C5" s="81"/>
      <c r="D5" s="82"/>
      <c r="E5" s="69"/>
      <c r="F5" s="70"/>
      <c r="G5" s="69"/>
      <c r="H5" s="70"/>
      <c r="I5" s="69"/>
      <c r="J5" s="70"/>
      <c r="K5" s="69"/>
      <c r="L5" s="70"/>
      <c r="M5" s="69"/>
      <c r="N5" s="70"/>
      <c r="O5" s="69"/>
      <c r="P5" s="70"/>
      <c r="Q5" s="65"/>
      <c r="R5" s="66"/>
    </row>
    <row r="6" spans="1:18" x14ac:dyDescent="0.25">
      <c r="A6" s="71">
        <f ca="1">TODAY()</f>
        <v>44351</v>
      </c>
      <c r="B6" s="72"/>
      <c r="C6" s="72"/>
      <c r="D6" s="73"/>
      <c r="E6" s="41"/>
      <c r="F6" s="42"/>
      <c r="G6" s="41"/>
      <c r="H6" s="42"/>
      <c r="I6" s="41"/>
      <c r="J6" s="42"/>
      <c r="K6" s="41"/>
      <c r="L6" s="42"/>
      <c r="M6" s="41"/>
      <c r="N6" s="42"/>
      <c r="O6" s="41"/>
      <c r="P6" s="42"/>
      <c r="Q6" s="41"/>
      <c r="R6" s="42"/>
    </row>
    <row r="7" spans="1:18" ht="32.25" customHeight="1" x14ac:dyDescent="0.25">
      <c r="A7" s="10" t="s">
        <v>13</v>
      </c>
      <c r="B7" s="19" t="s">
        <v>14</v>
      </c>
      <c r="C7" s="37" t="s">
        <v>15</v>
      </c>
      <c r="D7" s="19" t="s">
        <v>16</v>
      </c>
      <c r="E7" s="43" t="s">
        <v>17</v>
      </c>
      <c r="F7" s="43" t="s">
        <v>18</v>
      </c>
      <c r="G7" s="43" t="s">
        <v>17</v>
      </c>
      <c r="H7" s="43" t="s">
        <v>18</v>
      </c>
      <c r="I7" s="43" t="s">
        <v>17</v>
      </c>
      <c r="J7" s="43" t="s">
        <v>18</v>
      </c>
      <c r="K7" s="43" t="s">
        <v>17</v>
      </c>
      <c r="L7" s="43" t="s">
        <v>18</v>
      </c>
      <c r="M7" s="43" t="s">
        <v>17</v>
      </c>
      <c r="N7" s="43" t="s">
        <v>18</v>
      </c>
      <c r="O7" s="43" t="s">
        <v>17</v>
      </c>
      <c r="P7" s="43" t="s">
        <v>18</v>
      </c>
      <c r="Q7" s="43" t="s">
        <v>17</v>
      </c>
      <c r="R7" s="43" t="s">
        <v>18</v>
      </c>
    </row>
    <row r="8" spans="1:18" ht="33" customHeight="1" x14ac:dyDescent="0.25">
      <c r="A8" s="11" t="str">
        <f>'Bid Item List'!A19</f>
        <v>0001</v>
      </c>
      <c r="B8" s="53" t="str">
        <f>'Bid Item List'!B19</f>
        <v>Mobilization, Surveying, Cleanup, and Demobilization</v>
      </c>
      <c r="C8" s="38">
        <f>'Bid Item List'!C19</f>
        <v>1</v>
      </c>
      <c r="D8" s="20" t="str">
        <f>'Bid Item List'!D19</f>
        <v>LS</v>
      </c>
      <c r="E8" s="26">
        <v>400000</v>
      </c>
      <c r="F8" s="27">
        <f t="shared" ref="F8:P20" si="0">QTY*E8</f>
        <v>400000</v>
      </c>
      <c r="G8" s="26">
        <v>175000</v>
      </c>
      <c r="H8" s="27">
        <f t="shared" ref="H8:H18" si="1">QTY*G8</f>
        <v>175000</v>
      </c>
      <c r="I8" s="26">
        <v>179000</v>
      </c>
      <c r="J8" s="27">
        <f t="shared" ref="J8:J18" si="2">QTY*I8</f>
        <v>179000</v>
      </c>
      <c r="K8" s="26">
        <v>1020000</v>
      </c>
      <c r="L8" s="27">
        <f t="shared" ref="L8:L18" si="3">QTY*K8</f>
        <v>1020000</v>
      </c>
      <c r="M8" s="26">
        <v>249062.59</v>
      </c>
      <c r="N8" s="27">
        <f t="shared" ref="N8:N18" si="4">QTY*M8</f>
        <v>249062.59</v>
      </c>
      <c r="O8" s="26">
        <v>336705</v>
      </c>
      <c r="P8" s="27">
        <f t="shared" ref="P8:P18" si="5">QTY*O8</f>
        <v>336705</v>
      </c>
      <c r="Q8" s="26">
        <v>275000</v>
      </c>
      <c r="R8" s="27">
        <f t="shared" ref="R8:R20" si="6">QTY*Q8</f>
        <v>275000</v>
      </c>
    </row>
    <row r="9" spans="1:18" ht="33" customHeight="1" x14ac:dyDescent="0.25">
      <c r="A9" s="11" t="str">
        <f>'Bid Item List'!A20</f>
        <v>0002</v>
      </c>
      <c r="B9" s="53" t="str">
        <f>'Bid Item List'!B20</f>
        <v>Sweeper</v>
      </c>
      <c r="C9" s="38">
        <f>'Bid Item List'!C20</f>
        <v>1</v>
      </c>
      <c r="D9" s="20" t="str">
        <f>'Bid Item List'!D20</f>
        <v>LS</v>
      </c>
      <c r="E9" s="26">
        <v>180000</v>
      </c>
      <c r="F9" s="27">
        <f t="shared" si="0"/>
        <v>180000</v>
      </c>
      <c r="G9" s="26">
        <v>300000</v>
      </c>
      <c r="H9" s="27">
        <f t="shared" si="1"/>
        <v>300000</v>
      </c>
      <c r="I9" s="26">
        <v>15000</v>
      </c>
      <c r="J9" s="27">
        <f t="shared" si="2"/>
        <v>15000</v>
      </c>
      <c r="K9" s="26">
        <v>38000</v>
      </c>
      <c r="L9" s="27">
        <f t="shared" si="3"/>
        <v>38000</v>
      </c>
      <c r="M9" s="26">
        <v>140791.20000000001</v>
      </c>
      <c r="N9" s="27">
        <f t="shared" si="4"/>
        <v>140791.20000000001</v>
      </c>
      <c r="O9" s="26">
        <v>33272</v>
      </c>
      <c r="P9" s="27">
        <f t="shared" si="5"/>
        <v>33272</v>
      </c>
      <c r="Q9" s="26">
        <v>35000</v>
      </c>
      <c r="R9" s="27">
        <f t="shared" si="6"/>
        <v>35000</v>
      </c>
    </row>
    <row r="10" spans="1:18" ht="33" customHeight="1" x14ac:dyDescent="0.25">
      <c r="A10" s="11" t="str">
        <f>'Bid Item List'!A21</f>
        <v>0003</v>
      </c>
      <c r="B10" s="53" t="str">
        <f>'Bid Item List'!B21</f>
        <v>Temporary Erosion and Sediment Control</v>
      </c>
      <c r="C10" s="38">
        <f>'Bid Item List'!C21</f>
        <v>1</v>
      </c>
      <c r="D10" s="20" t="str">
        <f>'Bid Item List'!D21</f>
        <v>LS</v>
      </c>
      <c r="E10" s="26">
        <v>505000</v>
      </c>
      <c r="F10" s="27">
        <f t="shared" si="0"/>
        <v>505000</v>
      </c>
      <c r="G10" s="26">
        <v>75000</v>
      </c>
      <c r="H10" s="27">
        <f t="shared" si="1"/>
        <v>75000</v>
      </c>
      <c r="I10" s="26">
        <v>89000</v>
      </c>
      <c r="J10" s="27">
        <f t="shared" si="2"/>
        <v>89000</v>
      </c>
      <c r="K10" s="26">
        <v>62000</v>
      </c>
      <c r="L10" s="27">
        <f t="shared" si="3"/>
        <v>62000</v>
      </c>
      <c r="M10" s="26">
        <v>79189.78</v>
      </c>
      <c r="N10" s="27">
        <f t="shared" si="4"/>
        <v>79189.78</v>
      </c>
      <c r="O10" s="26">
        <v>55792</v>
      </c>
      <c r="P10" s="27">
        <f t="shared" si="5"/>
        <v>55792</v>
      </c>
      <c r="Q10" s="26">
        <v>25000</v>
      </c>
      <c r="R10" s="27">
        <f t="shared" si="6"/>
        <v>25000</v>
      </c>
    </row>
    <row r="11" spans="1:18" ht="33" customHeight="1" x14ac:dyDescent="0.25">
      <c r="A11" s="11" t="str">
        <f>'Bid Item List'!A22</f>
        <v>0004</v>
      </c>
      <c r="B11" s="53" t="str">
        <f>'Bid Item List'!B22</f>
        <v>Contaminated Soil Excavation and Disposal</v>
      </c>
      <c r="C11" s="38">
        <f>'Bid Item List'!C22</f>
        <v>300</v>
      </c>
      <c r="D11" s="20" t="str">
        <f>'Bid Item List'!D22</f>
        <v>CY</v>
      </c>
      <c r="E11" s="26">
        <v>310</v>
      </c>
      <c r="F11" s="27">
        <f t="shared" si="0"/>
        <v>93000</v>
      </c>
      <c r="G11" s="26">
        <v>2000</v>
      </c>
      <c r="H11" s="27">
        <f t="shared" si="1"/>
        <v>600000</v>
      </c>
      <c r="I11" s="26">
        <v>140</v>
      </c>
      <c r="J11" s="27">
        <f t="shared" si="2"/>
        <v>42000</v>
      </c>
      <c r="K11" s="26">
        <v>185</v>
      </c>
      <c r="L11" s="27">
        <f t="shared" si="3"/>
        <v>55500</v>
      </c>
      <c r="M11" s="26">
        <v>132.22</v>
      </c>
      <c r="N11" s="27">
        <f t="shared" si="4"/>
        <v>39666</v>
      </c>
      <c r="O11" s="26">
        <v>55</v>
      </c>
      <c r="P11" s="27">
        <f t="shared" si="5"/>
        <v>16500</v>
      </c>
      <c r="Q11" s="26">
        <v>175</v>
      </c>
      <c r="R11" s="27">
        <f t="shared" si="6"/>
        <v>52500</v>
      </c>
    </row>
    <row r="12" spans="1:18" ht="33" customHeight="1" x14ac:dyDescent="0.25">
      <c r="A12" s="11" t="str">
        <f>'Bid Item List'!A23</f>
        <v>0005</v>
      </c>
      <c r="B12" s="53" t="str">
        <f>'Bid Item List'!B23</f>
        <v>Dewatering</v>
      </c>
      <c r="C12" s="38">
        <f>'Bid Item List'!C23</f>
        <v>9</v>
      </c>
      <c r="D12" s="20" t="str">
        <f>'Bid Item List'!D23</f>
        <v>Each</v>
      </c>
      <c r="E12" s="26">
        <v>22000</v>
      </c>
      <c r="F12" s="27">
        <f t="shared" si="0"/>
        <v>198000</v>
      </c>
      <c r="G12" s="26">
        <v>10000</v>
      </c>
      <c r="H12" s="27">
        <f t="shared" si="1"/>
        <v>90000</v>
      </c>
      <c r="I12" s="26">
        <v>2200</v>
      </c>
      <c r="J12" s="27">
        <f t="shared" si="2"/>
        <v>19800</v>
      </c>
      <c r="K12" s="26">
        <v>10000</v>
      </c>
      <c r="L12" s="27">
        <f t="shared" si="3"/>
        <v>90000</v>
      </c>
      <c r="M12" s="26">
        <v>6399.1</v>
      </c>
      <c r="N12" s="27">
        <f t="shared" si="4"/>
        <v>57591.9</v>
      </c>
      <c r="O12" s="26">
        <v>9242</v>
      </c>
      <c r="P12" s="27">
        <f t="shared" si="5"/>
        <v>83178</v>
      </c>
      <c r="Q12" s="26">
        <v>12800</v>
      </c>
      <c r="R12" s="27">
        <f t="shared" si="6"/>
        <v>115200</v>
      </c>
    </row>
    <row r="13" spans="1:18" ht="33" customHeight="1" x14ac:dyDescent="0.25">
      <c r="A13" s="11" t="str">
        <f>'Bid Item List'!A24</f>
        <v>0006</v>
      </c>
      <c r="B13" s="53" t="str">
        <f>'Bid Item List'!B24</f>
        <v>Kennedy Feeder Point-of-Service Access Pad</v>
      </c>
      <c r="C13" s="38">
        <f>'Bid Item List'!C24</f>
        <v>1</v>
      </c>
      <c r="D13" s="20" t="str">
        <f>'Bid Item List'!D24</f>
        <v>LS</v>
      </c>
      <c r="E13" s="26">
        <v>140000</v>
      </c>
      <c r="F13" s="27">
        <f t="shared" si="0"/>
        <v>140000</v>
      </c>
      <c r="G13" s="26">
        <v>50000</v>
      </c>
      <c r="H13" s="27">
        <f t="shared" si="1"/>
        <v>50000</v>
      </c>
      <c r="I13" s="26">
        <v>97951</v>
      </c>
      <c r="J13" s="27">
        <f t="shared" si="2"/>
        <v>97951</v>
      </c>
      <c r="K13" s="26">
        <v>145000</v>
      </c>
      <c r="L13" s="27">
        <f t="shared" si="3"/>
        <v>145000</v>
      </c>
      <c r="M13" s="26">
        <v>139112.74</v>
      </c>
      <c r="N13" s="27">
        <f t="shared" si="4"/>
        <v>139112.74</v>
      </c>
      <c r="O13" s="26">
        <v>24427</v>
      </c>
      <c r="P13" s="27">
        <f t="shared" si="5"/>
        <v>24427</v>
      </c>
      <c r="Q13" s="26">
        <v>110000</v>
      </c>
      <c r="R13" s="27">
        <f t="shared" si="6"/>
        <v>110000</v>
      </c>
    </row>
    <row r="14" spans="1:18" ht="33" customHeight="1" x14ac:dyDescent="0.25">
      <c r="A14" s="11" t="str">
        <f>'Bid Item List'!A25</f>
        <v>0007</v>
      </c>
      <c r="B14" s="53" t="str">
        <f>'Bid Item List'!B25</f>
        <v>Kennedy Feeder Pad-Mount Switch</v>
      </c>
      <c r="C14" s="38">
        <f>'Bid Item List'!C25</f>
        <v>1</v>
      </c>
      <c r="D14" s="20" t="str">
        <f>'Bid Item List'!D25</f>
        <v>LS</v>
      </c>
      <c r="E14" s="26">
        <v>129000</v>
      </c>
      <c r="F14" s="27">
        <f t="shared" si="0"/>
        <v>129000</v>
      </c>
      <c r="G14" s="26">
        <v>100000</v>
      </c>
      <c r="H14" s="27">
        <f t="shared" si="1"/>
        <v>100000</v>
      </c>
      <c r="I14" s="26">
        <v>89083</v>
      </c>
      <c r="J14" s="27">
        <f t="shared" si="2"/>
        <v>89083</v>
      </c>
      <c r="K14" s="26">
        <v>251306</v>
      </c>
      <c r="L14" s="27">
        <f t="shared" si="3"/>
        <v>251306</v>
      </c>
      <c r="M14" s="26">
        <v>97667.44</v>
      </c>
      <c r="N14" s="27">
        <f t="shared" si="4"/>
        <v>97667.44</v>
      </c>
      <c r="O14" s="26">
        <v>132423</v>
      </c>
      <c r="P14" s="27">
        <f t="shared" si="5"/>
        <v>132423</v>
      </c>
      <c r="Q14" s="26">
        <v>75000</v>
      </c>
      <c r="R14" s="27">
        <f t="shared" si="6"/>
        <v>75000</v>
      </c>
    </row>
    <row r="15" spans="1:18" ht="33" customHeight="1" x14ac:dyDescent="0.25">
      <c r="A15" s="11" t="str">
        <f>'Bid Item List'!A26</f>
        <v>0008</v>
      </c>
      <c r="B15" s="53" t="str">
        <f>'Bid Item List'!B26</f>
        <v>Aircraft-Rated Electrical Vaults</v>
      </c>
      <c r="C15" s="38">
        <f>'Bid Item List'!C26</f>
        <v>4</v>
      </c>
      <c r="D15" s="20" t="str">
        <f>'Bid Item List'!D26</f>
        <v>Each</v>
      </c>
      <c r="E15" s="26">
        <v>84000</v>
      </c>
      <c r="F15" s="27">
        <f t="shared" si="0"/>
        <v>336000</v>
      </c>
      <c r="G15" s="26">
        <v>50000</v>
      </c>
      <c r="H15" s="27">
        <f t="shared" si="1"/>
        <v>200000</v>
      </c>
      <c r="I15" s="26">
        <v>35185</v>
      </c>
      <c r="J15" s="27">
        <f t="shared" si="2"/>
        <v>140740</v>
      </c>
      <c r="K15" s="26">
        <v>92500</v>
      </c>
      <c r="L15" s="27">
        <f t="shared" si="3"/>
        <v>370000</v>
      </c>
      <c r="M15" s="26">
        <v>76590.27</v>
      </c>
      <c r="N15" s="27">
        <f t="shared" si="4"/>
        <v>306361.08</v>
      </c>
      <c r="O15" s="26">
        <v>48205</v>
      </c>
      <c r="P15" s="27">
        <f t="shared" si="5"/>
        <v>192820</v>
      </c>
      <c r="Q15" s="26">
        <v>55000</v>
      </c>
      <c r="R15" s="27">
        <f t="shared" si="6"/>
        <v>220000</v>
      </c>
    </row>
    <row r="16" spans="1:18" ht="33" customHeight="1" x14ac:dyDescent="0.25">
      <c r="A16" s="11" t="str">
        <f>'Bid Item List'!A27</f>
        <v>0009</v>
      </c>
      <c r="B16" s="53" t="str">
        <f>'Bid Item List'!B27</f>
        <v>H-20 Traffic-Rated Electrical Vaults</v>
      </c>
      <c r="C16" s="38">
        <f>'Bid Item List'!C27</f>
        <v>4</v>
      </c>
      <c r="D16" s="20" t="str">
        <f>'Bid Item List'!D27</f>
        <v>Each</v>
      </c>
      <c r="E16" s="26">
        <v>57000</v>
      </c>
      <c r="F16" s="27">
        <f t="shared" si="0"/>
        <v>228000</v>
      </c>
      <c r="G16" s="26">
        <v>30000</v>
      </c>
      <c r="H16" s="27">
        <f t="shared" si="1"/>
        <v>120000</v>
      </c>
      <c r="I16" s="26">
        <v>18105</v>
      </c>
      <c r="J16" s="27">
        <f t="shared" si="2"/>
        <v>72420</v>
      </c>
      <c r="K16" s="26">
        <v>78750</v>
      </c>
      <c r="L16" s="27">
        <f t="shared" si="3"/>
        <v>315000</v>
      </c>
      <c r="M16" s="26">
        <v>52853.5</v>
      </c>
      <c r="N16" s="27">
        <f t="shared" si="4"/>
        <v>211414</v>
      </c>
      <c r="O16" s="26">
        <v>23186</v>
      </c>
      <c r="P16" s="27">
        <f t="shared" si="5"/>
        <v>92744</v>
      </c>
      <c r="Q16" s="26">
        <v>35000</v>
      </c>
      <c r="R16" s="27">
        <f t="shared" si="6"/>
        <v>140000</v>
      </c>
    </row>
    <row r="17" spans="1:18" ht="33" customHeight="1" x14ac:dyDescent="0.25">
      <c r="A17" s="11" t="str">
        <f>'Bid Item List'!A28</f>
        <v>0010</v>
      </c>
      <c r="B17" s="53" t="str">
        <f>'Bid Item List'!B28</f>
        <v>Two 6-Inch Conduits by Directional Drilling Method</v>
      </c>
      <c r="C17" s="57">
        <f>'Bid Item List'!C28</f>
        <v>5360</v>
      </c>
      <c r="D17" s="20" t="str">
        <f>'Bid Item List'!D28</f>
        <v>LF</v>
      </c>
      <c r="E17" s="26">
        <v>125</v>
      </c>
      <c r="F17" s="27">
        <f t="shared" si="0"/>
        <v>670000</v>
      </c>
      <c r="G17" s="26">
        <v>200</v>
      </c>
      <c r="H17" s="27">
        <f t="shared" si="1"/>
        <v>1072000</v>
      </c>
      <c r="I17" s="26">
        <v>105</v>
      </c>
      <c r="J17" s="27">
        <f t="shared" si="2"/>
        <v>562800</v>
      </c>
      <c r="K17" s="26">
        <v>150</v>
      </c>
      <c r="L17" s="27">
        <f t="shared" si="3"/>
        <v>804000</v>
      </c>
      <c r="M17" s="26">
        <v>120.22</v>
      </c>
      <c r="N17" s="27">
        <f t="shared" si="4"/>
        <v>644379.19999999995</v>
      </c>
      <c r="O17" s="26">
        <v>152</v>
      </c>
      <c r="P17" s="27">
        <f t="shared" si="5"/>
        <v>814720</v>
      </c>
      <c r="Q17" s="26">
        <v>270</v>
      </c>
      <c r="R17" s="27">
        <f t="shared" si="6"/>
        <v>1447200</v>
      </c>
    </row>
    <row r="18" spans="1:18" ht="33" customHeight="1" x14ac:dyDescent="0.25">
      <c r="A18" s="11" t="str">
        <f>'Bid Item List'!A29</f>
        <v>0011</v>
      </c>
      <c r="B18" s="53" t="str">
        <f>'Bid Item List'!B29</f>
        <v>Electrical Feeder Conductor Assembly</v>
      </c>
      <c r="C18" s="57">
        <f>'Bid Item List'!C29</f>
        <v>12397</v>
      </c>
      <c r="D18" s="20" t="str">
        <f>'Bid Item List'!D29</f>
        <v>LF</v>
      </c>
      <c r="E18" s="26">
        <v>96</v>
      </c>
      <c r="F18" s="27">
        <f t="shared" si="0"/>
        <v>1190112</v>
      </c>
      <c r="G18" s="26">
        <v>50</v>
      </c>
      <c r="H18" s="27">
        <f t="shared" si="1"/>
        <v>619850</v>
      </c>
      <c r="I18" s="26">
        <v>97.5</v>
      </c>
      <c r="J18" s="27">
        <f t="shared" si="2"/>
        <v>1208707.5</v>
      </c>
      <c r="K18" s="26">
        <v>96</v>
      </c>
      <c r="L18" s="27">
        <f t="shared" si="3"/>
        <v>1190112</v>
      </c>
      <c r="M18" s="26">
        <v>44.25</v>
      </c>
      <c r="N18" s="27">
        <f t="shared" si="4"/>
        <v>548567.25</v>
      </c>
      <c r="O18" s="26">
        <v>102</v>
      </c>
      <c r="P18" s="27">
        <f t="shared" si="5"/>
        <v>1264494</v>
      </c>
      <c r="Q18" s="26">
        <v>70</v>
      </c>
      <c r="R18" s="27">
        <f t="shared" si="6"/>
        <v>867790</v>
      </c>
    </row>
    <row r="19" spans="1:18" ht="33" customHeight="1" x14ac:dyDescent="0.25">
      <c r="A19" s="11" t="str">
        <f>'Bid Item List'!A30</f>
        <v>0012</v>
      </c>
      <c r="B19" s="53" t="str">
        <f>'Bid Item List'!B30</f>
        <v>Electrical Feeder Installation in Vaults</v>
      </c>
      <c r="C19" s="38">
        <f>'Bid Item List'!C30</f>
        <v>17</v>
      </c>
      <c r="D19" s="20" t="str">
        <f>'Bid Item List'!D30</f>
        <v>Each</v>
      </c>
      <c r="E19" s="26">
        <v>55000</v>
      </c>
      <c r="F19" s="27">
        <f t="shared" si="0"/>
        <v>935000</v>
      </c>
      <c r="G19" s="26">
        <v>5000</v>
      </c>
      <c r="H19" s="27">
        <f t="shared" si="0"/>
        <v>85000</v>
      </c>
      <c r="I19" s="26">
        <v>12235</v>
      </c>
      <c r="J19" s="27">
        <f t="shared" si="0"/>
        <v>207995</v>
      </c>
      <c r="K19" s="26">
        <v>9200</v>
      </c>
      <c r="L19" s="27">
        <f t="shared" si="0"/>
        <v>156400</v>
      </c>
      <c r="M19" s="26">
        <v>12743.33</v>
      </c>
      <c r="N19" s="27">
        <f t="shared" si="0"/>
        <v>216636.61</v>
      </c>
      <c r="O19" s="26">
        <v>7642</v>
      </c>
      <c r="P19" s="27">
        <f t="shared" si="0"/>
        <v>129914</v>
      </c>
      <c r="Q19" s="26">
        <v>10000</v>
      </c>
      <c r="R19" s="27">
        <f t="shared" si="6"/>
        <v>170000</v>
      </c>
    </row>
    <row r="20" spans="1:18" ht="33" customHeight="1" x14ac:dyDescent="0.25">
      <c r="A20" s="11" t="str">
        <f>'Bid Item List'!A31</f>
        <v>0013</v>
      </c>
      <c r="B20" s="53" t="str">
        <f>'Bid Item List'!B31</f>
        <v xml:space="preserve">Electrical Feeder Conductor Termination and Testing </v>
      </c>
      <c r="C20" s="38">
        <f>'Bid Item List'!C31</f>
        <v>1</v>
      </c>
      <c r="D20" s="20" t="str">
        <f>'Bid Item List'!D31</f>
        <v>LS</v>
      </c>
      <c r="E20" s="26">
        <v>158000</v>
      </c>
      <c r="F20" s="27">
        <f t="shared" si="0"/>
        <v>158000</v>
      </c>
      <c r="G20" s="26">
        <v>150000</v>
      </c>
      <c r="H20" s="27">
        <f t="shared" si="0"/>
        <v>150000</v>
      </c>
      <c r="I20" s="26">
        <v>25487</v>
      </c>
      <c r="J20" s="27">
        <f t="shared" si="0"/>
        <v>25487</v>
      </c>
      <c r="K20" s="26">
        <v>48000</v>
      </c>
      <c r="L20" s="27">
        <f t="shared" si="0"/>
        <v>48000</v>
      </c>
      <c r="M20" s="26">
        <v>50678.85</v>
      </c>
      <c r="N20" s="27">
        <f t="shared" si="0"/>
        <v>50678.85</v>
      </c>
      <c r="O20" s="26">
        <v>17080</v>
      </c>
      <c r="P20" s="27">
        <f t="shared" si="0"/>
        <v>17080</v>
      </c>
      <c r="Q20" s="26">
        <v>35000</v>
      </c>
      <c r="R20" s="27">
        <f t="shared" si="6"/>
        <v>35000</v>
      </c>
    </row>
    <row r="21" spans="1:18" ht="27.75" customHeight="1" x14ac:dyDescent="0.25">
      <c r="A21" s="12"/>
      <c r="B21" s="21" t="str">
        <f>'Bid Item List'!B32</f>
        <v>Total Amount Bid (Basis of Award)</v>
      </c>
      <c r="C21" s="39"/>
      <c r="D21" s="22">
        <f>'Bid Item List'!D32</f>
        <v>0</v>
      </c>
      <c r="E21" s="28"/>
      <c r="F21" s="54">
        <f>SUM(F8:F20)</f>
        <v>5162112</v>
      </c>
      <c r="G21" s="28"/>
      <c r="H21" s="54">
        <f>SUM(H8:H20)</f>
        <v>3636850</v>
      </c>
      <c r="I21" s="28"/>
      <c r="J21" s="54">
        <f>SUM(J8:J20)</f>
        <v>2749983.5</v>
      </c>
      <c r="K21" s="28"/>
      <c r="L21" s="54">
        <f>SUM(L8:L20)</f>
        <v>4545318</v>
      </c>
      <c r="M21" s="28"/>
      <c r="N21" s="54">
        <f>SUM(N8:N20)</f>
        <v>2781118.64</v>
      </c>
      <c r="O21" s="28"/>
      <c r="P21" s="54">
        <f>SUM(P8:P20)</f>
        <v>3194069</v>
      </c>
      <c r="Q21" s="28"/>
      <c r="R21" s="54">
        <f>SUM(R8:R20)</f>
        <v>3567690</v>
      </c>
    </row>
  </sheetData>
  <mergeCells count="13">
    <mergeCell ref="Q1:R5"/>
    <mergeCell ref="K1:L5"/>
    <mergeCell ref="M1:N5"/>
    <mergeCell ref="O1:P5"/>
    <mergeCell ref="A6:D6"/>
    <mergeCell ref="E1:F5"/>
    <mergeCell ref="G1:H5"/>
    <mergeCell ref="I1:J5"/>
    <mergeCell ref="A1:D1"/>
    <mergeCell ref="A2:D2"/>
    <mergeCell ref="A3:D3"/>
    <mergeCell ref="A4:D4"/>
    <mergeCell ref="A5:D5"/>
  </mergeCells>
  <printOptions horizontalCentered="1"/>
  <pageMargins left="0.5" right="0.5" top="0.5" bottom="0.5" header="0.5" footer="0.5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theme="6" tint="-0.499984740745262"/>
  </sheetPr>
  <dimension ref="A1:B15"/>
  <sheetViews>
    <sheetView view="pageBreakPreview" zoomScaleNormal="75" zoomScaleSheetLayoutView="100" workbookViewId="0">
      <selection activeCell="E10" sqref="E10"/>
    </sheetView>
  </sheetViews>
  <sheetFormatPr defaultRowHeight="15" x14ac:dyDescent="0.25"/>
  <cols>
    <col min="1" max="1" width="53.7109375" style="13" customWidth="1"/>
    <col min="2" max="2" width="27" style="48" customWidth="1"/>
  </cols>
  <sheetData>
    <row r="1" spans="1:2" ht="30" customHeight="1" x14ac:dyDescent="0.25">
      <c r="A1" s="24" t="str">
        <f>ProjectLocation</f>
        <v>PORTLAND INTERNATIONAL AIRPORT</v>
      </c>
      <c r="B1" s="44"/>
    </row>
    <row r="2" spans="1:2" ht="15" customHeight="1" x14ac:dyDescent="0.25">
      <c r="A2" s="25" t="str">
        <f>ProjectTitle</f>
        <v>KENNEDY FEEDER AND KILLINGSWORTH EXTENSION</v>
      </c>
      <c r="B2" s="45"/>
    </row>
    <row r="3" spans="1:2" ht="15" customHeight="1" x14ac:dyDescent="0.25">
      <c r="A3" s="25">
        <f>ProjectTitle2</f>
        <v>0</v>
      </c>
      <c r="B3" s="45"/>
    </row>
    <row r="4" spans="1:2" x14ac:dyDescent="0.25">
      <c r="A4" s="14" t="str">
        <f>EAN</f>
        <v>EAN 2020D008</v>
      </c>
      <c r="B4" s="45"/>
    </row>
    <row r="5" spans="1:2" ht="15" customHeight="1" x14ac:dyDescent="0.25">
      <c r="A5" s="15" t="str">
        <f>SolicitationNo</f>
        <v>Solicitation No. 2021-8920</v>
      </c>
      <c r="B5" s="45"/>
    </row>
    <row r="6" spans="1:2" ht="15" customHeight="1" x14ac:dyDescent="0.25">
      <c r="A6" s="16">
        <f ca="1">TODAY()</f>
        <v>44351</v>
      </c>
      <c r="B6" s="46"/>
    </row>
    <row r="7" spans="1:2" ht="33" customHeight="1" x14ac:dyDescent="0.25">
      <c r="A7" s="17" t="s">
        <v>31</v>
      </c>
      <c r="B7" s="47" t="s">
        <v>18</v>
      </c>
    </row>
    <row r="8" spans="1:2" ht="33" customHeight="1" x14ac:dyDescent="0.25">
      <c r="A8" s="18" t="str">
        <f>Contractor3</f>
        <v>Northeast Electric, LLC</v>
      </c>
      <c r="B8" s="49">
        <f>'Bid Tabulation'!J21</f>
        <v>2749983.5</v>
      </c>
    </row>
    <row r="9" spans="1:2" ht="33" customHeight="1" x14ac:dyDescent="0.25">
      <c r="A9" s="18" t="str">
        <f>Contractor5</f>
        <v>OEG, Inc.</v>
      </c>
      <c r="B9" s="49" t="s">
        <v>59</v>
      </c>
    </row>
    <row r="10" spans="1:2" ht="33" customHeight="1" x14ac:dyDescent="0.25">
      <c r="A10" s="18" t="str">
        <f>Contractor6</f>
        <v>PHK Construction, LLC</v>
      </c>
      <c r="B10" s="49" t="s">
        <v>60</v>
      </c>
    </row>
    <row r="11" spans="1:2" ht="33" customHeight="1" x14ac:dyDescent="0.25">
      <c r="A11" s="18" t="str">
        <f>Contractor2</f>
        <v>Magnum Power, LLC</v>
      </c>
      <c r="B11" s="49" t="s">
        <v>61</v>
      </c>
    </row>
    <row r="12" spans="1:2" ht="33" customHeight="1" x14ac:dyDescent="0.25">
      <c r="A12" s="18" t="str">
        <f>Contractor4</f>
        <v>Northstar Electrical Contractors, Inc.</v>
      </c>
      <c r="B12" s="49">
        <f>'Bid Tabulation'!L21</f>
        <v>4545318</v>
      </c>
    </row>
    <row r="13" spans="1:2" ht="33" customHeight="1" x14ac:dyDescent="0.25">
      <c r="A13" s="18" t="str">
        <f>Contractor1</f>
        <v>Kiewit Infrastructure 
West Co.</v>
      </c>
      <c r="B13" s="49">
        <f>'Bid Tabulation'!F21</f>
        <v>5162112</v>
      </c>
    </row>
    <row r="14" spans="1:2" ht="33" customHeight="1" x14ac:dyDescent="0.25">
      <c r="A14" s="55" t="str">
        <f>EngineerEstimate</f>
        <v>Engineer's Estimate</v>
      </c>
      <c r="B14" s="56">
        <f>'Bid Tabulation'!R21</f>
        <v>3567690</v>
      </c>
    </row>
    <row r="15" spans="1:2" x14ac:dyDescent="0.25">
      <c r="A15" s="50" t="s">
        <v>62</v>
      </c>
    </row>
  </sheetData>
  <sortState xmlns:xlrd2="http://schemas.microsoft.com/office/spreadsheetml/2017/richdata2" ref="A8:B13">
    <sortCondition ref="B8:B13"/>
  </sortState>
  <printOptions horizontalCentered="1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C3FC360486C3449A5BF21A412D0E8B" ma:contentTypeVersion="3" ma:contentTypeDescription="Create a new document." ma:contentTypeScope="" ma:versionID="ae1734035da06489cee3bc010ff747fc">
  <xsd:schema xmlns:xsd="http://www.w3.org/2001/XMLSchema" xmlns:xs="http://www.w3.org/2001/XMLSchema" xmlns:p="http://schemas.microsoft.com/office/2006/metadata/properties" xmlns:ns2="149230f7-eaf4-416e-8d5c-5c6c61cbabe4" targetNamespace="http://schemas.microsoft.com/office/2006/metadata/properties" ma:root="true" ma:fieldsID="6046d4d5e893a6dcf2a15683580b6564" ns2:_="">
    <xsd:import namespace="149230f7-eaf4-416e-8d5c-5c6c61cbab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230f7-eaf4-416e-8d5c-5c6c61cbab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8461B29-13FA-4D67-BFF5-EE628AEB3D50}"/>
</file>

<file path=customXml/itemProps2.xml><?xml version="1.0" encoding="utf-8"?>
<ds:datastoreItem xmlns:ds="http://schemas.openxmlformats.org/officeDocument/2006/customXml" ds:itemID="{0404BA98-B0CC-4735-BA86-1BECF49B1BE0}"/>
</file>

<file path=customXml/itemProps3.xml><?xml version="1.0" encoding="utf-8"?>
<ds:datastoreItem xmlns:ds="http://schemas.openxmlformats.org/officeDocument/2006/customXml" ds:itemID="{8CEB6B34-4FF1-4A35-AED7-CA31270CC8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24</vt:i4>
      </vt:variant>
    </vt:vector>
  </HeadingPairs>
  <TitlesOfParts>
    <vt:vector size="27" baseType="lpstr">
      <vt:lpstr>Bid Item List</vt:lpstr>
      <vt:lpstr>Bid Tabulation</vt:lpstr>
      <vt:lpstr>Summary</vt:lpstr>
      <vt:lpstr>Contractor1</vt:lpstr>
      <vt:lpstr>Contractor2</vt:lpstr>
      <vt:lpstr>Contractor3</vt:lpstr>
      <vt:lpstr>Contractor4</vt:lpstr>
      <vt:lpstr>Contractor5</vt:lpstr>
      <vt:lpstr>Contractor6</vt:lpstr>
      <vt:lpstr>EAN</vt:lpstr>
      <vt:lpstr>EngineerEstimate</vt:lpstr>
      <vt:lpstr>'Bid Item List'!Print_Area</vt:lpstr>
      <vt:lpstr>Summary!Print_Area</vt:lpstr>
      <vt:lpstr>'Bid Item List'!Print_Titles</vt:lpstr>
      <vt:lpstr>'Bid Tabulation'!Print_Titles</vt:lpstr>
      <vt:lpstr>ProjectLocation</vt:lpstr>
      <vt:lpstr>ProjectTitle</vt:lpstr>
      <vt:lpstr>ProjectTitle2</vt:lpstr>
      <vt:lpstr>QTY</vt:lpstr>
      <vt:lpstr>SolicitationNo</vt:lpstr>
      <vt:lpstr>Total1</vt:lpstr>
      <vt:lpstr>Total2</vt:lpstr>
      <vt:lpstr>Total3</vt:lpstr>
      <vt:lpstr>Total4</vt:lpstr>
      <vt:lpstr>Total5</vt:lpstr>
      <vt:lpstr>Total6</vt:lpstr>
      <vt:lpstr>TotalEE</vt:lpstr>
    </vt:vector>
  </TitlesOfParts>
  <Company>Port of Portland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Etta Goerl</dc:creator>
  <cp:lastModifiedBy>Colin Doherty</cp:lastModifiedBy>
  <cp:lastPrinted>2021-06-04T22:45:27Z</cp:lastPrinted>
  <dcterms:created xsi:type="dcterms:W3CDTF">2014-05-02T22:08:37Z</dcterms:created>
  <dcterms:modified xsi:type="dcterms:W3CDTF">2021-06-04T22:45:36Z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0x010100C4C3FC360486C3449A5BF21A412D0E8B</vt:lpwstr>
  </property>
</Properties>
</file>